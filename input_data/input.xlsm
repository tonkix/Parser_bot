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01DC5E16-6469-4590-8CF7-BDA9CE29F218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2" r:id="rId1"/>
    <sheet name="Наценка" sheetId="10" r:id="rId2"/>
    <sheet name="Выгр Кат" sheetId="9" r:id="rId3"/>
    <sheet name="Ссылки" sheetId="11" r:id="rId4"/>
    <sheet name="Из ГУГЛа" sheetId="12" r:id="rId5"/>
  </sheets>
  <definedNames>
    <definedName name="_xlnm._FilterDatabase" localSheetId="2" hidden="1">'Выгр Кат'!$A$1:$O$1</definedName>
    <definedName name="_xlnm._FilterDatabase" localSheetId="0" hidden="1">Кат!$A$2:$AA$196</definedName>
    <definedName name="ExternalData_1" localSheetId="4" hidden="1">'Из ГУГЛа'!$A$1:$T$442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9" i="2" l="1"/>
  <c r="K166" i="2"/>
  <c r="K156" i="2"/>
  <c r="K136" i="2"/>
  <c r="K135" i="2"/>
  <c r="K133" i="2"/>
  <c r="K125" i="2"/>
  <c r="K124" i="2"/>
  <c r="K123" i="2"/>
  <c r="K122" i="2"/>
  <c r="K121" i="2"/>
  <c r="K120" i="2"/>
  <c r="K119" i="2"/>
  <c r="K118" i="2"/>
  <c r="K115" i="2"/>
  <c r="K112" i="2"/>
  <c r="K108" i="2"/>
  <c r="K107" i="2"/>
  <c r="K106" i="2"/>
  <c r="K105" i="2"/>
  <c r="K95" i="2"/>
  <c r="K90" i="2"/>
  <c r="K89" i="2"/>
  <c r="K88" i="2"/>
  <c r="K86" i="2"/>
  <c r="K83" i="2"/>
  <c r="K79" i="2"/>
  <c r="K78" i="2"/>
  <c r="K70" i="2"/>
  <c r="K69" i="2"/>
  <c r="K68" i="2"/>
  <c r="K67" i="2"/>
  <c r="K63" i="2"/>
  <c r="K60" i="2"/>
  <c r="K59" i="2"/>
  <c r="K58" i="2"/>
  <c r="K56" i="2"/>
  <c r="K54" i="2"/>
  <c r="K52" i="2"/>
  <c r="K50" i="2"/>
  <c r="K49" i="2"/>
  <c r="K48" i="2"/>
  <c r="K47" i="2"/>
  <c r="K46" i="2"/>
  <c r="K45" i="2"/>
  <c r="K44" i="2"/>
  <c r="K42" i="2"/>
  <c r="K41" i="2"/>
  <c r="K40" i="2"/>
  <c r="K39" i="2"/>
  <c r="K38" i="2"/>
  <c r="K37" i="2"/>
  <c r="K36" i="2"/>
  <c r="K35" i="2"/>
  <c r="K32" i="2"/>
  <c r="K31" i="2"/>
  <c r="K30" i="2"/>
  <c r="K28" i="2"/>
  <c r="K27" i="2"/>
  <c r="K26" i="2"/>
  <c r="K25" i="2"/>
  <c r="K24" i="2"/>
  <c r="K23" i="2"/>
  <c r="K22" i="2"/>
  <c r="K19" i="2"/>
  <c r="K18" i="2"/>
  <c r="K17" i="2"/>
  <c r="K16" i="2"/>
  <c r="K15" i="2"/>
  <c r="K14" i="2"/>
  <c r="K11" i="2"/>
  <c r="K9" i="2"/>
  <c r="K8" i="2"/>
  <c r="K201" i="2"/>
  <c r="K217" i="2"/>
  <c r="K216" i="2"/>
  <c r="K215" i="2"/>
  <c r="K214" i="2"/>
  <c r="K202" i="2"/>
  <c r="K209" i="2"/>
  <c r="K208" i="2"/>
  <c r="K207" i="2"/>
  <c r="K206" i="2"/>
  <c r="K205" i="2"/>
  <c r="K204" i="2"/>
  <c r="K203" i="2"/>
  <c r="G1" i="2"/>
  <c r="H1" i="2"/>
  <c r="B44" i="2"/>
  <c r="C44" i="2"/>
  <c r="D44" i="2"/>
  <c r="F44" i="2"/>
  <c r="J44" i="2"/>
  <c r="M44" i="2"/>
  <c r="O44" i="2" s="1"/>
  <c r="N44" i="2"/>
  <c r="R44" i="2"/>
  <c r="W44" i="2"/>
  <c r="B35" i="2"/>
  <c r="C35" i="2"/>
  <c r="D35" i="2"/>
  <c r="F35" i="2"/>
  <c r="J35" i="2"/>
  <c r="L35" i="2" s="1"/>
  <c r="M35" i="2"/>
  <c r="O35" i="2" s="1"/>
  <c r="N35" i="2"/>
  <c r="R35" i="2"/>
  <c r="W35" i="2"/>
  <c r="B15" i="2"/>
  <c r="C15" i="2"/>
  <c r="D15" i="2"/>
  <c r="F15" i="2"/>
  <c r="J15" i="2"/>
  <c r="M15" i="2"/>
  <c r="O15" i="2" s="1"/>
  <c r="N15" i="2"/>
  <c r="R15" i="2"/>
  <c r="W15" i="2"/>
  <c r="B105" i="2"/>
  <c r="C105" i="2"/>
  <c r="D105" i="2"/>
  <c r="F105" i="2"/>
  <c r="J105" i="2"/>
  <c r="L105" i="2" s="1"/>
  <c r="M105" i="2"/>
  <c r="O105" i="2" s="1"/>
  <c r="N105" i="2"/>
  <c r="R105" i="2"/>
  <c r="W105" i="2"/>
  <c r="B14" i="2"/>
  <c r="C14" i="2"/>
  <c r="D14" i="2"/>
  <c r="F14" i="2"/>
  <c r="J14" i="2"/>
  <c r="L14" i="2" s="1"/>
  <c r="M14" i="2"/>
  <c r="O14" i="2" s="1"/>
  <c r="N14" i="2"/>
  <c r="R14" i="2"/>
  <c r="W14" i="2"/>
  <c r="B16" i="2"/>
  <c r="C16" i="2"/>
  <c r="D16" i="2"/>
  <c r="F16" i="2"/>
  <c r="J16" i="2"/>
  <c r="L16" i="2" s="1"/>
  <c r="M16" i="2"/>
  <c r="O16" i="2" s="1"/>
  <c r="N16" i="2"/>
  <c r="R16" i="2"/>
  <c r="W16" i="2"/>
  <c r="B17" i="2"/>
  <c r="C17" i="2"/>
  <c r="D17" i="2"/>
  <c r="F17" i="2"/>
  <c r="J17" i="2"/>
  <c r="L17" i="2" s="1"/>
  <c r="Q17" i="2" s="1"/>
  <c r="M17" i="2"/>
  <c r="O17" i="2" s="1"/>
  <c r="N17" i="2"/>
  <c r="R17" i="2"/>
  <c r="W17" i="2"/>
  <c r="B109" i="2"/>
  <c r="C109" i="2"/>
  <c r="D109" i="2"/>
  <c r="F109" i="2"/>
  <c r="J109" i="2"/>
  <c r="K109" i="2" s="1"/>
  <c r="L109" i="2" s="1"/>
  <c r="M109" i="2"/>
  <c r="O109" i="2" s="1"/>
  <c r="N109" i="2"/>
  <c r="R109" i="2"/>
  <c r="W109" i="2"/>
  <c r="B18" i="2"/>
  <c r="C18" i="2"/>
  <c r="D18" i="2"/>
  <c r="F18" i="2"/>
  <c r="J18" i="2"/>
  <c r="L18" i="2" s="1"/>
  <c r="Q18" i="2" s="1"/>
  <c r="M18" i="2"/>
  <c r="O18" i="2" s="1"/>
  <c r="N18" i="2"/>
  <c r="R18" i="2"/>
  <c r="W18" i="2"/>
  <c r="B22" i="2"/>
  <c r="C22" i="2"/>
  <c r="D22" i="2"/>
  <c r="F22" i="2"/>
  <c r="J22" i="2"/>
  <c r="L22" i="2" s="1"/>
  <c r="Q22" i="2" s="1"/>
  <c r="M22" i="2"/>
  <c r="O22" i="2" s="1"/>
  <c r="N22" i="2"/>
  <c r="R22" i="2"/>
  <c r="W22" i="2"/>
  <c r="B23" i="2"/>
  <c r="C23" i="2"/>
  <c r="D23" i="2"/>
  <c r="F23" i="2"/>
  <c r="J23" i="2"/>
  <c r="L23" i="2" s="1"/>
  <c r="Q23" i="2" s="1"/>
  <c r="M23" i="2"/>
  <c r="O23" i="2" s="1"/>
  <c r="N23" i="2"/>
  <c r="R23" i="2"/>
  <c r="W23" i="2"/>
  <c r="B24" i="2"/>
  <c r="C24" i="2"/>
  <c r="D24" i="2"/>
  <c r="F24" i="2"/>
  <c r="J24" i="2"/>
  <c r="L24" i="2" s="1"/>
  <c r="Q24" i="2" s="1"/>
  <c r="M24" i="2"/>
  <c r="O24" i="2" s="1"/>
  <c r="N24" i="2"/>
  <c r="R24" i="2"/>
  <c r="W24" i="2"/>
  <c r="B25" i="2"/>
  <c r="C25" i="2"/>
  <c r="D25" i="2"/>
  <c r="F25" i="2"/>
  <c r="J25" i="2"/>
  <c r="L25" i="2" s="1"/>
  <c r="Q25" i="2" s="1"/>
  <c r="M25" i="2"/>
  <c r="O25" i="2" s="1"/>
  <c r="N25" i="2"/>
  <c r="R25" i="2"/>
  <c r="W25" i="2"/>
  <c r="B26" i="2"/>
  <c r="C26" i="2"/>
  <c r="D26" i="2"/>
  <c r="F26" i="2"/>
  <c r="J26" i="2"/>
  <c r="M26" i="2"/>
  <c r="O26" i="2" s="1"/>
  <c r="N26" i="2"/>
  <c r="R26" i="2"/>
  <c r="W26" i="2"/>
  <c r="B34" i="2"/>
  <c r="C34" i="2"/>
  <c r="D34" i="2"/>
  <c r="F34" i="2"/>
  <c r="J34" i="2"/>
  <c r="K34" i="2" s="1"/>
  <c r="L34" i="2" s="1"/>
  <c r="Q34" i="2" s="1"/>
  <c r="M34" i="2"/>
  <c r="O34" i="2" s="1"/>
  <c r="N34" i="2"/>
  <c r="R34" i="2"/>
  <c r="W34" i="2"/>
  <c r="B106" i="2"/>
  <c r="C106" i="2"/>
  <c r="D106" i="2"/>
  <c r="F106" i="2"/>
  <c r="J106" i="2"/>
  <c r="L106" i="2" s="1"/>
  <c r="Q106" i="2" s="1"/>
  <c r="M106" i="2"/>
  <c r="O106" i="2" s="1"/>
  <c r="N106" i="2"/>
  <c r="R106" i="2"/>
  <c r="W106" i="2"/>
  <c r="B116" i="2"/>
  <c r="C116" i="2"/>
  <c r="D116" i="2"/>
  <c r="F116" i="2"/>
  <c r="J116" i="2"/>
  <c r="K116" i="2" s="1"/>
  <c r="L116" i="2" s="1"/>
  <c r="M116" i="2"/>
  <c r="O116" i="2" s="1"/>
  <c r="N116" i="2"/>
  <c r="R116" i="2"/>
  <c r="W116" i="2"/>
  <c r="B126" i="2"/>
  <c r="C126" i="2"/>
  <c r="D126" i="2"/>
  <c r="F126" i="2"/>
  <c r="J126" i="2"/>
  <c r="K126" i="2" s="1"/>
  <c r="L126" i="2" s="1"/>
  <c r="Q126" i="2" s="1"/>
  <c r="M126" i="2"/>
  <c r="O126" i="2" s="1"/>
  <c r="N126" i="2"/>
  <c r="R126" i="2"/>
  <c r="W126" i="2"/>
  <c r="B127" i="2"/>
  <c r="C127" i="2"/>
  <c r="D127" i="2"/>
  <c r="F127" i="2"/>
  <c r="J127" i="2"/>
  <c r="K127" i="2" s="1"/>
  <c r="L127" i="2" s="1"/>
  <c r="Q127" i="2" s="1"/>
  <c r="M127" i="2"/>
  <c r="O127" i="2" s="1"/>
  <c r="N127" i="2"/>
  <c r="R127" i="2"/>
  <c r="W127" i="2"/>
  <c r="B128" i="2"/>
  <c r="C128" i="2"/>
  <c r="D128" i="2"/>
  <c r="F128" i="2"/>
  <c r="J128" i="2"/>
  <c r="K128" i="2" s="1"/>
  <c r="L128" i="2" s="1"/>
  <c r="M128" i="2"/>
  <c r="O128" i="2" s="1"/>
  <c r="N128" i="2"/>
  <c r="R128" i="2"/>
  <c r="W128" i="2"/>
  <c r="B129" i="2"/>
  <c r="C129" i="2"/>
  <c r="D129" i="2"/>
  <c r="F129" i="2"/>
  <c r="J129" i="2"/>
  <c r="K129" i="2" s="1"/>
  <c r="L129" i="2" s="1"/>
  <c r="M129" i="2"/>
  <c r="O129" i="2" s="1"/>
  <c r="N129" i="2"/>
  <c r="R129" i="2"/>
  <c r="W129" i="2"/>
  <c r="B50" i="2"/>
  <c r="C50" i="2"/>
  <c r="D50" i="2"/>
  <c r="F50" i="2"/>
  <c r="J50" i="2"/>
  <c r="L50" i="2" s="1"/>
  <c r="Q50" i="2" s="1"/>
  <c r="M50" i="2"/>
  <c r="O50" i="2" s="1"/>
  <c r="N50" i="2"/>
  <c r="R50" i="2"/>
  <c r="W50" i="2"/>
  <c r="B45" i="2"/>
  <c r="C45" i="2"/>
  <c r="D45" i="2"/>
  <c r="F45" i="2"/>
  <c r="J45" i="2"/>
  <c r="L45" i="2" s="1"/>
  <c r="Q45" i="2" s="1"/>
  <c r="M45" i="2"/>
  <c r="O45" i="2" s="1"/>
  <c r="N45" i="2"/>
  <c r="R45" i="2"/>
  <c r="W45" i="2"/>
  <c r="B140" i="2"/>
  <c r="C140" i="2"/>
  <c r="D140" i="2"/>
  <c r="F140" i="2"/>
  <c r="J140" i="2"/>
  <c r="K140" i="2" s="1"/>
  <c r="L140" i="2" s="1"/>
  <c r="Q140" i="2" s="1"/>
  <c r="M140" i="2"/>
  <c r="O140" i="2" s="1"/>
  <c r="N140" i="2"/>
  <c r="R140" i="2"/>
  <c r="W140" i="2"/>
  <c r="B117" i="2"/>
  <c r="C117" i="2"/>
  <c r="D117" i="2"/>
  <c r="F117" i="2"/>
  <c r="J117" i="2"/>
  <c r="K117" i="2" s="1"/>
  <c r="L117" i="2" s="1"/>
  <c r="M117" i="2"/>
  <c r="O117" i="2" s="1"/>
  <c r="N117" i="2"/>
  <c r="R117" i="2"/>
  <c r="W117" i="2"/>
  <c r="B139" i="2"/>
  <c r="C139" i="2"/>
  <c r="D139" i="2"/>
  <c r="F139" i="2"/>
  <c r="J139" i="2"/>
  <c r="K139" i="2" s="1"/>
  <c r="L139" i="2" s="1"/>
  <c r="M139" i="2"/>
  <c r="O139" i="2" s="1"/>
  <c r="N139" i="2"/>
  <c r="R139" i="2"/>
  <c r="W139" i="2"/>
  <c r="B71" i="2"/>
  <c r="C71" i="2"/>
  <c r="D71" i="2"/>
  <c r="F71" i="2"/>
  <c r="J71" i="2"/>
  <c r="K71" i="2" s="1"/>
  <c r="L71" i="2" s="1"/>
  <c r="Q71" i="2" s="1"/>
  <c r="M71" i="2"/>
  <c r="O71" i="2" s="1"/>
  <c r="N71" i="2"/>
  <c r="R71" i="2"/>
  <c r="W71" i="2"/>
  <c r="B130" i="2"/>
  <c r="C130" i="2"/>
  <c r="D130" i="2"/>
  <c r="F130" i="2"/>
  <c r="J130" i="2"/>
  <c r="K130" i="2" s="1"/>
  <c r="L130" i="2" s="1"/>
  <c r="Q130" i="2" s="1"/>
  <c r="M130" i="2"/>
  <c r="O130" i="2" s="1"/>
  <c r="N130" i="2"/>
  <c r="R130" i="2"/>
  <c r="W130" i="2"/>
  <c r="B131" i="2"/>
  <c r="C131" i="2"/>
  <c r="D131" i="2"/>
  <c r="F131" i="2"/>
  <c r="J131" i="2"/>
  <c r="K131" i="2" s="1"/>
  <c r="L131" i="2" s="1"/>
  <c r="M131" i="2"/>
  <c r="O131" i="2" s="1"/>
  <c r="N131" i="2"/>
  <c r="R131" i="2"/>
  <c r="W131" i="2"/>
  <c r="B132" i="2"/>
  <c r="C132" i="2"/>
  <c r="D132" i="2"/>
  <c r="F132" i="2"/>
  <c r="J132" i="2"/>
  <c r="K132" i="2" s="1"/>
  <c r="L132" i="2" s="1"/>
  <c r="Q132" i="2" s="1"/>
  <c r="M132" i="2"/>
  <c r="O132" i="2" s="1"/>
  <c r="N132" i="2"/>
  <c r="R132" i="2"/>
  <c r="W132" i="2"/>
  <c r="B166" i="2"/>
  <c r="C166" i="2"/>
  <c r="D166" i="2"/>
  <c r="F166" i="2"/>
  <c r="J166" i="2"/>
  <c r="L166" i="2" s="1"/>
  <c r="Q166" i="2" s="1"/>
  <c r="M166" i="2"/>
  <c r="O166" i="2" s="1"/>
  <c r="N166" i="2"/>
  <c r="R166" i="2"/>
  <c r="W166" i="2"/>
  <c r="B118" i="2"/>
  <c r="C118" i="2"/>
  <c r="D118" i="2"/>
  <c r="F118" i="2"/>
  <c r="J118" i="2"/>
  <c r="L118" i="2" s="1"/>
  <c r="M118" i="2"/>
  <c r="O118" i="2" s="1"/>
  <c r="N118" i="2"/>
  <c r="R118" i="2"/>
  <c r="W118" i="2"/>
  <c r="B175" i="2"/>
  <c r="C175" i="2"/>
  <c r="D175" i="2"/>
  <c r="F175" i="2"/>
  <c r="J175" i="2"/>
  <c r="K175" i="2" s="1"/>
  <c r="L175" i="2" s="1"/>
  <c r="M175" i="2"/>
  <c r="O175" i="2" s="1"/>
  <c r="N175" i="2"/>
  <c r="R175" i="2"/>
  <c r="W175" i="2"/>
  <c r="B133" i="2"/>
  <c r="C133" i="2"/>
  <c r="D133" i="2"/>
  <c r="F133" i="2"/>
  <c r="J133" i="2"/>
  <c r="L133" i="2" s="1"/>
  <c r="M133" i="2"/>
  <c r="O133" i="2" s="1"/>
  <c r="N133" i="2"/>
  <c r="R133" i="2"/>
  <c r="W133" i="2"/>
  <c r="B177" i="2"/>
  <c r="C177" i="2"/>
  <c r="D177" i="2"/>
  <c r="F177" i="2"/>
  <c r="J177" i="2"/>
  <c r="K177" i="2" s="1"/>
  <c r="L177" i="2" s="1"/>
  <c r="Q177" i="2" s="1"/>
  <c r="M177" i="2"/>
  <c r="O177" i="2" s="1"/>
  <c r="N177" i="2"/>
  <c r="R177" i="2"/>
  <c r="W177" i="2"/>
  <c r="B110" i="2"/>
  <c r="C110" i="2"/>
  <c r="D110" i="2"/>
  <c r="F110" i="2"/>
  <c r="J110" i="2"/>
  <c r="K110" i="2" s="1"/>
  <c r="L110" i="2" s="1"/>
  <c r="Q110" i="2" s="1"/>
  <c r="M110" i="2"/>
  <c r="O110" i="2" s="1"/>
  <c r="N110" i="2"/>
  <c r="R110" i="2"/>
  <c r="W110" i="2"/>
  <c r="B112" i="2"/>
  <c r="C112" i="2"/>
  <c r="D112" i="2"/>
  <c r="F112" i="2"/>
  <c r="J112" i="2"/>
  <c r="L112" i="2" s="1"/>
  <c r="M112" i="2"/>
  <c r="O112" i="2" s="1"/>
  <c r="N112" i="2"/>
  <c r="R112" i="2"/>
  <c r="W112" i="2"/>
  <c r="B107" i="2"/>
  <c r="C107" i="2"/>
  <c r="D107" i="2"/>
  <c r="F107" i="2"/>
  <c r="J107" i="2"/>
  <c r="L107" i="2" s="1"/>
  <c r="M107" i="2"/>
  <c r="O107" i="2" s="1"/>
  <c r="N107" i="2"/>
  <c r="R107" i="2"/>
  <c r="W107" i="2"/>
  <c r="B72" i="2"/>
  <c r="C72" i="2"/>
  <c r="D72" i="2"/>
  <c r="F72" i="2"/>
  <c r="J72" i="2"/>
  <c r="K72" i="2" s="1"/>
  <c r="L72" i="2" s="1"/>
  <c r="Q72" i="2" s="1"/>
  <c r="M72" i="2"/>
  <c r="O72" i="2" s="1"/>
  <c r="N72" i="2"/>
  <c r="R72" i="2"/>
  <c r="W72" i="2"/>
  <c r="B135" i="2"/>
  <c r="C135" i="2"/>
  <c r="D135" i="2"/>
  <c r="F135" i="2"/>
  <c r="J135" i="2"/>
  <c r="L135" i="2" s="1"/>
  <c r="Q135" i="2" s="1"/>
  <c r="M135" i="2"/>
  <c r="O135" i="2" s="1"/>
  <c r="N135" i="2"/>
  <c r="R135" i="2"/>
  <c r="W135" i="2"/>
  <c r="B141" i="2"/>
  <c r="C141" i="2"/>
  <c r="D141" i="2"/>
  <c r="F141" i="2"/>
  <c r="J141" i="2"/>
  <c r="K141" i="2" s="1"/>
  <c r="L141" i="2" s="1"/>
  <c r="Q141" i="2" s="1"/>
  <c r="M141" i="2"/>
  <c r="O141" i="2" s="1"/>
  <c r="N141" i="2"/>
  <c r="R141" i="2"/>
  <c r="W141" i="2"/>
  <c r="B142" i="2"/>
  <c r="C142" i="2"/>
  <c r="D142" i="2"/>
  <c r="F142" i="2"/>
  <c r="J142" i="2"/>
  <c r="K142" i="2" s="1"/>
  <c r="L142" i="2" s="1"/>
  <c r="Q142" i="2" s="1"/>
  <c r="M142" i="2"/>
  <c r="O142" i="2" s="1"/>
  <c r="N142" i="2"/>
  <c r="R142" i="2"/>
  <c r="W142" i="2"/>
  <c r="B3" i="2"/>
  <c r="C3" i="2"/>
  <c r="D3" i="2"/>
  <c r="F3" i="2"/>
  <c r="J3" i="2"/>
  <c r="M3" i="2"/>
  <c r="O3" i="2" s="1"/>
  <c r="N3" i="2"/>
  <c r="K3" i="2" s="1"/>
  <c r="R3" i="2"/>
  <c r="W3" i="2"/>
  <c r="B143" i="2"/>
  <c r="C143" i="2"/>
  <c r="D143" i="2"/>
  <c r="F143" i="2"/>
  <c r="J143" i="2"/>
  <c r="K143" i="2" s="1"/>
  <c r="L143" i="2" s="1"/>
  <c r="M143" i="2"/>
  <c r="O143" i="2" s="1"/>
  <c r="N143" i="2"/>
  <c r="R143" i="2"/>
  <c r="W143" i="2"/>
  <c r="B75" i="2"/>
  <c r="C75" i="2"/>
  <c r="D75" i="2"/>
  <c r="F75" i="2"/>
  <c r="J75" i="2"/>
  <c r="K75" i="2" s="1"/>
  <c r="L75" i="2" s="1"/>
  <c r="M75" i="2"/>
  <c r="O75" i="2" s="1"/>
  <c r="N75" i="2"/>
  <c r="R75" i="2"/>
  <c r="W75" i="2"/>
  <c r="B76" i="2"/>
  <c r="C76" i="2"/>
  <c r="D76" i="2"/>
  <c r="F76" i="2"/>
  <c r="J76" i="2"/>
  <c r="K76" i="2" s="1"/>
  <c r="L76" i="2" s="1"/>
  <c r="M76" i="2"/>
  <c r="O76" i="2" s="1"/>
  <c r="N76" i="2"/>
  <c r="R76" i="2"/>
  <c r="W76" i="2"/>
  <c r="B77" i="2"/>
  <c r="C77" i="2"/>
  <c r="D77" i="2"/>
  <c r="F77" i="2"/>
  <c r="J77" i="2"/>
  <c r="K77" i="2" s="1"/>
  <c r="L77" i="2" s="1"/>
  <c r="Q77" i="2" s="1"/>
  <c r="M77" i="2"/>
  <c r="O77" i="2" s="1"/>
  <c r="N77" i="2"/>
  <c r="R77" i="2"/>
  <c r="W77" i="2"/>
  <c r="B144" i="2"/>
  <c r="C144" i="2"/>
  <c r="D144" i="2"/>
  <c r="F144" i="2"/>
  <c r="J144" i="2"/>
  <c r="K144" i="2" s="1"/>
  <c r="L144" i="2" s="1"/>
  <c r="M144" i="2"/>
  <c r="O144" i="2" s="1"/>
  <c r="N144" i="2"/>
  <c r="R144" i="2"/>
  <c r="W144" i="2"/>
  <c r="B145" i="2"/>
  <c r="C145" i="2"/>
  <c r="D145" i="2"/>
  <c r="F145" i="2"/>
  <c r="J145" i="2"/>
  <c r="K145" i="2" s="1"/>
  <c r="L145" i="2" s="1"/>
  <c r="M145" i="2"/>
  <c r="O145" i="2" s="1"/>
  <c r="N145" i="2"/>
  <c r="R145" i="2"/>
  <c r="W145" i="2"/>
  <c r="B146" i="2"/>
  <c r="C146" i="2"/>
  <c r="D146" i="2"/>
  <c r="F146" i="2"/>
  <c r="J146" i="2"/>
  <c r="K146" i="2" s="1"/>
  <c r="L146" i="2" s="1"/>
  <c r="M146" i="2"/>
  <c r="O146" i="2" s="1"/>
  <c r="N146" i="2"/>
  <c r="R146" i="2"/>
  <c r="W146" i="2"/>
  <c r="B147" i="2"/>
  <c r="C147" i="2"/>
  <c r="D147" i="2"/>
  <c r="F147" i="2"/>
  <c r="J147" i="2"/>
  <c r="K147" i="2" s="1"/>
  <c r="L147" i="2" s="1"/>
  <c r="Q147" i="2" s="1"/>
  <c r="M147" i="2"/>
  <c r="O147" i="2" s="1"/>
  <c r="N147" i="2"/>
  <c r="R147" i="2"/>
  <c r="W147" i="2"/>
  <c r="B148" i="2"/>
  <c r="C148" i="2"/>
  <c r="D148" i="2"/>
  <c r="F148" i="2"/>
  <c r="J148" i="2"/>
  <c r="K148" i="2" s="1"/>
  <c r="L148" i="2" s="1"/>
  <c r="Q148" i="2" s="1"/>
  <c r="M148" i="2"/>
  <c r="O148" i="2" s="1"/>
  <c r="N148" i="2"/>
  <c r="R148" i="2"/>
  <c r="W148" i="2"/>
  <c r="B149" i="2"/>
  <c r="C149" i="2"/>
  <c r="D149" i="2"/>
  <c r="F149" i="2"/>
  <c r="J149" i="2"/>
  <c r="K149" i="2" s="1"/>
  <c r="L149" i="2" s="1"/>
  <c r="Q149" i="2" s="1"/>
  <c r="M149" i="2"/>
  <c r="O149" i="2" s="1"/>
  <c r="N149" i="2"/>
  <c r="R149" i="2"/>
  <c r="W149" i="2"/>
  <c r="B159" i="2"/>
  <c r="C159" i="2"/>
  <c r="D159" i="2"/>
  <c r="F159" i="2"/>
  <c r="J159" i="2"/>
  <c r="K159" i="2" s="1"/>
  <c r="L159" i="2" s="1"/>
  <c r="Q159" i="2" s="1"/>
  <c r="M159" i="2"/>
  <c r="O159" i="2" s="1"/>
  <c r="N159" i="2"/>
  <c r="R159" i="2"/>
  <c r="W159" i="2"/>
  <c r="B99" i="2"/>
  <c r="C99" i="2"/>
  <c r="D99" i="2"/>
  <c r="F99" i="2"/>
  <c r="J99" i="2"/>
  <c r="K99" i="2" s="1"/>
  <c r="L99" i="2" s="1"/>
  <c r="Q99" i="2" s="1"/>
  <c r="M99" i="2"/>
  <c r="O99" i="2" s="1"/>
  <c r="N99" i="2"/>
  <c r="R99" i="2"/>
  <c r="W99" i="2"/>
  <c r="B78" i="2"/>
  <c r="C78" i="2"/>
  <c r="D78" i="2"/>
  <c r="F78" i="2"/>
  <c r="J78" i="2"/>
  <c r="L78" i="2" s="1"/>
  <c r="Q78" i="2" s="1"/>
  <c r="M78" i="2"/>
  <c r="O78" i="2" s="1"/>
  <c r="N78" i="2"/>
  <c r="R78" i="2"/>
  <c r="W78" i="2"/>
  <c r="B79" i="2"/>
  <c r="C79" i="2"/>
  <c r="D79" i="2"/>
  <c r="F79" i="2"/>
  <c r="J79" i="2"/>
  <c r="L79" i="2" s="1"/>
  <c r="M79" i="2"/>
  <c r="O79" i="2" s="1"/>
  <c r="N79" i="2"/>
  <c r="R79" i="2"/>
  <c r="W79" i="2"/>
  <c r="B80" i="2"/>
  <c r="C80" i="2"/>
  <c r="D80" i="2"/>
  <c r="F80" i="2"/>
  <c r="J80" i="2"/>
  <c r="K80" i="2" s="1"/>
  <c r="L80" i="2" s="1"/>
  <c r="M80" i="2"/>
  <c r="O80" i="2" s="1"/>
  <c r="N80" i="2"/>
  <c r="R80" i="2"/>
  <c r="W80" i="2"/>
  <c r="B81" i="2"/>
  <c r="C81" i="2"/>
  <c r="D81" i="2"/>
  <c r="F81" i="2"/>
  <c r="J81" i="2"/>
  <c r="K81" i="2" s="1"/>
  <c r="L81" i="2" s="1"/>
  <c r="Q81" i="2" s="1"/>
  <c r="M81" i="2"/>
  <c r="O81" i="2" s="1"/>
  <c r="N81" i="2"/>
  <c r="R81" i="2"/>
  <c r="W81" i="2"/>
  <c r="B150" i="2"/>
  <c r="C150" i="2"/>
  <c r="D150" i="2"/>
  <c r="F150" i="2"/>
  <c r="J150" i="2"/>
  <c r="K150" i="2" s="1"/>
  <c r="L150" i="2" s="1"/>
  <c r="M150" i="2"/>
  <c r="O150" i="2" s="1"/>
  <c r="N150" i="2"/>
  <c r="R150" i="2"/>
  <c r="W150" i="2"/>
  <c r="B100" i="2"/>
  <c r="C100" i="2"/>
  <c r="D100" i="2"/>
  <c r="F100" i="2"/>
  <c r="J100" i="2"/>
  <c r="K100" i="2" s="1"/>
  <c r="L100" i="2" s="1"/>
  <c r="M100" i="2"/>
  <c r="O100" i="2" s="1"/>
  <c r="N100" i="2"/>
  <c r="R100" i="2"/>
  <c r="W100" i="2"/>
  <c r="B101" i="2"/>
  <c r="C101" i="2"/>
  <c r="D101" i="2"/>
  <c r="F101" i="2"/>
  <c r="J101" i="2"/>
  <c r="K101" i="2" s="1"/>
  <c r="L101" i="2" s="1"/>
  <c r="M101" i="2"/>
  <c r="O101" i="2" s="1"/>
  <c r="N101" i="2"/>
  <c r="R101" i="2"/>
  <c r="W101" i="2"/>
  <c r="B160" i="2"/>
  <c r="C160" i="2"/>
  <c r="D160" i="2"/>
  <c r="F160" i="2"/>
  <c r="J160" i="2"/>
  <c r="K160" i="2" s="1"/>
  <c r="L160" i="2" s="1"/>
  <c r="Q160" i="2" s="1"/>
  <c r="M160" i="2"/>
  <c r="O160" i="2" s="1"/>
  <c r="N160" i="2"/>
  <c r="R160" i="2"/>
  <c r="W160" i="2"/>
  <c r="B151" i="2"/>
  <c r="C151" i="2"/>
  <c r="D151" i="2"/>
  <c r="F151" i="2"/>
  <c r="J151" i="2"/>
  <c r="K151" i="2" s="1"/>
  <c r="L151" i="2" s="1"/>
  <c r="Q151" i="2" s="1"/>
  <c r="M151" i="2"/>
  <c r="O151" i="2" s="1"/>
  <c r="N151" i="2"/>
  <c r="R151" i="2"/>
  <c r="W151" i="2"/>
  <c r="B82" i="2"/>
  <c r="C82" i="2"/>
  <c r="D82" i="2"/>
  <c r="F82" i="2"/>
  <c r="J82" i="2"/>
  <c r="K82" i="2" s="1"/>
  <c r="L82" i="2" s="1"/>
  <c r="Q82" i="2" s="1"/>
  <c r="M82" i="2"/>
  <c r="O82" i="2" s="1"/>
  <c r="N82" i="2"/>
  <c r="R82" i="2"/>
  <c r="W82" i="2"/>
  <c r="B83" i="2"/>
  <c r="C83" i="2"/>
  <c r="D83" i="2"/>
  <c r="F83" i="2"/>
  <c r="J83" i="2"/>
  <c r="L83" i="2" s="1"/>
  <c r="M83" i="2"/>
  <c r="O83" i="2" s="1"/>
  <c r="N83" i="2"/>
  <c r="R83" i="2"/>
  <c r="W83" i="2"/>
  <c r="B84" i="2"/>
  <c r="C84" i="2"/>
  <c r="D84" i="2"/>
  <c r="F84" i="2"/>
  <c r="J84" i="2"/>
  <c r="K84" i="2" s="1"/>
  <c r="L84" i="2" s="1"/>
  <c r="Q84" i="2" s="1"/>
  <c r="M84" i="2"/>
  <c r="O84" i="2" s="1"/>
  <c r="N84" i="2"/>
  <c r="R84" i="2"/>
  <c r="W84" i="2"/>
  <c r="B85" i="2"/>
  <c r="C85" i="2"/>
  <c r="D85" i="2"/>
  <c r="F85" i="2"/>
  <c r="J85" i="2"/>
  <c r="K85" i="2" s="1"/>
  <c r="L85" i="2" s="1"/>
  <c r="Q85" i="2" s="1"/>
  <c r="M85" i="2"/>
  <c r="O85" i="2" s="1"/>
  <c r="N85" i="2"/>
  <c r="R85" i="2"/>
  <c r="W85" i="2"/>
  <c r="B86" i="2"/>
  <c r="C86" i="2"/>
  <c r="D86" i="2"/>
  <c r="F86" i="2"/>
  <c r="J86" i="2"/>
  <c r="L86" i="2" s="1"/>
  <c r="M86" i="2"/>
  <c r="O86" i="2" s="1"/>
  <c r="N86" i="2"/>
  <c r="R86" i="2"/>
  <c r="W86" i="2"/>
  <c r="B87" i="2"/>
  <c r="C87" i="2"/>
  <c r="D87" i="2"/>
  <c r="F87" i="2"/>
  <c r="J87" i="2"/>
  <c r="K87" i="2" s="1"/>
  <c r="L87" i="2" s="1"/>
  <c r="M87" i="2"/>
  <c r="O87" i="2" s="1"/>
  <c r="N87" i="2"/>
  <c r="R87" i="2"/>
  <c r="W87" i="2"/>
  <c r="B97" i="2"/>
  <c r="C97" i="2"/>
  <c r="D97" i="2"/>
  <c r="F97" i="2"/>
  <c r="J97" i="2"/>
  <c r="K97" i="2" s="1"/>
  <c r="L97" i="2" s="1"/>
  <c r="Q97" i="2" s="1"/>
  <c r="M97" i="2"/>
  <c r="O97" i="2" s="1"/>
  <c r="N97" i="2"/>
  <c r="R97" i="2"/>
  <c r="W97" i="2"/>
  <c r="B88" i="2"/>
  <c r="C88" i="2"/>
  <c r="D88" i="2"/>
  <c r="F88" i="2"/>
  <c r="J88" i="2"/>
  <c r="L88" i="2" s="1"/>
  <c r="M88" i="2"/>
  <c r="O88" i="2" s="1"/>
  <c r="N88" i="2"/>
  <c r="R88" i="2"/>
  <c r="W88" i="2"/>
  <c r="B89" i="2"/>
  <c r="C89" i="2"/>
  <c r="D89" i="2"/>
  <c r="F89" i="2"/>
  <c r="J89" i="2"/>
  <c r="M89" i="2"/>
  <c r="O89" i="2" s="1"/>
  <c r="N89" i="2"/>
  <c r="R89" i="2"/>
  <c r="W89" i="2"/>
  <c r="B98" i="2"/>
  <c r="C98" i="2"/>
  <c r="D98" i="2"/>
  <c r="F98" i="2"/>
  <c r="J98" i="2"/>
  <c r="K98" i="2" s="1"/>
  <c r="L98" i="2" s="1"/>
  <c r="M98" i="2"/>
  <c r="O98" i="2" s="1"/>
  <c r="N98" i="2"/>
  <c r="R98" i="2"/>
  <c r="W98" i="2"/>
  <c r="B90" i="2"/>
  <c r="C90" i="2"/>
  <c r="D90" i="2"/>
  <c r="F90" i="2"/>
  <c r="J90" i="2"/>
  <c r="L90" i="2" s="1"/>
  <c r="Q90" i="2" s="1"/>
  <c r="M90" i="2"/>
  <c r="O90" i="2" s="1"/>
  <c r="N90" i="2"/>
  <c r="R90" i="2"/>
  <c r="W90" i="2"/>
  <c r="B152" i="2"/>
  <c r="C152" i="2"/>
  <c r="D152" i="2"/>
  <c r="F152" i="2"/>
  <c r="J152" i="2"/>
  <c r="K152" i="2" s="1"/>
  <c r="L152" i="2" s="1"/>
  <c r="Q152" i="2" s="1"/>
  <c r="M152" i="2"/>
  <c r="O152" i="2" s="1"/>
  <c r="N152" i="2"/>
  <c r="R152" i="2"/>
  <c r="W152" i="2"/>
  <c r="B137" i="2"/>
  <c r="C137" i="2"/>
  <c r="D137" i="2"/>
  <c r="F137" i="2"/>
  <c r="J137" i="2"/>
  <c r="K137" i="2" s="1"/>
  <c r="L137" i="2" s="1"/>
  <c r="Q137" i="2" s="1"/>
  <c r="M137" i="2"/>
  <c r="O137" i="2" s="1"/>
  <c r="N137" i="2"/>
  <c r="R137" i="2"/>
  <c r="W137" i="2"/>
  <c r="B153" i="2"/>
  <c r="C153" i="2"/>
  <c r="D153" i="2"/>
  <c r="F153" i="2"/>
  <c r="J153" i="2"/>
  <c r="K153" i="2" s="1"/>
  <c r="L153" i="2" s="1"/>
  <c r="M153" i="2"/>
  <c r="O153" i="2" s="1"/>
  <c r="N153" i="2"/>
  <c r="R153" i="2"/>
  <c r="W153" i="2"/>
  <c r="B154" i="2"/>
  <c r="C154" i="2"/>
  <c r="D154" i="2"/>
  <c r="F154" i="2"/>
  <c r="J154" i="2"/>
  <c r="K154" i="2" s="1"/>
  <c r="L154" i="2" s="1"/>
  <c r="Q154" i="2" s="1"/>
  <c r="M154" i="2"/>
  <c r="O154" i="2" s="1"/>
  <c r="N154" i="2"/>
  <c r="R154" i="2"/>
  <c r="W154" i="2"/>
  <c r="B155" i="2"/>
  <c r="C155" i="2"/>
  <c r="D155" i="2"/>
  <c r="F155" i="2"/>
  <c r="J155" i="2"/>
  <c r="K155" i="2" s="1"/>
  <c r="L155" i="2" s="1"/>
  <c r="Q155" i="2" s="1"/>
  <c r="M155" i="2"/>
  <c r="O155" i="2" s="1"/>
  <c r="N155" i="2"/>
  <c r="R155" i="2"/>
  <c r="W155" i="2"/>
  <c r="B161" i="2"/>
  <c r="C161" i="2"/>
  <c r="D161" i="2"/>
  <c r="F161" i="2"/>
  <c r="J161" i="2"/>
  <c r="K161" i="2" s="1"/>
  <c r="L161" i="2" s="1"/>
  <c r="M161" i="2"/>
  <c r="O161" i="2" s="1"/>
  <c r="N161" i="2"/>
  <c r="R161" i="2"/>
  <c r="W161" i="2"/>
  <c r="B102" i="2"/>
  <c r="C102" i="2"/>
  <c r="D102" i="2"/>
  <c r="F102" i="2"/>
  <c r="J102" i="2"/>
  <c r="K102" i="2" s="1"/>
  <c r="L102" i="2" s="1"/>
  <c r="Q102" i="2" s="1"/>
  <c r="M102" i="2"/>
  <c r="O102" i="2" s="1"/>
  <c r="N102" i="2"/>
  <c r="R102" i="2"/>
  <c r="W102" i="2"/>
  <c r="B103" i="2"/>
  <c r="C103" i="2"/>
  <c r="D103" i="2"/>
  <c r="F103" i="2"/>
  <c r="J103" i="2"/>
  <c r="K103" i="2" s="1"/>
  <c r="L103" i="2" s="1"/>
  <c r="Q103" i="2" s="1"/>
  <c r="M103" i="2"/>
  <c r="O103" i="2" s="1"/>
  <c r="N103" i="2"/>
  <c r="R103" i="2"/>
  <c r="W103" i="2"/>
  <c r="B176" i="2"/>
  <c r="C176" i="2"/>
  <c r="D176" i="2"/>
  <c r="F176" i="2"/>
  <c r="J176" i="2"/>
  <c r="K176" i="2" s="1"/>
  <c r="L176" i="2" s="1"/>
  <c r="M176" i="2"/>
  <c r="O176" i="2" s="1"/>
  <c r="N176" i="2"/>
  <c r="R176" i="2"/>
  <c r="W176" i="2"/>
  <c r="B180" i="2"/>
  <c r="C180" i="2"/>
  <c r="D180" i="2"/>
  <c r="F180" i="2"/>
  <c r="J180" i="2"/>
  <c r="K180" i="2" s="1"/>
  <c r="L180" i="2" s="1"/>
  <c r="M180" i="2"/>
  <c r="O180" i="2" s="1"/>
  <c r="N180" i="2"/>
  <c r="R180" i="2"/>
  <c r="W180" i="2"/>
  <c r="B181" i="2"/>
  <c r="C181" i="2"/>
  <c r="D181" i="2"/>
  <c r="F181" i="2"/>
  <c r="J181" i="2"/>
  <c r="K181" i="2" s="1"/>
  <c r="L181" i="2" s="1"/>
  <c r="Q181" i="2" s="1"/>
  <c r="M181" i="2"/>
  <c r="O181" i="2" s="1"/>
  <c r="N181" i="2"/>
  <c r="R181" i="2"/>
  <c r="W181" i="2"/>
  <c r="B182" i="2"/>
  <c r="C182" i="2"/>
  <c r="D182" i="2"/>
  <c r="F182" i="2"/>
  <c r="J182" i="2"/>
  <c r="K182" i="2" s="1"/>
  <c r="L182" i="2" s="1"/>
  <c r="M182" i="2"/>
  <c r="O182" i="2" s="1"/>
  <c r="N182" i="2"/>
  <c r="R182" i="2"/>
  <c r="W182" i="2"/>
  <c r="B183" i="2"/>
  <c r="C183" i="2"/>
  <c r="D183" i="2"/>
  <c r="F183" i="2"/>
  <c r="J183" i="2"/>
  <c r="K183" i="2" s="1"/>
  <c r="L183" i="2" s="1"/>
  <c r="Q183" i="2" s="1"/>
  <c r="U183" i="2" s="1"/>
  <c r="M183" i="2"/>
  <c r="O183" i="2" s="1"/>
  <c r="N183" i="2"/>
  <c r="R183" i="2"/>
  <c r="W183" i="2"/>
  <c r="B184" i="2"/>
  <c r="C184" i="2"/>
  <c r="D184" i="2"/>
  <c r="F184" i="2"/>
  <c r="J184" i="2"/>
  <c r="K184" i="2" s="1"/>
  <c r="L184" i="2" s="1"/>
  <c r="Q184" i="2" s="1"/>
  <c r="U184" i="2" s="1"/>
  <c r="M184" i="2"/>
  <c r="O184" i="2" s="1"/>
  <c r="N184" i="2"/>
  <c r="R184" i="2"/>
  <c r="W184" i="2"/>
  <c r="B185" i="2"/>
  <c r="C185" i="2"/>
  <c r="D185" i="2"/>
  <c r="F185" i="2"/>
  <c r="J185" i="2"/>
  <c r="K185" i="2" s="1"/>
  <c r="L185" i="2" s="1"/>
  <c r="Q185" i="2" s="1"/>
  <c r="U185" i="2" s="1"/>
  <c r="M185" i="2"/>
  <c r="O185" i="2" s="1"/>
  <c r="N185" i="2"/>
  <c r="R185" i="2"/>
  <c r="W185" i="2"/>
  <c r="B186" i="2"/>
  <c r="C186" i="2"/>
  <c r="D186" i="2"/>
  <c r="F186" i="2"/>
  <c r="J186" i="2"/>
  <c r="K186" i="2" s="1"/>
  <c r="L186" i="2" s="1"/>
  <c r="Q186" i="2" s="1"/>
  <c r="M186" i="2"/>
  <c r="O186" i="2" s="1"/>
  <c r="N186" i="2"/>
  <c r="R186" i="2"/>
  <c r="W186" i="2"/>
  <c r="B187" i="2"/>
  <c r="C187" i="2"/>
  <c r="D187" i="2"/>
  <c r="F187" i="2"/>
  <c r="J187" i="2"/>
  <c r="K187" i="2" s="1"/>
  <c r="L187" i="2" s="1"/>
  <c r="Q187" i="2" s="1"/>
  <c r="M187" i="2"/>
  <c r="O187" i="2" s="1"/>
  <c r="N187" i="2"/>
  <c r="R187" i="2"/>
  <c r="W187" i="2"/>
  <c r="B188" i="2"/>
  <c r="C188" i="2"/>
  <c r="D188" i="2"/>
  <c r="F188" i="2"/>
  <c r="J188" i="2"/>
  <c r="K188" i="2" s="1"/>
  <c r="L188" i="2" s="1"/>
  <c r="Q188" i="2" s="1"/>
  <c r="V188" i="2" s="1"/>
  <c r="M188" i="2"/>
  <c r="O188" i="2" s="1"/>
  <c r="N188" i="2"/>
  <c r="R188" i="2"/>
  <c r="W188" i="2"/>
  <c r="B189" i="2"/>
  <c r="C189" i="2"/>
  <c r="D189" i="2"/>
  <c r="F189" i="2"/>
  <c r="J189" i="2"/>
  <c r="K189" i="2" s="1"/>
  <c r="L189" i="2" s="1"/>
  <c r="Q189" i="2" s="1"/>
  <c r="M189" i="2"/>
  <c r="O189" i="2" s="1"/>
  <c r="N189" i="2"/>
  <c r="R189" i="2"/>
  <c r="W189" i="2"/>
  <c r="B190" i="2"/>
  <c r="C190" i="2"/>
  <c r="D190" i="2"/>
  <c r="F190" i="2"/>
  <c r="J190" i="2"/>
  <c r="K190" i="2" s="1"/>
  <c r="L190" i="2" s="1"/>
  <c r="Q190" i="2" s="1"/>
  <c r="M190" i="2"/>
  <c r="O190" i="2" s="1"/>
  <c r="N190" i="2"/>
  <c r="R190" i="2"/>
  <c r="W190" i="2"/>
  <c r="B191" i="2"/>
  <c r="C191" i="2"/>
  <c r="D191" i="2"/>
  <c r="F191" i="2"/>
  <c r="J191" i="2"/>
  <c r="K191" i="2" s="1"/>
  <c r="L191" i="2" s="1"/>
  <c r="M191" i="2"/>
  <c r="O191" i="2" s="1"/>
  <c r="N191" i="2"/>
  <c r="R191" i="2"/>
  <c r="W191" i="2"/>
  <c r="B192" i="2"/>
  <c r="C192" i="2"/>
  <c r="D192" i="2"/>
  <c r="F192" i="2"/>
  <c r="J192" i="2"/>
  <c r="K192" i="2" s="1"/>
  <c r="L192" i="2" s="1"/>
  <c r="M192" i="2"/>
  <c r="O192" i="2" s="1"/>
  <c r="N192" i="2"/>
  <c r="R192" i="2"/>
  <c r="W192" i="2"/>
  <c r="B193" i="2"/>
  <c r="C193" i="2"/>
  <c r="D193" i="2"/>
  <c r="F193" i="2"/>
  <c r="J193" i="2"/>
  <c r="K193" i="2" s="1"/>
  <c r="L193" i="2" s="1"/>
  <c r="Q193" i="2" s="1"/>
  <c r="M193" i="2"/>
  <c r="O193" i="2" s="1"/>
  <c r="N193" i="2"/>
  <c r="R193" i="2"/>
  <c r="W193" i="2"/>
  <c r="B194" i="2"/>
  <c r="C194" i="2"/>
  <c r="D194" i="2"/>
  <c r="F194" i="2"/>
  <c r="J194" i="2"/>
  <c r="K194" i="2" s="1"/>
  <c r="L194" i="2" s="1"/>
  <c r="M194" i="2"/>
  <c r="O194" i="2" s="1"/>
  <c r="N194" i="2"/>
  <c r="R194" i="2"/>
  <c r="W194" i="2"/>
  <c r="B196" i="2"/>
  <c r="C196" i="2"/>
  <c r="D196" i="2"/>
  <c r="F196" i="2"/>
  <c r="J196" i="2"/>
  <c r="K196" i="2" s="1"/>
  <c r="L196" i="2" s="1"/>
  <c r="Q196" i="2" s="1"/>
  <c r="M196" i="2"/>
  <c r="O196" i="2" s="1"/>
  <c r="N196" i="2"/>
  <c r="R196" i="2"/>
  <c r="W196" i="2"/>
  <c r="B195" i="2"/>
  <c r="C195" i="2"/>
  <c r="D195" i="2"/>
  <c r="F195" i="2"/>
  <c r="J195" i="2"/>
  <c r="K195" i="2" s="1"/>
  <c r="L195" i="2" s="1"/>
  <c r="Q195" i="2" s="1"/>
  <c r="M195" i="2"/>
  <c r="O195" i="2" s="1"/>
  <c r="N195" i="2"/>
  <c r="R195" i="2"/>
  <c r="W195" i="2"/>
  <c r="B46" i="2"/>
  <c r="C46" i="2"/>
  <c r="D46" i="2"/>
  <c r="F46" i="2"/>
  <c r="J46" i="2"/>
  <c r="L46" i="2" s="1"/>
  <c r="M46" i="2"/>
  <c r="O46" i="2" s="1"/>
  <c r="N46" i="2"/>
  <c r="R46" i="2"/>
  <c r="W46" i="2"/>
  <c r="B119" i="2"/>
  <c r="C119" i="2"/>
  <c r="D119" i="2"/>
  <c r="F119" i="2"/>
  <c r="J119" i="2"/>
  <c r="L119" i="2" s="1"/>
  <c r="Q119" i="2" s="1"/>
  <c r="U119" i="2" s="1"/>
  <c r="M119" i="2"/>
  <c r="O119" i="2" s="1"/>
  <c r="N119" i="2"/>
  <c r="R119" i="2"/>
  <c r="W119" i="2"/>
  <c r="B120" i="2"/>
  <c r="C120" i="2"/>
  <c r="D120" i="2"/>
  <c r="F120" i="2"/>
  <c r="J120" i="2"/>
  <c r="M120" i="2"/>
  <c r="O120" i="2" s="1"/>
  <c r="N120" i="2"/>
  <c r="R120" i="2"/>
  <c r="W120" i="2"/>
  <c r="B121" i="2"/>
  <c r="C121" i="2"/>
  <c r="D121" i="2"/>
  <c r="F121" i="2"/>
  <c r="J121" i="2"/>
  <c r="M121" i="2"/>
  <c r="O121" i="2" s="1"/>
  <c r="N121" i="2"/>
  <c r="R121" i="2"/>
  <c r="W121" i="2"/>
  <c r="B122" i="2"/>
  <c r="C122" i="2"/>
  <c r="D122" i="2"/>
  <c r="F122" i="2"/>
  <c r="J122" i="2"/>
  <c r="L122" i="2" s="1"/>
  <c r="Q122" i="2" s="1"/>
  <c r="M122" i="2"/>
  <c r="O122" i="2" s="1"/>
  <c r="N122" i="2"/>
  <c r="R122" i="2"/>
  <c r="W122" i="2"/>
  <c r="B36" i="2"/>
  <c r="C36" i="2"/>
  <c r="D36" i="2"/>
  <c r="F36" i="2"/>
  <c r="J36" i="2"/>
  <c r="L36" i="2" s="1"/>
  <c r="M36" i="2"/>
  <c r="O36" i="2" s="1"/>
  <c r="N36" i="2"/>
  <c r="R36" i="2"/>
  <c r="W36" i="2"/>
  <c r="B47" i="2"/>
  <c r="C47" i="2"/>
  <c r="D47" i="2"/>
  <c r="F47" i="2"/>
  <c r="J47" i="2"/>
  <c r="L47" i="2" s="1"/>
  <c r="Q47" i="2" s="1"/>
  <c r="M47" i="2"/>
  <c r="O47" i="2" s="1"/>
  <c r="N47" i="2"/>
  <c r="R47" i="2"/>
  <c r="W47" i="2"/>
  <c r="B73" i="2"/>
  <c r="C73" i="2"/>
  <c r="D73" i="2"/>
  <c r="F73" i="2"/>
  <c r="J73" i="2"/>
  <c r="K73" i="2" s="1"/>
  <c r="L73" i="2" s="1"/>
  <c r="Q73" i="2" s="1"/>
  <c r="M73" i="2"/>
  <c r="O73" i="2" s="1"/>
  <c r="N73" i="2"/>
  <c r="R73" i="2"/>
  <c r="W73" i="2"/>
  <c r="B123" i="2"/>
  <c r="C123" i="2"/>
  <c r="D123" i="2"/>
  <c r="F123" i="2"/>
  <c r="J123" i="2"/>
  <c r="L123" i="2" s="1"/>
  <c r="Q123" i="2" s="1"/>
  <c r="U123" i="2" s="1"/>
  <c r="M123" i="2"/>
  <c r="O123" i="2" s="1"/>
  <c r="N123" i="2"/>
  <c r="R123" i="2"/>
  <c r="W123" i="2"/>
  <c r="B124" i="2"/>
  <c r="C124" i="2"/>
  <c r="D124" i="2"/>
  <c r="F124" i="2"/>
  <c r="J124" i="2"/>
  <c r="L124" i="2" s="1"/>
  <c r="M124" i="2"/>
  <c r="O124" i="2" s="1"/>
  <c r="N124" i="2"/>
  <c r="R124" i="2"/>
  <c r="W124" i="2"/>
  <c r="B125" i="2"/>
  <c r="C125" i="2"/>
  <c r="D125" i="2"/>
  <c r="F125" i="2"/>
  <c r="J125" i="2"/>
  <c r="L125" i="2" s="1"/>
  <c r="Q125" i="2" s="1"/>
  <c r="M125" i="2"/>
  <c r="O125" i="2" s="1"/>
  <c r="N125" i="2"/>
  <c r="R125" i="2"/>
  <c r="W125" i="2"/>
  <c r="B60" i="2"/>
  <c r="C60" i="2"/>
  <c r="D60" i="2"/>
  <c r="F60" i="2"/>
  <c r="J60" i="2"/>
  <c r="L60" i="2" s="1"/>
  <c r="Q60" i="2" s="1"/>
  <c r="U60" i="2" s="1"/>
  <c r="M60" i="2"/>
  <c r="O60" i="2" s="1"/>
  <c r="N60" i="2"/>
  <c r="R60" i="2"/>
  <c r="W60" i="2"/>
  <c r="B40" i="2"/>
  <c r="C40" i="2"/>
  <c r="D40" i="2"/>
  <c r="F40" i="2"/>
  <c r="J40" i="2"/>
  <c r="L40" i="2" s="1"/>
  <c r="M40" i="2"/>
  <c r="O40" i="2" s="1"/>
  <c r="N40" i="2"/>
  <c r="R40" i="2"/>
  <c r="W40" i="2"/>
  <c r="B136" i="2"/>
  <c r="C136" i="2"/>
  <c r="D136" i="2"/>
  <c r="F136" i="2"/>
  <c r="J136" i="2"/>
  <c r="L136" i="2" s="1"/>
  <c r="Q136" i="2" s="1"/>
  <c r="M136" i="2"/>
  <c r="O136" i="2" s="1"/>
  <c r="N136" i="2"/>
  <c r="R136" i="2"/>
  <c r="W136" i="2"/>
  <c r="B55" i="2"/>
  <c r="C55" i="2"/>
  <c r="D55" i="2"/>
  <c r="F55" i="2"/>
  <c r="J55" i="2"/>
  <c r="K55" i="2" s="1"/>
  <c r="L55" i="2" s="1"/>
  <c r="Q55" i="2" s="1"/>
  <c r="M55" i="2"/>
  <c r="O55" i="2" s="1"/>
  <c r="N55" i="2"/>
  <c r="R55" i="2"/>
  <c r="W55" i="2"/>
  <c r="B56" i="2"/>
  <c r="C56" i="2"/>
  <c r="D56" i="2"/>
  <c r="F56" i="2"/>
  <c r="J56" i="2"/>
  <c r="L56" i="2" s="1"/>
  <c r="Q56" i="2" s="1"/>
  <c r="M56" i="2"/>
  <c r="O56" i="2" s="1"/>
  <c r="N56" i="2"/>
  <c r="R56" i="2"/>
  <c r="W56" i="2"/>
  <c r="B57" i="2"/>
  <c r="C57" i="2"/>
  <c r="D57" i="2"/>
  <c r="F57" i="2"/>
  <c r="J57" i="2"/>
  <c r="K57" i="2" s="1"/>
  <c r="L57" i="2" s="1"/>
  <c r="Q57" i="2" s="1"/>
  <c r="M57" i="2"/>
  <c r="O57" i="2" s="1"/>
  <c r="N57" i="2"/>
  <c r="R57" i="2"/>
  <c r="W57" i="2"/>
  <c r="B51" i="2"/>
  <c r="C51" i="2"/>
  <c r="D51" i="2"/>
  <c r="F51" i="2"/>
  <c r="J51" i="2"/>
  <c r="K51" i="2" s="1"/>
  <c r="L51" i="2" s="1"/>
  <c r="Q51" i="2" s="1"/>
  <c r="M51" i="2"/>
  <c r="O51" i="2" s="1"/>
  <c r="N51" i="2"/>
  <c r="R51" i="2"/>
  <c r="W51" i="2"/>
  <c r="B48" i="2"/>
  <c r="C48" i="2"/>
  <c r="D48" i="2"/>
  <c r="F48" i="2"/>
  <c r="J48" i="2"/>
  <c r="L48" i="2" s="1"/>
  <c r="M48" i="2"/>
  <c r="O48" i="2" s="1"/>
  <c r="N48" i="2"/>
  <c r="R48" i="2"/>
  <c r="W48" i="2"/>
  <c r="B74" i="2"/>
  <c r="C74" i="2"/>
  <c r="D74" i="2"/>
  <c r="F74" i="2"/>
  <c r="J74" i="2"/>
  <c r="K74" i="2" s="1"/>
  <c r="L74" i="2" s="1"/>
  <c r="Q74" i="2" s="1"/>
  <c r="M74" i="2"/>
  <c r="O74" i="2" s="1"/>
  <c r="N74" i="2"/>
  <c r="R74" i="2"/>
  <c r="W74" i="2"/>
  <c r="B134" i="2"/>
  <c r="C134" i="2"/>
  <c r="D134" i="2"/>
  <c r="F134" i="2"/>
  <c r="J134" i="2"/>
  <c r="K134" i="2" s="1"/>
  <c r="L134" i="2" s="1"/>
  <c r="Q134" i="2" s="1"/>
  <c r="U134" i="2" s="1"/>
  <c r="M134" i="2"/>
  <c r="O134" i="2" s="1"/>
  <c r="N134" i="2"/>
  <c r="R134" i="2"/>
  <c r="W134" i="2"/>
  <c r="B63" i="2"/>
  <c r="C63" i="2"/>
  <c r="D63" i="2"/>
  <c r="F63" i="2"/>
  <c r="J63" i="2"/>
  <c r="L63" i="2" s="1"/>
  <c r="Q63" i="2" s="1"/>
  <c r="U63" i="2" s="1"/>
  <c r="M63" i="2"/>
  <c r="O63" i="2" s="1"/>
  <c r="N63" i="2"/>
  <c r="R63" i="2"/>
  <c r="W63" i="2"/>
  <c r="B58" i="2"/>
  <c r="C58" i="2"/>
  <c r="D58" i="2"/>
  <c r="F58" i="2"/>
  <c r="J58" i="2"/>
  <c r="M58" i="2"/>
  <c r="O58" i="2" s="1"/>
  <c r="N58" i="2"/>
  <c r="R58" i="2"/>
  <c r="W58" i="2"/>
  <c r="B52" i="2"/>
  <c r="C52" i="2"/>
  <c r="D52" i="2"/>
  <c r="F52" i="2"/>
  <c r="J52" i="2"/>
  <c r="L52" i="2" s="1"/>
  <c r="M52" i="2"/>
  <c r="O52" i="2" s="1"/>
  <c r="N52" i="2"/>
  <c r="R52" i="2"/>
  <c r="W52" i="2"/>
  <c r="B37" i="2"/>
  <c r="C37" i="2"/>
  <c r="D37" i="2"/>
  <c r="F37" i="2"/>
  <c r="J37" i="2"/>
  <c r="L37" i="2" s="1"/>
  <c r="M37" i="2"/>
  <c r="O37" i="2" s="1"/>
  <c r="N37" i="2"/>
  <c r="R37" i="2"/>
  <c r="W37" i="2"/>
  <c r="B41" i="2"/>
  <c r="C41" i="2"/>
  <c r="D41" i="2"/>
  <c r="F41" i="2"/>
  <c r="J41" i="2"/>
  <c r="M41" i="2"/>
  <c r="O41" i="2" s="1"/>
  <c r="N41" i="2"/>
  <c r="R41" i="2"/>
  <c r="W41" i="2"/>
  <c r="B38" i="2"/>
  <c r="C38" i="2"/>
  <c r="D38" i="2"/>
  <c r="F38" i="2"/>
  <c r="J38" i="2"/>
  <c r="L38" i="2" s="1"/>
  <c r="Q38" i="2" s="1"/>
  <c r="M38" i="2"/>
  <c r="O38" i="2" s="1"/>
  <c r="N38" i="2"/>
  <c r="R38" i="2"/>
  <c r="W38" i="2"/>
  <c r="B39" i="2"/>
  <c r="C39" i="2"/>
  <c r="D39" i="2"/>
  <c r="F39" i="2"/>
  <c r="J39" i="2"/>
  <c r="L39" i="2" s="1"/>
  <c r="M39" i="2"/>
  <c r="O39" i="2" s="1"/>
  <c r="N39" i="2"/>
  <c r="R39" i="2"/>
  <c r="W39" i="2"/>
  <c r="B108" i="2"/>
  <c r="C108" i="2"/>
  <c r="D108" i="2"/>
  <c r="F108" i="2"/>
  <c r="J108" i="2"/>
  <c r="L108" i="2" s="1"/>
  <c r="Q108" i="2" s="1"/>
  <c r="M108" i="2"/>
  <c r="O108" i="2" s="1"/>
  <c r="N108" i="2"/>
  <c r="R108" i="2"/>
  <c r="W108" i="2"/>
  <c r="B53" i="2"/>
  <c r="C53" i="2"/>
  <c r="D53" i="2"/>
  <c r="F53" i="2"/>
  <c r="J53" i="2"/>
  <c r="K53" i="2" s="1"/>
  <c r="L53" i="2" s="1"/>
  <c r="M53" i="2"/>
  <c r="O53" i="2" s="1"/>
  <c r="N53" i="2"/>
  <c r="R53" i="2"/>
  <c r="W53" i="2"/>
  <c r="B49" i="2"/>
  <c r="C49" i="2"/>
  <c r="D49" i="2"/>
  <c r="F49" i="2"/>
  <c r="J49" i="2"/>
  <c r="L49" i="2" s="1"/>
  <c r="M49" i="2"/>
  <c r="O49" i="2" s="1"/>
  <c r="N49" i="2"/>
  <c r="R49" i="2"/>
  <c r="W49" i="2"/>
  <c r="B42" i="2"/>
  <c r="C42" i="2"/>
  <c r="D42" i="2"/>
  <c r="F42" i="2"/>
  <c r="J42" i="2"/>
  <c r="M42" i="2"/>
  <c r="O42" i="2" s="1"/>
  <c r="N42" i="2"/>
  <c r="R42" i="2"/>
  <c r="W42" i="2"/>
  <c r="B93" i="2"/>
  <c r="C93" i="2"/>
  <c r="D93" i="2"/>
  <c r="F93" i="2"/>
  <c r="J93" i="2"/>
  <c r="K93" i="2" s="1"/>
  <c r="L93" i="2" s="1"/>
  <c r="Q93" i="2" s="1"/>
  <c r="M93" i="2"/>
  <c r="O93" i="2" s="1"/>
  <c r="N93" i="2"/>
  <c r="R93" i="2"/>
  <c r="W93" i="2"/>
  <c r="B54" i="2"/>
  <c r="C54" i="2"/>
  <c r="D54" i="2"/>
  <c r="F54" i="2"/>
  <c r="J54" i="2"/>
  <c r="L54" i="2" s="1"/>
  <c r="M54" i="2"/>
  <c r="O54" i="2" s="1"/>
  <c r="N54" i="2"/>
  <c r="R54" i="2"/>
  <c r="W54" i="2"/>
  <c r="B167" i="2"/>
  <c r="C167" i="2"/>
  <c r="D167" i="2"/>
  <c r="F167" i="2"/>
  <c r="J167" i="2"/>
  <c r="K167" i="2" s="1"/>
  <c r="L167" i="2" s="1"/>
  <c r="Q167" i="2" s="1"/>
  <c r="M167" i="2"/>
  <c r="O167" i="2" s="1"/>
  <c r="N167" i="2"/>
  <c r="R167" i="2"/>
  <c r="W167" i="2"/>
  <c r="B65" i="2"/>
  <c r="C65" i="2"/>
  <c r="D65" i="2"/>
  <c r="F65" i="2"/>
  <c r="J65" i="2"/>
  <c r="K65" i="2" s="1"/>
  <c r="L65" i="2" s="1"/>
  <c r="M65" i="2"/>
  <c r="O65" i="2" s="1"/>
  <c r="N65" i="2"/>
  <c r="R65" i="2"/>
  <c r="W65" i="2"/>
  <c r="B168" i="2"/>
  <c r="C168" i="2"/>
  <c r="D168" i="2"/>
  <c r="F168" i="2"/>
  <c r="J168" i="2"/>
  <c r="K168" i="2" s="1"/>
  <c r="L168" i="2" s="1"/>
  <c r="M168" i="2"/>
  <c r="O168" i="2" s="1"/>
  <c r="N168" i="2"/>
  <c r="R168" i="2"/>
  <c r="W168" i="2"/>
  <c r="B8" i="2"/>
  <c r="C8" i="2"/>
  <c r="D8" i="2"/>
  <c r="F8" i="2"/>
  <c r="J8" i="2"/>
  <c r="L8" i="2" s="1"/>
  <c r="Q8" i="2" s="1"/>
  <c r="M8" i="2"/>
  <c r="O8" i="2" s="1"/>
  <c r="N8" i="2"/>
  <c r="R8" i="2"/>
  <c r="W8" i="2"/>
  <c r="B162" i="2"/>
  <c r="C162" i="2"/>
  <c r="D162" i="2"/>
  <c r="F162" i="2"/>
  <c r="J162" i="2"/>
  <c r="K162" i="2" s="1"/>
  <c r="L162" i="2" s="1"/>
  <c r="Q162" i="2" s="1"/>
  <c r="M162" i="2"/>
  <c r="O162" i="2" s="1"/>
  <c r="N162" i="2"/>
  <c r="R162" i="2"/>
  <c r="W162" i="2"/>
  <c r="B66" i="2"/>
  <c r="C66" i="2"/>
  <c r="D66" i="2"/>
  <c r="F66" i="2"/>
  <c r="J66" i="2"/>
  <c r="K66" i="2" s="1"/>
  <c r="L66" i="2" s="1"/>
  <c r="Q66" i="2" s="1"/>
  <c r="M66" i="2"/>
  <c r="O66" i="2" s="1"/>
  <c r="N66" i="2"/>
  <c r="R66" i="2"/>
  <c r="W66" i="2"/>
  <c r="B163" i="2"/>
  <c r="C163" i="2"/>
  <c r="D163" i="2"/>
  <c r="F163" i="2"/>
  <c r="J163" i="2"/>
  <c r="K163" i="2" s="1"/>
  <c r="L163" i="2" s="1"/>
  <c r="M163" i="2"/>
  <c r="O163" i="2" s="1"/>
  <c r="N163" i="2"/>
  <c r="R163" i="2"/>
  <c r="W163" i="2"/>
  <c r="B29" i="2"/>
  <c r="C29" i="2"/>
  <c r="D29" i="2"/>
  <c r="F29" i="2"/>
  <c r="J29" i="2"/>
  <c r="K29" i="2" s="1"/>
  <c r="L29" i="2" s="1"/>
  <c r="Q29" i="2" s="1"/>
  <c r="M29" i="2"/>
  <c r="O29" i="2" s="1"/>
  <c r="N29" i="2"/>
  <c r="R29" i="2"/>
  <c r="W29" i="2"/>
  <c r="B164" i="2"/>
  <c r="C164" i="2"/>
  <c r="D164" i="2"/>
  <c r="F164" i="2"/>
  <c r="J164" i="2"/>
  <c r="K164" i="2" s="1"/>
  <c r="L164" i="2" s="1"/>
  <c r="Q164" i="2" s="1"/>
  <c r="M164" i="2"/>
  <c r="O164" i="2" s="1"/>
  <c r="N164" i="2"/>
  <c r="R164" i="2"/>
  <c r="W164" i="2"/>
  <c r="B67" i="2"/>
  <c r="C67" i="2"/>
  <c r="D67" i="2"/>
  <c r="F67" i="2"/>
  <c r="J67" i="2"/>
  <c r="L67" i="2" s="1"/>
  <c r="Q67" i="2" s="1"/>
  <c r="M67" i="2"/>
  <c r="O67" i="2" s="1"/>
  <c r="N67" i="2"/>
  <c r="R67" i="2"/>
  <c r="W67" i="2"/>
  <c r="B30" i="2"/>
  <c r="C30" i="2"/>
  <c r="D30" i="2"/>
  <c r="F30" i="2"/>
  <c r="J30" i="2"/>
  <c r="L30" i="2" s="1"/>
  <c r="Q30" i="2" s="1"/>
  <c r="M30" i="2"/>
  <c r="O30" i="2" s="1"/>
  <c r="N30" i="2"/>
  <c r="R30" i="2"/>
  <c r="W30" i="2"/>
  <c r="B169" i="2"/>
  <c r="C169" i="2"/>
  <c r="D169" i="2"/>
  <c r="F169" i="2"/>
  <c r="J169" i="2"/>
  <c r="K169" i="2" s="1"/>
  <c r="L169" i="2" s="1"/>
  <c r="Q169" i="2" s="1"/>
  <c r="M169" i="2"/>
  <c r="O169" i="2" s="1"/>
  <c r="N169" i="2"/>
  <c r="R169" i="2"/>
  <c r="W169" i="2"/>
  <c r="B31" i="2"/>
  <c r="C31" i="2"/>
  <c r="D31" i="2"/>
  <c r="F31" i="2"/>
  <c r="J31" i="2"/>
  <c r="L31" i="2" s="1"/>
  <c r="M31" i="2"/>
  <c r="O31" i="2" s="1"/>
  <c r="N31" i="2"/>
  <c r="R31" i="2"/>
  <c r="W31" i="2"/>
  <c r="B138" i="2"/>
  <c r="C138" i="2"/>
  <c r="D138" i="2"/>
  <c r="F138" i="2"/>
  <c r="J138" i="2"/>
  <c r="K138" i="2" s="1"/>
  <c r="L138" i="2" s="1"/>
  <c r="Q138" i="2" s="1"/>
  <c r="U138" i="2" s="1"/>
  <c r="M138" i="2"/>
  <c r="O138" i="2" s="1"/>
  <c r="N138" i="2"/>
  <c r="R138" i="2"/>
  <c r="W138" i="2"/>
  <c r="B27" i="2"/>
  <c r="C27" i="2"/>
  <c r="D27" i="2"/>
  <c r="F27" i="2"/>
  <c r="J27" i="2"/>
  <c r="M27" i="2"/>
  <c r="O27" i="2" s="1"/>
  <c r="N27" i="2"/>
  <c r="R27" i="2"/>
  <c r="W27" i="2"/>
  <c r="B165" i="2"/>
  <c r="C165" i="2"/>
  <c r="D165" i="2"/>
  <c r="F165" i="2"/>
  <c r="J165" i="2"/>
  <c r="K165" i="2" s="1"/>
  <c r="L165" i="2" s="1"/>
  <c r="Q165" i="2" s="1"/>
  <c r="M165" i="2"/>
  <c r="O165" i="2" s="1"/>
  <c r="N165" i="2"/>
  <c r="R165" i="2"/>
  <c r="W165" i="2"/>
  <c r="B170" i="2"/>
  <c r="C170" i="2"/>
  <c r="D170" i="2"/>
  <c r="F170" i="2"/>
  <c r="J170" i="2"/>
  <c r="K170" i="2" s="1"/>
  <c r="L170" i="2" s="1"/>
  <c r="Q170" i="2" s="1"/>
  <c r="M170" i="2"/>
  <c r="O170" i="2" s="1"/>
  <c r="N170" i="2"/>
  <c r="R170" i="2"/>
  <c r="W170" i="2"/>
  <c r="B68" i="2"/>
  <c r="C68" i="2"/>
  <c r="D68" i="2"/>
  <c r="F68" i="2"/>
  <c r="J68" i="2"/>
  <c r="L68" i="2" s="1"/>
  <c r="M68" i="2"/>
  <c r="O68" i="2" s="1"/>
  <c r="N68" i="2"/>
  <c r="R68" i="2"/>
  <c r="W68" i="2"/>
  <c r="B32" i="2"/>
  <c r="C32" i="2"/>
  <c r="D32" i="2"/>
  <c r="F32" i="2"/>
  <c r="J32" i="2"/>
  <c r="L32" i="2" s="1"/>
  <c r="Q32" i="2" s="1"/>
  <c r="M32" i="2"/>
  <c r="O32" i="2" s="1"/>
  <c r="N32" i="2"/>
  <c r="R32" i="2"/>
  <c r="W32" i="2"/>
  <c r="B156" i="2"/>
  <c r="C156" i="2"/>
  <c r="D156" i="2"/>
  <c r="F156" i="2"/>
  <c r="J156" i="2"/>
  <c r="L156" i="2" s="1"/>
  <c r="Q156" i="2" s="1"/>
  <c r="M156" i="2"/>
  <c r="O156" i="2" s="1"/>
  <c r="N156" i="2"/>
  <c r="R156" i="2"/>
  <c r="W156" i="2"/>
  <c r="B173" i="2"/>
  <c r="C173" i="2"/>
  <c r="D173" i="2"/>
  <c r="F173" i="2"/>
  <c r="J173" i="2"/>
  <c r="K173" i="2" s="1"/>
  <c r="L173" i="2" s="1"/>
  <c r="M173" i="2"/>
  <c r="O173" i="2" s="1"/>
  <c r="N173" i="2"/>
  <c r="R173" i="2"/>
  <c r="W173" i="2"/>
  <c r="B157" i="2"/>
  <c r="C157" i="2"/>
  <c r="D157" i="2"/>
  <c r="F157" i="2"/>
  <c r="J157" i="2"/>
  <c r="K157" i="2" s="1"/>
  <c r="L157" i="2" s="1"/>
  <c r="M157" i="2"/>
  <c r="O157" i="2" s="1"/>
  <c r="N157" i="2"/>
  <c r="R157" i="2"/>
  <c r="W157" i="2"/>
  <c r="B174" i="2"/>
  <c r="C174" i="2"/>
  <c r="D174" i="2"/>
  <c r="F174" i="2"/>
  <c r="J174" i="2"/>
  <c r="K174" i="2" s="1"/>
  <c r="L174" i="2" s="1"/>
  <c r="Q174" i="2" s="1"/>
  <c r="M174" i="2"/>
  <c r="O174" i="2" s="1"/>
  <c r="N174" i="2"/>
  <c r="R174" i="2"/>
  <c r="W174" i="2"/>
  <c r="B69" i="2"/>
  <c r="C69" i="2"/>
  <c r="D69" i="2"/>
  <c r="F69" i="2"/>
  <c r="J69" i="2"/>
  <c r="L69" i="2" s="1"/>
  <c r="Q69" i="2" s="1"/>
  <c r="M69" i="2"/>
  <c r="O69" i="2" s="1"/>
  <c r="N69" i="2"/>
  <c r="R69" i="2"/>
  <c r="W69" i="2"/>
  <c r="B61" i="2"/>
  <c r="C61" i="2"/>
  <c r="D61" i="2"/>
  <c r="F61" i="2"/>
  <c r="J61" i="2"/>
  <c r="K61" i="2" s="1"/>
  <c r="L61" i="2" s="1"/>
  <c r="M61" i="2"/>
  <c r="O61" i="2" s="1"/>
  <c r="N61" i="2"/>
  <c r="R61" i="2"/>
  <c r="W61" i="2"/>
  <c r="B171" i="2"/>
  <c r="C171" i="2"/>
  <c r="D171" i="2"/>
  <c r="F171" i="2"/>
  <c r="J171" i="2"/>
  <c r="K171" i="2" s="1"/>
  <c r="L171" i="2" s="1"/>
  <c r="M171" i="2"/>
  <c r="O171" i="2" s="1"/>
  <c r="N171" i="2"/>
  <c r="R171" i="2"/>
  <c r="W171" i="2"/>
  <c r="B70" i="2"/>
  <c r="C70" i="2"/>
  <c r="D70" i="2"/>
  <c r="F70" i="2"/>
  <c r="J70" i="2"/>
  <c r="L70" i="2" s="1"/>
  <c r="Q70" i="2" s="1"/>
  <c r="M70" i="2"/>
  <c r="O70" i="2" s="1"/>
  <c r="N70" i="2"/>
  <c r="R70" i="2"/>
  <c r="W70" i="2"/>
  <c r="B28" i="2"/>
  <c r="C28" i="2"/>
  <c r="D28" i="2"/>
  <c r="F28" i="2"/>
  <c r="J28" i="2"/>
  <c r="L28" i="2" s="1"/>
  <c r="Q28" i="2" s="1"/>
  <c r="M28" i="2"/>
  <c r="O28" i="2" s="1"/>
  <c r="N28" i="2"/>
  <c r="R28" i="2"/>
  <c r="W28" i="2"/>
  <c r="B4" i="2"/>
  <c r="C4" i="2"/>
  <c r="D4" i="2"/>
  <c r="F4" i="2"/>
  <c r="J4" i="2"/>
  <c r="M4" i="2"/>
  <c r="O4" i="2" s="1"/>
  <c r="N4" i="2"/>
  <c r="K4" i="2" s="1"/>
  <c r="R4" i="2"/>
  <c r="W4" i="2"/>
  <c r="B64" i="2"/>
  <c r="C64" i="2"/>
  <c r="D64" i="2"/>
  <c r="F64" i="2"/>
  <c r="J64" i="2"/>
  <c r="K64" i="2" s="1"/>
  <c r="L64" i="2" s="1"/>
  <c r="Q64" i="2" s="1"/>
  <c r="M64" i="2"/>
  <c r="O64" i="2" s="1"/>
  <c r="N64" i="2"/>
  <c r="R64" i="2"/>
  <c r="W64" i="2"/>
  <c r="B33" i="2"/>
  <c r="C33" i="2"/>
  <c r="D33" i="2"/>
  <c r="F33" i="2"/>
  <c r="J33" i="2"/>
  <c r="K33" i="2" s="1"/>
  <c r="L33" i="2" s="1"/>
  <c r="M33" i="2"/>
  <c r="O33" i="2" s="1"/>
  <c r="N33" i="2"/>
  <c r="R33" i="2"/>
  <c r="W33" i="2"/>
  <c r="B172" i="2"/>
  <c r="C172" i="2"/>
  <c r="D172" i="2"/>
  <c r="F172" i="2"/>
  <c r="J172" i="2"/>
  <c r="K172" i="2" s="1"/>
  <c r="L172" i="2" s="1"/>
  <c r="Q172" i="2" s="1"/>
  <c r="M172" i="2"/>
  <c r="O172" i="2" s="1"/>
  <c r="N172" i="2"/>
  <c r="R172" i="2"/>
  <c r="W172" i="2"/>
  <c r="B178" i="2"/>
  <c r="C178" i="2"/>
  <c r="D178" i="2"/>
  <c r="F178" i="2"/>
  <c r="J178" i="2"/>
  <c r="K178" i="2" s="1"/>
  <c r="L178" i="2" s="1"/>
  <c r="Q178" i="2" s="1"/>
  <c r="M178" i="2"/>
  <c r="O178" i="2" s="1"/>
  <c r="N178" i="2"/>
  <c r="R178" i="2"/>
  <c r="W178" i="2"/>
  <c r="B96" i="2"/>
  <c r="C96" i="2"/>
  <c r="D96" i="2"/>
  <c r="F96" i="2"/>
  <c r="J96" i="2"/>
  <c r="K96" i="2" s="1"/>
  <c r="L96" i="2" s="1"/>
  <c r="M96" i="2"/>
  <c r="O96" i="2" s="1"/>
  <c r="N96" i="2"/>
  <c r="R96" i="2"/>
  <c r="W96" i="2"/>
  <c r="B94" i="2"/>
  <c r="C94" i="2"/>
  <c r="D94" i="2"/>
  <c r="F94" i="2"/>
  <c r="J94" i="2"/>
  <c r="K94" i="2" s="1"/>
  <c r="L94" i="2" s="1"/>
  <c r="Q94" i="2" s="1"/>
  <c r="M94" i="2"/>
  <c r="O94" i="2" s="1"/>
  <c r="N94" i="2"/>
  <c r="R94" i="2"/>
  <c r="W94" i="2"/>
  <c r="B179" i="2"/>
  <c r="C179" i="2"/>
  <c r="D179" i="2"/>
  <c r="F179" i="2"/>
  <c r="J179" i="2"/>
  <c r="L179" i="2" s="1"/>
  <c r="Q179" i="2" s="1"/>
  <c r="M179" i="2"/>
  <c r="O179" i="2" s="1"/>
  <c r="N179" i="2"/>
  <c r="R179" i="2"/>
  <c r="W179" i="2"/>
  <c r="B95" i="2"/>
  <c r="C95" i="2"/>
  <c r="D95" i="2"/>
  <c r="F95" i="2"/>
  <c r="J95" i="2"/>
  <c r="L95" i="2" s="1"/>
  <c r="M95" i="2"/>
  <c r="O95" i="2" s="1"/>
  <c r="N95" i="2"/>
  <c r="R95" i="2"/>
  <c r="W95" i="2"/>
  <c r="B19" i="2"/>
  <c r="C19" i="2"/>
  <c r="D19" i="2"/>
  <c r="F19" i="2"/>
  <c r="J19" i="2"/>
  <c r="L19" i="2" s="1"/>
  <c r="M19" i="2"/>
  <c r="O19" i="2" s="1"/>
  <c r="N19" i="2"/>
  <c r="R19" i="2"/>
  <c r="W19" i="2"/>
  <c r="B5" i="2"/>
  <c r="C5" i="2"/>
  <c r="D5" i="2"/>
  <c r="F5" i="2"/>
  <c r="J5" i="2"/>
  <c r="M5" i="2"/>
  <c r="O5" i="2" s="1"/>
  <c r="N5" i="2"/>
  <c r="K5" i="2" s="1"/>
  <c r="R5" i="2"/>
  <c r="W5" i="2"/>
  <c r="B59" i="2"/>
  <c r="C59" i="2"/>
  <c r="D59" i="2"/>
  <c r="F59" i="2"/>
  <c r="J59" i="2"/>
  <c r="M59" i="2"/>
  <c r="O59" i="2" s="1"/>
  <c r="N59" i="2"/>
  <c r="R59" i="2"/>
  <c r="W59" i="2"/>
  <c r="B91" i="2"/>
  <c r="C91" i="2"/>
  <c r="D91" i="2"/>
  <c r="F91" i="2"/>
  <c r="J91" i="2"/>
  <c r="K91" i="2" s="1"/>
  <c r="L91" i="2" s="1"/>
  <c r="Q91" i="2" s="1"/>
  <c r="M91" i="2"/>
  <c r="O91" i="2" s="1"/>
  <c r="N91" i="2"/>
  <c r="R91" i="2"/>
  <c r="W91" i="2"/>
  <c r="B92" i="2"/>
  <c r="C92" i="2"/>
  <c r="D92" i="2"/>
  <c r="F92" i="2"/>
  <c r="J92" i="2"/>
  <c r="K92" i="2" s="1"/>
  <c r="L92" i="2" s="1"/>
  <c r="Q92" i="2" s="1"/>
  <c r="M92" i="2"/>
  <c r="O92" i="2" s="1"/>
  <c r="N92" i="2"/>
  <c r="R92" i="2"/>
  <c r="W92" i="2"/>
  <c r="B20" i="2"/>
  <c r="C20" i="2"/>
  <c r="D20" i="2"/>
  <c r="F20" i="2"/>
  <c r="J20" i="2"/>
  <c r="K20" i="2" s="1"/>
  <c r="L20" i="2" s="1"/>
  <c r="M20" i="2"/>
  <c r="O20" i="2" s="1"/>
  <c r="N20" i="2"/>
  <c r="R20" i="2"/>
  <c r="W20" i="2"/>
  <c r="B9" i="2"/>
  <c r="C9" i="2"/>
  <c r="D9" i="2"/>
  <c r="F9" i="2"/>
  <c r="J9" i="2"/>
  <c r="M9" i="2"/>
  <c r="O9" i="2" s="1"/>
  <c r="N9" i="2"/>
  <c r="R9" i="2"/>
  <c r="W9" i="2"/>
  <c r="B10" i="2"/>
  <c r="C10" i="2"/>
  <c r="D10" i="2"/>
  <c r="F10" i="2"/>
  <c r="J10" i="2"/>
  <c r="K10" i="2" s="1"/>
  <c r="L10" i="2" s="1"/>
  <c r="Q10" i="2" s="1"/>
  <c r="M10" i="2"/>
  <c r="O10" i="2" s="1"/>
  <c r="N10" i="2"/>
  <c r="R10" i="2"/>
  <c r="W10" i="2"/>
  <c r="B11" i="2"/>
  <c r="C11" i="2"/>
  <c r="D11" i="2"/>
  <c r="F11" i="2"/>
  <c r="J11" i="2"/>
  <c r="M11" i="2"/>
  <c r="O11" i="2" s="1"/>
  <c r="N11" i="2"/>
  <c r="R11" i="2"/>
  <c r="W11" i="2"/>
  <c r="B7" i="2"/>
  <c r="C7" i="2"/>
  <c r="D7" i="2"/>
  <c r="F7" i="2"/>
  <c r="J7" i="2"/>
  <c r="K7" i="2" s="1"/>
  <c r="L7" i="2" s="1"/>
  <c r="Q7" i="2" s="1"/>
  <c r="M7" i="2"/>
  <c r="O7" i="2" s="1"/>
  <c r="N7" i="2"/>
  <c r="R7" i="2"/>
  <c r="W7" i="2"/>
  <c r="B43" i="2"/>
  <c r="C43" i="2"/>
  <c r="D43" i="2"/>
  <c r="F43" i="2"/>
  <c r="J43" i="2"/>
  <c r="K43" i="2" s="1"/>
  <c r="L43" i="2" s="1"/>
  <c r="Q43" i="2" s="1"/>
  <c r="M43" i="2"/>
  <c r="O43" i="2" s="1"/>
  <c r="N43" i="2"/>
  <c r="R43" i="2"/>
  <c r="W43" i="2"/>
  <c r="B62" i="2"/>
  <c r="C62" i="2"/>
  <c r="D62" i="2"/>
  <c r="F62" i="2"/>
  <c r="J62" i="2"/>
  <c r="K62" i="2" s="1"/>
  <c r="L62" i="2" s="1"/>
  <c r="M62" i="2"/>
  <c r="O62" i="2" s="1"/>
  <c r="N62" i="2"/>
  <c r="R62" i="2"/>
  <c r="W62" i="2"/>
  <c r="B12" i="2"/>
  <c r="C12" i="2"/>
  <c r="D12" i="2"/>
  <c r="F12" i="2"/>
  <c r="J12" i="2"/>
  <c r="K12" i="2" s="1"/>
  <c r="L12" i="2" s="1"/>
  <c r="M12" i="2"/>
  <c r="O12" i="2" s="1"/>
  <c r="N12" i="2"/>
  <c r="R12" i="2"/>
  <c r="W12" i="2"/>
  <c r="B104" i="2"/>
  <c r="C104" i="2"/>
  <c r="D104" i="2"/>
  <c r="F104" i="2"/>
  <c r="J104" i="2"/>
  <c r="K104" i="2" s="1"/>
  <c r="L104" i="2" s="1"/>
  <c r="Q104" i="2" s="1"/>
  <c r="V104" i="2" s="1"/>
  <c r="M104" i="2"/>
  <c r="O104" i="2" s="1"/>
  <c r="N104" i="2"/>
  <c r="R104" i="2"/>
  <c r="W104" i="2"/>
  <c r="B21" i="2"/>
  <c r="C21" i="2"/>
  <c r="D21" i="2"/>
  <c r="F21" i="2"/>
  <c r="J21" i="2"/>
  <c r="K21" i="2" s="1"/>
  <c r="L21" i="2" s="1"/>
  <c r="M21" i="2"/>
  <c r="O21" i="2" s="1"/>
  <c r="N21" i="2"/>
  <c r="R21" i="2"/>
  <c r="W21" i="2"/>
  <c r="B13" i="2"/>
  <c r="C13" i="2"/>
  <c r="D13" i="2"/>
  <c r="F13" i="2"/>
  <c r="J13" i="2"/>
  <c r="K13" i="2" s="1"/>
  <c r="L13" i="2" s="1"/>
  <c r="Q13" i="2" s="1"/>
  <c r="M13" i="2"/>
  <c r="O13" i="2" s="1"/>
  <c r="N13" i="2"/>
  <c r="R13" i="2"/>
  <c r="W13" i="2"/>
  <c r="B115" i="2"/>
  <c r="C115" i="2"/>
  <c r="D115" i="2"/>
  <c r="F115" i="2"/>
  <c r="J115" i="2"/>
  <c r="L115" i="2" s="1"/>
  <c r="Q115" i="2" s="1"/>
  <c r="M115" i="2"/>
  <c r="O115" i="2" s="1"/>
  <c r="N115" i="2"/>
  <c r="R115" i="2"/>
  <c r="W115" i="2"/>
  <c r="B113" i="2"/>
  <c r="C113" i="2"/>
  <c r="D113" i="2"/>
  <c r="F113" i="2"/>
  <c r="J113" i="2"/>
  <c r="K113" i="2" s="1"/>
  <c r="L113" i="2" s="1"/>
  <c r="M113" i="2"/>
  <c r="O113" i="2" s="1"/>
  <c r="N113" i="2"/>
  <c r="R113" i="2"/>
  <c r="W113" i="2"/>
  <c r="B114" i="2"/>
  <c r="C114" i="2"/>
  <c r="D114" i="2"/>
  <c r="F114" i="2"/>
  <c r="J114" i="2"/>
  <c r="K114" i="2" s="1"/>
  <c r="L114" i="2" s="1"/>
  <c r="Q114" i="2" s="1"/>
  <c r="M114" i="2"/>
  <c r="O114" i="2" s="1"/>
  <c r="N114" i="2"/>
  <c r="R114" i="2"/>
  <c r="W114" i="2"/>
  <c r="B111" i="2"/>
  <c r="C111" i="2"/>
  <c r="D111" i="2"/>
  <c r="F111" i="2"/>
  <c r="J111" i="2"/>
  <c r="K111" i="2" s="1"/>
  <c r="L111" i="2" s="1"/>
  <c r="Q111" i="2" s="1"/>
  <c r="M111" i="2"/>
  <c r="O111" i="2" s="1"/>
  <c r="N111" i="2"/>
  <c r="R111" i="2"/>
  <c r="W111" i="2"/>
  <c r="B6" i="2"/>
  <c r="C6" i="2"/>
  <c r="D6" i="2"/>
  <c r="F6" i="2"/>
  <c r="J6" i="2"/>
  <c r="M6" i="2"/>
  <c r="O6" i="2" s="1"/>
  <c r="N6" i="2"/>
  <c r="K6" i="2" s="1"/>
  <c r="R6" i="2"/>
  <c r="W6" i="2"/>
  <c r="R158" i="2"/>
  <c r="J158" i="2"/>
  <c r="N158" i="2"/>
  <c r="M158" i="2"/>
  <c r="B158" i="2"/>
  <c r="F158" i="2"/>
  <c r="D158" i="2"/>
  <c r="C158" i="2"/>
  <c r="N3" i="9"/>
  <c r="E44" i="2" s="1"/>
  <c r="O3" i="9"/>
  <c r="N4" i="9"/>
  <c r="E35" i="2" s="1"/>
  <c r="O4" i="9"/>
  <c r="N5" i="9"/>
  <c r="E15" i="2" s="1"/>
  <c r="O5" i="9"/>
  <c r="N6" i="9"/>
  <c r="E105" i="2" s="1"/>
  <c r="O6" i="9"/>
  <c r="N7" i="9"/>
  <c r="E14" i="2" s="1"/>
  <c r="O7" i="9"/>
  <c r="N8" i="9"/>
  <c r="E16" i="2" s="1"/>
  <c r="O8" i="9"/>
  <c r="N9" i="9"/>
  <c r="E17" i="2" s="1"/>
  <c r="O9" i="9"/>
  <c r="N10" i="9"/>
  <c r="E109" i="2" s="1"/>
  <c r="O10" i="9"/>
  <c r="N11" i="9"/>
  <c r="E18" i="2" s="1"/>
  <c r="O11" i="9"/>
  <c r="N12" i="9"/>
  <c r="E22" i="2" s="1"/>
  <c r="O12" i="9"/>
  <c r="N13" i="9"/>
  <c r="E23" i="2" s="1"/>
  <c r="O13" i="9"/>
  <c r="N14" i="9"/>
  <c r="E24" i="2" s="1"/>
  <c r="O14" i="9"/>
  <c r="N15" i="9"/>
  <c r="E25" i="2" s="1"/>
  <c r="O15" i="9"/>
  <c r="N16" i="9"/>
  <c r="E26" i="2" s="1"/>
  <c r="O16" i="9"/>
  <c r="N17" i="9"/>
  <c r="E34" i="2" s="1"/>
  <c r="O17" i="9"/>
  <c r="N18" i="9"/>
  <c r="E106" i="2" s="1"/>
  <c r="O18" i="9"/>
  <c r="N19" i="9"/>
  <c r="E116" i="2" s="1"/>
  <c r="O19" i="9"/>
  <c r="N20" i="9"/>
  <c r="E126" i="2" s="1"/>
  <c r="O20" i="9"/>
  <c r="N21" i="9"/>
  <c r="E127" i="2" s="1"/>
  <c r="O21" i="9"/>
  <c r="N22" i="9"/>
  <c r="E128" i="2" s="1"/>
  <c r="O22" i="9"/>
  <c r="N23" i="9"/>
  <c r="E129" i="2" s="1"/>
  <c r="O23" i="9"/>
  <c r="N24" i="9"/>
  <c r="E50" i="2" s="1"/>
  <c r="O24" i="9"/>
  <c r="N25" i="9"/>
  <c r="E45" i="2" s="1"/>
  <c r="O25" i="9"/>
  <c r="N26" i="9"/>
  <c r="E140" i="2" s="1"/>
  <c r="O26" i="9"/>
  <c r="N27" i="9"/>
  <c r="E117" i="2" s="1"/>
  <c r="O27" i="9"/>
  <c r="N28" i="9"/>
  <c r="E139" i="2" s="1"/>
  <c r="O28" i="9"/>
  <c r="N29" i="9"/>
  <c r="E71" i="2" s="1"/>
  <c r="O29" i="9"/>
  <c r="N30" i="9"/>
  <c r="E130" i="2" s="1"/>
  <c r="O30" i="9"/>
  <c r="N31" i="9"/>
  <c r="E131" i="2" s="1"/>
  <c r="O31" i="9"/>
  <c r="N32" i="9"/>
  <c r="E132" i="2" s="1"/>
  <c r="O32" i="9"/>
  <c r="N33" i="9"/>
  <c r="E166" i="2" s="1"/>
  <c r="O33" i="9"/>
  <c r="N34" i="9"/>
  <c r="E118" i="2" s="1"/>
  <c r="O34" i="9"/>
  <c r="N35" i="9"/>
  <c r="E175" i="2" s="1"/>
  <c r="O35" i="9"/>
  <c r="N36" i="9"/>
  <c r="E133" i="2" s="1"/>
  <c r="O36" i="9"/>
  <c r="N37" i="9"/>
  <c r="E177" i="2" s="1"/>
  <c r="O37" i="9"/>
  <c r="N38" i="9"/>
  <c r="E110" i="2" s="1"/>
  <c r="O38" i="9"/>
  <c r="N39" i="9"/>
  <c r="E112" i="2" s="1"/>
  <c r="O39" i="9"/>
  <c r="N40" i="9"/>
  <c r="E107" i="2" s="1"/>
  <c r="O40" i="9"/>
  <c r="N41" i="9"/>
  <c r="E72" i="2" s="1"/>
  <c r="O41" i="9"/>
  <c r="N42" i="9"/>
  <c r="E135" i="2" s="1"/>
  <c r="O42" i="9"/>
  <c r="N43" i="9"/>
  <c r="O43" i="9"/>
  <c r="N44" i="9"/>
  <c r="O44" i="9"/>
  <c r="N45" i="9"/>
  <c r="O45" i="9"/>
  <c r="N46" i="9"/>
  <c r="O46" i="9"/>
  <c r="N47" i="9"/>
  <c r="E75" i="2" s="1"/>
  <c r="O47" i="9"/>
  <c r="N48" i="9"/>
  <c r="O48" i="9"/>
  <c r="N49" i="9"/>
  <c r="O49" i="9"/>
  <c r="N50" i="9"/>
  <c r="O50" i="9"/>
  <c r="N51" i="9"/>
  <c r="O51" i="9"/>
  <c r="N52" i="9"/>
  <c r="O52" i="9"/>
  <c r="N53" i="9"/>
  <c r="E147" i="2" s="1"/>
  <c r="O53" i="9"/>
  <c r="N54" i="9"/>
  <c r="O54" i="9"/>
  <c r="N55" i="9"/>
  <c r="O55" i="9"/>
  <c r="N56" i="9"/>
  <c r="O56" i="9"/>
  <c r="N57" i="9"/>
  <c r="O57" i="9"/>
  <c r="N58" i="9"/>
  <c r="O58" i="9"/>
  <c r="N59" i="9"/>
  <c r="E79" i="2" s="1"/>
  <c r="O59" i="9"/>
  <c r="N60" i="9"/>
  <c r="O60" i="9"/>
  <c r="N61" i="9"/>
  <c r="O61" i="9"/>
  <c r="N62" i="9"/>
  <c r="O62" i="9"/>
  <c r="N63" i="9"/>
  <c r="O63" i="9"/>
  <c r="N64" i="9"/>
  <c r="E101" i="2" s="1"/>
  <c r="O64" i="9"/>
  <c r="N65" i="9"/>
  <c r="E160" i="2" s="1"/>
  <c r="O65" i="9"/>
  <c r="N66" i="9"/>
  <c r="E151" i="2" s="1"/>
  <c r="O66" i="9"/>
  <c r="N67" i="9"/>
  <c r="E82" i="2" s="1"/>
  <c r="O67" i="9"/>
  <c r="N68" i="9"/>
  <c r="E83" i="2" s="1"/>
  <c r="O68" i="9"/>
  <c r="N69" i="9"/>
  <c r="E84" i="2" s="1"/>
  <c r="O69" i="9"/>
  <c r="N70" i="9"/>
  <c r="E85" i="2" s="1"/>
  <c r="O70" i="9"/>
  <c r="N71" i="9"/>
  <c r="E86" i="2" s="1"/>
  <c r="O71" i="9"/>
  <c r="N72" i="9"/>
  <c r="E87" i="2" s="1"/>
  <c r="O72" i="9"/>
  <c r="N73" i="9"/>
  <c r="E97" i="2" s="1"/>
  <c r="O73" i="9"/>
  <c r="N74" i="9"/>
  <c r="E88" i="2" s="1"/>
  <c r="O74" i="9"/>
  <c r="N75" i="9"/>
  <c r="E89" i="2" s="1"/>
  <c r="O75" i="9"/>
  <c r="N76" i="9"/>
  <c r="E98" i="2" s="1"/>
  <c r="O76" i="9"/>
  <c r="N77" i="9"/>
  <c r="E90" i="2" s="1"/>
  <c r="O77" i="9"/>
  <c r="N78" i="9"/>
  <c r="E152" i="2" s="1"/>
  <c r="O78" i="9"/>
  <c r="N79" i="9"/>
  <c r="E137" i="2" s="1"/>
  <c r="O79" i="9"/>
  <c r="N80" i="9"/>
  <c r="E153" i="2" s="1"/>
  <c r="O80" i="9"/>
  <c r="N81" i="9"/>
  <c r="E154" i="2" s="1"/>
  <c r="O81" i="9"/>
  <c r="N82" i="9"/>
  <c r="E155" i="2" s="1"/>
  <c r="O82" i="9"/>
  <c r="N83" i="9"/>
  <c r="E161" i="2" s="1"/>
  <c r="O83" i="9"/>
  <c r="N84" i="9"/>
  <c r="E102" i="2" s="1"/>
  <c r="O84" i="9"/>
  <c r="N85" i="9"/>
  <c r="E103" i="2" s="1"/>
  <c r="O85" i="9"/>
  <c r="N86" i="9"/>
  <c r="E176" i="2" s="1"/>
  <c r="O86" i="9"/>
  <c r="N87" i="9"/>
  <c r="E180" i="2" s="1"/>
  <c r="O87" i="9"/>
  <c r="N88" i="9"/>
  <c r="E181" i="2" s="1"/>
  <c r="O88" i="9"/>
  <c r="N89" i="9"/>
  <c r="E182" i="2" s="1"/>
  <c r="O89" i="9"/>
  <c r="N90" i="9"/>
  <c r="E183" i="2" s="1"/>
  <c r="O90" i="9"/>
  <c r="N91" i="9"/>
  <c r="E184" i="2" s="1"/>
  <c r="O91" i="9"/>
  <c r="N92" i="9"/>
  <c r="E185" i="2" s="1"/>
  <c r="O92" i="9"/>
  <c r="N93" i="9"/>
  <c r="E186" i="2" s="1"/>
  <c r="O93" i="9"/>
  <c r="N94" i="9"/>
  <c r="E187" i="2" s="1"/>
  <c r="O94" i="9"/>
  <c r="N95" i="9"/>
  <c r="E188" i="2" s="1"/>
  <c r="O95" i="9"/>
  <c r="N96" i="9"/>
  <c r="E189" i="2" s="1"/>
  <c r="O96" i="9"/>
  <c r="N97" i="9"/>
  <c r="E190" i="2" s="1"/>
  <c r="O97" i="9"/>
  <c r="N98" i="9"/>
  <c r="E191" i="2" s="1"/>
  <c r="O98" i="9"/>
  <c r="N99" i="9"/>
  <c r="E192" i="2" s="1"/>
  <c r="O99" i="9"/>
  <c r="N100" i="9"/>
  <c r="E193" i="2" s="1"/>
  <c r="O100" i="9"/>
  <c r="N101" i="9"/>
  <c r="E194" i="2" s="1"/>
  <c r="O101" i="9"/>
  <c r="N102" i="9"/>
  <c r="E196" i="2" s="1"/>
  <c r="O102" i="9"/>
  <c r="N103" i="9"/>
  <c r="E195" i="2" s="1"/>
  <c r="O103" i="9"/>
  <c r="N104" i="9"/>
  <c r="E46" i="2" s="1"/>
  <c r="O104" i="9"/>
  <c r="N105" i="9"/>
  <c r="E119" i="2" s="1"/>
  <c r="O105" i="9"/>
  <c r="N106" i="9"/>
  <c r="E120" i="2" s="1"/>
  <c r="O106" i="9"/>
  <c r="N107" i="9"/>
  <c r="E121" i="2" s="1"/>
  <c r="O107" i="9"/>
  <c r="N108" i="9"/>
  <c r="E122" i="2" s="1"/>
  <c r="O108" i="9"/>
  <c r="N109" i="9"/>
  <c r="E36" i="2" s="1"/>
  <c r="O109" i="9"/>
  <c r="N110" i="9"/>
  <c r="E47" i="2" s="1"/>
  <c r="O110" i="9"/>
  <c r="N111" i="9"/>
  <c r="E73" i="2" s="1"/>
  <c r="O111" i="9"/>
  <c r="N112" i="9"/>
  <c r="E123" i="2" s="1"/>
  <c r="O112" i="9"/>
  <c r="N113" i="9"/>
  <c r="E124" i="2" s="1"/>
  <c r="O113" i="9"/>
  <c r="N114" i="9"/>
  <c r="E125" i="2" s="1"/>
  <c r="O114" i="9"/>
  <c r="N115" i="9"/>
  <c r="E60" i="2" s="1"/>
  <c r="O115" i="9"/>
  <c r="N116" i="9"/>
  <c r="E40" i="2" s="1"/>
  <c r="O116" i="9"/>
  <c r="N117" i="9"/>
  <c r="E136" i="2" s="1"/>
  <c r="O117" i="9"/>
  <c r="N118" i="9"/>
  <c r="E55" i="2" s="1"/>
  <c r="O118" i="9"/>
  <c r="N119" i="9"/>
  <c r="E56" i="2" s="1"/>
  <c r="O119" i="9"/>
  <c r="N120" i="9"/>
  <c r="E57" i="2" s="1"/>
  <c r="O120" i="9"/>
  <c r="N121" i="9"/>
  <c r="E51" i="2" s="1"/>
  <c r="O121" i="9"/>
  <c r="N122" i="9"/>
  <c r="E48" i="2" s="1"/>
  <c r="O122" i="9"/>
  <c r="N123" i="9"/>
  <c r="E74" i="2" s="1"/>
  <c r="O123" i="9"/>
  <c r="N124" i="9"/>
  <c r="E134" i="2" s="1"/>
  <c r="O124" i="9"/>
  <c r="N125" i="9"/>
  <c r="E63" i="2" s="1"/>
  <c r="O125" i="9"/>
  <c r="N126" i="9"/>
  <c r="E58" i="2" s="1"/>
  <c r="O126" i="9"/>
  <c r="N127" i="9"/>
  <c r="E52" i="2" s="1"/>
  <c r="O127" i="9"/>
  <c r="N128" i="9"/>
  <c r="E37" i="2" s="1"/>
  <c r="O128" i="9"/>
  <c r="N129" i="9"/>
  <c r="E41" i="2" s="1"/>
  <c r="O129" i="9"/>
  <c r="N130" i="9"/>
  <c r="E38" i="2" s="1"/>
  <c r="O130" i="9"/>
  <c r="N131" i="9"/>
  <c r="E39" i="2" s="1"/>
  <c r="O131" i="9"/>
  <c r="N132" i="9"/>
  <c r="E108" i="2" s="1"/>
  <c r="O132" i="9"/>
  <c r="N133" i="9"/>
  <c r="E53" i="2" s="1"/>
  <c r="O133" i="9"/>
  <c r="N134" i="9"/>
  <c r="E49" i="2" s="1"/>
  <c r="O134" i="9"/>
  <c r="N135" i="9"/>
  <c r="E42" i="2" s="1"/>
  <c r="O135" i="9"/>
  <c r="N136" i="9"/>
  <c r="E93" i="2" s="1"/>
  <c r="O136" i="9"/>
  <c r="N137" i="9"/>
  <c r="E54" i="2" s="1"/>
  <c r="O137" i="9"/>
  <c r="N138" i="9"/>
  <c r="E167" i="2" s="1"/>
  <c r="O138" i="9"/>
  <c r="N139" i="9"/>
  <c r="E65" i="2" s="1"/>
  <c r="O139" i="9"/>
  <c r="N140" i="9"/>
  <c r="E168" i="2" s="1"/>
  <c r="O140" i="9"/>
  <c r="N141" i="9"/>
  <c r="E8" i="2" s="1"/>
  <c r="O141" i="9"/>
  <c r="N142" i="9"/>
  <c r="E162" i="2" s="1"/>
  <c r="O142" i="9"/>
  <c r="N143" i="9"/>
  <c r="E66" i="2" s="1"/>
  <c r="O143" i="9"/>
  <c r="N144" i="9"/>
  <c r="E163" i="2" s="1"/>
  <c r="O144" i="9"/>
  <c r="N145" i="9"/>
  <c r="E29" i="2" s="1"/>
  <c r="O145" i="9"/>
  <c r="N146" i="9"/>
  <c r="E164" i="2" s="1"/>
  <c r="O146" i="9"/>
  <c r="N147" i="9"/>
  <c r="E67" i="2" s="1"/>
  <c r="O147" i="9"/>
  <c r="N148" i="9"/>
  <c r="E30" i="2" s="1"/>
  <c r="O148" i="9"/>
  <c r="N149" i="9"/>
  <c r="E169" i="2" s="1"/>
  <c r="O149" i="9"/>
  <c r="N150" i="9"/>
  <c r="E31" i="2" s="1"/>
  <c r="O150" i="9"/>
  <c r="N151" i="9"/>
  <c r="E138" i="2" s="1"/>
  <c r="O151" i="9"/>
  <c r="N152" i="9"/>
  <c r="E27" i="2" s="1"/>
  <c r="O152" i="9"/>
  <c r="N153" i="9"/>
  <c r="E165" i="2" s="1"/>
  <c r="O153" i="9"/>
  <c r="N154" i="9"/>
  <c r="E170" i="2" s="1"/>
  <c r="O154" i="9"/>
  <c r="N155" i="9"/>
  <c r="E68" i="2" s="1"/>
  <c r="O155" i="9"/>
  <c r="N156" i="9"/>
  <c r="E32" i="2" s="1"/>
  <c r="O156" i="9"/>
  <c r="N157" i="9"/>
  <c r="E156" i="2" s="1"/>
  <c r="O157" i="9"/>
  <c r="N158" i="9"/>
  <c r="E173" i="2" s="1"/>
  <c r="O158" i="9"/>
  <c r="N159" i="9"/>
  <c r="E157" i="2" s="1"/>
  <c r="O159" i="9"/>
  <c r="N160" i="9"/>
  <c r="E174" i="2" s="1"/>
  <c r="O160" i="9"/>
  <c r="N161" i="9"/>
  <c r="E69" i="2" s="1"/>
  <c r="O161" i="9"/>
  <c r="N162" i="9"/>
  <c r="E61" i="2" s="1"/>
  <c r="O162" i="9"/>
  <c r="N163" i="9"/>
  <c r="E171" i="2" s="1"/>
  <c r="O163" i="9"/>
  <c r="N164" i="9"/>
  <c r="E70" i="2" s="1"/>
  <c r="O164" i="9"/>
  <c r="N165" i="9"/>
  <c r="E28" i="2" s="1"/>
  <c r="O165" i="9"/>
  <c r="N166" i="9"/>
  <c r="E4" i="2" s="1"/>
  <c r="O166" i="9"/>
  <c r="N167" i="9"/>
  <c r="E64" i="2" s="1"/>
  <c r="O167" i="9"/>
  <c r="N168" i="9"/>
  <c r="E33" i="2" s="1"/>
  <c r="O168" i="9"/>
  <c r="N169" i="9"/>
  <c r="E172" i="2" s="1"/>
  <c r="O169" i="9"/>
  <c r="N170" i="9"/>
  <c r="E178" i="2" s="1"/>
  <c r="O170" i="9"/>
  <c r="N171" i="9"/>
  <c r="E96" i="2" s="1"/>
  <c r="O171" i="9"/>
  <c r="N172" i="9"/>
  <c r="E94" i="2" s="1"/>
  <c r="O172" i="9"/>
  <c r="N173" i="9"/>
  <c r="E179" i="2" s="1"/>
  <c r="O173" i="9"/>
  <c r="N174" i="9"/>
  <c r="E95" i="2" s="1"/>
  <c r="O174" i="9"/>
  <c r="N175" i="9"/>
  <c r="E19" i="2" s="1"/>
  <c r="O175" i="9"/>
  <c r="N176" i="9"/>
  <c r="E5" i="2" s="1"/>
  <c r="O176" i="9"/>
  <c r="N177" i="9"/>
  <c r="E59" i="2" s="1"/>
  <c r="O177" i="9"/>
  <c r="N178" i="9"/>
  <c r="E91" i="2" s="1"/>
  <c r="O178" i="9"/>
  <c r="N179" i="9"/>
  <c r="E92" i="2" s="1"/>
  <c r="O179" i="9"/>
  <c r="N180" i="9"/>
  <c r="E20" i="2" s="1"/>
  <c r="O180" i="9"/>
  <c r="N181" i="9"/>
  <c r="E9" i="2" s="1"/>
  <c r="O181" i="9"/>
  <c r="N182" i="9"/>
  <c r="E10" i="2" s="1"/>
  <c r="O182" i="9"/>
  <c r="N183" i="9"/>
  <c r="E11" i="2" s="1"/>
  <c r="O183" i="9"/>
  <c r="N184" i="9"/>
  <c r="E7" i="2" s="1"/>
  <c r="O184" i="9"/>
  <c r="N185" i="9"/>
  <c r="E43" i="2" s="1"/>
  <c r="O185" i="9"/>
  <c r="N186" i="9"/>
  <c r="E62" i="2" s="1"/>
  <c r="O186" i="9"/>
  <c r="N187" i="9"/>
  <c r="E12" i="2" s="1"/>
  <c r="O187" i="9"/>
  <c r="N188" i="9"/>
  <c r="E104" i="2" s="1"/>
  <c r="O188" i="9"/>
  <c r="N189" i="9"/>
  <c r="E21" i="2" s="1"/>
  <c r="O189" i="9"/>
  <c r="N190" i="9"/>
  <c r="E13" i="2" s="1"/>
  <c r="O190" i="9"/>
  <c r="N191" i="9"/>
  <c r="E115" i="2" s="1"/>
  <c r="O191" i="9"/>
  <c r="N192" i="9"/>
  <c r="O192" i="9"/>
  <c r="N193" i="9"/>
  <c r="O193" i="9"/>
  <c r="N194" i="9"/>
  <c r="O194" i="9"/>
  <c r="N195" i="9"/>
  <c r="O195" i="9"/>
  <c r="O2" i="9"/>
  <c r="E6" i="2" l="1"/>
  <c r="E111" i="2"/>
  <c r="E114" i="2"/>
  <c r="E81" i="2"/>
  <c r="E149" i="2"/>
  <c r="E77" i="2"/>
  <c r="E141" i="2"/>
  <c r="L11" i="2"/>
  <c r="L42" i="2"/>
  <c r="Q42" i="2" s="1"/>
  <c r="U42" i="2" s="1"/>
  <c r="L121" i="2"/>
  <c r="Q121" i="2" s="1"/>
  <c r="L89" i="2"/>
  <c r="L44" i="2"/>
  <c r="L27" i="2"/>
  <c r="L59" i="2"/>
  <c r="L26" i="2"/>
  <c r="L9" i="2"/>
  <c r="Q9" i="2" s="1"/>
  <c r="L15" i="2"/>
  <c r="L41" i="2"/>
  <c r="P41" i="2" s="1"/>
  <c r="L58" i="2"/>
  <c r="Q58" i="2" s="1"/>
  <c r="U58" i="2" s="1"/>
  <c r="L120" i="2"/>
  <c r="Q120" i="2" s="1"/>
  <c r="L6" i="2"/>
  <c r="L5" i="2"/>
  <c r="Q5" i="2" s="1"/>
  <c r="V5" i="2" s="1"/>
  <c r="L3" i="2"/>
  <c r="Q3" i="2" s="1"/>
  <c r="U3" i="2" s="1"/>
  <c r="L4" i="2"/>
  <c r="Q4" i="2" s="1"/>
  <c r="V4" i="2" s="1"/>
  <c r="E78" i="2"/>
  <c r="E146" i="2"/>
  <c r="E143" i="2"/>
  <c r="E100" i="2"/>
  <c r="E99" i="2"/>
  <c r="E145" i="2"/>
  <c r="E3" i="2"/>
  <c r="E150" i="2"/>
  <c r="E159" i="2"/>
  <c r="E144" i="2"/>
  <c r="E142" i="2"/>
  <c r="E80" i="2"/>
  <c r="E148" i="2"/>
  <c r="E113" i="2"/>
  <c r="E76" i="2"/>
  <c r="P32" i="2"/>
  <c r="P154" i="2"/>
  <c r="P97" i="2"/>
  <c r="P122" i="2"/>
  <c r="P28" i="2"/>
  <c r="P125" i="2"/>
  <c r="P152" i="2"/>
  <c r="P84" i="2"/>
  <c r="P43" i="2"/>
  <c r="P50" i="2"/>
  <c r="P69" i="2"/>
  <c r="P123" i="2"/>
  <c r="P82" i="2"/>
  <c r="P99" i="2"/>
  <c r="P147" i="2"/>
  <c r="P71" i="2"/>
  <c r="P126" i="2"/>
  <c r="P138" i="2"/>
  <c r="P119" i="2"/>
  <c r="P155" i="2"/>
  <c r="P56" i="2"/>
  <c r="P193" i="2"/>
  <c r="P181" i="2"/>
  <c r="P77" i="2"/>
  <c r="P10" i="2"/>
  <c r="P94" i="2"/>
  <c r="U188" i="2"/>
  <c r="P78" i="2"/>
  <c r="P130" i="2"/>
  <c r="P127" i="2"/>
  <c r="P22" i="2"/>
  <c r="P134" i="2"/>
  <c r="P104" i="2"/>
  <c r="P164" i="2"/>
  <c r="P29" i="2"/>
  <c r="P57" i="2"/>
  <c r="P167" i="2"/>
  <c r="P114" i="2"/>
  <c r="P111" i="2"/>
  <c r="P178" i="2"/>
  <c r="P74" i="2"/>
  <c r="P179" i="2"/>
  <c r="P67" i="2"/>
  <c r="P93" i="2"/>
  <c r="P42" i="2"/>
  <c r="P51" i="2"/>
  <c r="P60" i="2"/>
  <c r="P189" i="2"/>
  <c r="V183" i="2"/>
  <c r="P106" i="2"/>
  <c r="P23" i="2"/>
  <c r="P63" i="2"/>
  <c r="P70" i="2"/>
  <c r="P30" i="2"/>
  <c r="P196" i="2"/>
  <c r="P72" i="2"/>
  <c r="P17" i="2"/>
  <c r="P7" i="2"/>
  <c r="P47" i="2"/>
  <c r="P190" i="2"/>
  <c r="V184" i="2"/>
  <c r="P183" i="2"/>
  <c r="P85" i="2"/>
  <c r="P81" i="2"/>
  <c r="P25" i="2"/>
  <c r="P13" i="2"/>
  <c r="P92" i="2"/>
  <c r="P172" i="2"/>
  <c r="P169" i="2"/>
  <c r="P136" i="2"/>
  <c r="P159" i="2"/>
  <c r="P135" i="2"/>
  <c r="P177" i="2"/>
  <c r="P24" i="2"/>
  <c r="P37" i="2"/>
  <c r="P75" i="2"/>
  <c r="P175" i="2"/>
  <c r="P185" i="2"/>
  <c r="P161" i="2"/>
  <c r="P68" i="2"/>
  <c r="P79" i="2"/>
  <c r="P86" i="2"/>
  <c r="Q194" i="2"/>
  <c r="P194" i="2"/>
  <c r="U10" i="2"/>
  <c r="V10" i="2"/>
  <c r="P11" i="2"/>
  <c r="Q11" i="2"/>
  <c r="U94" i="2"/>
  <c r="V94" i="2"/>
  <c r="U69" i="2"/>
  <c r="V69" i="2"/>
  <c r="P165" i="2"/>
  <c r="U169" i="2"/>
  <c r="V169" i="2"/>
  <c r="U30" i="2"/>
  <c r="V30" i="2"/>
  <c r="U67" i="2"/>
  <c r="V67" i="2"/>
  <c r="V164" i="2"/>
  <c r="U164" i="2"/>
  <c r="U136" i="2"/>
  <c r="V136" i="2"/>
  <c r="Q40" i="2"/>
  <c r="P40" i="2"/>
  <c r="U9" i="2"/>
  <c r="V9" i="2"/>
  <c r="U195" i="2"/>
  <c r="V195" i="2"/>
  <c r="U7" i="2"/>
  <c r="V7" i="2"/>
  <c r="P61" i="2"/>
  <c r="Q61" i="2"/>
  <c r="P27" i="2"/>
  <c r="Q27" i="2"/>
  <c r="V29" i="2"/>
  <c r="U29" i="2"/>
  <c r="P52" i="2"/>
  <c r="Q52" i="2"/>
  <c r="U57" i="2"/>
  <c r="V57" i="2"/>
  <c r="U56" i="2"/>
  <c r="V56" i="2"/>
  <c r="V55" i="2"/>
  <c r="U55" i="2"/>
  <c r="U125" i="2"/>
  <c r="V125" i="2"/>
  <c r="P46" i="2"/>
  <c r="Q46" i="2"/>
  <c r="P6" i="2"/>
  <c r="Q6" i="2"/>
  <c r="P96" i="2"/>
  <c r="Q96" i="2"/>
  <c r="U165" i="2"/>
  <c r="V165" i="2"/>
  <c r="P31" i="2"/>
  <c r="Q31" i="2"/>
  <c r="U38" i="2"/>
  <c r="V38" i="2"/>
  <c r="V51" i="2"/>
  <c r="U51" i="2"/>
  <c r="P20" i="2"/>
  <c r="Q20" i="2"/>
  <c r="P171" i="2"/>
  <c r="Q171" i="2"/>
  <c r="U43" i="2"/>
  <c r="V43" i="2"/>
  <c r="P95" i="2"/>
  <c r="Q95" i="2"/>
  <c r="V70" i="2"/>
  <c r="U70" i="2"/>
  <c r="U170" i="2"/>
  <c r="V170" i="2"/>
  <c r="P108" i="2"/>
  <c r="U74" i="2"/>
  <c r="V74" i="2"/>
  <c r="P48" i="2"/>
  <c r="Q48" i="2"/>
  <c r="U174" i="2"/>
  <c r="V174" i="2"/>
  <c r="P163" i="2"/>
  <c r="Q163" i="2"/>
  <c r="Q124" i="2"/>
  <c r="P124" i="2"/>
  <c r="P62" i="2"/>
  <c r="Q62" i="2"/>
  <c r="P19" i="2"/>
  <c r="Q19" i="2"/>
  <c r="U28" i="2"/>
  <c r="V28" i="2"/>
  <c r="U93" i="2"/>
  <c r="V93" i="2"/>
  <c r="P39" i="2"/>
  <c r="Q39" i="2"/>
  <c r="U122" i="2"/>
  <c r="V122" i="2"/>
  <c r="U121" i="2"/>
  <c r="V121" i="2"/>
  <c r="U179" i="2"/>
  <c r="V179" i="2"/>
  <c r="P21" i="2"/>
  <c r="Q21" i="2"/>
  <c r="P64" i="2"/>
  <c r="P65" i="2"/>
  <c r="Q65" i="2"/>
  <c r="U167" i="2"/>
  <c r="V167" i="2"/>
  <c r="Q54" i="2"/>
  <c r="P54" i="2"/>
  <c r="V108" i="2"/>
  <c r="U108" i="2"/>
  <c r="U120" i="2"/>
  <c r="V120" i="2"/>
  <c r="U73" i="2"/>
  <c r="V73" i="2"/>
  <c r="P115" i="2"/>
  <c r="P12" i="2"/>
  <c r="Q12" i="2"/>
  <c r="P91" i="2"/>
  <c r="U13" i="2"/>
  <c r="V13" i="2"/>
  <c r="P59" i="2"/>
  <c r="Q59" i="2"/>
  <c r="P156" i="2"/>
  <c r="V32" i="2"/>
  <c r="U32" i="2"/>
  <c r="P8" i="2"/>
  <c r="P49" i="2"/>
  <c r="Q49" i="2"/>
  <c r="P53" i="2"/>
  <c r="Q53" i="2"/>
  <c r="P191" i="2"/>
  <c r="Q191" i="2"/>
  <c r="U115" i="2"/>
  <c r="V115" i="2"/>
  <c r="P168" i="2"/>
  <c r="Q168" i="2"/>
  <c r="U190" i="2"/>
  <c r="V190" i="2"/>
  <c r="V189" i="2"/>
  <c r="U189" i="2"/>
  <c r="V66" i="2"/>
  <c r="U66" i="2"/>
  <c r="V91" i="2"/>
  <c r="U91" i="2"/>
  <c r="P113" i="2"/>
  <c r="Q113" i="2"/>
  <c r="P33" i="2"/>
  <c r="Q33" i="2"/>
  <c r="P174" i="2"/>
  <c r="U156" i="2"/>
  <c r="V156" i="2"/>
  <c r="P66" i="2"/>
  <c r="U8" i="2"/>
  <c r="V8" i="2"/>
  <c r="P192" i="2"/>
  <c r="Q192" i="2"/>
  <c r="U187" i="2"/>
  <c r="V187" i="2"/>
  <c r="U186" i="2"/>
  <c r="V186" i="2"/>
  <c r="U196" i="2"/>
  <c r="V196" i="2"/>
  <c r="U64" i="2"/>
  <c r="V64" i="2"/>
  <c r="U111" i="2"/>
  <c r="V111" i="2"/>
  <c r="U114" i="2"/>
  <c r="V114" i="2"/>
  <c r="P9" i="2"/>
  <c r="U92" i="2"/>
  <c r="V92" i="2"/>
  <c r="U178" i="2"/>
  <c r="V178" i="2"/>
  <c r="U172" i="2"/>
  <c r="V172" i="2"/>
  <c r="P157" i="2"/>
  <c r="Q157" i="2"/>
  <c r="P173" i="2"/>
  <c r="Q173" i="2"/>
  <c r="U162" i="2"/>
  <c r="V162" i="2"/>
  <c r="P73" i="2"/>
  <c r="V47" i="2"/>
  <c r="U47" i="2"/>
  <c r="P36" i="2"/>
  <c r="Q36" i="2"/>
  <c r="P121" i="2"/>
  <c r="P195" i="2"/>
  <c r="U193" i="2"/>
  <c r="V193" i="2"/>
  <c r="U104" i="2"/>
  <c r="V138" i="2"/>
  <c r="P187" i="2"/>
  <c r="V185" i="2"/>
  <c r="U103" i="2"/>
  <c r="V103" i="2"/>
  <c r="P90" i="2"/>
  <c r="Q89" i="2"/>
  <c r="P89" i="2"/>
  <c r="P151" i="2"/>
  <c r="P101" i="2"/>
  <c r="Q101" i="2"/>
  <c r="U166" i="2"/>
  <c r="V166" i="2"/>
  <c r="P140" i="2"/>
  <c r="U45" i="2"/>
  <c r="V45" i="2"/>
  <c r="P14" i="2"/>
  <c r="Q14" i="2"/>
  <c r="P176" i="2"/>
  <c r="Q176" i="2"/>
  <c r="U34" i="2"/>
  <c r="V34" i="2"/>
  <c r="P186" i="2"/>
  <c r="Q180" i="2"/>
  <c r="P180" i="2"/>
  <c r="U90" i="2"/>
  <c r="V90" i="2"/>
  <c r="U151" i="2"/>
  <c r="V151" i="2"/>
  <c r="P133" i="2"/>
  <c r="Q133" i="2"/>
  <c r="U140" i="2"/>
  <c r="V140" i="2"/>
  <c r="P16" i="2"/>
  <c r="Q16" i="2"/>
  <c r="U160" i="2"/>
  <c r="V160" i="2"/>
  <c r="P170" i="2"/>
  <c r="V60" i="2"/>
  <c r="V123" i="2"/>
  <c r="U181" i="2"/>
  <c r="V181" i="2"/>
  <c r="P137" i="2"/>
  <c r="U152" i="2"/>
  <c r="V152" i="2"/>
  <c r="U159" i="2"/>
  <c r="V159" i="2"/>
  <c r="P143" i="2"/>
  <c r="Q143" i="2"/>
  <c r="P110" i="2"/>
  <c r="U106" i="2"/>
  <c r="V106" i="2"/>
  <c r="U17" i="2"/>
  <c r="V17" i="2"/>
  <c r="P98" i="2"/>
  <c r="Q98" i="2"/>
  <c r="U142" i="2"/>
  <c r="V142" i="2"/>
  <c r="P184" i="2"/>
  <c r="U82" i="2"/>
  <c r="V82" i="2"/>
  <c r="U99" i="2"/>
  <c r="V99" i="2"/>
  <c r="P76" i="2"/>
  <c r="Q76" i="2"/>
  <c r="U177" i="2"/>
  <c r="V177" i="2"/>
  <c r="P139" i="2"/>
  <c r="Q139" i="2"/>
  <c r="Q117" i="2"/>
  <c r="P117" i="2"/>
  <c r="P18" i="2"/>
  <c r="P109" i="2"/>
  <c r="Q109" i="2"/>
  <c r="P182" i="2"/>
  <c r="Q182" i="2"/>
  <c r="U137" i="2"/>
  <c r="V137" i="2"/>
  <c r="P83" i="2"/>
  <c r="Q83" i="2"/>
  <c r="U78" i="2"/>
  <c r="V78" i="2"/>
  <c r="U77" i="2"/>
  <c r="V77" i="2"/>
  <c r="U110" i="2"/>
  <c r="V110" i="2"/>
  <c r="U71" i="2"/>
  <c r="V71" i="2"/>
  <c r="P116" i="2"/>
  <c r="Q116" i="2"/>
  <c r="V63" i="2"/>
  <c r="P55" i="2"/>
  <c r="P153" i="2"/>
  <c r="Q153" i="2"/>
  <c r="U84" i="2"/>
  <c r="V84" i="2"/>
  <c r="P80" i="2"/>
  <c r="Q80" i="2"/>
  <c r="P144" i="2"/>
  <c r="Q144" i="2"/>
  <c r="U18" i="2"/>
  <c r="V18" i="2"/>
  <c r="Q44" i="2"/>
  <c r="P44" i="2"/>
  <c r="U149" i="2"/>
  <c r="V149" i="2"/>
  <c r="U154" i="2"/>
  <c r="V154" i="2"/>
  <c r="U85" i="2"/>
  <c r="V85" i="2"/>
  <c r="U81" i="2"/>
  <c r="V81" i="2"/>
  <c r="P107" i="2"/>
  <c r="Q107" i="2"/>
  <c r="Q112" i="2"/>
  <c r="P112" i="2"/>
  <c r="U130" i="2"/>
  <c r="V130" i="2"/>
  <c r="U126" i="2"/>
  <c r="V126" i="2"/>
  <c r="P35" i="2"/>
  <c r="Q35" i="2"/>
  <c r="P162" i="2"/>
  <c r="Q37" i="2"/>
  <c r="P87" i="2"/>
  <c r="Q87" i="2"/>
  <c r="Q145" i="2"/>
  <c r="P145" i="2"/>
  <c r="U72" i="2"/>
  <c r="V72" i="2"/>
  <c r="U127" i="2"/>
  <c r="V127" i="2"/>
  <c r="V22" i="2"/>
  <c r="U22" i="2"/>
  <c r="P38" i="2"/>
  <c r="Q68" i="2"/>
  <c r="P188" i="2"/>
  <c r="P102" i="2"/>
  <c r="U155" i="2"/>
  <c r="V155" i="2"/>
  <c r="U97" i="2"/>
  <c r="V97" i="2"/>
  <c r="P150" i="2"/>
  <c r="Q150" i="2"/>
  <c r="P148" i="2"/>
  <c r="P146" i="2"/>
  <c r="Q146" i="2"/>
  <c r="P141" i="2"/>
  <c r="U135" i="2"/>
  <c r="V135" i="2"/>
  <c r="P132" i="2"/>
  <c r="P131" i="2"/>
  <c r="Q131" i="2"/>
  <c r="P128" i="2"/>
  <c r="Q128" i="2"/>
  <c r="U23" i="2"/>
  <c r="V23" i="2"/>
  <c r="P15" i="2"/>
  <c r="Q15" i="2"/>
  <c r="V42" i="2"/>
  <c r="V134" i="2"/>
  <c r="V119" i="2"/>
  <c r="P103" i="2"/>
  <c r="P88" i="2"/>
  <c r="Q88" i="2"/>
  <c r="U147" i="2"/>
  <c r="V147" i="2"/>
  <c r="P166" i="2"/>
  <c r="P45" i="2"/>
  <c r="P105" i="2"/>
  <c r="Q105" i="2"/>
  <c r="P118" i="2"/>
  <c r="Q118" i="2"/>
  <c r="P120" i="2"/>
  <c r="V102" i="2"/>
  <c r="U102" i="2"/>
  <c r="P160" i="2"/>
  <c r="Q100" i="2"/>
  <c r="P100" i="2"/>
  <c r="P149" i="2"/>
  <c r="U148" i="2"/>
  <c r="V148" i="2"/>
  <c r="P142" i="2"/>
  <c r="U141" i="2"/>
  <c r="V141" i="2"/>
  <c r="U132" i="2"/>
  <c r="V132" i="2"/>
  <c r="V50" i="2"/>
  <c r="U50" i="2"/>
  <c r="P129" i="2"/>
  <c r="Q129" i="2"/>
  <c r="P34" i="2"/>
  <c r="P26" i="2"/>
  <c r="Q26" i="2"/>
  <c r="U25" i="2"/>
  <c r="V25" i="2"/>
  <c r="U24" i="2"/>
  <c r="V24" i="2"/>
  <c r="Q161" i="2"/>
  <c r="Q86" i="2"/>
  <c r="Q79" i="2"/>
  <c r="Q75" i="2"/>
  <c r="Q175" i="2"/>
  <c r="W158" i="2"/>
  <c r="O158" i="2"/>
  <c r="V3" i="2" l="1"/>
  <c r="U5" i="2"/>
  <c r="P5" i="2"/>
  <c r="P3" i="2"/>
  <c r="U4" i="2"/>
  <c r="P4" i="2"/>
  <c r="P58" i="2"/>
  <c r="V58" i="2"/>
  <c r="Q41" i="2"/>
  <c r="U143" i="2"/>
  <c r="V143" i="2"/>
  <c r="U95" i="2"/>
  <c r="V95" i="2"/>
  <c r="U40" i="2"/>
  <c r="V40" i="2"/>
  <c r="U35" i="2"/>
  <c r="V35" i="2"/>
  <c r="U150" i="2"/>
  <c r="V150" i="2"/>
  <c r="U113" i="2"/>
  <c r="V113" i="2"/>
  <c r="U59" i="2"/>
  <c r="V59" i="2"/>
  <c r="U27" i="2"/>
  <c r="V27" i="2"/>
  <c r="U109" i="2"/>
  <c r="V109" i="2"/>
  <c r="U16" i="2"/>
  <c r="V16" i="2"/>
  <c r="U21" i="2"/>
  <c r="V21" i="2"/>
  <c r="V48" i="2"/>
  <c r="U48" i="2"/>
  <c r="U100" i="2"/>
  <c r="V100" i="2"/>
  <c r="U153" i="2"/>
  <c r="V153" i="2"/>
  <c r="U117" i="2"/>
  <c r="V117" i="2"/>
  <c r="U180" i="2"/>
  <c r="V180" i="2"/>
  <c r="V192" i="2"/>
  <c r="U192" i="2"/>
  <c r="V191" i="2"/>
  <c r="U191" i="2"/>
  <c r="U31" i="2"/>
  <c r="V31" i="2"/>
  <c r="U61" i="2"/>
  <c r="V61" i="2"/>
  <c r="U146" i="2"/>
  <c r="V146" i="2"/>
  <c r="U33" i="2"/>
  <c r="V33" i="2"/>
  <c r="U46" i="2"/>
  <c r="V46" i="2"/>
  <c r="V173" i="2"/>
  <c r="U173" i="2"/>
  <c r="V54" i="2"/>
  <c r="U54" i="2"/>
  <c r="U19" i="2"/>
  <c r="V19" i="2"/>
  <c r="U11" i="2"/>
  <c r="V11" i="2"/>
  <c r="U175" i="2"/>
  <c r="V175" i="2"/>
  <c r="U79" i="2"/>
  <c r="V79" i="2"/>
  <c r="U88" i="2"/>
  <c r="V88" i="2"/>
  <c r="U131" i="2"/>
  <c r="V131" i="2"/>
  <c r="U139" i="2"/>
  <c r="V139" i="2"/>
  <c r="U86" i="2"/>
  <c r="V86" i="2"/>
  <c r="U83" i="2"/>
  <c r="V83" i="2"/>
  <c r="U98" i="2"/>
  <c r="V98" i="2"/>
  <c r="U101" i="2"/>
  <c r="V101" i="2"/>
  <c r="U53" i="2"/>
  <c r="V53" i="2"/>
  <c r="U171" i="2"/>
  <c r="V171" i="2"/>
  <c r="U105" i="2"/>
  <c r="V105" i="2"/>
  <c r="U39" i="2"/>
  <c r="V39" i="2"/>
  <c r="U128" i="2"/>
  <c r="V128" i="2"/>
  <c r="U145" i="2"/>
  <c r="V145" i="2"/>
  <c r="U112" i="2"/>
  <c r="V112" i="2"/>
  <c r="U44" i="2"/>
  <c r="V44" i="2"/>
  <c r="V133" i="2"/>
  <c r="U133" i="2"/>
  <c r="U157" i="2"/>
  <c r="V157" i="2"/>
  <c r="U12" i="2"/>
  <c r="V12" i="2"/>
  <c r="U62" i="2"/>
  <c r="V62" i="2"/>
  <c r="U41" i="2"/>
  <c r="V41" i="2"/>
  <c r="V87" i="2"/>
  <c r="U87" i="2"/>
  <c r="U107" i="2"/>
  <c r="V107" i="2"/>
  <c r="U116" i="2"/>
  <c r="V116" i="2"/>
  <c r="U176" i="2"/>
  <c r="V176" i="2"/>
  <c r="V49" i="2"/>
  <c r="U49" i="2"/>
  <c r="U65" i="2"/>
  <c r="V65" i="2"/>
  <c r="U20" i="2"/>
  <c r="V20" i="2"/>
  <c r="U96" i="2"/>
  <c r="V96" i="2"/>
  <c r="U26" i="2"/>
  <c r="V26" i="2"/>
  <c r="U168" i="2"/>
  <c r="V168" i="2"/>
  <c r="U129" i="2"/>
  <c r="V129" i="2"/>
  <c r="V76" i="2"/>
  <c r="U76" i="2"/>
  <c r="U15" i="2"/>
  <c r="V15" i="2"/>
  <c r="U163" i="2"/>
  <c r="V163" i="2"/>
  <c r="V80" i="2"/>
  <c r="U80" i="2"/>
  <c r="U75" i="2"/>
  <c r="V75" i="2"/>
  <c r="U161" i="2"/>
  <c r="V161" i="2"/>
  <c r="U118" i="2"/>
  <c r="V118" i="2"/>
  <c r="U68" i="2"/>
  <c r="V68" i="2"/>
  <c r="U37" i="2"/>
  <c r="V37" i="2"/>
  <c r="U144" i="2"/>
  <c r="V144" i="2"/>
  <c r="U182" i="2"/>
  <c r="V182" i="2"/>
  <c r="U14" i="2"/>
  <c r="V14" i="2"/>
  <c r="U89" i="2"/>
  <c r="V89" i="2"/>
  <c r="U36" i="2"/>
  <c r="V36" i="2"/>
  <c r="V124" i="2"/>
  <c r="U124" i="2"/>
  <c r="U6" i="2"/>
  <c r="V6" i="2"/>
  <c r="U52" i="2"/>
  <c r="V52" i="2"/>
  <c r="U194" i="2"/>
  <c r="V194" i="2"/>
  <c r="N2" i="9"/>
  <c r="E158" i="2" s="1"/>
  <c r="K158" i="2" l="1"/>
  <c r="L158" i="2" s="1"/>
  <c r="P158" i="2" l="1"/>
  <c r="Q158" i="2"/>
  <c r="W1" i="2"/>
  <c r="U158" i="2" l="1"/>
  <c r="U1" i="2" s="1"/>
  <c r="V158" i="2"/>
  <c r="V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34B083-FC91-4E79-8922-2D231E93B832}" keepAlive="1" name="Запрос — стт" description="Соединение с запросом &quot;стт&quot; в книге." type="5" refreshedVersion="7" background="1" saveData="1">
    <dbPr connection="Provider=Microsoft.Mashup.OleDb.1;Data Source=$Workbook$;Location=стт;Extended Properties=&quot;&quot;" command="SELECT * FROM [стт]"/>
  </connection>
</connections>
</file>

<file path=xl/sharedStrings.xml><?xml version="1.0" encoding="utf-8"?>
<sst xmlns="http://schemas.openxmlformats.org/spreadsheetml/2006/main" count="2478" uniqueCount="624">
  <si>
    <t>Розница</t>
  </si>
  <si>
    <t>Факт</t>
  </si>
  <si>
    <t>%</t>
  </si>
  <si>
    <t>Рек</t>
  </si>
  <si>
    <t>MR</t>
  </si>
  <si>
    <t>Из ГУГЛа</t>
  </si>
  <si>
    <t>ID</t>
  </si>
  <si>
    <t>Наименование</t>
  </si>
  <si>
    <t>Артикул</t>
  </si>
  <si>
    <t>Поставщик</t>
  </si>
  <si>
    <t>Закуп</t>
  </si>
  <si>
    <t>Ст З</t>
  </si>
  <si>
    <t>Ст Р</t>
  </si>
  <si>
    <t>Разн</t>
  </si>
  <si>
    <t>1</t>
  </si>
  <si>
    <t>Наименование элемента</t>
  </si>
  <si>
    <t>Код</t>
  </si>
  <si>
    <t>Кат. Номер</t>
  </si>
  <si>
    <t>Доп.</t>
  </si>
  <si>
    <t>Y / N</t>
  </si>
  <si>
    <t>Каталожный номер</t>
  </si>
  <si>
    <t>Артикул поставщика</t>
  </si>
  <si>
    <t>Ссылка на конкурентов</t>
  </si>
  <si>
    <t>Кол-во</t>
  </si>
  <si>
    <t>Склад</t>
  </si>
  <si>
    <t>Под заказ</t>
  </si>
  <si>
    <t>(снято с производства) Выпускной коллектор (паук) "STT" двухсоставной, разборный, 4-2-1, (d51 мм, нержавеющий) для Лада Веста (ВАЗ-21129, 1.6 л, 16 клапанный)</t>
  </si>
  <si>
    <t>N</t>
  </si>
  <si>
    <t>ТТ-00229</t>
  </si>
  <si>
    <t>стт</t>
  </si>
  <si>
    <t>Вставка "STT" вместо катализатора, 4-1 (d51 мм, два датчика кислорода) для Лада Веста (1.8 л, 16 клапанный)</t>
  </si>
  <si>
    <t>Y</t>
  </si>
  <si>
    <t>ТТ-00222</t>
  </si>
  <si>
    <t>Вставка "STT" вместо катализатора, 4-1, 16V (2 датчика кислорода) для Лада Веста</t>
  </si>
  <si>
    <t>TT-00014.</t>
  </si>
  <si>
    <t>TT-00014</t>
  </si>
  <si>
    <t>Вставка "STT" вместо катализатора, 4-1, 16V (два датчика кислорода)</t>
  </si>
  <si>
    <t>TT-00010</t>
  </si>
  <si>
    <t>Вставка "STT" вместо катализатора, 4-1, 16V (нержавеющая сталь, 2 датчика кислорода) для Лада Веста</t>
  </si>
  <si>
    <t>ТТ-00221</t>
  </si>
  <si>
    <t>Вставка "STT" вместо катализатора, 4-1, 16V (под 1 датчик кислорода)</t>
  </si>
  <si>
    <t>TT-00009.</t>
  </si>
  <si>
    <t>TT-00009</t>
  </si>
  <si>
    <t>Вставка "STT" вместо катализатора, 4-1, 8V (1 датчик кислорода)</t>
  </si>
  <si>
    <t>TT-00012.</t>
  </si>
  <si>
    <t>TT-00012</t>
  </si>
  <si>
    <t>Вставка "STT" вместо катализатора, 4-1, 8V (2 датчика кислорода)</t>
  </si>
  <si>
    <t>TT-00011.</t>
  </si>
  <si>
    <t>TT-00011</t>
  </si>
  <si>
    <t>Вставка "STT" вместо катализатора, 4-1, нержавеющая (d51 мм, два датчика кислорода) для Лада Веста (ВАЗ-21179, 1.8 л, 16 клапанный)</t>
  </si>
  <si>
    <t>ТТ-00223</t>
  </si>
  <si>
    <t>Вставка "STT" вместо катализатора, 4-2-1, 16V (с 1 датчиком кислорода)</t>
  </si>
  <si>
    <t>TT-00005.</t>
  </si>
  <si>
    <t>TT-00005</t>
  </si>
  <si>
    <t>Вставка "STT" вместо катализатора, 4-2-1, 16V (с 2 датчиками кислорода)</t>
  </si>
  <si>
    <t>TT-00006.</t>
  </si>
  <si>
    <t>TT-00006</t>
  </si>
  <si>
    <t>Вставка "STT" вместо катализатора, 4-2-1, 8V (1 датчик кислорода)</t>
  </si>
  <si>
    <t>TT-00003.</t>
  </si>
  <si>
    <t>TT-00003</t>
  </si>
  <si>
    <t>Вставка "STT" вместо катализатора, 4-2-1, 8V (1 датчик кислорода) для ВАЗ 2113-2115</t>
  </si>
  <si>
    <t>TT-00001.</t>
  </si>
  <si>
    <t>TT-00001</t>
  </si>
  <si>
    <t>Вставка "STT" вместо катализатора, 4-2-1, 8V (2 датчика кислорода)</t>
  </si>
  <si>
    <t>TT-00004.</t>
  </si>
  <si>
    <t>TT-00004</t>
  </si>
  <si>
    <t>Вставка "STT" вместо катализатора, 4-2-1, 8V (2 датчика кислорода) для ВАЗ 2113-2115</t>
  </si>
  <si>
    <t>TT-00002.</t>
  </si>
  <si>
    <t>TT-00002</t>
  </si>
  <si>
    <t>ТТ-00224</t>
  </si>
  <si>
    <t>Вставка "STT" замены катализатора, 4-1, (d51 мм, нержавеющая) для Лада Ларгус, XRAY (ВАЗ-21129, 1.6 л, 16 клапанный)</t>
  </si>
  <si>
    <t>ТТ-00225</t>
  </si>
  <si>
    <t>Выпускной коллектор (паук) "STT" 4-2-1 (16V, SPORT, нержавеющая сталь, выход 63 мм) для Лада Калина</t>
  </si>
  <si>
    <t>0</t>
  </si>
  <si>
    <t>Выпускной коллектор (паук) "STT" 4-2-1 (16V, SPORT, нержавеющая сталь) для ВАЗ 2110-2112</t>
  </si>
  <si>
    <t>TT-00041.</t>
  </si>
  <si>
    <t>TT-00041</t>
  </si>
  <si>
    <t>Выпускной коллектор (паук) "STT" 4-2-1 (16V, SPORT, нержавеющая сталь) для Лада Гранта, Калина 2</t>
  </si>
  <si>
    <t>ТТ-00070</t>
  </si>
  <si>
    <t>TT-00070</t>
  </si>
  <si>
    <t>Выпускной коллектор (паук) "STT" 4-2-1 (16V, SPORT, нержавеющая сталь) для Лада Калина</t>
  </si>
  <si>
    <t>TT-00053.</t>
  </si>
  <si>
    <t>TT-00053</t>
  </si>
  <si>
    <t>Выпускной коллектор (паук) "STT" 4-2-1 (16V, SPORT, нержавеющая сталь) для Лада Приора</t>
  </si>
  <si>
    <t>ТТ-00050</t>
  </si>
  <si>
    <t>TT-00050</t>
  </si>
  <si>
    <t>Выпускной коллектор (паук) "STT" 4-2-1 (16V, SPORT) для Лада Гранта, Калина 2</t>
  </si>
  <si>
    <t>TT-00067.</t>
  </si>
  <si>
    <t>TT-00067</t>
  </si>
  <si>
    <t>Выпускной коллектор (паук) "STT" 4-2-1 (16V, SPORT) для Лада Приора</t>
  </si>
  <si>
    <t>ТТ-00045</t>
  </si>
  <si>
    <t>TT-00045</t>
  </si>
  <si>
    <t>Выпускной коллектор (паук) "STT" 4-2-1 (16V, нержавеющая сталь) для ВАЗ 2101-2107</t>
  </si>
  <si>
    <t>TT-00155.</t>
  </si>
  <si>
    <t>TT-00155</t>
  </si>
  <si>
    <t>Выпускной коллектор (паук) "STT" 4-2-1 (16V, нержавеющая сталь) для ВАЗ 2108-21099, 2113-2115</t>
  </si>
  <si>
    <t>TT-00033.</t>
  </si>
  <si>
    <t>TT-00033</t>
  </si>
  <si>
    <t>Выпускной коллектор (паук) "STT" 4-2-1 (16V, нержавеющая сталь) для Лада Веста 1.6L</t>
  </si>
  <si>
    <t>TT-00076.</t>
  </si>
  <si>
    <t>TT-00076</t>
  </si>
  <si>
    <t>6</t>
  </si>
  <si>
    <t>Выпускной коллектор (паук) "STT" 4-2-1 (8V, SPORT, выход 63 мм) для Лада Гранта, Калина 2</t>
  </si>
  <si>
    <t>TT-00071</t>
  </si>
  <si>
    <t>Выпускной коллектор (паук) "STT" 4-2-1 (8V, SPORT, нержавеющая сталь) для ВАЗ 2108-21099, 2113-2115</t>
  </si>
  <si>
    <t>ТТ-00238</t>
  </si>
  <si>
    <t>Выпускной коллектор (паук) "STT" 4-2-1 (8V, SPORT, нержавеющая сталь) для ВАЗ 2110-2112</t>
  </si>
  <si>
    <t>ТТ-00237</t>
  </si>
  <si>
    <t>Выпускной коллектор (паук) "STT" 4-2-1 (8V, SPORT, нержавеющая сталь) для Лада Гранта, Калина 2</t>
  </si>
  <si>
    <t>TT-00073.</t>
  </si>
  <si>
    <t>TT-00073</t>
  </si>
  <si>
    <t>Выпускной коллектор (паук) "STT" 4-2-1 (8V, нержавеющая сталь) для ВАЗ 2101-2107</t>
  </si>
  <si>
    <t>TT-00022.</t>
  </si>
  <si>
    <t>TT-00022</t>
  </si>
  <si>
    <t>Выпускной коллектор (паук) "STT" 4-2-1 (8V, нержавеющая сталь) для Лада Гранта, Калина 2</t>
  </si>
  <si>
    <t>TT-00072.</t>
  </si>
  <si>
    <t>TT-00072</t>
  </si>
  <si>
    <t>Выпускной коллектор (паук) "STT" 4-2-1 (8V, нержавеющая сталь) для Лада Нива 4x4</t>
  </si>
  <si>
    <t>TT-00024.</t>
  </si>
  <si>
    <t>TT-00024</t>
  </si>
  <si>
    <t>Выпускной коллектор (паук) "STT" 4-2-1 (SPORT, 16V, нержавеющая сталь) для ВАЗ 2108-21099, 2113-2115</t>
  </si>
  <si>
    <t>TT-00032.</t>
  </si>
  <si>
    <t>TT-00032</t>
  </si>
  <si>
    <t>Выпускной коллектор (паук) "STT" 4-2-1 (нержавеющая сталь) для Шевроле Нива</t>
  </si>
  <si>
    <t>ТТ-00227</t>
  </si>
  <si>
    <t>Выпускной коллектор (паук) "STT" 4-2-1 для Лада Нива 4x4</t>
  </si>
  <si>
    <t>TT-00020.</t>
  </si>
  <si>
    <t>TT-00020</t>
  </si>
  <si>
    <t>Выпускной коллектор (паук) "STT" 4-2-1 для Шевроле Нива</t>
  </si>
  <si>
    <t>ТТ-00226</t>
  </si>
  <si>
    <t>Выпускной коллектор (паук) "STT" 4-2-1, 16V для ВАЗ 2101-2107</t>
  </si>
  <si>
    <t>TT-00023.</t>
  </si>
  <si>
    <t>TT-00023</t>
  </si>
  <si>
    <t>Выпускной коллектор (паук) "STT" SPORT, 4-2-1, (d51 мм, нержавеющий) для ВАЗ 2110-2112 (ВАЗ-2112, 1.5 л, 16 клапанный)</t>
  </si>
  <si>
    <t>TT-00043</t>
  </si>
  <si>
    <t>Выпускной коллектор (паук) "STT" SPORT, 4-2-1, (d63 мм, нержавеющая, на 2 болта) для Лада Приора (ВАЗ-21126, 1.6 л, 16 клапанный)</t>
  </si>
  <si>
    <t>TT-00051</t>
  </si>
  <si>
    <t>ТТ-00167</t>
  </si>
  <si>
    <t>Глушитель "STT" ВАЗ 2112 новое крепление (нержавейка)</t>
  </si>
  <si>
    <t>ТТ-00173</t>
  </si>
  <si>
    <t>Глушитель "STT" ВАЗ 2114 овальная насадка (нержавейка)</t>
  </si>
  <si>
    <t>Глушитель "STT" Калина 1117-18 (нержавейка)</t>
  </si>
  <si>
    <t>ТТ-00203</t>
  </si>
  <si>
    <t>Глушитель "STT" на Лада Веста (седан)</t>
  </si>
  <si>
    <t>TT-00147</t>
  </si>
  <si>
    <t>Глушитель "STT" прямоточный (крепления н/о) для ВАЗ 2110, 2111</t>
  </si>
  <si>
    <t>ТТ-00170</t>
  </si>
  <si>
    <t>Глушитель "STT" прямоточный (КРЕПЛЕНИЯ С/О) для ВАЗ 2110-11</t>
  </si>
  <si>
    <t>TT-00169</t>
  </si>
  <si>
    <t>Глушитель "STT" прямоточный (нержавейка) для Лада Гранта, Калина 2 (универсал)</t>
  </si>
  <si>
    <t>ТТ-00149</t>
  </si>
  <si>
    <t>Глушитель "STT" прямоточный (нержавеющая сталь, крепления с/о) для ВАЗ 2112</t>
  </si>
  <si>
    <t>ТТ-00172</t>
  </si>
  <si>
    <t>Глушитель "STT" прямоточный (нержавеющая сталь) для ВАЗ 2108, 2109</t>
  </si>
  <si>
    <t>ТТ-00161</t>
  </si>
  <si>
    <t>Глушитель "STT" прямоточный (нержавеющая сталь) для ВАЗ 2113, 2114</t>
  </si>
  <si>
    <t>ТТ-00179</t>
  </si>
  <si>
    <t>Глушитель "STT" прямоточный (нержавеющая сталь) для ВАЗ 2115</t>
  </si>
  <si>
    <t>ТТ-00185</t>
  </si>
  <si>
    <t>Глушитель "STT" прямоточный (нержавеющая сталь) для Лада Калина, Калина 2 хэтчбек</t>
  </si>
  <si>
    <t>ТТ-00205</t>
  </si>
  <si>
    <t>Глушитель "STT" прямоточный (нержавеющая сталь) для Лада Приора хэтчбек</t>
  </si>
  <si>
    <t>TT-00286</t>
  </si>
  <si>
    <t>Глушитель "STT" прямоточный (овальный) для ВАЗ 2113, 2114</t>
  </si>
  <si>
    <t>ТТ-00288</t>
  </si>
  <si>
    <t>Глушитель "STT" прямоточный для ВАЗ 2108, 2109</t>
  </si>
  <si>
    <t>ТТ-00163</t>
  </si>
  <si>
    <t>Глушитель "STT" прямоточный для ВАЗ 2115</t>
  </si>
  <si>
    <t>ТТ-00186</t>
  </si>
  <si>
    <t>Глушитель "STT" прямоточный для Лада Гранта, Калина 2 (универсал)</t>
  </si>
  <si>
    <t>TT-00211</t>
  </si>
  <si>
    <t>Глушитель "STT" прямоточный для Лада Калина, Калина 2 хэтчбек</t>
  </si>
  <si>
    <t>ТТ-00207</t>
  </si>
  <si>
    <t>Глушитель "STT" прямоточный круглый (нержавеющая сталь) для Лада Веста</t>
  </si>
  <si>
    <t>TT-00148</t>
  </si>
  <si>
    <t>Глушитель "STT" прямоточный, овальный для Лада Калина 2, Гранта, Гранта FL</t>
  </si>
  <si>
    <t>ТТ-00359</t>
  </si>
  <si>
    <t>Глушитель овальный прямоточный "STT" для Лада Веста</t>
  </si>
  <si>
    <t>ТТ-00358</t>
  </si>
  <si>
    <t>Глушитель прямоточный  "STT" (нержавеющая сталь) для ВАЗ 2108, 2109, 2113, 2114</t>
  </si>
  <si>
    <t>ТТ-00323</t>
  </si>
  <si>
    <t>Глушитель прямоточный "STT" (нержавеющая сталь) для Лада Гранта FL</t>
  </si>
  <si>
    <t>ТТ-00285</t>
  </si>
  <si>
    <t>Глушитель прямоточный "STT" ВАЗ 2101-2107</t>
  </si>
  <si>
    <t>TT-00144</t>
  </si>
  <si>
    <t>Глушитель прямоточный "STT" ВАЗ 21099</t>
  </si>
  <si>
    <t>TT-00166</t>
  </si>
  <si>
    <t>ТТ-00166</t>
  </si>
  <si>
    <t>Глушитель прямоточный "STT" ВАЗ 2112 новое крепление</t>
  </si>
  <si>
    <t>TT-00175.</t>
  </si>
  <si>
    <t>TT-00175</t>
  </si>
  <si>
    <t>Глушитель прямоточный "STT" ВАЗ 2112 старое крепление</t>
  </si>
  <si>
    <t>TT-00176.</t>
  </si>
  <si>
    <t>TT-00176</t>
  </si>
  <si>
    <t>Глушитель прямоточный "STT" ВАЗ 2113-2114</t>
  </si>
  <si>
    <t>TT-00145.</t>
  </si>
  <si>
    <t>TT-00145</t>
  </si>
  <si>
    <t>Глушитель прямоточный "STT" для Лада Гранта FL (кроме хэтчбек)</t>
  </si>
  <si>
    <t>ТТ-00290</t>
  </si>
  <si>
    <t>Глушитель прямоточный "STT" для Лада Нива 4x4</t>
  </si>
  <si>
    <t>ТТ-00146</t>
  </si>
  <si>
    <t>Глушитель прямоточный "STT" для Лада Приора седан, универсал</t>
  </si>
  <si>
    <t>TT-00193</t>
  </si>
  <si>
    <t>Глушитель прямоточный "STT" для Лада Приора хэтчбек</t>
  </si>
  <si>
    <t>TT-00150</t>
  </si>
  <si>
    <t>Глушитель прямоточный "STT" для Шевроле Нива</t>
  </si>
  <si>
    <t>ТТ-00289</t>
  </si>
  <si>
    <t>Глушитель прямоточный "STT" Калина 1117-1118</t>
  </si>
  <si>
    <t>TT-00204</t>
  </si>
  <si>
    <t>Глушитель прямоточный нержавейка "STT" ВАЗ 2101-2107</t>
  </si>
  <si>
    <t>ТТ-00158</t>
  </si>
  <si>
    <t>Глушитель прямоточный нержавейка "STT" ВАЗ 2101-2107 круглая насадка</t>
  </si>
  <si>
    <t>TT-00159</t>
  </si>
  <si>
    <t>Глушитель прямоточный нержавейка "STT" ВАЗ 21099</t>
  </si>
  <si>
    <t>ТТ-00165</t>
  </si>
  <si>
    <t>Глушитель прямоточный нержавейка "STT" для Лада Приора седан, универсал</t>
  </si>
  <si>
    <t>ТТ-00188</t>
  </si>
  <si>
    <t>Глушитель прямоточный нержавейка "STT" для Лада Приора хэтчбек</t>
  </si>
  <si>
    <t>ТТ-00197</t>
  </si>
  <si>
    <t>Глушитель прямоточный овальный "STT" (нержавеющая сталь) для Лада Веста</t>
  </si>
  <si>
    <t>ТТ-00284</t>
  </si>
  <si>
    <t>ТТ-00148</t>
  </si>
  <si>
    <t>Глушитель прямоточный овальный "STT" для Лада Приора седан, универсал</t>
  </si>
  <si>
    <t>ТТ-00194</t>
  </si>
  <si>
    <t>Глушитель прямоточный овальный "STT" для Лада Приора хэтчбек</t>
  </si>
  <si>
    <t>ТТ-00291</t>
  </si>
  <si>
    <t>Глушитель прямоточный, раздвоенный "STT" для Лада Веста</t>
  </si>
  <si>
    <t>ТТ-00394</t>
  </si>
  <si>
    <t>Диск сцепления "Art-Perform" (184 мм)</t>
  </si>
  <si>
    <t>AP RacingArt-Perform 184724-20201225 "184мм"</t>
  </si>
  <si>
    <t>184724-20201225</t>
  </si>
  <si>
    <t>Sachs RacingArt-Perform 184784-20201225 "184мм"</t>
  </si>
  <si>
    <t>184784-20201225</t>
  </si>
  <si>
    <t>Диск сцепления "Art-Perform" для ВАЗ (2101-2107, 2110, 2112), Лада Нива 4х4</t>
  </si>
  <si>
    <t>200763-20201225</t>
  </si>
  <si>
    <t>200764-20201225</t>
  </si>
  <si>
    <t>200765-20201225</t>
  </si>
  <si>
    <t>200766-20201225</t>
  </si>
  <si>
    <t>Диск сцепления "Art-Perform" для ВАЗ 2108-21099, 2113-2115</t>
  </si>
  <si>
    <t>190763-20201225</t>
  </si>
  <si>
    <t>190764-20201225</t>
  </si>
  <si>
    <t>190766-20201225</t>
  </si>
  <si>
    <t>Диск сцепления "Art-Perform" для коробки BMW для ВАЗ 2101-2107</t>
  </si>
  <si>
    <t>200804-10230290</t>
  </si>
  <si>
    <t>Диск сцепления "Art-Perform" для Шевроле Нива</t>
  </si>
  <si>
    <t>215764-20201225</t>
  </si>
  <si>
    <t>215766-20201225</t>
  </si>
  <si>
    <t>Диск сцепления "Art-Perform" с демпфером для ВАЗ (2101-2107, 2110, 2112), Лада Нива 4х4</t>
  </si>
  <si>
    <t>200764-20201225sp</t>
  </si>
  <si>
    <t>200765-20201225sp</t>
  </si>
  <si>
    <t>200766-20201225sp</t>
  </si>
  <si>
    <t>Диск сцепления "Art-Perform" с демпфером для Шевроле Нива</t>
  </si>
  <si>
    <t>215764-20201225sp</t>
  </si>
  <si>
    <t>215766-20201225sp</t>
  </si>
  <si>
    <t>Паук 4-2-1  "STT" (Спорт, 16V) для Лада Калина</t>
  </si>
  <si>
    <t>TT-00057.</t>
  </si>
  <si>
    <t>TT-00057</t>
  </si>
  <si>
    <t>Паук 4-2-1 "STT" (16V, нержавейка, под датчик кислорода) для ВАЗ 2110-2112</t>
  </si>
  <si>
    <t>TT-00037.</t>
  </si>
  <si>
    <t>TT-00037</t>
  </si>
  <si>
    <t>Паук 4-2-1 "STT" (16V, нержавейка) для Лада Гранта, Калина 2</t>
  </si>
  <si>
    <t>TT-00069.</t>
  </si>
  <si>
    <t>TT-00069</t>
  </si>
  <si>
    <t>Паук 4-2-1 "STT" (16V, нержавейка) для Лада Калина</t>
  </si>
  <si>
    <t>TT-00058</t>
  </si>
  <si>
    <t>Паук 4-2-1 "STT" (16V, нержавейка) для Лада Приора</t>
  </si>
  <si>
    <t>TT-00046.</t>
  </si>
  <si>
    <t>TT-00046</t>
  </si>
  <si>
    <t>Паук 4-2-1 "STT" (16V, под 1 датчик кислорода) для ВАЗ 2110-2112</t>
  </si>
  <si>
    <t>TT-00040.</t>
  </si>
  <si>
    <t>TT-00040</t>
  </si>
  <si>
    <t>Паук 4-2-1 "STT" (16V, под датчик кислорода, Спорт) для ВАЗ 2110-2112</t>
  </si>
  <si>
    <t>TT-00042.</t>
  </si>
  <si>
    <t>TT-00042</t>
  </si>
  <si>
    <t>Паук 4-2-1 "STT" (8V, выход 63, Спорт) для ВАЗ 2110-2112</t>
  </si>
  <si>
    <t>TT-00039.</t>
  </si>
  <si>
    <t>TT-00039</t>
  </si>
  <si>
    <t>Паук 4-2-1 "STT" (8V, нержавейка) для ВАЗ 2108-21099, 2113-2115</t>
  </si>
  <si>
    <t>TT-00028.</t>
  </si>
  <si>
    <t>TT-00028</t>
  </si>
  <si>
    <t>Паук 4-2-1 "STT" (8V, нержавейка) для Лада Калина</t>
  </si>
  <si>
    <t>TT-00060.</t>
  </si>
  <si>
    <t>TT-00060</t>
  </si>
  <si>
    <t>Паук 4-2-1 "STT" (8V, под датчик кислорода, нержавейка) для ВАЗ 2110-2112</t>
  </si>
  <si>
    <t>TT-00038.</t>
  </si>
  <si>
    <t>TT-00038</t>
  </si>
  <si>
    <t>Паук 4-2-1 "STT" (8V, под датчик кислорода, Спорт) для ВАЗ 2110-2112</t>
  </si>
  <si>
    <t>TT-00036.</t>
  </si>
  <si>
    <t>TT-00036</t>
  </si>
  <si>
    <t>Паук 4-2-1 "STT" (8V, под датчик кислорода) для ВАЗ 2110-2112</t>
  </si>
  <si>
    <t>TT-00035.</t>
  </si>
  <si>
    <t>TT-00035</t>
  </si>
  <si>
    <t>Паук 4-2-1 "STT" (Спорт, 16V, выход 63, нержавейка) для Лада Гранта, Калина 2</t>
  </si>
  <si>
    <t>ТТ-00230</t>
  </si>
  <si>
    <t>Паук 4-2-1 "STT" (Спорт, 16V, выход 63) для ВАЗ 2108-21099, 2113-2114</t>
  </si>
  <si>
    <t>TT-00030.</t>
  </si>
  <si>
    <t>TT-00030</t>
  </si>
  <si>
    <t>Паук 4-2-1 "STT" (Спорт, 16V, выход 63) для ВАЗ 2110-2112, Лада Приора</t>
  </si>
  <si>
    <t>TT-00047</t>
  </si>
  <si>
    <t>Паук 4-2-1 "STT" (Спорт, 16V, выход 63) для Лада Гранта, Калина 2</t>
  </si>
  <si>
    <t>ТТ-00068</t>
  </si>
  <si>
    <t>TT-00068</t>
  </si>
  <si>
    <t>Паук 4-2-1 "STT" (Спорт, 16V, выход 63) для Лада Калина</t>
  </si>
  <si>
    <t>TT-00059</t>
  </si>
  <si>
    <t>Паук 4-2-1 "STT" (Спорт, 16V) для ВАЗ 2108-21099, 2113-2114</t>
  </si>
  <si>
    <t>TT-00029.</t>
  </si>
  <si>
    <t>TT-00029</t>
  </si>
  <si>
    <t>Паук 4-2-1 "STT" (Спорт, 8V,  выход 63) для ВАЗ 2108-21099, 2113-2115</t>
  </si>
  <si>
    <t>TT-00027.</t>
  </si>
  <si>
    <t>TT-00027</t>
  </si>
  <si>
    <t>Паук 4-2-1 "STT" (Спорт, 8V, нержавейка) для Лада Калина</t>
  </si>
  <si>
    <t>TT-00061.</t>
  </si>
  <si>
    <t>TT-00061</t>
  </si>
  <si>
    <t>Паук 4-2-1 "STT" (Спорт, 8V) для ВАЗ 2108-21099, 2113-2115</t>
  </si>
  <si>
    <t>TT-00026.</t>
  </si>
  <si>
    <t>TT-00026</t>
  </si>
  <si>
    <t>Паук 4-2-1 "STT" (Спорт, 8V) для Лада Гранта, Калина 2</t>
  </si>
  <si>
    <t>TT-00065.</t>
  </si>
  <si>
    <t>TT-00065</t>
  </si>
  <si>
    <t>Паук 4-2-1 "STT" (Спорт, 8V) для Лада Калина</t>
  </si>
  <si>
    <t>TT-00055.</t>
  </si>
  <si>
    <t>TT-00055</t>
  </si>
  <si>
    <t>Паук 4-2-1 "STT" 16V для ВАЗ 2108-21099, 2113-2115</t>
  </si>
  <si>
    <t>ТТ-00031</t>
  </si>
  <si>
    <t>TT-00031</t>
  </si>
  <si>
    <t>Паук 4-2-1 "STT" 16V для Лада Гранта, Калина 2</t>
  </si>
  <si>
    <t>TT-00066.</t>
  </si>
  <si>
    <t>TT-00066</t>
  </si>
  <si>
    <t>Паук 4-2-1 "STT" 16V для Лада Калина</t>
  </si>
  <si>
    <t>TT-00056.</t>
  </si>
  <si>
    <t>TT-00056</t>
  </si>
  <si>
    <t>Паук 4-2-1 "STT" 16V для Лада Приора</t>
  </si>
  <si>
    <t>TT-00044.</t>
  </si>
  <si>
    <t>TT-00044</t>
  </si>
  <si>
    <t>Паук 4-2-1 "STT" 8V для ВАЗ 2101-2107</t>
  </si>
  <si>
    <t>TT-00019.</t>
  </si>
  <si>
    <t>TT-00019</t>
  </si>
  <si>
    <t>Паук 4-2-1 "STT" 8V для ВАЗ 2108-21099, 2113-2115</t>
  </si>
  <si>
    <t>TT-00025.</t>
  </si>
  <si>
    <t>TT-00025</t>
  </si>
  <si>
    <t>Паук 4-2-1 "STT" 8V для Лада Гранта, Калина 2</t>
  </si>
  <si>
    <t>TT-00064.</t>
  </si>
  <si>
    <t>TT-00064</t>
  </si>
  <si>
    <t>Паук 4-2-1 "STT" 8V для Лада Калина</t>
  </si>
  <si>
    <t>TT-00054.</t>
  </si>
  <si>
    <t>TT-00054</t>
  </si>
  <si>
    <t>Паук 4-2-1 "STT" для Лада Веста 1.6L</t>
  </si>
  <si>
    <t>TT-00075.</t>
  </si>
  <si>
    <t>TT-00075</t>
  </si>
  <si>
    <t>Паук Subaru Sound "STT" 16V для Лада Приора</t>
  </si>
  <si>
    <t>TT-00052.</t>
  </si>
  <si>
    <t>TT-00052</t>
  </si>
  <si>
    <t>Резонатор "STT" (1,5 л, под выпускной коллектор "STT", с гофрой, нержавеющая сталь) для ВАЗ 2110-2112</t>
  </si>
  <si>
    <t>TT-00114</t>
  </si>
  <si>
    <t>Резонатор "STT" (1,6 л, под выпускной коллектор "STT", с гофрой) для ВАЗ 2110-2112</t>
  </si>
  <si>
    <t>TT-00121.</t>
  </si>
  <si>
    <t>TT-00121</t>
  </si>
  <si>
    <t>Резонатор "STT" (d51 под выпуск "STT", с гофрой, нержавейка) для Лада Приора</t>
  </si>
  <si>
    <t>TT-00131.</t>
  </si>
  <si>
    <t>TT-00131</t>
  </si>
  <si>
    <t>Резонатор "STT" (d51 труба под выпуск "STT") для Лада Приора</t>
  </si>
  <si>
    <t>TT-00127.</t>
  </si>
  <si>
    <t>TT-00127</t>
  </si>
  <si>
    <t>Резонатор "STT" (d51, 1.5л, под выпуск, нержавейка) для ВАЗ 2110-2112</t>
  </si>
  <si>
    <t>TT-00113.</t>
  </si>
  <si>
    <t>TT-00113</t>
  </si>
  <si>
    <t>Резонатор "STT" (d51, 1.5л, под выпуск, с сильфоном) для ВАЗ 2110-2112</t>
  </si>
  <si>
    <t>TT-00115.</t>
  </si>
  <si>
    <t>TT-00115</t>
  </si>
  <si>
    <t>Резонатор "STT" (d51, 1.6л, под выпуск, нержавейка) для ВАЗ 2110-2112</t>
  </si>
  <si>
    <t>ТТ-00119</t>
  </si>
  <si>
    <t>TT-00119</t>
  </si>
  <si>
    <t>Резонатор "STT" (d51, 1.6л, под выпуск) для ВАЗ 2110-2112</t>
  </si>
  <si>
    <t>TT-00118.</t>
  </si>
  <si>
    <t>TT-00118</t>
  </si>
  <si>
    <t>Резонатор "STT" (d51, под выпуск "STT", нержавейка) для Лада Приора</t>
  </si>
  <si>
    <t>TT-00129.</t>
  </si>
  <si>
    <t>TT-00129</t>
  </si>
  <si>
    <t>Резонатор "STT" (d51, под выпуск "STT", с гофрой) для Лада Приора</t>
  </si>
  <si>
    <t>TT-00130.</t>
  </si>
  <si>
    <t>TT-00130</t>
  </si>
  <si>
    <t>Резонатор "STT" (d51, под выпуск "STT") для Лада Приора</t>
  </si>
  <si>
    <t>TT-00128.</t>
  </si>
  <si>
    <t>TT-00128</t>
  </si>
  <si>
    <t>Резонатор "STT" (d51, под выпуск, с гофрой, нержавейка) для Лада Калина</t>
  </si>
  <si>
    <t>ТТ-00302</t>
  </si>
  <si>
    <t>Резонатор "STT" (d51, под выпуск) для ВАЗ 2108-21099, 2113-2115</t>
  </si>
  <si>
    <t>TT-00108</t>
  </si>
  <si>
    <t>Резонатор "STT" (d51, под выпускной коллектор "STT", нержавеющая сталь) для Лада Нива 4x4</t>
  </si>
  <si>
    <t>ТТ-00318</t>
  </si>
  <si>
    <t>Резонатор "STT" (d51, под выпускной коллектор "STT") для Лада Нива 4x4</t>
  </si>
  <si>
    <t>TT-00103.</t>
  </si>
  <si>
    <t>TT-00103</t>
  </si>
  <si>
    <t>Резонатор "STT" (под выпуск "STT", нержавейка) для Лада Калина</t>
  </si>
  <si>
    <t>TT-00124.</t>
  </si>
  <si>
    <t>TT-00124</t>
  </si>
  <si>
    <t>Резонатор "STT" (под выпуск "STT", с гофрой, нержавейка) для Лада Гранта, Калина 2</t>
  </si>
  <si>
    <t>TT-00136.</t>
  </si>
  <si>
    <t>TT-00136</t>
  </si>
  <si>
    <t>Резонатор "STT" (под выпуск "STT", с гофрой) для Лада Гранта, Калина 2</t>
  </si>
  <si>
    <t>TT-00135.</t>
  </si>
  <si>
    <t>TT-00135</t>
  </si>
  <si>
    <t>Резонатор "STT" (под выпуск "STT") для Лада Калина</t>
  </si>
  <si>
    <t>TT-00123.</t>
  </si>
  <si>
    <t>TT-00123</t>
  </si>
  <si>
    <t>Резонатор "STT" (под выпускной коллектор "STT", нержавеющая сталь) для ВАЗ 2101-2107</t>
  </si>
  <si>
    <t>TT-00102.</t>
  </si>
  <si>
    <t>TT-00102</t>
  </si>
  <si>
    <t>Резонатор "STT" (под выпускной коллектор "STT", нержавеющая сталь) для ВАЗ 2108-21099, 2113-2115</t>
  </si>
  <si>
    <t>ТТ-00109</t>
  </si>
  <si>
    <t>TT-00109</t>
  </si>
  <si>
    <t>Резонатор "STT" (под выпускной коллектор "STT", нержавеющая сталь) для Лада Веста (1,6 л, до 2018 г. в.)</t>
  </si>
  <si>
    <t>TT-00137.</t>
  </si>
  <si>
    <t>TT-00137</t>
  </si>
  <si>
    <t>Резонатор "STT" (под выпускной коллектор "STT", нержавеющая сталь) для Шевроле Нива</t>
  </si>
  <si>
    <t>ТТ-00320</t>
  </si>
  <si>
    <t>Резонатор "STT" (под выпускной коллектор "STT", с гофрой) для ВАЗ 2108-21099, 2113-2115</t>
  </si>
  <si>
    <t>TT-00104</t>
  </si>
  <si>
    <t>Резонатор "STT" (под выпускной коллектор "STT") для Шевроле Нива</t>
  </si>
  <si>
    <t>ТТ-00319</t>
  </si>
  <si>
    <t>Резонатор "STT" (с гофрой под выпуск "STT", d51, нержавейка) для ВАЗ 2108-21099, 2113-2115</t>
  </si>
  <si>
    <t>TT-00110.</t>
  </si>
  <si>
    <t>TT-00110</t>
  </si>
  <si>
    <t>Резонатор "STT" (с гофрой, под выпуск "STT") для Лада Калина</t>
  </si>
  <si>
    <t>TT-00126.</t>
  </si>
  <si>
    <t>TT-00126</t>
  </si>
  <si>
    <t>Резонатор "STT" d51 для ВАЗ 2101-2107</t>
  </si>
  <si>
    <t>TT-00101.</t>
  </si>
  <si>
    <t>TT-00101</t>
  </si>
  <si>
    <t>Резонатор "STT" d51 для ВАЗ 2110</t>
  </si>
  <si>
    <t>Резонатор "STT" для Лада Веста</t>
  </si>
  <si>
    <t>TT-00138.</t>
  </si>
  <si>
    <t>TT-00138</t>
  </si>
  <si>
    <t>Резонатор "STT" крепление с/о (d51, под выпуск STT) для ВАЗ 2110-2112</t>
  </si>
  <si>
    <t>TT-00112.</t>
  </si>
  <si>
    <t>TT-00112</t>
  </si>
  <si>
    <t>Резонатор "STT" под выпускной коллектор (1,6л, с гофрой, нержавеющая сталь) для ВАЗ 2110-2112</t>
  </si>
  <si>
    <t>TT-00120.</t>
  </si>
  <si>
    <t>TT-00120</t>
  </si>
  <si>
    <t>Резонатор "STT" под штатный катализатор (с гофрой, d51 мм, нержавейка) для Лада Гранта, Гранта FL</t>
  </si>
  <si>
    <t>TT-00370</t>
  </si>
  <si>
    <t>Резонатор "STT" под штатный катализатор (с гофрой, d51 мм) для Лада Гранта, Гранта FL</t>
  </si>
  <si>
    <t>ТТ-00369</t>
  </si>
  <si>
    <t>Резонатор "STT" под штатный коллектор (с гофрой) для Лада Приора</t>
  </si>
  <si>
    <t>ТТ-00367</t>
  </si>
  <si>
    <t>Резонатор "STT" прямоточный (d51, нержавеющая сталь, штатная установка) для Лада Веста (16V, 1,6 л)</t>
  </si>
  <si>
    <t>ТТ-00300</t>
  </si>
  <si>
    <t>Резонатор "STT" прямоточный (d51, штатная установка) для Лада Веста (16 V, 1,6 л)</t>
  </si>
  <si>
    <t>ТТ-00299</t>
  </si>
  <si>
    <t>Резонатор (труба) "STT" (под выпуск "STT") для Лада Гранта, Калина 2</t>
  </si>
  <si>
    <t>TT-00134.</t>
  </si>
  <si>
    <t>TT-00134</t>
  </si>
  <si>
    <t>Резонатор (труба) "STT" d51 для ВАЗ 2108-21099 (карбюратор)</t>
  </si>
  <si>
    <t>Резонатор-труба "STT" (d51, по выпускной коллектор "STT", нержавеющая сталь) для ВАЗ 2101, 2103, 2105, 2106, 2107</t>
  </si>
  <si>
    <t>TT-00099.</t>
  </si>
  <si>
    <t>TT-00099</t>
  </si>
  <si>
    <t>Резонатор-труба "STT" (d51, по выпускной коллектор "STT", нержавеющая сталь) для ВАЗ 2108-21099, 2113-2115</t>
  </si>
  <si>
    <t>TT-00107</t>
  </si>
  <si>
    <t>Резонатор-труба "STT" (d51, по выпускной коллектор "STT", нержавеющая сталь) для Лада Приора</t>
  </si>
  <si>
    <t>ТТ-00305</t>
  </si>
  <si>
    <t>Резонатор-труба "STT" (d51, по выпускной коллектор "STT", с гофрой) для ВАЗ 2108-21099, 2113-2115</t>
  </si>
  <si>
    <t>TT-00106</t>
  </si>
  <si>
    <t>Резонатор-труба "STT" (d51, по выпускной коллектор "STT") для ВАЗ 2101, 2103, 2105, 2106, 2107</t>
  </si>
  <si>
    <t>TT-00098.</t>
  </si>
  <si>
    <t>TT-00098</t>
  </si>
  <si>
    <t>Резонатор-труба "STT" (d51, по выпускной коллектор "STT") для ВАЗ 2108-21099, 2113-2115</t>
  </si>
  <si>
    <t>TT-00105</t>
  </si>
  <si>
    <t>Резонатор-труба "STT" (d51, по выпускной коллектор "STT") для Лада Калина</t>
  </si>
  <si>
    <t>TT-00122.</t>
  </si>
  <si>
    <t>TT-00122</t>
  </si>
  <si>
    <t>Резонатор-труба "STT" (d51, под выпускной коллектор "STT", без гофры) для Лада Нива 4x4</t>
  </si>
  <si>
    <t>ТТ-00321</t>
  </si>
  <si>
    <t>Резонатор-труба "STT" (d51, под выпускной коллектор "STT", нержавеющая сталь) для Лада Нива 4x4</t>
  </si>
  <si>
    <t>ТТ-00322</t>
  </si>
  <si>
    <t>Резонатор-труба "STT" (d51, под выпускной коллектор "STT") для Шевроле Нива</t>
  </si>
  <si>
    <t>Резонатор-труба "STT" нового образца (d51, под выпускной коллектор "STT") для ВАЗ 2110-2112 (1,6 л)</t>
  </si>
  <si>
    <t>TT-00116.</t>
  </si>
  <si>
    <t>TT-00116</t>
  </si>
  <si>
    <t>Резонатор-труба "STT" под выпуск d51 (нержавейка) для Лада Калина 2, Гранта</t>
  </si>
  <si>
    <t>TT-00311</t>
  </si>
  <si>
    <t>Резонатор-труба "STT" старого образца (d51, под выпускной коллектор "STT", с гофрой) для ВАЗ 2110-2112</t>
  </si>
  <si>
    <t>TT-00117.</t>
  </si>
  <si>
    <t>TT-00117</t>
  </si>
  <si>
    <t>Резонатор-труба "STT" старого образца (d51, под выпускной коллектор "STT") для ВАЗ 2110-2112 (1.5л, 8 клапанный, 16 клапанный)</t>
  </si>
  <si>
    <t>ТТ-00111</t>
  </si>
  <si>
    <t>Ресивер "СТТ" 8V 4.0L (механическая дроссельная заслонка) для ВАЗ (2108-21099, 2110-2112, 2113-2115), Лада (Калина, Приора) (8-ми клапанный двигатель)</t>
  </si>
  <si>
    <t>TT-00343</t>
  </si>
  <si>
    <t>ТТ-00343</t>
  </si>
  <si>
    <t>ТТ-00336</t>
  </si>
  <si>
    <t>TT-00332</t>
  </si>
  <si>
    <t>ТТ-00332</t>
  </si>
  <si>
    <t>https://motorring.ru/product/10749-vstavka-zamenitely-katalizatora-4-2-1-stt-dlya-dvigateley</t>
  </si>
  <si>
    <t>https://motorring.ru/product/27649-vstavka-zamenitely-katalizatora-4-2-1-stt-datchikom</t>
  </si>
  <si>
    <t>https://motorring.ru/product/16221-vstavka-zamenitely-katalizatora-4-1-stt-dlya-dvigateley-vaz</t>
  </si>
  <si>
    <t>https://motorring.ru/product/27650-vstavka-zamenitely-katalizatora-4-1-stt-pod-datchik-8kl</t>
  </si>
  <si>
    <t>https://motorring.ru/product/5232-vstavka-zamenitely-katalizatora-4-1-stt-dlya-dvigateley-vaz</t>
  </si>
  <si>
    <t>https://motorring.ru/product/27648-vstavka-zamenitely-katalizatora-4-1-stt-pod-datchik</t>
  </si>
  <si>
    <t>https://motorring.ru/product/15582-vstavka-zamenitely-katalizatora-4-2-1-stt-dlya-dvigateley</t>
  </si>
  <si>
    <t>https://motorring.ru/product/27651-vstavka-zamenitely-katalizatora-4-2-1-stt-pod-datchika-8kl</t>
  </si>
  <si>
    <t>https://motorring.ru/product/27654-vstavka-zamenitely-katalizatora-4-1-stt-nerghaveyuschaya</t>
  </si>
  <si>
    <t>https://motorring.ru/product/27653-vstavka-zamenitely-katalizatora-4-1-stt-pod-datchika-vesta-16kl</t>
  </si>
  <si>
    <t>https://motorring.ru/product/27652-vstavka-zamenitely-katalizatora-4-1-stt-pod-datchika-vesta</t>
  </si>
  <si>
    <t>https://motorring.ru/product/27606-rezonator-truba-pod-vypusknoy-kollektor-stt-vaz-2101-2107</t>
  </si>
  <si>
    <t>https://motorring.ru/product/27616-rezonator-truba-pod-vypusknoy-kollektor-stt-lada-kalina</t>
  </si>
  <si>
    <t>https://motorring.ru/product/27621-rezonator-truba-gofroy-pod-vypusknoy-kollektor-stt-lada</t>
  </si>
  <si>
    <t>https://motorring.ru/product/27607-rezonator-truba-pod-vypusknoy-kollektor-stt-2101</t>
  </si>
  <si>
    <t>https://motorring.ru/product/27628-rezonator-truba-pod-vypusknoy-kollektor-stt-dlya-lada</t>
  </si>
  <si>
    <t>https://motorring.ru/product/27572-vypusknoy-kollektor-pauk-4-2-1-subaru-sound-16kl-lada</t>
  </si>
  <si>
    <t>https://motorring.ru/product/27627-rezonator-pod-vypusknoy-kollektor-gofroy-stt-lada-priora</t>
  </si>
  <si>
    <t>https://motorring.ru/product/27624-rezonator-pod-vypusknoy-kollektor-stt-lada-priora</t>
  </si>
  <si>
    <t>https://motorring.ru/product/27626-rezonator-gofroy-pod-vypusknoy-kollektor-stt-priora</t>
  </si>
  <si>
    <t>https://motorring.ru/product/27625-rezonator-pod-vypusknoy-kollektor-stt-nerghaveyuschaya</t>
  </si>
  <si>
    <t>https://motorring.ru/product/27645-glushitely-pryamotochnyy-stt-lada-priora-sedan-universal</t>
  </si>
  <si>
    <t>https://motorring.ru/product/27589-vypusknoy-kollektor-pauk-4-2-1-stt-sport-16kl-lada-priora</t>
  </si>
  <si>
    <t>https://motorring.ru/product/14327-pauk-4-2-1-16v-stt-dlya-lada-priora-pod-datchik-kisloroda</t>
  </si>
  <si>
    <t>https://motorring.ru/product/27646-glushitely-pryamotochnyy-stt-lada-priora-hetchbek</t>
  </si>
  <si>
    <t>https://motorring.ru/product/27587-vypusknoy-kollektor-pauk-4-2-1-stt-sport-16kl-vaz</t>
  </si>
  <si>
    <t>https://motorring.ru/product/27570-vypusknoy-kollektor-pauk-4-2-1-stt-16kl-vaz-2108-21099</t>
  </si>
  <si>
    <t>https://motorring.ru/product/27599-vypusknoy-kollektor-pauk-4-2-1-stt-sport-vyhod-63mm-8kl-vaz</t>
  </si>
  <si>
    <t>https://motorring.ru/product/20817</t>
  </si>
  <si>
    <t>https://motorring.ru/product/27598-vypusknoy-kollektor-pauk-4-2-1-stt-sport-8kl-vaz-2108-21099</t>
  </si>
  <si>
    <t>не нашел</t>
  </si>
  <si>
    <t>https://motorring.ru/product/27610-rezonator-pryamotochnyy-stt-nerghaveyuschaya-staly-pod</t>
  </si>
  <si>
    <t>https://motorring.ru/product/27564-vypusknoy-kollektor-pauk-4-2-1-stt-8kl-shevrole-niva</t>
  </si>
  <si>
    <t>https://motorring.ru/product/27608-rezonator-pod-vypusknoy-kollektor-stt-lada-niva-4h4-2121</t>
  </si>
  <si>
    <t>https://motorring.ru/product/27563-vypusknoy-kollektor-pauk-4-2-1-8kl-lada-niva-4h4-2121-21213</t>
  </si>
  <si>
    <t>https://motorring.ru/product/27647-glushitely-pryamotochnyy-stt-lada-niva-4h4-2121-21213-21214</t>
  </si>
  <si>
    <t>https://motorring.ru/product/27612-rezonator-pod-vypusknoy-kollektor-stt-nerghaveyuschaya</t>
  </si>
  <si>
    <t>https://motorring.ru/product/27609-rezonator-pryamotochnyy-stt-pod-shtatnuyu-ustanovku-16kl</t>
  </si>
  <si>
    <t>https://motorring.ru/product/27611-rezonator-pod-vypusknoy-kollektor-stt-16kl-lada-vesta</t>
  </si>
  <si>
    <t>https://motorring.ru/product/27555-vypusknoy-kollektor-pauk-4-2-1-stt-16kl-lada-vesta</t>
  </si>
  <si>
    <t>https://motorring.ru/product/27558-vypusknoy-kollektor-pauk-4-2-1-stt-nerghaveyuschaya-staly-vesta</t>
  </si>
  <si>
    <t>https://motorring.ru/product/27557-vypusknoy-kollektor-pauk-4-2-1-stt-dvuhsostavnoy-razbornyy</t>
  </si>
  <si>
    <t>https://motorring.ru/product/27585-vypusknoy-kollektor-pauk-4-2-1-stt-sport-16kl-vaz-2110-2112</t>
  </si>
  <si>
    <t>https://motorring.ru/product/27584-vypusknoy-kollektor-pauk-4-2-1-stt-16kl-vaz-2110-2112</t>
  </si>
  <si>
    <t>https://motorring.ru/product/27586-vypusknoy-kollektor-pauk-4-2-1-stt-sport-vyhod-63mm-16kl-2110</t>
  </si>
  <si>
    <t>https://motorring.ru/product/27594-vypusknoy-kollektor-pauk-4-2-1-stt-sport-8kl-vaz-2110-2112</t>
  </si>
  <si>
    <t>https://motorring.ru/product/27596-vypusknoy-kollektor-pauk-4-2-1-stt-8kl-vaz-2110-2112</t>
  </si>
  <si>
    <t>https://motorring.ru/product/27597-vypusknoy-kollektor-pauk-4-2-1-stt-sport-vyhod-63mm-8kl-vaz</t>
  </si>
  <si>
    <t>https://motorring.ru/product/27595-vypusknoy-kollektor-pauk-4-2-1-stt-nerghaveyuschaya-staly-2110</t>
  </si>
  <si>
    <t>https://motorring.ru/product/27638-glushitely-pryamotochnyy-stt-krepleniya-starogo-obrazca-vaz</t>
  </si>
  <si>
    <t>https://motorring.ru/product/27639-glushitely-pryamotochnyy-stt-krepleniya-novogo-obrazca-vaz</t>
  </si>
  <si>
    <t>https://motorring.ru/product/27640-glushitely-pryamotochnyy-stt-krepleniya-novogo-obrazca-vaz-2112</t>
  </si>
  <si>
    <t>https://motorring.ru/product/27641-glushitely-pryamotochnyy-stt-krepleniya-starogo-obrazca-vaz-2112</t>
  </si>
  <si>
    <t>https://motorring.ru/product/27582-vypusknoy-kollektor-pauk-4-2-1-stt-nerghaveyuschaya-staly-2110</t>
  </si>
  <si>
    <t>https://motorring.ru/product/27583-vypusknoy-kollektor-pauk-4-2-1-stt-sport-vyhod-63mm-16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</si>
  <si>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</si>
  <si>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</si>
  <si>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</si>
  <si>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</si>
  <si>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</si>
  <si>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</si>
  <si>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</si>
  <si>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</si>
  <si>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</si>
  <si>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</si>
  <si>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</si>
  <si>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</si>
  <si>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</si>
  <si>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</si>
  <si>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</si>
  <si>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</si>
  <si>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</si>
  <si>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</si>
  <si>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</si>
  <si>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</si>
  <si>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#VALUE!</t>
  </si>
  <si>
    <t>СВОД</t>
  </si>
  <si>
    <t>Данные</t>
  </si>
  <si>
    <t>Переменные</t>
  </si>
  <si>
    <t>https://docs.google.com/spreadsheets/d/1f8_y-lcqVEuKpceVw_F97NEKzue5YmQtx8GIXUS_2B8/export?format=xlsx</t>
  </si>
  <si>
    <t>//*[@id="e-curr-price"]/text()</t>
  </si>
  <si>
    <t>//*[@class="p_club_price pb5"]/text()</t>
  </si>
  <si>
    <t>Ссылка</t>
  </si>
  <si>
    <t>Цена</t>
  </si>
  <si>
    <t/>
  </si>
  <si>
    <t>https://motorring.ru/product/27573-vypusknoy-kollektor-pauk-4-2-1-stt-nerghaveyuschaya-staly-priora</t>
  </si>
  <si>
    <t>https://motorring.ru/product/27623-rezonator-gofroy-pod-vypusknoy-kollektor-stt-granta-kalina</t>
  </si>
  <si>
    <t>https://motorring.ru/product/27593-vypusknoy-kollektor-pauk-4-2-1-stt-sport-nerghaveyuschaya-8kl</t>
  </si>
  <si>
    <t>https://motorring.ru/product/27578-vypusknoy-kollektor-pauk-4-2-1-stt-sport-nerghaveyuschaya-kalina</t>
  </si>
  <si>
    <t>https://motorring.ru/product/27566-vypusknoy-kollektor-pauk-4-2-1-stt-nerghaveyuschaya-staly-granta</t>
  </si>
  <si>
    <t>https://motorring.ru/product/27592-vypusknoy-kollektor-pauk-4-2-1-stt-nerghaveyuschaya-staly-8kl</t>
  </si>
  <si>
    <t>https://motorring.ru/product/27576-vypusknoy-kollektor-pauk-4-2-1-stt-sport-16kl-lada-granta</t>
  </si>
  <si>
    <t>https://motorring.ru/product/27565-vypusknoy-kollektor-pauk-4-2-1-stt-16kl-lada-granta-kalina</t>
  </si>
  <si>
    <t>https://motorring.ru/product/27575-vypusknoy-kollektor-pauk-4-2-1-stt-8kl-lada-granta-kalina</t>
  </si>
  <si>
    <t>https://motorring.ru/product/27591-vypusknoy-kollektor-pauk-4-2-1-stt-sport-8kl-lada-granta</t>
  </si>
  <si>
    <t>https://motorring.ru/product/27590-vypusknoy-kollektor-pauk-4-2-1-stt-sport-vyhod-63mm-8kl</t>
  </si>
  <si>
    <t>https://motorring.ru/product/27622-rezonator-gofroy-pod-vypusknoy-kollektor-stt-lada-granta</t>
  </si>
  <si>
    <t>https://motorring.ru/product/27581-vypusknoy-kollektor-pauk-4-2-1-stt-sport-vyhod-63mm</t>
  </si>
  <si>
    <t>https://motorring.ru/product/1730-pauk-4-2-1-stt-dlya-lada-kalina</t>
  </si>
  <si>
    <t>https://motorring.ru/product/27569-vypusknoy-kollektor-pauk-4-2-1-stt-16kl-lada-kalina</t>
  </si>
  <si>
    <t>https://motorring.ru/product/27601-vypusknoy-kollektor-pauk-4-2-1-stt-sport-8kl-lada-kalina</t>
  </si>
  <si>
    <t>https://motorring.ru/product/27579-vypusknoy-kollektor-pauk-4-2-1-stt-sport-16kl-lada-kalina</t>
  </si>
  <si>
    <t>https://motorring.ru/product/27580-vypusknoy-kollektor-pauk-4-2-1-stt-sport-vyhod-63mm-16kl</t>
  </si>
  <si>
    <t>https://motorring.ru/product/27619-rezonator-gofroy-pod-vypusknoy-kollektor-stt-lada-kalina</t>
  </si>
  <si>
    <t>https://motorring.ru/product/27617-rezonator-pod-vypusknoy-kollektor-stt-lada-kalina</t>
  </si>
  <si>
    <t>https://motorring.ru/product/27643-glushitely-pryamotochnyy-stt-lada-kalina-sedan-universal</t>
  </si>
  <si>
    <t>https://motorring.ru/product/27618-rezonator-pod-vypusknoy-kollektor-stt-nerghaveyuschaya-kalina</t>
  </si>
  <si>
    <t>https://motorring.ru/product/27620-rezonator-gofroy-pod-vypusknoy-kollektor-stt</t>
  </si>
  <si>
    <t>https://motorring.ru/product/27602-vypusknoy-kollektor-pauk-4-2-1-stt-nerghaveyuschaya-staly-kalina</t>
  </si>
  <si>
    <t>https://motorring.ru/product/27567-vypusknoy-kollektor-pauk-4-2-1-stt-nerghaveyuschaya-staly-kalina</t>
  </si>
  <si>
    <t>https://motorring.ru/product/27603-vypusknoy-kollektor-pauk-4-2-1-stt-sport-nerghaveyuschaya-kalina</t>
  </si>
  <si>
    <t>https://motorring.ru/product/27559-vypusknoy-kollektor-pauk-4-2-1-stt-8kl-vaz-2101-2107</t>
  </si>
  <si>
    <t>https://motorring.ru/product/27562-vypusknoy-kollektor-pauk-4-2-1-stt-16kl-vaz-2101-2107</t>
  </si>
  <si>
    <t>https://motorring.ru/product/27561-vypusknoy-kollektor-pauk-4-2-1-stt-nerghaveyuschaya-staly-2101</t>
  </si>
  <si>
    <t>https://motorring.ru/product/27604-rezonator-pryamotochnyy-stt-vaz-2101-2107</t>
  </si>
  <si>
    <t>https://motorring.ru/product/27605-rezonator-pryamotochnyy-stt-nerghaveyuschaya-staly-vaz</t>
  </si>
  <si>
    <t>https://motorring.ru/product/27571-vypusknoy-kollektor-pauk-4-2-1-stt-nerghaveyuschaya-staly-2108</t>
  </si>
  <si>
    <t>https://motorring.ru/product/27600-vypusknoy-kollektor-pauk-4-2-1-stt-nerghaveyuschaya-staly-2108</t>
  </si>
  <si>
    <t>https://motorring.ru/product/27588-vypusknoy-kollektor-pauk-4-2-1-stt-sport-nerghaveyuschaya-2113</t>
  </si>
  <si>
    <t>https://motorring.ru/product/19360-rezonator-pod-vypusknoy-kollektor-stt-vaz-2108-21099</t>
  </si>
  <si>
    <t>https://motorring.ru/product/3867-rezonator-gofroy-pod-vypusknoy-kollektor-stt-vaz-2113-2115</t>
  </si>
  <si>
    <t>https://motorring.ru/product/27629-glushitely-pryamotochnyy-stt-bez-nasadki-vaz-2108-2109</t>
  </si>
  <si>
    <t>https://motorring.ru/product/27630-glushitely-pryamotochnyy-stt-bez-nasadki-vaz-21099</t>
  </si>
  <si>
    <t>https://motorring.ru/product/12235-glushitely-pryamotochnyy-stt-vaz-2113-2114</t>
  </si>
  <si>
    <t>https://motorring.ru/product/27642-glushitely-pryamotochnyy-stt-vaz-2115</t>
  </si>
  <si>
    <t>https://motorring.ru/product/31536-resiver-stt-dvuh-obyemnyy-vaz-2113-2114-2115-lada-granta</t>
  </si>
  <si>
    <t>Вставка "STT" замена катализатора, 4-1 (под 2 датчика, d51 мм) для Лада Ларгус, XRAY (ВАЗ-21129, 1.6 л, 16 клапанный)</t>
  </si>
  <si>
    <t>Глушитель “STT” ВАЗ 2110-11 (нержавейка)</t>
  </si>
  <si>
    <t>Ресивер "STT" двух объемный (под Е-газ) для Лада Калина (седан) (8-ми клапаный двигатель)</t>
  </si>
  <si>
    <t>Ресивер "STT" двух объемный (под механическую заслонку) для Лада Калина (седан) (8-ми клапаный двигатель)</t>
  </si>
  <si>
    <t>Ресивер "STT" круглый (под механическую дроссельную заслонку) для Лада Приора (16-ти клапаный двигатель)</t>
  </si>
  <si>
    <t>Ресивер "STT" с дудками для Лада Калина (16-ти клапанный двигатель)</t>
  </si>
  <si>
    <t>РЦ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</si>
</sst>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color theme="0"/>
      <name val="Calibri"/>
      <family val="2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1"/>
      <charset val="204"/>
    </font>
    <font>
      <sz val="11"/>
      <name val="Calibri"/>
      <family val="2"/>
      <charset val="204"/>
    </font>
    <font>
      <sz val="11"/>
      <color rgb="FF9C0006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13">
    <xf numFmtId="0" fontId="0" fillId="0" borderId="0"/>
    <xf numFmtId="0" fontId="3" fillId="0" borderId="4" applyNumberFormat="0" applyAlignment="0" applyProtection="0"/>
    <xf numFmtId="0" fontId="4" fillId="0" borderId="5" applyNumberFormat="0" applyAlignment="0" applyProtection="0"/>
    <xf numFmtId="0" fontId="5" fillId="0" borderId="6" applyNumberFormat="0" applyAlignment="0" applyProtection="0"/>
    <xf numFmtId="0" fontId="3" fillId="3" borderId="7" applyNumberFormat="0" applyProtection="0">
      <alignment horizontal="center" vertical="center"/>
    </xf>
    <xf numFmtId="0" fontId="2" fillId="4" borderId="8" applyNumberFormat="0" applyAlignment="0" applyProtection="0"/>
    <xf numFmtId="0" fontId="6" fillId="5" borderId="0" applyNumberFormat="0" applyBorder="0" applyAlignment="0" applyProtection="0"/>
    <xf numFmtId="0" fontId="12" fillId="6" borderId="9" applyNumberFormat="0" applyBorder="0" applyAlignment="0" applyProtection="0"/>
    <xf numFmtId="0" fontId="12" fillId="2" borderId="10" applyNumberFormat="0" applyBorder="0" applyAlignment="0" applyProtection="0"/>
    <xf numFmtId="0" fontId="12" fillId="7" borderId="11" applyNumberFormat="0" applyBorder="0" applyAlignment="0" applyProtection="0"/>
    <xf numFmtId="0" fontId="12" fillId="11" borderId="3" applyNumberFormat="0" applyBorder="0" applyAlignment="0" applyProtection="0"/>
    <xf numFmtId="9" fontId="7" fillId="0" borderId="0" applyFont="0" applyFill="0" applyBorder="0" applyAlignment="0" applyProtection="0"/>
    <xf numFmtId="0" fontId="13" fillId="13" borderId="0" applyNumberFormat="0" applyBorder="0" applyAlignment="0" applyProtection="0"/>
  </cellStyleXfs>
  <cellXfs count="51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2" fontId="0" fillId="2" borderId="0" xfId="0" applyNumberFormat="1" applyFill="1"/>
    <xf numFmtId="2" fontId="9" fillId="0" borderId="3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9" fontId="10" fillId="8" borderId="3" xfId="0" applyNumberFormat="1" applyFont="1" applyFill="1" applyBorder="1" applyAlignment="1">
      <alignment horizontal="left" vertical="center"/>
    </xf>
    <xf numFmtId="0" fontId="10" fillId="8" borderId="3" xfId="0" applyFont="1" applyFill="1" applyBorder="1" applyAlignment="1">
      <alignment horizontal="left" vertical="center"/>
    </xf>
    <xf numFmtId="0" fontId="11" fillId="0" borderId="3" xfId="0" applyFont="1" applyBorder="1" applyAlignment="1">
      <alignment horizontal="left" vertical="top" wrapText="1"/>
    </xf>
    <xf numFmtId="0" fontId="11" fillId="9" borderId="3" xfId="0" applyFont="1" applyFill="1" applyBorder="1" applyAlignment="1">
      <alignment horizontal="left" vertical="top" wrapText="1"/>
    </xf>
    <xf numFmtId="9" fontId="11" fillId="8" borderId="3" xfId="11" applyFont="1" applyFill="1" applyBorder="1" applyAlignment="1">
      <alignment horizontal="left" vertical="top" wrapText="1"/>
    </xf>
    <xf numFmtId="0" fontId="0" fillId="0" borderId="3" xfId="0" applyBorder="1"/>
    <xf numFmtId="0" fontId="0" fillId="0" borderId="0" xfId="0" applyAlignment="1">
      <alignment wrapText="1"/>
    </xf>
    <xf numFmtId="0" fontId="0" fillId="12" borderId="3" xfId="0" applyFill="1" applyBorder="1"/>
    <xf numFmtId="0" fontId="11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1" fontId="11" fillId="2" borderId="3" xfId="0" applyNumberFormat="1" applyFont="1" applyFill="1" applyBorder="1" applyAlignment="1">
      <alignment horizontal="left" vertical="top" wrapText="1"/>
    </xf>
    <xf numFmtId="1" fontId="11" fillId="10" borderId="3" xfId="0" applyNumberFormat="1" applyFont="1" applyFill="1" applyBorder="1" applyAlignment="1">
      <alignment horizontal="left" vertical="top" wrapText="1"/>
    </xf>
    <xf numFmtId="1" fontId="11" fillId="8" borderId="3" xfId="11" applyNumberFormat="1" applyFont="1" applyFill="1" applyBorder="1" applyAlignment="1">
      <alignment horizontal="left" vertical="top" wrapText="1"/>
    </xf>
    <xf numFmtId="1" fontId="11" fillId="0" borderId="3" xfId="0" applyNumberFormat="1" applyFont="1" applyBorder="1" applyAlignment="1">
      <alignment horizontal="left" vertical="top" wrapText="1"/>
    </xf>
    <xf numFmtId="1" fontId="1" fillId="2" borderId="3" xfId="0" applyNumberFormat="1" applyFont="1" applyFill="1" applyBorder="1" applyAlignment="1">
      <alignment horizontal="left" wrapText="1"/>
    </xf>
    <xf numFmtId="0" fontId="11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11" fillId="2" borderId="3" xfId="0" applyNumberFormat="1" applyFont="1" applyFill="1" applyBorder="1" applyAlignment="1" applyProtection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9" fontId="0" fillId="0" borderId="0" xfId="11" applyFont="1" applyAlignment="1">
      <alignment horizontal="left"/>
    </xf>
    <xf numFmtId="1" fontId="0" fillId="0" borderId="0" xfId="0" applyNumberFormat="1" applyAlignment="1">
      <alignment horizontal="left"/>
    </xf>
    <xf numFmtId="9" fontId="0" fillId="2" borderId="3" xfId="0" applyNumberFormat="1" applyFill="1" applyBorder="1" applyAlignment="1">
      <alignment horizontal="left"/>
    </xf>
    <xf numFmtId="2" fontId="0" fillId="2" borderId="0" xfId="0" applyNumberFormat="1" applyFill="1" applyAlignment="1">
      <alignment horizontal="left"/>
    </xf>
    <xf numFmtId="0" fontId="9" fillId="0" borderId="3" xfId="0" applyFont="1" applyBorder="1" applyAlignment="1">
      <alignment horizontal="left" vertical="center" wrapText="1"/>
    </xf>
    <xf numFmtId="2" fontId="9" fillId="0" borderId="3" xfId="0" applyNumberFormat="1" applyFont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left" wrapText="1"/>
    </xf>
    <xf numFmtId="2" fontId="0" fillId="0" borderId="3" xfId="0" applyNumberFormat="1" applyBorder="1" applyAlignment="1">
      <alignment horizontal="left"/>
    </xf>
    <xf numFmtId="1" fontId="13" fillId="13" borderId="3" xfId="12" applyNumberFormat="1" applyBorder="1" applyAlignment="1">
      <alignment horizontal="left"/>
    </xf>
    <xf numFmtId="9" fontId="8" fillId="0" borderId="3" xfId="11" applyFont="1" applyBorder="1" applyAlignment="1">
      <alignment horizontal="left" wrapText="1"/>
    </xf>
    <xf numFmtId="0" fontId="0" fillId="0" borderId="3" xfId="0" applyBorder="1" applyAlignment="1">
      <alignment horizontal="left" vertical="center"/>
    </xf>
    <xf numFmtId="1" fontId="0" fillId="0" borderId="3" xfId="0" applyNumberFormat="1" applyBorder="1" applyAlignment="1">
      <alignment horizontal="left"/>
    </xf>
    <xf numFmtId="1" fontId="0" fillId="0" borderId="0" xfId="11" applyNumberFormat="1" applyFont="1" applyAlignment="1">
      <alignment horizontal="left"/>
    </xf>
    <xf numFmtId="1" fontId="0" fillId="2" borderId="3" xfId="0" applyNumberFormat="1" applyFill="1" applyBorder="1" applyAlignment="1">
      <alignment horizontal="left"/>
    </xf>
    <xf numFmtId="1" fontId="10" fillId="8" borderId="3" xfId="0" applyNumberFormat="1" applyFont="1" applyFill="1" applyBorder="1" applyAlignment="1">
      <alignment horizontal="left" vertical="center"/>
    </xf>
    <xf numFmtId="9" fontId="0" fillId="0" borderId="0" xfId="0" applyNumberFormat="1" applyAlignment="1">
      <alignment horizontal="left"/>
    </xf>
    <xf numFmtId="1" fontId="0" fillId="8" borderId="3" xfId="0" applyNumberFormat="1" applyFill="1" applyBorder="1" applyAlignment="1">
      <alignment horizontal="left"/>
    </xf>
    <xf numFmtId="1" fontId="0" fillId="14" borderId="3" xfId="0" applyNumberFormat="1" applyFill="1" applyBorder="1" applyAlignment="1">
      <alignment horizontal="left"/>
    </xf>
    <xf numFmtId="1" fontId="0" fillId="15" borderId="3" xfId="0" applyNumberFormat="1" applyFill="1" applyBorder="1" applyAlignment="1">
      <alignment horizontal="left"/>
    </xf>
    <xf numFmtId="1" fontId="0" fillId="16" borderId="3" xfId="0" applyNumberFormat="1" applyFill="1" applyBorder="1" applyAlignment="1">
      <alignment horizontal="left"/>
    </xf>
    <xf numFmtId="1" fontId="0" fillId="17" borderId="3" xfId="0" applyNumberFormat="1" applyFill="1" applyBorder="1" applyAlignment="1">
      <alignment horizontal="left"/>
    </xf>
    <xf numFmtId="1" fontId="1" fillId="7" borderId="3" xfId="0" applyNumberFormat="1" applyFont="1" applyFill="1" applyBorder="1" applyAlignment="1">
      <alignment horizontal="left" vertical="center"/>
    </xf>
    <xf numFmtId="1" fontId="1" fillId="18" borderId="3" xfId="0" applyNumberFormat="1" applyFont="1" applyFill="1" applyBorder="1" applyAlignment="1">
      <alignment horizontal="left" vertical="center"/>
    </xf>
  </cellXfs>
  <cellStyles count="13">
    <cellStyle name="Акцент1" xfId="1" builtinId="29" customBuiltin="1"/>
    <cellStyle name="Акцент2" xfId="2" builtinId="33" customBuiltin="1"/>
    <cellStyle name="Акцент3" xfId="3" builtinId="37" customBuiltin="1"/>
    <cellStyle name="Акцент4" xfId="4" builtinId="41" customBuiltin="1"/>
    <cellStyle name="Акцент5" xfId="5" builtinId="45" customBuiltin="1"/>
    <cellStyle name="Акцент6" xfId="6" builtinId="49" customBuiltin="1"/>
    <cellStyle name="Заголовок 1" xfId="7" builtinId="16" customBuiltin="1"/>
    <cellStyle name="Заголовок 2" xfId="8" builtinId="17" customBuiltin="1"/>
    <cellStyle name="Заголовок 3" xfId="9" builtinId="18" customBuiltin="1"/>
    <cellStyle name="Заголовок 4" xfId="10" builtinId="19" customBuiltin="1"/>
    <cellStyle name="Обычный" xfId="0" builtinId="0"/>
    <cellStyle name="Плохой" xfId="12" builtinId="27"/>
    <cellStyle name="Процентный" xfId="11" builtinId="5"/>
  </cellStyles>
  <dxfs count="7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180975</xdr:rowOff>
        </xdr:from>
        <xdr:to>
          <xdr:col>11</xdr:col>
          <xdr:colOff>590550</xdr:colOff>
          <xdr:row>8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0759505-391A-460D-8C61-8E18E18534C9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90811D-20A2-47E2-8382-563B916C9522}" name="стт" displayName="стт" ref="A1:T442" tableType="queryTable" totalsRowShown="0">
  <autoFilter ref="A1:T442" xr:uid="{9090811D-20A2-47E2-8382-563B916C9522}"/>
  <tableColumns count="20">
    <tableColumn id="1" xr3:uid="{1D2A8244-C127-40EB-9890-B65418FE00D3}" uniqueName="1" name="Column1" queryTableFieldId="1"/>
    <tableColumn id="2" xr3:uid="{126E9F9F-0AE1-4D71-B3E3-8836893D75B4}" uniqueName="2" name="Column2" queryTableFieldId="2"/>
    <tableColumn id="3" xr3:uid="{4AA7D299-9F97-4F6A-B87F-788C935AD362}" uniqueName="3" name="Column3" queryTableFieldId="3"/>
    <tableColumn id="4" xr3:uid="{D45B1591-A221-4095-A273-B5EB5BB8097C}" uniqueName="4" name="Column4" queryTableFieldId="4"/>
    <tableColumn id="5" xr3:uid="{DE0345AF-3681-4D97-B87E-570C13151D47}" uniqueName="5" name="Column5" queryTableFieldId="5"/>
    <tableColumn id="6" xr3:uid="{FF33C3D9-3797-4EED-AAA2-FAD795CC6027}" uniqueName="6" name="Column6" queryTableFieldId="6"/>
    <tableColumn id="7" xr3:uid="{B8682EDD-826D-45BA-B06C-94FC7C6ADA77}" uniqueName="7" name="Column7" queryTableFieldId="7"/>
    <tableColumn id="8" xr3:uid="{E420BC6D-C0CF-4034-8D4B-9BA5A786EFD1}" uniqueName="8" name="Column8" queryTableFieldId="8"/>
    <tableColumn id="9" xr3:uid="{DD88689E-A852-4224-BAF5-4EF4AFAE877E}" uniqueName="9" name="Column9" queryTableFieldId="9"/>
    <tableColumn id="10" xr3:uid="{AEF9E252-A3F5-4C40-ACFB-F1D0CB4E01C9}" uniqueName="10" name="Column10" queryTableFieldId="10"/>
    <tableColumn id="11" xr3:uid="{F117B16B-2A61-4E0F-8006-A5770FDE52AF}" uniqueName="11" name="Column11" queryTableFieldId="11"/>
    <tableColumn id="12" xr3:uid="{437C1DBB-092C-4BC4-8809-EEE6E8C21847}" uniqueName="12" name="Column12" queryTableFieldId="12"/>
    <tableColumn id="13" xr3:uid="{22B5D46B-197B-42DD-B90B-32A5F704C926}" uniqueName="13" name="Column13" queryTableFieldId="13"/>
    <tableColumn id="14" xr3:uid="{7586B625-E5CD-4AB3-9B28-6EA27F78A1E0}" uniqueName="14" name="Column14" queryTableFieldId="14"/>
    <tableColumn id="15" xr3:uid="{06126C7F-2787-4396-80E3-72258EB43102}" uniqueName="15" name="Column15" queryTableFieldId="15"/>
    <tableColumn id="16" xr3:uid="{4267C2BC-F212-40ED-8058-0CF082753C93}" uniqueName="16" name="Column16" queryTableFieldId="16"/>
    <tableColumn id="17" xr3:uid="{40AC320E-4B5C-4135-8A68-90A71772A0D8}" uniqueName="17" name="Column17" queryTableFieldId="17"/>
    <tableColumn id="18" xr3:uid="{50D933DE-B7B4-4D3E-9967-C6C99331B428}" uniqueName="18" name="Column18" queryTableFieldId="18"/>
    <tableColumn id="19" xr3:uid="{6D0E9584-CF90-4868-8B44-560CFEB028C4}" uniqueName="19" name="Column19" queryTableFieldId="19"/>
    <tableColumn id="20" xr3:uid="{44DE4BFA-CC69-4643-82CC-FD115877907F}" uniqueName="20" name="Column20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14F5-A8BF-49DD-8C7D-B89E033D4112}">
  <sheetPr codeName="Лист2"/>
  <dimension ref="A1:Y217"/>
  <sheetViews>
    <sheetView tabSelected="1" workbookViewId="0">
      <pane ySplit="2" topLeftCell="A3" activePane="bottomLeft" state="frozen"/>
      <selection pane="bottomLeft" activeCell="C9" sqref="C9"/>
    </sheetView>
  </sheetViews>
  <sheetFormatPr defaultRowHeight="15" x14ac:dyDescent="0.25"/>
  <cols>
    <col min="1" max="1" width="7" style="26" bestFit="1" customWidth="1"/>
    <col min="2" max="2" width="6.85546875" style="26" bestFit="1" customWidth="1"/>
    <col min="3" max="3" width="37.5703125" style="25" customWidth="1"/>
    <col min="4" max="4" width="2.42578125" style="26" bestFit="1" customWidth="1"/>
    <col min="5" max="5" width="4.85546875" style="26" bestFit="1" customWidth="1"/>
    <col min="6" max="6" width="12.42578125" style="26" customWidth="1"/>
    <col min="7" max="7" width="10.85546875" style="26" bestFit="1" customWidth="1"/>
    <col min="8" max="8" width="5.42578125" style="26" customWidth="1"/>
    <col min="9" max="9" width="6.28515625" style="28" customWidth="1"/>
    <col min="10" max="10" width="5.5703125" style="26" bestFit="1" customWidth="1"/>
    <col min="11" max="11" width="8.5703125" style="28" bestFit="1" customWidth="1"/>
    <col min="12" max="12" width="6" style="28" bestFit="1" customWidth="1"/>
    <col min="13" max="13" width="6.7109375" style="26" bestFit="1" customWidth="1"/>
    <col min="14" max="14" width="6.85546875" style="26" bestFit="1" customWidth="1"/>
    <col min="15" max="16" width="7" style="26" customWidth="1"/>
    <col min="17" max="17" width="5.85546875" style="26" bestFit="1" customWidth="1"/>
    <col min="18" max="18" width="9" style="28" customWidth="1"/>
    <col min="19" max="19" width="4.5703125" style="26" customWidth="1"/>
    <col min="20" max="20" width="7.5703125" style="26" bestFit="1" customWidth="1"/>
    <col min="21" max="21" width="9.28515625" style="26" bestFit="1" customWidth="1"/>
    <col min="22" max="22" width="6.85546875" style="26" bestFit="1" customWidth="1"/>
    <col min="23" max="23" width="8.42578125" style="26" bestFit="1" customWidth="1"/>
    <col min="24" max="24" width="9.7109375" style="26" bestFit="1" customWidth="1"/>
    <col min="25" max="16384" width="9.140625" style="26"/>
  </cols>
  <sheetData>
    <row r="1" spans="1:25" x14ac:dyDescent="0.25">
      <c r="A1" s="25"/>
      <c r="B1" s="25">
        <v>2</v>
      </c>
      <c r="C1" s="25">
        <v>3</v>
      </c>
      <c r="D1" s="26">
        <v>4</v>
      </c>
      <c r="E1" s="26">
        <v>14</v>
      </c>
      <c r="F1" s="26">
        <v>5</v>
      </c>
      <c r="G1" s="27">
        <f>COUNTA(Кат!$X:$X)/COUNTA(Кат!$A:$A)</f>
        <v>1</v>
      </c>
      <c r="H1" s="27">
        <f>COUNT(Кат!$X:$X)/COUNT(Кат!$A:$A)</f>
        <v>0.50515463917525771</v>
      </c>
      <c r="I1" s="40"/>
      <c r="M1" s="26">
        <v>8</v>
      </c>
      <c r="N1" s="26">
        <v>9</v>
      </c>
      <c r="O1" s="28"/>
      <c r="P1" s="28"/>
      <c r="T1" s="43">
        <v>0.2</v>
      </c>
      <c r="U1" s="29" t="str">
        <f>_xlfn.CONCAT(ROUND(MIN(U3:U9000)*100,0),"-",ROUND(MAX(U3:U9000)*100,0),"%")</f>
        <v>30-50%</v>
      </c>
      <c r="V1" s="29" t="str">
        <f>_xlfn.CONCAT(ROUND(SUBTOTAL(5,V3:V9000)*100,0)," - ",ROUND(SUBTOTAL(4,V3:V9000)*100,0),"%")</f>
        <v>-59 - 11%</v>
      </c>
      <c r="W1" s="29" t="str">
        <f>_xlfn.CONCAT(ROUND(SUBTOTAL(5,W3:W90000)*100,0)," - ",ROUND(SUBTOTAL(4,W3:W90000)*100,0),"%")</f>
        <v>-18 - 67%</v>
      </c>
      <c r="X1" s="30"/>
    </row>
    <row r="2" spans="1:25" x14ac:dyDescent="0.25">
      <c r="A2" s="8" t="s">
        <v>6</v>
      </c>
      <c r="B2" s="9" t="s">
        <v>16</v>
      </c>
      <c r="C2" s="9" t="s">
        <v>7</v>
      </c>
      <c r="D2" s="9"/>
      <c r="E2" s="9"/>
      <c r="F2" s="9" t="s">
        <v>17</v>
      </c>
      <c r="G2" s="8" t="s">
        <v>8</v>
      </c>
      <c r="H2" s="8"/>
      <c r="I2" s="16" t="s">
        <v>10</v>
      </c>
      <c r="J2" s="8"/>
      <c r="K2" s="19"/>
      <c r="L2" s="16" t="s">
        <v>623</v>
      </c>
      <c r="M2" s="9" t="s">
        <v>11</v>
      </c>
      <c r="N2" s="9" t="s">
        <v>12</v>
      </c>
      <c r="O2" s="17" t="s">
        <v>13</v>
      </c>
      <c r="P2" s="17" t="s">
        <v>13</v>
      </c>
      <c r="Q2" s="10">
        <v>7.0000000000000007E-2</v>
      </c>
      <c r="R2" s="42" t="s">
        <v>5</v>
      </c>
      <c r="S2" s="6"/>
      <c r="T2" s="6" t="s">
        <v>18</v>
      </c>
      <c r="U2" s="31" t="s">
        <v>1</v>
      </c>
      <c r="V2" s="31" t="s">
        <v>2</v>
      </c>
      <c r="W2" s="31" t="s">
        <v>3</v>
      </c>
      <c r="X2" s="32" t="s">
        <v>4</v>
      </c>
    </row>
    <row r="3" spans="1:25" ht="30" x14ac:dyDescent="0.25">
      <c r="A3" s="33">
        <v>141030</v>
      </c>
      <c r="B3" s="33">
        <f>VLOOKUP($A3,'Выгр Кат'!$A:$R,B$1,0)</f>
        <v>2347</v>
      </c>
      <c r="C3" s="34" t="str">
        <f>VLOOKUP($A3,'Выгр Кат'!$A:$R,C$1,0)</f>
        <v>Глушитель "STT" ВАЗ 2114 овальная насадка (нержавейка)</v>
      </c>
      <c r="D3" s="33" t="str">
        <f>VLOOKUP($A3,'Выгр Кат'!$A:$R,D$1,0)</f>
        <v>Y</v>
      </c>
      <c r="E3" s="33" t="str">
        <f>VLOOKUP($A3,'Выгр Кат'!$A:$R,E$1,0)</f>
        <v>0</v>
      </c>
      <c r="F3" s="33">
        <f>VLOOKUP($A3,'Выгр Кат'!$A:$R,F$1,0)</f>
        <v>0</v>
      </c>
      <c r="G3" s="33"/>
      <c r="H3" s="23" t="s">
        <v>29</v>
      </c>
      <c r="I3" s="41">
        <v>0</v>
      </c>
      <c r="J3" s="35" t="e">
        <f>VLOOKUP(I3,Наценка!$A$1:$B$8,2,1)</f>
        <v>#N/A</v>
      </c>
      <c r="K3" s="36">
        <f>N3</f>
        <v>6590</v>
      </c>
      <c r="L3" s="20">
        <f t="shared" ref="L3:L34" si="0">IF(K3&lt;=1000,(ROUNDUP(K3,-1)-1),(ROUNDUP(K3,-2)-10))</f>
        <v>6590</v>
      </c>
      <c r="M3" s="33">
        <f>VLOOKUP($A3,'Выгр Кат'!$A:$R,M$1,0)</f>
        <v>0</v>
      </c>
      <c r="N3" s="33">
        <f>VLOOKUP($A3,'Выгр Кат'!$A:$R,N$1,0)</f>
        <v>6590</v>
      </c>
      <c r="O3" s="17">
        <f t="shared" ref="O3:O34" si="1">M3-I3</f>
        <v>0</v>
      </c>
      <c r="P3" s="17">
        <f t="shared" ref="P3:P34" si="2">N3-L3</f>
        <v>0</v>
      </c>
      <c r="Q3" s="18">
        <f t="shared" ref="Q3:Q34" si="3">IFERROR(L3*(1-$Q$2),"")</f>
        <v>6128.7</v>
      </c>
      <c r="R3" s="42" t="str">
        <f>IFERROR((VLOOKUP($A3,'Из ГУГЛа'!$B:$G,6,0)+T3)*S3,VLOOKUP($A3,'Из ГУГЛа'!$B:$G,6,0))</f>
        <v/>
      </c>
      <c r="S3" s="7">
        <v>1</v>
      </c>
      <c r="T3" s="7">
        <v>0</v>
      </c>
      <c r="U3" s="37" t="str">
        <f t="shared" ref="U3:U34" si="4">IFERROR(Q3/I3-1,"")</f>
        <v/>
      </c>
      <c r="V3" s="37" t="str">
        <f t="shared" ref="V3:V34" si="5">IFERROR((X3-Q3)/X3,"")</f>
        <v/>
      </c>
      <c r="W3" s="37" t="str">
        <f t="shared" ref="W3:W34" si="6">IFERROR(IF(X3="","",X3/I3-1),"")</f>
        <v/>
      </c>
      <c r="X3" s="38" t="s">
        <v>521</v>
      </c>
    </row>
    <row r="4" spans="1:25" x14ac:dyDescent="0.25">
      <c r="A4" s="33">
        <v>203648</v>
      </c>
      <c r="B4" s="33">
        <f>VLOOKUP($A4,'Выгр Кат'!$A:$R,B$1,0)</f>
        <v>1764</v>
      </c>
      <c r="C4" s="34" t="str">
        <f>VLOOKUP($A4,'Выгр Кат'!$A:$R,C$1,0)</f>
        <v>Резонатор "STT" d51 для ВАЗ 2110</v>
      </c>
      <c r="D4" s="33" t="str">
        <f>VLOOKUP($A4,'Выгр Кат'!$A:$R,D$1,0)</f>
        <v>Y</v>
      </c>
      <c r="E4" s="33" t="str">
        <f>VLOOKUP($A4,'Выгр Кат'!$A:$R,E$1,0)</f>
        <v>0</v>
      </c>
      <c r="F4" s="33">
        <f>VLOOKUP($A4,'Выгр Кат'!$A:$R,F$1,0)</f>
        <v>0</v>
      </c>
      <c r="G4" s="33"/>
      <c r="H4" s="23" t="s">
        <v>29</v>
      </c>
      <c r="I4" s="41">
        <v>0</v>
      </c>
      <c r="J4" s="35" t="e">
        <f>VLOOKUP(I4,Наценка!$A$1:$B$8,2,1)</f>
        <v>#N/A</v>
      </c>
      <c r="K4" s="36">
        <f>N4</f>
        <v>1990</v>
      </c>
      <c r="L4" s="20">
        <f t="shared" si="0"/>
        <v>1990</v>
      </c>
      <c r="M4" s="33">
        <f>VLOOKUP($A4,'Выгр Кат'!$A:$R,M$1,0)</f>
        <v>0</v>
      </c>
      <c r="N4" s="33">
        <f>VLOOKUP($A4,'Выгр Кат'!$A:$R,N$1,0)</f>
        <v>1990</v>
      </c>
      <c r="O4" s="17">
        <f t="shared" si="1"/>
        <v>0</v>
      </c>
      <c r="P4" s="17">
        <f t="shared" si="2"/>
        <v>0</v>
      </c>
      <c r="Q4" s="18">
        <f t="shared" si="3"/>
        <v>1850.6999999999998</v>
      </c>
      <c r="R4" s="42" t="str">
        <f>IFERROR((VLOOKUP($A4,'Из ГУГЛа'!$B:$G,6,0)+T4)*S4,VLOOKUP($A4,'Из ГУГЛа'!$B:$G,6,0))</f>
        <v/>
      </c>
      <c r="S4" s="7">
        <v>1</v>
      </c>
      <c r="T4" s="7">
        <v>0</v>
      </c>
      <c r="U4" s="37" t="str">
        <f t="shared" si="4"/>
        <v/>
      </c>
      <c r="V4" s="37" t="str">
        <f t="shared" si="5"/>
        <v/>
      </c>
      <c r="W4" s="37" t="str">
        <f t="shared" si="6"/>
        <v/>
      </c>
      <c r="X4" s="38" t="s">
        <v>521</v>
      </c>
    </row>
    <row r="5" spans="1:25" ht="30" x14ac:dyDescent="0.25">
      <c r="A5" s="33">
        <v>203695</v>
      </c>
      <c r="B5" s="33">
        <f>VLOOKUP($A5,'Выгр Кат'!$A:$R,B$1,0)</f>
        <v>1794</v>
      </c>
      <c r="C5" s="34" t="str">
        <f>VLOOKUP($A5,'Выгр Кат'!$A:$R,C$1,0)</f>
        <v>Резонатор (труба) "STT" d51 для ВАЗ 2108-21099 (карбюратор)</v>
      </c>
      <c r="D5" s="33" t="str">
        <f>VLOOKUP($A5,'Выгр Кат'!$A:$R,D$1,0)</f>
        <v>Y</v>
      </c>
      <c r="E5" s="33" t="str">
        <f>VLOOKUP($A5,'Выгр Кат'!$A:$R,E$1,0)</f>
        <v>0</v>
      </c>
      <c r="F5" s="33">
        <f>VLOOKUP($A5,'Выгр Кат'!$A:$R,F$1,0)</f>
        <v>0</v>
      </c>
      <c r="G5" s="33"/>
      <c r="H5" s="23" t="s">
        <v>29</v>
      </c>
      <c r="I5" s="41">
        <v>0</v>
      </c>
      <c r="J5" s="35" t="e">
        <f>VLOOKUP(I5,Наценка!$A$1:$B$8,2,1)</f>
        <v>#N/A</v>
      </c>
      <c r="K5" s="36">
        <f>N5</f>
        <v>1090</v>
      </c>
      <c r="L5" s="20">
        <f t="shared" si="0"/>
        <v>1090</v>
      </c>
      <c r="M5" s="33">
        <f>VLOOKUP($A5,'Выгр Кат'!$A:$R,M$1,0)</f>
        <v>0</v>
      </c>
      <c r="N5" s="33">
        <f>VLOOKUP($A5,'Выгр Кат'!$A:$R,N$1,0)</f>
        <v>1090</v>
      </c>
      <c r="O5" s="17">
        <f t="shared" si="1"/>
        <v>0</v>
      </c>
      <c r="P5" s="17">
        <f t="shared" si="2"/>
        <v>0</v>
      </c>
      <c r="Q5" s="18">
        <f t="shared" si="3"/>
        <v>1013.6999999999999</v>
      </c>
      <c r="R5" s="42" t="str">
        <f>IFERROR((VLOOKUP($A5,'Из ГУГЛа'!$B:$G,6,0)+T5)*S5,VLOOKUP($A5,'Из ГУГЛа'!$B:$G,6,0))</f>
        <v/>
      </c>
      <c r="S5" s="7">
        <v>1</v>
      </c>
      <c r="T5" s="7">
        <v>0</v>
      </c>
      <c r="U5" s="37" t="str">
        <f t="shared" si="4"/>
        <v/>
      </c>
      <c r="V5" s="37" t="str">
        <f t="shared" si="5"/>
        <v/>
      </c>
      <c r="W5" s="37" t="str">
        <f t="shared" si="6"/>
        <v/>
      </c>
      <c r="X5" s="38" t="s">
        <v>521</v>
      </c>
    </row>
    <row r="6" spans="1:25" ht="60" x14ac:dyDescent="0.25">
      <c r="A6" s="33">
        <v>204573</v>
      </c>
      <c r="B6" s="33">
        <f>VLOOKUP($A6,'Выгр Кат'!$A:$R,B$1,0)</f>
        <v>832</v>
      </c>
      <c r="C6" s="34" t="str">
        <f>VLOOKUP($A6,'Выгр Кат'!$A:$R,C$1,0)</f>
        <v>Ресивер "STT" двух объемный (под механическую заслонку) для Лада Калина (седан) (8-ми клапаный двигатель)</v>
      </c>
      <c r="D6" s="33" t="str">
        <f>VLOOKUP($A6,'Выгр Кат'!$A:$R,D$1,0)</f>
        <v>Y</v>
      </c>
      <c r="E6" s="33" t="str">
        <f>VLOOKUP($A6,'Выгр Кат'!$A:$R,E$1,0)</f>
        <v>0</v>
      </c>
      <c r="F6" s="33">
        <f>VLOOKUP($A6,'Выгр Кат'!$A:$R,F$1,0)</f>
        <v>0</v>
      </c>
      <c r="G6" s="33"/>
      <c r="H6" s="23" t="s">
        <v>29</v>
      </c>
      <c r="I6" s="41">
        <v>0</v>
      </c>
      <c r="J6" s="35" t="e">
        <f>VLOOKUP(I6,Наценка!$A$1:$B$8,2,1)</f>
        <v>#N/A</v>
      </c>
      <c r="K6" s="36">
        <f>N6</f>
        <v>6690</v>
      </c>
      <c r="L6" s="20">
        <f t="shared" si="0"/>
        <v>6690</v>
      </c>
      <c r="M6" s="33">
        <f>VLOOKUP($A6,'Выгр Кат'!$A:$R,M$1,0)</f>
        <v>0</v>
      </c>
      <c r="N6" s="33">
        <f>VLOOKUP($A6,'Выгр Кат'!$A:$R,N$1,0)</f>
        <v>6690</v>
      </c>
      <c r="O6" s="17">
        <f t="shared" si="1"/>
        <v>0</v>
      </c>
      <c r="P6" s="17">
        <f t="shared" si="2"/>
        <v>0</v>
      </c>
      <c r="Q6" s="18">
        <f t="shared" si="3"/>
        <v>6221.7</v>
      </c>
      <c r="R6" s="42" t="str">
        <f>IFERROR((VLOOKUP($A6,'Из ГУГЛа'!$B:$G,6,0)+T6)*S6,VLOOKUP($A6,'Из ГУГЛа'!$B:$G,6,0))</f>
        <v/>
      </c>
      <c r="S6" s="7">
        <v>1</v>
      </c>
      <c r="T6" s="7">
        <v>0</v>
      </c>
      <c r="U6" s="37" t="str">
        <f t="shared" si="4"/>
        <v/>
      </c>
      <c r="V6" s="37" t="str">
        <f t="shared" si="5"/>
        <v/>
      </c>
      <c r="W6" s="37" t="str">
        <f t="shared" si="6"/>
        <v/>
      </c>
      <c r="X6" s="38" t="s">
        <v>521</v>
      </c>
    </row>
    <row r="7" spans="1:25" ht="45" x14ac:dyDescent="0.25">
      <c r="A7" s="33">
        <v>203717</v>
      </c>
      <c r="B7" s="33">
        <f>VLOOKUP($A7,'Выгр Кат'!$A:$R,B$1,0)</f>
        <v>23510</v>
      </c>
      <c r="C7" s="34" t="str">
        <f>VLOOKUP($A7,'Выгр Кат'!$A:$R,C$1,0)</f>
        <v>Резонатор-труба "STT" (d51, под выпускной коллектор "STT", без гофры) для Лада Нива 4x4</v>
      </c>
      <c r="D7" s="33" t="str">
        <f>VLOOKUP($A7,'Выгр Кат'!$A:$R,D$1,0)</f>
        <v>Y</v>
      </c>
      <c r="E7" s="33" t="str">
        <f>VLOOKUP($A7,'Выгр Кат'!$A:$R,E$1,0)</f>
        <v>1</v>
      </c>
      <c r="F7" s="33" t="str">
        <f>VLOOKUP($A7,'Выгр Кат'!$A:$R,F$1,0)</f>
        <v>ТТ-00321</v>
      </c>
      <c r="G7" s="33"/>
      <c r="H7" s="23" t="s">
        <v>29</v>
      </c>
      <c r="I7" s="41">
        <v>1250</v>
      </c>
      <c r="J7" s="35">
        <f>VLOOKUP(I7,Наценка!$A$1:$B$8,2,1)</f>
        <v>1.4</v>
      </c>
      <c r="K7" s="39">
        <f t="shared" ref="K3:K34" si="7">I7*J7</f>
        <v>1750</v>
      </c>
      <c r="L7" s="20">
        <f t="shared" si="0"/>
        <v>1790</v>
      </c>
      <c r="M7" s="33">
        <f>VLOOKUP($A7,'Выгр Кат'!$A:$R,M$1,0)</f>
        <v>1250</v>
      </c>
      <c r="N7" s="33">
        <f>VLOOKUP($A7,'Выгр Кат'!$A:$R,N$1,0)</f>
        <v>1790</v>
      </c>
      <c r="O7" s="17">
        <f t="shared" si="1"/>
        <v>0</v>
      </c>
      <c r="P7" s="17">
        <f t="shared" si="2"/>
        <v>0</v>
      </c>
      <c r="Q7" s="18">
        <f t="shared" si="3"/>
        <v>1664.6999999999998</v>
      </c>
      <c r="R7" s="42" t="str">
        <f>IFERROR((VLOOKUP($A7,'Из ГУГЛа'!$B:$G,6,0)+T7)*S7,VLOOKUP($A7,'Из ГУГЛа'!$B:$G,6,0))</f>
        <v/>
      </c>
      <c r="S7" s="7">
        <v>1</v>
      </c>
      <c r="T7" s="7">
        <v>0</v>
      </c>
      <c r="U7" s="37">
        <f t="shared" si="4"/>
        <v>0.33175999999999983</v>
      </c>
      <c r="V7" s="37" t="str">
        <f t="shared" si="5"/>
        <v/>
      </c>
      <c r="W7" s="37" t="str">
        <f t="shared" si="6"/>
        <v/>
      </c>
      <c r="X7" s="38" t="s">
        <v>521</v>
      </c>
    </row>
    <row r="8" spans="1:25" ht="30" x14ac:dyDescent="0.25">
      <c r="A8" s="33">
        <v>203628</v>
      </c>
      <c r="B8" s="33">
        <f>VLOOKUP($A8,'Выгр Кат'!$A:$R,B$1,0)</f>
        <v>1758</v>
      </c>
      <c r="C8" s="34" t="str">
        <f>VLOOKUP($A8,'Выгр Кат'!$A:$R,C$1,0)</f>
        <v>Резонатор "STT" (d51 труба под выпуск "STT") для Лада Приора</v>
      </c>
      <c r="D8" s="33" t="str">
        <f>VLOOKUP($A8,'Выгр Кат'!$A:$R,D$1,0)</f>
        <v>Y</v>
      </c>
      <c r="E8" s="33" t="str">
        <f>VLOOKUP($A8,'Выгр Кат'!$A:$R,E$1,0)</f>
        <v>1</v>
      </c>
      <c r="F8" s="33" t="str">
        <f>VLOOKUP($A8,'Выгр Кат'!$A:$R,F$1,0)</f>
        <v>TT-00127.</v>
      </c>
      <c r="G8" s="33"/>
      <c r="H8" s="23" t="s">
        <v>29</v>
      </c>
      <c r="I8" s="41">
        <v>1350</v>
      </c>
      <c r="J8" s="35">
        <f>VLOOKUP(I8,Наценка!$A$1:$B$8,2,1)</f>
        <v>1.4</v>
      </c>
      <c r="K8" s="46">
        <f t="shared" ref="K8:K9" si="8">X8-100</f>
        <v>2090</v>
      </c>
      <c r="L8" s="20">
        <f t="shared" si="0"/>
        <v>2090</v>
      </c>
      <c r="M8" s="33">
        <f>VLOOKUP($A8,'Выгр Кат'!$A:$R,M$1,0)</f>
        <v>1350</v>
      </c>
      <c r="N8" s="33">
        <f>VLOOKUP($A8,'Выгр Кат'!$A:$R,N$1,0)</f>
        <v>1890</v>
      </c>
      <c r="O8" s="17">
        <f t="shared" si="1"/>
        <v>0</v>
      </c>
      <c r="P8" s="17">
        <f t="shared" si="2"/>
        <v>-200</v>
      </c>
      <c r="Q8" s="18">
        <f t="shared" si="3"/>
        <v>1943.6999999999998</v>
      </c>
      <c r="R8" s="42">
        <f>IFERROR((VLOOKUP($A8,'Из ГУГЛа'!$B:$G,6,0)+T8)*S8,VLOOKUP($A8,'Из ГУГЛа'!$B:$G,6,0))</f>
        <v>2190</v>
      </c>
      <c r="S8" s="7">
        <v>1</v>
      </c>
      <c r="T8" s="7">
        <v>0</v>
      </c>
      <c r="U8" s="37">
        <f t="shared" si="4"/>
        <v>0.4397777777777776</v>
      </c>
      <c r="V8" s="37">
        <f t="shared" si="5"/>
        <v>0.11246575342465762</v>
      </c>
      <c r="W8" s="37">
        <f t="shared" si="6"/>
        <v>0.62222222222222223</v>
      </c>
      <c r="X8" s="38">
        <v>2190</v>
      </c>
      <c r="Y8" s="26" t="s">
        <v>506</v>
      </c>
    </row>
    <row r="9" spans="1:25" ht="45" x14ac:dyDescent="0.25">
      <c r="A9" s="33">
        <v>203713</v>
      </c>
      <c r="B9" s="33">
        <f>VLOOKUP($A9,'Выгр Кат'!$A:$R,B$1,0)</f>
        <v>23504</v>
      </c>
      <c r="C9" s="34" t="str">
        <f>VLOOKUP($A9,'Выгр Кат'!$A:$R,C$1,0)</f>
        <v>Резонатор-труба "STT" (d51, по выпускной коллектор "STT") для ВАЗ 2101, 2103, 2105, 2106, 2107</v>
      </c>
      <c r="D9" s="33" t="str">
        <f>VLOOKUP($A9,'Выгр Кат'!$A:$R,D$1,0)</f>
        <v>Y</v>
      </c>
      <c r="E9" s="33" t="str">
        <f>VLOOKUP($A9,'Выгр Кат'!$A:$R,E$1,0)</f>
        <v>1</v>
      </c>
      <c r="F9" s="33" t="str">
        <f>VLOOKUP($A9,'Выгр Кат'!$A:$R,F$1,0)</f>
        <v>TT-00098.</v>
      </c>
      <c r="G9" s="33"/>
      <c r="H9" s="23" t="s">
        <v>29</v>
      </c>
      <c r="I9" s="41">
        <v>1350</v>
      </c>
      <c r="J9" s="35">
        <f>VLOOKUP(I9,Наценка!$A$1:$B$8,2,1)</f>
        <v>1.4</v>
      </c>
      <c r="K9" s="46">
        <f t="shared" si="8"/>
        <v>2090</v>
      </c>
      <c r="L9" s="20">
        <f t="shared" si="0"/>
        <v>2090</v>
      </c>
      <c r="M9" s="33">
        <f>VLOOKUP($A9,'Выгр Кат'!$A:$R,M$1,0)</f>
        <v>1350</v>
      </c>
      <c r="N9" s="33">
        <f>VLOOKUP($A9,'Выгр Кат'!$A:$R,N$1,0)</f>
        <v>1890</v>
      </c>
      <c r="O9" s="17">
        <f t="shared" si="1"/>
        <v>0</v>
      </c>
      <c r="P9" s="17">
        <f t="shared" si="2"/>
        <v>-200</v>
      </c>
      <c r="Q9" s="18">
        <f t="shared" si="3"/>
        <v>1943.6999999999998</v>
      </c>
      <c r="R9" s="42">
        <f>IFERROR((VLOOKUP($A9,'Из ГУГЛа'!$B:$G,6,0)+T9)*S9,VLOOKUP($A9,'Из ГУГЛа'!$B:$G,6,0))</f>
        <v>2190</v>
      </c>
      <c r="S9" s="7">
        <v>1</v>
      </c>
      <c r="T9" s="7">
        <v>0</v>
      </c>
      <c r="U9" s="37">
        <f t="shared" si="4"/>
        <v>0.4397777777777776</v>
      </c>
      <c r="V9" s="37">
        <f t="shared" si="5"/>
        <v>0.11246575342465762</v>
      </c>
      <c r="W9" s="37">
        <f t="shared" si="6"/>
        <v>0.62222222222222223</v>
      </c>
      <c r="X9" s="38">
        <v>2190</v>
      </c>
      <c r="Y9" s="26" t="s">
        <v>502</v>
      </c>
    </row>
    <row r="10" spans="1:25" ht="45" x14ac:dyDescent="0.25">
      <c r="A10" s="33">
        <v>203714</v>
      </c>
      <c r="B10" s="33">
        <f>VLOOKUP($A10,'Выгр Кат'!$A:$R,B$1,0)</f>
        <v>1783</v>
      </c>
      <c r="C10" s="34" t="str">
        <f>VLOOKUP($A10,'Выгр Кат'!$A:$R,C$1,0)</f>
        <v>Резонатор-труба "STT" (d51, по выпускной коллектор "STT") для ВАЗ 2108-21099, 2113-2115</v>
      </c>
      <c r="D10" s="33" t="str">
        <f>VLOOKUP($A10,'Выгр Кат'!$A:$R,D$1,0)</f>
        <v>Y</v>
      </c>
      <c r="E10" s="33" t="str">
        <f>VLOOKUP($A10,'Выгр Кат'!$A:$R,E$1,0)</f>
        <v>1</v>
      </c>
      <c r="F10" s="33" t="str">
        <f>VLOOKUP($A10,'Выгр Кат'!$A:$R,F$1,0)</f>
        <v>TT-00105</v>
      </c>
      <c r="G10" s="33"/>
      <c r="H10" s="23" t="s">
        <v>29</v>
      </c>
      <c r="I10" s="41">
        <v>1350</v>
      </c>
      <c r="J10" s="35">
        <f>VLOOKUP(I10,Наценка!$A$1:$B$8,2,1)</f>
        <v>1.4</v>
      </c>
      <c r="K10" s="39">
        <f t="shared" si="7"/>
        <v>1889.9999999999998</v>
      </c>
      <c r="L10" s="20">
        <f t="shared" si="0"/>
        <v>1890</v>
      </c>
      <c r="M10" s="33">
        <f>VLOOKUP($A10,'Выгр Кат'!$A:$R,M$1,0)</f>
        <v>1350</v>
      </c>
      <c r="N10" s="33">
        <f>VLOOKUP($A10,'Выгр Кат'!$A:$R,N$1,0)</f>
        <v>1890</v>
      </c>
      <c r="O10" s="17">
        <f t="shared" si="1"/>
        <v>0</v>
      </c>
      <c r="P10" s="17">
        <f t="shared" si="2"/>
        <v>0</v>
      </c>
      <c r="Q10" s="18">
        <f t="shared" si="3"/>
        <v>1757.6999999999998</v>
      </c>
      <c r="R10" s="42" t="str">
        <f>IFERROR((VLOOKUP($A10,'Из ГУГЛа'!$B:$G,6,0)+T10)*S10,VLOOKUP($A10,'Из ГУГЛа'!$B:$G,6,0))</f>
        <v/>
      </c>
      <c r="S10" s="7">
        <v>1</v>
      </c>
      <c r="T10" s="7">
        <v>0</v>
      </c>
      <c r="U10" s="37">
        <f t="shared" si="4"/>
        <v>0.30199999999999982</v>
      </c>
      <c r="V10" s="37" t="str">
        <f t="shared" si="5"/>
        <v/>
      </c>
      <c r="W10" s="37" t="str">
        <f t="shared" si="6"/>
        <v/>
      </c>
      <c r="X10" s="38" t="s">
        <v>521</v>
      </c>
    </row>
    <row r="11" spans="1:25" ht="45" x14ac:dyDescent="0.25">
      <c r="A11" s="33">
        <v>203715</v>
      </c>
      <c r="B11" s="33">
        <f>VLOOKUP($A11,'Выгр Кат'!$A:$R,B$1,0)</f>
        <v>1793</v>
      </c>
      <c r="C11" s="34" t="str">
        <f>VLOOKUP($A11,'Выгр Кат'!$A:$R,C$1,0)</f>
        <v>Резонатор-труба "STT" (d51, по выпускной коллектор "STT") для Лада Калина</v>
      </c>
      <c r="D11" s="33" t="str">
        <f>VLOOKUP($A11,'Выгр Кат'!$A:$R,D$1,0)</f>
        <v>Y</v>
      </c>
      <c r="E11" s="33" t="str">
        <f>VLOOKUP($A11,'Выгр Кат'!$A:$R,E$1,0)</f>
        <v>1</v>
      </c>
      <c r="F11" s="33" t="str">
        <f>VLOOKUP($A11,'Выгр Кат'!$A:$R,F$1,0)</f>
        <v>TT-00122.</v>
      </c>
      <c r="G11" s="33"/>
      <c r="H11" s="23" t="s">
        <v>29</v>
      </c>
      <c r="I11" s="41">
        <v>1350</v>
      </c>
      <c r="J11" s="35">
        <f>VLOOKUP(I11,Наценка!$A$1:$B$8,2,1)</f>
        <v>1.4</v>
      </c>
      <c r="K11" s="46">
        <f>X11-100</f>
        <v>2090</v>
      </c>
      <c r="L11" s="20">
        <f t="shared" si="0"/>
        <v>2090</v>
      </c>
      <c r="M11" s="33">
        <f>VLOOKUP($A11,'Выгр Кат'!$A:$R,M$1,0)</f>
        <v>1350</v>
      </c>
      <c r="N11" s="33">
        <f>VLOOKUP($A11,'Выгр Кат'!$A:$R,N$1,0)</f>
        <v>1890</v>
      </c>
      <c r="O11" s="17">
        <f t="shared" si="1"/>
        <v>0</v>
      </c>
      <c r="P11" s="17">
        <f t="shared" si="2"/>
        <v>-200</v>
      </c>
      <c r="Q11" s="18">
        <f t="shared" si="3"/>
        <v>1943.6999999999998</v>
      </c>
      <c r="R11" s="42">
        <f>IFERROR((VLOOKUP($A11,'Из ГУГЛа'!$B:$G,6,0)+T11)*S11,VLOOKUP($A11,'Из ГУГЛа'!$B:$G,6,0))</f>
        <v>2190</v>
      </c>
      <c r="S11" s="7">
        <v>1</v>
      </c>
      <c r="T11" s="7">
        <v>0</v>
      </c>
      <c r="U11" s="37">
        <f t="shared" si="4"/>
        <v>0.4397777777777776</v>
      </c>
      <c r="V11" s="37">
        <f t="shared" si="5"/>
        <v>0.11246575342465762</v>
      </c>
      <c r="W11" s="37">
        <f t="shared" si="6"/>
        <v>0.62222222222222223</v>
      </c>
      <c r="X11" s="38">
        <v>2190</v>
      </c>
      <c r="Y11" s="26" t="s">
        <v>503</v>
      </c>
    </row>
    <row r="12" spans="1:25" ht="45" x14ac:dyDescent="0.25">
      <c r="A12" s="33">
        <v>203719</v>
      </c>
      <c r="B12" s="33">
        <f>VLOOKUP($A12,'Выгр Кат'!$A:$R,B$1,0)</f>
        <v>1778</v>
      </c>
      <c r="C12" s="34" t="str">
        <f>VLOOKUP($A12,'Выгр Кат'!$A:$R,C$1,0)</f>
        <v>Резонатор-труба "STT" нового образца (d51, под выпускной коллектор "STT") для ВАЗ 2110-2112 (1,6 л)</v>
      </c>
      <c r="D12" s="33" t="str">
        <f>VLOOKUP($A12,'Выгр Кат'!$A:$R,D$1,0)</f>
        <v>Y</v>
      </c>
      <c r="E12" s="33" t="str">
        <f>VLOOKUP($A12,'Выгр Кат'!$A:$R,E$1,0)</f>
        <v>1</v>
      </c>
      <c r="F12" s="33" t="str">
        <f>VLOOKUP($A12,'Выгр Кат'!$A:$R,F$1,0)</f>
        <v>TT-00116.</v>
      </c>
      <c r="G12" s="33"/>
      <c r="H12" s="23" t="s">
        <v>29</v>
      </c>
      <c r="I12" s="41">
        <v>1350</v>
      </c>
      <c r="J12" s="35">
        <f>VLOOKUP(I12,Наценка!$A$1:$B$8,2,1)</f>
        <v>1.4</v>
      </c>
      <c r="K12" s="39">
        <f t="shared" si="7"/>
        <v>1889.9999999999998</v>
      </c>
      <c r="L12" s="20">
        <f t="shared" si="0"/>
        <v>1890</v>
      </c>
      <c r="M12" s="33">
        <f>VLOOKUP($A12,'Выгр Кат'!$A:$R,M$1,0)</f>
        <v>1350</v>
      </c>
      <c r="N12" s="33">
        <f>VLOOKUP($A12,'Выгр Кат'!$A:$R,N$1,0)</f>
        <v>1890</v>
      </c>
      <c r="O12" s="17">
        <f t="shared" si="1"/>
        <v>0</v>
      </c>
      <c r="P12" s="17">
        <f t="shared" si="2"/>
        <v>0</v>
      </c>
      <c r="Q12" s="18">
        <f t="shared" si="3"/>
        <v>1757.6999999999998</v>
      </c>
      <c r="R12" s="42" t="str">
        <f>IFERROR((VLOOKUP($A12,'Из ГУГЛа'!$B:$G,6,0)+T12)*S12,VLOOKUP($A12,'Из ГУГЛа'!$B:$G,6,0))</f>
        <v/>
      </c>
      <c r="S12" s="7">
        <v>1</v>
      </c>
      <c r="T12" s="7">
        <v>0</v>
      </c>
      <c r="U12" s="37">
        <f t="shared" si="4"/>
        <v>0.30199999999999982</v>
      </c>
      <c r="V12" s="37" t="str">
        <f t="shared" si="5"/>
        <v/>
      </c>
      <c r="W12" s="37" t="str">
        <f t="shared" si="6"/>
        <v/>
      </c>
      <c r="X12" s="38" t="s">
        <v>521</v>
      </c>
    </row>
    <row r="13" spans="1:25" ht="60" x14ac:dyDescent="0.25">
      <c r="A13" s="33">
        <v>203722</v>
      </c>
      <c r="B13" s="33">
        <f>VLOOKUP($A13,'Выгр Кат'!$A:$R,B$1,0)</f>
        <v>30444</v>
      </c>
      <c r="C13" s="34" t="str">
        <f>VLOOKUP($A13,'Выгр Кат'!$A:$R,C$1,0)</f>
        <v>Резонатор-труба "STT" старого образца (d51, под выпускной коллектор "STT") для ВАЗ 2110-2112 (1.5л, 8 клапанный, 16 клапанный)</v>
      </c>
      <c r="D13" s="33" t="str">
        <f>VLOOKUP($A13,'Выгр Кат'!$A:$R,D$1,0)</f>
        <v>Y</v>
      </c>
      <c r="E13" s="33" t="str">
        <f>VLOOKUP($A13,'Выгр Кат'!$A:$R,E$1,0)</f>
        <v>1</v>
      </c>
      <c r="F13" s="33" t="str">
        <f>VLOOKUP($A13,'Выгр Кат'!$A:$R,F$1,0)</f>
        <v>ТТ-00111</v>
      </c>
      <c r="G13" s="33"/>
      <c r="H13" s="23" t="s">
        <v>29</v>
      </c>
      <c r="I13" s="41">
        <v>1350</v>
      </c>
      <c r="J13" s="35">
        <f>VLOOKUP(I13,Наценка!$A$1:$B$8,2,1)</f>
        <v>1.4</v>
      </c>
      <c r="K13" s="39">
        <f t="shared" si="7"/>
        <v>1889.9999999999998</v>
      </c>
      <c r="L13" s="20">
        <f t="shared" si="0"/>
        <v>1890</v>
      </c>
      <c r="M13" s="33">
        <f>VLOOKUP($A13,'Выгр Кат'!$A:$R,M$1,0)</f>
        <v>1350</v>
      </c>
      <c r="N13" s="33">
        <f>VLOOKUP($A13,'Выгр Кат'!$A:$R,N$1,0)</f>
        <v>1890</v>
      </c>
      <c r="O13" s="17">
        <f t="shared" si="1"/>
        <v>0</v>
      </c>
      <c r="P13" s="17">
        <f t="shared" si="2"/>
        <v>0</v>
      </c>
      <c r="Q13" s="18">
        <f t="shared" si="3"/>
        <v>1757.6999999999998</v>
      </c>
      <c r="R13" s="42" t="str">
        <f>IFERROR((VLOOKUP($A13,'Из ГУГЛа'!$B:$G,6,0)+T13)*S13,VLOOKUP($A13,'Из ГУГЛа'!$B:$G,6,0))</f>
        <v/>
      </c>
      <c r="S13" s="7">
        <v>1</v>
      </c>
      <c r="T13" s="7">
        <v>0</v>
      </c>
      <c r="U13" s="37">
        <f t="shared" si="4"/>
        <v>0.30199999999999982</v>
      </c>
      <c r="V13" s="37" t="str">
        <f t="shared" si="5"/>
        <v/>
      </c>
      <c r="W13" s="37" t="str">
        <f t="shared" si="6"/>
        <v/>
      </c>
      <c r="X13" s="38" t="s">
        <v>521</v>
      </c>
    </row>
    <row r="14" spans="1:25" ht="30" x14ac:dyDescent="0.25">
      <c r="A14" s="33">
        <v>139555</v>
      </c>
      <c r="B14" s="33">
        <f>VLOOKUP($A14,'Выгр Кат'!$A:$R,B$1,0)</f>
        <v>23239</v>
      </c>
      <c r="C14" s="34" t="str">
        <f>VLOOKUP($A14,'Выгр Кат'!$A:$R,C$1,0)</f>
        <v>Вставка "STT" вместо катализатора, 4-1, 16V (под 1 датчик кислорода)</v>
      </c>
      <c r="D14" s="33" t="str">
        <f>VLOOKUP($A14,'Выгр Кат'!$A:$R,D$1,0)</f>
        <v>Y</v>
      </c>
      <c r="E14" s="33" t="str">
        <f>VLOOKUP($A14,'Выгр Кат'!$A:$R,E$1,0)</f>
        <v>1</v>
      </c>
      <c r="F14" s="33" t="str">
        <f>VLOOKUP($A14,'Выгр Кат'!$A:$R,F$1,0)</f>
        <v>TT-00009.</v>
      </c>
      <c r="G14" s="33"/>
      <c r="H14" s="23" t="s">
        <v>29</v>
      </c>
      <c r="I14" s="41">
        <v>1750</v>
      </c>
      <c r="J14" s="35">
        <f>VLOOKUP(I14,Наценка!$A$1:$B$8,2,1)</f>
        <v>1.4</v>
      </c>
      <c r="K14" s="46">
        <f t="shared" ref="K14:K19" si="9">X14-100</f>
        <v>2590</v>
      </c>
      <c r="L14" s="20">
        <f t="shared" si="0"/>
        <v>2590</v>
      </c>
      <c r="M14" s="33">
        <f>VLOOKUP($A14,'Выгр Кат'!$A:$R,M$1,0)</f>
        <v>1750</v>
      </c>
      <c r="N14" s="33">
        <f>VLOOKUP($A14,'Выгр Кат'!$A:$R,N$1,0)</f>
        <v>2490</v>
      </c>
      <c r="O14" s="17">
        <f t="shared" si="1"/>
        <v>0</v>
      </c>
      <c r="P14" s="17">
        <f t="shared" si="2"/>
        <v>-100</v>
      </c>
      <c r="Q14" s="18">
        <f t="shared" si="3"/>
        <v>2408.6999999999998</v>
      </c>
      <c r="R14" s="42">
        <f>IFERROR((VLOOKUP($A14,'Из ГУГЛа'!$B:$G,6,0)+T14)*S14,VLOOKUP($A14,'Из ГУГЛа'!$B:$G,6,0))</f>
        <v>2690</v>
      </c>
      <c r="S14" s="7">
        <v>1</v>
      </c>
      <c r="T14" s="7">
        <v>0</v>
      </c>
      <c r="U14" s="37">
        <f t="shared" si="4"/>
        <v>0.37639999999999985</v>
      </c>
      <c r="V14" s="37">
        <f t="shared" si="5"/>
        <v>0.10457249070631977</v>
      </c>
      <c r="W14" s="37">
        <f t="shared" si="6"/>
        <v>0.53714285714285714</v>
      </c>
      <c r="X14" s="38">
        <v>2690</v>
      </c>
      <c r="Y14" s="26" t="s">
        <v>496</v>
      </c>
    </row>
    <row r="15" spans="1:25" ht="30" x14ac:dyDescent="0.25">
      <c r="A15" s="33">
        <v>139553</v>
      </c>
      <c r="B15" s="33">
        <f>VLOOKUP($A15,'Выгр Кат'!$A:$R,B$1,0)</f>
        <v>23238</v>
      </c>
      <c r="C15" s="34" t="str">
        <f>VLOOKUP($A15,'Выгр Кат'!$A:$R,C$1,0)</f>
        <v>Вставка "STT" вместо катализатора, 4-1, 16V (два датчика кислорода)</v>
      </c>
      <c r="D15" s="33" t="str">
        <f>VLOOKUP($A15,'Выгр Кат'!$A:$R,D$1,0)</f>
        <v>Y</v>
      </c>
      <c r="E15" s="33" t="str">
        <f>VLOOKUP($A15,'Выгр Кат'!$A:$R,E$1,0)</f>
        <v>1</v>
      </c>
      <c r="F15" s="33" t="str">
        <f>VLOOKUP($A15,'Выгр Кат'!$A:$R,F$1,0)</f>
        <v>TT-00010</v>
      </c>
      <c r="G15" s="33"/>
      <c r="H15" s="23" t="s">
        <v>29</v>
      </c>
      <c r="I15" s="41">
        <v>1800</v>
      </c>
      <c r="J15" s="35">
        <f>VLOOKUP(I15,Наценка!$A$1:$B$8,2,1)</f>
        <v>1.4</v>
      </c>
      <c r="K15" s="46">
        <f t="shared" si="9"/>
        <v>2690</v>
      </c>
      <c r="L15" s="20">
        <f t="shared" si="0"/>
        <v>2690</v>
      </c>
      <c r="M15" s="33">
        <f>VLOOKUP($A15,'Выгр Кат'!$A:$R,M$1,0)</f>
        <v>1800</v>
      </c>
      <c r="N15" s="33">
        <f>VLOOKUP($A15,'Выгр Кат'!$A:$R,N$1,0)</f>
        <v>2590</v>
      </c>
      <c r="O15" s="17">
        <f t="shared" si="1"/>
        <v>0</v>
      </c>
      <c r="P15" s="17">
        <f t="shared" si="2"/>
        <v>-100</v>
      </c>
      <c r="Q15" s="18">
        <f t="shared" si="3"/>
        <v>2501.6999999999998</v>
      </c>
      <c r="R15" s="42">
        <f>IFERROR((VLOOKUP($A15,'Из ГУГЛа'!$B:$G,6,0)+T15)*S15,VLOOKUP($A15,'Из ГУГЛа'!$B:$G,6,0))</f>
        <v>2790</v>
      </c>
      <c r="S15" s="7">
        <v>1</v>
      </c>
      <c r="T15" s="7">
        <v>0</v>
      </c>
      <c r="U15" s="37">
        <f t="shared" si="4"/>
        <v>0.38983333333333325</v>
      </c>
      <c r="V15" s="37">
        <f t="shared" si="5"/>
        <v>0.1033333333333334</v>
      </c>
      <c r="W15" s="37">
        <f t="shared" si="6"/>
        <v>0.55000000000000004</v>
      </c>
      <c r="X15" s="38">
        <v>2790</v>
      </c>
      <c r="Y15" s="26" t="s">
        <v>495</v>
      </c>
    </row>
    <row r="16" spans="1:25" ht="30" x14ac:dyDescent="0.25">
      <c r="A16" s="33">
        <v>139556</v>
      </c>
      <c r="B16" s="33">
        <f>VLOOKUP($A16,'Выгр Кат'!$A:$R,B$1,0)</f>
        <v>23242</v>
      </c>
      <c r="C16" s="34" t="str">
        <f>VLOOKUP($A16,'Выгр Кат'!$A:$R,C$1,0)</f>
        <v>Вставка "STT" вместо катализатора, 4-1, 8V (1 датчик кислорода)</v>
      </c>
      <c r="D16" s="33" t="str">
        <f>VLOOKUP($A16,'Выгр Кат'!$A:$R,D$1,0)</f>
        <v>Y</v>
      </c>
      <c r="E16" s="33" t="str">
        <f>VLOOKUP($A16,'Выгр Кат'!$A:$R,E$1,0)</f>
        <v>1</v>
      </c>
      <c r="F16" s="33" t="str">
        <f>VLOOKUP($A16,'Выгр Кат'!$A:$R,F$1,0)</f>
        <v>TT-00012.</v>
      </c>
      <c r="G16" s="33"/>
      <c r="H16" s="23" t="s">
        <v>29</v>
      </c>
      <c r="I16" s="41">
        <v>1800</v>
      </c>
      <c r="J16" s="35">
        <f>VLOOKUP(I16,Наценка!$A$1:$B$8,2,1)</f>
        <v>1.4</v>
      </c>
      <c r="K16" s="46">
        <f t="shared" si="9"/>
        <v>2690</v>
      </c>
      <c r="L16" s="20">
        <f t="shared" si="0"/>
        <v>2690</v>
      </c>
      <c r="M16" s="33">
        <f>VLOOKUP($A16,'Выгр Кат'!$A:$R,M$1,0)</f>
        <v>1800</v>
      </c>
      <c r="N16" s="33">
        <f>VLOOKUP($A16,'Выгр Кат'!$A:$R,N$1,0)</f>
        <v>2590</v>
      </c>
      <c r="O16" s="17">
        <f t="shared" si="1"/>
        <v>0</v>
      </c>
      <c r="P16" s="17">
        <f t="shared" si="2"/>
        <v>-100</v>
      </c>
      <c r="Q16" s="18">
        <f t="shared" si="3"/>
        <v>2501.6999999999998</v>
      </c>
      <c r="R16" s="42">
        <f>IFERROR((VLOOKUP($A16,'Из ГУГЛа'!$B:$G,6,0)+T16)*S16,VLOOKUP($A16,'Из ГУГЛа'!$B:$G,6,0))</f>
        <v>2790</v>
      </c>
      <c r="S16" s="7">
        <v>1</v>
      </c>
      <c r="T16" s="7">
        <v>0</v>
      </c>
      <c r="U16" s="37">
        <f t="shared" si="4"/>
        <v>0.38983333333333325</v>
      </c>
      <c r="V16" s="37">
        <f t="shared" si="5"/>
        <v>0.1033333333333334</v>
      </c>
      <c r="W16" s="37">
        <f t="shared" si="6"/>
        <v>0.55000000000000004</v>
      </c>
      <c r="X16" s="38">
        <v>2790</v>
      </c>
      <c r="Y16" s="26" t="s">
        <v>494</v>
      </c>
    </row>
    <row r="17" spans="1:25" ht="30" x14ac:dyDescent="0.25">
      <c r="A17" s="33">
        <v>139557</v>
      </c>
      <c r="B17" s="33">
        <f>VLOOKUP($A17,'Выгр Кат'!$A:$R,B$1,0)</f>
        <v>23243</v>
      </c>
      <c r="C17" s="34" t="str">
        <f>VLOOKUP($A17,'Выгр Кат'!$A:$R,C$1,0)</f>
        <v>Вставка "STT" вместо катализатора, 4-1, 8V (2 датчика кислорода)</v>
      </c>
      <c r="D17" s="33" t="str">
        <f>VLOOKUP($A17,'Выгр Кат'!$A:$R,D$1,0)</f>
        <v>Y</v>
      </c>
      <c r="E17" s="33" t="str">
        <f>VLOOKUP($A17,'Выгр Кат'!$A:$R,E$1,0)</f>
        <v>1</v>
      </c>
      <c r="F17" s="33" t="str">
        <f>VLOOKUP($A17,'Выгр Кат'!$A:$R,F$1,0)</f>
        <v>TT-00011.</v>
      </c>
      <c r="G17" s="33"/>
      <c r="H17" s="23" t="s">
        <v>29</v>
      </c>
      <c r="I17" s="41">
        <v>1850</v>
      </c>
      <c r="J17" s="35">
        <f>VLOOKUP(I17,Наценка!$A$1:$B$8,2,1)</f>
        <v>1.4</v>
      </c>
      <c r="K17" s="46">
        <f t="shared" si="9"/>
        <v>2690</v>
      </c>
      <c r="L17" s="20">
        <f t="shared" si="0"/>
        <v>2690</v>
      </c>
      <c r="M17" s="33">
        <f>VLOOKUP($A17,'Выгр Кат'!$A:$R,M$1,0)</f>
        <v>1850</v>
      </c>
      <c r="N17" s="33">
        <f>VLOOKUP($A17,'Выгр Кат'!$A:$R,N$1,0)</f>
        <v>2590</v>
      </c>
      <c r="O17" s="17">
        <f t="shared" si="1"/>
        <v>0</v>
      </c>
      <c r="P17" s="17">
        <f t="shared" si="2"/>
        <v>-100</v>
      </c>
      <c r="Q17" s="18">
        <f t="shared" si="3"/>
        <v>2501.6999999999998</v>
      </c>
      <c r="R17" s="42">
        <f>IFERROR((VLOOKUP($A17,'Из ГУГЛа'!$B:$G,6,0)+T17)*S17,VLOOKUP($A17,'Из ГУГЛа'!$B:$G,6,0))</f>
        <v>2790</v>
      </c>
      <c r="S17" s="7">
        <v>1</v>
      </c>
      <c r="T17" s="7">
        <v>0</v>
      </c>
      <c r="U17" s="37">
        <f t="shared" si="4"/>
        <v>0.35227027027027025</v>
      </c>
      <c r="V17" s="37">
        <f t="shared" si="5"/>
        <v>0.1033333333333334</v>
      </c>
      <c r="W17" s="37">
        <f t="shared" si="6"/>
        <v>0.50810810810810803</v>
      </c>
      <c r="X17" s="38">
        <v>2790</v>
      </c>
      <c r="Y17" s="26" t="s">
        <v>493</v>
      </c>
    </row>
    <row r="18" spans="1:25" ht="30" x14ac:dyDescent="0.25">
      <c r="A18" s="33">
        <v>139559</v>
      </c>
      <c r="B18" s="33">
        <f>VLOOKUP($A18,'Выгр Кат'!$A:$R,B$1,0)</f>
        <v>23240</v>
      </c>
      <c r="C18" s="34" t="str">
        <f>VLOOKUP($A18,'Выгр Кат'!$A:$R,C$1,0)</f>
        <v>Вставка "STT" вместо катализатора, 4-2-1, 16V (с 1 датчиком кислорода)</v>
      </c>
      <c r="D18" s="33" t="str">
        <f>VLOOKUP($A18,'Выгр Кат'!$A:$R,D$1,0)</f>
        <v>Y</v>
      </c>
      <c r="E18" s="33" t="str">
        <f>VLOOKUP($A18,'Выгр Кат'!$A:$R,E$1,0)</f>
        <v>1</v>
      </c>
      <c r="F18" s="33" t="str">
        <f>VLOOKUP($A18,'Выгр Кат'!$A:$R,F$1,0)</f>
        <v>TT-00005.</v>
      </c>
      <c r="G18" s="33"/>
      <c r="H18" s="23" t="s">
        <v>29</v>
      </c>
      <c r="I18" s="41">
        <v>1850</v>
      </c>
      <c r="J18" s="35">
        <f>VLOOKUP(I18,Наценка!$A$1:$B$8,2,1)</f>
        <v>1.4</v>
      </c>
      <c r="K18" s="46">
        <f t="shared" si="9"/>
        <v>2790</v>
      </c>
      <c r="L18" s="20">
        <f t="shared" si="0"/>
        <v>2790</v>
      </c>
      <c r="M18" s="33">
        <f>VLOOKUP($A18,'Выгр Кат'!$A:$R,M$1,0)</f>
        <v>1850</v>
      </c>
      <c r="N18" s="33">
        <f>VLOOKUP($A18,'Выгр Кат'!$A:$R,N$1,0)</f>
        <v>2590</v>
      </c>
      <c r="O18" s="17">
        <f t="shared" si="1"/>
        <v>0</v>
      </c>
      <c r="P18" s="17">
        <f t="shared" si="2"/>
        <v>-200</v>
      </c>
      <c r="Q18" s="18">
        <f t="shared" si="3"/>
        <v>2594.6999999999998</v>
      </c>
      <c r="R18" s="42">
        <f>IFERROR((VLOOKUP($A18,'Из ГУГЛа'!$B:$G,6,0)+T18)*S18,VLOOKUP($A18,'Из ГУГЛа'!$B:$G,6,0))</f>
        <v>2890</v>
      </c>
      <c r="S18" s="7">
        <v>1</v>
      </c>
      <c r="T18" s="7">
        <v>0</v>
      </c>
      <c r="U18" s="37">
        <f t="shared" si="4"/>
        <v>0.40254054054054045</v>
      </c>
      <c r="V18" s="37">
        <f t="shared" si="5"/>
        <v>0.10217993079584782</v>
      </c>
      <c r="W18" s="37">
        <f t="shared" si="6"/>
        <v>0.56216216216216219</v>
      </c>
      <c r="X18" s="38">
        <v>2890</v>
      </c>
      <c r="Y18" s="26" t="s">
        <v>492</v>
      </c>
    </row>
    <row r="19" spans="1:25" ht="30" x14ac:dyDescent="0.25">
      <c r="A19" s="33">
        <v>203694</v>
      </c>
      <c r="B19" s="33">
        <f>VLOOKUP($A19,'Выгр Кат'!$A:$R,B$1,0)</f>
        <v>1797</v>
      </c>
      <c r="C19" s="34" t="str">
        <f>VLOOKUP($A19,'Выгр Кат'!$A:$R,C$1,0)</f>
        <v>Резонатор (труба) "STT" (под выпуск "STT") для Лада Гранта, Калина 2</v>
      </c>
      <c r="D19" s="33" t="str">
        <f>VLOOKUP($A19,'Выгр Кат'!$A:$R,D$1,0)</f>
        <v>Y</v>
      </c>
      <c r="E19" s="33" t="str">
        <f>VLOOKUP($A19,'Выгр Кат'!$A:$R,E$1,0)</f>
        <v>1</v>
      </c>
      <c r="F19" s="33" t="str">
        <f>VLOOKUP($A19,'Выгр Кат'!$A:$R,F$1,0)</f>
        <v>TT-00134.</v>
      </c>
      <c r="G19" s="33"/>
      <c r="H19" s="23" t="s">
        <v>29</v>
      </c>
      <c r="I19" s="41">
        <v>1850</v>
      </c>
      <c r="J19" s="35">
        <f>VLOOKUP(I19,Наценка!$A$1:$B$8,2,1)</f>
        <v>1.4</v>
      </c>
      <c r="K19" s="46">
        <f t="shared" si="9"/>
        <v>2990</v>
      </c>
      <c r="L19" s="20">
        <f t="shared" si="0"/>
        <v>2990</v>
      </c>
      <c r="M19" s="33">
        <f>VLOOKUP($A19,'Выгр Кат'!$A:$R,M$1,0)</f>
        <v>1850</v>
      </c>
      <c r="N19" s="33">
        <f>VLOOKUP($A19,'Выгр Кат'!$A:$R,N$1,0)</f>
        <v>2590</v>
      </c>
      <c r="O19" s="17">
        <f t="shared" si="1"/>
        <v>0</v>
      </c>
      <c r="P19" s="17">
        <f t="shared" si="2"/>
        <v>-400</v>
      </c>
      <c r="Q19" s="18">
        <f t="shared" si="3"/>
        <v>2780.7</v>
      </c>
      <c r="R19" s="42">
        <f>IFERROR((VLOOKUP($A19,'Из ГУГЛа'!$B:$G,6,0)+T19)*S19,VLOOKUP($A19,'Из ГУГЛа'!$B:$G,6,0))</f>
        <v>3090</v>
      </c>
      <c r="S19" s="7">
        <v>1</v>
      </c>
      <c r="T19" s="7">
        <v>0</v>
      </c>
      <c r="U19" s="37">
        <f t="shared" si="4"/>
        <v>0.50308108108108107</v>
      </c>
      <c r="V19" s="37">
        <f t="shared" si="5"/>
        <v>0.10009708737864084</v>
      </c>
      <c r="W19" s="37">
        <f t="shared" si="6"/>
        <v>0.67027027027027031</v>
      </c>
      <c r="X19" s="38">
        <v>3090</v>
      </c>
      <c r="Y19" s="26" t="s">
        <v>504</v>
      </c>
    </row>
    <row r="20" spans="1:25" ht="45" x14ac:dyDescent="0.25">
      <c r="A20" s="33">
        <v>203712</v>
      </c>
      <c r="B20" s="33">
        <f>VLOOKUP($A20,'Выгр Кат'!$A:$R,B$1,0)</f>
        <v>1786</v>
      </c>
      <c r="C20" s="34" t="str">
        <f>VLOOKUP($A20,'Выгр Кат'!$A:$R,C$1,0)</f>
        <v>Резонатор-труба "STT" (d51, по выпускной коллектор "STT", с гофрой) для ВАЗ 2108-21099, 2113-2115</v>
      </c>
      <c r="D20" s="33" t="str">
        <f>VLOOKUP($A20,'Выгр Кат'!$A:$R,D$1,0)</f>
        <v>Y</v>
      </c>
      <c r="E20" s="33" t="str">
        <f>VLOOKUP($A20,'Выгр Кат'!$A:$R,E$1,0)</f>
        <v>1</v>
      </c>
      <c r="F20" s="33" t="str">
        <f>VLOOKUP($A20,'Выгр Кат'!$A:$R,F$1,0)</f>
        <v>TT-00106</v>
      </c>
      <c r="G20" s="33"/>
      <c r="H20" s="23" t="s">
        <v>29</v>
      </c>
      <c r="I20" s="41">
        <v>1850</v>
      </c>
      <c r="J20" s="35">
        <f>VLOOKUP(I20,Наценка!$A$1:$B$8,2,1)</f>
        <v>1.4</v>
      </c>
      <c r="K20" s="39">
        <f t="shared" si="7"/>
        <v>2590</v>
      </c>
      <c r="L20" s="20">
        <f t="shared" si="0"/>
        <v>2590</v>
      </c>
      <c r="M20" s="33">
        <f>VLOOKUP($A20,'Выгр Кат'!$A:$R,M$1,0)</f>
        <v>1850</v>
      </c>
      <c r="N20" s="33">
        <f>VLOOKUP($A20,'Выгр Кат'!$A:$R,N$1,0)</f>
        <v>2590</v>
      </c>
      <c r="O20" s="17">
        <f t="shared" si="1"/>
        <v>0</v>
      </c>
      <c r="P20" s="17">
        <f t="shared" si="2"/>
        <v>0</v>
      </c>
      <c r="Q20" s="18">
        <f t="shared" si="3"/>
        <v>2408.6999999999998</v>
      </c>
      <c r="R20" s="42" t="str">
        <f>IFERROR((VLOOKUP($A20,'Из ГУГЛа'!$B:$G,6,0)+T20)*S20,VLOOKUP($A20,'Из ГУГЛа'!$B:$G,6,0))</f>
        <v/>
      </c>
      <c r="S20" s="7">
        <v>1</v>
      </c>
      <c r="T20" s="7">
        <v>0</v>
      </c>
      <c r="U20" s="37">
        <f t="shared" si="4"/>
        <v>0.30199999999999982</v>
      </c>
      <c r="V20" s="37" t="str">
        <f t="shared" si="5"/>
        <v/>
      </c>
      <c r="W20" s="37" t="str">
        <f t="shared" si="6"/>
        <v/>
      </c>
      <c r="X20" s="38" t="s">
        <v>521</v>
      </c>
    </row>
    <row r="21" spans="1:25" ht="45" x14ac:dyDescent="0.25">
      <c r="A21" s="33">
        <v>203721</v>
      </c>
      <c r="B21" s="33">
        <f>VLOOKUP($A21,'Выгр Кат'!$A:$R,B$1,0)</f>
        <v>23506</v>
      </c>
      <c r="C21" s="34" t="str">
        <f>VLOOKUP($A21,'Выгр Кат'!$A:$R,C$1,0)</f>
        <v>Резонатор-труба "STT" старого образца (d51, под выпускной коллектор "STT", с гофрой) для ВАЗ 2110-2112</v>
      </c>
      <c r="D21" s="33" t="str">
        <f>VLOOKUP($A21,'Выгр Кат'!$A:$R,D$1,0)</f>
        <v>Y</v>
      </c>
      <c r="E21" s="33" t="str">
        <f>VLOOKUP($A21,'Выгр Кат'!$A:$R,E$1,0)</f>
        <v>1ск6</v>
      </c>
      <c r="F21" s="33" t="str">
        <f>VLOOKUP($A21,'Выгр Кат'!$A:$R,F$1,0)</f>
        <v>TT-00117.</v>
      </c>
      <c r="G21" s="33"/>
      <c r="H21" s="23" t="s">
        <v>29</v>
      </c>
      <c r="I21" s="41">
        <v>1850</v>
      </c>
      <c r="J21" s="35">
        <f>VLOOKUP(I21,Наценка!$A$1:$B$8,2,1)</f>
        <v>1.4</v>
      </c>
      <c r="K21" s="39">
        <f t="shared" si="7"/>
        <v>2590</v>
      </c>
      <c r="L21" s="20">
        <f t="shared" si="0"/>
        <v>2590</v>
      </c>
      <c r="M21" s="33">
        <f>VLOOKUP($A21,'Выгр Кат'!$A:$R,M$1,0)</f>
        <v>1850</v>
      </c>
      <c r="N21" s="33">
        <f>VLOOKUP($A21,'Выгр Кат'!$A:$R,N$1,0)</f>
        <v>2590</v>
      </c>
      <c r="O21" s="17">
        <f t="shared" si="1"/>
        <v>0</v>
      </c>
      <c r="P21" s="17">
        <f t="shared" si="2"/>
        <v>0</v>
      </c>
      <c r="Q21" s="18">
        <f t="shared" si="3"/>
        <v>2408.6999999999998</v>
      </c>
      <c r="R21" s="42" t="str">
        <f>IFERROR((VLOOKUP($A21,'Из ГУГЛа'!$B:$G,6,0)+T21)*S21,VLOOKUP($A21,'Из ГУГЛа'!$B:$G,6,0))</f>
        <v/>
      </c>
      <c r="S21" s="7">
        <v>1</v>
      </c>
      <c r="T21" s="7">
        <v>0</v>
      </c>
      <c r="U21" s="37">
        <f t="shared" si="4"/>
        <v>0.30199999999999982</v>
      </c>
      <c r="V21" s="37" t="str">
        <f t="shared" si="5"/>
        <v/>
      </c>
      <c r="W21" s="37" t="str">
        <f t="shared" si="6"/>
        <v/>
      </c>
      <c r="X21" s="38" t="s">
        <v>521</v>
      </c>
    </row>
    <row r="22" spans="1:25" ht="30" x14ac:dyDescent="0.25">
      <c r="A22" s="33">
        <v>139560</v>
      </c>
      <c r="B22" s="33">
        <f>VLOOKUP($A22,'Выгр Кат'!$A:$R,B$1,0)</f>
        <v>23241</v>
      </c>
      <c r="C22" s="34" t="str">
        <f>VLOOKUP($A22,'Выгр Кат'!$A:$R,C$1,0)</f>
        <v>Вставка "STT" вместо катализатора, 4-2-1, 16V (с 2 датчиками кислорода)</v>
      </c>
      <c r="D22" s="33" t="str">
        <f>VLOOKUP($A22,'Выгр Кат'!$A:$R,D$1,0)</f>
        <v>Y</v>
      </c>
      <c r="E22" s="33" t="str">
        <f>VLOOKUP($A22,'Выгр Кат'!$A:$R,E$1,0)</f>
        <v>1</v>
      </c>
      <c r="F22" s="33" t="str">
        <f>VLOOKUP($A22,'Выгр Кат'!$A:$R,F$1,0)</f>
        <v>TT-00006.</v>
      </c>
      <c r="G22" s="33"/>
      <c r="H22" s="23" t="s">
        <v>29</v>
      </c>
      <c r="I22" s="41">
        <v>1900</v>
      </c>
      <c r="J22" s="35">
        <f>VLOOKUP(I22,Наценка!$A$1:$B$8,2,1)</f>
        <v>1.4</v>
      </c>
      <c r="K22" s="46">
        <f t="shared" ref="K22:K28" si="10">X22-100</f>
        <v>2790</v>
      </c>
      <c r="L22" s="20">
        <f t="shared" si="0"/>
        <v>2790</v>
      </c>
      <c r="M22" s="33">
        <f>VLOOKUP($A22,'Выгр Кат'!$A:$R,M$1,0)</f>
        <v>1900</v>
      </c>
      <c r="N22" s="33">
        <f>VLOOKUP($A22,'Выгр Кат'!$A:$R,N$1,0)</f>
        <v>2690</v>
      </c>
      <c r="O22" s="17">
        <f t="shared" si="1"/>
        <v>0</v>
      </c>
      <c r="P22" s="17">
        <f t="shared" si="2"/>
        <v>-100</v>
      </c>
      <c r="Q22" s="18">
        <f t="shared" si="3"/>
        <v>2594.6999999999998</v>
      </c>
      <c r="R22" s="42">
        <f>IFERROR((VLOOKUP($A22,'Из ГУГЛа'!$B:$G,6,0)+T22)*S22,VLOOKUP($A22,'Из ГУГЛа'!$B:$G,6,0))</f>
        <v>2890</v>
      </c>
      <c r="S22" s="7">
        <v>1</v>
      </c>
      <c r="T22" s="7">
        <v>0</v>
      </c>
      <c r="U22" s="37">
        <f t="shared" si="4"/>
        <v>0.36563157894736831</v>
      </c>
      <c r="V22" s="37">
        <f t="shared" si="5"/>
        <v>0.10217993079584782</v>
      </c>
      <c r="W22" s="37">
        <f t="shared" si="6"/>
        <v>0.52105263157894743</v>
      </c>
      <c r="X22" s="38">
        <v>2890</v>
      </c>
      <c r="Y22" s="26" t="s">
        <v>491</v>
      </c>
    </row>
    <row r="23" spans="1:25" ht="30" x14ac:dyDescent="0.25">
      <c r="A23" s="33">
        <v>139561</v>
      </c>
      <c r="B23" s="33">
        <f>VLOOKUP($A23,'Выгр Кат'!$A:$R,B$1,0)</f>
        <v>23246</v>
      </c>
      <c r="C23" s="34" t="str">
        <f>VLOOKUP($A23,'Выгр Кат'!$A:$R,C$1,0)</f>
        <v>Вставка "STT" вместо катализатора, 4-2-1, 8V (1 датчик кислорода)</v>
      </c>
      <c r="D23" s="33" t="str">
        <f>VLOOKUP($A23,'Выгр Кат'!$A:$R,D$1,0)</f>
        <v>Y</v>
      </c>
      <c r="E23" s="33" t="str">
        <f>VLOOKUP($A23,'Выгр Кат'!$A:$R,E$1,0)</f>
        <v>1</v>
      </c>
      <c r="F23" s="33" t="str">
        <f>VLOOKUP($A23,'Выгр Кат'!$A:$R,F$1,0)</f>
        <v>TT-00003.</v>
      </c>
      <c r="G23" s="33"/>
      <c r="H23" s="23" t="s">
        <v>29</v>
      </c>
      <c r="I23" s="41">
        <v>2000</v>
      </c>
      <c r="J23" s="35">
        <f>VLOOKUP(I23,Наценка!$A$1:$B$8,2,1)</f>
        <v>1.4</v>
      </c>
      <c r="K23" s="46">
        <f t="shared" si="10"/>
        <v>2890</v>
      </c>
      <c r="L23" s="20">
        <f t="shared" si="0"/>
        <v>2890</v>
      </c>
      <c r="M23" s="33">
        <f>VLOOKUP($A23,'Выгр Кат'!$A:$R,M$1,0)</f>
        <v>2000</v>
      </c>
      <c r="N23" s="33">
        <f>VLOOKUP($A23,'Выгр Кат'!$A:$R,N$1,0)</f>
        <v>2790</v>
      </c>
      <c r="O23" s="17">
        <f t="shared" si="1"/>
        <v>0</v>
      </c>
      <c r="P23" s="17">
        <f t="shared" si="2"/>
        <v>-100</v>
      </c>
      <c r="Q23" s="18">
        <f t="shared" si="3"/>
        <v>2687.7</v>
      </c>
      <c r="R23" s="42">
        <f>IFERROR((VLOOKUP($A23,'Из ГУГЛа'!$B:$G,6,0)+T23)*S23,VLOOKUP($A23,'Из ГУГЛа'!$B:$G,6,0))</f>
        <v>2990</v>
      </c>
      <c r="S23" s="7">
        <v>1</v>
      </c>
      <c r="T23" s="7">
        <v>0</v>
      </c>
      <c r="U23" s="37">
        <f t="shared" si="4"/>
        <v>0.34384999999999999</v>
      </c>
      <c r="V23" s="37">
        <f t="shared" si="5"/>
        <v>0.10110367892976595</v>
      </c>
      <c r="W23" s="37">
        <f t="shared" si="6"/>
        <v>0.49500000000000011</v>
      </c>
      <c r="X23" s="38">
        <v>2990</v>
      </c>
      <c r="Y23" s="26" t="s">
        <v>498</v>
      </c>
    </row>
    <row r="24" spans="1:25" ht="45" x14ac:dyDescent="0.25">
      <c r="A24" s="33">
        <v>139562</v>
      </c>
      <c r="B24" s="33">
        <f>VLOOKUP($A24,'Выгр Кат'!$A:$R,B$1,0)</f>
        <v>23244</v>
      </c>
      <c r="C24" s="34" t="str">
        <f>VLOOKUP($A24,'Выгр Кат'!$A:$R,C$1,0)</f>
        <v>Вставка "STT" вместо катализатора, 4-2-1, 8V (1 датчик кислорода) для ВАЗ 2113-2115</v>
      </c>
      <c r="D24" s="33" t="str">
        <f>VLOOKUP($A24,'Выгр Кат'!$A:$R,D$1,0)</f>
        <v>Y</v>
      </c>
      <c r="E24" s="33" t="str">
        <f>VLOOKUP($A24,'Выгр Кат'!$A:$R,E$1,0)</f>
        <v>1</v>
      </c>
      <c r="F24" s="33" t="str">
        <f>VLOOKUP($A24,'Выгр Кат'!$A:$R,F$1,0)</f>
        <v>TT-00001.</v>
      </c>
      <c r="G24" s="33"/>
      <c r="H24" s="23" t="s">
        <v>29</v>
      </c>
      <c r="I24" s="41">
        <v>2000</v>
      </c>
      <c r="J24" s="35">
        <f>VLOOKUP(I24,Наценка!$A$1:$B$8,2,1)</f>
        <v>1.4</v>
      </c>
      <c r="K24" s="46">
        <f t="shared" si="10"/>
        <v>2890</v>
      </c>
      <c r="L24" s="20">
        <f t="shared" si="0"/>
        <v>2890</v>
      </c>
      <c r="M24" s="33">
        <f>VLOOKUP($A24,'Выгр Кат'!$A:$R,M$1,0)</f>
        <v>2000</v>
      </c>
      <c r="N24" s="33">
        <f>VLOOKUP($A24,'Выгр Кат'!$A:$R,N$1,0)</f>
        <v>2790</v>
      </c>
      <c r="O24" s="17">
        <f t="shared" si="1"/>
        <v>0</v>
      </c>
      <c r="P24" s="17">
        <f t="shared" si="2"/>
        <v>-100</v>
      </c>
      <c r="Q24" s="18">
        <f t="shared" si="3"/>
        <v>2687.7</v>
      </c>
      <c r="R24" s="42">
        <f>IFERROR((VLOOKUP($A24,'Из ГУГЛа'!$B:$G,6,0)+T24)*S24,VLOOKUP($A24,'Из ГУГЛа'!$B:$G,6,0))</f>
        <v>2990</v>
      </c>
      <c r="S24" s="7">
        <v>1</v>
      </c>
      <c r="T24" s="7">
        <v>0</v>
      </c>
      <c r="U24" s="37">
        <f t="shared" si="4"/>
        <v>0.34384999999999999</v>
      </c>
      <c r="V24" s="37">
        <f t="shared" si="5"/>
        <v>0.10110367892976595</v>
      </c>
      <c r="W24" s="37">
        <f t="shared" si="6"/>
        <v>0.49500000000000011</v>
      </c>
      <c r="X24" s="38">
        <v>2990</v>
      </c>
      <c r="Y24" s="26" t="s">
        <v>498</v>
      </c>
    </row>
    <row r="25" spans="1:25" ht="30" x14ac:dyDescent="0.25">
      <c r="A25" s="33">
        <v>139563</v>
      </c>
      <c r="B25" s="33">
        <f>VLOOKUP($A25,'Выгр Кат'!$A:$R,B$1,0)</f>
        <v>23247</v>
      </c>
      <c r="C25" s="34" t="str">
        <f>VLOOKUP($A25,'Выгр Кат'!$A:$R,C$1,0)</f>
        <v>Вставка "STT" вместо катализатора, 4-2-1, 8V (2 датчика кислорода)</v>
      </c>
      <c r="D25" s="33" t="str">
        <f>VLOOKUP($A25,'Выгр Кат'!$A:$R,D$1,0)</f>
        <v>Y</v>
      </c>
      <c r="E25" s="33" t="str">
        <f>VLOOKUP($A25,'Выгр Кат'!$A:$R,E$1,0)</f>
        <v>1</v>
      </c>
      <c r="F25" s="33" t="str">
        <f>VLOOKUP($A25,'Выгр Кат'!$A:$R,F$1,0)</f>
        <v>TT-00004.</v>
      </c>
      <c r="G25" s="33"/>
      <c r="H25" s="23" t="s">
        <v>29</v>
      </c>
      <c r="I25" s="41">
        <v>2050</v>
      </c>
      <c r="J25" s="35">
        <f>VLOOKUP(I25,Наценка!$A$1:$B$8,2,1)</f>
        <v>1.4</v>
      </c>
      <c r="K25" s="46">
        <f t="shared" si="10"/>
        <v>3090</v>
      </c>
      <c r="L25" s="20">
        <f t="shared" si="0"/>
        <v>3090</v>
      </c>
      <c r="M25" s="33">
        <f>VLOOKUP($A25,'Выгр Кат'!$A:$R,M$1,0)</f>
        <v>2050</v>
      </c>
      <c r="N25" s="33">
        <f>VLOOKUP($A25,'Выгр Кат'!$A:$R,N$1,0)</f>
        <v>2890</v>
      </c>
      <c r="O25" s="17">
        <f t="shared" si="1"/>
        <v>0</v>
      </c>
      <c r="P25" s="17">
        <f t="shared" si="2"/>
        <v>-200</v>
      </c>
      <c r="Q25" s="18">
        <f t="shared" si="3"/>
        <v>2873.7</v>
      </c>
      <c r="R25" s="42">
        <f>IFERROR((VLOOKUP($A25,'Из ГУГЛа'!$B:$G,6,0)+T25)*S25,VLOOKUP($A25,'Из ГУГЛа'!$B:$G,6,0))</f>
        <v>3190</v>
      </c>
      <c r="S25" s="7">
        <v>1</v>
      </c>
      <c r="T25" s="7">
        <v>0</v>
      </c>
      <c r="U25" s="37">
        <f t="shared" si="4"/>
        <v>0.4018048780487804</v>
      </c>
      <c r="V25" s="37">
        <f t="shared" si="5"/>
        <v>9.9153605015674037E-2</v>
      </c>
      <c r="W25" s="37">
        <f t="shared" si="6"/>
        <v>0.55609756097560981</v>
      </c>
      <c r="X25" s="38">
        <v>3190</v>
      </c>
      <c r="Y25" s="26" t="s">
        <v>497</v>
      </c>
    </row>
    <row r="26" spans="1:25" ht="45" x14ac:dyDescent="0.25">
      <c r="A26" s="33">
        <v>139564</v>
      </c>
      <c r="B26" s="33">
        <f>VLOOKUP($A26,'Выгр Кат'!$A:$R,B$1,0)</f>
        <v>23245</v>
      </c>
      <c r="C26" s="34" t="str">
        <f>VLOOKUP($A26,'Выгр Кат'!$A:$R,C$1,0)</f>
        <v>Вставка "STT" вместо катализатора, 4-2-1, 8V (2 датчика кислорода) для ВАЗ 2113-2115</v>
      </c>
      <c r="D26" s="33" t="str">
        <f>VLOOKUP($A26,'Выгр Кат'!$A:$R,D$1,0)</f>
        <v>Y</v>
      </c>
      <c r="E26" s="33" t="str">
        <f>VLOOKUP($A26,'Выгр Кат'!$A:$R,E$1,0)</f>
        <v>1</v>
      </c>
      <c r="F26" s="33" t="str">
        <f>VLOOKUP($A26,'Выгр Кат'!$A:$R,F$1,0)</f>
        <v>TT-00002.</v>
      </c>
      <c r="G26" s="33"/>
      <c r="H26" s="23" t="s">
        <v>29</v>
      </c>
      <c r="I26" s="41">
        <v>2050</v>
      </c>
      <c r="J26" s="35">
        <f>VLOOKUP(I26,Наценка!$A$1:$B$8,2,1)</f>
        <v>1.4</v>
      </c>
      <c r="K26" s="46">
        <f t="shared" si="10"/>
        <v>3090</v>
      </c>
      <c r="L26" s="20">
        <f t="shared" si="0"/>
        <v>3090</v>
      </c>
      <c r="M26" s="33">
        <f>VLOOKUP($A26,'Выгр Кат'!$A:$R,M$1,0)</f>
        <v>2050</v>
      </c>
      <c r="N26" s="33">
        <f>VLOOKUP($A26,'Выгр Кат'!$A:$R,N$1,0)</f>
        <v>2890</v>
      </c>
      <c r="O26" s="17">
        <f t="shared" si="1"/>
        <v>0</v>
      </c>
      <c r="P26" s="17">
        <f t="shared" si="2"/>
        <v>-200</v>
      </c>
      <c r="Q26" s="18">
        <f t="shared" si="3"/>
        <v>2873.7</v>
      </c>
      <c r="R26" s="42">
        <f>IFERROR((VLOOKUP($A26,'Из ГУГЛа'!$B:$G,6,0)+T26)*S26,VLOOKUP($A26,'Из ГУГЛа'!$B:$G,6,0))</f>
        <v>3190</v>
      </c>
      <c r="S26" s="7">
        <v>1</v>
      </c>
      <c r="T26" s="7">
        <v>0</v>
      </c>
      <c r="U26" s="37">
        <f t="shared" si="4"/>
        <v>0.4018048780487804</v>
      </c>
      <c r="V26" s="37">
        <f t="shared" si="5"/>
        <v>9.9153605015674037E-2</v>
      </c>
      <c r="W26" s="37">
        <f t="shared" si="6"/>
        <v>0.55609756097560981</v>
      </c>
      <c r="X26" s="38">
        <v>3190</v>
      </c>
      <c r="Y26" s="26" t="s">
        <v>497</v>
      </c>
    </row>
    <row r="27" spans="1:25" ht="30" x14ac:dyDescent="0.25">
      <c r="A27" s="33">
        <v>203634</v>
      </c>
      <c r="B27" s="33">
        <f>VLOOKUP($A27,'Выгр Кат'!$A:$R,B$1,0)</f>
        <v>23495</v>
      </c>
      <c r="C27" s="34" t="str">
        <f>VLOOKUP($A27,'Выгр Кат'!$A:$R,C$1,0)</f>
        <v>Резонатор "STT" (d51, под выпускной коллектор "STT") для Лада Нива 4x4</v>
      </c>
      <c r="D27" s="33" t="str">
        <f>VLOOKUP($A27,'Выгр Кат'!$A:$R,D$1,0)</f>
        <v>Y</v>
      </c>
      <c r="E27" s="33" t="str">
        <f>VLOOKUP($A27,'Выгр Кат'!$A:$R,E$1,0)</f>
        <v>1</v>
      </c>
      <c r="F27" s="33" t="str">
        <f>VLOOKUP($A27,'Выгр Кат'!$A:$R,F$1,0)</f>
        <v>TT-00103.</v>
      </c>
      <c r="G27" s="33"/>
      <c r="H27" s="23" t="s">
        <v>29</v>
      </c>
      <c r="I27" s="41">
        <v>2100</v>
      </c>
      <c r="J27" s="35">
        <f>VLOOKUP(I27,Наценка!$A$1:$B$8,2,1)</f>
        <v>1.4</v>
      </c>
      <c r="K27" s="46">
        <f t="shared" si="10"/>
        <v>3090</v>
      </c>
      <c r="L27" s="20">
        <f t="shared" si="0"/>
        <v>3090</v>
      </c>
      <c r="M27" s="33">
        <f>VLOOKUP($A27,'Выгр Кат'!$A:$R,M$1,0)</f>
        <v>2100</v>
      </c>
      <c r="N27" s="33">
        <f>VLOOKUP($A27,'Выгр Кат'!$A:$R,N$1,0)</f>
        <v>2990</v>
      </c>
      <c r="O27" s="17">
        <f t="shared" si="1"/>
        <v>0</v>
      </c>
      <c r="P27" s="17">
        <f t="shared" si="2"/>
        <v>-100</v>
      </c>
      <c r="Q27" s="18">
        <f t="shared" si="3"/>
        <v>2873.7</v>
      </c>
      <c r="R27" s="42">
        <f>IFERROR((VLOOKUP($A27,'Из ГУГЛа'!$B:$G,6,0)+T27)*S27,VLOOKUP($A27,'Из ГУГЛа'!$B:$G,6,0))</f>
        <v>3190</v>
      </c>
      <c r="S27" s="7">
        <v>1</v>
      </c>
      <c r="T27" s="7">
        <v>0</v>
      </c>
      <c r="U27" s="37">
        <f t="shared" si="4"/>
        <v>0.36842857142857133</v>
      </c>
      <c r="V27" s="37">
        <f t="shared" si="5"/>
        <v>9.9153605015674037E-2</v>
      </c>
      <c r="W27" s="37">
        <f t="shared" si="6"/>
        <v>0.51904761904761898</v>
      </c>
      <c r="X27" s="38">
        <v>3190</v>
      </c>
      <c r="Y27" s="26" t="s">
        <v>524</v>
      </c>
    </row>
    <row r="28" spans="1:25" x14ac:dyDescent="0.25">
      <c r="A28" s="33">
        <v>203664</v>
      </c>
      <c r="B28" s="33">
        <f>VLOOKUP($A28,'Выгр Кат'!$A:$R,B$1,0)</f>
        <v>1760</v>
      </c>
      <c r="C28" s="34" t="str">
        <f>VLOOKUP($A28,'Выгр Кат'!$A:$R,C$1,0)</f>
        <v>Резонатор "STT" d51 для ВАЗ 2101-2107</v>
      </c>
      <c r="D28" s="33" t="str">
        <f>VLOOKUP($A28,'Выгр Кат'!$A:$R,D$1,0)</f>
        <v>Y</v>
      </c>
      <c r="E28" s="33" t="str">
        <f>VLOOKUP($A28,'Выгр Кат'!$A:$R,E$1,0)</f>
        <v>1</v>
      </c>
      <c r="F28" s="33" t="str">
        <f>VLOOKUP($A28,'Выгр Кат'!$A:$R,F$1,0)</f>
        <v>TT-00101.</v>
      </c>
      <c r="G28" s="33"/>
      <c r="H28" s="23" t="s">
        <v>29</v>
      </c>
      <c r="I28" s="41">
        <v>2250</v>
      </c>
      <c r="J28" s="35">
        <f>VLOOKUP(I28,Наценка!$A$1:$B$8,2,1)</f>
        <v>1.4</v>
      </c>
      <c r="K28" s="46">
        <f t="shared" si="10"/>
        <v>3290</v>
      </c>
      <c r="L28" s="20">
        <f t="shared" si="0"/>
        <v>3290</v>
      </c>
      <c r="M28" s="33">
        <f>VLOOKUP($A28,'Выгр Кат'!$A:$R,M$1,0)</f>
        <v>2250</v>
      </c>
      <c r="N28" s="33">
        <f>VLOOKUP($A28,'Выгр Кат'!$A:$R,N$1,0)</f>
        <v>3190</v>
      </c>
      <c r="O28" s="17">
        <f t="shared" si="1"/>
        <v>0</v>
      </c>
      <c r="P28" s="17">
        <f t="shared" si="2"/>
        <v>-100</v>
      </c>
      <c r="Q28" s="18">
        <f t="shared" si="3"/>
        <v>3059.7</v>
      </c>
      <c r="R28" s="42">
        <f>IFERROR((VLOOKUP($A28,'Из ГУГЛа'!$B:$G,6,0)+T28)*S28,VLOOKUP($A28,'Из ГУГЛа'!$B:$G,6,0))</f>
        <v>3390</v>
      </c>
      <c r="S28" s="7">
        <v>1</v>
      </c>
      <c r="T28" s="7">
        <v>0</v>
      </c>
      <c r="U28" s="37">
        <f t="shared" si="4"/>
        <v>0.35986666666666656</v>
      </c>
      <c r="V28" s="37">
        <f t="shared" si="5"/>
        <v>9.7433628318584126E-2</v>
      </c>
      <c r="W28" s="37">
        <f t="shared" si="6"/>
        <v>0.5066666666666666</v>
      </c>
      <c r="X28" s="38">
        <v>3390</v>
      </c>
      <c r="Y28" s="26" t="s">
        <v>605</v>
      </c>
    </row>
    <row r="29" spans="1:25" ht="30" x14ac:dyDescent="0.25">
      <c r="A29" s="33">
        <v>203661</v>
      </c>
      <c r="B29" s="33">
        <f>VLOOKUP($A29,'Выгр Кат'!$A:$R,B$1,0)</f>
        <v>1773</v>
      </c>
      <c r="C29" s="34" t="str">
        <f>VLOOKUP($A29,'Выгр Кат'!$A:$R,C$1,0)</f>
        <v>Резонатор "STT" (d51, 1.6л, под выпуск) для ВАЗ 2110-2112</v>
      </c>
      <c r="D29" s="33" t="str">
        <f>VLOOKUP($A29,'Выгр Кат'!$A:$R,D$1,0)</f>
        <v>Y</v>
      </c>
      <c r="E29" s="33" t="str">
        <f>VLOOKUP($A29,'Выгр Кат'!$A:$R,E$1,0)</f>
        <v>1</v>
      </c>
      <c r="F29" s="33" t="str">
        <f>VLOOKUP($A29,'Выгр Кат'!$A:$R,F$1,0)</f>
        <v>TT-00118.</v>
      </c>
      <c r="G29" s="33"/>
      <c r="H29" s="23" t="s">
        <v>29</v>
      </c>
      <c r="I29" s="41">
        <v>2350</v>
      </c>
      <c r="J29" s="35">
        <f>VLOOKUP(I29,Наценка!$A$1:$B$8,2,1)</f>
        <v>1.4</v>
      </c>
      <c r="K29" s="39">
        <f t="shared" si="7"/>
        <v>3290</v>
      </c>
      <c r="L29" s="20">
        <f t="shared" si="0"/>
        <v>3290</v>
      </c>
      <c r="M29" s="33">
        <f>VLOOKUP($A29,'Выгр Кат'!$A:$R,M$1,0)</f>
        <v>2350</v>
      </c>
      <c r="N29" s="33">
        <f>VLOOKUP($A29,'Выгр Кат'!$A:$R,N$1,0)</f>
        <v>3290</v>
      </c>
      <c r="O29" s="17">
        <f t="shared" si="1"/>
        <v>0</v>
      </c>
      <c r="P29" s="17">
        <f t="shared" si="2"/>
        <v>0</v>
      </c>
      <c r="Q29" s="18">
        <f t="shared" si="3"/>
        <v>3059.7</v>
      </c>
      <c r="R29" s="42" t="str">
        <f>IFERROR((VLOOKUP($A29,'Из ГУГЛа'!$B:$G,6,0)+T29)*S29,VLOOKUP($A29,'Из ГУГЛа'!$B:$G,6,0))</f>
        <v/>
      </c>
      <c r="S29" s="7">
        <v>1</v>
      </c>
      <c r="T29" s="7">
        <v>0</v>
      </c>
      <c r="U29" s="37">
        <f t="shared" si="4"/>
        <v>0.30199999999999982</v>
      </c>
      <c r="V29" s="37" t="str">
        <f t="shared" si="5"/>
        <v/>
      </c>
      <c r="W29" s="37" t="str">
        <f t="shared" si="6"/>
        <v/>
      </c>
      <c r="X29" s="38" t="s">
        <v>521</v>
      </c>
    </row>
    <row r="30" spans="1:25" ht="30" x14ac:dyDescent="0.25">
      <c r="A30" s="33">
        <v>203631</v>
      </c>
      <c r="B30" s="33">
        <f>VLOOKUP($A30,'Выгр Кат'!$A:$R,B$1,0)</f>
        <v>1754</v>
      </c>
      <c r="C30" s="34" t="str">
        <f>VLOOKUP($A30,'Выгр Кат'!$A:$R,C$1,0)</f>
        <v>Резонатор "STT" (d51, под выпуск "STT") для Лада Приора</v>
      </c>
      <c r="D30" s="33" t="str">
        <f>VLOOKUP($A30,'Выгр Кат'!$A:$R,D$1,0)</f>
        <v>Y</v>
      </c>
      <c r="E30" s="33" t="str">
        <f>VLOOKUP($A30,'Выгр Кат'!$A:$R,E$1,0)</f>
        <v>1</v>
      </c>
      <c r="F30" s="33" t="str">
        <f>VLOOKUP($A30,'Выгр Кат'!$A:$R,F$1,0)</f>
        <v>TT-00128.</v>
      </c>
      <c r="G30" s="33"/>
      <c r="H30" s="23" t="s">
        <v>29</v>
      </c>
      <c r="I30" s="41">
        <v>2350</v>
      </c>
      <c r="J30" s="35">
        <f>VLOOKUP(I30,Наценка!$A$1:$B$8,2,1)</f>
        <v>1.4</v>
      </c>
      <c r="K30" s="46">
        <f t="shared" ref="K30:K32" si="11">X30-100</f>
        <v>3490</v>
      </c>
      <c r="L30" s="20">
        <f t="shared" si="0"/>
        <v>3490</v>
      </c>
      <c r="M30" s="33">
        <f>VLOOKUP($A30,'Выгр Кат'!$A:$R,M$1,0)</f>
        <v>2350</v>
      </c>
      <c r="N30" s="33">
        <f>VLOOKUP($A30,'Выгр Кат'!$A:$R,N$1,0)</f>
        <v>3290</v>
      </c>
      <c r="O30" s="17">
        <f t="shared" si="1"/>
        <v>0</v>
      </c>
      <c r="P30" s="17">
        <f t="shared" si="2"/>
        <v>-200</v>
      </c>
      <c r="Q30" s="18">
        <f t="shared" si="3"/>
        <v>3245.7</v>
      </c>
      <c r="R30" s="42">
        <f>IFERROR((VLOOKUP($A30,'Из ГУГЛа'!$B:$G,6,0)+T30)*S30,VLOOKUP($A30,'Из ГУГЛа'!$B:$G,6,0))</f>
        <v>3590</v>
      </c>
      <c r="S30" s="7">
        <v>1</v>
      </c>
      <c r="T30" s="7">
        <v>0</v>
      </c>
      <c r="U30" s="37">
        <f t="shared" si="4"/>
        <v>0.38114893617021273</v>
      </c>
      <c r="V30" s="37">
        <f t="shared" si="5"/>
        <v>9.5905292479108686E-2</v>
      </c>
      <c r="W30" s="37">
        <f t="shared" si="6"/>
        <v>0.5276595744680852</v>
      </c>
      <c r="X30" s="38">
        <v>3590</v>
      </c>
      <c r="Y30" s="26" t="s">
        <v>509</v>
      </c>
    </row>
    <row r="31" spans="1:25" ht="30" x14ac:dyDescent="0.25">
      <c r="A31" s="33">
        <v>203662</v>
      </c>
      <c r="B31" s="33">
        <f>VLOOKUP($A31,'Выгр Кат'!$A:$R,B$1,0)</f>
        <v>1782</v>
      </c>
      <c r="C31" s="34" t="str">
        <f>VLOOKUP($A31,'Выгр Кат'!$A:$R,C$1,0)</f>
        <v>Резонатор "STT" (d51, под выпуск) для ВАЗ 2108-21099, 2113-2115</v>
      </c>
      <c r="D31" s="33" t="str">
        <f>VLOOKUP($A31,'Выгр Кат'!$A:$R,D$1,0)</f>
        <v>Y</v>
      </c>
      <c r="E31" s="33" t="str">
        <f>VLOOKUP($A31,'Выгр Кат'!$A:$R,E$1,0)</f>
        <v>1</v>
      </c>
      <c r="F31" s="33" t="str">
        <f>VLOOKUP($A31,'Выгр Кат'!$A:$R,F$1,0)</f>
        <v>TT-00108</v>
      </c>
      <c r="G31" s="33"/>
      <c r="H31" s="23" t="s">
        <v>29</v>
      </c>
      <c r="I31" s="41">
        <v>2350</v>
      </c>
      <c r="J31" s="35">
        <f>VLOOKUP(I31,Наценка!$A$1:$B$8,2,1)</f>
        <v>1.4</v>
      </c>
      <c r="K31" s="46">
        <f t="shared" si="11"/>
        <v>3490</v>
      </c>
      <c r="L31" s="20">
        <f t="shared" si="0"/>
        <v>3490</v>
      </c>
      <c r="M31" s="33">
        <f>VLOOKUP($A31,'Выгр Кат'!$A:$R,M$1,0)</f>
        <v>2350</v>
      </c>
      <c r="N31" s="33">
        <f>VLOOKUP($A31,'Выгр Кат'!$A:$R,N$1,0)</f>
        <v>3290</v>
      </c>
      <c r="O31" s="17">
        <f t="shared" si="1"/>
        <v>0</v>
      </c>
      <c r="P31" s="17">
        <f t="shared" si="2"/>
        <v>-200</v>
      </c>
      <c r="Q31" s="18">
        <f t="shared" si="3"/>
        <v>3245.7</v>
      </c>
      <c r="R31" s="42">
        <f>IFERROR((VLOOKUP($A31,'Из ГУГЛа'!$B:$G,6,0)+T31)*S31,VLOOKUP($A31,'Из ГУГЛа'!$B:$G,6,0))</f>
        <v>3590</v>
      </c>
      <c r="S31" s="7">
        <v>1</v>
      </c>
      <c r="T31" s="7">
        <v>0</v>
      </c>
      <c r="U31" s="37">
        <f t="shared" si="4"/>
        <v>0.38114893617021273</v>
      </c>
      <c r="V31" s="37">
        <f t="shared" si="5"/>
        <v>9.5905292479108686E-2</v>
      </c>
      <c r="W31" s="37">
        <f t="shared" si="6"/>
        <v>0.5276595744680852</v>
      </c>
      <c r="X31" s="38">
        <v>3590</v>
      </c>
      <c r="Y31" s="26" t="s">
        <v>610</v>
      </c>
    </row>
    <row r="32" spans="1:25" ht="30" x14ac:dyDescent="0.25">
      <c r="A32" s="33">
        <v>203640</v>
      </c>
      <c r="B32" s="33">
        <f>VLOOKUP($A32,'Выгр Кат'!$A:$R,B$1,0)</f>
        <v>1788</v>
      </c>
      <c r="C32" s="34" t="str">
        <f>VLOOKUP($A32,'Выгр Кат'!$A:$R,C$1,0)</f>
        <v>Резонатор "STT" (под выпуск "STT") для Лада Калина</v>
      </c>
      <c r="D32" s="33" t="str">
        <f>VLOOKUP($A32,'Выгр Кат'!$A:$R,D$1,0)</f>
        <v>Y</v>
      </c>
      <c r="E32" s="33" t="str">
        <f>VLOOKUP($A32,'Выгр Кат'!$A:$R,E$1,0)</f>
        <v>1ск6</v>
      </c>
      <c r="F32" s="33" t="str">
        <f>VLOOKUP($A32,'Выгр Кат'!$A:$R,F$1,0)</f>
        <v>TT-00123.</v>
      </c>
      <c r="G32" s="33"/>
      <c r="H32" s="23" t="s">
        <v>29</v>
      </c>
      <c r="I32" s="41">
        <v>2350</v>
      </c>
      <c r="J32" s="35">
        <f>VLOOKUP(I32,Наценка!$A$1:$B$8,2,1)</f>
        <v>1.4</v>
      </c>
      <c r="K32" s="46">
        <f t="shared" si="11"/>
        <v>3390</v>
      </c>
      <c r="L32" s="20">
        <f t="shared" si="0"/>
        <v>3390</v>
      </c>
      <c r="M32" s="33">
        <f>VLOOKUP($A32,'Выгр Кат'!$A:$R,M$1,0)</f>
        <v>2350</v>
      </c>
      <c r="N32" s="33">
        <f>VLOOKUP($A32,'Выгр Кат'!$A:$R,N$1,0)</f>
        <v>3290</v>
      </c>
      <c r="O32" s="17">
        <f t="shared" si="1"/>
        <v>0</v>
      </c>
      <c r="P32" s="17">
        <f t="shared" si="2"/>
        <v>-100</v>
      </c>
      <c r="Q32" s="18">
        <f t="shared" si="3"/>
        <v>3152.7</v>
      </c>
      <c r="R32" s="42">
        <f>IFERROR((VLOOKUP($A32,'Из ГУГЛа'!$B:$G,6,0)+T32)*S32,VLOOKUP($A32,'Из ГУГЛа'!$B:$G,6,0))</f>
        <v>3490</v>
      </c>
      <c r="S32" s="7">
        <v>1</v>
      </c>
      <c r="T32" s="7">
        <v>0</v>
      </c>
      <c r="U32" s="37">
        <f t="shared" si="4"/>
        <v>0.34157446808510628</v>
      </c>
      <c r="V32" s="37">
        <f t="shared" si="5"/>
        <v>9.6647564469914099E-2</v>
      </c>
      <c r="W32" s="37">
        <f t="shared" si="6"/>
        <v>0.48510638297872344</v>
      </c>
      <c r="X32" s="38">
        <v>3490</v>
      </c>
      <c r="Y32" s="26" t="s">
        <v>595</v>
      </c>
    </row>
    <row r="33" spans="1:25" ht="30" x14ac:dyDescent="0.25">
      <c r="A33" s="33">
        <v>203665</v>
      </c>
      <c r="B33" s="33">
        <f>VLOOKUP($A33,'Выгр Кат'!$A:$R,B$1,0)</f>
        <v>1771</v>
      </c>
      <c r="C33" s="34" t="str">
        <f>VLOOKUP($A33,'Выгр Кат'!$A:$R,C$1,0)</f>
        <v>Резонатор "STT" крепление с/о (d51, под выпуск STT) для ВАЗ 2110-2112</v>
      </c>
      <c r="D33" s="33" t="str">
        <f>VLOOKUP($A33,'Выгр Кат'!$A:$R,D$1,0)</f>
        <v>Y</v>
      </c>
      <c r="E33" s="33" t="str">
        <f>VLOOKUP($A33,'Выгр Кат'!$A:$R,E$1,0)</f>
        <v>1</v>
      </c>
      <c r="F33" s="33" t="str">
        <f>VLOOKUP($A33,'Выгр Кат'!$A:$R,F$1,0)</f>
        <v>TT-00112.</v>
      </c>
      <c r="G33" s="33"/>
      <c r="H33" s="23" t="s">
        <v>29</v>
      </c>
      <c r="I33" s="41">
        <v>2350</v>
      </c>
      <c r="J33" s="35">
        <f>VLOOKUP(I33,Наценка!$A$1:$B$8,2,1)</f>
        <v>1.4</v>
      </c>
      <c r="K33" s="39">
        <f t="shared" si="7"/>
        <v>3290</v>
      </c>
      <c r="L33" s="20">
        <f t="shared" si="0"/>
        <v>3290</v>
      </c>
      <c r="M33" s="33">
        <f>VLOOKUP($A33,'Выгр Кат'!$A:$R,M$1,0)</f>
        <v>2350</v>
      </c>
      <c r="N33" s="33">
        <f>VLOOKUP($A33,'Выгр Кат'!$A:$R,N$1,0)</f>
        <v>3290</v>
      </c>
      <c r="O33" s="17">
        <f t="shared" si="1"/>
        <v>0</v>
      </c>
      <c r="P33" s="17">
        <f t="shared" si="2"/>
        <v>0</v>
      </c>
      <c r="Q33" s="18">
        <f t="shared" si="3"/>
        <v>3059.7</v>
      </c>
      <c r="R33" s="42" t="str">
        <f>IFERROR((VLOOKUP($A33,'Из ГУГЛа'!$B:$G,6,0)+T33)*S33,VLOOKUP($A33,'Из ГУГЛа'!$B:$G,6,0))</f>
        <v/>
      </c>
      <c r="S33" s="7">
        <v>1</v>
      </c>
      <c r="T33" s="7">
        <v>0</v>
      </c>
      <c r="U33" s="37">
        <f t="shared" si="4"/>
        <v>0.30199999999999982</v>
      </c>
      <c r="V33" s="37" t="str">
        <f t="shared" si="5"/>
        <v/>
      </c>
      <c r="W33" s="37" t="str">
        <f t="shared" si="6"/>
        <v/>
      </c>
      <c r="X33" s="38" t="s">
        <v>521</v>
      </c>
    </row>
    <row r="34" spans="1:25" ht="60" x14ac:dyDescent="0.25">
      <c r="A34" s="33">
        <v>139565</v>
      </c>
      <c r="B34" s="33">
        <f>VLOOKUP($A34,'Выгр Кат'!$A:$R,B$1,0)</f>
        <v>41648</v>
      </c>
      <c r="C34" s="34" t="str">
        <f>VLOOKUP($A34,'Выгр Кат'!$A:$R,C$1,0)</f>
        <v>Вставка "STT" замена катализатора, 4-1 (под 2 датчика, d51 мм) для Лада Ларгус, XRAY (ВАЗ-21129, 1.6 л, 16 клапанный)</v>
      </c>
      <c r="D34" s="33" t="str">
        <f>VLOOKUP($A34,'Выгр Кат'!$A:$R,D$1,0)</f>
        <v>Y</v>
      </c>
      <c r="E34" s="33" t="str">
        <f>VLOOKUP($A34,'Выгр Кат'!$A:$R,E$1,0)</f>
        <v>1</v>
      </c>
      <c r="F34" s="33" t="str">
        <f>VLOOKUP($A34,'Выгр Кат'!$A:$R,F$1,0)</f>
        <v>ТТ-00224</v>
      </c>
      <c r="G34" s="33"/>
      <c r="H34" s="23" t="s">
        <v>29</v>
      </c>
      <c r="I34" s="41">
        <v>2400</v>
      </c>
      <c r="J34" s="35">
        <f>VLOOKUP(I34,Наценка!$A$1:$B$8,2,1)</f>
        <v>1.4</v>
      </c>
      <c r="K34" s="39">
        <f t="shared" si="7"/>
        <v>3360</v>
      </c>
      <c r="L34" s="20">
        <f t="shared" si="0"/>
        <v>3390</v>
      </c>
      <c r="M34" s="33">
        <f>VLOOKUP($A34,'Выгр Кат'!$A:$R,M$1,0)</f>
        <v>2400</v>
      </c>
      <c r="N34" s="33">
        <f>VLOOKUP($A34,'Выгр Кат'!$A:$R,N$1,0)</f>
        <v>3390</v>
      </c>
      <c r="O34" s="17">
        <f t="shared" si="1"/>
        <v>0</v>
      </c>
      <c r="P34" s="17">
        <f t="shared" si="2"/>
        <v>0</v>
      </c>
      <c r="Q34" s="18">
        <f t="shared" si="3"/>
        <v>3152.7</v>
      </c>
      <c r="R34" s="42" t="str">
        <f>IFERROR((VLOOKUP($A34,'Из ГУГЛа'!$B:$G,6,0)+T34)*S34,VLOOKUP($A34,'Из ГУГЛа'!$B:$G,6,0))</f>
        <v/>
      </c>
      <c r="S34" s="7">
        <v>1</v>
      </c>
      <c r="T34" s="7">
        <v>0</v>
      </c>
      <c r="U34" s="37">
        <f t="shared" si="4"/>
        <v>0.31362499999999982</v>
      </c>
      <c r="V34" s="37" t="str">
        <f t="shared" si="5"/>
        <v/>
      </c>
      <c r="W34" s="37" t="str">
        <f t="shared" si="6"/>
        <v/>
      </c>
      <c r="X34" s="38" t="s">
        <v>521</v>
      </c>
    </row>
    <row r="35" spans="1:25" ht="45" x14ac:dyDescent="0.25">
      <c r="A35" s="33">
        <v>139552</v>
      </c>
      <c r="B35" s="33">
        <f>VLOOKUP($A35,'Выгр Кат'!$A:$R,B$1,0)</f>
        <v>23248</v>
      </c>
      <c r="C35" s="34" t="str">
        <f>VLOOKUP($A35,'Выгр Кат'!$A:$R,C$1,0)</f>
        <v>Вставка "STT" вместо катализатора, 4-1, 16V (2 датчика кислорода) для Лада Веста</v>
      </c>
      <c r="D35" s="33" t="str">
        <f>VLOOKUP($A35,'Выгр Кат'!$A:$R,D$1,0)</f>
        <v>Y</v>
      </c>
      <c r="E35" s="33" t="str">
        <f>VLOOKUP($A35,'Выгр Кат'!$A:$R,E$1,0)</f>
        <v>1</v>
      </c>
      <c r="F35" s="33" t="str">
        <f>VLOOKUP($A35,'Выгр Кат'!$A:$R,F$1,0)</f>
        <v>TT-00014.</v>
      </c>
      <c r="G35" s="33"/>
      <c r="H35" s="23" t="s">
        <v>29</v>
      </c>
      <c r="I35" s="41">
        <v>2500</v>
      </c>
      <c r="J35" s="35">
        <f>VLOOKUP(I35,Наценка!$A$1:$B$8,2,1)</f>
        <v>1.4</v>
      </c>
      <c r="K35" s="46">
        <f t="shared" ref="K35:K42" si="12">X35-100</f>
        <v>3690</v>
      </c>
      <c r="L35" s="20">
        <f t="shared" ref="L35:L66" si="13">IF(K35&lt;=1000,(ROUNDUP(K35,-1)-1),(ROUNDUP(K35,-2)-10))</f>
        <v>3690</v>
      </c>
      <c r="M35" s="33">
        <f>VLOOKUP($A35,'Выгр Кат'!$A:$R,M$1,0)</f>
        <v>2500</v>
      </c>
      <c r="N35" s="33">
        <f>VLOOKUP($A35,'Выгр Кат'!$A:$R,N$1,0)</f>
        <v>3490</v>
      </c>
      <c r="O35" s="17">
        <f t="shared" ref="O35:O66" si="14">M35-I35</f>
        <v>0</v>
      </c>
      <c r="P35" s="17">
        <f t="shared" ref="P35:P66" si="15">N35-L35</f>
        <v>-200</v>
      </c>
      <c r="Q35" s="18">
        <f t="shared" ref="Q35:Q66" si="16">IFERROR(L35*(1-$Q$2),"")</f>
        <v>3431.7</v>
      </c>
      <c r="R35" s="42">
        <f>IFERROR((VLOOKUP($A35,'Из ГУГЛа'!$B:$G,6,0)+T35)*S35,VLOOKUP($A35,'Из ГУГЛа'!$B:$G,6,0))</f>
        <v>3790</v>
      </c>
      <c r="S35" s="7">
        <v>1</v>
      </c>
      <c r="T35" s="7">
        <v>0</v>
      </c>
      <c r="U35" s="37">
        <f t="shared" ref="U35:U66" si="17">IFERROR(Q35/I35-1,"")</f>
        <v>0.3726799999999999</v>
      </c>
      <c r="V35" s="37">
        <f t="shared" ref="V35:V66" si="18">IFERROR((X35-Q35)/X35,"")</f>
        <v>9.4538258575197931E-2</v>
      </c>
      <c r="W35" s="37">
        <f t="shared" ref="W35:W66" si="19">IFERROR(IF(X35="","",X35/I35-1),"")</f>
        <v>0.51600000000000001</v>
      </c>
      <c r="X35" s="38">
        <v>3790</v>
      </c>
      <c r="Y35" s="26" t="s">
        <v>500</v>
      </c>
    </row>
    <row r="36" spans="1:25" ht="30" x14ac:dyDescent="0.25">
      <c r="A36" s="33">
        <v>186965</v>
      </c>
      <c r="B36" s="33">
        <f>VLOOKUP($A36,'Выгр Кат'!$A:$R,B$1,0)</f>
        <v>1466</v>
      </c>
      <c r="C36" s="34" t="str">
        <f>VLOOKUP($A36,'Выгр Кат'!$A:$R,C$1,0)</f>
        <v>Паук 4-2-1 "STT" (16V, под 1 датчик кислорода) для ВАЗ 2110-2112</v>
      </c>
      <c r="D36" s="33" t="str">
        <f>VLOOKUP($A36,'Выгр Кат'!$A:$R,D$1,0)</f>
        <v>Y</v>
      </c>
      <c r="E36" s="33" t="str">
        <f>VLOOKUP($A36,'Выгр Кат'!$A:$R,E$1,0)</f>
        <v>1</v>
      </c>
      <c r="F36" s="33" t="str">
        <f>VLOOKUP($A36,'Выгр Кат'!$A:$R,F$1,0)</f>
        <v>TT-00040.</v>
      </c>
      <c r="G36" s="33"/>
      <c r="H36" s="23" t="s">
        <v>29</v>
      </c>
      <c r="I36" s="41">
        <v>2500</v>
      </c>
      <c r="J36" s="35">
        <f>VLOOKUP(I36,Наценка!$A$1:$B$8,2,1)</f>
        <v>1.4</v>
      </c>
      <c r="K36" s="46">
        <f t="shared" si="12"/>
        <v>3790</v>
      </c>
      <c r="L36" s="20">
        <f t="shared" si="13"/>
        <v>3790</v>
      </c>
      <c r="M36" s="33">
        <f>VLOOKUP($A36,'Выгр Кат'!$A:$R,M$1,0)</f>
        <v>2500</v>
      </c>
      <c r="N36" s="33">
        <f>VLOOKUP($A36,'Выгр Кат'!$A:$R,N$1,0)</f>
        <v>3490</v>
      </c>
      <c r="O36" s="17">
        <f t="shared" si="14"/>
        <v>0</v>
      </c>
      <c r="P36" s="17">
        <f t="shared" si="15"/>
        <v>-300</v>
      </c>
      <c r="Q36" s="18">
        <f t="shared" si="16"/>
        <v>3524.7</v>
      </c>
      <c r="R36" s="42">
        <f>IFERROR((VLOOKUP($A36,'Из ГУГЛа'!$B:$G,6,0)+T36)*S36,VLOOKUP($A36,'Из ГУГЛа'!$B:$G,6,0))</f>
        <v>3890</v>
      </c>
      <c r="S36" s="7">
        <v>1</v>
      </c>
      <c r="T36" s="7">
        <v>0</v>
      </c>
      <c r="U36" s="37">
        <f t="shared" si="17"/>
        <v>0.40988000000000002</v>
      </c>
      <c r="V36" s="37">
        <f t="shared" si="18"/>
        <v>9.3907455012853511E-2</v>
      </c>
      <c r="W36" s="37">
        <f t="shared" si="19"/>
        <v>0.55600000000000005</v>
      </c>
      <c r="X36" s="38">
        <v>3890</v>
      </c>
      <c r="Y36" s="26" t="s">
        <v>534</v>
      </c>
    </row>
    <row r="37" spans="1:25" ht="30" x14ac:dyDescent="0.25">
      <c r="A37" s="33">
        <v>186984</v>
      </c>
      <c r="B37" s="33">
        <f>VLOOKUP($A37,'Выгр Кат'!$A:$R,B$1,0)</f>
        <v>1470</v>
      </c>
      <c r="C37" s="34" t="str">
        <f>VLOOKUP($A37,'Выгр Кат'!$A:$R,C$1,0)</f>
        <v>Паук 4-2-1 "STT" 16V для ВАЗ 2108-21099, 2113-2115</v>
      </c>
      <c r="D37" s="33" t="str">
        <f>VLOOKUP($A37,'Выгр Кат'!$A:$R,D$1,0)</f>
        <v>Y</v>
      </c>
      <c r="E37" s="33" t="str">
        <f>VLOOKUP($A37,'Выгр Кат'!$A:$R,E$1,0)</f>
        <v>1</v>
      </c>
      <c r="F37" s="33" t="str">
        <f>VLOOKUP($A37,'Выгр Кат'!$A:$R,F$1,0)</f>
        <v>ТТ-00031</v>
      </c>
      <c r="G37" s="33"/>
      <c r="H37" s="23" t="s">
        <v>29</v>
      </c>
      <c r="I37" s="41">
        <v>2500</v>
      </c>
      <c r="J37" s="35">
        <f>VLOOKUP(I37,Наценка!$A$1:$B$8,2,1)</f>
        <v>1.4</v>
      </c>
      <c r="K37" s="46">
        <f t="shared" si="12"/>
        <v>3790</v>
      </c>
      <c r="L37" s="20">
        <f t="shared" si="13"/>
        <v>3790</v>
      </c>
      <c r="M37" s="33">
        <f>VLOOKUP($A37,'Выгр Кат'!$A:$R,M$1,0)</f>
        <v>2500</v>
      </c>
      <c r="N37" s="33">
        <f>VLOOKUP($A37,'Выгр Кат'!$A:$R,N$1,0)</f>
        <v>3490</v>
      </c>
      <c r="O37" s="17">
        <f t="shared" si="14"/>
        <v>0</v>
      </c>
      <c r="P37" s="17">
        <f t="shared" si="15"/>
        <v>-300</v>
      </c>
      <c r="Q37" s="18">
        <f t="shared" si="16"/>
        <v>3524.7</v>
      </c>
      <c r="R37" s="42">
        <f>IFERROR((VLOOKUP($A37,'Из ГУГЛа'!$B:$G,6,0)+T37)*S37,VLOOKUP($A37,'Из ГУГЛа'!$B:$G,6,0))</f>
        <v>3890</v>
      </c>
      <c r="S37" s="7">
        <v>1</v>
      </c>
      <c r="T37" s="7">
        <v>0</v>
      </c>
      <c r="U37" s="37">
        <f t="shared" si="17"/>
        <v>0.40988000000000002</v>
      </c>
      <c r="V37" s="37">
        <f t="shared" si="18"/>
        <v>9.3907455012853511E-2</v>
      </c>
      <c r="W37" s="37">
        <f t="shared" si="19"/>
        <v>0.55600000000000005</v>
      </c>
      <c r="X37" s="38">
        <v>3890</v>
      </c>
      <c r="Y37" s="26" t="s">
        <v>517</v>
      </c>
    </row>
    <row r="38" spans="1:25" x14ac:dyDescent="0.25">
      <c r="A38" s="33">
        <v>186986</v>
      </c>
      <c r="B38" s="33">
        <f>VLOOKUP($A38,'Выгр Кат'!$A:$R,B$1,0)</f>
        <v>1477</v>
      </c>
      <c r="C38" s="34" t="str">
        <f>VLOOKUP($A38,'Выгр Кат'!$A:$R,C$1,0)</f>
        <v>Паук 4-2-1 "STT" 16V для Лада Калина</v>
      </c>
      <c r="D38" s="33" t="str">
        <f>VLOOKUP($A38,'Выгр Кат'!$A:$R,D$1,0)</f>
        <v>Y</v>
      </c>
      <c r="E38" s="33" t="str">
        <f>VLOOKUP($A38,'Выгр Кат'!$A:$R,E$1,0)</f>
        <v>1</v>
      </c>
      <c r="F38" s="33" t="str">
        <f>VLOOKUP($A38,'Выгр Кат'!$A:$R,F$1,0)</f>
        <v>TT-00056.</v>
      </c>
      <c r="G38" s="33"/>
      <c r="H38" s="23" t="s">
        <v>29</v>
      </c>
      <c r="I38" s="41">
        <v>2500</v>
      </c>
      <c r="J38" s="35">
        <f>VLOOKUP(I38,Наценка!$A$1:$B$8,2,1)</f>
        <v>1.4</v>
      </c>
      <c r="K38" s="46">
        <f t="shared" si="12"/>
        <v>3790</v>
      </c>
      <c r="L38" s="20">
        <f t="shared" si="13"/>
        <v>3790</v>
      </c>
      <c r="M38" s="33">
        <f>VLOOKUP($A38,'Выгр Кат'!$A:$R,M$1,0)</f>
        <v>2500</v>
      </c>
      <c r="N38" s="33">
        <f>VLOOKUP($A38,'Выгр Кат'!$A:$R,N$1,0)</f>
        <v>3490</v>
      </c>
      <c r="O38" s="17">
        <f t="shared" si="14"/>
        <v>0</v>
      </c>
      <c r="P38" s="17">
        <f t="shared" si="15"/>
        <v>-300</v>
      </c>
      <c r="Q38" s="18">
        <f t="shared" si="16"/>
        <v>3524.7</v>
      </c>
      <c r="R38" s="42">
        <f>IFERROR((VLOOKUP($A38,'Из ГУГЛа'!$B:$G,6,0)+T38)*S38,VLOOKUP($A38,'Из ГУГЛа'!$B:$G,6,0))</f>
        <v>3890</v>
      </c>
      <c r="S38" s="7">
        <v>1</v>
      </c>
      <c r="T38" s="7">
        <v>0</v>
      </c>
      <c r="U38" s="37">
        <f t="shared" si="17"/>
        <v>0.40988000000000002</v>
      </c>
      <c r="V38" s="37">
        <f t="shared" si="18"/>
        <v>9.3907455012853511E-2</v>
      </c>
      <c r="W38" s="37">
        <f t="shared" si="19"/>
        <v>0.55600000000000005</v>
      </c>
      <c r="X38" s="38">
        <v>3890</v>
      </c>
      <c r="Y38" s="26" t="s">
        <v>590</v>
      </c>
    </row>
    <row r="39" spans="1:25" x14ac:dyDescent="0.25">
      <c r="A39" s="33">
        <v>186987</v>
      </c>
      <c r="B39" s="33">
        <f>VLOOKUP($A39,'Выгр Кат'!$A:$R,B$1,0)</f>
        <v>1481</v>
      </c>
      <c r="C39" s="34" t="str">
        <f>VLOOKUP($A39,'Выгр Кат'!$A:$R,C$1,0)</f>
        <v>Паук 4-2-1 "STT" 16V для Лада Приора</v>
      </c>
      <c r="D39" s="33" t="str">
        <f>VLOOKUP($A39,'Выгр Кат'!$A:$R,D$1,0)</f>
        <v>Y</v>
      </c>
      <c r="E39" s="33" t="str">
        <f>VLOOKUP($A39,'Выгр Кат'!$A:$R,E$1,0)</f>
        <v>1</v>
      </c>
      <c r="F39" s="33" t="str">
        <f>VLOOKUP($A39,'Выгр Кат'!$A:$R,F$1,0)</f>
        <v>TT-00044.</v>
      </c>
      <c r="G39" s="33"/>
      <c r="H39" s="23" t="s">
        <v>29</v>
      </c>
      <c r="I39" s="41">
        <v>2500</v>
      </c>
      <c r="J39" s="35">
        <f>VLOOKUP(I39,Наценка!$A$1:$B$8,2,1)</f>
        <v>1.4</v>
      </c>
      <c r="K39" s="46">
        <f t="shared" si="12"/>
        <v>3690</v>
      </c>
      <c r="L39" s="20">
        <f t="shared" si="13"/>
        <v>3690</v>
      </c>
      <c r="M39" s="33">
        <f>VLOOKUP($A39,'Выгр Кат'!$A:$R,M$1,0)</f>
        <v>2500</v>
      </c>
      <c r="N39" s="33">
        <f>VLOOKUP($A39,'Выгр Кат'!$A:$R,N$1,0)</f>
        <v>3490</v>
      </c>
      <c r="O39" s="17">
        <f t="shared" si="14"/>
        <v>0</v>
      </c>
      <c r="P39" s="17">
        <f t="shared" si="15"/>
        <v>-200</v>
      </c>
      <c r="Q39" s="18">
        <f t="shared" si="16"/>
        <v>3431.7</v>
      </c>
      <c r="R39" s="42">
        <f>IFERROR((VLOOKUP($A39,'Из ГУГЛа'!$B:$G,6,0)+T39)*S39,VLOOKUP($A39,'Из ГУГЛа'!$B:$G,6,0))</f>
        <v>3790</v>
      </c>
      <c r="S39" s="7">
        <v>1</v>
      </c>
      <c r="T39" s="7">
        <v>0</v>
      </c>
      <c r="U39" s="37">
        <f t="shared" si="17"/>
        <v>0.3726799999999999</v>
      </c>
      <c r="V39" s="37">
        <f t="shared" si="18"/>
        <v>9.4538258575197931E-2</v>
      </c>
      <c r="W39" s="37">
        <f t="shared" si="19"/>
        <v>0.51600000000000001</v>
      </c>
      <c r="X39" s="38">
        <v>3790</v>
      </c>
      <c r="Y39" s="26" t="s">
        <v>514</v>
      </c>
    </row>
    <row r="40" spans="1:25" ht="30" x14ac:dyDescent="0.25">
      <c r="A40" s="33">
        <v>186972</v>
      </c>
      <c r="B40" s="33">
        <f>VLOOKUP($A40,'Выгр Кат'!$A:$R,B$1,0)</f>
        <v>1493</v>
      </c>
      <c r="C40" s="34" t="str">
        <f>VLOOKUP($A40,'Выгр Кат'!$A:$R,C$1,0)</f>
        <v>Паук 4-2-1 "STT" (8V, под датчик кислорода) для ВАЗ 2110-2112</v>
      </c>
      <c r="D40" s="33" t="str">
        <f>VLOOKUP($A40,'Выгр Кат'!$A:$R,D$1,0)</f>
        <v>Y</v>
      </c>
      <c r="E40" s="33" t="str">
        <f>VLOOKUP($A40,'Выгр Кат'!$A:$R,E$1,0)</f>
        <v>1ск6</v>
      </c>
      <c r="F40" s="33" t="str">
        <f>VLOOKUP($A40,'Выгр Кат'!$A:$R,F$1,0)</f>
        <v>TT-00035.</v>
      </c>
      <c r="G40" s="33"/>
      <c r="H40" s="23" t="s">
        <v>29</v>
      </c>
      <c r="I40" s="41">
        <v>2550</v>
      </c>
      <c r="J40" s="35">
        <f>VLOOKUP(I40,Наценка!$A$1:$B$8,2,1)</f>
        <v>1.4</v>
      </c>
      <c r="K40" s="46">
        <f t="shared" si="12"/>
        <v>3690</v>
      </c>
      <c r="L40" s="20">
        <f t="shared" si="13"/>
        <v>3690</v>
      </c>
      <c r="M40" s="33">
        <f>VLOOKUP($A40,'Выгр Кат'!$A:$R,M$1,0)</f>
        <v>2550</v>
      </c>
      <c r="N40" s="33">
        <f>VLOOKUP($A40,'Выгр Кат'!$A:$R,N$1,0)</f>
        <v>3590</v>
      </c>
      <c r="O40" s="17">
        <f t="shared" si="14"/>
        <v>0</v>
      </c>
      <c r="P40" s="17">
        <f t="shared" si="15"/>
        <v>-100</v>
      </c>
      <c r="Q40" s="18">
        <f t="shared" si="16"/>
        <v>3431.7</v>
      </c>
      <c r="R40" s="42">
        <f>IFERROR((VLOOKUP($A40,'Из ГУГЛа'!$B:$G,6,0)+T40)*S40,VLOOKUP($A40,'Из ГУГЛа'!$B:$G,6,0))</f>
        <v>3790</v>
      </c>
      <c r="S40" s="7">
        <v>1</v>
      </c>
      <c r="T40" s="7">
        <v>0</v>
      </c>
      <c r="U40" s="37">
        <f t="shared" si="17"/>
        <v>0.34576470588235297</v>
      </c>
      <c r="V40" s="37">
        <f t="shared" si="18"/>
        <v>9.4538258575197931E-2</v>
      </c>
      <c r="W40" s="37">
        <f t="shared" si="19"/>
        <v>0.48627450980392162</v>
      </c>
      <c r="X40" s="38">
        <v>3790</v>
      </c>
      <c r="Y40" s="26" t="s">
        <v>537</v>
      </c>
    </row>
    <row r="41" spans="1:25" ht="30" x14ac:dyDescent="0.25">
      <c r="A41" s="33">
        <v>186985</v>
      </c>
      <c r="B41" s="33">
        <f>VLOOKUP($A41,'Выгр Кат'!$A:$R,B$1,0)</f>
        <v>1473</v>
      </c>
      <c r="C41" s="34" t="str">
        <f>VLOOKUP($A41,'Выгр Кат'!$A:$R,C$1,0)</f>
        <v>Паук 4-2-1 "STT" 16V для Лада Гранта, Калина 2</v>
      </c>
      <c r="D41" s="33" t="str">
        <f>VLOOKUP($A41,'Выгр Кат'!$A:$R,D$1,0)</f>
        <v>Y</v>
      </c>
      <c r="E41" s="33" t="str">
        <f>VLOOKUP($A41,'Выгр Кат'!$A:$R,E$1,0)</f>
        <v>1</v>
      </c>
      <c r="F41" s="33" t="str">
        <f>VLOOKUP($A41,'Выгр Кат'!$A:$R,F$1,0)</f>
        <v>TT-00066.</v>
      </c>
      <c r="G41" s="33"/>
      <c r="H41" s="23" t="s">
        <v>29</v>
      </c>
      <c r="I41" s="41">
        <v>2550</v>
      </c>
      <c r="J41" s="35">
        <f>VLOOKUP(I41,Наценка!$A$1:$B$8,2,1)</f>
        <v>1.4</v>
      </c>
      <c r="K41" s="46">
        <f t="shared" si="12"/>
        <v>3690</v>
      </c>
      <c r="L41" s="20">
        <f t="shared" si="13"/>
        <v>3690</v>
      </c>
      <c r="M41" s="33">
        <f>VLOOKUP($A41,'Выгр Кат'!$A:$R,M$1,0)</f>
        <v>2550</v>
      </c>
      <c r="N41" s="33">
        <f>VLOOKUP($A41,'Выгр Кат'!$A:$R,N$1,0)</f>
        <v>3590</v>
      </c>
      <c r="O41" s="17">
        <f t="shared" si="14"/>
        <v>0</v>
      </c>
      <c r="P41" s="17">
        <f t="shared" si="15"/>
        <v>-100</v>
      </c>
      <c r="Q41" s="18">
        <f t="shared" si="16"/>
        <v>3431.7</v>
      </c>
      <c r="R41" s="42">
        <f>IFERROR((VLOOKUP($A41,'Из ГУГЛа'!$B:$G,6,0)+T41)*S41,VLOOKUP($A41,'Из ГУГЛа'!$B:$G,6,0))</f>
        <v>3790</v>
      </c>
      <c r="S41" s="7">
        <v>1</v>
      </c>
      <c r="T41" s="7">
        <v>0</v>
      </c>
      <c r="U41" s="37">
        <f t="shared" si="17"/>
        <v>0.34576470588235297</v>
      </c>
      <c r="V41" s="37">
        <f t="shared" si="18"/>
        <v>9.4538258575197931E-2</v>
      </c>
      <c r="W41" s="37">
        <f t="shared" si="19"/>
        <v>0.48627450980392162</v>
      </c>
      <c r="X41" s="38">
        <v>3790</v>
      </c>
      <c r="Y41" s="26" t="s">
        <v>583</v>
      </c>
    </row>
    <row r="42" spans="1:25" x14ac:dyDescent="0.25">
      <c r="A42" s="33">
        <v>186991</v>
      </c>
      <c r="B42" s="33">
        <f>VLOOKUP($A42,'Выгр Кат'!$A:$R,B$1,0)</f>
        <v>1499</v>
      </c>
      <c r="C42" s="34" t="str">
        <f>VLOOKUP($A42,'Выгр Кат'!$A:$R,C$1,0)</f>
        <v>Паук 4-2-1 "STT" 8V для Лада Калина</v>
      </c>
      <c r="D42" s="33" t="str">
        <f>VLOOKUP($A42,'Выгр Кат'!$A:$R,D$1,0)</f>
        <v>Y</v>
      </c>
      <c r="E42" s="33" t="str">
        <f>VLOOKUP($A42,'Выгр Кат'!$A:$R,E$1,0)</f>
        <v>1</v>
      </c>
      <c r="F42" s="33" t="str">
        <f>VLOOKUP($A42,'Выгр Кат'!$A:$R,F$1,0)</f>
        <v>TT-00054.</v>
      </c>
      <c r="G42" s="33"/>
      <c r="H42" s="23" t="s">
        <v>29</v>
      </c>
      <c r="I42" s="41">
        <v>2550</v>
      </c>
      <c r="J42" s="35">
        <f>VLOOKUP(I42,Наценка!$A$1:$B$8,2,1)</f>
        <v>1.4</v>
      </c>
      <c r="K42" s="46">
        <f t="shared" si="12"/>
        <v>3890</v>
      </c>
      <c r="L42" s="20">
        <f t="shared" si="13"/>
        <v>3890</v>
      </c>
      <c r="M42" s="33">
        <f>VLOOKUP($A42,'Выгр Кат'!$A:$R,M$1,0)</f>
        <v>2550</v>
      </c>
      <c r="N42" s="33">
        <f>VLOOKUP($A42,'Выгр Кат'!$A:$R,N$1,0)</f>
        <v>3590</v>
      </c>
      <c r="O42" s="17">
        <f t="shared" si="14"/>
        <v>0</v>
      </c>
      <c r="P42" s="17">
        <f t="shared" si="15"/>
        <v>-300</v>
      </c>
      <c r="Q42" s="18">
        <f t="shared" si="16"/>
        <v>3617.7</v>
      </c>
      <c r="R42" s="42">
        <f>IFERROR((VLOOKUP($A42,'Из ГУГЛа'!$B:$G,6,0)+T42)*S42,VLOOKUP($A42,'Из ГУГЛа'!$B:$G,6,0))</f>
        <v>3990</v>
      </c>
      <c r="S42" s="7">
        <v>1</v>
      </c>
      <c r="T42" s="7">
        <v>0</v>
      </c>
      <c r="U42" s="37">
        <f t="shared" si="17"/>
        <v>0.41870588235294104</v>
      </c>
      <c r="V42" s="37">
        <f t="shared" si="18"/>
        <v>9.3308270676691771E-2</v>
      </c>
      <c r="W42" s="37">
        <f t="shared" si="19"/>
        <v>0.56470588235294117</v>
      </c>
      <c r="X42" s="38">
        <v>3990</v>
      </c>
      <c r="Y42" s="26" t="s">
        <v>589</v>
      </c>
    </row>
    <row r="43" spans="1:25" ht="60" x14ac:dyDescent="0.25">
      <c r="A43" s="33">
        <v>203716</v>
      </c>
      <c r="B43" s="33">
        <f>VLOOKUP($A43,'Выгр Кат'!$A:$R,B$1,0)</f>
        <v>23511</v>
      </c>
      <c r="C43" s="34" t="str">
        <f>VLOOKUP($A43,'Выгр Кат'!$A:$R,C$1,0)</f>
        <v>Резонатор-труба "STT" (d51, под выпускной коллектор "STT", нержавеющая сталь) для Лада Нива 4x4</v>
      </c>
      <c r="D43" s="33" t="str">
        <f>VLOOKUP($A43,'Выгр Кат'!$A:$R,D$1,0)</f>
        <v>Y</v>
      </c>
      <c r="E43" s="33" t="str">
        <f>VLOOKUP($A43,'Выгр Кат'!$A:$R,E$1,0)</f>
        <v>1</v>
      </c>
      <c r="F43" s="33" t="str">
        <f>VLOOKUP($A43,'Выгр Кат'!$A:$R,F$1,0)</f>
        <v>ТТ-00322</v>
      </c>
      <c r="G43" s="33"/>
      <c r="H43" s="23" t="s">
        <v>29</v>
      </c>
      <c r="I43" s="41">
        <v>2550</v>
      </c>
      <c r="J43" s="35">
        <f>VLOOKUP(I43,Наценка!$A$1:$B$8,2,1)</f>
        <v>1.4</v>
      </c>
      <c r="K43" s="39">
        <f t="shared" ref="K35:K66" si="20">I43*J43</f>
        <v>3570</v>
      </c>
      <c r="L43" s="20">
        <f t="shared" si="13"/>
        <v>3590</v>
      </c>
      <c r="M43" s="33">
        <f>VLOOKUP($A43,'Выгр Кат'!$A:$R,M$1,0)</f>
        <v>2550</v>
      </c>
      <c r="N43" s="33">
        <f>VLOOKUP($A43,'Выгр Кат'!$A:$R,N$1,0)</f>
        <v>3590</v>
      </c>
      <c r="O43" s="17">
        <f t="shared" si="14"/>
        <v>0</v>
      </c>
      <c r="P43" s="17">
        <f t="shared" si="15"/>
        <v>0</v>
      </c>
      <c r="Q43" s="18">
        <f t="shared" si="16"/>
        <v>3338.7</v>
      </c>
      <c r="R43" s="42" t="str">
        <f>IFERROR((VLOOKUP($A43,'Из ГУГЛа'!$B:$G,6,0)+T43)*S43,VLOOKUP($A43,'Из ГУГЛа'!$B:$G,6,0))</f>
        <v/>
      </c>
      <c r="S43" s="7">
        <v>1</v>
      </c>
      <c r="T43" s="7">
        <v>0</v>
      </c>
      <c r="U43" s="37">
        <f t="shared" si="17"/>
        <v>0.30929411764705872</v>
      </c>
      <c r="V43" s="37" t="str">
        <f t="shared" si="18"/>
        <v/>
      </c>
      <c r="W43" s="37" t="str">
        <f t="shared" si="19"/>
        <v/>
      </c>
      <c r="X43" s="38" t="s">
        <v>521</v>
      </c>
    </row>
    <row r="44" spans="1:25" ht="45" x14ac:dyDescent="0.25">
      <c r="A44" s="33">
        <v>139551</v>
      </c>
      <c r="B44" s="33">
        <f>VLOOKUP($A44,'Выгр Кат'!$A:$R,B$1,0)</f>
        <v>41622</v>
      </c>
      <c r="C44" s="34" t="str">
        <f>VLOOKUP($A44,'Выгр Кат'!$A:$R,C$1,0)</f>
        <v>Вставка "STT" вместо катализатора, 4-1 (d51 мм, два датчика кислорода) для Лада Веста (1.8 л, 16 клапанный)</v>
      </c>
      <c r="D44" s="33" t="str">
        <f>VLOOKUP($A44,'Выгр Кат'!$A:$R,D$1,0)</f>
        <v>Y</v>
      </c>
      <c r="E44" s="33" t="str">
        <f>VLOOKUP($A44,'Выгр Кат'!$A:$R,E$1,0)</f>
        <v>1</v>
      </c>
      <c r="F44" s="33" t="str">
        <f>VLOOKUP($A44,'Выгр Кат'!$A:$R,F$1,0)</f>
        <v>ТТ-00222</v>
      </c>
      <c r="G44" s="33"/>
      <c r="H44" s="23" t="s">
        <v>29</v>
      </c>
      <c r="I44" s="41">
        <v>2600</v>
      </c>
      <c r="J44" s="35">
        <f>VLOOKUP(I44,Наценка!$A$1:$B$8,2,1)</f>
        <v>1.4</v>
      </c>
      <c r="K44" s="46">
        <f t="shared" ref="K44:K50" si="21">X44-100</f>
        <v>3790</v>
      </c>
      <c r="L44" s="20">
        <f t="shared" si="13"/>
        <v>3790</v>
      </c>
      <c r="M44" s="33">
        <f>VLOOKUP($A44,'Выгр Кат'!$A:$R,M$1,0)</f>
        <v>2600</v>
      </c>
      <c r="N44" s="33">
        <f>VLOOKUP($A44,'Выгр Кат'!$A:$R,N$1,0)</f>
        <v>3690</v>
      </c>
      <c r="O44" s="17">
        <f t="shared" si="14"/>
        <v>0</v>
      </c>
      <c r="P44" s="17">
        <f t="shared" si="15"/>
        <v>-100</v>
      </c>
      <c r="Q44" s="18">
        <f t="shared" si="16"/>
        <v>3524.7</v>
      </c>
      <c r="R44" s="42">
        <f>IFERROR((VLOOKUP($A44,'Из ГУГЛа'!$B:$G,6,0)+T44)*S44,VLOOKUP($A44,'Из ГУГЛа'!$B:$G,6,0))</f>
        <v>3890</v>
      </c>
      <c r="S44" s="7">
        <v>1</v>
      </c>
      <c r="T44" s="7">
        <v>0</v>
      </c>
      <c r="U44" s="37">
        <f t="shared" si="17"/>
        <v>0.3556538461538461</v>
      </c>
      <c r="V44" s="37">
        <f t="shared" si="18"/>
        <v>9.3907455012853511E-2</v>
      </c>
      <c r="W44" s="37">
        <f t="shared" si="19"/>
        <v>0.49615384615384617</v>
      </c>
      <c r="X44" s="38">
        <v>3890</v>
      </c>
      <c r="Y44" s="26" t="s">
        <v>501</v>
      </c>
    </row>
    <row r="45" spans="1:25" ht="30" x14ac:dyDescent="0.25">
      <c r="A45" s="33">
        <v>140110</v>
      </c>
      <c r="B45" s="33">
        <f>VLOOKUP($A45,'Выгр Кат'!$A:$R,B$1,0)</f>
        <v>23224</v>
      </c>
      <c r="C45" s="34" t="str">
        <f>VLOOKUP($A45,'Выгр Кат'!$A:$R,C$1,0)</f>
        <v>Выпускной коллектор (паук) "STT" 4-2-1 (16V, SPORT) для Лада Приора</v>
      </c>
      <c r="D45" s="33" t="str">
        <f>VLOOKUP($A45,'Выгр Кат'!$A:$R,D$1,0)</f>
        <v>Y</v>
      </c>
      <c r="E45" s="33" t="str">
        <f>VLOOKUP($A45,'Выгр Кат'!$A:$R,E$1,0)</f>
        <v>1</v>
      </c>
      <c r="F45" s="33" t="str">
        <f>VLOOKUP($A45,'Выгр Кат'!$A:$R,F$1,0)</f>
        <v>ТТ-00045</v>
      </c>
      <c r="G45" s="33"/>
      <c r="H45" s="23" t="s">
        <v>29</v>
      </c>
      <c r="I45" s="41">
        <v>2600</v>
      </c>
      <c r="J45" s="35">
        <f>VLOOKUP(I45,Наценка!$A$1:$B$8,2,1)</f>
        <v>1.4</v>
      </c>
      <c r="K45" s="46">
        <f t="shared" si="21"/>
        <v>3790</v>
      </c>
      <c r="L45" s="20">
        <f t="shared" si="13"/>
        <v>3790</v>
      </c>
      <c r="M45" s="33">
        <f>VLOOKUP($A45,'Выгр Кат'!$A:$R,M$1,0)</f>
        <v>2600</v>
      </c>
      <c r="N45" s="33">
        <f>VLOOKUP($A45,'Выгр Кат'!$A:$R,N$1,0)</f>
        <v>3690</v>
      </c>
      <c r="O45" s="17">
        <f t="shared" si="14"/>
        <v>0</v>
      </c>
      <c r="P45" s="17">
        <f t="shared" si="15"/>
        <v>-100</v>
      </c>
      <c r="Q45" s="18">
        <f t="shared" si="16"/>
        <v>3524.7</v>
      </c>
      <c r="R45" s="42">
        <f>IFERROR((VLOOKUP($A45,'Из ГУГЛа'!$B:$G,6,0)+T45)*S45,VLOOKUP($A45,'Из ГУГЛа'!$B:$G,6,0))</f>
        <v>3890</v>
      </c>
      <c r="S45" s="7">
        <v>1</v>
      </c>
      <c r="T45" s="7">
        <v>0</v>
      </c>
      <c r="U45" s="37">
        <f t="shared" si="17"/>
        <v>0.3556538461538461</v>
      </c>
      <c r="V45" s="37">
        <f t="shared" si="18"/>
        <v>9.3907455012853511E-2</v>
      </c>
      <c r="W45" s="37">
        <f t="shared" si="19"/>
        <v>0.49615384615384617</v>
      </c>
      <c r="X45" s="38">
        <v>3890</v>
      </c>
      <c r="Y45" s="26" t="s">
        <v>513</v>
      </c>
    </row>
    <row r="46" spans="1:25" ht="30" x14ac:dyDescent="0.25">
      <c r="A46" s="33">
        <v>186924</v>
      </c>
      <c r="B46" s="33">
        <f>VLOOKUP($A46,'Выгр Кат'!$A:$R,B$1,0)</f>
        <v>1479</v>
      </c>
      <c r="C46" s="34" t="str">
        <f>VLOOKUP($A46,'Выгр Кат'!$A:$R,C$1,0)</f>
        <v>Паук 4-2-1  "STT" (Спорт, 16V) для Лада Калина</v>
      </c>
      <c r="D46" s="33" t="str">
        <f>VLOOKUP($A46,'Выгр Кат'!$A:$R,D$1,0)</f>
        <v>Y</v>
      </c>
      <c r="E46" s="33" t="str">
        <f>VLOOKUP($A46,'Выгр Кат'!$A:$R,E$1,0)</f>
        <v>1</v>
      </c>
      <c r="F46" s="33" t="str">
        <f>VLOOKUP($A46,'Выгр Кат'!$A:$R,F$1,0)</f>
        <v>TT-00057.</v>
      </c>
      <c r="G46" s="33"/>
      <c r="H46" s="23" t="s">
        <v>29</v>
      </c>
      <c r="I46" s="41">
        <v>2600</v>
      </c>
      <c r="J46" s="35">
        <f>VLOOKUP(I46,Наценка!$A$1:$B$8,2,1)</f>
        <v>1.4</v>
      </c>
      <c r="K46" s="46">
        <f t="shared" si="21"/>
        <v>3790</v>
      </c>
      <c r="L46" s="20">
        <f t="shared" si="13"/>
        <v>3790</v>
      </c>
      <c r="M46" s="33">
        <f>VLOOKUP($A46,'Выгр Кат'!$A:$R,M$1,0)</f>
        <v>2600</v>
      </c>
      <c r="N46" s="33">
        <f>VLOOKUP($A46,'Выгр Кат'!$A:$R,N$1,0)</f>
        <v>3690</v>
      </c>
      <c r="O46" s="17">
        <f t="shared" si="14"/>
        <v>0</v>
      </c>
      <c r="P46" s="17">
        <f t="shared" si="15"/>
        <v>-100</v>
      </c>
      <c r="Q46" s="18">
        <f t="shared" si="16"/>
        <v>3524.7</v>
      </c>
      <c r="R46" s="42">
        <f>IFERROR((VLOOKUP($A46,'Из ГУГЛа'!$B:$G,6,0)+T46)*S46,VLOOKUP($A46,'Из ГУГЛа'!$B:$G,6,0))</f>
        <v>3890</v>
      </c>
      <c r="S46" s="7">
        <v>1</v>
      </c>
      <c r="T46" s="7">
        <v>0</v>
      </c>
      <c r="U46" s="37">
        <f t="shared" si="17"/>
        <v>0.3556538461538461</v>
      </c>
      <c r="V46" s="37">
        <f t="shared" si="18"/>
        <v>9.3907455012853511E-2</v>
      </c>
      <c r="W46" s="37">
        <f t="shared" si="19"/>
        <v>0.49615384615384617</v>
      </c>
      <c r="X46" s="38">
        <v>3890</v>
      </c>
      <c r="Y46" s="26" t="s">
        <v>592</v>
      </c>
    </row>
    <row r="47" spans="1:25" ht="30" x14ac:dyDescent="0.25">
      <c r="A47" s="33">
        <v>186966</v>
      </c>
      <c r="B47" s="33">
        <f>VLOOKUP($A47,'Выгр Кат'!$A:$R,B$1,0)</f>
        <v>1483</v>
      </c>
      <c r="C47" s="34" t="str">
        <f>VLOOKUP($A47,'Выгр Кат'!$A:$R,C$1,0)</f>
        <v>Паук 4-2-1 "STT" (16V, под датчик кислорода, Спорт) для ВАЗ 2110-2112</v>
      </c>
      <c r="D47" s="33" t="str">
        <f>VLOOKUP($A47,'Выгр Кат'!$A:$R,D$1,0)</f>
        <v>Y</v>
      </c>
      <c r="E47" s="33" t="str">
        <f>VLOOKUP($A47,'Выгр Кат'!$A:$R,E$1,0)</f>
        <v>1</v>
      </c>
      <c r="F47" s="33" t="str">
        <f>VLOOKUP($A47,'Выгр Кат'!$A:$R,F$1,0)</f>
        <v>TT-00042.</v>
      </c>
      <c r="G47" s="33"/>
      <c r="H47" s="23" t="s">
        <v>29</v>
      </c>
      <c r="I47" s="41">
        <v>2600</v>
      </c>
      <c r="J47" s="35">
        <f>VLOOKUP(I47,Наценка!$A$1:$B$8,2,1)</f>
        <v>1.4</v>
      </c>
      <c r="K47" s="46">
        <f t="shared" si="21"/>
        <v>3890</v>
      </c>
      <c r="L47" s="20">
        <f t="shared" si="13"/>
        <v>3890</v>
      </c>
      <c r="M47" s="33">
        <f>VLOOKUP($A47,'Выгр Кат'!$A:$R,M$1,0)</f>
        <v>2600</v>
      </c>
      <c r="N47" s="33">
        <f>VLOOKUP($A47,'Выгр Кат'!$A:$R,N$1,0)</f>
        <v>3690</v>
      </c>
      <c r="O47" s="17">
        <f t="shared" si="14"/>
        <v>0</v>
      </c>
      <c r="P47" s="17">
        <f t="shared" si="15"/>
        <v>-200</v>
      </c>
      <c r="Q47" s="18">
        <f t="shared" si="16"/>
        <v>3617.7</v>
      </c>
      <c r="R47" s="42">
        <f>IFERROR((VLOOKUP($A47,'Из ГУГЛа'!$B:$G,6,0)+T47)*S47,VLOOKUP($A47,'Из ГУГЛа'!$B:$G,6,0))</f>
        <v>3990</v>
      </c>
      <c r="S47" s="7">
        <v>1</v>
      </c>
      <c r="T47" s="7">
        <v>0</v>
      </c>
      <c r="U47" s="37">
        <f t="shared" si="17"/>
        <v>0.39142307692307687</v>
      </c>
      <c r="V47" s="37">
        <f t="shared" si="18"/>
        <v>9.3308270676691771E-2</v>
      </c>
      <c r="W47" s="37">
        <f t="shared" si="19"/>
        <v>0.53461538461538471</v>
      </c>
      <c r="X47" s="38">
        <v>3990</v>
      </c>
      <c r="Y47" s="26" t="s">
        <v>533</v>
      </c>
    </row>
    <row r="48" spans="1:25" ht="30" x14ac:dyDescent="0.25">
      <c r="A48" s="33">
        <v>186978</v>
      </c>
      <c r="B48" s="33">
        <f>VLOOKUP($A48,'Выгр Кат'!$A:$R,B$1,0)</f>
        <v>1471</v>
      </c>
      <c r="C48" s="34" t="str">
        <f>VLOOKUP($A48,'Выгр Кат'!$A:$R,C$1,0)</f>
        <v>Паук 4-2-1 "STT" (Спорт, 16V) для ВАЗ 2108-21099, 2113-2114</v>
      </c>
      <c r="D48" s="33" t="str">
        <f>VLOOKUP($A48,'Выгр Кат'!$A:$R,D$1,0)</f>
        <v>Y</v>
      </c>
      <c r="E48" s="33" t="str">
        <f>VLOOKUP($A48,'Выгр Кат'!$A:$R,E$1,0)</f>
        <v>1</v>
      </c>
      <c r="F48" s="33" t="str">
        <f>VLOOKUP($A48,'Выгр Кат'!$A:$R,F$1,0)</f>
        <v>TT-00029.</v>
      </c>
      <c r="G48" s="33"/>
      <c r="H48" s="23" t="s">
        <v>29</v>
      </c>
      <c r="I48" s="41">
        <v>2600</v>
      </c>
      <c r="J48" s="35">
        <f>VLOOKUP(I48,Наценка!$A$1:$B$8,2,1)</f>
        <v>1.4</v>
      </c>
      <c r="K48" s="46">
        <f t="shared" si="21"/>
        <v>3890</v>
      </c>
      <c r="L48" s="20">
        <f t="shared" si="13"/>
        <v>3890</v>
      </c>
      <c r="M48" s="33">
        <f>VLOOKUP($A48,'Выгр Кат'!$A:$R,M$1,0)</f>
        <v>2600</v>
      </c>
      <c r="N48" s="33">
        <f>VLOOKUP($A48,'Выгр Кат'!$A:$R,N$1,0)</f>
        <v>3690</v>
      </c>
      <c r="O48" s="17">
        <f t="shared" si="14"/>
        <v>0</v>
      </c>
      <c r="P48" s="17">
        <f t="shared" si="15"/>
        <v>-200</v>
      </c>
      <c r="Q48" s="18">
        <f t="shared" si="16"/>
        <v>3617.7</v>
      </c>
      <c r="R48" s="42">
        <f>IFERROR((VLOOKUP($A48,'Из ГУГЛа'!$B:$G,6,0)+T48)*S48,VLOOKUP($A48,'Из ГУГЛа'!$B:$G,6,0))</f>
        <v>3990</v>
      </c>
      <c r="S48" s="7">
        <v>1</v>
      </c>
      <c r="T48" s="7">
        <v>0</v>
      </c>
      <c r="U48" s="37">
        <f t="shared" si="17"/>
        <v>0.39142307692307687</v>
      </c>
      <c r="V48" s="37">
        <f t="shared" si="18"/>
        <v>9.3308270676691771E-2</v>
      </c>
      <c r="W48" s="37">
        <f t="shared" si="19"/>
        <v>0.53461538461538471</v>
      </c>
      <c r="X48" s="38">
        <v>3990</v>
      </c>
      <c r="Y48" s="26" t="s">
        <v>516</v>
      </c>
    </row>
    <row r="49" spans="1:25" ht="30" x14ac:dyDescent="0.25">
      <c r="A49" s="33">
        <v>186990</v>
      </c>
      <c r="B49" s="33">
        <f>VLOOKUP($A49,'Выгр Кат'!$A:$R,B$1,0)</f>
        <v>1497</v>
      </c>
      <c r="C49" s="34" t="str">
        <f>VLOOKUP($A49,'Выгр Кат'!$A:$R,C$1,0)</f>
        <v>Паук 4-2-1 "STT" 8V для Лада Гранта, Калина 2</v>
      </c>
      <c r="D49" s="33" t="str">
        <f>VLOOKUP($A49,'Выгр Кат'!$A:$R,D$1,0)</f>
        <v>Y</v>
      </c>
      <c r="E49" s="33" t="str">
        <f>VLOOKUP($A49,'Выгр Кат'!$A:$R,E$1,0)</f>
        <v>1</v>
      </c>
      <c r="F49" s="33" t="str">
        <f>VLOOKUP($A49,'Выгр Кат'!$A:$R,F$1,0)</f>
        <v>TT-00064.</v>
      </c>
      <c r="G49" s="33"/>
      <c r="H49" s="23" t="s">
        <v>29</v>
      </c>
      <c r="I49" s="41">
        <v>2600</v>
      </c>
      <c r="J49" s="35">
        <f>VLOOKUP(I49,Наценка!$A$1:$B$8,2,1)</f>
        <v>1.4</v>
      </c>
      <c r="K49" s="46">
        <f t="shared" si="21"/>
        <v>3790</v>
      </c>
      <c r="L49" s="20">
        <f t="shared" si="13"/>
        <v>3790</v>
      </c>
      <c r="M49" s="33">
        <f>VLOOKUP($A49,'Выгр Кат'!$A:$R,M$1,0)</f>
        <v>2600</v>
      </c>
      <c r="N49" s="33">
        <f>VLOOKUP($A49,'Выгр Кат'!$A:$R,N$1,0)</f>
        <v>3690</v>
      </c>
      <c r="O49" s="17">
        <f t="shared" si="14"/>
        <v>0</v>
      </c>
      <c r="P49" s="17">
        <f t="shared" si="15"/>
        <v>-100</v>
      </c>
      <c r="Q49" s="18">
        <f t="shared" si="16"/>
        <v>3524.7</v>
      </c>
      <c r="R49" s="42">
        <f>IFERROR((VLOOKUP($A49,'Из ГУГЛа'!$B:$G,6,0)+T49)*S49,VLOOKUP($A49,'Из ГУГЛа'!$B:$G,6,0))</f>
        <v>3890</v>
      </c>
      <c r="S49" s="7">
        <v>1</v>
      </c>
      <c r="T49" s="7">
        <v>0</v>
      </c>
      <c r="U49" s="37">
        <f t="shared" si="17"/>
        <v>0.3556538461538461</v>
      </c>
      <c r="V49" s="37">
        <f t="shared" si="18"/>
        <v>9.3907455012853511E-2</v>
      </c>
      <c r="W49" s="37">
        <f t="shared" si="19"/>
        <v>0.49615384615384617</v>
      </c>
      <c r="X49" s="38">
        <v>3890</v>
      </c>
      <c r="Y49" s="26" t="s">
        <v>584</v>
      </c>
    </row>
    <row r="50" spans="1:25" ht="45" x14ac:dyDescent="0.25">
      <c r="A50" s="33">
        <v>140109</v>
      </c>
      <c r="B50" s="33">
        <f>VLOOKUP($A50,'Выгр Кат'!$A:$R,B$1,0)</f>
        <v>23212</v>
      </c>
      <c r="C50" s="34" t="str">
        <f>VLOOKUP($A50,'Выгр Кат'!$A:$R,C$1,0)</f>
        <v>Выпускной коллектор (паук) "STT" 4-2-1 (16V, SPORT) для Лада Гранта, Калина 2</v>
      </c>
      <c r="D50" s="33" t="str">
        <f>VLOOKUP($A50,'Выгр Кат'!$A:$R,D$1,0)</f>
        <v>Y</v>
      </c>
      <c r="E50" s="33" t="str">
        <f>VLOOKUP($A50,'Выгр Кат'!$A:$R,E$1,0)</f>
        <v>1</v>
      </c>
      <c r="F50" s="33" t="str">
        <f>VLOOKUP($A50,'Выгр Кат'!$A:$R,F$1,0)</f>
        <v>TT-00067.</v>
      </c>
      <c r="G50" s="33"/>
      <c r="H50" s="23" t="s">
        <v>29</v>
      </c>
      <c r="I50" s="41">
        <v>2650</v>
      </c>
      <c r="J50" s="35">
        <f>VLOOKUP(I50,Наценка!$A$1:$B$8,2,1)</f>
        <v>1.4</v>
      </c>
      <c r="K50" s="46">
        <f t="shared" si="21"/>
        <v>3890</v>
      </c>
      <c r="L50" s="20">
        <f t="shared" si="13"/>
        <v>3890</v>
      </c>
      <c r="M50" s="33">
        <f>VLOOKUP($A50,'Выгр Кат'!$A:$R,M$1,0)</f>
        <v>2650</v>
      </c>
      <c r="N50" s="33">
        <f>VLOOKUP($A50,'Выгр Кат'!$A:$R,N$1,0)</f>
        <v>3790</v>
      </c>
      <c r="O50" s="17">
        <f t="shared" si="14"/>
        <v>0</v>
      </c>
      <c r="P50" s="17">
        <f t="shared" si="15"/>
        <v>-100</v>
      </c>
      <c r="Q50" s="18">
        <f t="shared" si="16"/>
        <v>3617.7</v>
      </c>
      <c r="R50" s="42">
        <f>IFERROR((VLOOKUP($A50,'Из ГУГЛа'!$B:$G,6,0)+T50)*S50,VLOOKUP($A50,'Из ГУГЛа'!$B:$G,6,0))</f>
        <v>3990</v>
      </c>
      <c r="S50" s="7">
        <v>1</v>
      </c>
      <c r="T50" s="7">
        <v>0</v>
      </c>
      <c r="U50" s="37">
        <f t="shared" si="17"/>
        <v>0.36516981132075466</v>
      </c>
      <c r="V50" s="37">
        <f t="shared" si="18"/>
        <v>9.3308270676691771E-2</v>
      </c>
      <c r="W50" s="37">
        <f t="shared" si="19"/>
        <v>0.50566037735849068</v>
      </c>
      <c r="X50" s="38">
        <v>3990</v>
      </c>
      <c r="Y50" s="26" t="s">
        <v>582</v>
      </c>
    </row>
    <row r="51" spans="1:25" ht="30" x14ac:dyDescent="0.25">
      <c r="A51" s="33">
        <v>186977</v>
      </c>
      <c r="B51" s="33">
        <f>VLOOKUP($A51,'Выгр Кат'!$A:$R,B$1,0)</f>
        <v>1480</v>
      </c>
      <c r="C51" s="34" t="str">
        <f>VLOOKUP($A51,'Выгр Кат'!$A:$R,C$1,0)</f>
        <v>Паук 4-2-1 "STT" (Спорт, 16V, выход 63) для Лада Калина</v>
      </c>
      <c r="D51" s="33" t="str">
        <f>VLOOKUP($A51,'Выгр Кат'!$A:$R,D$1,0)</f>
        <v>Y</v>
      </c>
      <c r="E51" s="33" t="str">
        <f>VLOOKUP($A51,'Выгр Кат'!$A:$R,E$1,0)</f>
        <v>1</v>
      </c>
      <c r="F51" s="33" t="str">
        <f>VLOOKUP($A51,'Выгр Кат'!$A:$R,F$1,0)</f>
        <v>TT-00059</v>
      </c>
      <c r="G51" s="33"/>
      <c r="H51" s="23" t="s">
        <v>29</v>
      </c>
      <c r="I51" s="41">
        <v>2650</v>
      </c>
      <c r="J51" s="35">
        <f>VLOOKUP(I51,Наценка!$A$1:$B$8,2,1)</f>
        <v>1.4</v>
      </c>
      <c r="K51" s="39">
        <f t="shared" si="20"/>
        <v>3709.9999999999995</v>
      </c>
      <c r="L51" s="20">
        <f t="shared" si="13"/>
        <v>3790</v>
      </c>
      <c r="M51" s="33">
        <f>VLOOKUP($A51,'Выгр Кат'!$A:$R,M$1,0)</f>
        <v>2650</v>
      </c>
      <c r="N51" s="33">
        <f>VLOOKUP($A51,'Выгр Кат'!$A:$R,N$1,0)</f>
        <v>3790</v>
      </c>
      <c r="O51" s="17">
        <f t="shared" si="14"/>
        <v>0</v>
      </c>
      <c r="P51" s="17">
        <f t="shared" si="15"/>
        <v>0</v>
      </c>
      <c r="Q51" s="18">
        <f t="shared" si="16"/>
        <v>3524.7</v>
      </c>
      <c r="R51" s="42">
        <f>IFERROR((VLOOKUP($A51,'Из ГУГЛа'!$B:$G,6,0)+T51)*S51,VLOOKUP($A51,'Из ГУГЛа'!$B:$G,6,0))</f>
        <v>3890</v>
      </c>
      <c r="S51" s="7">
        <v>1</v>
      </c>
      <c r="T51" s="7">
        <v>0</v>
      </c>
      <c r="U51" s="37">
        <f t="shared" si="17"/>
        <v>0.33007547169811313</v>
      </c>
      <c r="V51" s="37">
        <f t="shared" si="18"/>
        <v>9.3907455012853511E-2</v>
      </c>
      <c r="W51" s="37">
        <f t="shared" si="19"/>
        <v>0.46792452830188669</v>
      </c>
      <c r="X51" s="38">
        <v>3890</v>
      </c>
      <c r="Y51" s="26" t="s">
        <v>593</v>
      </c>
    </row>
    <row r="52" spans="1:25" ht="30" x14ac:dyDescent="0.25">
      <c r="A52" s="33">
        <v>186983</v>
      </c>
      <c r="B52" s="33">
        <f>VLOOKUP($A52,'Выгр Кат'!$A:$R,B$1,0)</f>
        <v>1501</v>
      </c>
      <c r="C52" s="34" t="str">
        <f>VLOOKUP($A52,'Выгр Кат'!$A:$R,C$1,0)</f>
        <v>Паук 4-2-1 "STT" (Спорт, 8V) для Лада Калина</v>
      </c>
      <c r="D52" s="33" t="str">
        <f>VLOOKUP($A52,'Выгр Кат'!$A:$R,D$1,0)</f>
        <v>Y</v>
      </c>
      <c r="E52" s="33" t="str">
        <f>VLOOKUP($A52,'Выгр Кат'!$A:$R,E$1,0)</f>
        <v>1</v>
      </c>
      <c r="F52" s="33" t="str">
        <f>VLOOKUP($A52,'Выгр Кат'!$A:$R,F$1,0)</f>
        <v>TT-00055.</v>
      </c>
      <c r="G52" s="33"/>
      <c r="H52" s="23" t="s">
        <v>29</v>
      </c>
      <c r="I52" s="41">
        <v>2650</v>
      </c>
      <c r="J52" s="35">
        <f>VLOOKUP(I52,Наценка!$A$1:$B$8,2,1)</f>
        <v>1.4</v>
      </c>
      <c r="K52" s="46">
        <f>X52-100</f>
        <v>3990</v>
      </c>
      <c r="L52" s="20">
        <f t="shared" si="13"/>
        <v>3990</v>
      </c>
      <c r="M52" s="33">
        <f>VLOOKUP($A52,'Выгр Кат'!$A:$R,M$1,0)</f>
        <v>2650</v>
      </c>
      <c r="N52" s="33">
        <f>VLOOKUP($A52,'Выгр Кат'!$A:$R,N$1,0)</f>
        <v>3790</v>
      </c>
      <c r="O52" s="17">
        <f t="shared" si="14"/>
        <v>0</v>
      </c>
      <c r="P52" s="17">
        <f t="shared" si="15"/>
        <v>-200</v>
      </c>
      <c r="Q52" s="18">
        <f t="shared" si="16"/>
        <v>3710.7</v>
      </c>
      <c r="R52" s="42">
        <f>IFERROR((VLOOKUP($A52,'Из ГУГЛа'!$B:$G,6,0)+T52)*S52,VLOOKUP($A52,'Из ГУГЛа'!$B:$G,6,0))</f>
        <v>4090</v>
      </c>
      <c r="S52" s="7">
        <v>1</v>
      </c>
      <c r="T52" s="7">
        <v>0</v>
      </c>
      <c r="U52" s="37">
        <f t="shared" si="17"/>
        <v>0.40026415094339618</v>
      </c>
      <c r="V52" s="37">
        <f t="shared" si="18"/>
        <v>9.2738386308068507E-2</v>
      </c>
      <c r="W52" s="37">
        <f t="shared" si="19"/>
        <v>0.54339622641509444</v>
      </c>
      <c r="X52" s="38">
        <v>4090</v>
      </c>
      <c r="Y52" s="26" t="s">
        <v>591</v>
      </c>
    </row>
    <row r="53" spans="1:25" ht="30" x14ac:dyDescent="0.25">
      <c r="A53" s="33">
        <v>186989</v>
      </c>
      <c r="B53" s="33">
        <f>VLOOKUP($A53,'Выгр Кат'!$A:$R,B$1,0)</f>
        <v>1488</v>
      </c>
      <c r="C53" s="34" t="str">
        <f>VLOOKUP($A53,'Выгр Кат'!$A:$R,C$1,0)</f>
        <v>Паук 4-2-1 "STT" 8V для ВАЗ 2108-21099, 2113-2115</v>
      </c>
      <c r="D53" s="33" t="str">
        <f>VLOOKUP($A53,'Выгр Кат'!$A:$R,D$1,0)</f>
        <v>Y</v>
      </c>
      <c r="E53" s="33" t="str">
        <f>VLOOKUP($A53,'Выгр Кат'!$A:$R,E$1,0)</f>
        <v>1</v>
      </c>
      <c r="F53" s="33" t="str">
        <f>VLOOKUP($A53,'Выгр Кат'!$A:$R,F$1,0)</f>
        <v>TT-00025.</v>
      </c>
      <c r="G53" s="33"/>
      <c r="H53" s="23" t="s">
        <v>29</v>
      </c>
      <c r="I53" s="41">
        <v>2650</v>
      </c>
      <c r="J53" s="35">
        <f>VLOOKUP(I53,Наценка!$A$1:$B$8,2,1)</f>
        <v>1.4</v>
      </c>
      <c r="K53" s="39">
        <f t="shared" si="20"/>
        <v>3709.9999999999995</v>
      </c>
      <c r="L53" s="20">
        <f t="shared" si="13"/>
        <v>3790</v>
      </c>
      <c r="M53" s="33">
        <f>VLOOKUP($A53,'Выгр Кат'!$A:$R,M$1,0)</f>
        <v>2650</v>
      </c>
      <c r="N53" s="33">
        <f>VLOOKUP($A53,'Выгр Кат'!$A:$R,N$1,0)</f>
        <v>3790</v>
      </c>
      <c r="O53" s="17">
        <f t="shared" si="14"/>
        <v>0</v>
      </c>
      <c r="P53" s="17">
        <f t="shared" si="15"/>
        <v>0</v>
      </c>
      <c r="Q53" s="18">
        <f t="shared" si="16"/>
        <v>3524.7</v>
      </c>
      <c r="R53" s="42">
        <f>IFERROR((VLOOKUP($A53,'Из ГУГЛа'!$B:$G,6,0)+T53)*S53,VLOOKUP($A53,'Из ГУГЛа'!$B:$G,6,0))</f>
        <v>3890</v>
      </c>
      <c r="S53" s="7">
        <v>1</v>
      </c>
      <c r="T53" s="7">
        <v>0</v>
      </c>
      <c r="U53" s="37">
        <f t="shared" si="17"/>
        <v>0.33007547169811313</v>
      </c>
      <c r="V53" s="37">
        <f t="shared" si="18"/>
        <v>9.3907455012853511E-2</v>
      </c>
      <c r="W53" s="37">
        <f t="shared" si="19"/>
        <v>0.46792452830188669</v>
      </c>
      <c r="X53" s="38">
        <v>3890</v>
      </c>
      <c r="Y53" s="26" t="s">
        <v>519</v>
      </c>
    </row>
    <row r="54" spans="1:25" ht="30" x14ac:dyDescent="0.25">
      <c r="A54" s="33">
        <v>187035</v>
      </c>
      <c r="B54" s="33">
        <f>VLOOKUP($A54,'Выгр Кат'!$A:$R,B$1,0)</f>
        <v>1462</v>
      </c>
      <c r="C54" s="34" t="str">
        <f>VLOOKUP($A54,'Выгр Кат'!$A:$R,C$1,0)</f>
        <v>Паук Subaru Sound "STT" 16V для Лада Приора</v>
      </c>
      <c r="D54" s="33" t="str">
        <f>VLOOKUP($A54,'Выгр Кат'!$A:$R,D$1,0)</f>
        <v>Y</v>
      </c>
      <c r="E54" s="33" t="str">
        <f>VLOOKUP($A54,'Выгр Кат'!$A:$R,E$1,0)</f>
        <v>1ск6</v>
      </c>
      <c r="F54" s="33" t="str">
        <f>VLOOKUP($A54,'Выгр Кат'!$A:$R,F$1,0)</f>
        <v>TT-00052.</v>
      </c>
      <c r="G54" s="33"/>
      <c r="H54" s="23" t="s">
        <v>29</v>
      </c>
      <c r="I54" s="41">
        <v>2650</v>
      </c>
      <c r="J54" s="35">
        <f>VLOOKUP(I54,Наценка!$A$1:$B$8,2,1)</f>
        <v>1.4</v>
      </c>
      <c r="K54" s="46">
        <f>X54-100</f>
        <v>3890</v>
      </c>
      <c r="L54" s="20">
        <f t="shared" si="13"/>
        <v>3890</v>
      </c>
      <c r="M54" s="33">
        <f>VLOOKUP($A54,'Выгр Кат'!$A:$R,M$1,0)</f>
        <v>2650</v>
      </c>
      <c r="N54" s="33">
        <f>VLOOKUP($A54,'Выгр Кат'!$A:$R,N$1,0)</f>
        <v>3790</v>
      </c>
      <c r="O54" s="17">
        <f t="shared" si="14"/>
        <v>0</v>
      </c>
      <c r="P54" s="17">
        <f t="shared" si="15"/>
        <v>-100</v>
      </c>
      <c r="Q54" s="18">
        <f t="shared" si="16"/>
        <v>3617.7</v>
      </c>
      <c r="R54" s="42">
        <f>IFERROR((VLOOKUP($A54,'Из ГУГЛа'!$B:$G,6,0)+T54)*S54,VLOOKUP($A54,'Из ГУГЛа'!$B:$G,6,0))</f>
        <v>3990</v>
      </c>
      <c r="S54" s="7">
        <v>1</v>
      </c>
      <c r="T54" s="7">
        <v>0</v>
      </c>
      <c r="U54" s="37">
        <f t="shared" si="17"/>
        <v>0.36516981132075466</v>
      </c>
      <c r="V54" s="37">
        <f t="shared" si="18"/>
        <v>9.3308270676691771E-2</v>
      </c>
      <c r="W54" s="37">
        <f t="shared" si="19"/>
        <v>0.50566037735849068</v>
      </c>
      <c r="X54" s="38">
        <v>3990</v>
      </c>
      <c r="Y54" s="26" t="s">
        <v>507</v>
      </c>
    </row>
    <row r="55" spans="1:25" ht="30" x14ac:dyDescent="0.25">
      <c r="A55" s="33">
        <v>186974</v>
      </c>
      <c r="B55" s="33">
        <f>VLOOKUP($A55,'Выгр Кат'!$A:$R,B$1,0)</f>
        <v>1472</v>
      </c>
      <c r="C55" s="34" t="str">
        <f>VLOOKUP($A55,'Выгр Кат'!$A:$R,C$1,0)</f>
        <v>Паук 4-2-1 "STT" (Спорт, 16V, выход 63) для ВАЗ 2108-21099, 2113-2114</v>
      </c>
      <c r="D55" s="33" t="str">
        <f>VLOOKUP($A55,'Выгр Кат'!$A:$R,D$1,0)</f>
        <v>Y</v>
      </c>
      <c r="E55" s="33" t="str">
        <f>VLOOKUP($A55,'Выгр Кат'!$A:$R,E$1,0)</f>
        <v>1</v>
      </c>
      <c r="F55" s="33" t="str">
        <f>VLOOKUP($A55,'Выгр Кат'!$A:$R,F$1,0)</f>
        <v>TT-00030.</v>
      </c>
      <c r="G55" s="33"/>
      <c r="H55" s="23" t="s">
        <v>29</v>
      </c>
      <c r="I55" s="41">
        <v>2700</v>
      </c>
      <c r="J55" s="35">
        <f>VLOOKUP(I55,Наценка!$A$1:$B$8,2,1)</f>
        <v>1.4</v>
      </c>
      <c r="K55" s="39">
        <f t="shared" si="20"/>
        <v>3779.9999999999995</v>
      </c>
      <c r="L55" s="20">
        <f t="shared" si="13"/>
        <v>3790</v>
      </c>
      <c r="M55" s="33">
        <f>VLOOKUP($A55,'Выгр Кат'!$A:$R,M$1,0)</f>
        <v>2700</v>
      </c>
      <c r="N55" s="33">
        <f>VLOOKUP($A55,'Выгр Кат'!$A:$R,N$1,0)</f>
        <v>3790</v>
      </c>
      <c r="O55" s="17">
        <f t="shared" si="14"/>
        <v>0</v>
      </c>
      <c r="P55" s="17">
        <f t="shared" si="15"/>
        <v>0</v>
      </c>
      <c r="Q55" s="18">
        <f t="shared" si="16"/>
        <v>3524.7</v>
      </c>
      <c r="R55" s="42" t="str">
        <f>IFERROR((VLOOKUP($A55,'Из ГУГЛа'!$B:$G,6,0)+T55)*S55,VLOOKUP($A55,'Из ГУГЛа'!$B:$G,6,0))</f>
        <v/>
      </c>
      <c r="S55" s="7">
        <v>1</v>
      </c>
      <c r="T55" s="7">
        <v>0</v>
      </c>
      <c r="U55" s="37">
        <f t="shared" si="17"/>
        <v>0.30544444444444441</v>
      </c>
      <c r="V55" s="37" t="str">
        <f t="shared" si="18"/>
        <v/>
      </c>
      <c r="W55" s="37" t="str">
        <f t="shared" si="19"/>
        <v/>
      </c>
      <c r="X55" s="38" t="s">
        <v>521</v>
      </c>
    </row>
    <row r="56" spans="1:25" ht="30" x14ac:dyDescent="0.25">
      <c r="A56" s="33">
        <v>186975</v>
      </c>
      <c r="B56" s="33">
        <f>VLOOKUP($A56,'Выгр Кат'!$A:$R,B$1,0)</f>
        <v>1464</v>
      </c>
      <c r="C56" s="34" t="str">
        <f>VLOOKUP($A56,'Выгр Кат'!$A:$R,C$1,0)</f>
        <v>Паук 4-2-1 "STT" (Спорт, 16V, выход 63) для ВАЗ 2110-2112, Лада Приора</v>
      </c>
      <c r="D56" s="33" t="str">
        <f>VLOOKUP($A56,'Выгр Кат'!$A:$R,D$1,0)</f>
        <v>Y</v>
      </c>
      <c r="E56" s="33" t="str">
        <f>VLOOKUP($A56,'Выгр Кат'!$A:$R,E$1,0)</f>
        <v>1</v>
      </c>
      <c r="F56" s="33" t="str">
        <f>VLOOKUP($A56,'Выгр Кат'!$A:$R,F$1,0)</f>
        <v>TT-00047</v>
      </c>
      <c r="G56" s="33"/>
      <c r="H56" s="23" t="s">
        <v>29</v>
      </c>
      <c r="I56" s="41">
        <v>2700</v>
      </c>
      <c r="J56" s="35">
        <f>VLOOKUP(I56,Наценка!$A$1:$B$8,2,1)</f>
        <v>1.4</v>
      </c>
      <c r="K56" s="46">
        <f>X56-100</f>
        <v>3990</v>
      </c>
      <c r="L56" s="20">
        <f t="shared" si="13"/>
        <v>3990</v>
      </c>
      <c r="M56" s="33">
        <f>VLOOKUP($A56,'Выгр Кат'!$A:$R,M$1,0)</f>
        <v>2700</v>
      </c>
      <c r="N56" s="33">
        <f>VLOOKUP($A56,'Выгр Кат'!$A:$R,N$1,0)</f>
        <v>3790</v>
      </c>
      <c r="O56" s="17">
        <f t="shared" si="14"/>
        <v>0</v>
      </c>
      <c r="P56" s="17">
        <f t="shared" si="15"/>
        <v>-200</v>
      </c>
      <c r="Q56" s="18">
        <f t="shared" si="16"/>
        <v>3710.7</v>
      </c>
      <c r="R56" s="42">
        <f>IFERROR((VLOOKUP($A56,'Из ГУГЛа'!$B:$G,6,0)+T56)*S56,VLOOKUP($A56,'Из ГУГЛа'!$B:$G,6,0))</f>
        <v>4090</v>
      </c>
      <c r="S56" s="7">
        <v>1</v>
      </c>
      <c r="T56" s="7">
        <v>0</v>
      </c>
      <c r="U56" s="37">
        <f t="shared" si="17"/>
        <v>0.37433333333333318</v>
      </c>
      <c r="V56" s="37">
        <f t="shared" si="18"/>
        <v>9.2738386308068507E-2</v>
      </c>
      <c r="W56" s="37">
        <f t="shared" si="19"/>
        <v>0.51481481481481484</v>
      </c>
      <c r="X56" s="38">
        <v>4090</v>
      </c>
      <c r="Y56" s="26" t="s">
        <v>535</v>
      </c>
    </row>
    <row r="57" spans="1:25" ht="30" x14ac:dyDescent="0.25">
      <c r="A57" s="33">
        <v>186976</v>
      </c>
      <c r="B57" s="33">
        <f>VLOOKUP($A57,'Выгр Кат'!$A:$R,B$1,0)</f>
        <v>1475</v>
      </c>
      <c r="C57" s="34" t="str">
        <f>VLOOKUP($A57,'Выгр Кат'!$A:$R,C$1,0)</f>
        <v>Паук 4-2-1 "STT" (Спорт, 16V, выход 63) для Лада Гранта, Калина 2</v>
      </c>
      <c r="D57" s="33" t="str">
        <f>VLOOKUP($A57,'Выгр Кат'!$A:$R,D$1,0)</f>
        <v>Y</v>
      </c>
      <c r="E57" s="33" t="str">
        <f>VLOOKUP($A57,'Выгр Кат'!$A:$R,E$1,0)</f>
        <v>1</v>
      </c>
      <c r="F57" s="33" t="str">
        <f>VLOOKUP($A57,'Выгр Кат'!$A:$R,F$1,0)</f>
        <v>ТТ-00068</v>
      </c>
      <c r="G57" s="33"/>
      <c r="H57" s="23" t="s">
        <v>29</v>
      </c>
      <c r="I57" s="41">
        <v>2700</v>
      </c>
      <c r="J57" s="35">
        <f>VLOOKUP(I57,Наценка!$A$1:$B$8,2,1)</f>
        <v>1.4</v>
      </c>
      <c r="K57" s="39">
        <f t="shared" si="20"/>
        <v>3779.9999999999995</v>
      </c>
      <c r="L57" s="20">
        <f t="shared" si="13"/>
        <v>3790</v>
      </c>
      <c r="M57" s="33">
        <f>VLOOKUP($A57,'Выгр Кат'!$A:$R,M$1,0)</f>
        <v>2700</v>
      </c>
      <c r="N57" s="33">
        <f>VLOOKUP($A57,'Выгр Кат'!$A:$R,N$1,0)</f>
        <v>3790</v>
      </c>
      <c r="O57" s="17">
        <f t="shared" si="14"/>
        <v>0</v>
      </c>
      <c r="P57" s="17">
        <f t="shared" si="15"/>
        <v>0</v>
      </c>
      <c r="Q57" s="18">
        <f t="shared" si="16"/>
        <v>3524.7</v>
      </c>
      <c r="R57" s="42" t="str">
        <f>IFERROR((VLOOKUP($A57,'Из ГУГЛа'!$B:$G,6,0)+T57)*S57,VLOOKUP($A57,'Из ГУГЛа'!$B:$G,6,0))</f>
        <v/>
      </c>
      <c r="S57" s="7">
        <v>1</v>
      </c>
      <c r="T57" s="7">
        <v>0</v>
      </c>
      <c r="U57" s="37">
        <f t="shared" si="17"/>
        <v>0.30544444444444441</v>
      </c>
      <c r="V57" s="37" t="str">
        <f t="shared" si="18"/>
        <v/>
      </c>
      <c r="W57" s="37" t="str">
        <f t="shared" si="19"/>
        <v/>
      </c>
      <c r="X57" s="38" t="s">
        <v>521</v>
      </c>
    </row>
    <row r="58" spans="1:25" ht="30" x14ac:dyDescent="0.25">
      <c r="A58" s="33">
        <v>186982</v>
      </c>
      <c r="B58" s="33">
        <f>VLOOKUP($A58,'Выгр Кат'!$A:$R,B$1,0)</f>
        <v>1498</v>
      </c>
      <c r="C58" s="34" t="str">
        <f>VLOOKUP($A58,'Выгр Кат'!$A:$R,C$1,0)</f>
        <v>Паук 4-2-1 "STT" (Спорт, 8V) для Лада Гранта, Калина 2</v>
      </c>
      <c r="D58" s="33" t="str">
        <f>VLOOKUP($A58,'Выгр Кат'!$A:$R,D$1,0)</f>
        <v>Y</v>
      </c>
      <c r="E58" s="33" t="str">
        <f>VLOOKUP($A58,'Выгр Кат'!$A:$R,E$1,0)</f>
        <v>1</v>
      </c>
      <c r="F58" s="33" t="str">
        <f>VLOOKUP($A58,'Выгр Кат'!$A:$R,F$1,0)</f>
        <v>TT-00065.</v>
      </c>
      <c r="G58" s="33"/>
      <c r="H58" s="23" t="s">
        <v>29</v>
      </c>
      <c r="I58" s="41">
        <v>2700</v>
      </c>
      <c r="J58" s="35">
        <f>VLOOKUP(I58,Наценка!$A$1:$B$8,2,1)</f>
        <v>1.4</v>
      </c>
      <c r="K58" s="46">
        <f t="shared" ref="K58:K60" si="22">X58-100</f>
        <v>3890</v>
      </c>
      <c r="L58" s="20">
        <f t="shared" si="13"/>
        <v>3890</v>
      </c>
      <c r="M58" s="33">
        <f>VLOOKUP($A58,'Выгр Кат'!$A:$R,M$1,0)</f>
        <v>2700</v>
      </c>
      <c r="N58" s="33">
        <f>VLOOKUP($A58,'Выгр Кат'!$A:$R,N$1,0)</f>
        <v>3790</v>
      </c>
      <c r="O58" s="17">
        <f t="shared" si="14"/>
        <v>0</v>
      </c>
      <c r="P58" s="17">
        <f t="shared" si="15"/>
        <v>-100</v>
      </c>
      <c r="Q58" s="18">
        <f t="shared" si="16"/>
        <v>3617.7</v>
      </c>
      <c r="R58" s="42">
        <f>IFERROR((VLOOKUP($A58,'Из ГУГЛа'!$B:$G,6,0)+T58)*S58,VLOOKUP($A58,'Из ГУГЛа'!$B:$G,6,0))</f>
        <v>3990</v>
      </c>
      <c r="S58" s="7">
        <v>1</v>
      </c>
      <c r="T58" s="7">
        <v>0</v>
      </c>
      <c r="U58" s="37">
        <f t="shared" si="17"/>
        <v>0.33988888888888891</v>
      </c>
      <c r="V58" s="37">
        <f t="shared" si="18"/>
        <v>9.3308270676691771E-2</v>
      </c>
      <c r="W58" s="37">
        <f t="shared" si="19"/>
        <v>0.47777777777777786</v>
      </c>
      <c r="X58" s="38">
        <v>3990</v>
      </c>
      <c r="Y58" s="26" t="s">
        <v>585</v>
      </c>
    </row>
    <row r="59" spans="1:25" ht="60" x14ac:dyDescent="0.25">
      <c r="A59" s="33">
        <v>203709</v>
      </c>
      <c r="B59" s="33">
        <f>VLOOKUP($A59,'Выгр Кат'!$A:$R,B$1,0)</f>
        <v>23505</v>
      </c>
      <c r="C59" s="34" t="str">
        <f>VLOOKUP($A59,'Выгр Кат'!$A:$R,C$1,0)</f>
        <v>Резонатор-труба "STT" (d51, по выпускной коллектор "STT", нержавеющая сталь) для ВАЗ 2101, 2103, 2105, 2106, 2107</v>
      </c>
      <c r="D59" s="33" t="str">
        <f>VLOOKUP($A59,'Выгр Кат'!$A:$R,D$1,0)</f>
        <v>Y</v>
      </c>
      <c r="E59" s="33" t="str">
        <f>VLOOKUP($A59,'Выгр Кат'!$A:$R,E$1,0)</f>
        <v>1</v>
      </c>
      <c r="F59" s="33" t="str">
        <f>VLOOKUP($A59,'Выгр Кат'!$A:$R,F$1,0)</f>
        <v>TT-00099.</v>
      </c>
      <c r="G59" s="33"/>
      <c r="H59" s="23" t="s">
        <v>29</v>
      </c>
      <c r="I59" s="41">
        <v>2700</v>
      </c>
      <c r="J59" s="35">
        <f>VLOOKUP(I59,Наценка!$A$1:$B$8,2,1)</f>
        <v>1.4</v>
      </c>
      <c r="K59" s="46">
        <f t="shared" si="22"/>
        <v>4090</v>
      </c>
      <c r="L59" s="20">
        <f t="shared" si="13"/>
        <v>4090</v>
      </c>
      <c r="M59" s="33">
        <f>VLOOKUP($A59,'Выгр Кат'!$A:$R,M$1,0)</f>
        <v>2700</v>
      </c>
      <c r="N59" s="33">
        <f>VLOOKUP($A59,'Выгр Кат'!$A:$R,N$1,0)</f>
        <v>3790</v>
      </c>
      <c r="O59" s="17">
        <f t="shared" si="14"/>
        <v>0</v>
      </c>
      <c r="P59" s="17">
        <f t="shared" si="15"/>
        <v>-300</v>
      </c>
      <c r="Q59" s="18">
        <f t="shared" si="16"/>
        <v>3803.7</v>
      </c>
      <c r="R59" s="42">
        <f>IFERROR((VLOOKUP($A59,'Из ГУГЛа'!$B:$G,6,0)+T59)*S59,VLOOKUP($A59,'Из ГУГЛа'!$B:$G,6,0))</f>
        <v>4190</v>
      </c>
      <c r="S59" s="7">
        <v>1</v>
      </c>
      <c r="T59" s="7">
        <v>0</v>
      </c>
      <c r="U59" s="37">
        <f t="shared" si="17"/>
        <v>0.40877777777777768</v>
      </c>
      <c r="V59" s="37">
        <f t="shared" si="18"/>
        <v>9.2195704057279282E-2</v>
      </c>
      <c r="W59" s="37">
        <f t="shared" si="19"/>
        <v>0.55185185185185182</v>
      </c>
      <c r="X59" s="38">
        <v>4190</v>
      </c>
      <c r="Y59" s="26" t="s">
        <v>505</v>
      </c>
    </row>
    <row r="60" spans="1:25" ht="30" x14ac:dyDescent="0.25">
      <c r="A60" s="33">
        <v>186971</v>
      </c>
      <c r="B60" s="33">
        <f>VLOOKUP($A60,'Выгр Кат'!$A:$R,B$1,0)</f>
        <v>1492</v>
      </c>
      <c r="C60" s="34" t="str">
        <f>VLOOKUP($A60,'Выгр Кат'!$A:$R,C$1,0)</f>
        <v>Паук 4-2-1 "STT" (8V, под датчик кислорода, Спорт) для ВАЗ 2110-2112</v>
      </c>
      <c r="D60" s="33" t="str">
        <f>VLOOKUP($A60,'Выгр Кат'!$A:$R,D$1,0)</f>
        <v>Y</v>
      </c>
      <c r="E60" s="33" t="str">
        <f>VLOOKUP($A60,'Выгр Кат'!$A:$R,E$1,0)</f>
        <v>1</v>
      </c>
      <c r="F60" s="33" t="str">
        <f>VLOOKUP($A60,'Выгр Кат'!$A:$R,F$1,0)</f>
        <v>TT-00036.</v>
      </c>
      <c r="G60" s="33"/>
      <c r="H60" s="23" t="s">
        <v>29</v>
      </c>
      <c r="I60" s="41">
        <v>2750</v>
      </c>
      <c r="J60" s="35">
        <f>VLOOKUP(I60,Наценка!$A$1:$B$8,2,1)</f>
        <v>1.4</v>
      </c>
      <c r="K60" s="46">
        <f t="shared" si="22"/>
        <v>3990</v>
      </c>
      <c r="L60" s="20">
        <f t="shared" si="13"/>
        <v>3990</v>
      </c>
      <c r="M60" s="33">
        <f>VLOOKUP($A60,'Выгр Кат'!$A:$R,M$1,0)</f>
        <v>2750</v>
      </c>
      <c r="N60" s="33">
        <f>VLOOKUP($A60,'Выгр Кат'!$A:$R,N$1,0)</f>
        <v>3890</v>
      </c>
      <c r="O60" s="17">
        <f t="shared" si="14"/>
        <v>0</v>
      </c>
      <c r="P60" s="17">
        <f t="shared" si="15"/>
        <v>-100</v>
      </c>
      <c r="Q60" s="18">
        <f t="shared" si="16"/>
        <v>3710.7</v>
      </c>
      <c r="R60" s="42">
        <f>IFERROR((VLOOKUP($A60,'Из ГУГЛа'!$B:$G,6,0)+T60)*S60,VLOOKUP($A60,'Из ГУГЛа'!$B:$G,6,0))</f>
        <v>4090</v>
      </c>
      <c r="S60" s="7">
        <v>1</v>
      </c>
      <c r="T60" s="7">
        <v>0</v>
      </c>
      <c r="U60" s="37">
        <f t="shared" si="17"/>
        <v>0.3493454545454544</v>
      </c>
      <c r="V60" s="37">
        <f t="shared" si="18"/>
        <v>9.2738386308068507E-2</v>
      </c>
      <c r="W60" s="37">
        <f t="shared" si="19"/>
        <v>0.4872727272727273</v>
      </c>
      <c r="X60" s="38">
        <v>4090</v>
      </c>
      <c r="Y60" s="26" t="s">
        <v>536</v>
      </c>
    </row>
    <row r="61" spans="1:25" ht="30" x14ac:dyDescent="0.25">
      <c r="A61" s="33">
        <v>203646</v>
      </c>
      <c r="B61" s="33">
        <f>VLOOKUP($A61,'Выгр Кат'!$A:$R,B$1,0)</f>
        <v>23274</v>
      </c>
      <c r="C61" s="34" t="str">
        <f>VLOOKUP($A61,'Выгр Кат'!$A:$R,C$1,0)</f>
        <v>Резонатор "STT" (под выпускной коллектор "STT") для Шевроле Нива</v>
      </c>
      <c r="D61" s="33" t="str">
        <f>VLOOKUP($A61,'Выгр Кат'!$A:$R,D$1,0)</f>
        <v>Y</v>
      </c>
      <c r="E61" s="33" t="str">
        <f>VLOOKUP($A61,'Выгр Кат'!$A:$R,E$1,0)</f>
        <v>1</v>
      </c>
      <c r="F61" s="33" t="str">
        <f>VLOOKUP($A61,'Выгр Кат'!$A:$R,F$1,0)</f>
        <v>ТТ-00319</v>
      </c>
      <c r="G61" s="33"/>
      <c r="H61" s="23" t="s">
        <v>29</v>
      </c>
      <c r="I61" s="41">
        <v>2750</v>
      </c>
      <c r="J61" s="35">
        <f>VLOOKUP(I61,Наценка!$A$1:$B$8,2,1)</f>
        <v>1.4</v>
      </c>
      <c r="K61" s="39">
        <f t="shared" si="20"/>
        <v>3849.9999999999995</v>
      </c>
      <c r="L61" s="20">
        <f t="shared" si="13"/>
        <v>3890</v>
      </c>
      <c r="M61" s="33">
        <f>VLOOKUP($A61,'Выгр Кат'!$A:$R,M$1,0)</f>
        <v>2750</v>
      </c>
      <c r="N61" s="33">
        <f>VLOOKUP($A61,'Выгр Кат'!$A:$R,N$1,0)</f>
        <v>3890</v>
      </c>
      <c r="O61" s="17">
        <f t="shared" si="14"/>
        <v>0</v>
      </c>
      <c r="P61" s="17">
        <f t="shared" si="15"/>
        <v>0</v>
      </c>
      <c r="Q61" s="18">
        <f t="shared" si="16"/>
        <v>3617.7</v>
      </c>
      <c r="R61" s="42" t="str">
        <f>IFERROR((VLOOKUP($A61,'Из ГУГЛа'!$B:$G,6,0)+T61)*S61,VLOOKUP($A61,'Из ГУГЛа'!$B:$G,6,0))</f>
        <v/>
      </c>
      <c r="S61" s="7">
        <v>1</v>
      </c>
      <c r="T61" s="7">
        <v>0</v>
      </c>
      <c r="U61" s="37">
        <f t="shared" si="17"/>
        <v>0.31552727272727266</v>
      </c>
      <c r="V61" s="37" t="str">
        <f t="shared" si="18"/>
        <v/>
      </c>
      <c r="W61" s="37" t="str">
        <f t="shared" si="19"/>
        <v/>
      </c>
      <c r="X61" s="38" t="s">
        <v>521</v>
      </c>
    </row>
    <row r="62" spans="1:25" ht="45" x14ac:dyDescent="0.25">
      <c r="A62" s="33">
        <v>203718</v>
      </c>
      <c r="B62" s="33">
        <f>VLOOKUP($A62,'Выгр Кат'!$A:$R,B$1,0)</f>
        <v>23500</v>
      </c>
      <c r="C62" s="34" t="str">
        <f>VLOOKUP($A62,'Выгр Кат'!$A:$R,C$1,0)</f>
        <v>Резонатор-труба "STT" (d51, под выпускной коллектор "STT") для Шевроле Нива</v>
      </c>
      <c r="D62" s="33" t="str">
        <f>VLOOKUP($A62,'Выгр Кат'!$A:$R,D$1,0)</f>
        <v>Y</v>
      </c>
      <c r="E62" s="33" t="str">
        <f>VLOOKUP($A62,'Выгр Кат'!$A:$R,E$1,0)</f>
        <v>0</v>
      </c>
      <c r="F62" s="33" t="str">
        <f>VLOOKUP($A62,'Выгр Кат'!$A:$R,F$1,0)</f>
        <v>ТТ-00319</v>
      </c>
      <c r="G62" s="33"/>
      <c r="H62" s="23" t="s">
        <v>29</v>
      </c>
      <c r="I62" s="41">
        <v>2750</v>
      </c>
      <c r="J62" s="35">
        <f>VLOOKUP(I62,Наценка!$A$1:$B$8,2,1)</f>
        <v>1.4</v>
      </c>
      <c r="K62" s="39">
        <f t="shared" si="20"/>
        <v>3849.9999999999995</v>
      </c>
      <c r="L62" s="20">
        <f t="shared" si="13"/>
        <v>3890</v>
      </c>
      <c r="M62" s="33">
        <f>VLOOKUP($A62,'Выгр Кат'!$A:$R,M$1,0)</f>
        <v>2750</v>
      </c>
      <c r="N62" s="33">
        <f>VLOOKUP($A62,'Выгр Кат'!$A:$R,N$1,0)</f>
        <v>3890</v>
      </c>
      <c r="O62" s="17">
        <f t="shared" si="14"/>
        <v>0</v>
      </c>
      <c r="P62" s="17">
        <f t="shared" si="15"/>
        <v>0</v>
      </c>
      <c r="Q62" s="18">
        <f t="shared" si="16"/>
        <v>3617.7</v>
      </c>
      <c r="R62" s="42" t="str">
        <f>IFERROR((VLOOKUP($A62,'Из ГУГЛа'!$B:$G,6,0)+T62)*S62,VLOOKUP($A62,'Из ГУГЛа'!$B:$G,6,0))</f>
        <v/>
      </c>
      <c r="S62" s="7">
        <v>1</v>
      </c>
      <c r="T62" s="7">
        <v>0</v>
      </c>
      <c r="U62" s="37">
        <f t="shared" si="17"/>
        <v>0.31552727272727266</v>
      </c>
      <c r="V62" s="37" t="str">
        <f t="shared" si="18"/>
        <v/>
      </c>
      <c r="W62" s="37" t="str">
        <f t="shared" si="19"/>
        <v/>
      </c>
      <c r="X62" s="38" t="s">
        <v>521</v>
      </c>
    </row>
    <row r="63" spans="1:25" ht="30" x14ac:dyDescent="0.25">
      <c r="A63" s="33">
        <v>186981</v>
      </c>
      <c r="B63" s="33">
        <f>VLOOKUP($A63,'Выгр Кат'!$A:$R,B$1,0)</f>
        <v>1496</v>
      </c>
      <c r="C63" s="34" t="str">
        <f>VLOOKUP($A63,'Выгр Кат'!$A:$R,C$1,0)</f>
        <v>Паук 4-2-1 "STT" (Спорт, 8V) для ВАЗ 2108-21099, 2113-2115</v>
      </c>
      <c r="D63" s="33" t="str">
        <f>VLOOKUP($A63,'Выгр Кат'!$A:$R,D$1,0)</f>
        <v>Y</v>
      </c>
      <c r="E63" s="33" t="str">
        <f>VLOOKUP($A63,'Выгр Кат'!$A:$R,E$1,0)</f>
        <v>1</v>
      </c>
      <c r="F63" s="33" t="str">
        <f>VLOOKUP($A63,'Выгр Кат'!$A:$R,F$1,0)</f>
        <v>TT-00026.</v>
      </c>
      <c r="G63" s="33"/>
      <c r="H63" s="23" t="s">
        <v>29</v>
      </c>
      <c r="I63" s="41">
        <v>2800</v>
      </c>
      <c r="J63" s="35">
        <f>VLOOKUP(I63,Наценка!$A$1:$B$8,2,1)</f>
        <v>1.4</v>
      </c>
      <c r="K63" s="46">
        <f>X63-100</f>
        <v>4390</v>
      </c>
      <c r="L63" s="20">
        <f t="shared" si="13"/>
        <v>4390</v>
      </c>
      <c r="M63" s="33">
        <f>VLOOKUP($A63,'Выгр Кат'!$A:$R,M$1,0)</f>
        <v>2800</v>
      </c>
      <c r="N63" s="33">
        <f>VLOOKUP($A63,'Выгр Кат'!$A:$R,N$1,0)</f>
        <v>3990</v>
      </c>
      <c r="O63" s="17">
        <f t="shared" si="14"/>
        <v>0</v>
      </c>
      <c r="P63" s="17">
        <f t="shared" si="15"/>
        <v>-400</v>
      </c>
      <c r="Q63" s="18">
        <f t="shared" si="16"/>
        <v>4082.7</v>
      </c>
      <c r="R63" s="42">
        <f>IFERROR((VLOOKUP($A63,'Из ГУГЛа'!$B:$G,6,0)+T63)*S63,VLOOKUP($A63,'Из ГУГЛа'!$B:$G,6,0))</f>
        <v>4490</v>
      </c>
      <c r="S63" s="7">
        <v>1</v>
      </c>
      <c r="T63" s="7">
        <v>0</v>
      </c>
      <c r="U63" s="37">
        <f t="shared" si="17"/>
        <v>0.45810714285714282</v>
      </c>
      <c r="V63" s="37">
        <f t="shared" si="18"/>
        <v>9.0712694877505606E-2</v>
      </c>
      <c r="W63" s="37">
        <f t="shared" si="19"/>
        <v>0.60357142857142865</v>
      </c>
      <c r="X63" s="38">
        <v>4490</v>
      </c>
      <c r="Y63" s="26" t="s">
        <v>520</v>
      </c>
    </row>
    <row r="64" spans="1:25" x14ac:dyDescent="0.25">
      <c r="A64" s="33">
        <v>203649</v>
      </c>
      <c r="B64" s="33">
        <f>VLOOKUP($A64,'Выгр Кат'!$A:$R,B$1,0)</f>
        <v>13843</v>
      </c>
      <c r="C64" s="34" t="str">
        <f>VLOOKUP($A64,'Выгр Кат'!$A:$R,C$1,0)</f>
        <v>Резонатор "STT" для Лада Веста</v>
      </c>
      <c r="D64" s="33" t="str">
        <f>VLOOKUP($A64,'Выгр Кат'!$A:$R,D$1,0)</f>
        <v>Y</v>
      </c>
      <c r="E64" s="33" t="str">
        <f>VLOOKUP($A64,'Выгр Кат'!$A:$R,E$1,0)</f>
        <v>1</v>
      </c>
      <c r="F64" s="33" t="str">
        <f>VLOOKUP($A64,'Выгр Кат'!$A:$R,F$1,0)</f>
        <v>TT-00138.</v>
      </c>
      <c r="G64" s="33"/>
      <c r="H64" s="23" t="s">
        <v>29</v>
      </c>
      <c r="I64" s="41">
        <v>2800</v>
      </c>
      <c r="J64" s="35">
        <f>VLOOKUP(I64,Наценка!$A$1:$B$8,2,1)</f>
        <v>1.4</v>
      </c>
      <c r="K64" s="39">
        <f t="shared" si="20"/>
        <v>3919.9999999999995</v>
      </c>
      <c r="L64" s="20">
        <f t="shared" si="13"/>
        <v>3990</v>
      </c>
      <c r="M64" s="33">
        <f>VLOOKUP($A64,'Выгр Кат'!$A:$R,M$1,0)</f>
        <v>2800</v>
      </c>
      <c r="N64" s="33">
        <f>VLOOKUP($A64,'Выгр Кат'!$A:$R,N$1,0)</f>
        <v>3990</v>
      </c>
      <c r="O64" s="17">
        <f t="shared" si="14"/>
        <v>0</v>
      </c>
      <c r="P64" s="17">
        <f t="shared" si="15"/>
        <v>0</v>
      </c>
      <c r="Q64" s="18">
        <f t="shared" si="16"/>
        <v>3710.7</v>
      </c>
      <c r="R64" s="42">
        <f>IFERROR((VLOOKUP($A64,'Из ГУГЛа'!$B:$G,6,0)+T64)*S64,VLOOKUP($A64,'Из ГУГЛа'!$B:$G,6,0))</f>
        <v>2990</v>
      </c>
      <c r="S64" s="7">
        <v>1</v>
      </c>
      <c r="T64" s="7">
        <v>0</v>
      </c>
      <c r="U64" s="37">
        <f t="shared" si="17"/>
        <v>0.32525000000000004</v>
      </c>
      <c r="V64" s="37">
        <f t="shared" si="18"/>
        <v>-0.24103678929765882</v>
      </c>
      <c r="W64" s="37">
        <f t="shared" si="19"/>
        <v>6.7857142857142838E-2</v>
      </c>
      <c r="X64" s="38">
        <v>2990</v>
      </c>
      <c r="Y64" s="26" t="s">
        <v>529</v>
      </c>
    </row>
    <row r="65" spans="1:25" ht="45" x14ac:dyDescent="0.25">
      <c r="A65" s="33">
        <v>203636</v>
      </c>
      <c r="B65" s="33">
        <f>VLOOKUP($A65,'Выгр Кат'!$A:$R,B$1,0)</f>
        <v>23487</v>
      </c>
      <c r="C65" s="34" t="str">
        <f>VLOOKUP($A65,'Выгр Кат'!$A:$R,C$1,0)</f>
        <v>Резонатор "STT" (1,6 л, под выпускной коллектор "STT", с гофрой) для ВАЗ 2110-2112</v>
      </c>
      <c r="D65" s="33" t="str">
        <f>VLOOKUP($A65,'Выгр Кат'!$A:$R,D$1,0)</f>
        <v>Y</v>
      </c>
      <c r="E65" s="33" t="str">
        <f>VLOOKUP($A65,'Выгр Кат'!$A:$R,E$1,0)</f>
        <v>1</v>
      </c>
      <c r="F65" s="33" t="str">
        <f>VLOOKUP($A65,'Выгр Кат'!$A:$R,F$1,0)</f>
        <v>TT-00121.</v>
      </c>
      <c r="G65" s="33"/>
      <c r="H65" s="23" t="s">
        <v>29</v>
      </c>
      <c r="I65" s="41">
        <v>2900</v>
      </c>
      <c r="J65" s="35">
        <f>VLOOKUP(I65,Наценка!$A$1:$B$8,2,1)</f>
        <v>1.4</v>
      </c>
      <c r="K65" s="39">
        <f t="shared" si="20"/>
        <v>4059.9999999999995</v>
      </c>
      <c r="L65" s="20">
        <f t="shared" si="13"/>
        <v>4090</v>
      </c>
      <c r="M65" s="33">
        <f>VLOOKUP($A65,'Выгр Кат'!$A:$R,M$1,0)</f>
        <v>2900</v>
      </c>
      <c r="N65" s="33">
        <f>VLOOKUP($A65,'Выгр Кат'!$A:$R,N$1,0)</f>
        <v>4090</v>
      </c>
      <c r="O65" s="17">
        <f t="shared" si="14"/>
        <v>0</v>
      </c>
      <c r="P65" s="17">
        <f t="shared" si="15"/>
        <v>0</v>
      </c>
      <c r="Q65" s="18">
        <f t="shared" si="16"/>
        <v>3803.7</v>
      </c>
      <c r="R65" s="42" t="str">
        <f>IFERROR((VLOOKUP($A65,'Из ГУГЛа'!$B:$G,6,0)+T65)*S65,VLOOKUP($A65,'Из ГУГЛа'!$B:$G,6,0))</f>
        <v/>
      </c>
      <c r="S65" s="7">
        <v>1</v>
      </c>
      <c r="T65" s="7">
        <v>0</v>
      </c>
      <c r="U65" s="37">
        <f t="shared" si="17"/>
        <v>0.31162068965517231</v>
      </c>
      <c r="V65" s="37" t="str">
        <f t="shared" si="18"/>
        <v/>
      </c>
      <c r="W65" s="37" t="str">
        <f t="shared" si="19"/>
        <v/>
      </c>
      <c r="X65" s="38" t="s">
        <v>521</v>
      </c>
    </row>
    <row r="66" spans="1:25" ht="30" x14ac:dyDescent="0.25">
      <c r="A66" s="33">
        <v>203659</v>
      </c>
      <c r="B66" s="33">
        <f>VLOOKUP($A66,'Выгр Кат'!$A:$R,B$1,0)</f>
        <v>1772</v>
      </c>
      <c r="C66" s="34" t="str">
        <f>VLOOKUP($A66,'Выгр Кат'!$A:$R,C$1,0)</f>
        <v>Резонатор "STT" (d51, 1.5л, под выпуск, с сильфоном) для ВАЗ 2110-2112</v>
      </c>
      <c r="D66" s="33" t="str">
        <f>VLOOKUP($A66,'Выгр Кат'!$A:$R,D$1,0)</f>
        <v>Y</v>
      </c>
      <c r="E66" s="33" t="str">
        <f>VLOOKUP($A66,'Выгр Кат'!$A:$R,E$1,0)</f>
        <v>1</v>
      </c>
      <c r="F66" s="33" t="str">
        <f>VLOOKUP($A66,'Выгр Кат'!$A:$R,F$1,0)</f>
        <v>TT-00115.</v>
      </c>
      <c r="G66" s="33"/>
      <c r="H66" s="23" t="s">
        <v>29</v>
      </c>
      <c r="I66" s="41">
        <v>2900</v>
      </c>
      <c r="J66" s="35">
        <f>VLOOKUP(I66,Наценка!$A$1:$B$8,2,1)</f>
        <v>1.4</v>
      </c>
      <c r="K66" s="39">
        <f t="shared" si="20"/>
        <v>4059.9999999999995</v>
      </c>
      <c r="L66" s="20">
        <f t="shared" si="13"/>
        <v>4090</v>
      </c>
      <c r="M66" s="33">
        <f>VLOOKUP($A66,'Выгр Кат'!$A:$R,M$1,0)</f>
        <v>2900</v>
      </c>
      <c r="N66" s="33">
        <f>VLOOKUP($A66,'Выгр Кат'!$A:$R,N$1,0)</f>
        <v>4090</v>
      </c>
      <c r="O66" s="17">
        <f t="shared" si="14"/>
        <v>0</v>
      </c>
      <c r="P66" s="17">
        <f t="shared" si="15"/>
        <v>0</v>
      </c>
      <c r="Q66" s="18">
        <f t="shared" si="16"/>
        <v>3803.7</v>
      </c>
      <c r="R66" s="42" t="str">
        <f>IFERROR((VLOOKUP($A66,'Из ГУГЛа'!$B:$G,6,0)+T66)*S66,VLOOKUP($A66,'Из ГУГЛа'!$B:$G,6,0))</f>
        <v/>
      </c>
      <c r="S66" s="7">
        <v>1</v>
      </c>
      <c r="T66" s="7">
        <v>0</v>
      </c>
      <c r="U66" s="37">
        <f t="shared" si="17"/>
        <v>0.31162068965517231</v>
      </c>
      <c r="V66" s="37" t="str">
        <f t="shared" si="18"/>
        <v/>
      </c>
      <c r="W66" s="37" t="str">
        <f t="shared" si="19"/>
        <v/>
      </c>
      <c r="X66" s="38" t="s">
        <v>521</v>
      </c>
    </row>
    <row r="67" spans="1:25" ht="30" x14ac:dyDescent="0.25">
      <c r="A67" s="33">
        <v>203630</v>
      </c>
      <c r="B67" s="33">
        <f>VLOOKUP($A67,'Выгр Кат'!$A:$R,B$1,0)</f>
        <v>1756</v>
      </c>
      <c r="C67" s="34" t="str">
        <f>VLOOKUP($A67,'Выгр Кат'!$A:$R,C$1,0)</f>
        <v>Резонатор "STT" (d51, под выпуск "STT", с гофрой) для Лада Приора</v>
      </c>
      <c r="D67" s="33" t="str">
        <f>VLOOKUP($A67,'Выгр Кат'!$A:$R,D$1,0)</f>
        <v>Y</v>
      </c>
      <c r="E67" s="33" t="str">
        <f>VLOOKUP($A67,'Выгр Кат'!$A:$R,E$1,0)</f>
        <v>1</v>
      </c>
      <c r="F67" s="33" t="str">
        <f>VLOOKUP($A67,'Выгр Кат'!$A:$R,F$1,0)</f>
        <v>TT-00130.</v>
      </c>
      <c r="G67" s="33"/>
      <c r="H67" s="23" t="s">
        <v>29</v>
      </c>
      <c r="I67" s="41">
        <v>2900</v>
      </c>
      <c r="J67" s="35">
        <f>VLOOKUP(I67,Наценка!$A$1:$B$8,2,1)</f>
        <v>1.4</v>
      </c>
      <c r="K67" s="46">
        <f t="shared" ref="K67:K70" si="23">X67-100</f>
        <v>4290</v>
      </c>
      <c r="L67" s="20">
        <f t="shared" ref="L67:L98" si="24">IF(K67&lt;=1000,(ROUNDUP(K67,-1)-1),(ROUNDUP(K67,-2)-10))</f>
        <v>4290</v>
      </c>
      <c r="M67" s="33">
        <f>VLOOKUP($A67,'Выгр Кат'!$A:$R,M$1,0)</f>
        <v>2900</v>
      </c>
      <c r="N67" s="33">
        <f>VLOOKUP($A67,'Выгр Кат'!$A:$R,N$1,0)</f>
        <v>4090</v>
      </c>
      <c r="O67" s="17">
        <f t="shared" ref="O67:O98" si="25">M67-I67</f>
        <v>0</v>
      </c>
      <c r="P67" s="17">
        <f t="shared" ref="P67:P98" si="26">N67-L67</f>
        <v>-200</v>
      </c>
      <c r="Q67" s="18">
        <f t="shared" ref="Q67:Q98" si="27">IFERROR(L67*(1-$Q$2),"")</f>
        <v>3989.7</v>
      </c>
      <c r="R67" s="42">
        <f>IFERROR((VLOOKUP($A67,'Из ГУГЛа'!$B:$G,6,0)+T67)*S67,VLOOKUP($A67,'Из ГУГЛа'!$B:$G,6,0))</f>
        <v>4390</v>
      </c>
      <c r="S67" s="7">
        <v>1</v>
      </c>
      <c r="T67" s="7">
        <v>0</v>
      </c>
      <c r="U67" s="37">
        <f t="shared" ref="U67:U98" si="28">IFERROR(Q67/I67-1,"")</f>
        <v>0.37575862068965504</v>
      </c>
      <c r="V67" s="37">
        <f t="shared" ref="V67:V98" si="29">IFERROR((X67-Q67)/X67,"")</f>
        <v>9.118451025056952E-2</v>
      </c>
      <c r="W67" s="37">
        <f t="shared" ref="W67:W98" si="30">IFERROR(IF(X67="","",X67/I67-1),"")</f>
        <v>0.51379310344827589</v>
      </c>
      <c r="X67" s="38">
        <v>4390</v>
      </c>
      <c r="Y67" s="26" t="s">
        <v>508</v>
      </c>
    </row>
    <row r="68" spans="1:25" ht="30" x14ac:dyDescent="0.25">
      <c r="A68" s="33">
        <v>203639</v>
      </c>
      <c r="B68" s="33">
        <f>VLOOKUP($A68,'Выгр Кат'!$A:$R,B$1,0)</f>
        <v>1791</v>
      </c>
      <c r="C68" s="34" t="str">
        <f>VLOOKUP($A68,'Выгр Кат'!$A:$R,C$1,0)</f>
        <v>Резонатор "STT" (под выпуск "STT", с гофрой) для Лада Гранта, Калина 2</v>
      </c>
      <c r="D68" s="33" t="str">
        <f>VLOOKUP($A68,'Выгр Кат'!$A:$R,D$1,0)</f>
        <v>Y</v>
      </c>
      <c r="E68" s="33" t="str">
        <f>VLOOKUP($A68,'Выгр Кат'!$A:$R,E$1,0)</f>
        <v>1</v>
      </c>
      <c r="F68" s="33" t="str">
        <f>VLOOKUP($A68,'Выгр Кат'!$A:$R,F$1,0)</f>
        <v>TT-00135.</v>
      </c>
      <c r="G68" s="33"/>
      <c r="H68" s="23" t="s">
        <v>29</v>
      </c>
      <c r="I68" s="41">
        <v>2900</v>
      </c>
      <c r="J68" s="35">
        <f>VLOOKUP(I68,Наценка!$A$1:$B$8,2,1)</f>
        <v>1.4</v>
      </c>
      <c r="K68" s="46">
        <f t="shared" si="23"/>
        <v>4290</v>
      </c>
      <c r="L68" s="20">
        <f t="shared" si="24"/>
        <v>4290</v>
      </c>
      <c r="M68" s="33">
        <f>VLOOKUP($A68,'Выгр Кат'!$A:$R,M$1,0)</f>
        <v>2900</v>
      </c>
      <c r="N68" s="33">
        <f>VLOOKUP($A68,'Выгр Кат'!$A:$R,N$1,0)</f>
        <v>4090</v>
      </c>
      <c r="O68" s="17">
        <f t="shared" si="25"/>
        <v>0</v>
      </c>
      <c r="P68" s="17">
        <f t="shared" si="26"/>
        <v>-200</v>
      </c>
      <c r="Q68" s="18">
        <f t="shared" si="27"/>
        <v>3989.7</v>
      </c>
      <c r="R68" s="42">
        <f>IFERROR((VLOOKUP($A68,'Из ГУГЛа'!$B:$G,6,0)+T68)*S68,VLOOKUP($A68,'Из ГУГЛа'!$B:$G,6,0))</f>
        <v>4390</v>
      </c>
      <c r="S68" s="7">
        <v>1</v>
      </c>
      <c r="T68" s="7">
        <v>0</v>
      </c>
      <c r="U68" s="37">
        <f t="shared" si="28"/>
        <v>0.37575862068965504</v>
      </c>
      <c r="V68" s="37">
        <f t="shared" si="29"/>
        <v>9.118451025056952E-2</v>
      </c>
      <c r="W68" s="37">
        <f t="shared" si="30"/>
        <v>0.51379310344827589</v>
      </c>
      <c r="X68" s="38">
        <v>4390</v>
      </c>
      <c r="Y68" s="26" t="s">
        <v>587</v>
      </c>
    </row>
    <row r="69" spans="1:25" ht="45" x14ac:dyDescent="0.25">
      <c r="A69" s="33">
        <v>203645</v>
      </c>
      <c r="B69" s="33">
        <f>VLOOKUP($A69,'Выгр Кат'!$A:$R,B$1,0)</f>
        <v>23493</v>
      </c>
      <c r="C69" s="34" t="str">
        <f>VLOOKUP($A69,'Выгр Кат'!$A:$R,C$1,0)</f>
        <v>Резонатор "STT" (под выпускной коллектор "STT", с гофрой) для ВАЗ 2108-21099, 2113-2115</v>
      </c>
      <c r="D69" s="33" t="str">
        <f>VLOOKUP($A69,'Выгр Кат'!$A:$R,D$1,0)</f>
        <v>Y</v>
      </c>
      <c r="E69" s="33" t="str">
        <f>VLOOKUP($A69,'Выгр Кат'!$A:$R,E$1,0)</f>
        <v>1</v>
      </c>
      <c r="F69" s="33" t="str">
        <f>VLOOKUP($A69,'Выгр Кат'!$A:$R,F$1,0)</f>
        <v>TT-00104</v>
      </c>
      <c r="G69" s="33"/>
      <c r="H69" s="23" t="s">
        <v>29</v>
      </c>
      <c r="I69" s="41">
        <v>2900</v>
      </c>
      <c r="J69" s="35">
        <f>VLOOKUP(I69,Наценка!$A$1:$B$8,2,1)</f>
        <v>1.4</v>
      </c>
      <c r="K69" s="46">
        <f t="shared" si="23"/>
        <v>4290</v>
      </c>
      <c r="L69" s="20">
        <f t="shared" si="24"/>
        <v>4290</v>
      </c>
      <c r="M69" s="33">
        <f>VLOOKUP($A69,'Выгр Кат'!$A:$R,M$1,0)</f>
        <v>2900</v>
      </c>
      <c r="N69" s="33">
        <f>VLOOKUP($A69,'Выгр Кат'!$A:$R,N$1,0)</f>
        <v>4090</v>
      </c>
      <c r="O69" s="17">
        <f t="shared" si="25"/>
        <v>0</v>
      </c>
      <c r="P69" s="17">
        <f t="shared" si="26"/>
        <v>-200</v>
      </c>
      <c r="Q69" s="18">
        <f t="shared" si="27"/>
        <v>3989.7</v>
      </c>
      <c r="R69" s="42">
        <f>IFERROR((VLOOKUP($A69,'Из ГУГЛа'!$B:$G,6,0)+T69)*S69,VLOOKUP($A69,'Из ГУГЛа'!$B:$G,6,0))</f>
        <v>4390</v>
      </c>
      <c r="S69" s="7">
        <v>1</v>
      </c>
      <c r="T69" s="7">
        <v>0</v>
      </c>
      <c r="U69" s="37">
        <f t="shared" si="28"/>
        <v>0.37575862068965504</v>
      </c>
      <c r="V69" s="37">
        <f t="shared" si="29"/>
        <v>9.118451025056952E-2</v>
      </c>
      <c r="W69" s="37">
        <f t="shared" si="30"/>
        <v>0.51379310344827589</v>
      </c>
      <c r="X69" s="38">
        <v>4390</v>
      </c>
      <c r="Y69" s="26" t="s">
        <v>611</v>
      </c>
    </row>
    <row r="70" spans="1:25" ht="30" x14ac:dyDescent="0.25">
      <c r="A70" s="33">
        <v>203647</v>
      </c>
      <c r="B70" s="33">
        <f>VLOOKUP($A70,'Выгр Кат'!$A:$R,B$1,0)</f>
        <v>1787</v>
      </c>
      <c r="C70" s="34" t="str">
        <f>VLOOKUP($A70,'Выгр Кат'!$A:$R,C$1,0)</f>
        <v>Резонатор "STT" (с гофрой, под выпуск "STT") для Лада Калина</v>
      </c>
      <c r="D70" s="33" t="str">
        <f>VLOOKUP($A70,'Выгр Кат'!$A:$R,D$1,0)</f>
        <v>Y</v>
      </c>
      <c r="E70" s="33" t="str">
        <f>VLOOKUP($A70,'Выгр Кат'!$A:$R,E$1,0)</f>
        <v>1</v>
      </c>
      <c r="F70" s="33" t="str">
        <f>VLOOKUP($A70,'Выгр Кат'!$A:$R,F$1,0)</f>
        <v>TT-00126.</v>
      </c>
      <c r="G70" s="33"/>
      <c r="H70" s="23" t="s">
        <v>29</v>
      </c>
      <c r="I70" s="41">
        <v>2900</v>
      </c>
      <c r="J70" s="35">
        <f>VLOOKUP(I70,Наценка!$A$1:$B$8,2,1)</f>
        <v>1.4</v>
      </c>
      <c r="K70" s="46">
        <f t="shared" si="23"/>
        <v>4290</v>
      </c>
      <c r="L70" s="20">
        <f t="shared" si="24"/>
        <v>4290</v>
      </c>
      <c r="M70" s="33">
        <f>VLOOKUP($A70,'Выгр Кат'!$A:$R,M$1,0)</f>
        <v>2900</v>
      </c>
      <c r="N70" s="33">
        <f>VLOOKUP($A70,'Выгр Кат'!$A:$R,N$1,0)</f>
        <v>4090</v>
      </c>
      <c r="O70" s="17">
        <f t="shared" si="25"/>
        <v>0</v>
      </c>
      <c r="P70" s="17">
        <f t="shared" si="26"/>
        <v>-200</v>
      </c>
      <c r="Q70" s="18">
        <f t="shared" si="27"/>
        <v>3989.7</v>
      </c>
      <c r="R70" s="42">
        <f>IFERROR((VLOOKUP($A70,'Из ГУГЛа'!$B:$G,6,0)+T70)*S70,VLOOKUP($A70,'Из ГУГЛа'!$B:$G,6,0))</f>
        <v>4390</v>
      </c>
      <c r="S70" s="7">
        <v>1</v>
      </c>
      <c r="T70" s="7">
        <v>0</v>
      </c>
      <c r="U70" s="37">
        <f t="shared" si="28"/>
        <v>0.37575862068965504</v>
      </c>
      <c r="V70" s="37">
        <f t="shared" si="29"/>
        <v>9.118451025056952E-2</v>
      </c>
      <c r="W70" s="37">
        <f t="shared" si="30"/>
        <v>0.51379310344827589</v>
      </c>
      <c r="X70" s="38">
        <v>4390</v>
      </c>
      <c r="Y70" s="26" t="s">
        <v>594</v>
      </c>
    </row>
    <row r="71" spans="1:25" ht="45" x14ac:dyDescent="0.25">
      <c r="A71" s="33">
        <v>140114</v>
      </c>
      <c r="B71" s="33">
        <f>VLOOKUP($A71,'Выгр Кат'!$A:$R,B$1,0)</f>
        <v>23218</v>
      </c>
      <c r="C71" s="34" t="str">
        <f>VLOOKUP($A71,'Выгр Кат'!$A:$R,C$1,0)</f>
        <v>Выпускной коллектор (паук) "STT" 4-2-1 (8V, SPORT, выход 63 мм) для Лада Гранта, Калина 2</v>
      </c>
      <c r="D71" s="33" t="str">
        <f>VLOOKUP($A71,'Выгр Кат'!$A:$R,D$1,0)</f>
        <v>Y</v>
      </c>
      <c r="E71" s="33" t="str">
        <f>VLOOKUP($A71,'Выгр Кат'!$A:$R,E$1,0)</f>
        <v>1</v>
      </c>
      <c r="F71" s="33" t="str">
        <f>VLOOKUP($A71,'Выгр Кат'!$A:$R,F$1,0)</f>
        <v>TT-00071</v>
      </c>
      <c r="G71" s="33"/>
      <c r="H71" s="23" t="s">
        <v>29</v>
      </c>
      <c r="I71" s="41">
        <v>2950</v>
      </c>
      <c r="J71" s="35">
        <f>VLOOKUP(I71,Наценка!$A$1:$B$8,2,1)</f>
        <v>1.4</v>
      </c>
      <c r="K71" s="39">
        <f t="shared" ref="K67:K98" si="31">I71*J71</f>
        <v>4130</v>
      </c>
      <c r="L71" s="20">
        <f t="shared" si="24"/>
        <v>4190</v>
      </c>
      <c r="M71" s="33">
        <f>VLOOKUP($A71,'Выгр Кат'!$A:$R,M$1,0)</f>
        <v>2950</v>
      </c>
      <c r="N71" s="33">
        <f>VLOOKUP($A71,'Выгр Кат'!$A:$R,N$1,0)</f>
        <v>4190</v>
      </c>
      <c r="O71" s="17">
        <f t="shared" si="25"/>
        <v>0</v>
      </c>
      <c r="P71" s="17">
        <f t="shared" si="26"/>
        <v>0</v>
      </c>
      <c r="Q71" s="18">
        <f t="shared" si="27"/>
        <v>3896.7</v>
      </c>
      <c r="R71" s="42">
        <f>IFERROR((VLOOKUP($A71,'Из ГУГЛа'!$B:$G,6,0)+T71)*S71,VLOOKUP($A71,'Из ГУГЛа'!$B:$G,6,0))</f>
        <v>4190</v>
      </c>
      <c r="S71" s="7">
        <v>1</v>
      </c>
      <c r="T71" s="7">
        <v>0</v>
      </c>
      <c r="U71" s="37">
        <f t="shared" si="28"/>
        <v>0.32091525423728817</v>
      </c>
      <c r="V71" s="37">
        <f t="shared" si="29"/>
        <v>7.0000000000000048E-2</v>
      </c>
      <c r="W71" s="37">
        <f t="shared" si="30"/>
        <v>0.42033898305084749</v>
      </c>
      <c r="X71" s="38">
        <v>4190</v>
      </c>
      <c r="Y71" s="26" t="s">
        <v>586</v>
      </c>
    </row>
    <row r="72" spans="1:25" ht="60" x14ac:dyDescent="0.25">
      <c r="A72" s="33">
        <v>140127</v>
      </c>
      <c r="B72" s="33">
        <f>VLOOKUP($A72,'Выгр Кат'!$A:$R,B$1,0)</f>
        <v>41679</v>
      </c>
      <c r="C72" s="34" t="str">
        <f>VLOOKUP($A72,'Выгр Кат'!$A:$R,C$1,0)</f>
        <v>Выпускной коллектор (паук) "STT" SPORT, 4-2-1, (d51 мм, нержавеющий) для ВАЗ 2110-2112 (ВАЗ-2112, 1.5 л, 16 клапанный)</v>
      </c>
      <c r="D72" s="33" t="str">
        <f>VLOOKUP($A72,'Выгр Кат'!$A:$R,D$1,0)</f>
        <v>Y</v>
      </c>
      <c r="E72" s="33" t="str">
        <f>VLOOKUP($A72,'Выгр Кат'!$A:$R,E$1,0)</f>
        <v>1</v>
      </c>
      <c r="F72" s="33" t="str">
        <f>VLOOKUP($A72,'Выгр Кат'!$A:$R,F$1,0)</f>
        <v>TT-00043</v>
      </c>
      <c r="G72" s="33"/>
      <c r="H72" s="23" t="s">
        <v>29</v>
      </c>
      <c r="I72" s="41">
        <v>2950</v>
      </c>
      <c r="J72" s="35">
        <f>VLOOKUP(I72,Наценка!$A$1:$B$8,2,1)</f>
        <v>1.4</v>
      </c>
      <c r="K72" s="39">
        <f t="shared" si="31"/>
        <v>4130</v>
      </c>
      <c r="L72" s="20">
        <f t="shared" si="24"/>
        <v>4190</v>
      </c>
      <c r="M72" s="33">
        <f>VLOOKUP($A72,'Выгр Кат'!$A:$R,M$1,0)</f>
        <v>2950</v>
      </c>
      <c r="N72" s="33">
        <f>VLOOKUP($A72,'Выгр Кат'!$A:$R,N$1,0)</f>
        <v>4190</v>
      </c>
      <c r="O72" s="17">
        <f t="shared" si="25"/>
        <v>0</v>
      </c>
      <c r="P72" s="17">
        <f t="shared" si="26"/>
        <v>0</v>
      </c>
      <c r="Q72" s="18">
        <f t="shared" si="27"/>
        <v>3896.7</v>
      </c>
      <c r="R72" s="42" t="str">
        <f>IFERROR((VLOOKUP($A72,'Из ГУГЛа'!$B:$G,6,0)+T72)*S72,VLOOKUP($A72,'Из ГУГЛа'!$B:$G,6,0))</f>
        <v/>
      </c>
      <c r="S72" s="7">
        <v>1</v>
      </c>
      <c r="T72" s="7">
        <v>0</v>
      </c>
      <c r="U72" s="37">
        <f t="shared" si="28"/>
        <v>0.32091525423728817</v>
      </c>
      <c r="V72" s="37" t="str">
        <f t="shared" si="29"/>
        <v/>
      </c>
      <c r="W72" s="37" t="str">
        <f t="shared" si="30"/>
        <v/>
      </c>
      <c r="X72" s="38" t="s">
        <v>521</v>
      </c>
    </row>
    <row r="73" spans="1:25" ht="30" x14ac:dyDescent="0.25">
      <c r="A73" s="33">
        <v>186967</v>
      </c>
      <c r="B73" s="33">
        <f>VLOOKUP($A73,'Выгр Кат'!$A:$R,B$1,0)</f>
        <v>1495</v>
      </c>
      <c r="C73" s="34" t="str">
        <f>VLOOKUP($A73,'Выгр Кат'!$A:$R,C$1,0)</f>
        <v>Паук 4-2-1 "STT" (8V, выход 63, Спорт) для ВАЗ 2110-2112</v>
      </c>
      <c r="D73" s="33" t="str">
        <f>VLOOKUP($A73,'Выгр Кат'!$A:$R,D$1,0)</f>
        <v>Y</v>
      </c>
      <c r="E73" s="33" t="str">
        <f>VLOOKUP($A73,'Выгр Кат'!$A:$R,E$1,0)</f>
        <v>1</v>
      </c>
      <c r="F73" s="33" t="str">
        <f>VLOOKUP($A73,'Выгр Кат'!$A:$R,F$1,0)</f>
        <v>TT-00039.</v>
      </c>
      <c r="G73" s="33"/>
      <c r="H73" s="23" t="s">
        <v>29</v>
      </c>
      <c r="I73" s="41">
        <v>2950</v>
      </c>
      <c r="J73" s="35">
        <f>VLOOKUP(I73,Наценка!$A$1:$B$8,2,1)</f>
        <v>1.4</v>
      </c>
      <c r="K73" s="39">
        <f t="shared" si="31"/>
        <v>4130</v>
      </c>
      <c r="L73" s="20">
        <f t="shared" si="24"/>
        <v>4190</v>
      </c>
      <c r="M73" s="33">
        <f>VLOOKUP($A73,'Выгр Кат'!$A:$R,M$1,0)</f>
        <v>2950</v>
      </c>
      <c r="N73" s="33">
        <f>VLOOKUP($A73,'Выгр Кат'!$A:$R,N$1,0)</f>
        <v>4190</v>
      </c>
      <c r="O73" s="17">
        <f t="shared" si="25"/>
        <v>0</v>
      </c>
      <c r="P73" s="17">
        <f t="shared" si="26"/>
        <v>0</v>
      </c>
      <c r="Q73" s="18">
        <f t="shared" si="27"/>
        <v>3896.7</v>
      </c>
      <c r="R73" s="42">
        <f>IFERROR((VLOOKUP($A73,'Из ГУГЛа'!$B:$G,6,0)+T73)*S73,VLOOKUP($A73,'Из ГУГЛа'!$B:$G,6,0))</f>
        <v>4190</v>
      </c>
      <c r="S73" s="7">
        <v>1</v>
      </c>
      <c r="T73" s="7">
        <v>0</v>
      </c>
      <c r="U73" s="37">
        <f t="shared" si="28"/>
        <v>0.32091525423728817</v>
      </c>
      <c r="V73" s="37">
        <f t="shared" si="29"/>
        <v>7.0000000000000048E-2</v>
      </c>
      <c r="W73" s="37">
        <f t="shared" si="30"/>
        <v>0.42033898305084749</v>
      </c>
      <c r="X73" s="38">
        <v>4190</v>
      </c>
      <c r="Y73" s="26" t="s">
        <v>538</v>
      </c>
    </row>
    <row r="74" spans="1:25" ht="30" x14ac:dyDescent="0.25">
      <c r="A74" s="33">
        <v>186979</v>
      </c>
      <c r="B74" s="33">
        <f>VLOOKUP($A74,'Выгр Кат'!$A:$R,B$1,0)</f>
        <v>1491</v>
      </c>
      <c r="C74" s="34" t="str">
        <f>VLOOKUP($A74,'Выгр Кат'!$A:$R,C$1,0)</f>
        <v>Паук 4-2-1 "STT" (Спорт, 8V,  выход 63) для ВАЗ 2108-21099, 2113-2115</v>
      </c>
      <c r="D74" s="33" t="str">
        <f>VLOOKUP($A74,'Выгр Кат'!$A:$R,D$1,0)</f>
        <v>Y</v>
      </c>
      <c r="E74" s="33" t="str">
        <f>VLOOKUP($A74,'Выгр Кат'!$A:$R,E$1,0)</f>
        <v>1</v>
      </c>
      <c r="F74" s="33" t="str">
        <f>VLOOKUP($A74,'Выгр Кат'!$A:$R,F$1,0)</f>
        <v>TT-00027.</v>
      </c>
      <c r="G74" s="33"/>
      <c r="H74" s="23" t="s">
        <v>29</v>
      </c>
      <c r="I74" s="41">
        <v>2950</v>
      </c>
      <c r="J74" s="35">
        <f>VLOOKUP(I74,Наценка!$A$1:$B$8,2,1)</f>
        <v>1.4</v>
      </c>
      <c r="K74" s="39">
        <f t="shared" si="31"/>
        <v>4130</v>
      </c>
      <c r="L74" s="20">
        <f t="shared" si="24"/>
        <v>4190</v>
      </c>
      <c r="M74" s="33">
        <f>VLOOKUP($A74,'Выгр Кат'!$A:$R,M$1,0)</f>
        <v>2950</v>
      </c>
      <c r="N74" s="33">
        <f>VLOOKUP($A74,'Выгр Кат'!$A:$R,N$1,0)</f>
        <v>4190</v>
      </c>
      <c r="O74" s="17">
        <f t="shared" si="25"/>
        <v>0</v>
      </c>
      <c r="P74" s="17">
        <f t="shared" si="26"/>
        <v>0</v>
      </c>
      <c r="Q74" s="18">
        <f t="shared" si="27"/>
        <v>3896.7</v>
      </c>
      <c r="R74" s="42">
        <f>IFERROR((VLOOKUP($A74,'Из ГУГЛа'!$B:$G,6,0)+T74)*S74,VLOOKUP($A74,'Из ГУГЛа'!$B:$G,6,0))</f>
        <v>4390</v>
      </c>
      <c r="S74" s="7">
        <v>1</v>
      </c>
      <c r="T74" s="7">
        <v>0</v>
      </c>
      <c r="U74" s="37">
        <f t="shared" si="28"/>
        <v>0.32091525423728817</v>
      </c>
      <c r="V74" s="37">
        <f t="shared" si="29"/>
        <v>0.11236902050113899</v>
      </c>
      <c r="W74" s="37">
        <f t="shared" si="30"/>
        <v>0.48813559322033906</v>
      </c>
      <c r="X74" s="38">
        <v>4390</v>
      </c>
      <c r="Y74" s="26" t="s">
        <v>518</v>
      </c>
    </row>
    <row r="75" spans="1:25" x14ac:dyDescent="0.25">
      <c r="A75" s="33">
        <v>141002</v>
      </c>
      <c r="B75" s="33">
        <f>VLOOKUP($A75,'Выгр Кат'!$A:$R,B$1,0)</f>
        <v>13842</v>
      </c>
      <c r="C75" s="34" t="str">
        <f>VLOOKUP($A75,'Выгр Кат'!$A:$R,C$1,0)</f>
        <v>Глушитель "STT" на Лада Веста (седан)</v>
      </c>
      <c r="D75" s="33" t="str">
        <f>VLOOKUP($A75,'Выгр Кат'!$A:$R,D$1,0)</f>
        <v>Y</v>
      </c>
      <c r="E75" s="33" t="str">
        <f>VLOOKUP($A75,'Выгр Кат'!$A:$R,E$1,0)</f>
        <v>1</v>
      </c>
      <c r="F75" s="33" t="str">
        <f>VLOOKUP($A75,'Выгр Кат'!$A:$R,F$1,0)</f>
        <v>TT-00147</v>
      </c>
      <c r="G75" s="33"/>
      <c r="H75" s="23" t="s">
        <v>29</v>
      </c>
      <c r="I75" s="41">
        <v>3000</v>
      </c>
      <c r="J75" s="35">
        <f>VLOOKUP(I75,Наценка!$A$1:$B$8,2,1)</f>
        <v>1.4</v>
      </c>
      <c r="K75" s="39">
        <f t="shared" si="31"/>
        <v>4200</v>
      </c>
      <c r="L75" s="20">
        <f t="shared" si="24"/>
        <v>4190</v>
      </c>
      <c r="M75" s="33">
        <f>VLOOKUP($A75,'Выгр Кат'!$A:$R,M$1,0)</f>
        <v>3000</v>
      </c>
      <c r="N75" s="33">
        <f>VLOOKUP($A75,'Выгр Кат'!$A:$R,N$1,0)</f>
        <v>4190</v>
      </c>
      <c r="O75" s="17">
        <f t="shared" si="25"/>
        <v>0</v>
      </c>
      <c r="P75" s="17">
        <f t="shared" si="26"/>
        <v>0</v>
      </c>
      <c r="Q75" s="18">
        <f t="shared" si="27"/>
        <v>3896.7</v>
      </c>
      <c r="R75" s="42" t="str">
        <f>IFERROR((VLOOKUP($A75,'Из ГУГЛа'!$B:$G,6,0)+T75)*S75,VLOOKUP($A75,'Из ГУГЛа'!$B:$G,6,0))</f>
        <v/>
      </c>
      <c r="S75" s="7">
        <v>1</v>
      </c>
      <c r="T75" s="7">
        <v>0</v>
      </c>
      <c r="U75" s="37">
        <f t="shared" si="28"/>
        <v>0.29889999999999994</v>
      </c>
      <c r="V75" s="37" t="str">
        <f t="shared" si="29"/>
        <v/>
      </c>
      <c r="W75" s="37" t="str">
        <f t="shared" si="30"/>
        <v/>
      </c>
      <c r="X75" s="38" t="s">
        <v>521</v>
      </c>
    </row>
    <row r="76" spans="1:25" ht="30" x14ac:dyDescent="0.25">
      <c r="A76" s="33">
        <v>141003</v>
      </c>
      <c r="B76" s="33">
        <f>VLOOKUP($A76,'Выгр Кат'!$A:$R,B$1,0)</f>
        <v>23266</v>
      </c>
      <c r="C76" s="34" t="str">
        <f>VLOOKUP($A76,'Выгр Кат'!$A:$R,C$1,0)</f>
        <v>Глушитель "STT" прямоточный (крепления н/о) для ВАЗ 2110, 2111</v>
      </c>
      <c r="D76" s="33" t="str">
        <f>VLOOKUP($A76,'Выгр Кат'!$A:$R,D$1,0)</f>
        <v>Y</v>
      </c>
      <c r="E76" s="33" t="str">
        <f>VLOOKUP($A76,'Выгр Кат'!$A:$R,E$1,0)</f>
        <v>1</v>
      </c>
      <c r="F76" s="33" t="str">
        <f>VLOOKUP($A76,'Выгр Кат'!$A:$R,F$1,0)</f>
        <v>ТТ-00170</v>
      </c>
      <c r="G76" s="33"/>
      <c r="H76" s="23" t="s">
        <v>29</v>
      </c>
      <c r="I76" s="41">
        <v>3000</v>
      </c>
      <c r="J76" s="35">
        <f>VLOOKUP(I76,Наценка!$A$1:$B$8,2,1)</f>
        <v>1.4</v>
      </c>
      <c r="K76" s="39">
        <f t="shared" si="31"/>
        <v>4200</v>
      </c>
      <c r="L76" s="20">
        <f t="shared" si="24"/>
        <v>4190</v>
      </c>
      <c r="M76" s="33">
        <f>VLOOKUP($A76,'Выгр Кат'!$A:$R,M$1,0)</f>
        <v>3000</v>
      </c>
      <c r="N76" s="33">
        <f>VLOOKUP($A76,'Выгр Кат'!$A:$R,N$1,0)</f>
        <v>4190</v>
      </c>
      <c r="O76" s="17">
        <f t="shared" si="25"/>
        <v>0</v>
      </c>
      <c r="P76" s="17">
        <f t="shared" si="26"/>
        <v>0</v>
      </c>
      <c r="Q76" s="18">
        <f t="shared" si="27"/>
        <v>3896.7</v>
      </c>
      <c r="R76" s="42">
        <f>IFERROR((VLOOKUP($A76,'Из ГУГЛа'!$B:$G,6,0)+T76)*S76,VLOOKUP($A76,'Из ГУГЛа'!$B:$G,6,0))</f>
        <v>4290</v>
      </c>
      <c r="S76" s="7">
        <v>1</v>
      </c>
      <c r="T76" s="7">
        <v>0</v>
      </c>
      <c r="U76" s="37">
        <f t="shared" si="28"/>
        <v>0.29889999999999994</v>
      </c>
      <c r="V76" s="37">
        <f t="shared" si="29"/>
        <v>9.1678321678321725E-2</v>
      </c>
      <c r="W76" s="37">
        <f t="shared" si="30"/>
        <v>0.42999999999999994</v>
      </c>
      <c r="X76" s="38">
        <v>4290</v>
      </c>
      <c r="Y76" s="26" t="s">
        <v>541</v>
      </c>
    </row>
    <row r="77" spans="1:25" ht="30" x14ac:dyDescent="0.25">
      <c r="A77" s="33">
        <v>141033</v>
      </c>
      <c r="B77" s="33">
        <f>VLOOKUP($A77,'Выгр Кат'!$A:$R,B$1,0)</f>
        <v>2367</v>
      </c>
      <c r="C77" s="34" t="str">
        <f>VLOOKUP($A77,'Выгр Кат'!$A:$R,C$1,0)</f>
        <v>Глушитель "STT" прямоточный (КРЕПЛЕНИЯ С/О) для ВАЗ 2110-11</v>
      </c>
      <c r="D77" s="33" t="str">
        <f>VLOOKUP($A77,'Выгр Кат'!$A:$R,D$1,0)</f>
        <v>Y</v>
      </c>
      <c r="E77" s="33" t="str">
        <f>VLOOKUP($A77,'Выгр Кат'!$A:$R,E$1,0)</f>
        <v>1ск6</v>
      </c>
      <c r="F77" s="33" t="str">
        <f>VLOOKUP($A77,'Выгр Кат'!$A:$R,F$1,0)</f>
        <v>TT-00169</v>
      </c>
      <c r="G77" s="33"/>
      <c r="H77" s="23" t="s">
        <v>29</v>
      </c>
      <c r="I77" s="41">
        <v>3000</v>
      </c>
      <c r="J77" s="35">
        <f>VLOOKUP(I77,Наценка!$A$1:$B$8,2,1)</f>
        <v>1.4</v>
      </c>
      <c r="K77" s="39">
        <f t="shared" si="31"/>
        <v>4200</v>
      </c>
      <c r="L77" s="20">
        <f t="shared" si="24"/>
        <v>4190</v>
      </c>
      <c r="M77" s="33">
        <f>VLOOKUP($A77,'Выгр Кат'!$A:$R,M$1,0)</f>
        <v>3000</v>
      </c>
      <c r="N77" s="33">
        <f>VLOOKUP($A77,'Выгр Кат'!$A:$R,N$1,0)</f>
        <v>4190</v>
      </c>
      <c r="O77" s="17">
        <f t="shared" si="25"/>
        <v>0</v>
      </c>
      <c r="P77" s="17">
        <f t="shared" si="26"/>
        <v>0</v>
      </c>
      <c r="Q77" s="18">
        <f t="shared" si="27"/>
        <v>3896.7</v>
      </c>
      <c r="R77" s="42">
        <f>IFERROR((VLOOKUP($A77,'Из ГУГЛа'!$B:$G,6,0)+T77)*S77,VLOOKUP($A77,'Из ГУГЛа'!$B:$G,6,0))</f>
        <v>4290</v>
      </c>
      <c r="S77" s="7">
        <v>1</v>
      </c>
      <c r="T77" s="7">
        <v>0</v>
      </c>
      <c r="U77" s="37">
        <f t="shared" si="28"/>
        <v>0.29889999999999994</v>
      </c>
      <c r="V77" s="37">
        <f t="shared" si="29"/>
        <v>9.1678321678321725E-2</v>
      </c>
      <c r="W77" s="37">
        <f t="shared" si="30"/>
        <v>0.42999999999999994</v>
      </c>
      <c r="X77" s="38">
        <v>4290</v>
      </c>
      <c r="Y77" s="26" t="s">
        <v>540</v>
      </c>
    </row>
    <row r="78" spans="1:25" ht="30" x14ac:dyDescent="0.25">
      <c r="A78" s="33">
        <v>141013</v>
      </c>
      <c r="B78" s="33">
        <f>VLOOKUP($A78,'Выгр Кат'!$A:$R,B$1,0)</f>
        <v>23268</v>
      </c>
      <c r="C78" s="34" t="str">
        <f>VLOOKUP($A78,'Выгр Кат'!$A:$R,C$1,0)</f>
        <v>Глушитель "STT" прямоточный для ВАЗ 2108, 2109</v>
      </c>
      <c r="D78" s="33" t="str">
        <f>VLOOKUP($A78,'Выгр Кат'!$A:$R,D$1,0)</f>
        <v>Y</v>
      </c>
      <c r="E78" s="33" t="str">
        <f>VLOOKUP($A78,'Выгр Кат'!$A:$R,E$1,0)</f>
        <v>1</v>
      </c>
      <c r="F78" s="33" t="str">
        <f>VLOOKUP($A78,'Выгр Кат'!$A:$R,F$1,0)</f>
        <v>ТТ-00163</v>
      </c>
      <c r="G78" s="33"/>
      <c r="H78" s="23" t="s">
        <v>29</v>
      </c>
      <c r="I78" s="41">
        <v>3000</v>
      </c>
      <c r="J78" s="35">
        <f>VLOOKUP(I78,Наценка!$A$1:$B$8,2,1)</f>
        <v>1.4</v>
      </c>
      <c r="K78" s="46">
        <f t="shared" ref="K78:K79" si="32">X78-100</f>
        <v>4490</v>
      </c>
      <c r="L78" s="20">
        <f t="shared" si="24"/>
        <v>4490</v>
      </c>
      <c r="M78" s="33">
        <f>VLOOKUP($A78,'Выгр Кат'!$A:$R,M$1,0)</f>
        <v>3000</v>
      </c>
      <c r="N78" s="33">
        <f>VLOOKUP($A78,'Выгр Кат'!$A:$R,N$1,0)</f>
        <v>4190</v>
      </c>
      <c r="O78" s="17">
        <f t="shared" si="25"/>
        <v>0</v>
      </c>
      <c r="P78" s="17">
        <f t="shared" si="26"/>
        <v>-300</v>
      </c>
      <c r="Q78" s="18">
        <f t="shared" si="27"/>
        <v>4175.7</v>
      </c>
      <c r="R78" s="42">
        <f>IFERROR((VLOOKUP($A78,'Из ГУГЛа'!$B:$G,6,0)+T78)*S78,VLOOKUP($A78,'Из ГУГЛа'!$B:$G,6,0))</f>
        <v>4590</v>
      </c>
      <c r="S78" s="7">
        <v>1</v>
      </c>
      <c r="T78" s="7">
        <v>0</v>
      </c>
      <c r="U78" s="37">
        <f t="shared" si="28"/>
        <v>0.39189999999999992</v>
      </c>
      <c r="V78" s="37">
        <f t="shared" si="29"/>
        <v>9.0261437908496778E-2</v>
      </c>
      <c r="W78" s="37">
        <f t="shared" si="30"/>
        <v>0.53</v>
      </c>
      <c r="X78" s="38">
        <v>4590</v>
      </c>
      <c r="Y78" s="26" t="s">
        <v>612</v>
      </c>
    </row>
    <row r="79" spans="1:25" ht="30" x14ac:dyDescent="0.25">
      <c r="A79" s="33">
        <v>141014</v>
      </c>
      <c r="B79" s="33">
        <f>VLOOKUP($A79,'Выгр Кат'!$A:$R,B$1,0)</f>
        <v>23270</v>
      </c>
      <c r="C79" s="34" t="str">
        <f>VLOOKUP($A79,'Выгр Кат'!$A:$R,C$1,0)</f>
        <v>Глушитель "STT" прямоточный для ВАЗ 2115</v>
      </c>
      <c r="D79" s="33" t="str">
        <f>VLOOKUP($A79,'Выгр Кат'!$A:$R,D$1,0)</f>
        <v>Y</v>
      </c>
      <c r="E79" s="33" t="str">
        <f>VLOOKUP($A79,'Выгр Кат'!$A:$R,E$1,0)</f>
        <v>1</v>
      </c>
      <c r="F79" s="33" t="str">
        <f>VLOOKUP($A79,'Выгр Кат'!$A:$R,F$1,0)</f>
        <v>ТТ-00186</v>
      </c>
      <c r="G79" s="33"/>
      <c r="H79" s="23" t="s">
        <v>29</v>
      </c>
      <c r="I79" s="41">
        <v>3000</v>
      </c>
      <c r="J79" s="35">
        <f>VLOOKUP(I79,Наценка!$A$1:$B$8,2,1)</f>
        <v>1.4</v>
      </c>
      <c r="K79" s="46">
        <f t="shared" si="32"/>
        <v>4490</v>
      </c>
      <c r="L79" s="20">
        <f t="shared" si="24"/>
        <v>4490</v>
      </c>
      <c r="M79" s="33">
        <f>VLOOKUP($A79,'Выгр Кат'!$A:$R,M$1,0)</f>
        <v>3000</v>
      </c>
      <c r="N79" s="33">
        <f>VLOOKUP($A79,'Выгр Кат'!$A:$R,N$1,0)</f>
        <v>4190</v>
      </c>
      <c r="O79" s="17">
        <f t="shared" si="25"/>
        <v>0</v>
      </c>
      <c r="P79" s="17">
        <f t="shared" si="26"/>
        <v>-300</v>
      </c>
      <c r="Q79" s="18">
        <f t="shared" si="27"/>
        <v>4175.7</v>
      </c>
      <c r="R79" s="42">
        <f>IFERROR((VLOOKUP($A79,'Из ГУГЛа'!$B:$G,6,0)+T79)*S79,VLOOKUP($A79,'Из ГУГЛа'!$B:$G,6,0))</f>
        <v>4590</v>
      </c>
      <c r="S79" s="7">
        <v>1</v>
      </c>
      <c r="T79" s="7">
        <v>0</v>
      </c>
      <c r="U79" s="37">
        <f t="shared" si="28"/>
        <v>0.39189999999999992</v>
      </c>
      <c r="V79" s="37">
        <f t="shared" si="29"/>
        <v>9.0261437908496778E-2</v>
      </c>
      <c r="W79" s="37">
        <f t="shared" si="30"/>
        <v>0.53</v>
      </c>
      <c r="X79" s="38">
        <v>4590</v>
      </c>
      <c r="Y79" s="26" t="s">
        <v>615</v>
      </c>
    </row>
    <row r="80" spans="1:25" ht="30" x14ac:dyDescent="0.25">
      <c r="A80" s="33">
        <v>141035</v>
      </c>
      <c r="B80" s="33">
        <f>VLOOKUP($A80,'Выгр Кат'!$A:$R,B$1,0)</f>
        <v>2378</v>
      </c>
      <c r="C80" s="34" t="str">
        <f>VLOOKUP($A80,'Выгр Кат'!$A:$R,C$1,0)</f>
        <v>Глушитель "STT" прямоточный для Лада Гранта, Калина 2 (универсал)</v>
      </c>
      <c r="D80" s="33" t="str">
        <f>VLOOKUP($A80,'Выгр Кат'!$A:$R,D$1,0)</f>
        <v>Y</v>
      </c>
      <c r="E80" s="33" t="str">
        <f>VLOOKUP($A80,'Выгр Кат'!$A:$R,E$1,0)</f>
        <v>1</v>
      </c>
      <c r="F80" s="33" t="str">
        <f>VLOOKUP($A80,'Выгр Кат'!$A:$R,F$1,0)</f>
        <v>TT-00211</v>
      </c>
      <c r="G80" s="33"/>
      <c r="H80" s="23" t="s">
        <v>29</v>
      </c>
      <c r="I80" s="41">
        <v>3000</v>
      </c>
      <c r="J80" s="35">
        <f>VLOOKUP(I80,Наценка!$A$1:$B$8,2,1)</f>
        <v>1.4</v>
      </c>
      <c r="K80" s="39">
        <f t="shared" si="31"/>
        <v>4200</v>
      </c>
      <c r="L80" s="20">
        <f t="shared" si="24"/>
        <v>4190</v>
      </c>
      <c r="M80" s="33">
        <f>VLOOKUP($A80,'Выгр Кат'!$A:$R,M$1,0)</f>
        <v>3000</v>
      </c>
      <c r="N80" s="33">
        <f>VLOOKUP($A80,'Выгр Кат'!$A:$R,N$1,0)</f>
        <v>4190</v>
      </c>
      <c r="O80" s="17">
        <f t="shared" si="25"/>
        <v>0</v>
      </c>
      <c r="P80" s="17">
        <f t="shared" si="26"/>
        <v>0</v>
      </c>
      <c r="Q80" s="18">
        <f t="shared" si="27"/>
        <v>3896.7</v>
      </c>
      <c r="R80" s="42" t="str">
        <f>IFERROR((VLOOKUP($A80,'Из ГУГЛа'!$B:$G,6,0)+T80)*S80,VLOOKUP($A80,'Из ГУГЛа'!$B:$G,6,0))</f>
        <v/>
      </c>
      <c r="S80" s="7">
        <v>1</v>
      </c>
      <c r="T80" s="7">
        <v>0</v>
      </c>
      <c r="U80" s="37">
        <f t="shared" si="28"/>
        <v>0.29889999999999994</v>
      </c>
      <c r="V80" s="37" t="str">
        <f t="shared" si="29"/>
        <v/>
      </c>
      <c r="W80" s="37" t="str">
        <f t="shared" si="30"/>
        <v/>
      </c>
      <c r="X80" s="38" t="s">
        <v>521</v>
      </c>
    </row>
    <row r="81" spans="1:25" ht="30" x14ac:dyDescent="0.25">
      <c r="A81" s="33">
        <v>141015</v>
      </c>
      <c r="B81" s="33">
        <f>VLOOKUP($A81,'Выгр Кат'!$A:$R,B$1,0)</f>
        <v>2386</v>
      </c>
      <c r="C81" s="34" t="str">
        <f>VLOOKUP($A81,'Выгр Кат'!$A:$R,C$1,0)</f>
        <v>Глушитель "STT" прямоточный для Лада Калина, Калина 2 хэтчбек</v>
      </c>
      <c r="D81" s="33" t="str">
        <f>VLOOKUP($A81,'Выгр Кат'!$A:$R,D$1,0)</f>
        <v>Y</v>
      </c>
      <c r="E81" s="33" t="str">
        <f>VLOOKUP($A81,'Выгр Кат'!$A:$R,E$1,0)</f>
        <v>1</v>
      </c>
      <c r="F81" s="33" t="str">
        <f>VLOOKUP($A81,'Выгр Кат'!$A:$R,F$1,0)</f>
        <v>ТТ-00207</v>
      </c>
      <c r="G81" s="33"/>
      <c r="H81" s="23" t="s">
        <v>29</v>
      </c>
      <c r="I81" s="41">
        <v>3000</v>
      </c>
      <c r="J81" s="35">
        <f>VLOOKUP(I81,Наценка!$A$1:$B$8,2,1)</f>
        <v>1.4</v>
      </c>
      <c r="K81" s="39">
        <f t="shared" si="31"/>
        <v>4200</v>
      </c>
      <c r="L81" s="20">
        <f t="shared" si="24"/>
        <v>4190</v>
      </c>
      <c r="M81" s="33">
        <f>VLOOKUP($A81,'Выгр Кат'!$A:$R,M$1,0)</f>
        <v>3000</v>
      </c>
      <c r="N81" s="33">
        <f>VLOOKUP($A81,'Выгр Кат'!$A:$R,N$1,0)</f>
        <v>4190</v>
      </c>
      <c r="O81" s="17">
        <f t="shared" si="25"/>
        <v>0</v>
      </c>
      <c r="P81" s="17">
        <f t="shared" si="26"/>
        <v>0</v>
      </c>
      <c r="Q81" s="18">
        <f t="shared" si="27"/>
        <v>3896.7</v>
      </c>
      <c r="R81" s="42" t="str">
        <f>IFERROR((VLOOKUP($A81,'Из ГУГЛа'!$B:$G,6,0)+T81)*S81,VLOOKUP($A81,'Из ГУГЛа'!$B:$G,6,0))</f>
        <v/>
      </c>
      <c r="S81" s="7">
        <v>1</v>
      </c>
      <c r="T81" s="7">
        <v>0</v>
      </c>
      <c r="U81" s="37">
        <f t="shared" si="28"/>
        <v>0.29889999999999994</v>
      </c>
      <c r="V81" s="37" t="str">
        <f t="shared" si="29"/>
        <v/>
      </c>
      <c r="W81" s="37" t="str">
        <f t="shared" si="30"/>
        <v/>
      </c>
      <c r="X81" s="38" t="s">
        <v>521</v>
      </c>
    </row>
    <row r="82" spans="1:25" ht="30" x14ac:dyDescent="0.25">
      <c r="A82" s="33">
        <v>141281</v>
      </c>
      <c r="B82" s="33">
        <f>VLOOKUP($A82,'Выгр Кат'!$A:$R,B$1,0)</f>
        <v>2352</v>
      </c>
      <c r="C82" s="34" t="str">
        <f>VLOOKUP($A82,'Выгр Кат'!$A:$R,C$1,0)</f>
        <v>Глушитель прямоточный "STT" ВАЗ 2101-2107</v>
      </c>
      <c r="D82" s="33" t="str">
        <f>VLOOKUP($A82,'Выгр Кат'!$A:$R,D$1,0)</f>
        <v>Y</v>
      </c>
      <c r="E82" s="33" t="str">
        <f>VLOOKUP($A82,'Выгр Кат'!$A:$R,E$1,0)</f>
        <v>1</v>
      </c>
      <c r="F82" s="33" t="str">
        <f>VLOOKUP($A82,'Выгр Кат'!$A:$R,F$1,0)</f>
        <v>TT-00144</v>
      </c>
      <c r="G82" s="33"/>
      <c r="H82" s="23" t="s">
        <v>29</v>
      </c>
      <c r="I82" s="41">
        <v>3000</v>
      </c>
      <c r="J82" s="35">
        <f>VLOOKUP(I82,Наценка!$A$1:$B$8,2,1)</f>
        <v>1.4</v>
      </c>
      <c r="K82" s="39">
        <f t="shared" si="31"/>
        <v>4200</v>
      </c>
      <c r="L82" s="20">
        <f t="shared" si="24"/>
        <v>4190</v>
      </c>
      <c r="M82" s="33">
        <f>VLOOKUP($A82,'Выгр Кат'!$A:$R,M$1,0)</f>
        <v>3000</v>
      </c>
      <c r="N82" s="33">
        <f>VLOOKUP($A82,'Выгр Кат'!$A:$R,N$1,0)</f>
        <v>4190</v>
      </c>
      <c r="O82" s="17">
        <f t="shared" si="25"/>
        <v>0</v>
      </c>
      <c r="P82" s="17">
        <f t="shared" si="26"/>
        <v>0</v>
      </c>
      <c r="Q82" s="18">
        <f t="shared" si="27"/>
        <v>3896.7</v>
      </c>
      <c r="R82" s="42" t="str">
        <f>IFERROR((VLOOKUP($A82,'Из ГУГЛа'!$B:$G,6,0)+T82)*S82,VLOOKUP($A82,'Из ГУГЛа'!$B:$G,6,0))</f>
        <v/>
      </c>
      <c r="S82" s="7">
        <v>1</v>
      </c>
      <c r="T82" s="7">
        <v>0</v>
      </c>
      <c r="U82" s="37">
        <f t="shared" si="28"/>
        <v>0.29889999999999994</v>
      </c>
      <c r="V82" s="37" t="str">
        <f t="shared" si="29"/>
        <v/>
      </c>
      <c r="W82" s="37" t="str">
        <f t="shared" si="30"/>
        <v/>
      </c>
      <c r="X82" s="38" t="s">
        <v>521</v>
      </c>
    </row>
    <row r="83" spans="1:25" ht="30" x14ac:dyDescent="0.25">
      <c r="A83" s="33">
        <v>141024</v>
      </c>
      <c r="B83" s="33">
        <f>VLOOKUP($A83,'Выгр Кат'!$A:$R,B$1,0)</f>
        <v>2341</v>
      </c>
      <c r="C83" s="34" t="str">
        <f>VLOOKUP($A83,'Выгр Кат'!$A:$R,C$1,0)</f>
        <v>Глушитель прямоточный "STT" ВАЗ 21099</v>
      </c>
      <c r="D83" s="33" t="str">
        <f>VLOOKUP($A83,'Выгр Кат'!$A:$R,D$1,0)</f>
        <v>Y</v>
      </c>
      <c r="E83" s="33" t="str">
        <f>VLOOKUP($A83,'Выгр Кат'!$A:$R,E$1,0)</f>
        <v>1ск6</v>
      </c>
      <c r="F83" s="33" t="str">
        <f>VLOOKUP($A83,'Выгр Кат'!$A:$R,F$1,0)</f>
        <v>TT-00166</v>
      </c>
      <c r="G83" s="33"/>
      <c r="H83" s="23" t="s">
        <v>29</v>
      </c>
      <c r="I83" s="41">
        <v>3000</v>
      </c>
      <c r="J83" s="35">
        <f>VLOOKUP(I83,Наценка!$A$1:$B$8,2,1)</f>
        <v>1.4</v>
      </c>
      <c r="K83" s="46">
        <f>X83-100</f>
        <v>4490</v>
      </c>
      <c r="L83" s="20">
        <f t="shared" si="24"/>
        <v>4490</v>
      </c>
      <c r="M83" s="33">
        <f>VLOOKUP($A83,'Выгр Кат'!$A:$R,M$1,0)</f>
        <v>3000</v>
      </c>
      <c r="N83" s="33">
        <f>VLOOKUP($A83,'Выгр Кат'!$A:$R,N$1,0)</f>
        <v>4190</v>
      </c>
      <c r="O83" s="17">
        <f t="shared" si="25"/>
        <v>0</v>
      </c>
      <c r="P83" s="17">
        <f t="shared" si="26"/>
        <v>-300</v>
      </c>
      <c r="Q83" s="18">
        <f t="shared" si="27"/>
        <v>4175.7</v>
      </c>
      <c r="R83" s="42">
        <f>IFERROR((VLOOKUP($A83,'Из ГУГЛа'!$B:$G,6,0)+T83)*S83,VLOOKUP($A83,'Из ГУГЛа'!$B:$G,6,0))</f>
        <v>4590</v>
      </c>
      <c r="S83" s="7">
        <v>1</v>
      </c>
      <c r="T83" s="7">
        <v>0</v>
      </c>
      <c r="U83" s="37">
        <f t="shared" si="28"/>
        <v>0.39189999999999992</v>
      </c>
      <c r="V83" s="37">
        <f t="shared" si="29"/>
        <v>9.0261437908496778E-2</v>
      </c>
      <c r="W83" s="37">
        <f t="shared" si="30"/>
        <v>0.53</v>
      </c>
      <c r="X83" s="38">
        <v>4590</v>
      </c>
      <c r="Y83" s="26" t="s">
        <v>613</v>
      </c>
    </row>
    <row r="84" spans="1:25" ht="30" x14ac:dyDescent="0.25">
      <c r="A84" s="33">
        <v>141027</v>
      </c>
      <c r="B84" s="33">
        <f>VLOOKUP($A84,'Выгр Кат'!$A:$R,B$1,0)</f>
        <v>2373</v>
      </c>
      <c r="C84" s="34" t="str">
        <f>VLOOKUP($A84,'Выгр Кат'!$A:$R,C$1,0)</f>
        <v>Глушитель прямоточный "STT" ВАЗ 2112 новое крепление</v>
      </c>
      <c r="D84" s="33" t="str">
        <f>VLOOKUP($A84,'Выгр Кат'!$A:$R,D$1,0)</f>
        <v>Y</v>
      </c>
      <c r="E84" s="33" t="str">
        <f>VLOOKUP($A84,'Выгр Кат'!$A:$R,E$1,0)</f>
        <v>1</v>
      </c>
      <c r="F84" s="33" t="str">
        <f>VLOOKUP($A84,'Выгр Кат'!$A:$R,F$1,0)</f>
        <v>TT-00175.</v>
      </c>
      <c r="G84" s="33"/>
      <c r="H84" s="23" t="s">
        <v>29</v>
      </c>
      <c r="I84" s="41">
        <v>3000</v>
      </c>
      <c r="J84" s="35">
        <f>VLOOKUP(I84,Наценка!$A$1:$B$8,2,1)</f>
        <v>1.4</v>
      </c>
      <c r="K84" s="39">
        <f t="shared" si="31"/>
        <v>4200</v>
      </c>
      <c r="L84" s="20">
        <f t="shared" si="24"/>
        <v>4190</v>
      </c>
      <c r="M84" s="33">
        <f>VLOOKUP($A84,'Выгр Кат'!$A:$R,M$1,0)</f>
        <v>3000</v>
      </c>
      <c r="N84" s="33">
        <f>VLOOKUP($A84,'Выгр Кат'!$A:$R,N$1,0)</f>
        <v>4190</v>
      </c>
      <c r="O84" s="17">
        <f t="shared" si="25"/>
        <v>0</v>
      </c>
      <c r="P84" s="17">
        <f t="shared" si="26"/>
        <v>0</v>
      </c>
      <c r="Q84" s="18">
        <f t="shared" si="27"/>
        <v>3896.7</v>
      </c>
      <c r="R84" s="42">
        <f>IFERROR((VLOOKUP($A84,'Из ГУГЛа'!$B:$G,6,0)+T84)*S84,VLOOKUP($A84,'Из ГУГЛа'!$B:$G,6,0))</f>
        <v>4290</v>
      </c>
      <c r="S84" s="7">
        <v>1</v>
      </c>
      <c r="T84" s="7">
        <v>0</v>
      </c>
      <c r="U84" s="37">
        <f t="shared" si="28"/>
        <v>0.29889999999999994</v>
      </c>
      <c r="V84" s="37">
        <f t="shared" si="29"/>
        <v>9.1678321678321725E-2</v>
      </c>
      <c r="W84" s="37">
        <f t="shared" si="30"/>
        <v>0.42999999999999994</v>
      </c>
      <c r="X84" s="38">
        <v>4290</v>
      </c>
      <c r="Y84" s="26" t="s">
        <v>542</v>
      </c>
    </row>
    <row r="85" spans="1:25" ht="30" x14ac:dyDescent="0.25">
      <c r="A85" s="33">
        <v>141028</v>
      </c>
      <c r="B85" s="33">
        <f>VLOOKUP($A85,'Выгр Кат'!$A:$R,B$1,0)</f>
        <v>17066</v>
      </c>
      <c r="C85" s="34" t="str">
        <f>VLOOKUP($A85,'Выгр Кат'!$A:$R,C$1,0)</f>
        <v>Глушитель прямоточный "STT" ВАЗ 2112 старое крепление</v>
      </c>
      <c r="D85" s="33" t="str">
        <f>VLOOKUP($A85,'Выгр Кат'!$A:$R,D$1,0)</f>
        <v>Y</v>
      </c>
      <c r="E85" s="33" t="str">
        <f>VLOOKUP($A85,'Выгр Кат'!$A:$R,E$1,0)</f>
        <v>1</v>
      </c>
      <c r="F85" s="33" t="str">
        <f>VLOOKUP($A85,'Выгр Кат'!$A:$R,F$1,0)</f>
        <v>TT-00176.</v>
      </c>
      <c r="G85" s="33"/>
      <c r="H85" s="23" t="s">
        <v>29</v>
      </c>
      <c r="I85" s="41">
        <v>3000</v>
      </c>
      <c r="J85" s="35">
        <f>VLOOKUP(I85,Наценка!$A$1:$B$8,2,1)</f>
        <v>1.4</v>
      </c>
      <c r="K85" s="39">
        <f t="shared" si="31"/>
        <v>4200</v>
      </c>
      <c r="L85" s="20">
        <f t="shared" si="24"/>
        <v>4190</v>
      </c>
      <c r="M85" s="33">
        <f>VLOOKUP($A85,'Выгр Кат'!$A:$R,M$1,0)</f>
        <v>3000</v>
      </c>
      <c r="N85" s="33">
        <f>VLOOKUP($A85,'Выгр Кат'!$A:$R,N$1,0)</f>
        <v>4190</v>
      </c>
      <c r="O85" s="17">
        <f t="shared" si="25"/>
        <v>0</v>
      </c>
      <c r="P85" s="17">
        <f t="shared" si="26"/>
        <v>0</v>
      </c>
      <c r="Q85" s="18">
        <f t="shared" si="27"/>
        <v>3896.7</v>
      </c>
      <c r="R85" s="42">
        <f>IFERROR((VLOOKUP($A85,'Из ГУГЛа'!$B:$G,6,0)+T85)*S85,VLOOKUP($A85,'Из ГУГЛа'!$B:$G,6,0))</f>
        <v>4290</v>
      </c>
      <c r="S85" s="7">
        <v>1</v>
      </c>
      <c r="T85" s="7">
        <v>0</v>
      </c>
      <c r="U85" s="37">
        <f t="shared" si="28"/>
        <v>0.29889999999999994</v>
      </c>
      <c r="V85" s="37">
        <f t="shared" si="29"/>
        <v>9.1678321678321725E-2</v>
      </c>
      <c r="W85" s="37">
        <f t="shared" si="30"/>
        <v>0.42999999999999994</v>
      </c>
      <c r="X85" s="38">
        <v>4290</v>
      </c>
      <c r="Y85" s="26" t="s">
        <v>543</v>
      </c>
    </row>
    <row r="86" spans="1:25" ht="30" x14ac:dyDescent="0.25">
      <c r="A86" s="33">
        <v>141029</v>
      </c>
      <c r="B86" s="33">
        <f>VLOOKUP($A86,'Выгр Кат'!$A:$R,B$1,0)</f>
        <v>2345</v>
      </c>
      <c r="C86" s="34" t="str">
        <f>VLOOKUP($A86,'Выгр Кат'!$A:$R,C$1,0)</f>
        <v>Глушитель прямоточный "STT" ВАЗ 2113-2114</v>
      </c>
      <c r="D86" s="33" t="str">
        <f>VLOOKUP($A86,'Выгр Кат'!$A:$R,D$1,0)</f>
        <v>Y</v>
      </c>
      <c r="E86" s="33" t="str">
        <f>VLOOKUP($A86,'Выгр Кат'!$A:$R,E$1,0)</f>
        <v>1</v>
      </c>
      <c r="F86" s="33" t="str">
        <f>VLOOKUP($A86,'Выгр Кат'!$A:$R,F$1,0)</f>
        <v>TT-00145.</v>
      </c>
      <c r="G86" s="33"/>
      <c r="H86" s="23" t="s">
        <v>29</v>
      </c>
      <c r="I86" s="41">
        <v>3000</v>
      </c>
      <c r="J86" s="35">
        <f>VLOOKUP(I86,Наценка!$A$1:$B$8,2,1)</f>
        <v>1.4</v>
      </c>
      <c r="K86" s="46">
        <f>X86-100</f>
        <v>4390</v>
      </c>
      <c r="L86" s="20">
        <f t="shared" si="24"/>
        <v>4390</v>
      </c>
      <c r="M86" s="33">
        <f>VLOOKUP($A86,'Выгр Кат'!$A:$R,M$1,0)</f>
        <v>3000</v>
      </c>
      <c r="N86" s="33">
        <f>VLOOKUP($A86,'Выгр Кат'!$A:$R,N$1,0)</f>
        <v>4190</v>
      </c>
      <c r="O86" s="17">
        <f t="shared" si="25"/>
        <v>0</v>
      </c>
      <c r="P86" s="17">
        <f t="shared" si="26"/>
        <v>-200</v>
      </c>
      <c r="Q86" s="18">
        <f t="shared" si="27"/>
        <v>4082.7</v>
      </c>
      <c r="R86" s="42">
        <f>IFERROR((VLOOKUP($A86,'Из ГУГЛа'!$B:$G,6,0)+T86)*S86,VLOOKUP($A86,'Из ГУГЛа'!$B:$G,6,0))</f>
        <v>4490</v>
      </c>
      <c r="S86" s="7">
        <v>1</v>
      </c>
      <c r="T86" s="7">
        <v>0</v>
      </c>
      <c r="U86" s="37">
        <f t="shared" si="28"/>
        <v>0.3609</v>
      </c>
      <c r="V86" s="37">
        <f t="shared" si="29"/>
        <v>9.0712694877505606E-2</v>
      </c>
      <c r="W86" s="37">
        <f t="shared" si="30"/>
        <v>0.49666666666666659</v>
      </c>
      <c r="X86" s="38">
        <v>4490</v>
      </c>
      <c r="Y86" s="26" t="s">
        <v>614</v>
      </c>
    </row>
    <row r="87" spans="1:25" ht="30" x14ac:dyDescent="0.25">
      <c r="A87" s="33">
        <v>141019</v>
      </c>
      <c r="B87" s="33">
        <f>VLOOKUP($A87,'Выгр Кат'!$A:$R,B$1,0)</f>
        <v>41840</v>
      </c>
      <c r="C87" s="34" t="str">
        <f>VLOOKUP($A87,'Выгр Кат'!$A:$R,C$1,0)</f>
        <v>Глушитель прямоточный "STT" для Лада Гранта FL (кроме хэтчбек)</v>
      </c>
      <c r="D87" s="33" t="str">
        <f>VLOOKUP($A87,'Выгр Кат'!$A:$R,D$1,0)</f>
        <v>Y</v>
      </c>
      <c r="E87" s="33" t="str">
        <f>VLOOKUP($A87,'Выгр Кат'!$A:$R,E$1,0)</f>
        <v>1</v>
      </c>
      <c r="F87" s="33" t="str">
        <f>VLOOKUP($A87,'Выгр Кат'!$A:$R,F$1,0)</f>
        <v>ТТ-00290</v>
      </c>
      <c r="G87" s="33"/>
      <c r="H87" s="23" t="s">
        <v>29</v>
      </c>
      <c r="I87" s="41">
        <v>3000</v>
      </c>
      <c r="J87" s="35">
        <f>VLOOKUP(I87,Наценка!$A$1:$B$8,2,1)</f>
        <v>1.4</v>
      </c>
      <c r="K87" s="39">
        <f t="shared" si="31"/>
        <v>4200</v>
      </c>
      <c r="L87" s="20">
        <f t="shared" si="24"/>
        <v>4190</v>
      </c>
      <c r="M87" s="33">
        <f>VLOOKUP($A87,'Выгр Кат'!$A:$R,M$1,0)</f>
        <v>3000</v>
      </c>
      <c r="N87" s="33">
        <f>VLOOKUP($A87,'Выгр Кат'!$A:$R,N$1,0)</f>
        <v>4190</v>
      </c>
      <c r="O87" s="17">
        <f t="shared" si="25"/>
        <v>0</v>
      </c>
      <c r="P87" s="17">
        <f t="shared" si="26"/>
        <v>0</v>
      </c>
      <c r="Q87" s="18">
        <f t="shared" si="27"/>
        <v>3896.7</v>
      </c>
      <c r="R87" s="42" t="str">
        <f>IFERROR((VLOOKUP($A87,'Из ГУГЛа'!$B:$G,6,0)+T87)*S87,VLOOKUP($A87,'Из ГУГЛа'!$B:$G,6,0))</f>
        <v/>
      </c>
      <c r="S87" s="7">
        <v>1</v>
      </c>
      <c r="T87" s="7">
        <v>0</v>
      </c>
      <c r="U87" s="37">
        <f t="shared" si="28"/>
        <v>0.29889999999999994</v>
      </c>
      <c r="V87" s="37" t="str">
        <f t="shared" si="29"/>
        <v/>
      </c>
      <c r="W87" s="37" t="str">
        <f t="shared" si="30"/>
        <v/>
      </c>
      <c r="X87" s="38" t="s">
        <v>521</v>
      </c>
    </row>
    <row r="88" spans="1:25" ht="30" x14ac:dyDescent="0.25">
      <c r="A88" s="33">
        <v>141282</v>
      </c>
      <c r="B88" s="33">
        <f>VLOOKUP($A88,'Выгр Кат'!$A:$R,B$1,0)</f>
        <v>2357</v>
      </c>
      <c r="C88" s="34" t="str">
        <f>VLOOKUP($A88,'Выгр Кат'!$A:$R,C$1,0)</f>
        <v>Глушитель прямоточный "STT" для Лада Приора седан, универсал</v>
      </c>
      <c r="D88" s="33" t="str">
        <f>VLOOKUP($A88,'Выгр Кат'!$A:$R,D$1,0)</f>
        <v>Y</v>
      </c>
      <c r="E88" s="33" t="str">
        <f>VLOOKUP($A88,'Выгр Кат'!$A:$R,E$1,0)</f>
        <v>1</v>
      </c>
      <c r="F88" s="33" t="str">
        <f>VLOOKUP($A88,'Выгр Кат'!$A:$R,F$1,0)</f>
        <v>TT-00193</v>
      </c>
      <c r="G88" s="33"/>
      <c r="H88" s="23" t="s">
        <v>29</v>
      </c>
      <c r="I88" s="41">
        <v>3000</v>
      </c>
      <c r="J88" s="35">
        <f>VLOOKUP(I88,Наценка!$A$1:$B$8,2,1)</f>
        <v>1.4</v>
      </c>
      <c r="K88" s="46">
        <f t="shared" ref="K88:K90" si="33">X88-100</f>
        <v>4490</v>
      </c>
      <c r="L88" s="20">
        <f t="shared" si="24"/>
        <v>4490</v>
      </c>
      <c r="M88" s="33">
        <f>VLOOKUP($A88,'Выгр Кат'!$A:$R,M$1,0)</f>
        <v>3000</v>
      </c>
      <c r="N88" s="33">
        <f>VLOOKUP($A88,'Выгр Кат'!$A:$R,N$1,0)</f>
        <v>4190</v>
      </c>
      <c r="O88" s="17">
        <f t="shared" si="25"/>
        <v>0</v>
      </c>
      <c r="P88" s="17">
        <f t="shared" si="26"/>
        <v>-300</v>
      </c>
      <c r="Q88" s="18">
        <f t="shared" si="27"/>
        <v>4175.7</v>
      </c>
      <c r="R88" s="42">
        <f>IFERROR((VLOOKUP($A88,'Из ГУГЛа'!$B:$G,6,0)+T88)*S88,VLOOKUP($A88,'Из ГУГЛа'!$B:$G,6,0))</f>
        <v>4590</v>
      </c>
      <c r="S88" s="7">
        <v>1</v>
      </c>
      <c r="T88" s="7">
        <v>0</v>
      </c>
      <c r="U88" s="37">
        <f t="shared" si="28"/>
        <v>0.39189999999999992</v>
      </c>
      <c r="V88" s="37">
        <f t="shared" si="29"/>
        <v>9.0261437908496778E-2</v>
      </c>
      <c r="W88" s="37">
        <f t="shared" si="30"/>
        <v>0.53</v>
      </c>
      <c r="X88" s="38">
        <v>4590</v>
      </c>
      <c r="Y88" s="26" t="s">
        <v>512</v>
      </c>
    </row>
    <row r="89" spans="1:25" ht="30" x14ac:dyDescent="0.25">
      <c r="A89" s="33">
        <v>141283</v>
      </c>
      <c r="B89" s="33">
        <f>VLOOKUP($A89,'Выгр Кат'!$A:$R,B$1,0)</f>
        <v>2358</v>
      </c>
      <c r="C89" s="34" t="str">
        <f>VLOOKUP($A89,'Выгр Кат'!$A:$R,C$1,0)</f>
        <v>Глушитель прямоточный "STT" для Лада Приора хэтчбек</v>
      </c>
      <c r="D89" s="33" t="str">
        <f>VLOOKUP($A89,'Выгр Кат'!$A:$R,D$1,0)</f>
        <v>Y</v>
      </c>
      <c r="E89" s="33" t="str">
        <f>VLOOKUP($A89,'Выгр Кат'!$A:$R,E$1,0)</f>
        <v>1</v>
      </c>
      <c r="F89" s="33" t="str">
        <f>VLOOKUP($A89,'Выгр Кат'!$A:$R,F$1,0)</f>
        <v>TT-00150</v>
      </c>
      <c r="G89" s="33"/>
      <c r="H89" s="23" t="s">
        <v>29</v>
      </c>
      <c r="I89" s="41">
        <v>3000</v>
      </c>
      <c r="J89" s="35">
        <f>VLOOKUP(I89,Наценка!$A$1:$B$8,2,1)</f>
        <v>1.4</v>
      </c>
      <c r="K89" s="46">
        <f t="shared" si="33"/>
        <v>4490</v>
      </c>
      <c r="L89" s="20">
        <f t="shared" si="24"/>
        <v>4490</v>
      </c>
      <c r="M89" s="33">
        <f>VLOOKUP($A89,'Выгр Кат'!$A:$R,M$1,0)</f>
        <v>3000</v>
      </c>
      <c r="N89" s="33">
        <f>VLOOKUP($A89,'Выгр Кат'!$A:$R,N$1,0)</f>
        <v>4190</v>
      </c>
      <c r="O89" s="17">
        <f t="shared" si="25"/>
        <v>0</v>
      </c>
      <c r="P89" s="17">
        <f t="shared" si="26"/>
        <v>-300</v>
      </c>
      <c r="Q89" s="18">
        <f t="shared" si="27"/>
        <v>4175.7</v>
      </c>
      <c r="R89" s="42">
        <f>IFERROR((VLOOKUP($A89,'Из ГУГЛа'!$B:$G,6,0)+T89)*S89,VLOOKUP($A89,'Из ГУГЛа'!$B:$G,6,0))</f>
        <v>4590</v>
      </c>
      <c r="S89" s="7">
        <v>1</v>
      </c>
      <c r="T89" s="7">
        <v>0</v>
      </c>
      <c r="U89" s="37">
        <f t="shared" si="28"/>
        <v>0.39189999999999992</v>
      </c>
      <c r="V89" s="37">
        <f t="shared" si="29"/>
        <v>9.0261437908496778E-2</v>
      </c>
      <c r="W89" s="37">
        <f t="shared" si="30"/>
        <v>0.53</v>
      </c>
      <c r="X89" s="38">
        <v>4590</v>
      </c>
      <c r="Y89" s="26" t="s">
        <v>515</v>
      </c>
    </row>
    <row r="90" spans="1:25" ht="30" x14ac:dyDescent="0.25">
      <c r="A90" s="33">
        <v>141031</v>
      </c>
      <c r="B90" s="33">
        <f>VLOOKUP($A90,'Выгр Кат'!$A:$R,B$1,0)</f>
        <v>2381</v>
      </c>
      <c r="C90" s="34" t="str">
        <f>VLOOKUP($A90,'Выгр Кат'!$A:$R,C$1,0)</f>
        <v>Глушитель прямоточный "STT" Калина 1117-1118</v>
      </c>
      <c r="D90" s="33" t="str">
        <f>VLOOKUP($A90,'Выгр Кат'!$A:$R,D$1,0)</f>
        <v>Y</v>
      </c>
      <c r="E90" s="33" t="str">
        <f>VLOOKUP($A90,'Выгр Кат'!$A:$R,E$1,0)</f>
        <v>1</v>
      </c>
      <c r="F90" s="33" t="str">
        <f>VLOOKUP($A90,'Выгр Кат'!$A:$R,F$1,0)</f>
        <v>TT-00204</v>
      </c>
      <c r="G90" s="33"/>
      <c r="H90" s="23" t="s">
        <v>29</v>
      </c>
      <c r="I90" s="41">
        <v>3000</v>
      </c>
      <c r="J90" s="35">
        <f>VLOOKUP(I90,Наценка!$A$1:$B$8,2,1)</f>
        <v>1.4</v>
      </c>
      <c r="K90" s="46">
        <f t="shared" si="33"/>
        <v>4490</v>
      </c>
      <c r="L90" s="20">
        <f t="shared" si="24"/>
        <v>4490</v>
      </c>
      <c r="M90" s="33">
        <f>VLOOKUP($A90,'Выгр Кат'!$A:$R,M$1,0)</f>
        <v>3000</v>
      </c>
      <c r="N90" s="33">
        <f>VLOOKUP($A90,'Выгр Кат'!$A:$R,N$1,0)</f>
        <v>4190</v>
      </c>
      <c r="O90" s="17">
        <f t="shared" si="25"/>
        <v>0</v>
      </c>
      <c r="P90" s="17">
        <f t="shared" si="26"/>
        <v>-300</v>
      </c>
      <c r="Q90" s="18">
        <f t="shared" si="27"/>
        <v>4175.7</v>
      </c>
      <c r="R90" s="42">
        <f>IFERROR((VLOOKUP($A90,'Из ГУГЛа'!$B:$G,6,0)+T90)*S90,VLOOKUP($A90,'Из ГУГЛа'!$B:$G,6,0))</f>
        <v>4590</v>
      </c>
      <c r="S90" s="7">
        <v>1</v>
      </c>
      <c r="T90" s="7">
        <v>0</v>
      </c>
      <c r="U90" s="37">
        <f t="shared" si="28"/>
        <v>0.39189999999999992</v>
      </c>
      <c r="V90" s="37">
        <f t="shared" si="29"/>
        <v>9.0261437908496778E-2</v>
      </c>
      <c r="W90" s="37">
        <f t="shared" si="30"/>
        <v>0.53</v>
      </c>
      <c r="X90" s="38">
        <v>4590</v>
      </c>
      <c r="Y90" s="26" t="s">
        <v>596</v>
      </c>
    </row>
    <row r="91" spans="1:25" ht="60" x14ac:dyDescent="0.25">
      <c r="A91" s="33">
        <v>203710</v>
      </c>
      <c r="B91" s="33">
        <f>VLOOKUP($A91,'Выгр Кат'!$A:$R,B$1,0)</f>
        <v>23508</v>
      </c>
      <c r="C91" s="34" t="str">
        <f>VLOOKUP($A91,'Выгр Кат'!$A:$R,C$1,0)</f>
        <v>Резонатор-труба "STT" (d51, по выпускной коллектор "STT", нержавеющая сталь) для ВАЗ 2108-21099, 2113-2115</v>
      </c>
      <c r="D91" s="33" t="str">
        <f>VLOOKUP($A91,'Выгр Кат'!$A:$R,D$1,0)</f>
        <v>Y</v>
      </c>
      <c r="E91" s="33" t="str">
        <f>VLOOKUP($A91,'Выгр Кат'!$A:$R,E$1,0)</f>
        <v>1ск6</v>
      </c>
      <c r="F91" s="33" t="str">
        <f>VLOOKUP($A91,'Выгр Кат'!$A:$R,F$1,0)</f>
        <v>TT-00107</v>
      </c>
      <c r="G91" s="33"/>
      <c r="H91" s="23" t="s">
        <v>29</v>
      </c>
      <c r="I91" s="41">
        <v>3000</v>
      </c>
      <c r="J91" s="35">
        <f>VLOOKUP(I91,Наценка!$A$1:$B$8,2,1)</f>
        <v>1.4</v>
      </c>
      <c r="K91" s="39">
        <f t="shared" si="31"/>
        <v>4200</v>
      </c>
      <c r="L91" s="20">
        <f t="shared" si="24"/>
        <v>4190</v>
      </c>
      <c r="M91" s="33">
        <f>VLOOKUP($A91,'Выгр Кат'!$A:$R,M$1,0)</f>
        <v>3000</v>
      </c>
      <c r="N91" s="33">
        <f>VLOOKUP($A91,'Выгр Кат'!$A:$R,N$1,0)</f>
        <v>4190</v>
      </c>
      <c r="O91" s="17">
        <f t="shared" si="25"/>
        <v>0</v>
      </c>
      <c r="P91" s="17">
        <f t="shared" si="26"/>
        <v>0</v>
      </c>
      <c r="Q91" s="18">
        <f t="shared" si="27"/>
        <v>3896.7</v>
      </c>
      <c r="R91" s="42" t="str">
        <f>IFERROR((VLOOKUP($A91,'Из ГУГЛа'!$B:$G,6,0)+T91)*S91,VLOOKUP($A91,'Из ГУГЛа'!$B:$G,6,0))</f>
        <v/>
      </c>
      <c r="S91" s="7">
        <v>1</v>
      </c>
      <c r="T91" s="7">
        <v>0</v>
      </c>
      <c r="U91" s="37">
        <f t="shared" si="28"/>
        <v>0.29889999999999994</v>
      </c>
      <c r="V91" s="37" t="str">
        <f t="shared" si="29"/>
        <v/>
      </c>
      <c r="W91" s="37" t="str">
        <f t="shared" si="30"/>
        <v/>
      </c>
      <c r="X91" s="38" t="s">
        <v>521</v>
      </c>
    </row>
    <row r="92" spans="1:25" ht="45" x14ac:dyDescent="0.25">
      <c r="A92" s="33">
        <v>203711</v>
      </c>
      <c r="B92" s="33">
        <f>VLOOKUP($A92,'Выгр Кат'!$A:$R,B$1,0)</f>
        <v>23503</v>
      </c>
      <c r="C92" s="34" t="str">
        <f>VLOOKUP($A92,'Выгр Кат'!$A:$R,C$1,0)</f>
        <v>Резонатор-труба "STT" (d51, по выпускной коллектор "STT", нержавеющая сталь) для Лада Приора</v>
      </c>
      <c r="D92" s="33" t="str">
        <f>VLOOKUP($A92,'Выгр Кат'!$A:$R,D$1,0)</f>
        <v>Y</v>
      </c>
      <c r="E92" s="33" t="str">
        <f>VLOOKUP($A92,'Выгр Кат'!$A:$R,E$1,0)</f>
        <v>1</v>
      </c>
      <c r="F92" s="33" t="str">
        <f>VLOOKUP($A92,'Выгр Кат'!$A:$R,F$1,0)</f>
        <v>ТТ-00305</v>
      </c>
      <c r="G92" s="33"/>
      <c r="H92" s="23" t="s">
        <v>29</v>
      </c>
      <c r="I92" s="41">
        <v>3050</v>
      </c>
      <c r="J92" s="35">
        <f>VLOOKUP(I92,Наценка!$A$1:$B$8,2,1)</f>
        <v>1.4</v>
      </c>
      <c r="K92" s="39">
        <f t="shared" si="31"/>
        <v>4270</v>
      </c>
      <c r="L92" s="20">
        <f t="shared" si="24"/>
        <v>4290</v>
      </c>
      <c r="M92" s="33">
        <f>VLOOKUP($A92,'Выгр Кат'!$A:$R,M$1,0)</f>
        <v>3050</v>
      </c>
      <c r="N92" s="33">
        <f>VLOOKUP($A92,'Выгр Кат'!$A:$R,N$1,0)</f>
        <v>4290</v>
      </c>
      <c r="O92" s="17">
        <f t="shared" si="25"/>
        <v>0</v>
      </c>
      <c r="P92" s="17">
        <f t="shared" si="26"/>
        <v>0</v>
      </c>
      <c r="Q92" s="18">
        <f t="shared" si="27"/>
        <v>3989.7</v>
      </c>
      <c r="R92" s="42" t="str">
        <f>IFERROR((VLOOKUP($A92,'Из ГУГЛа'!$B:$G,6,0)+T92)*S92,VLOOKUP($A92,'Из ГУГЛа'!$B:$G,6,0))</f>
        <v/>
      </c>
      <c r="S92" s="7">
        <v>1</v>
      </c>
      <c r="T92" s="7">
        <v>0</v>
      </c>
      <c r="U92" s="37">
        <f t="shared" si="28"/>
        <v>0.3080983606557377</v>
      </c>
      <c r="V92" s="37" t="str">
        <f t="shared" si="29"/>
        <v/>
      </c>
      <c r="W92" s="37" t="str">
        <f t="shared" si="30"/>
        <v/>
      </c>
      <c r="X92" s="38" t="s">
        <v>521</v>
      </c>
    </row>
    <row r="93" spans="1:25" x14ac:dyDescent="0.25">
      <c r="A93" s="33">
        <v>186960</v>
      </c>
      <c r="B93" s="33">
        <f>VLOOKUP($A93,'Выгр Кат'!$A:$R,B$1,0)</f>
        <v>6871</v>
      </c>
      <c r="C93" s="34" t="str">
        <f>VLOOKUP($A93,'Выгр Кат'!$A:$R,C$1,0)</f>
        <v>Паук 4-2-1 "STT" для Лада Веста 1.6L</v>
      </c>
      <c r="D93" s="33" t="str">
        <f>VLOOKUP($A93,'Выгр Кат'!$A:$R,D$1,0)</f>
        <v>Y</v>
      </c>
      <c r="E93" s="33" t="str">
        <f>VLOOKUP($A93,'Выгр Кат'!$A:$R,E$1,0)</f>
        <v>1</v>
      </c>
      <c r="F93" s="33" t="str">
        <f>VLOOKUP($A93,'Выгр Кат'!$A:$R,F$1,0)</f>
        <v>TT-00075.</v>
      </c>
      <c r="G93" s="33"/>
      <c r="H93" s="23" t="s">
        <v>29</v>
      </c>
      <c r="I93" s="41">
        <v>3100</v>
      </c>
      <c r="J93" s="35">
        <f>VLOOKUP(I93,Наценка!$A$1:$B$8,2,1)</f>
        <v>1.4</v>
      </c>
      <c r="K93" s="39">
        <f t="shared" si="31"/>
        <v>4340</v>
      </c>
      <c r="L93" s="20">
        <f t="shared" si="24"/>
        <v>4390</v>
      </c>
      <c r="M93" s="33">
        <f>VLOOKUP($A93,'Выгр Кат'!$A:$R,M$1,0)</f>
        <v>3100</v>
      </c>
      <c r="N93" s="33">
        <f>VLOOKUP($A93,'Выгр Кат'!$A:$R,N$1,0)</f>
        <v>4390</v>
      </c>
      <c r="O93" s="17">
        <f t="shared" si="25"/>
        <v>0</v>
      </c>
      <c r="P93" s="17">
        <f t="shared" si="26"/>
        <v>0</v>
      </c>
      <c r="Q93" s="18">
        <f t="shared" si="27"/>
        <v>4082.7</v>
      </c>
      <c r="R93" s="42">
        <f>IFERROR((VLOOKUP($A93,'Из ГУГЛа'!$B:$G,6,0)+T93)*S93,VLOOKUP($A93,'Из ГУГЛа'!$B:$G,6,0))</f>
        <v>4390</v>
      </c>
      <c r="S93" s="7">
        <v>1</v>
      </c>
      <c r="T93" s="7">
        <v>0</v>
      </c>
      <c r="U93" s="37">
        <f t="shared" si="28"/>
        <v>0.31699999999999995</v>
      </c>
      <c r="V93" s="37">
        <f t="shared" si="29"/>
        <v>7.0000000000000048E-2</v>
      </c>
      <c r="W93" s="37">
        <f t="shared" si="30"/>
        <v>0.41612903225806441</v>
      </c>
      <c r="X93" s="38">
        <v>4390</v>
      </c>
      <c r="Y93" s="26" t="s">
        <v>530</v>
      </c>
    </row>
    <row r="94" spans="1:25" ht="30" x14ac:dyDescent="0.25">
      <c r="A94" s="33">
        <v>203653</v>
      </c>
      <c r="B94" s="33">
        <f>VLOOKUP($A94,'Выгр Кат'!$A:$R,B$1,0)</f>
        <v>41848</v>
      </c>
      <c r="C94" s="34" t="str">
        <f>VLOOKUP($A94,'Выгр Кат'!$A:$R,C$1,0)</f>
        <v>Резонатор "STT" под штатный коллектор (с гофрой) для Лада Приора</v>
      </c>
      <c r="D94" s="33" t="str">
        <f>VLOOKUP($A94,'Выгр Кат'!$A:$R,D$1,0)</f>
        <v>Y</v>
      </c>
      <c r="E94" s="33" t="str">
        <f>VLOOKUP($A94,'Выгр Кат'!$A:$R,E$1,0)</f>
        <v>1</v>
      </c>
      <c r="F94" s="33" t="str">
        <f>VLOOKUP($A94,'Выгр Кат'!$A:$R,F$1,0)</f>
        <v>ТТ-00367</v>
      </c>
      <c r="G94" s="33"/>
      <c r="H94" s="23" t="s">
        <v>29</v>
      </c>
      <c r="I94" s="41">
        <v>3150</v>
      </c>
      <c r="J94" s="35">
        <f>VLOOKUP(I94,Наценка!$A$1:$B$8,2,1)</f>
        <v>1.4</v>
      </c>
      <c r="K94" s="39">
        <f t="shared" si="31"/>
        <v>4410</v>
      </c>
      <c r="L94" s="20">
        <f t="shared" si="24"/>
        <v>4490</v>
      </c>
      <c r="M94" s="33">
        <f>VLOOKUP($A94,'Выгр Кат'!$A:$R,M$1,0)</f>
        <v>3150</v>
      </c>
      <c r="N94" s="33">
        <f>VLOOKUP($A94,'Выгр Кат'!$A:$R,N$1,0)</f>
        <v>4490</v>
      </c>
      <c r="O94" s="17">
        <f t="shared" si="25"/>
        <v>0</v>
      </c>
      <c r="P94" s="17">
        <f t="shared" si="26"/>
        <v>0</v>
      </c>
      <c r="Q94" s="18">
        <f t="shared" si="27"/>
        <v>4175.7</v>
      </c>
      <c r="R94" s="42" t="str">
        <f>IFERROR((VLOOKUP($A94,'Из ГУГЛа'!$B:$G,6,0)+T94)*S94,VLOOKUP($A94,'Из ГУГЛа'!$B:$G,6,0))</f>
        <v/>
      </c>
      <c r="S94" s="7">
        <v>1</v>
      </c>
      <c r="T94" s="7">
        <v>0</v>
      </c>
      <c r="U94" s="37">
        <f t="shared" si="28"/>
        <v>0.32561904761904747</v>
      </c>
      <c r="V94" s="37" t="str">
        <f t="shared" si="29"/>
        <v/>
      </c>
      <c r="W94" s="37" t="str">
        <f t="shared" si="30"/>
        <v/>
      </c>
      <c r="X94" s="38" t="s">
        <v>521</v>
      </c>
    </row>
    <row r="95" spans="1:25" ht="45" x14ac:dyDescent="0.25">
      <c r="A95" s="33">
        <v>203655</v>
      </c>
      <c r="B95" s="33">
        <f>VLOOKUP($A95,'Выгр Кат'!$A:$R,B$1,0)</f>
        <v>23499</v>
      </c>
      <c r="C95" s="34" t="str">
        <f>VLOOKUP($A95,'Выгр Кат'!$A:$R,C$1,0)</f>
        <v>Резонатор "STT" прямоточный (d51, штатная установка) для Лада Веста (16 V, 1,6 л)</v>
      </c>
      <c r="D95" s="33" t="str">
        <f>VLOOKUP($A95,'Выгр Кат'!$A:$R,D$1,0)</f>
        <v>Y</v>
      </c>
      <c r="E95" s="33" t="str">
        <f>VLOOKUP($A95,'Выгр Кат'!$A:$R,E$1,0)</f>
        <v>1</v>
      </c>
      <c r="F95" s="33" t="str">
        <f>VLOOKUP($A95,'Выгр Кат'!$A:$R,F$1,0)</f>
        <v>ТТ-00299</v>
      </c>
      <c r="G95" s="33"/>
      <c r="H95" s="23" t="s">
        <v>29</v>
      </c>
      <c r="I95" s="41">
        <v>3150</v>
      </c>
      <c r="J95" s="35">
        <f>VLOOKUP(I95,Наценка!$A$1:$B$8,2,1)</f>
        <v>1.4</v>
      </c>
      <c r="K95" s="46">
        <f>X95-100</f>
        <v>4690</v>
      </c>
      <c r="L95" s="20">
        <f t="shared" si="24"/>
        <v>4690</v>
      </c>
      <c r="M95" s="33">
        <f>VLOOKUP($A95,'Выгр Кат'!$A:$R,M$1,0)</f>
        <v>3150</v>
      </c>
      <c r="N95" s="33">
        <f>VLOOKUP($A95,'Выгр Кат'!$A:$R,N$1,0)</f>
        <v>4490</v>
      </c>
      <c r="O95" s="17">
        <f t="shared" si="25"/>
        <v>0</v>
      </c>
      <c r="P95" s="17">
        <f t="shared" si="26"/>
        <v>-200</v>
      </c>
      <c r="Q95" s="18">
        <f t="shared" si="27"/>
        <v>4361.7</v>
      </c>
      <c r="R95" s="42">
        <f>IFERROR((VLOOKUP($A95,'Из ГУГЛа'!$B:$G,6,0)+T95)*S95,VLOOKUP($A95,'Из ГУГЛа'!$B:$G,6,0))</f>
        <v>4790</v>
      </c>
      <c r="S95" s="7">
        <v>1</v>
      </c>
      <c r="T95" s="7">
        <v>0</v>
      </c>
      <c r="U95" s="37">
        <f t="shared" si="28"/>
        <v>0.38466666666666671</v>
      </c>
      <c r="V95" s="37">
        <f t="shared" si="29"/>
        <v>8.9415448851774562E-2</v>
      </c>
      <c r="W95" s="37">
        <f t="shared" si="30"/>
        <v>0.52063492063492056</v>
      </c>
      <c r="X95" s="38">
        <v>4790</v>
      </c>
      <c r="Y95" s="26" t="s">
        <v>528</v>
      </c>
    </row>
    <row r="96" spans="1:25" ht="45" x14ac:dyDescent="0.25">
      <c r="A96" s="33">
        <v>203652</v>
      </c>
      <c r="B96" s="33">
        <f>VLOOKUP($A96,'Выгр Кат'!$A:$R,B$1,0)</f>
        <v>41861</v>
      </c>
      <c r="C96" s="34" t="str">
        <f>VLOOKUP($A96,'Выгр Кат'!$A:$R,C$1,0)</f>
        <v>Резонатор "STT" под штатный катализатор (с гофрой, d51 мм) для Лада Гранта, Гранта FL</v>
      </c>
      <c r="D96" s="33" t="str">
        <f>VLOOKUP($A96,'Выгр Кат'!$A:$R,D$1,0)</f>
        <v>Y</v>
      </c>
      <c r="E96" s="33" t="str">
        <f>VLOOKUP($A96,'Выгр Кат'!$A:$R,E$1,0)</f>
        <v>1</v>
      </c>
      <c r="F96" s="33" t="str">
        <f>VLOOKUP($A96,'Выгр Кат'!$A:$R,F$1,0)</f>
        <v>ТТ-00369</v>
      </c>
      <c r="G96" s="33"/>
      <c r="H96" s="23" t="s">
        <v>29</v>
      </c>
      <c r="I96" s="41">
        <v>3200</v>
      </c>
      <c r="J96" s="35">
        <f>VLOOKUP(I96,Наценка!$A$1:$B$8,2,1)</f>
        <v>1.4</v>
      </c>
      <c r="K96" s="39">
        <f t="shared" si="31"/>
        <v>4480</v>
      </c>
      <c r="L96" s="20">
        <f t="shared" si="24"/>
        <v>4490</v>
      </c>
      <c r="M96" s="33">
        <f>VLOOKUP($A96,'Выгр Кат'!$A:$R,M$1,0)</f>
        <v>3200</v>
      </c>
      <c r="N96" s="33">
        <f>VLOOKUP($A96,'Выгр Кат'!$A:$R,N$1,0)</f>
        <v>4490</v>
      </c>
      <c r="O96" s="17">
        <f t="shared" si="25"/>
        <v>0</v>
      </c>
      <c r="P96" s="17">
        <f t="shared" si="26"/>
        <v>0</v>
      </c>
      <c r="Q96" s="18">
        <f t="shared" si="27"/>
        <v>4175.7</v>
      </c>
      <c r="R96" s="42" t="str">
        <f>IFERROR((VLOOKUP($A96,'Из ГУГЛа'!$B:$G,6,0)+T96)*S96,VLOOKUP($A96,'Из ГУГЛа'!$B:$G,6,0))</f>
        <v/>
      </c>
      <c r="S96" s="7">
        <v>1</v>
      </c>
      <c r="T96" s="7">
        <v>0</v>
      </c>
      <c r="U96" s="37">
        <f t="shared" si="28"/>
        <v>0.30490624999999993</v>
      </c>
      <c r="V96" s="37" t="str">
        <f t="shared" si="29"/>
        <v/>
      </c>
      <c r="W96" s="37" t="str">
        <f t="shared" si="30"/>
        <v/>
      </c>
      <c r="X96" s="38" t="s">
        <v>521</v>
      </c>
    </row>
    <row r="97" spans="1:25" ht="30" x14ac:dyDescent="0.25">
      <c r="A97" s="33">
        <v>141016</v>
      </c>
      <c r="B97" s="33">
        <f>VLOOKUP($A97,'Выгр Кат'!$A:$R,B$1,0)</f>
        <v>23272</v>
      </c>
      <c r="C97" s="34" t="str">
        <f>VLOOKUP($A97,'Выгр Кат'!$A:$R,C$1,0)</f>
        <v>Глушитель прямоточный "STT" для Лада Нива 4x4</v>
      </c>
      <c r="D97" s="33" t="str">
        <f>VLOOKUP($A97,'Выгр Кат'!$A:$R,D$1,0)</f>
        <v>Y</v>
      </c>
      <c r="E97" s="33" t="str">
        <f>VLOOKUP($A97,'Выгр Кат'!$A:$R,E$1,0)</f>
        <v>1</v>
      </c>
      <c r="F97" s="33" t="str">
        <f>VLOOKUP($A97,'Выгр Кат'!$A:$R,F$1,0)</f>
        <v>ТТ-00146</v>
      </c>
      <c r="G97" s="33"/>
      <c r="H97" s="23" t="s">
        <v>29</v>
      </c>
      <c r="I97" s="41">
        <v>3300</v>
      </c>
      <c r="J97" s="35">
        <f>VLOOKUP(I97,Наценка!$A$1:$B$8,2,1)</f>
        <v>1.4</v>
      </c>
      <c r="K97" s="39">
        <f t="shared" si="31"/>
        <v>4620</v>
      </c>
      <c r="L97" s="20">
        <f t="shared" si="24"/>
        <v>4690</v>
      </c>
      <c r="M97" s="33">
        <f>VLOOKUP($A97,'Выгр Кат'!$A:$R,M$1,0)</f>
        <v>3300</v>
      </c>
      <c r="N97" s="33">
        <f>VLOOKUP($A97,'Выгр Кат'!$A:$R,N$1,0)</f>
        <v>4690</v>
      </c>
      <c r="O97" s="17">
        <f t="shared" si="25"/>
        <v>0</v>
      </c>
      <c r="P97" s="17">
        <f t="shared" si="26"/>
        <v>0</v>
      </c>
      <c r="Q97" s="18">
        <f t="shared" si="27"/>
        <v>4361.7</v>
      </c>
      <c r="R97" s="42">
        <f>IFERROR((VLOOKUP($A97,'Из ГУГЛа'!$B:$G,6,0)+T97)*S97,VLOOKUP($A97,'Из ГУГЛа'!$B:$G,6,0))</f>
        <v>4690</v>
      </c>
      <c r="S97" s="7">
        <v>1</v>
      </c>
      <c r="T97" s="7">
        <v>0</v>
      </c>
      <c r="U97" s="37">
        <f t="shared" si="28"/>
        <v>0.32172727272727264</v>
      </c>
      <c r="V97" s="37">
        <f t="shared" si="29"/>
        <v>7.0000000000000034E-2</v>
      </c>
      <c r="W97" s="37">
        <f t="shared" si="30"/>
        <v>0.42121212121212115</v>
      </c>
      <c r="X97" s="38">
        <v>4690</v>
      </c>
      <c r="Y97" s="26" t="s">
        <v>526</v>
      </c>
    </row>
    <row r="98" spans="1:25" ht="30" x14ac:dyDescent="0.25">
      <c r="A98" s="33">
        <v>141017</v>
      </c>
      <c r="B98" s="33">
        <f>VLOOKUP($A98,'Выгр Кат'!$A:$R,B$1,0)</f>
        <v>23250</v>
      </c>
      <c r="C98" s="34" t="str">
        <f>VLOOKUP($A98,'Выгр Кат'!$A:$R,C$1,0)</f>
        <v>Глушитель прямоточный "STT" для Шевроле Нива</v>
      </c>
      <c r="D98" s="33" t="str">
        <f>VLOOKUP($A98,'Выгр Кат'!$A:$R,D$1,0)</f>
        <v>Y</v>
      </c>
      <c r="E98" s="33" t="str">
        <f>VLOOKUP($A98,'Выгр Кат'!$A:$R,E$1,0)</f>
        <v>1</v>
      </c>
      <c r="F98" s="33" t="str">
        <f>VLOOKUP($A98,'Выгр Кат'!$A:$R,F$1,0)</f>
        <v>ТТ-00289</v>
      </c>
      <c r="G98" s="33"/>
      <c r="H98" s="23" t="s">
        <v>29</v>
      </c>
      <c r="I98" s="41">
        <v>3300</v>
      </c>
      <c r="J98" s="35">
        <f>VLOOKUP(I98,Наценка!$A$1:$B$8,2,1)</f>
        <v>1.4</v>
      </c>
      <c r="K98" s="39">
        <f t="shared" si="31"/>
        <v>4620</v>
      </c>
      <c r="L98" s="20">
        <f t="shared" si="24"/>
        <v>4690</v>
      </c>
      <c r="M98" s="33">
        <f>VLOOKUP($A98,'Выгр Кат'!$A:$R,M$1,0)</f>
        <v>3300</v>
      </c>
      <c r="N98" s="33">
        <f>VLOOKUP($A98,'Выгр Кат'!$A:$R,N$1,0)</f>
        <v>4690</v>
      </c>
      <c r="O98" s="17">
        <f t="shared" si="25"/>
        <v>0</v>
      </c>
      <c r="P98" s="17">
        <f t="shared" si="26"/>
        <v>0</v>
      </c>
      <c r="Q98" s="18">
        <f t="shared" si="27"/>
        <v>4361.7</v>
      </c>
      <c r="R98" s="42" t="str">
        <f>IFERROR((VLOOKUP($A98,'Из ГУГЛа'!$B:$G,6,0)+T98)*S98,VLOOKUP($A98,'Из ГУГЛа'!$B:$G,6,0))</f>
        <v/>
      </c>
      <c r="S98" s="7">
        <v>1</v>
      </c>
      <c r="T98" s="7">
        <v>0</v>
      </c>
      <c r="U98" s="37">
        <f t="shared" si="28"/>
        <v>0.32172727272727264</v>
      </c>
      <c r="V98" s="37" t="str">
        <f t="shared" si="29"/>
        <v/>
      </c>
      <c r="W98" s="37" t="str">
        <f t="shared" si="30"/>
        <v/>
      </c>
      <c r="X98" s="38" t="s">
        <v>521</v>
      </c>
    </row>
    <row r="99" spans="1:25" ht="30" x14ac:dyDescent="0.25">
      <c r="A99" s="33">
        <v>141012</v>
      </c>
      <c r="B99" s="33">
        <f>VLOOKUP($A99,'Выгр Кат'!$A:$R,B$1,0)</f>
        <v>23255</v>
      </c>
      <c r="C99" s="34" t="str">
        <f>VLOOKUP($A99,'Выгр Кат'!$A:$R,C$1,0)</f>
        <v>Глушитель "STT" прямоточный (овальный) для ВАЗ 2113, 2114</v>
      </c>
      <c r="D99" s="33" t="str">
        <f>VLOOKUP($A99,'Выгр Кат'!$A:$R,D$1,0)</f>
        <v>Y</v>
      </c>
      <c r="E99" s="33" t="str">
        <f>VLOOKUP($A99,'Выгр Кат'!$A:$R,E$1,0)</f>
        <v>1</v>
      </c>
      <c r="F99" s="33" t="str">
        <f>VLOOKUP($A99,'Выгр Кат'!$A:$R,F$1,0)</f>
        <v>ТТ-00288</v>
      </c>
      <c r="G99" s="33"/>
      <c r="H99" s="23" t="s">
        <v>29</v>
      </c>
      <c r="I99" s="41">
        <v>3550</v>
      </c>
      <c r="J99" s="35">
        <f>VLOOKUP(I99,Наценка!$A$1:$B$8,2,1)</f>
        <v>1.4</v>
      </c>
      <c r="K99" s="39">
        <f t="shared" ref="K99:K130" si="34">I99*J99</f>
        <v>4970</v>
      </c>
      <c r="L99" s="20">
        <f t="shared" ref="L99:L130" si="35">IF(K99&lt;=1000,(ROUNDUP(K99,-1)-1),(ROUNDUP(K99,-2)-10))</f>
        <v>4990</v>
      </c>
      <c r="M99" s="33">
        <f>VLOOKUP($A99,'Выгр Кат'!$A:$R,M$1,0)</f>
        <v>3550</v>
      </c>
      <c r="N99" s="33">
        <f>VLOOKUP($A99,'Выгр Кат'!$A:$R,N$1,0)</f>
        <v>4990</v>
      </c>
      <c r="O99" s="17">
        <f t="shared" ref="O99:O130" si="36">M99-I99</f>
        <v>0</v>
      </c>
      <c r="P99" s="17">
        <f t="shared" ref="P99:P130" si="37">N99-L99</f>
        <v>0</v>
      </c>
      <c r="Q99" s="18">
        <f t="shared" ref="Q99:Q130" si="38">IFERROR(L99*(1-$Q$2),"")</f>
        <v>4640.7</v>
      </c>
      <c r="R99" s="42" t="str">
        <f>IFERROR((VLOOKUP($A99,'Из ГУГЛа'!$B:$G,6,0)+T99)*S99,VLOOKUP($A99,'Из ГУГЛа'!$B:$G,6,0))</f>
        <v/>
      </c>
      <c r="S99" s="7">
        <v>1</v>
      </c>
      <c r="T99" s="7">
        <v>0</v>
      </c>
      <c r="U99" s="37">
        <f t="shared" ref="U99:U130" si="39">IFERROR(Q99/I99-1,"")</f>
        <v>0.3072394366197182</v>
      </c>
      <c r="V99" s="37" t="str">
        <f t="shared" ref="V99:V130" si="40">IFERROR((X99-Q99)/X99,"")</f>
        <v/>
      </c>
      <c r="W99" s="37" t="str">
        <f t="shared" ref="W99:W130" si="41">IFERROR(IF(X99="","",X99/I99-1),"")</f>
        <v/>
      </c>
      <c r="X99" s="38" t="s">
        <v>521</v>
      </c>
    </row>
    <row r="100" spans="1:25" ht="45" x14ac:dyDescent="0.25">
      <c r="A100" s="33">
        <v>141022</v>
      </c>
      <c r="B100" s="33">
        <f>VLOOKUP($A100,'Выгр Кат'!$A:$R,B$1,0)</f>
        <v>41846</v>
      </c>
      <c r="C100" s="34" t="str">
        <f>VLOOKUP($A100,'Выгр Кат'!$A:$R,C$1,0)</f>
        <v>Глушитель "STT" прямоточный, овальный для Лада Калина 2, Гранта, Гранта FL</v>
      </c>
      <c r="D100" s="33" t="str">
        <f>VLOOKUP($A100,'Выгр Кат'!$A:$R,D$1,0)</f>
        <v>Y</v>
      </c>
      <c r="E100" s="33" t="str">
        <f>VLOOKUP($A100,'Выгр Кат'!$A:$R,E$1,0)</f>
        <v>1</v>
      </c>
      <c r="F100" s="33" t="str">
        <f>VLOOKUP($A100,'Выгр Кат'!$A:$R,F$1,0)</f>
        <v>ТТ-00359</v>
      </c>
      <c r="G100" s="33"/>
      <c r="H100" s="23" t="s">
        <v>29</v>
      </c>
      <c r="I100" s="41">
        <v>3550</v>
      </c>
      <c r="J100" s="35">
        <f>VLOOKUP(I100,Наценка!$A$1:$B$8,2,1)</f>
        <v>1.4</v>
      </c>
      <c r="K100" s="39">
        <f t="shared" si="34"/>
        <v>4970</v>
      </c>
      <c r="L100" s="20">
        <f t="shared" si="35"/>
        <v>4990</v>
      </c>
      <c r="M100" s="33">
        <f>VLOOKUP($A100,'Выгр Кат'!$A:$R,M$1,0)</f>
        <v>3550</v>
      </c>
      <c r="N100" s="33">
        <f>VLOOKUP($A100,'Выгр Кат'!$A:$R,N$1,0)</f>
        <v>4990</v>
      </c>
      <c r="O100" s="17">
        <f t="shared" si="36"/>
        <v>0</v>
      </c>
      <c r="P100" s="17">
        <f t="shared" si="37"/>
        <v>0</v>
      </c>
      <c r="Q100" s="18">
        <f t="shared" si="38"/>
        <v>4640.7</v>
      </c>
      <c r="R100" s="42" t="str">
        <f>IFERROR((VLOOKUP($A100,'Из ГУГЛа'!$B:$G,6,0)+T100)*S100,VLOOKUP($A100,'Из ГУГЛа'!$B:$G,6,0))</f>
        <v/>
      </c>
      <c r="S100" s="7">
        <v>1</v>
      </c>
      <c r="T100" s="7">
        <v>0</v>
      </c>
      <c r="U100" s="37">
        <f t="shared" si="39"/>
        <v>0.3072394366197182</v>
      </c>
      <c r="V100" s="37" t="str">
        <f t="shared" si="40"/>
        <v/>
      </c>
      <c r="W100" s="37" t="str">
        <f t="shared" si="41"/>
        <v/>
      </c>
      <c r="X100" s="38" t="s">
        <v>521</v>
      </c>
    </row>
    <row r="101" spans="1:25" ht="30" x14ac:dyDescent="0.25">
      <c r="A101" s="33">
        <v>141021</v>
      </c>
      <c r="B101" s="33">
        <f>VLOOKUP($A101,'Выгр Кат'!$A:$R,B$1,0)</f>
        <v>41833</v>
      </c>
      <c r="C101" s="34" t="str">
        <f>VLOOKUP($A101,'Выгр Кат'!$A:$R,C$1,0)</f>
        <v>Глушитель овальный прямоточный "STT" для Лада Веста</v>
      </c>
      <c r="D101" s="33" t="str">
        <f>VLOOKUP($A101,'Выгр Кат'!$A:$R,D$1,0)</f>
        <v>Y</v>
      </c>
      <c r="E101" s="33" t="str">
        <f>VLOOKUP($A101,'Выгр Кат'!$A:$R,E$1,0)</f>
        <v>1</v>
      </c>
      <c r="F101" s="33" t="str">
        <f>VLOOKUP($A101,'Выгр Кат'!$A:$R,F$1,0)</f>
        <v>ТТ-00358</v>
      </c>
      <c r="G101" s="33"/>
      <c r="H101" s="23" t="s">
        <v>29</v>
      </c>
      <c r="I101" s="41">
        <v>3550</v>
      </c>
      <c r="J101" s="35">
        <f>VLOOKUP(I101,Наценка!$A$1:$B$8,2,1)</f>
        <v>1.4</v>
      </c>
      <c r="K101" s="39">
        <f t="shared" si="34"/>
        <v>4970</v>
      </c>
      <c r="L101" s="20">
        <f t="shared" si="35"/>
        <v>4990</v>
      </c>
      <c r="M101" s="33">
        <f>VLOOKUP($A101,'Выгр Кат'!$A:$R,M$1,0)</f>
        <v>3550</v>
      </c>
      <c r="N101" s="33">
        <f>VLOOKUP($A101,'Выгр Кат'!$A:$R,N$1,0)</f>
        <v>4990</v>
      </c>
      <c r="O101" s="17">
        <f t="shared" si="36"/>
        <v>0</v>
      </c>
      <c r="P101" s="17">
        <f t="shared" si="37"/>
        <v>0</v>
      </c>
      <c r="Q101" s="18">
        <f t="shared" si="38"/>
        <v>4640.7</v>
      </c>
      <c r="R101" s="42" t="str">
        <f>IFERROR((VLOOKUP($A101,'Из ГУГЛа'!$B:$G,6,0)+T101)*S101,VLOOKUP($A101,'Из ГУГЛа'!$B:$G,6,0))</f>
        <v/>
      </c>
      <c r="S101" s="7">
        <v>1</v>
      </c>
      <c r="T101" s="7">
        <v>0</v>
      </c>
      <c r="U101" s="37">
        <f t="shared" si="39"/>
        <v>0.3072394366197182</v>
      </c>
      <c r="V101" s="37" t="str">
        <f t="shared" si="40"/>
        <v/>
      </c>
      <c r="W101" s="37" t="str">
        <f t="shared" si="41"/>
        <v/>
      </c>
      <c r="X101" s="38" t="s">
        <v>521</v>
      </c>
    </row>
    <row r="102" spans="1:25" ht="45" x14ac:dyDescent="0.25">
      <c r="A102" s="33">
        <v>141289</v>
      </c>
      <c r="B102" s="33">
        <f>VLOOKUP($A102,'Выгр Кат'!$A:$R,B$1,0)</f>
        <v>23253</v>
      </c>
      <c r="C102" s="34" t="str">
        <f>VLOOKUP($A102,'Выгр Кат'!$A:$R,C$1,0)</f>
        <v>Глушитель прямоточный овальный "STT" для Лада Приора седан, универсал</v>
      </c>
      <c r="D102" s="33" t="str">
        <f>VLOOKUP($A102,'Выгр Кат'!$A:$R,D$1,0)</f>
        <v>Y</v>
      </c>
      <c r="E102" s="33" t="str">
        <f>VLOOKUP($A102,'Выгр Кат'!$A:$R,E$1,0)</f>
        <v>1ск6</v>
      </c>
      <c r="F102" s="33" t="str">
        <f>VLOOKUP($A102,'Выгр Кат'!$A:$R,F$1,0)</f>
        <v>ТТ-00194</v>
      </c>
      <c r="G102" s="33"/>
      <c r="H102" s="23" t="s">
        <v>29</v>
      </c>
      <c r="I102" s="41">
        <v>3550</v>
      </c>
      <c r="J102" s="35">
        <f>VLOOKUP(I102,Наценка!$A$1:$B$8,2,1)</f>
        <v>1.4</v>
      </c>
      <c r="K102" s="39">
        <f t="shared" si="34"/>
        <v>4970</v>
      </c>
      <c r="L102" s="20">
        <f t="shared" si="35"/>
        <v>4990</v>
      </c>
      <c r="M102" s="33">
        <f>VLOOKUP($A102,'Выгр Кат'!$A:$R,M$1,0)</f>
        <v>3550</v>
      </c>
      <c r="N102" s="33">
        <f>VLOOKUP($A102,'Выгр Кат'!$A:$R,N$1,0)</f>
        <v>4990</v>
      </c>
      <c r="O102" s="17">
        <f t="shared" si="36"/>
        <v>0</v>
      </c>
      <c r="P102" s="17">
        <f t="shared" si="37"/>
        <v>0</v>
      </c>
      <c r="Q102" s="18">
        <f t="shared" si="38"/>
        <v>4640.7</v>
      </c>
      <c r="R102" s="42" t="str">
        <f>IFERROR((VLOOKUP($A102,'Из ГУГЛа'!$B:$G,6,0)+T102)*S102,VLOOKUP($A102,'Из ГУГЛа'!$B:$G,6,0))</f>
        <v/>
      </c>
      <c r="S102" s="7">
        <v>1</v>
      </c>
      <c r="T102" s="7">
        <v>0</v>
      </c>
      <c r="U102" s="37">
        <f t="shared" si="39"/>
        <v>0.3072394366197182</v>
      </c>
      <c r="V102" s="37" t="str">
        <f t="shared" si="40"/>
        <v/>
      </c>
      <c r="W102" s="37" t="str">
        <f t="shared" si="41"/>
        <v/>
      </c>
      <c r="X102" s="38" t="s">
        <v>521</v>
      </c>
    </row>
    <row r="103" spans="1:25" ht="30" x14ac:dyDescent="0.25">
      <c r="A103" s="33">
        <v>141290</v>
      </c>
      <c r="B103" s="33">
        <f>VLOOKUP($A103,'Выгр Кат'!$A:$R,B$1,0)</f>
        <v>23252</v>
      </c>
      <c r="C103" s="34" t="str">
        <f>VLOOKUP($A103,'Выгр Кат'!$A:$R,C$1,0)</f>
        <v>Глушитель прямоточный овальный "STT" для Лада Приора хэтчбек</v>
      </c>
      <c r="D103" s="33" t="str">
        <f>VLOOKUP($A103,'Выгр Кат'!$A:$R,D$1,0)</f>
        <v>Y</v>
      </c>
      <c r="E103" s="33" t="str">
        <f>VLOOKUP($A103,'Выгр Кат'!$A:$R,E$1,0)</f>
        <v>1</v>
      </c>
      <c r="F103" s="33" t="str">
        <f>VLOOKUP($A103,'Выгр Кат'!$A:$R,F$1,0)</f>
        <v>ТТ-00291</v>
      </c>
      <c r="G103" s="33"/>
      <c r="H103" s="23" t="s">
        <v>29</v>
      </c>
      <c r="I103" s="41">
        <v>3550</v>
      </c>
      <c r="J103" s="35">
        <f>VLOOKUP(I103,Наценка!$A$1:$B$8,2,1)</f>
        <v>1.4</v>
      </c>
      <c r="K103" s="39">
        <f t="shared" si="34"/>
        <v>4970</v>
      </c>
      <c r="L103" s="20">
        <f t="shared" si="35"/>
        <v>4990</v>
      </c>
      <c r="M103" s="33">
        <f>VLOOKUP($A103,'Выгр Кат'!$A:$R,M$1,0)</f>
        <v>3550</v>
      </c>
      <c r="N103" s="33">
        <f>VLOOKUP($A103,'Выгр Кат'!$A:$R,N$1,0)</f>
        <v>4990</v>
      </c>
      <c r="O103" s="17">
        <f t="shared" si="36"/>
        <v>0</v>
      </c>
      <c r="P103" s="17">
        <f t="shared" si="37"/>
        <v>0</v>
      </c>
      <c r="Q103" s="18">
        <f t="shared" si="38"/>
        <v>4640.7</v>
      </c>
      <c r="R103" s="42" t="str">
        <f>IFERROR((VLOOKUP($A103,'Из ГУГЛа'!$B:$G,6,0)+T103)*S103,VLOOKUP($A103,'Из ГУГЛа'!$B:$G,6,0))</f>
        <v/>
      </c>
      <c r="S103" s="7">
        <v>1</v>
      </c>
      <c r="T103" s="7">
        <v>0</v>
      </c>
      <c r="U103" s="37">
        <f t="shared" si="39"/>
        <v>0.3072394366197182</v>
      </c>
      <c r="V103" s="37" t="str">
        <f t="shared" si="40"/>
        <v/>
      </c>
      <c r="W103" s="37" t="str">
        <f t="shared" si="41"/>
        <v/>
      </c>
      <c r="X103" s="38" t="s">
        <v>521</v>
      </c>
    </row>
    <row r="104" spans="1:25" ht="45" x14ac:dyDescent="0.25">
      <c r="A104" s="33">
        <v>203720</v>
      </c>
      <c r="B104" s="33">
        <f>VLOOKUP($A104,'Выгр Кат'!$A:$R,B$1,0)</f>
        <v>41871</v>
      </c>
      <c r="C104" s="34" t="str">
        <f>VLOOKUP($A104,'Выгр Кат'!$A:$R,C$1,0)</f>
        <v>Резонатор-труба "STT" под выпуск d51 (нержавейка) для Лада Калина 2, Гранта</v>
      </c>
      <c r="D104" s="33" t="str">
        <f>VLOOKUP($A104,'Выгр Кат'!$A:$R,D$1,0)</f>
        <v>Y</v>
      </c>
      <c r="E104" s="33" t="str">
        <f>VLOOKUP($A104,'Выгр Кат'!$A:$R,E$1,0)</f>
        <v>1</v>
      </c>
      <c r="F104" s="33" t="str">
        <f>VLOOKUP($A104,'Выгр Кат'!$A:$R,F$1,0)</f>
        <v>TT-00311</v>
      </c>
      <c r="G104" s="33"/>
      <c r="H104" s="23" t="s">
        <v>29</v>
      </c>
      <c r="I104" s="41">
        <v>3600</v>
      </c>
      <c r="J104" s="35">
        <f>VLOOKUP(I104,Наценка!$A$1:$B$8,2,1)</f>
        <v>1.4</v>
      </c>
      <c r="K104" s="39">
        <f t="shared" si="34"/>
        <v>5040</v>
      </c>
      <c r="L104" s="20">
        <f t="shared" si="35"/>
        <v>5090</v>
      </c>
      <c r="M104" s="33">
        <f>VLOOKUP($A104,'Выгр Кат'!$A:$R,M$1,0)</f>
        <v>3600</v>
      </c>
      <c r="N104" s="33">
        <f>VLOOKUP($A104,'Выгр Кат'!$A:$R,N$1,0)</f>
        <v>5090</v>
      </c>
      <c r="O104" s="17">
        <f t="shared" si="36"/>
        <v>0</v>
      </c>
      <c r="P104" s="17">
        <f t="shared" si="37"/>
        <v>0</v>
      </c>
      <c r="Q104" s="18">
        <f t="shared" si="38"/>
        <v>4733.7</v>
      </c>
      <c r="R104" s="42" t="str">
        <f>IFERROR((VLOOKUP($A104,'Из ГУГЛа'!$B:$G,6,0)+T104)*S104,VLOOKUP($A104,'Из ГУГЛа'!$B:$G,6,0))</f>
        <v/>
      </c>
      <c r="S104" s="7">
        <v>1</v>
      </c>
      <c r="T104" s="7">
        <v>0</v>
      </c>
      <c r="U104" s="37">
        <f t="shared" si="39"/>
        <v>0.31491666666666651</v>
      </c>
      <c r="V104" s="37" t="str">
        <f t="shared" si="40"/>
        <v/>
      </c>
      <c r="W104" s="37" t="str">
        <f t="shared" si="41"/>
        <v/>
      </c>
      <c r="X104" s="38" t="s">
        <v>521</v>
      </c>
    </row>
    <row r="105" spans="1:25" ht="45" x14ac:dyDescent="0.25">
      <c r="A105" s="33">
        <v>139554</v>
      </c>
      <c r="B105" s="33">
        <f>VLOOKUP($A105,'Выгр Кат'!$A:$R,B$1,0)</f>
        <v>23249</v>
      </c>
      <c r="C105" s="34" t="str">
        <f>VLOOKUP($A105,'Выгр Кат'!$A:$R,C$1,0)</f>
        <v>Вставка "STT" вместо катализатора, 4-1, 16V (нержавеющая сталь, 2 датчика кислорода) для Лада Веста</v>
      </c>
      <c r="D105" s="33" t="str">
        <f>VLOOKUP($A105,'Выгр Кат'!$A:$R,D$1,0)</f>
        <v>Y</v>
      </c>
      <c r="E105" s="33" t="str">
        <f>VLOOKUP($A105,'Выгр Кат'!$A:$R,E$1,0)</f>
        <v>1</v>
      </c>
      <c r="F105" s="33" t="str">
        <f>VLOOKUP($A105,'Выгр Кат'!$A:$R,F$1,0)</f>
        <v>ТТ-00221</v>
      </c>
      <c r="G105" s="33"/>
      <c r="H105" s="23" t="s">
        <v>29</v>
      </c>
      <c r="I105" s="41">
        <v>3750</v>
      </c>
      <c r="J105" s="35">
        <f>VLOOKUP(I105,Наценка!$A$1:$B$8,2,1)</f>
        <v>1.4</v>
      </c>
      <c r="K105" s="46">
        <f t="shared" ref="K105:K108" si="42">X105-100</f>
        <v>5590</v>
      </c>
      <c r="L105" s="20">
        <f t="shared" si="35"/>
        <v>5590</v>
      </c>
      <c r="M105" s="33">
        <f>VLOOKUP($A105,'Выгр Кат'!$A:$R,M$1,0)</f>
        <v>3750</v>
      </c>
      <c r="N105" s="33">
        <f>VLOOKUP($A105,'Выгр Кат'!$A:$R,N$1,0)</f>
        <v>5290</v>
      </c>
      <c r="O105" s="17">
        <f t="shared" si="36"/>
        <v>0</v>
      </c>
      <c r="P105" s="17">
        <f t="shared" si="37"/>
        <v>-300</v>
      </c>
      <c r="Q105" s="18">
        <f t="shared" si="38"/>
        <v>5198.7</v>
      </c>
      <c r="R105" s="42">
        <f>IFERROR((VLOOKUP($A105,'Из ГУГЛа'!$B:$G,6,0)+T105)*S105,VLOOKUP($A105,'Из ГУГЛа'!$B:$G,6,0))</f>
        <v>5690</v>
      </c>
      <c r="S105" s="7">
        <v>1</v>
      </c>
      <c r="T105" s="7">
        <v>0</v>
      </c>
      <c r="U105" s="37">
        <f t="shared" si="39"/>
        <v>0.38632</v>
      </c>
      <c r="V105" s="37">
        <f t="shared" si="40"/>
        <v>8.6344463971880531E-2</v>
      </c>
      <c r="W105" s="37">
        <f t="shared" si="41"/>
        <v>0.51733333333333342</v>
      </c>
      <c r="X105" s="38">
        <v>5690</v>
      </c>
      <c r="Y105" s="26" t="s">
        <v>499</v>
      </c>
    </row>
    <row r="106" spans="1:25" ht="60" x14ac:dyDescent="0.25">
      <c r="A106" s="33">
        <v>139566</v>
      </c>
      <c r="B106" s="33">
        <f>VLOOKUP($A106,'Выгр Кат'!$A:$R,B$1,0)</f>
        <v>41649</v>
      </c>
      <c r="C106" s="34" t="str">
        <f>VLOOKUP($A106,'Выгр Кат'!$A:$R,C$1,0)</f>
        <v>Вставка "STT" замены катализатора, 4-1, (d51 мм, нержавеющая) для Лада Ларгус, XRAY (ВАЗ-21129, 1.6 л, 16 клапанный)</v>
      </c>
      <c r="D106" s="33" t="str">
        <f>VLOOKUP($A106,'Выгр Кат'!$A:$R,D$1,0)</f>
        <v>Y</v>
      </c>
      <c r="E106" s="33" t="str">
        <f>VLOOKUP($A106,'Выгр Кат'!$A:$R,E$1,0)</f>
        <v>1</v>
      </c>
      <c r="F106" s="33" t="str">
        <f>VLOOKUP($A106,'Выгр Кат'!$A:$R,F$1,0)</f>
        <v>ТТ-00225</v>
      </c>
      <c r="G106" s="33"/>
      <c r="H106" s="23" t="s">
        <v>29</v>
      </c>
      <c r="I106" s="41">
        <v>3750</v>
      </c>
      <c r="J106" s="35">
        <f>VLOOKUP(I106,Наценка!$A$1:$B$8,2,1)</f>
        <v>1.4</v>
      </c>
      <c r="K106" s="46">
        <f t="shared" si="42"/>
        <v>5590</v>
      </c>
      <c r="L106" s="20">
        <f t="shared" si="35"/>
        <v>5590</v>
      </c>
      <c r="M106" s="33">
        <f>VLOOKUP($A106,'Выгр Кат'!$A:$R,M$1,0)</f>
        <v>3750</v>
      </c>
      <c r="N106" s="33">
        <f>VLOOKUP($A106,'Выгр Кат'!$A:$R,N$1,0)</f>
        <v>5290</v>
      </c>
      <c r="O106" s="17">
        <f t="shared" si="36"/>
        <v>0</v>
      </c>
      <c r="P106" s="17">
        <f t="shared" si="37"/>
        <v>-300</v>
      </c>
      <c r="Q106" s="18">
        <f t="shared" si="38"/>
        <v>5198.7</v>
      </c>
      <c r="R106" s="42">
        <f>IFERROR((VLOOKUP($A106,'Из ГУГЛа'!$B:$G,6,0)+T106)*S106,VLOOKUP($A106,'Из ГУГЛа'!$B:$G,6,0))</f>
        <v>5690</v>
      </c>
      <c r="S106" s="7">
        <v>1</v>
      </c>
      <c r="T106" s="7">
        <v>0</v>
      </c>
      <c r="U106" s="37">
        <f t="shared" si="39"/>
        <v>0.38632</v>
      </c>
      <c r="V106" s="37">
        <f t="shared" si="40"/>
        <v>8.6344463971880531E-2</v>
      </c>
      <c r="W106" s="37">
        <f t="shared" si="41"/>
        <v>0.51733333333333342</v>
      </c>
      <c r="X106" s="38">
        <v>5690</v>
      </c>
      <c r="Y106" s="26" t="s">
        <v>499</v>
      </c>
    </row>
    <row r="107" spans="1:25" ht="30" x14ac:dyDescent="0.25">
      <c r="A107" s="33">
        <v>140125</v>
      </c>
      <c r="B107" s="33">
        <f>VLOOKUP($A107,'Выгр Кат'!$A:$R,B$1,0)</f>
        <v>23201</v>
      </c>
      <c r="C107" s="34" t="str">
        <f>VLOOKUP($A107,'Выгр Кат'!$A:$R,C$1,0)</f>
        <v>Выпускной коллектор (паук) "STT" 4-2-1, 16V для ВАЗ 2101-2107</v>
      </c>
      <c r="D107" s="33" t="str">
        <f>VLOOKUP($A107,'Выгр Кат'!$A:$R,D$1,0)</f>
        <v>Y</v>
      </c>
      <c r="E107" s="33" t="str">
        <f>VLOOKUP($A107,'Выгр Кат'!$A:$R,E$1,0)</f>
        <v>1</v>
      </c>
      <c r="F107" s="33" t="str">
        <f>VLOOKUP($A107,'Выгр Кат'!$A:$R,F$1,0)</f>
        <v>TT-00023.</v>
      </c>
      <c r="G107" s="33"/>
      <c r="H107" s="23" t="s">
        <v>29</v>
      </c>
      <c r="I107" s="41">
        <v>3750</v>
      </c>
      <c r="J107" s="35">
        <f>VLOOKUP(I107,Наценка!$A$1:$B$8,2,1)</f>
        <v>1.4</v>
      </c>
      <c r="K107" s="46">
        <f t="shared" si="42"/>
        <v>5590</v>
      </c>
      <c r="L107" s="20">
        <f t="shared" si="35"/>
        <v>5590</v>
      </c>
      <c r="M107" s="33">
        <f>VLOOKUP($A107,'Выгр Кат'!$A:$R,M$1,0)</f>
        <v>3750</v>
      </c>
      <c r="N107" s="33">
        <f>VLOOKUP($A107,'Выгр Кат'!$A:$R,N$1,0)</f>
        <v>5290</v>
      </c>
      <c r="O107" s="17">
        <f t="shared" si="36"/>
        <v>0</v>
      </c>
      <c r="P107" s="17">
        <f t="shared" si="37"/>
        <v>-300</v>
      </c>
      <c r="Q107" s="18">
        <f t="shared" si="38"/>
        <v>5198.7</v>
      </c>
      <c r="R107" s="42">
        <f>IFERROR((VLOOKUP($A107,'Из ГУГЛа'!$B:$G,6,0)+T107)*S107,VLOOKUP($A107,'Из ГУГЛа'!$B:$G,6,0))</f>
        <v>5690</v>
      </c>
      <c r="S107" s="7">
        <v>1</v>
      </c>
      <c r="T107" s="7">
        <v>0</v>
      </c>
      <c r="U107" s="37">
        <f t="shared" si="39"/>
        <v>0.38632</v>
      </c>
      <c r="V107" s="37">
        <f t="shared" si="40"/>
        <v>8.6344463971880531E-2</v>
      </c>
      <c r="W107" s="37">
        <f t="shared" si="41"/>
        <v>0.51733333333333342</v>
      </c>
      <c r="X107" s="38">
        <v>5690</v>
      </c>
      <c r="Y107" s="26" t="s">
        <v>603</v>
      </c>
    </row>
    <row r="108" spans="1:25" x14ac:dyDescent="0.25">
      <c r="A108" s="33">
        <v>186988</v>
      </c>
      <c r="B108" s="33">
        <f>VLOOKUP($A108,'Выгр Кат'!$A:$R,B$1,0)</f>
        <v>1504</v>
      </c>
      <c r="C108" s="34" t="str">
        <f>VLOOKUP($A108,'Выгр Кат'!$A:$R,C$1,0)</f>
        <v>Паук 4-2-1 "STT" 8V для ВАЗ 2101-2107</v>
      </c>
      <c r="D108" s="33" t="str">
        <f>VLOOKUP($A108,'Выгр Кат'!$A:$R,D$1,0)</f>
        <v>Y</v>
      </c>
      <c r="E108" s="33" t="str">
        <f>VLOOKUP($A108,'Выгр Кат'!$A:$R,E$1,0)</f>
        <v>1ск6</v>
      </c>
      <c r="F108" s="33" t="str">
        <f>VLOOKUP($A108,'Выгр Кат'!$A:$R,F$1,0)</f>
        <v>TT-00019.</v>
      </c>
      <c r="G108" s="33"/>
      <c r="H108" s="23" t="s">
        <v>29</v>
      </c>
      <c r="I108" s="41">
        <v>3950</v>
      </c>
      <c r="J108" s="35">
        <f>VLOOKUP(I108,Наценка!$A$1:$B$8,2,1)</f>
        <v>1.4</v>
      </c>
      <c r="K108" s="46">
        <f t="shared" si="42"/>
        <v>5890</v>
      </c>
      <c r="L108" s="20">
        <f t="shared" si="35"/>
        <v>5890</v>
      </c>
      <c r="M108" s="33">
        <f>VLOOKUP($A108,'Выгр Кат'!$A:$R,M$1,0)</f>
        <v>3950</v>
      </c>
      <c r="N108" s="33">
        <f>VLOOKUP($A108,'Выгр Кат'!$A:$R,N$1,0)</f>
        <v>5590</v>
      </c>
      <c r="O108" s="17">
        <f t="shared" si="36"/>
        <v>0</v>
      </c>
      <c r="P108" s="17">
        <f t="shared" si="37"/>
        <v>-300</v>
      </c>
      <c r="Q108" s="18">
        <f t="shared" si="38"/>
        <v>5477.7</v>
      </c>
      <c r="R108" s="42">
        <f>IFERROR((VLOOKUP($A108,'Из ГУГЛа'!$B:$G,6,0)+T108)*S108,VLOOKUP($A108,'Из ГУГЛа'!$B:$G,6,0))</f>
        <v>5990</v>
      </c>
      <c r="S108" s="7">
        <v>1</v>
      </c>
      <c r="T108" s="7">
        <v>0</v>
      </c>
      <c r="U108" s="37">
        <f t="shared" si="39"/>
        <v>0.38675949367088602</v>
      </c>
      <c r="V108" s="37">
        <f t="shared" si="40"/>
        <v>8.552587646076798E-2</v>
      </c>
      <c r="W108" s="37">
        <f t="shared" si="41"/>
        <v>0.51645569620253173</v>
      </c>
      <c r="X108" s="38">
        <v>5990</v>
      </c>
      <c r="Y108" s="26" t="s">
        <v>602</v>
      </c>
    </row>
    <row r="109" spans="1:25" ht="60" x14ac:dyDescent="0.25">
      <c r="A109" s="33">
        <v>139558</v>
      </c>
      <c r="B109" s="33">
        <f>VLOOKUP($A109,'Выгр Кат'!$A:$R,B$1,0)</f>
        <v>41629</v>
      </c>
      <c r="C109" s="34" t="str">
        <f>VLOOKUP($A109,'Выгр Кат'!$A:$R,C$1,0)</f>
        <v>Вставка "STT" вместо катализатора, 4-1, нержавеющая (d51 мм, два датчика кислорода) для Лада Веста (ВАЗ-21179, 1.8 л, 16 клапанный)</v>
      </c>
      <c r="D109" s="33" t="str">
        <f>VLOOKUP($A109,'Выгр Кат'!$A:$R,D$1,0)</f>
        <v>Y</v>
      </c>
      <c r="E109" s="33" t="str">
        <f>VLOOKUP($A109,'Выгр Кат'!$A:$R,E$1,0)</f>
        <v>1</v>
      </c>
      <c r="F109" s="33" t="str">
        <f>VLOOKUP($A109,'Выгр Кат'!$A:$R,F$1,0)</f>
        <v>ТТ-00223</v>
      </c>
      <c r="G109" s="33"/>
      <c r="H109" s="23" t="s">
        <v>29</v>
      </c>
      <c r="I109" s="41">
        <v>4000</v>
      </c>
      <c r="J109" s="35">
        <f>VLOOKUP(I109,Наценка!$A$1:$B$8,2,1)</f>
        <v>1.4</v>
      </c>
      <c r="K109" s="39">
        <f t="shared" si="34"/>
        <v>5600</v>
      </c>
      <c r="L109" s="20">
        <f t="shared" si="35"/>
        <v>5590</v>
      </c>
      <c r="M109" s="33">
        <f>VLOOKUP($A109,'Выгр Кат'!$A:$R,M$1,0)</f>
        <v>4000</v>
      </c>
      <c r="N109" s="33">
        <f>VLOOKUP($A109,'Выгр Кат'!$A:$R,N$1,0)</f>
        <v>5590</v>
      </c>
      <c r="O109" s="17">
        <f t="shared" si="36"/>
        <v>0</v>
      </c>
      <c r="P109" s="17">
        <f t="shared" si="37"/>
        <v>0</v>
      </c>
      <c r="Q109" s="18">
        <f t="shared" si="38"/>
        <v>5198.7</v>
      </c>
      <c r="R109" s="42" t="str">
        <f>IFERROR((VLOOKUP($A109,'Из ГУГЛа'!$B:$G,6,0)+T109)*S109,VLOOKUP($A109,'Из ГУГЛа'!$B:$G,6,0))</f>
        <v/>
      </c>
      <c r="S109" s="7">
        <v>1</v>
      </c>
      <c r="T109" s="7">
        <v>0</v>
      </c>
      <c r="U109" s="37">
        <f t="shared" si="39"/>
        <v>0.29967499999999991</v>
      </c>
      <c r="V109" s="37" t="str">
        <f t="shared" si="40"/>
        <v/>
      </c>
      <c r="W109" s="37" t="str">
        <f t="shared" si="41"/>
        <v/>
      </c>
      <c r="X109" s="38" t="s">
        <v>521</v>
      </c>
    </row>
    <row r="110" spans="1:25" ht="30" x14ac:dyDescent="0.25">
      <c r="A110" s="33">
        <v>140123</v>
      </c>
      <c r="B110" s="33">
        <f>VLOOKUP($A110,'Выгр Кат'!$A:$R,B$1,0)</f>
        <v>1507</v>
      </c>
      <c r="C110" s="34" t="str">
        <f>VLOOKUP($A110,'Выгр Кат'!$A:$R,C$1,0)</f>
        <v>Выпускной коллектор (паук) "STT" 4-2-1 для Лада Нива 4x4</v>
      </c>
      <c r="D110" s="33" t="str">
        <f>VLOOKUP($A110,'Выгр Кат'!$A:$R,D$1,0)</f>
        <v>Y</v>
      </c>
      <c r="E110" s="33" t="str">
        <f>VLOOKUP($A110,'Выгр Кат'!$A:$R,E$1,0)</f>
        <v>1</v>
      </c>
      <c r="F110" s="33" t="str">
        <f>VLOOKUP($A110,'Выгр Кат'!$A:$R,F$1,0)</f>
        <v>TT-00020.</v>
      </c>
      <c r="G110" s="33"/>
      <c r="H110" s="23" t="s">
        <v>29</v>
      </c>
      <c r="I110" s="41">
        <v>4150</v>
      </c>
      <c r="J110" s="35">
        <f>VLOOKUP(I110,Наценка!$A$1:$B$8,2,1)</f>
        <v>1.4</v>
      </c>
      <c r="K110" s="39">
        <f t="shared" si="34"/>
        <v>5810</v>
      </c>
      <c r="L110" s="20">
        <f t="shared" si="35"/>
        <v>5890</v>
      </c>
      <c r="M110" s="33">
        <f>VLOOKUP($A110,'Выгр Кат'!$A:$R,M$1,0)</f>
        <v>4150</v>
      </c>
      <c r="N110" s="33">
        <f>VLOOKUP($A110,'Выгр Кат'!$A:$R,N$1,0)</f>
        <v>5890</v>
      </c>
      <c r="O110" s="17">
        <f t="shared" si="36"/>
        <v>0</v>
      </c>
      <c r="P110" s="17">
        <f t="shared" si="37"/>
        <v>0</v>
      </c>
      <c r="Q110" s="18">
        <f t="shared" si="38"/>
        <v>5477.7</v>
      </c>
      <c r="R110" s="42">
        <f>IFERROR((VLOOKUP($A110,'Из ГУГЛа'!$B:$G,6,0)+T110)*S110,VLOOKUP($A110,'Из ГУГЛа'!$B:$G,6,0))</f>
        <v>5790</v>
      </c>
      <c r="S110" s="7">
        <v>1</v>
      </c>
      <c r="T110" s="7">
        <v>0</v>
      </c>
      <c r="U110" s="37">
        <f t="shared" si="39"/>
        <v>0.31992771084337335</v>
      </c>
      <c r="V110" s="37">
        <f t="shared" si="40"/>
        <v>5.3937823834196923E-2</v>
      </c>
      <c r="W110" s="37">
        <f t="shared" si="41"/>
        <v>0.39518072289156625</v>
      </c>
      <c r="X110" s="38">
        <v>5790</v>
      </c>
      <c r="Y110" s="26" t="s">
        <v>525</v>
      </c>
    </row>
    <row r="111" spans="1:25" ht="45" x14ac:dyDescent="0.25">
      <c r="A111" s="33">
        <v>204572</v>
      </c>
      <c r="B111" s="33">
        <f>VLOOKUP($A111,'Выгр Кат'!$A:$R,B$1,0)</f>
        <v>833</v>
      </c>
      <c r="C111" s="34" t="str">
        <f>VLOOKUP($A111,'Выгр Кат'!$A:$R,C$1,0)</f>
        <v>Ресивер "STT" двух объемный (под Е-газ) для Лада Калина (седан) (8-ми клапаный двигатель)</v>
      </c>
      <c r="D111" s="33" t="str">
        <f>VLOOKUP($A111,'Выгр Кат'!$A:$R,D$1,0)</f>
        <v>Y</v>
      </c>
      <c r="E111" s="33" t="str">
        <f>VLOOKUP($A111,'Выгр Кат'!$A:$R,E$1,0)</f>
        <v>0</v>
      </c>
      <c r="F111" s="33">
        <f>VLOOKUP($A111,'Выгр Кат'!$A:$R,F$1,0)</f>
        <v>0</v>
      </c>
      <c r="G111" s="33"/>
      <c r="H111" s="23" t="s">
        <v>29</v>
      </c>
      <c r="I111" s="41">
        <v>4500</v>
      </c>
      <c r="J111" s="35">
        <f>VLOOKUP(I111,Наценка!$A$1:$B$8,2,1)</f>
        <v>1.4</v>
      </c>
      <c r="K111" s="39">
        <f t="shared" si="34"/>
        <v>6300</v>
      </c>
      <c r="L111" s="20">
        <f t="shared" si="35"/>
        <v>6290</v>
      </c>
      <c r="M111" s="33">
        <f>VLOOKUP($A111,'Выгр Кат'!$A:$R,M$1,0)</f>
        <v>4500</v>
      </c>
      <c r="N111" s="33">
        <f>VLOOKUP($A111,'Выгр Кат'!$A:$R,N$1,0)</f>
        <v>6290</v>
      </c>
      <c r="O111" s="17">
        <f t="shared" si="36"/>
        <v>0</v>
      </c>
      <c r="P111" s="17">
        <f t="shared" si="37"/>
        <v>0</v>
      </c>
      <c r="Q111" s="18">
        <f t="shared" si="38"/>
        <v>5849.7</v>
      </c>
      <c r="R111" s="42" t="str">
        <f>IFERROR((VLOOKUP($A111,'Из ГУГЛа'!$B:$G,6,0)+T111)*S111,VLOOKUP($A111,'Из ГУГЛа'!$B:$G,6,0))</f>
        <v/>
      </c>
      <c r="S111" s="7">
        <v>1</v>
      </c>
      <c r="T111" s="7">
        <v>0</v>
      </c>
      <c r="U111" s="37">
        <f t="shared" si="39"/>
        <v>0.29993333333333339</v>
      </c>
      <c r="V111" s="37" t="str">
        <f t="shared" si="40"/>
        <v/>
      </c>
      <c r="W111" s="37" t="str">
        <f t="shared" si="41"/>
        <v/>
      </c>
      <c r="X111" s="38" t="s">
        <v>521</v>
      </c>
    </row>
    <row r="112" spans="1:25" ht="30" x14ac:dyDescent="0.25">
      <c r="A112" s="33">
        <v>140124</v>
      </c>
      <c r="B112" s="33">
        <f>VLOOKUP($A112,'Выгр Кат'!$A:$R,B$1,0)</f>
        <v>23196</v>
      </c>
      <c r="C112" s="34" t="str">
        <f>VLOOKUP($A112,'Выгр Кат'!$A:$R,C$1,0)</f>
        <v>Выпускной коллектор (паук) "STT" 4-2-1 для Шевроле Нива</v>
      </c>
      <c r="D112" s="33" t="str">
        <f>VLOOKUP($A112,'Выгр Кат'!$A:$R,D$1,0)</f>
        <v>Y</v>
      </c>
      <c r="E112" s="33" t="str">
        <f>VLOOKUP($A112,'Выгр Кат'!$A:$R,E$1,0)</f>
        <v>1</v>
      </c>
      <c r="F112" s="33" t="str">
        <f>VLOOKUP($A112,'Выгр Кат'!$A:$R,F$1,0)</f>
        <v>ТТ-00226</v>
      </c>
      <c r="G112" s="33"/>
      <c r="H112" s="23" t="s">
        <v>29</v>
      </c>
      <c r="I112" s="41">
        <v>4600</v>
      </c>
      <c r="J112" s="35">
        <f>VLOOKUP(I112,Наценка!$A$1:$B$8,2,1)</f>
        <v>1.4</v>
      </c>
      <c r="K112" s="46">
        <f>X112-100</f>
        <v>6890</v>
      </c>
      <c r="L112" s="20">
        <f t="shared" si="35"/>
        <v>6890</v>
      </c>
      <c r="M112" s="33">
        <f>VLOOKUP($A112,'Выгр Кат'!$A:$R,M$1,0)</f>
        <v>4600</v>
      </c>
      <c r="N112" s="33">
        <f>VLOOKUP($A112,'Выгр Кат'!$A:$R,N$1,0)</f>
        <v>6490</v>
      </c>
      <c r="O112" s="17">
        <f t="shared" si="36"/>
        <v>0</v>
      </c>
      <c r="P112" s="17">
        <f t="shared" si="37"/>
        <v>-400</v>
      </c>
      <c r="Q112" s="18">
        <f t="shared" si="38"/>
        <v>6407.7</v>
      </c>
      <c r="R112" s="42">
        <f>IFERROR((VLOOKUP($A112,'Из ГУГЛа'!$B:$G,6,0)+T112)*S112,VLOOKUP($A112,'Из ГУГЛа'!$B:$G,6,0))</f>
        <v>6990</v>
      </c>
      <c r="S112" s="7">
        <v>1</v>
      </c>
      <c r="T112" s="7">
        <v>0</v>
      </c>
      <c r="U112" s="37">
        <f t="shared" si="39"/>
        <v>0.39297826086956511</v>
      </c>
      <c r="V112" s="37">
        <f t="shared" si="40"/>
        <v>8.3304721030042939E-2</v>
      </c>
      <c r="W112" s="37">
        <f t="shared" si="41"/>
        <v>0.51956521739130435</v>
      </c>
      <c r="X112" s="38">
        <v>6990</v>
      </c>
      <c r="Y112" s="26" t="s">
        <v>523</v>
      </c>
    </row>
    <row r="113" spans="1:25" ht="60" x14ac:dyDescent="0.25">
      <c r="A113" s="33">
        <v>204570</v>
      </c>
      <c r="B113" s="33">
        <f>VLOOKUP($A113,'Выгр Кат'!$A:$R,B$1,0)</f>
        <v>1068</v>
      </c>
      <c r="C113" s="34" t="str">
        <f>VLOOKUP($A113,'Выгр Кат'!$A:$R,C$1,0)</f>
        <v>Ресивер "STT" круглый (под механическую дроссельную заслонку) для Лада Приора (16-ти клапаный двигатель)</v>
      </c>
      <c r="D113" s="33" t="str">
        <f>VLOOKUP($A113,'Выгр Кат'!$A:$R,D$1,0)</f>
        <v>Y</v>
      </c>
      <c r="E113" s="33" t="str">
        <f>VLOOKUP($A113,'Выгр Кат'!$A:$R,E$1,0)</f>
        <v>0</v>
      </c>
      <c r="F113" s="33" t="str">
        <f>VLOOKUP($A113,'Выгр Кат'!$A:$R,F$1,0)</f>
        <v>ТТ-00336</v>
      </c>
      <c r="G113" s="33"/>
      <c r="H113" s="23" t="s">
        <v>29</v>
      </c>
      <c r="I113" s="41">
        <v>4600</v>
      </c>
      <c r="J113" s="35">
        <f>VLOOKUP(I113,Наценка!$A$1:$B$8,2,1)</f>
        <v>1.4</v>
      </c>
      <c r="K113" s="39">
        <f t="shared" si="34"/>
        <v>6440</v>
      </c>
      <c r="L113" s="20">
        <f t="shared" si="35"/>
        <v>6490</v>
      </c>
      <c r="M113" s="33">
        <f>VLOOKUP($A113,'Выгр Кат'!$A:$R,M$1,0)</f>
        <v>4600</v>
      </c>
      <c r="N113" s="33">
        <f>VLOOKUP($A113,'Выгр Кат'!$A:$R,N$1,0)</f>
        <v>6490</v>
      </c>
      <c r="O113" s="17">
        <f t="shared" si="36"/>
        <v>0</v>
      </c>
      <c r="P113" s="17">
        <f t="shared" si="37"/>
        <v>0</v>
      </c>
      <c r="Q113" s="18">
        <f t="shared" si="38"/>
        <v>6035.7</v>
      </c>
      <c r="R113" s="42" t="str">
        <f>IFERROR((VLOOKUP($A113,'Из ГУГЛа'!$B:$G,6,0)+T113)*S113,VLOOKUP($A113,'Из ГУГЛа'!$B:$G,6,0))</f>
        <v/>
      </c>
      <c r="S113" s="7">
        <v>1</v>
      </c>
      <c r="T113" s="7">
        <v>0</v>
      </c>
      <c r="U113" s="37">
        <f t="shared" si="39"/>
        <v>0.31210869565217392</v>
      </c>
      <c r="V113" s="37" t="str">
        <f t="shared" si="40"/>
        <v/>
      </c>
      <c r="W113" s="37" t="str">
        <f t="shared" si="41"/>
        <v/>
      </c>
      <c r="X113" s="38" t="s">
        <v>521</v>
      </c>
    </row>
    <row r="114" spans="1:25" ht="30" x14ac:dyDescent="0.25">
      <c r="A114" s="33">
        <v>204571</v>
      </c>
      <c r="B114" s="33">
        <f>VLOOKUP($A114,'Выгр Кат'!$A:$R,B$1,0)</f>
        <v>1069</v>
      </c>
      <c r="C114" s="34" t="str">
        <f>VLOOKUP($A114,'Выгр Кат'!$A:$R,C$1,0)</f>
        <v>Ресивер "STT" с дудками для Лада Калина (16-ти клапанный двигатель)</v>
      </c>
      <c r="D114" s="33" t="str">
        <f>VLOOKUP($A114,'Выгр Кат'!$A:$R,D$1,0)</f>
        <v>Y</v>
      </c>
      <c r="E114" s="33" t="str">
        <f>VLOOKUP($A114,'Выгр Кат'!$A:$R,E$1,0)</f>
        <v>1ск6</v>
      </c>
      <c r="F114" s="33" t="str">
        <f>VLOOKUP($A114,'Выгр Кат'!$A:$R,F$1,0)</f>
        <v>TT-00332</v>
      </c>
      <c r="G114" s="33"/>
      <c r="H114" s="23" t="s">
        <v>29</v>
      </c>
      <c r="I114" s="41">
        <v>4600</v>
      </c>
      <c r="J114" s="35">
        <f>VLOOKUP(I114,Наценка!$A$1:$B$8,2,1)</f>
        <v>1.4</v>
      </c>
      <c r="K114" s="39">
        <f t="shared" si="34"/>
        <v>6440</v>
      </c>
      <c r="L114" s="20">
        <f t="shared" si="35"/>
        <v>6490</v>
      </c>
      <c r="M114" s="33">
        <f>VLOOKUP($A114,'Выгр Кат'!$A:$R,M$1,0)</f>
        <v>4600</v>
      </c>
      <c r="N114" s="33">
        <f>VLOOKUP($A114,'Выгр Кат'!$A:$R,N$1,0)</f>
        <v>6490</v>
      </c>
      <c r="O114" s="17">
        <f t="shared" si="36"/>
        <v>0</v>
      </c>
      <c r="P114" s="17">
        <f t="shared" si="37"/>
        <v>0</v>
      </c>
      <c r="Q114" s="18">
        <f t="shared" si="38"/>
        <v>6035.7</v>
      </c>
      <c r="R114" s="42" t="str">
        <f>IFERROR((VLOOKUP($A114,'Из ГУГЛа'!$B:$G,6,0)+T114)*S114,VLOOKUP($A114,'Из ГУГЛа'!$B:$G,6,0))</f>
        <v/>
      </c>
      <c r="S114" s="7">
        <v>1</v>
      </c>
      <c r="T114" s="7">
        <v>0</v>
      </c>
      <c r="U114" s="37">
        <f t="shared" si="39"/>
        <v>0.31210869565217392</v>
      </c>
      <c r="V114" s="37" t="str">
        <f t="shared" si="40"/>
        <v/>
      </c>
      <c r="W114" s="37" t="str">
        <f t="shared" si="41"/>
        <v/>
      </c>
      <c r="X114" s="38" t="s">
        <v>521</v>
      </c>
    </row>
    <row r="115" spans="1:25" ht="75" x14ac:dyDescent="0.25">
      <c r="A115" s="33">
        <v>204554</v>
      </c>
      <c r="B115" s="33">
        <f>VLOOKUP($A115,'Выгр Кат'!$A:$R,B$1,0)</f>
        <v>838</v>
      </c>
      <c r="C115" s="34" t="str">
        <f>VLOOKUP($A115,'Выгр Кат'!$A:$R,C$1,0)</f>
        <v>Ресивер "СТТ" 8V 4.0L (механическая дроссельная заслонка) для ВАЗ (2108-21099, 2110-2112, 2113-2115), Лада (Калина, Приора) (8-ми клапанный двигатель)</v>
      </c>
      <c r="D115" s="33" t="str">
        <f>VLOOKUP($A115,'Выгр Кат'!$A:$R,D$1,0)</f>
        <v>Y</v>
      </c>
      <c r="E115" s="33" t="str">
        <f>VLOOKUP($A115,'Выгр Кат'!$A:$R,E$1,0)</f>
        <v>1</v>
      </c>
      <c r="F115" s="33" t="str">
        <f>VLOOKUP($A115,'Выгр Кат'!$A:$R,F$1,0)</f>
        <v>TT-00343</v>
      </c>
      <c r="G115" s="33"/>
      <c r="H115" s="23" t="s">
        <v>29</v>
      </c>
      <c r="I115" s="41">
        <v>4900</v>
      </c>
      <c r="J115" s="35">
        <f>VLOOKUP(I115,Наценка!$A$1:$B$8,2,1)</f>
        <v>1.4</v>
      </c>
      <c r="K115" s="46">
        <f>X115-100</f>
        <v>7590</v>
      </c>
      <c r="L115" s="20">
        <f t="shared" si="35"/>
        <v>7590</v>
      </c>
      <c r="M115" s="33">
        <f>VLOOKUP($A115,'Выгр Кат'!$A:$R,M$1,0)</f>
        <v>4900</v>
      </c>
      <c r="N115" s="33">
        <f>VLOOKUP($A115,'Выгр Кат'!$A:$R,N$1,0)</f>
        <v>6890</v>
      </c>
      <c r="O115" s="17">
        <f t="shared" si="36"/>
        <v>0</v>
      </c>
      <c r="P115" s="17">
        <f t="shared" si="37"/>
        <v>-700</v>
      </c>
      <c r="Q115" s="18">
        <f t="shared" si="38"/>
        <v>7058.7</v>
      </c>
      <c r="R115" s="42">
        <f>IFERROR((VLOOKUP($A115,'Из ГУГЛа'!$B:$G,6,0)+T115)*S115,VLOOKUP($A115,'Из ГУГЛа'!$B:$G,6,0))</f>
        <v>7690</v>
      </c>
      <c r="S115" s="7">
        <v>1</v>
      </c>
      <c r="T115" s="7">
        <v>0</v>
      </c>
      <c r="U115" s="37">
        <f t="shared" si="39"/>
        <v>0.4405510204081633</v>
      </c>
      <c r="V115" s="37">
        <f t="shared" si="40"/>
        <v>8.2093628088426546E-2</v>
      </c>
      <c r="W115" s="37">
        <f t="shared" si="41"/>
        <v>0.56938775510204076</v>
      </c>
      <c r="X115" s="38">
        <v>7690</v>
      </c>
      <c r="Y115" s="26" t="s">
        <v>616</v>
      </c>
    </row>
    <row r="116" spans="1:25" ht="45" x14ac:dyDescent="0.25">
      <c r="A116" s="33">
        <v>140104</v>
      </c>
      <c r="B116" s="33">
        <f>VLOOKUP($A116,'Выгр Кат'!$A:$R,B$1,0)</f>
        <v>23221</v>
      </c>
      <c r="C116" s="34" t="str">
        <f>VLOOKUP($A116,'Выгр Кат'!$A:$R,C$1,0)</f>
        <v>Выпускной коллектор (паук) "STT" 4-2-1 (16V, SPORT, нержавеющая сталь, выход 63 мм) для Лада Калина</v>
      </c>
      <c r="D116" s="33" t="str">
        <f>VLOOKUP($A116,'Выгр Кат'!$A:$R,D$1,0)</f>
        <v>Y</v>
      </c>
      <c r="E116" s="33" t="str">
        <f>VLOOKUP($A116,'Выгр Кат'!$A:$R,E$1,0)</f>
        <v>0</v>
      </c>
      <c r="F116" s="33">
        <f>VLOOKUP($A116,'Выгр Кат'!$A:$R,F$1,0)</f>
        <v>0</v>
      </c>
      <c r="G116" s="33"/>
      <c r="H116" s="23" t="s">
        <v>29</v>
      </c>
      <c r="I116" s="41">
        <v>4950</v>
      </c>
      <c r="J116" s="35">
        <f>VLOOKUP(I116,Наценка!$A$1:$B$8,2,1)</f>
        <v>1.4</v>
      </c>
      <c r="K116" s="39">
        <f t="shared" si="34"/>
        <v>6930</v>
      </c>
      <c r="L116" s="20">
        <f t="shared" si="35"/>
        <v>6990</v>
      </c>
      <c r="M116" s="33">
        <f>VLOOKUP($A116,'Выгр Кат'!$A:$R,M$1,0)</f>
        <v>4950</v>
      </c>
      <c r="N116" s="33">
        <f>VLOOKUP($A116,'Выгр Кат'!$A:$R,N$1,0)</f>
        <v>6990</v>
      </c>
      <c r="O116" s="17">
        <f t="shared" si="36"/>
        <v>0</v>
      </c>
      <c r="P116" s="17">
        <f t="shared" si="37"/>
        <v>0</v>
      </c>
      <c r="Q116" s="18">
        <f t="shared" si="38"/>
        <v>6500.7</v>
      </c>
      <c r="R116" s="42" t="str">
        <f>IFERROR((VLOOKUP($A116,'Из ГУГЛа'!$B:$G,6,0)+T116)*S116,VLOOKUP($A116,'Из ГУГЛа'!$B:$G,6,0))</f>
        <v/>
      </c>
      <c r="S116" s="7">
        <v>1</v>
      </c>
      <c r="T116" s="7">
        <v>0</v>
      </c>
      <c r="U116" s="37">
        <f t="shared" si="39"/>
        <v>0.31327272727272715</v>
      </c>
      <c r="V116" s="37" t="str">
        <f t="shared" si="40"/>
        <v/>
      </c>
      <c r="W116" s="37" t="str">
        <f t="shared" si="41"/>
        <v/>
      </c>
      <c r="X116" s="38" t="s">
        <v>521</v>
      </c>
    </row>
    <row r="117" spans="1:25" ht="45" x14ac:dyDescent="0.25">
      <c r="A117" s="33">
        <v>140112</v>
      </c>
      <c r="B117" s="33">
        <f>VLOOKUP($A117,'Выгр Кат'!$A:$R,B$1,0)</f>
        <v>23208</v>
      </c>
      <c r="C117" s="34" t="str">
        <f>VLOOKUP($A117,'Выгр Кат'!$A:$R,C$1,0)</f>
        <v>Выпускной коллектор (паук) "STT" 4-2-1 (16V, нержавеющая сталь) для ВАЗ 2108-21099, 2113-2115</v>
      </c>
      <c r="D117" s="33" t="str">
        <f>VLOOKUP($A117,'Выгр Кат'!$A:$R,D$1,0)</f>
        <v>Y</v>
      </c>
      <c r="E117" s="33" t="str">
        <f>VLOOKUP($A117,'Выгр Кат'!$A:$R,E$1,0)</f>
        <v>1</v>
      </c>
      <c r="F117" s="33" t="str">
        <f>VLOOKUP($A117,'Выгр Кат'!$A:$R,F$1,0)</f>
        <v>TT-00033.</v>
      </c>
      <c r="G117" s="33"/>
      <c r="H117" s="23" t="s">
        <v>29</v>
      </c>
      <c r="I117" s="41">
        <v>5000</v>
      </c>
      <c r="J117" s="35">
        <f>VLOOKUP(I117,Наценка!$A$1:$B$8,2,1)</f>
        <v>1.4</v>
      </c>
      <c r="K117" s="39">
        <f t="shared" si="34"/>
        <v>7000</v>
      </c>
      <c r="L117" s="20">
        <f t="shared" si="35"/>
        <v>6990</v>
      </c>
      <c r="M117" s="33">
        <f>VLOOKUP($A117,'Выгр Кат'!$A:$R,M$1,0)</f>
        <v>5000</v>
      </c>
      <c r="N117" s="33">
        <f>VLOOKUP($A117,'Выгр Кат'!$A:$R,N$1,0)</f>
        <v>6990</v>
      </c>
      <c r="O117" s="17">
        <f t="shared" si="36"/>
        <v>0</v>
      </c>
      <c r="P117" s="17">
        <f t="shared" si="37"/>
        <v>0</v>
      </c>
      <c r="Q117" s="18">
        <f t="shared" si="38"/>
        <v>6500.7</v>
      </c>
      <c r="R117" s="42">
        <f>IFERROR((VLOOKUP($A117,'Из ГУГЛа'!$B:$G,6,0)+T117)*S117,VLOOKUP($A117,'Из ГУГЛа'!$B:$G,6,0))</f>
        <v>7190</v>
      </c>
      <c r="S117" s="7">
        <v>1</v>
      </c>
      <c r="T117" s="7">
        <v>0</v>
      </c>
      <c r="U117" s="37">
        <f t="shared" si="39"/>
        <v>0.30014000000000007</v>
      </c>
      <c r="V117" s="37">
        <f t="shared" si="40"/>
        <v>9.5869262865090427E-2</v>
      </c>
      <c r="W117" s="37">
        <f t="shared" si="41"/>
        <v>0.43799999999999994</v>
      </c>
      <c r="X117" s="38">
        <v>7190</v>
      </c>
      <c r="Y117" s="26" t="s">
        <v>607</v>
      </c>
    </row>
    <row r="118" spans="1:25" ht="45" x14ac:dyDescent="0.25">
      <c r="A118" s="33">
        <v>140119</v>
      </c>
      <c r="B118" s="33">
        <f>VLOOKUP($A118,'Выгр Кат'!$A:$R,B$1,0)</f>
        <v>23209</v>
      </c>
      <c r="C118" s="34" t="str">
        <f>VLOOKUP($A118,'Выгр Кат'!$A:$R,C$1,0)</f>
        <v>Выпускной коллектор (паук) "STT" 4-2-1 (8V, нержавеющая сталь) для Лада Гранта, Калина 2</v>
      </c>
      <c r="D118" s="33" t="str">
        <f>VLOOKUP($A118,'Выгр Кат'!$A:$R,D$1,0)</f>
        <v>Y</v>
      </c>
      <c r="E118" s="33" t="str">
        <f>VLOOKUP($A118,'Выгр Кат'!$A:$R,E$1,0)</f>
        <v>1</v>
      </c>
      <c r="F118" s="33" t="str">
        <f>VLOOKUP($A118,'Выгр Кат'!$A:$R,F$1,0)</f>
        <v>TT-00072.</v>
      </c>
      <c r="G118" s="33"/>
      <c r="H118" s="23" t="s">
        <v>29</v>
      </c>
      <c r="I118" s="41">
        <v>5000</v>
      </c>
      <c r="J118" s="35">
        <f>VLOOKUP(I118,Наценка!$A$1:$B$8,2,1)</f>
        <v>1.4</v>
      </c>
      <c r="K118" s="46">
        <f t="shared" ref="K118:K125" si="43">X118-100</f>
        <v>7790</v>
      </c>
      <c r="L118" s="20">
        <f t="shared" si="35"/>
        <v>7790</v>
      </c>
      <c r="M118" s="33">
        <f>VLOOKUP($A118,'Выгр Кат'!$A:$R,M$1,0)</f>
        <v>5000</v>
      </c>
      <c r="N118" s="33">
        <f>VLOOKUP($A118,'Выгр Кат'!$A:$R,N$1,0)</f>
        <v>6990</v>
      </c>
      <c r="O118" s="17">
        <f t="shared" si="36"/>
        <v>0</v>
      </c>
      <c r="P118" s="17">
        <f t="shared" si="37"/>
        <v>-800</v>
      </c>
      <c r="Q118" s="18">
        <f t="shared" si="38"/>
        <v>7244.7</v>
      </c>
      <c r="R118" s="42">
        <f>IFERROR((VLOOKUP($A118,'Из ГУГЛа'!$B:$G,6,0)+T118)*S118,VLOOKUP($A118,'Из ГУГЛа'!$B:$G,6,0))</f>
        <v>7890</v>
      </c>
      <c r="S118" s="7">
        <v>1</v>
      </c>
      <c r="T118" s="7">
        <v>0</v>
      </c>
      <c r="U118" s="37">
        <f t="shared" si="39"/>
        <v>0.44893999999999989</v>
      </c>
      <c r="V118" s="37">
        <f t="shared" si="40"/>
        <v>8.1787072243346026E-2</v>
      </c>
      <c r="W118" s="37">
        <f t="shared" si="41"/>
        <v>0.57800000000000007</v>
      </c>
      <c r="X118" s="38">
        <v>7890</v>
      </c>
      <c r="Y118" s="26" t="s">
        <v>581</v>
      </c>
    </row>
    <row r="119" spans="1:25" ht="30" x14ac:dyDescent="0.25">
      <c r="A119" s="33">
        <v>186961</v>
      </c>
      <c r="B119" s="33">
        <f>VLOOKUP($A119,'Выгр Кат'!$A:$R,B$1,0)</f>
        <v>1468</v>
      </c>
      <c r="C119" s="34" t="str">
        <f>VLOOKUP($A119,'Выгр Кат'!$A:$R,C$1,0)</f>
        <v>Паук 4-2-1 "STT" (16V, нержавейка, под датчик кислорода) для ВАЗ 2110-2112</v>
      </c>
      <c r="D119" s="33" t="str">
        <f>VLOOKUP($A119,'Выгр Кат'!$A:$R,D$1,0)</f>
        <v>Y</v>
      </c>
      <c r="E119" s="33" t="str">
        <f>VLOOKUP($A119,'Выгр Кат'!$A:$R,E$1,0)</f>
        <v>1</v>
      </c>
      <c r="F119" s="33" t="str">
        <f>VLOOKUP($A119,'Выгр Кат'!$A:$R,F$1,0)</f>
        <v>TT-00037.</v>
      </c>
      <c r="G119" s="33"/>
      <c r="H119" s="23" t="s">
        <v>29</v>
      </c>
      <c r="I119" s="41">
        <v>5000</v>
      </c>
      <c r="J119" s="35">
        <f>VLOOKUP(I119,Наценка!$A$1:$B$8,2,1)</f>
        <v>1.4</v>
      </c>
      <c r="K119" s="46">
        <f t="shared" si="43"/>
        <v>7490</v>
      </c>
      <c r="L119" s="20">
        <f t="shared" si="35"/>
        <v>7490</v>
      </c>
      <c r="M119" s="33">
        <f>VLOOKUP($A119,'Выгр Кат'!$A:$R,M$1,0)</f>
        <v>5000</v>
      </c>
      <c r="N119" s="33">
        <f>VLOOKUP($A119,'Выгр Кат'!$A:$R,N$1,0)</f>
        <v>6990</v>
      </c>
      <c r="O119" s="17">
        <f t="shared" si="36"/>
        <v>0</v>
      </c>
      <c r="P119" s="17">
        <f t="shared" si="37"/>
        <v>-500</v>
      </c>
      <c r="Q119" s="18">
        <f t="shared" si="38"/>
        <v>6965.7</v>
      </c>
      <c r="R119" s="42">
        <f>IFERROR((VLOOKUP($A119,'Из ГУГЛа'!$B:$G,6,0)+T119)*S119,VLOOKUP($A119,'Из ГУГЛа'!$B:$G,6,0))</f>
        <v>7590</v>
      </c>
      <c r="S119" s="7">
        <v>1</v>
      </c>
      <c r="T119" s="7">
        <v>0</v>
      </c>
      <c r="U119" s="37">
        <f t="shared" si="39"/>
        <v>0.39314000000000004</v>
      </c>
      <c r="V119" s="37">
        <f t="shared" si="40"/>
        <v>8.225296442687749E-2</v>
      </c>
      <c r="W119" s="37">
        <f t="shared" si="41"/>
        <v>0.51800000000000002</v>
      </c>
      <c r="X119" s="38">
        <v>7590</v>
      </c>
      <c r="Y119" s="26" t="s">
        <v>544</v>
      </c>
    </row>
    <row r="120" spans="1:25" ht="30" x14ac:dyDescent="0.25">
      <c r="A120" s="33">
        <v>186962</v>
      </c>
      <c r="B120" s="33">
        <f>VLOOKUP($A120,'Выгр Кат'!$A:$R,B$1,0)</f>
        <v>1474</v>
      </c>
      <c r="C120" s="34" t="str">
        <f>VLOOKUP($A120,'Выгр Кат'!$A:$R,C$1,0)</f>
        <v>Паук 4-2-1 "STT" (16V, нержавейка) для Лада Гранта, Калина 2</v>
      </c>
      <c r="D120" s="33" t="str">
        <f>VLOOKUP($A120,'Выгр Кат'!$A:$R,D$1,0)</f>
        <v>Y</v>
      </c>
      <c r="E120" s="33" t="str">
        <f>VLOOKUP($A120,'Выгр Кат'!$A:$R,E$1,0)</f>
        <v>1</v>
      </c>
      <c r="F120" s="33" t="str">
        <f>VLOOKUP($A120,'Выгр Кат'!$A:$R,F$1,0)</f>
        <v>TT-00069.</v>
      </c>
      <c r="G120" s="33"/>
      <c r="H120" s="23" t="s">
        <v>29</v>
      </c>
      <c r="I120" s="41">
        <v>5000</v>
      </c>
      <c r="J120" s="35">
        <f>VLOOKUP(I120,Наценка!$A$1:$B$8,2,1)</f>
        <v>1.4</v>
      </c>
      <c r="K120" s="46">
        <f t="shared" si="43"/>
        <v>7490</v>
      </c>
      <c r="L120" s="20">
        <f t="shared" si="35"/>
        <v>7490</v>
      </c>
      <c r="M120" s="33">
        <f>VLOOKUP($A120,'Выгр Кат'!$A:$R,M$1,0)</f>
        <v>5000</v>
      </c>
      <c r="N120" s="33">
        <f>VLOOKUP($A120,'Выгр Кат'!$A:$R,N$1,0)</f>
        <v>6990</v>
      </c>
      <c r="O120" s="17">
        <f t="shared" si="36"/>
        <v>0</v>
      </c>
      <c r="P120" s="17">
        <f t="shared" si="37"/>
        <v>-500</v>
      </c>
      <c r="Q120" s="18">
        <f t="shared" si="38"/>
        <v>6965.7</v>
      </c>
      <c r="R120" s="42">
        <f>IFERROR((VLOOKUP($A120,'Из ГУГЛа'!$B:$G,6,0)+T120)*S120,VLOOKUP($A120,'Из ГУГЛа'!$B:$G,6,0))</f>
        <v>7590</v>
      </c>
      <c r="S120" s="7">
        <v>1</v>
      </c>
      <c r="T120" s="7">
        <v>0</v>
      </c>
      <c r="U120" s="37">
        <f t="shared" si="39"/>
        <v>0.39314000000000004</v>
      </c>
      <c r="V120" s="37">
        <f t="shared" si="40"/>
        <v>8.225296442687749E-2</v>
      </c>
      <c r="W120" s="37">
        <f t="shared" si="41"/>
        <v>0.51800000000000002</v>
      </c>
      <c r="X120" s="38">
        <v>7590</v>
      </c>
      <c r="Y120" s="26" t="s">
        <v>580</v>
      </c>
    </row>
    <row r="121" spans="1:25" ht="30" x14ac:dyDescent="0.25">
      <c r="A121" s="33">
        <v>186963</v>
      </c>
      <c r="B121" s="33">
        <f>VLOOKUP($A121,'Выгр Кат'!$A:$R,B$1,0)</f>
        <v>1478</v>
      </c>
      <c r="C121" s="34" t="str">
        <f>VLOOKUP($A121,'Выгр Кат'!$A:$R,C$1,0)</f>
        <v>Паук 4-2-1 "STT" (16V, нержавейка) для Лада Калина</v>
      </c>
      <c r="D121" s="33" t="str">
        <f>VLOOKUP($A121,'Выгр Кат'!$A:$R,D$1,0)</f>
        <v>Y</v>
      </c>
      <c r="E121" s="33" t="str">
        <f>VLOOKUP($A121,'Выгр Кат'!$A:$R,E$1,0)</f>
        <v>1</v>
      </c>
      <c r="F121" s="33" t="str">
        <f>VLOOKUP($A121,'Выгр Кат'!$A:$R,F$1,0)</f>
        <v>TT-00058</v>
      </c>
      <c r="G121" s="33"/>
      <c r="H121" s="23" t="s">
        <v>29</v>
      </c>
      <c r="I121" s="41">
        <v>5000</v>
      </c>
      <c r="J121" s="35">
        <f>VLOOKUP(I121,Наценка!$A$1:$B$8,2,1)</f>
        <v>1.4</v>
      </c>
      <c r="K121" s="46">
        <f t="shared" si="43"/>
        <v>7590</v>
      </c>
      <c r="L121" s="20">
        <f t="shared" si="35"/>
        <v>7590</v>
      </c>
      <c r="M121" s="33">
        <f>VLOOKUP($A121,'Выгр Кат'!$A:$R,M$1,0)</f>
        <v>5000</v>
      </c>
      <c r="N121" s="33">
        <f>VLOOKUP($A121,'Выгр Кат'!$A:$R,N$1,0)</f>
        <v>6990</v>
      </c>
      <c r="O121" s="17">
        <f t="shared" si="36"/>
        <v>0</v>
      </c>
      <c r="P121" s="17">
        <f t="shared" si="37"/>
        <v>-600</v>
      </c>
      <c r="Q121" s="18">
        <f t="shared" si="38"/>
        <v>7058.7</v>
      </c>
      <c r="R121" s="42">
        <f>IFERROR((VLOOKUP($A121,'Из ГУГЛа'!$B:$G,6,0)+T121)*S121,VLOOKUP($A121,'Из ГУГЛа'!$B:$G,6,0))</f>
        <v>7690</v>
      </c>
      <c r="S121" s="7">
        <v>1</v>
      </c>
      <c r="T121" s="7">
        <v>0</v>
      </c>
      <c r="U121" s="37">
        <f t="shared" si="39"/>
        <v>0.41173999999999999</v>
      </c>
      <c r="V121" s="37">
        <f t="shared" si="40"/>
        <v>8.2093628088426546E-2</v>
      </c>
      <c r="W121" s="37">
        <f t="shared" si="41"/>
        <v>0.53800000000000003</v>
      </c>
      <c r="X121" s="38">
        <v>7690</v>
      </c>
      <c r="Y121" s="26" t="s">
        <v>600</v>
      </c>
    </row>
    <row r="122" spans="1:25" ht="30" x14ac:dyDescent="0.25">
      <c r="A122" s="33">
        <v>186964</v>
      </c>
      <c r="B122" s="33">
        <f>VLOOKUP($A122,'Выгр Кат'!$A:$R,B$1,0)</f>
        <v>1482</v>
      </c>
      <c r="C122" s="34" t="str">
        <f>VLOOKUP($A122,'Выгр Кат'!$A:$R,C$1,0)</f>
        <v>Паук 4-2-1 "STT" (16V, нержавейка) для Лада Приора</v>
      </c>
      <c r="D122" s="33" t="str">
        <f>VLOOKUP($A122,'Выгр Кат'!$A:$R,D$1,0)</f>
        <v>Y</v>
      </c>
      <c r="E122" s="33" t="str">
        <f>VLOOKUP($A122,'Выгр Кат'!$A:$R,E$1,0)</f>
        <v>1</v>
      </c>
      <c r="F122" s="33" t="str">
        <f>VLOOKUP($A122,'Выгр Кат'!$A:$R,F$1,0)</f>
        <v>TT-00046.</v>
      </c>
      <c r="G122" s="33"/>
      <c r="H122" s="23" t="s">
        <v>29</v>
      </c>
      <c r="I122" s="41">
        <v>5000</v>
      </c>
      <c r="J122" s="35">
        <f>VLOOKUP(I122,Наценка!$A$1:$B$8,2,1)</f>
        <v>1.4</v>
      </c>
      <c r="K122" s="46">
        <f t="shared" si="43"/>
        <v>7890</v>
      </c>
      <c r="L122" s="20">
        <f t="shared" si="35"/>
        <v>7890</v>
      </c>
      <c r="M122" s="33">
        <f>VLOOKUP($A122,'Выгр Кат'!$A:$R,M$1,0)</f>
        <v>5000</v>
      </c>
      <c r="N122" s="33">
        <f>VLOOKUP($A122,'Выгр Кат'!$A:$R,N$1,0)</f>
        <v>6990</v>
      </c>
      <c r="O122" s="17">
        <f t="shared" si="36"/>
        <v>0</v>
      </c>
      <c r="P122" s="17">
        <f t="shared" si="37"/>
        <v>-900</v>
      </c>
      <c r="Q122" s="18">
        <f t="shared" si="38"/>
        <v>7337.7</v>
      </c>
      <c r="R122" s="42">
        <f>IFERROR((VLOOKUP($A122,'Из ГУГЛа'!$B:$G,6,0)+T122)*S122,VLOOKUP($A122,'Из ГУГЛа'!$B:$G,6,0))</f>
        <v>7990</v>
      </c>
      <c r="S122" s="7">
        <v>1</v>
      </c>
      <c r="T122" s="7">
        <v>0</v>
      </c>
      <c r="U122" s="37">
        <f t="shared" si="39"/>
        <v>0.46754000000000007</v>
      </c>
      <c r="V122" s="37">
        <f t="shared" si="40"/>
        <v>8.1639549436796022E-2</v>
      </c>
      <c r="W122" s="37">
        <f t="shared" si="41"/>
        <v>0.59800000000000009</v>
      </c>
      <c r="X122" s="38">
        <v>7990</v>
      </c>
      <c r="Y122" s="26" t="s">
        <v>576</v>
      </c>
    </row>
    <row r="123" spans="1:25" ht="30" x14ac:dyDescent="0.25">
      <c r="A123" s="33">
        <v>186968</v>
      </c>
      <c r="B123" s="33">
        <f>VLOOKUP($A123,'Выгр Кат'!$A:$R,B$1,0)</f>
        <v>1489</v>
      </c>
      <c r="C123" s="34" t="str">
        <f>VLOOKUP($A123,'Выгр Кат'!$A:$R,C$1,0)</f>
        <v>Паук 4-2-1 "STT" (8V, нержавейка) для ВАЗ 2108-21099, 2113-2115</v>
      </c>
      <c r="D123" s="33" t="str">
        <f>VLOOKUP($A123,'Выгр Кат'!$A:$R,D$1,0)</f>
        <v>Y</v>
      </c>
      <c r="E123" s="33" t="str">
        <f>VLOOKUP($A123,'Выгр Кат'!$A:$R,E$1,0)</f>
        <v>1</v>
      </c>
      <c r="F123" s="33" t="str">
        <f>VLOOKUP($A123,'Выгр Кат'!$A:$R,F$1,0)</f>
        <v>TT-00028.</v>
      </c>
      <c r="G123" s="33"/>
      <c r="H123" s="23" t="s">
        <v>29</v>
      </c>
      <c r="I123" s="41">
        <v>5000</v>
      </c>
      <c r="J123" s="35">
        <f>VLOOKUP(I123,Наценка!$A$1:$B$8,2,1)</f>
        <v>1.4</v>
      </c>
      <c r="K123" s="46">
        <f t="shared" si="43"/>
        <v>7490</v>
      </c>
      <c r="L123" s="20">
        <f t="shared" si="35"/>
        <v>7490</v>
      </c>
      <c r="M123" s="33">
        <f>VLOOKUP($A123,'Выгр Кат'!$A:$R,M$1,0)</f>
        <v>5000</v>
      </c>
      <c r="N123" s="33">
        <f>VLOOKUP($A123,'Выгр Кат'!$A:$R,N$1,0)</f>
        <v>6990</v>
      </c>
      <c r="O123" s="17">
        <f t="shared" si="36"/>
        <v>0</v>
      </c>
      <c r="P123" s="17">
        <f t="shared" si="37"/>
        <v>-500</v>
      </c>
      <c r="Q123" s="18">
        <f t="shared" si="38"/>
        <v>6965.7</v>
      </c>
      <c r="R123" s="42">
        <f>IFERROR((VLOOKUP($A123,'Из ГУГЛа'!$B:$G,6,0)+T123)*S123,VLOOKUP($A123,'Из ГУГЛа'!$B:$G,6,0))</f>
        <v>7590</v>
      </c>
      <c r="S123" s="7">
        <v>1</v>
      </c>
      <c r="T123" s="7">
        <v>0</v>
      </c>
      <c r="U123" s="37">
        <f t="shared" si="39"/>
        <v>0.39314000000000004</v>
      </c>
      <c r="V123" s="37">
        <f t="shared" si="40"/>
        <v>8.225296442687749E-2</v>
      </c>
      <c r="W123" s="37">
        <f t="shared" si="41"/>
        <v>0.51800000000000002</v>
      </c>
      <c r="X123" s="38">
        <v>7590</v>
      </c>
      <c r="Y123" s="26" t="s">
        <v>608</v>
      </c>
    </row>
    <row r="124" spans="1:25" ht="30" x14ac:dyDescent="0.25">
      <c r="A124" s="33">
        <v>186969</v>
      </c>
      <c r="B124" s="33">
        <f>VLOOKUP($A124,'Выгр Кат'!$A:$R,B$1,0)</f>
        <v>1500</v>
      </c>
      <c r="C124" s="34" t="str">
        <f>VLOOKUP($A124,'Выгр Кат'!$A:$R,C$1,0)</f>
        <v>Паук 4-2-1 "STT" (8V, нержавейка) для Лада Калина</v>
      </c>
      <c r="D124" s="33" t="str">
        <f>VLOOKUP($A124,'Выгр Кат'!$A:$R,D$1,0)</f>
        <v>Y</v>
      </c>
      <c r="E124" s="33" t="str">
        <f>VLOOKUP($A124,'Выгр Кат'!$A:$R,E$1,0)</f>
        <v>1</v>
      </c>
      <c r="F124" s="33" t="str">
        <f>VLOOKUP($A124,'Выгр Кат'!$A:$R,F$1,0)</f>
        <v>TT-00060.</v>
      </c>
      <c r="G124" s="33"/>
      <c r="H124" s="23" t="s">
        <v>29</v>
      </c>
      <c r="I124" s="41">
        <v>5000</v>
      </c>
      <c r="J124" s="35">
        <f>VLOOKUP(I124,Наценка!$A$1:$B$8,2,1)</f>
        <v>1.4</v>
      </c>
      <c r="K124" s="46">
        <f t="shared" si="43"/>
        <v>7290</v>
      </c>
      <c r="L124" s="20">
        <f t="shared" si="35"/>
        <v>7290</v>
      </c>
      <c r="M124" s="33">
        <f>VLOOKUP($A124,'Выгр Кат'!$A:$R,M$1,0)</f>
        <v>5000</v>
      </c>
      <c r="N124" s="33">
        <f>VLOOKUP($A124,'Выгр Кат'!$A:$R,N$1,0)</f>
        <v>6990</v>
      </c>
      <c r="O124" s="17">
        <f t="shared" si="36"/>
        <v>0</v>
      </c>
      <c r="P124" s="17">
        <f t="shared" si="37"/>
        <v>-300</v>
      </c>
      <c r="Q124" s="18">
        <f t="shared" si="38"/>
        <v>6779.7</v>
      </c>
      <c r="R124" s="42">
        <f>IFERROR((VLOOKUP($A124,'Из ГУГЛа'!$B:$G,6,0)+T124)*S124,VLOOKUP($A124,'Из ГУГЛа'!$B:$G,6,0))</f>
        <v>7390</v>
      </c>
      <c r="S124" s="7">
        <v>1</v>
      </c>
      <c r="T124" s="7">
        <v>0</v>
      </c>
      <c r="U124" s="37">
        <f t="shared" si="39"/>
        <v>0.35593999999999992</v>
      </c>
      <c r="V124" s="37">
        <f t="shared" si="40"/>
        <v>8.2584573748308548E-2</v>
      </c>
      <c r="W124" s="37">
        <f t="shared" si="41"/>
        <v>0.47799999999999998</v>
      </c>
      <c r="X124" s="38">
        <v>7390</v>
      </c>
      <c r="Y124" s="26" t="s">
        <v>599</v>
      </c>
    </row>
    <row r="125" spans="1:25" ht="45" x14ac:dyDescent="0.25">
      <c r="A125" s="33">
        <v>186970</v>
      </c>
      <c r="B125" s="33">
        <f>VLOOKUP($A125,'Выгр Кат'!$A:$R,B$1,0)</f>
        <v>1494</v>
      </c>
      <c r="C125" s="34" t="str">
        <f>VLOOKUP($A125,'Выгр Кат'!$A:$R,C$1,0)</f>
        <v>Паук 4-2-1 "STT" (8V, под датчик кислорода, нержавейка) для ВАЗ 2110-2112</v>
      </c>
      <c r="D125" s="33" t="str">
        <f>VLOOKUP($A125,'Выгр Кат'!$A:$R,D$1,0)</f>
        <v>Y</v>
      </c>
      <c r="E125" s="33" t="str">
        <f>VLOOKUP($A125,'Выгр Кат'!$A:$R,E$1,0)</f>
        <v>1</v>
      </c>
      <c r="F125" s="33" t="str">
        <f>VLOOKUP($A125,'Выгр Кат'!$A:$R,F$1,0)</f>
        <v>TT-00038.</v>
      </c>
      <c r="G125" s="33"/>
      <c r="H125" s="23" t="s">
        <v>29</v>
      </c>
      <c r="I125" s="41">
        <v>5000</v>
      </c>
      <c r="J125" s="35">
        <f>VLOOKUP(I125,Наценка!$A$1:$B$8,2,1)</f>
        <v>1.4</v>
      </c>
      <c r="K125" s="46">
        <f t="shared" si="43"/>
        <v>7790</v>
      </c>
      <c r="L125" s="20">
        <f t="shared" si="35"/>
        <v>7790</v>
      </c>
      <c r="M125" s="33">
        <f>VLOOKUP($A125,'Выгр Кат'!$A:$R,M$1,0)</f>
        <v>5000</v>
      </c>
      <c r="N125" s="33">
        <f>VLOOKUP($A125,'Выгр Кат'!$A:$R,N$1,0)</f>
        <v>6990</v>
      </c>
      <c r="O125" s="17">
        <f t="shared" si="36"/>
        <v>0</v>
      </c>
      <c r="P125" s="17">
        <f t="shared" si="37"/>
        <v>-800</v>
      </c>
      <c r="Q125" s="18">
        <f t="shared" si="38"/>
        <v>7244.7</v>
      </c>
      <c r="R125" s="42">
        <f>IFERROR((VLOOKUP($A125,'Из ГУГЛа'!$B:$G,6,0)+T125)*S125,VLOOKUP($A125,'Из ГУГЛа'!$B:$G,6,0))</f>
        <v>7890</v>
      </c>
      <c r="S125" s="7">
        <v>1</v>
      </c>
      <c r="T125" s="7">
        <v>0</v>
      </c>
      <c r="U125" s="37">
        <f t="shared" si="39"/>
        <v>0.44893999999999989</v>
      </c>
      <c r="V125" s="37">
        <f t="shared" si="40"/>
        <v>8.1787072243346026E-2</v>
      </c>
      <c r="W125" s="37">
        <f t="shared" si="41"/>
        <v>0.57800000000000007</v>
      </c>
      <c r="X125" s="38">
        <v>7890</v>
      </c>
      <c r="Y125" s="26" t="s">
        <v>539</v>
      </c>
    </row>
    <row r="126" spans="1:25" ht="45" x14ac:dyDescent="0.25">
      <c r="A126" s="33">
        <v>140105</v>
      </c>
      <c r="B126" s="33">
        <f>VLOOKUP($A126,'Выгр Кат'!$A:$R,B$1,0)</f>
        <v>23227</v>
      </c>
      <c r="C126" s="34" t="str">
        <f>VLOOKUP($A126,'Выгр Кат'!$A:$R,C$1,0)</f>
        <v>Выпускной коллектор (паук) "STT" 4-2-1 (16V, SPORT, нержавеющая сталь) для ВАЗ 2110-2112</v>
      </c>
      <c r="D126" s="33" t="str">
        <f>VLOOKUP($A126,'Выгр Кат'!$A:$R,D$1,0)</f>
        <v>Y</v>
      </c>
      <c r="E126" s="33" t="str">
        <f>VLOOKUP($A126,'Выгр Кат'!$A:$R,E$1,0)</f>
        <v>1</v>
      </c>
      <c r="F126" s="33" t="str">
        <f>VLOOKUP($A126,'Выгр Кат'!$A:$R,F$1,0)</f>
        <v>TT-00041.</v>
      </c>
      <c r="G126" s="33"/>
      <c r="H126" s="23" t="s">
        <v>29</v>
      </c>
      <c r="I126" s="41">
        <v>5400</v>
      </c>
      <c r="J126" s="35">
        <f>VLOOKUP(I126,Наценка!$A$1:$B$8,2,1)</f>
        <v>1.4</v>
      </c>
      <c r="K126" s="39">
        <f t="shared" si="34"/>
        <v>7559.9999999999991</v>
      </c>
      <c r="L126" s="20">
        <f t="shared" si="35"/>
        <v>7590</v>
      </c>
      <c r="M126" s="33">
        <f>VLOOKUP($A126,'Выгр Кат'!$A:$R,M$1,0)</f>
        <v>5400</v>
      </c>
      <c r="N126" s="33">
        <f>VLOOKUP($A126,'Выгр Кат'!$A:$R,N$1,0)</f>
        <v>7590</v>
      </c>
      <c r="O126" s="17">
        <f t="shared" si="36"/>
        <v>0</v>
      </c>
      <c r="P126" s="17">
        <f t="shared" si="37"/>
        <v>0</v>
      </c>
      <c r="Q126" s="18">
        <f t="shared" si="38"/>
        <v>7058.7</v>
      </c>
      <c r="R126" s="42" t="str">
        <f>IFERROR((VLOOKUP($A126,'Из ГУГЛа'!$B:$G,6,0)+T126)*S126,VLOOKUP($A126,'Из ГУГЛа'!$B:$G,6,0))</f>
        <v/>
      </c>
      <c r="S126" s="7">
        <v>1</v>
      </c>
      <c r="T126" s="7">
        <v>0</v>
      </c>
      <c r="U126" s="37">
        <f t="shared" si="39"/>
        <v>0.30716666666666659</v>
      </c>
      <c r="V126" s="37" t="str">
        <f t="shared" si="40"/>
        <v/>
      </c>
      <c r="W126" s="37" t="str">
        <f t="shared" si="41"/>
        <v/>
      </c>
      <c r="X126" s="38" t="s">
        <v>521</v>
      </c>
    </row>
    <row r="127" spans="1:25" ht="45" x14ac:dyDescent="0.25">
      <c r="A127" s="33">
        <v>140106</v>
      </c>
      <c r="B127" s="33">
        <f>VLOOKUP($A127,'Выгр Кат'!$A:$R,B$1,0)</f>
        <v>23216</v>
      </c>
      <c r="C127" s="34" t="str">
        <f>VLOOKUP($A127,'Выгр Кат'!$A:$R,C$1,0)</f>
        <v>Выпускной коллектор (паук) "STT" 4-2-1 (16V, SPORT, нержавеющая сталь) для Лада Гранта, Калина 2</v>
      </c>
      <c r="D127" s="33" t="str">
        <f>VLOOKUP($A127,'Выгр Кат'!$A:$R,D$1,0)</f>
        <v>Y</v>
      </c>
      <c r="E127" s="33" t="str">
        <f>VLOOKUP($A127,'Выгр Кат'!$A:$R,E$1,0)</f>
        <v>1</v>
      </c>
      <c r="F127" s="33" t="str">
        <f>VLOOKUP($A127,'Выгр Кат'!$A:$R,F$1,0)</f>
        <v>ТТ-00070</v>
      </c>
      <c r="G127" s="33"/>
      <c r="H127" s="23" t="s">
        <v>29</v>
      </c>
      <c r="I127" s="41">
        <v>5400</v>
      </c>
      <c r="J127" s="35">
        <f>VLOOKUP(I127,Наценка!$A$1:$B$8,2,1)</f>
        <v>1.4</v>
      </c>
      <c r="K127" s="39">
        <f t="shared" si="34"/>
        <v>7559.9999999999991</v>
      </c>
      <c r="L127" s="20">
        <f t="shared" si="35"/>
        <v>7590</v>
      </c>
      <c r="M127" s="33">
        <f>VLOOKUP($A127,'Выгр Кат'!$A:$R,M$1,0)</f>
        <v>5400</v>
      </c>
      <c r="N127" s="33">
        <f>VLOOKUP($A127,'Выгр Кат'!$A:$R,N$1,0)</f>
        <v>7590</v>
      </c>
      <c r="O127" s="17">
        <f t="shared" si="36"/>
        <v>0</v>
      </c>
      <c r="P127" s="17">
        <f t="shared" si="37"/>
        <v>0</v>
      </c>
      <c r="Q127" s="18">
        <f t="shared" si="38"/>
        <v>7058.7</v>
      </c>
      <c r="R127" s="42">
        <f>IFERROR((VLOOKUP($A127,'Из ГУГЛа'!$B:$G,6,0)+T127)*S127,VLOOKUP($A127,'Из ГУГЛа'!$B:$G,6,0))</f>
        <v>7149</v>
      </c>
      <c r="S127" s="7">
        <v>1</v>
      </c>
      <c r="T127" s="7">
        <v>0</v>
      </c>
      <c r="U127" s="37">
        <f t="shared" si="39"/>
        <v>0.30716666666666659</v>
      </c>
      <c r="V127" s="37">
        <f t="shared" si="40"/>
        <v>1.2631137221989115E-2</v>
      </c>
      <c r="W127" s="37">
        <f t="shared" si="41"/>
        <v>0.32388888888888889</v>
      </c>
      <c r="X127" s="38">
        <v>7149</v>
      </c>
      <c r="Y127" s="26" t="s">
        <v>579</v>
      </c>
    </row>
    <row r="128" spans="1:25" ht="45" x14ac:dyDescent="0.25">
      <c r="A128" s="33">
        <v>140107</v>
      </c>
      <c r="B128" s="33">
        <f>VLOOKUP($A128,'Выгр Кат'!$A:$R,B$1,0)</f>
        <v>23220</v>
      </c>
      <c r="C128" s="34" t="str">
        <f>VLOOKUP($A128,'Выгр Кат'!$A:$R,C$1,0)</f>
        <v>Выпускной коллектор (паук) "STT" 4-2-1 (16V, SPORT, нержавеющая сталь) для Лада Калина</v>
      </c>
      <c r="D128" s="33" t="str">
        <f>VLOOKUP($A128,'Выгр Кат'!$A:$R,D$1,0)</f>
        <v>Y</v>
      </c>
      <c r="E128" s="33" t="str">
        <f>VLOOKUP($A128,'Выгр Кат'!$A:$R,E$1,0)</f>
        <v>1</v>
      </c>
      <c r="F128" s="33" t="str">
        <f>VLOOKUP($A128,'Выгр Кат'!$A:$R,F$1,0)</f>
        <v>TT-00053.</v>
      </c>
      <c r="G128" s="33"/>
      <c r="H128" s="23" t="s">
        <v>29</v>
      </c>
      <c r="I128" s="41">
        <v>5400</v>
      </c>
      <c r="J128" s="35">
        <f>VLOOKUP(I128,Наценка!$A$1:$B$8,2,1)</f>
        <v>1.4</v>
      </c>
      <c r="K128" s="39">
        <f t="shared" si="34"/>
        <v>7559.9999999999991</v>
      </c>
      <c r="L128" s="20">
        <f t="shared" si="35"/>
        <v>7590</v>
      </c>
      <c r="M128" s="33">
        <f>VLOOKUP($A128,'Выгр Кат'!$A:$R,M$1,0)</f>
        <v>5400</v>
      </c>
      <c r="N128" s="33">
        <f>VLOOKUP($A128,'Выгр Кат'!$A:$R,N$1,0)</f>
        <v>7590</v>
      </c>
      <c r="O128" s="17">
        <f t="shared" si="36"/>
        <v>0</v>
      </c>
      <c r="P128" s="17">
        <f t="shared" si="37"/>
        <v>0</v>
      </c>
      <c r="Q128" s="18">
        <f t="shared" si="38"/>
        <v>7058.7</v>
      </c>
      <c r="R128" s="42" t="str">
        <f>IFERROR((VLOOKUP($A128,'Из ГУГЛа'!$B:$G,6,0)+T128)*S128,VLOOKUP($A128,'Из ГУГЛа'!$B:$G,6,0))</f>
        <v/>
      </c>
      <c r="S128" s="7">
        <v>1</v>
      </c>
      <c r="T128" s="7">
        <v>0</v>
      </c>
      <c r="U128" s="37">
        <f t="shared" si="39"/>
        <v>0.30716666666666659</v>
      </c>
      <c r="V128" s="37" t="str">
        <f t="shared" si="40"/>
        <v/>
      </c>
      <c r="W128" s="37" t="str">
        <f t="shared" si="41"/>
        <v/>
      </c>
      <c r="X128" s="38" t="s">
        <v>521</v>
      </c>
    </row>
    <row r="129" spans="1:25" ht="45" x14ac:dyDescent="0.25">
      <c r="A129" s="33">
        <v>140108</v>
      </c>
      <c r="B129" s="33">
        <f>VLOOKUP($A129,'Выгр Кат'!$A:$R,B$1,0)</f>
        <v>23225</v>
      </c>
      <c r="C129" s="34" t="str">
        <f>VLOOKUP($A129,'Выгр Кат'!$A:$R,C$1,0)</f>
        <v>Выпускной коллектор (паук) "STT" 4-2-1 (16V, SPORT, нержавеющая сталь) для Лада Приора</v>
      </c>
      <c r="D129" s="33" t="str">
        <f>VLOOKUP($A129,'Выгр Кат'!$A:$R,D$1,0)</f>
        <v>Y</v>
      </c>
      <c r="E129" s="33" t="str">
        <f>VLOOKUP($A129,'Выгр Кат'!$A:$R,E$1,0)</f>
        <v>1</v>
      </c>
      <c r="F129" s="33" t="str">
        <f>VLOOKUP($A129,'Выгр Кат'!$A:$R,F$1,0)</f>
        <v>ТТ-00050</v>
      </c>
      <c r="G129" s="33"/>
      <c r="H129" s="23" t="s">
        <v>29</v>
      </c>
      <c r="I129" s="41">
        <v>5400</v>
      </c>
      <c r="J129" s="35">
        <f>VLOOKUP(I129,Наценка!$A$1:$B$8,2,1)</f>
        <v>1.4</v>
      </c>
      <c r="K129" s="39">
        <f t="shared" si="34"/>
        <v>7559.9999999999991</v>
      </c>
      <c r="L129" s="20">
        <f t="shared" si="35"/>
        <v>7590</v>
      </c>
      <c r="M129" s="33">
        <f>VLOOKUP($A129,'Выгр Кат'!$A:$R,M$1,0)</f>
        <v>5400</v>
      </c>
      <c r="N129" s="33">
        <f>VLOOKUP($A129,'Выгр Кат'!$A:$R,N$1,0)</f>
        <v>7590</v>
      </c>
      <c r="O129" s="17">
        <f t="shared" si="36"/>
        <v>0</v>
      </c>
      <c r="P129" s="17">
        <f t="shared" si="37"/>
        <v>0</v>
      </c>
      <c r="Q129" s="18">
        <f t="shared" si="38"/>
        <v>7058.7</v>
      </c>
      <c r="R129" s="42" t="str">
        <f>IFERROR((VLOOKUP($A129,'Из ГУГЛа'!$B:$G,6,0)+T129)*S129,VLOOKUP($A129,'Из ГУГЛа'!$B:$G,6,0))</f>
        <v/>
      </c>
      <c r="S129" s="7">
        <v>1</v>
      </c>
      <c r="T129" s="7">
        <v>0</v>
      </c>
      <c r="U129" s="37">
        <f t="shared" si="39"/>
        <v>0.30716666666666659</v>
      </c>
      <c r="V129" s="37" t="str">
        <f t="shared" si="40"/>
        <v/>
      </c>
      <c r="W129" s="37" t="str">
        <f t="shared" si="41"/>
        <v/>
      </c>
      <c r="X129" s="38" t="s">
        <v>521</v>
      </c>
    </row>
    <row r="130" spans="1:25" ht="45" x14ac:dyDescent="0.25">
      <c r="A130" s="33">
        <v>140115</v>
      </c>
      <c r="B130" s="33">
        <f>VLOOKUP($A130,'Выгр Кат'!$A:$R,B$1,0)</f>
        <v>23233</v>
      </c>
      <c r="C130" s="34" t="str">
        <f>VLOOKUP($A130,'Выгр Кат'!$A:$R,C$1,0)</f>
        <v>Выпускной коллектор (паук) "STT" 4-2-1 (8V, SPORT, нержавеющая сталь) для ВАЗ 2108-21099, 2113-2115</v>
      </c>
      <c r="D130" s="33" t="str">
        <f>VLOOKUP($A130,'Выгр Кат'!$A:$R,D$1,0)</f>
        <v>Y</v>
      </c>
      <c r="E130" s="33" t="str">
        <f>VLOOKUP($A130,'Выгр Кат'!$A:$R,E$1,0)</f>
        <v>1</v>
      </c>
      <c r="F130" s="33" t="str">
        <f>VLOOKUP($A130,'Выгр Кат'!$A:$R,F$1,0)</f>
        <v>ТТ-00238</v>
      </c>
      <c r="G130" s="33"/>
      <c r="H130" s="23" t="s">
        <v>29</v>
      </c>
      <c r="I130" s="41">
        <v>5400</v>
      </c>
      <c r="J130" s="35">
        <f>VLOOKUP(I130,Наценка!$A$1:$B$8,2,1)</f>
        <v>1.4</v>
      </c>
      <c r="K130" s="39">
        <f t="shared" si="34"/>
        <v>7559.9999999999991</v>
      </c>
      <c r="L130" s="20">
        <f t="shared" si="35"/>
        <v>7590</v>
      </c>
      <c r="M130" s="33">
        <f>VLOOKUP($A130,'Выгр Кат'!$A:$R,M$1,0)</f>
        <v>5400</v>
      </c>
      <c r="N130" s="33">
        <f>VLOOKUP($A130,'Выгр Кат'!$A:$R,N$1,0)</f>
        <v>7590</v>
      </c>
      <c r="O130" s="17">
        <f t="shared" si="36"/>
        <v>0</v>
      </c>
      <c r="P130" s="17">
        <f t="shared" si="37"/>
        <v>0</v>
      </c>
      <c r="Q130" s="18">
        <f t="shared" si="38"/>
        <v>7058.7</v>
      </c>
      <c r="R130" s="42" t="str">
        <f>IFERROR((VLOOKUP($A130,'Из ГУГЛа'!$B:$G,6,0)+T130)*S130,VLOOKUP($A130,'Из ГУГЛа'!$B:$G,6,0))</f>
        <v/>
      </c>
      <c r="S130" s="7">
        <v>1</v>
      </c>
      <c r="T130" s="7">
        <v>0</v>
      </c>
      <c r="U130" s="37">
        <f t="shared" si="39"/>
        <v>0.30716666666666659</v>
      </c>
      <c r="V130" s="37" t="str">
        <f t="shared" si="40"/>
        <v/>
      </c>
      <c r="W130" s="37" t="str">
        <f t="shared" si="41"/>
        <v/>
      </c>
      <c r="X130" s="38" t="s">
        <v>521</v>
      </c>
    </row>
    <row r="131" spans="1:25" ht="45" x14ac:dyDescent="0.25">
      <c r="A131" s="33">
        <v>140116</v>
      </c>
      <c r="B131" s="33">
        <f>VLOOKUP($A131,'Выгр Кат'!$A:$R,B$1,0)</f>
        <v>23230</v>
      </c>
      <c r="C131" s="34" t="str">
        <f>VLOOKUP($A131,'Выгр Кат'!$A:$R,C$1,0)</f>
        <v>Выпускной коллектор (паук) "STT" 4-2-1 (8V, SPORT, нержавеющая сталь) для ВАЗ 2110-2112</v>
      </c>
      <c r="D131" s="33" t="str">
        <f>VLOOKUP($A131,'Выгр Кат'!$A:$R,D$1,0)</f>
        <v>Y</v>
      </c>
      <c r="E131" s="33" t="str">
        <f>VLOOKUP($A131,'Выгр Кат'!$A:$R,E$1,0)</f>
        <v>1</v>
      </c>
      <c r="F131" s="33" t="str">
        <f>VLOOKUP($A131,'Выгр Кат'!$A:$R,F$1,0)</f>
        <v>ТТ-00237</v>
      </c>
      <c r="G131" s="33"/>
      <c r="H131" s="23" t="s">
        <v>29</v>
      </c>
      <c r="I131" s="41">
        <v>5400</v>
      </c>
      <c r="J131" s="35">
        <f>VLOOKUP(I131,Наценка!$A$1:$B$8,2,1)</f>
        <v>1.4</v>
      </c>
      <c r="K131" s="39">
        <f t="shared" ref="K131:K162" si="44">I131*J131</f>
        <v>7559.9999999999991</v>
      </c>
      <c r="L131" s="20">
        <f t="shared" ref="L131:L162" si="45">IF(K131&lt;=1000,(ROUNDUP(K131,-1)-1),(ROUNDUP(K131,-2)-10))</f>
        <v>7590</v>
      </c>
      <c r="M131" s="33">
        <f>VLOOKUP($A131,'Выгр Кат'!$A:$R,M$1,0)</f>
        <v>5400</v>
      </c>
      <c r="N131" s="33">
        <f>VLOOKUP($A131,'Выгр Кат'!$A:$R,N$1,0)</f>
        <v>7590</v>
      </c>
      <c r="O131" s="17">
        <f t="shared" ref="O131:O162" si="46">M131-I131</f>
        <v>0</v>
      </c>
      <c r="P131" s="17">
        <f t="shared" ref="P131:P162" si="47">N131-L131</f>
        <v>0</v>
      </c>
      <c r="Q131" s="18">
        <f t="shared" ref="Q131:Q162" si="48">IFERROR(L131*(1-$Q$2),"")</f>
        <v>7058.7</v>
      </c>
      <c r="R131" s="42" t="str">
        <f>IFERROR((VLOOKUP($A131,'Из ГУГЛа'!$B:$G,6,0)+T131)*S131,VLOOKUP($A131,'Из ГУГЛа'!$B:$G,6,0))</f>
        <v/>
      </c>
      <c r="S131" s="7">
        <v>1</v>
      </c>
      <c r="T131" s="7">
        <v>0</v>
      </c>
      <c r="U131" s="37">
        <f t="shared" ref="U131:U162" si="49">IFERROR(Q131/I131-1,"")</f>
        <v>0.30716666666666659</v>
      </c>
      <c r="V131" s="37" t="str">
        <f t="shared" ref="V131:V162" si="50">IFERROR((X131-Q131)/X131,"")</f>
        <v/>
      </c>
      <c r="W131" s="37" t="str">
        <f t="shared" ref="W131:W162" si="51">IFERROR(IF(X131="","",X131/I131-1),"")</f>
        <v/>
      </c>
      <c r="X131" s="38" t="s">
        <v>521</v>
      </c>
    </row>
    <row r="132" spans="1:25" ht="45" x14ac:dyDescent="0.25">
      <c r="A132" s="33">
        <v>140117</v>
      </c>
      <c r="B132" s="33">
        <f>VLOOKUP($A132,'Выгр Кат'!$A:$R,B$1,0)</f>
        <v>23217</v>
      </c>
      <c r="C132" s="34" t="str">
        <f>VLOOKUP($A132,'Выгр Кат'!$A:$R,C$1,0)</f>
        <v>Выпускной коллектор (паук) "STT" 4-2-1 (8V, SPORT, нержавеющая сталь) для Лада Гранта, Калина 2</v>
      </c>
      <c r="D132" s="33" t="str">
        <f>VLOOKUP($A132,'Выгр Кат'!$A:$R,D$1,0)</f>
        <v>Y</v>
      </c>
      <c r="E132" s="33" t="str">
        <f>VLOOKUP($A132,'Выгр Кат'!$A:$R,E$1,0)</f>
        <v>1</v>
      </c>
      <c r="F132" s="33" t="str">
        <f>VLOOKUP($A132,'Выгр Кат'!$A:$R,F$1,0)</f>
        <v>TT-00073.</v>
      </c>
      <c r="G132" s="33"/>
      <c r="H132" s="23" t="s">
        <v>29</v>
      </c>
      <c r="I132" s="41">
        <v>5400</v>
      </c>
      <c r="J132" s="35">
        <f>VLOOKUP(I132,Наценка!$A$1:$B$8,2,1)</f>
        <v>1.4</v>
      </c>
      <c r="K132" s="39">
        <f t="shared" si="44"/>
        <v>7559.9999999999991</v>
      </c>
      <c r="L132" s="20">
        <f t="shared" si="45"/>
        <v>7590</v>
      </c>
      <c r="M132" s="33">
        <f>VLOOKUP($A132,'Выгр Кат'!$A:$R,M$1,0)</f>
        <v>5400</v>
      </c>
      <c r="N132" s="33">
        <f>VLOOKUP($A132,'Выгр Кат'!$A:$R,N$1,0)</f>
        <v>7590</v>
      </c>
      <c r="O132" s="17">
        <f t="shared" si="46"/>
        <v>0</v>
      </c>
      <c r="P132" s="17">
        <f t="shared" si="47"/>
        <v>0</v>
      </c>
      <c r="Q132" s="18">
        <f t="shared" si="48"/>
        <v>7058.7</v>
      </c>
      <c r="R132" s="42">
        <f>IFERROR((VLOOKUP($A132,'Из ГУГЛа'!$B:$G,6,0)+T132)*S132,VLOOKUP($A132,'Из ГУГЛа'!$B:$G,6,0))</f>
        <v>5590</v>
      </c>
      <c r="S132" s="7">
        <v>1</v>
      </c>
      <c r="T132" s="7">
        <v>0</v>
      </c>
      <c r="U132" s="37">
        <f t="shared" si="49"/>
        <v>0.30716666666666659</v>
      </c>
      <c r="V132" s="37">
        <f t="shared" si="50"/>
        <v>-0.26273703041144897</v>
      </c>
      <c r="W132" s="37">
        <f t="shared" si="51"/>
        <v>3.5185185185185208E-2</v>
      </c>
      <c r="X132" s="38">
        <v>5590</v>
      </c>
      <c r="Y132" s="26" t="s">
        <v>578</v>
      </c>
    </row>
    <row r="133" spans="1:25" ht="45" x14ac:dyDescent="0.25">
      <c r="A133" s="33">
        <v>140121</v>
      </c>
      <c r="B133" s="33">
        <f>VLOOKUP($A133,'Выгр Кат'!$A:$R,B$1,0)</f>
        <v>23198</v>
      </c>
      <c r="C133" s="34" t="str">
        <f>VLOOKUP($A133,'Выгр Кат'!$A:$R,C$1,0)</f>
        <v>Выпускной коллектор (паук) "STT" 4-2-1 (SPORT, 16V, нержавеющая сталь) для ВАЗ 2108-21099, 2113-2115</v>
      </c>
      <c r="D133" s="33" t="str">
        <f>VLOOKUP($A133,'Выгр Кат'!$A:$R,D$1,0)</f>
        <v>Y</v>
      </c>
      <c r="E133" s="33" t="str">
        <f>VLOOKUP($A133,'Выгр Кат'!$A:$R,E$1,0)</f>
        <v>1</v>
      </c>
      <c r="F133" s="33" t="str">
        <f>VLOOKUP($A133,'Выгр Кат'!$A:$R,F$1,0)</f>
        <v>TT-00032.</v>
      </c>
      <c r="G133" s="33"/>
      <c r="H133" s="23" t="s">
        <v>29</v>
      </c>
      <c r="I133" s="41">
        <v>5400</v>
      </c>
      <c r="J133" s="35">
        <f>VLOOKUP(I133,Наценка!$A$1:$B$8,2,1)</f>
        <v>1.4</v>
      </c>
      <c r="K133" s="46">
        <f>X133-100</f>
        <v>7890</v>
      </c>
      <c r="L133" s="20">
        <f t="shared" si="45"/>
        <v>7890</v>
      </c>
      <c r="M133" s="33">
        <f>VLOOKUP($A133,'Выгр Кат'!$A:$R,M$1,0)</f>
        <v>5400</v>
      </c>
      <c r="N133" s="33">
        <f>VLOOKUP($A133,'Выгр Кат'!$A:$R,N$1,0)</f>
        <v>7590</v>
      </c>
      <c r="O133" s="17">
        <f t="shared" si="46"/>
        <v>0</v>
      </c>
      <c r="P133" s="17">
        <f t="shared" si="47"/>
        <v>-300</v>
      </c>
      <c r="Q133" s="18">
        <f t="shared" si="48"/>
        <v>7337.7</v>
      </c>
      <c r="R133" s="42">
        <f>IFERROR((VLOOKUP($A133,'Из ГУГЛа'!$B:$G,6,0)+T133)*S133,VLOOKUP($A133,'Из ГУГЛа'!$B:$G,6,0))</f>
        <v>7990</v>
      </c>
      <c r="S133" s="7">
        <v>1</v>
      </c>
      <c r="T133" s="7">
        <v>0</v>
      </c>
      <c r="U133" s="37">
        <f t="shared" si="49"/>
        <v>0.35883333333333334</v>
      </c>
      <c r="V133" s="37">
        <f t="shared" si="50"/>
        <v>8.1639549436796022E-2</v>
      </c>
      <c r="W133" s="37">
        <f t="shared" si="51"/>
        <v>0.47962962962962963</v>
      </c>
      <c r="X133" s="38">
        <v>7990</v>
      </c>
      <c r="Y133" s="26" t="s">
        <v>609</v>
      </c>
    </row>
    <row r="134" spans="1:25" ht="30" x14ac:dyDescent="0.25">
      <c r="A134" s="33">
        <v>186980</v>
      </c>
      <c r="B134" s="33">
        <f>VLOOKUP($A134,'Выгр Кат'!$A:$R,B$1,0)</f>
        <v>1503</v>
      </c>
      <c r="C134" s="34" t="str">
        <f>VLOOKUP($A134,'Выгр Кат'!$A:$R,C$1,0)</f>
        <v>Паук 4-2-1 "STT" (Спорт, 8V, нержавейка) для Лада Калина</v>
      </c>
      <c r="D134" s="33" t="str">
        <f>VLOOKUP($A134,'Выгр Кат'!$A:$R,D$1,0)</f>
        <v>Y</v>
      </c>
      <c r="E134" s="33" t="str">
        <f>VLOOKUP($A134,'Выгр Кат'!$A:$R,E$1,0)</f>
        <v>1</v>
      </c>
      <c r="F134" s="33" t="str">
        <f>VLOOKUP($A134,'Выгр Кат'!$A:$R,F$1,0)</f>
        <v>TT-00061.</v>
      </c>
      <c r="G134" s="33"/>
      <c r="H134" s="23" t="s">
        <v>29</v>
      </c>
      <c r="I134" s="41">
        <v>5400</v>
      </c>
      <c r="J134" s="35">
        <f>VLOOKUP(I134,Наценка!$A$1:$B$8,2,1)</f>
        <v>1.4</v>
      </c>
      <c r="K134" s="39">
        <f t="shared" si="44"/>
        <v>7559.9999999999991</v>
      </c>
      <c r="L134" s="20">
        <f t="shared" si="45"/>
        <v>7590</v>
      </c>
      <c r="M134" s="33">
        <f>VLOOKUP($A134,'Выгр Кат'!$A:$R,M$1,0)</f>
        <v>5400</v>
      </c>
      <c r="N134" s="33">
        <f>VLOOKUP($A134,'Выгр Кат'!$A:$R,N$1,0)</f>
        <v>7590</v>
      </c>
      <c r="O134" s="17">
        <f t="shared" si="46"/>
        <v>0</v>
      </c>
      <c r="P134" s="17">
        <f t="shared" si="47"/>
        <v>0</v>
      </c>
      <c r="Q134" s="18">
        <f t="shared" si="48"/>
        <v>7058.7</v>
      </c>
      <c r="R134" s="42">
        <f>IFERROR((VLOOKUP($A134,'Из ГУГЛа'!$B:$G,6,0)+T134)*S134,VLOOKUP($A134,'Из ГУГЛа'!$B:$G,6,0))</f>
        <v>5590</v>
      </c>
      <c r="S134" s="7">
        <v>1</v>
      </c>
      <c r="T134" s="7">
        <v>0</v>
      </c>
      <c r="U134" s="37">
        <f t="shared" si="49"/>
        <v>0.30716666666666659</v>
      </c>
      <c r="V134" s="37">
        <f t="shared" si="50"/>
        <v>-0.26273703041144897</v>
      </c>
      <c r="W134" s="37">
        <f t="shared" si="51"/>
        <v>3.5185185185185208E-2</v>
      </c>
      <c r="X134" s="38">
        <v>5590</v>
      </c>
      <c r="Y134" s="26" t="s">
        <v>601</v>
      </c>
    </row>
    <row r="135" spans="1:25" ht="60" x14ac:dyDescent="0.25">
      <c r="A135" s="33">
        <v>140126</v>
      </c>
      <c r="B135" s="33">
        <f>VLOOKUP($A135,'Выгр Кат'!$A:$R,B$1,0)</f>
        <v>41682</v>
      </c>
      <c r="C135" s="34" t="str">
        <f>VLOOKUP($A135,'Выгр Кат'!$A:$R,C$1,0)</f>
        <v>Выпускной коллектор (паук) "STT" SPORT, 4-2-1, (d63 мм, нержавеющая, на 2 болта) для Лада Приора (ВАЗ-21126, 1.6 л, 16 клапанный)</v>
      </c>
      <c r="D135" s="33" t="str">
        <f>VLOOKUP($A135,'Выгр Кат'!$A:$R,D$1,0)</f>
        <v>Y</v>
      </c>
      <c r="E135" s="33" t="str">
        <f>VLOOKUP($A135,'Выгр Кат'!$A:$R,E$1,0)</f>
        <v>1</v>
      </c>
      <c r="F135" s="33" t="str">
        <f>VLOOKUP($A135,'Выгр Кат'!$A:$R,F$1,0)</f>
        <v>TT-00051</v>
      </c>
      <c r="G135" s="33"/>
      <c r="H135" s="23" t="s">
        <v>29</v>
      </c>
      <c r="I135" s="41">
        <v>5600</v>
      </c>
      <c r="J135" s="35">
        <f>VLOOKUP(I135,Наценка!$A$1:$B$8,2,1)</f>
        <v>1.4</v>
      </c>
      <c r="K135" s="46">
        <f t="shared" ref="K135:K136" si="52">X135-100</f>
        <v>8290</v>
      </c>
      <c r="L135" s="20">
        <f t="shared" si="45"/>
        <v>8290</v>
      </c>
      <c r="M135" s="33">
        <f>VLOOKUP($A135,'Выгр Кат'!$A:$R,M$1,0)</f>
        <v>5600</v>
      </c>
      <c r="N135" s="33">
        <f>VLOOKUP($A135,'Выгр Кат'!$A:$R,N$1,0)</f>
        <v>7890</v>
      </c>
      <c r="O135" s="17">
        <f t="shared" si="46"/>
        <v>0</v>
      </c>
      <c r="P135" s="17">
        <f t="shared" si="47"/>
        <v>-400</v>
      </c>
      <c r="Q135" s="18">
        <f t="shared" si="48"/>
        <v>7709.7</v>
      </c>
      <c r="R135" s="42">
        <f>IFERROR((VLOOKUP($A135,'Из ГУГЛа'!$B:$G,6,0)+T135)*S135,VLOOKUP($A135,'Из ГУГЛа'!$B:$G,6,0))</f>
        <v>8390</v>
      </c>
      <c r="S135" s="7">
        <v>1</v>
      </c>
      <c r="T135" s="7">
        <v>0</v>
      </c>
      <c r="U135" s="37">
        <f t="shared" si="49"/>
        <v>0.37673214285714285</v>
      </c>
      <c r="V135" s="37">
        <f t="shared" si="50"/>
        <v>8.1084624553039358E-2</v>
      </c>
      <c r="W135" s="37">
        <f t="shared" si="51"/>
        <v>0.49821428571428572</v>
      </c>
      <c r="X135" s="38">
        <v>8390</v>
      </c>
      <c r="Y135" s="26" t="s">
        <v>545</v>
      </c>
    </row>
    <row r="136" spans="1:25" ht="45" x14ac:dyDescent="0.25">
      <c r="A136" s="33">
        <v>186973</v>
      </c>
      <c r="B136" s="33">
        <f>VLOOKUP($A136,'Выгр Кат'!$A:$R,B$1,0)</f>
        <v>13671</v>
      </c>
      <c r="C136" s="34" t="str">
        <f>VLOOKUP($A136,'Выгр Кат'!$A:$R,C$1,0)</f>
        <v>Паук 4-2-1 "STT" (Спорт, 16V, выход 63, нержавейка) для Лада Гранта, Калина 2</v>
      </c>
      <c r="D136" s="33" t="str">
        <f>VLOOKUP($A136,'Выгр Кат'!$A:$R,D$1,0)</f>
        <v>Y</v>
      </c>
      <c r="E136" s="33" t="str">
        <f>VLOOKUP($A136,'Выгр Кат'!$A:$R,E$1,0)</f>
        <v>1</v>
      </c>
      <c r="F136" s="33" t="str">
        <f>VLOOKUP($A136,'Выгр Кат'!$A:$R,F$1,0)</f>
        <v>ТТ-00230</v>
      </c>
      <c r="G136" s="33"/>
      <c r="H136" s="23" t="s">
        <v>29</v>
      </c>
      <c r="I136" s="41">
        <v>5600</v>
      </c>
      <c r="J136" s="35">
        <f>VLOOKUP(I136,Наценка!$A$1:$B$8,2,1)</f>
        <v>1.4</v>
      </c>
      <c r="K136" s="46">
        <f t="shared" si="52"/>
        <v>8290</v>
      </c>
      <c r="L136" s="20">
        <f t="shared" si="45"/>
        <v>8290</v>
      </c>
      <c r="M136" s="33">
        <f>VLOOKUP($A136,'Выгр Кат'!$A:$R,M$1,0)</f>
        <v>5600</v>
      </c>
      <c r="N136" s="33">
        <f>VLOOKUP($A136,'Выгр Кат'!$A:$R,N$1,0)</f>
        <v>7890</v>
      </c>
      <c r="O136" s="17">
        <f t="shared" si="46"/>
        <v>0</v>
      </c>
      <c r="P136" s="17">
        <f t="shared" si="47"/>
        <v>-400</v>
      </c>
      <c r="Q136" s="18">
        <f t="shared" si="48"/>
        <v>7709.7</v>
      </c>
      <c r="R136" s="42">
        <f>IFERROR((VLOOKUP($A136,'Из ГУГЛа'!$B:$G,6,0)+T136)*S136,VLOOKUP($A136,'Из ГУГЛа'!$B:$G,6,0))</f>
        <v>8390</v>
      </c>
      <c r="S136" s="7">
        <v>1</v>
      </c>
      <c r="T136" s="7">
        <v>0</v>
      </c>
      <c r="U136" s="37">
        <f t="shared" si="49"/>
        <v>0.37673214285714285</v>
      </c>
      <c r="V136" s="37">
        <f t="shared" si="50"/>
        <v>8.1084624553039358E-2</v>
      </c>
      <c r="W136" s="37">
        <f t="shared" si="51"/>
        <v>0.49821428571428572</v>
      </c>
      <c r="X136" s="38">
        <v>8390</v>
      </c>
      <c r="Y136" s="26" t="s">
        <v>588</v>
      </c>
    </row>
    <row r="137" spans="1:25" ht="30" x14ac:dyDescent="0.25">
      <c r="A137" s="33">
        <v>141285</v>
      </c>
      <c r="B137" s="33">
        <f>VLOOKUP($A137,'Выгр Кат'!$A:$R,B$1,0)</f>
        <v>2354</v>
      </c>
      <c r="C137" s="34" t="str">
        <f>VLOOKUP($A137,'Выгр Кат'!$A:$R,C$1,0)</f>
        <v>Глушитель прямоточный нержавейка "STT" ВАЗ 2101-2107 круглая насадка</v>
      </c>
      <c r="D137" s="33" t="str">
        <f>VLOOKUP($A137,'Выгр Кат'!$A:$R,D$1,0)</f>
        <v>Y</v>
      </c>
      <c r="E137" s="33" t="str">
        <f>VLOOKUP($A137,'Выгр Кат'!$A:$R,E$1,0)</f>
        <v>0</v>
      </c>
      <c r="F137" s="33" t="str">
        <f>VLOOKUP($A137,'Выгр Кат'!$A:$R,F$1,0)</f>
        <v>TT-00159</v>
      </c>
      <c r="G137" s="33"/>
      <c r="H137" s="23" t="s">
        <v>29</v>
      </c>
      <c r="I137" s="41">
        <v>5800</v>
      </c>
      <c r="J137" s="35">
        <f>VLOOKUP(I137,Наценка!$A$1:$B$8,2,1)</f>
        <v>1.4</v>
      </c>
      <c r="K137" s="39">
        <f t="shared" si="44"/>
        <v>8119.9999999999991</v>
      </c>
      <c r="L137" s="20">
        <f t="shared" si="45"/>
        <v>8190</v>
      </c>
      <c r="M137" s="33">
        <f>VLOOKUP($A137,'Выгр Кат'!$A:$R,M$1,0)</f>
        <v>5800</v>
      </c>
      <c r="N137" s="33">
        <f>VLOOKUP($A137,'Выгр Кат'!$A:$R,N$1,0)</f>
        <v>8190</v>
      </c>
      <c r="O137" s="17">
        <f t="shared" si="46"/>
        <v>0</v>
      </c>
      <c r="P137" s="17">
        <f t="shared" si="47"/>
        <v>0</v>
      </c>
      <c r="Q137" s="18">
        <f t="shared" si="48"/>
        <v>7616.7</v>
      </c>
      <c r="R137" s="42" t="str">
        <f>IFERROR((VLOOKUP($A137,'Из ГУГЛа'!$B:$G,6,0)+T137)*S137,VLOOKUP($A137,'Из ГУГЛа'!$B:$G,6,0))</f>
        <v/>
      </c>
      <c r="S137" s="7">
        <v>1</v>
      </c>
      <c r="T137" s="7">
        <v>0</v>
      </c>
      <c r="U137" s="37">
        <f t="shared" si="49"/>
        <v>0.31322413793103454</v>
      </c>
      <c r="V137" s="37" t="str">
        <f t="shared" si="50"/>
        <v/>
      </c>
      <c r="W137" s="37" t="str">
        <f t="shared" si="51"/>
        <v/>
      </c>
      <c r="X137" s="38" t="s">
        <v>521</v>
      </c>
    </row>
    <row r="138" spans="1:25" ht="45" x14ac:dyDescent="0.25">
      <c r="A138" s="33">
        <v>203633</v>
      </c>
      <c r="B138" s="33">
        <f>VLOOKUP($A138,'Выгр Кат'!$A:$R,B$1,0)</f>
        <v>23497</v>
      </c>
      <c r="C138" s="34" t="str">
        <f>VLOOKUP($A138,'Выгр Кат'!$A:$R,C$1,0)</f>
        <v>Резонатор "STT" (d51, под выпускной коллектор "STT", нержавеющая сталь) для Лада Нива 4x4</v>
      </c>
      <c r="D138" s="33" t="str">
        <f>VLOOKUP($A138,'Выгр Кат'!$A:$R,D$1,0)</f>
        <v>Y</v>
      </c>
      <c r="E138" s="33" t="str">
        <f>VLOOKUP($A138,'Выгр Кат'!$A:$R,E$1,0)</f>
        <v>1</v>
      </c>
      <c r="F138" s="33" t="str">
        <f>VLOOKUP($A138,'Выгр Кат'!$A:$R,F$1,0)</f>
        <v>ТТ-00318</v>
      </c>
      <c r="G138" s="33"/>
      <c r="H138" s="23" t="s">
        <v>29</v>
      </c>
      <c r="I138" s="41">
        <v>6000</v>
      </c>
      <c r="J138" s="35">
        <f>VLOOKUP(I138,Наценка!$A$1:$B$8,2,1)</f>
        <v>1.4</v>
      </c>
      <c r="K138" s="39">
        <f t="shared" si="44"/>
        <v>8400</v>
      </c>
      <c r="L138" s="20">
        <f t="shared" si="45"/>
        <v>8390</v>
      </c>
      <c r="M138" s="33">
        <f>VLOOKUP($A138,'Выгр Кат'!$A:$R,M$1,0)</f>
        <v>6000</v>
      </c>
      <c r="N138" s="33">
        <f>VLOOKUP($A138,'Выгр Кат'!$A:$R,N$1,0)</f>
        <v>8390</v>
      </c>
      <c r="O138" s="17">
        <f t="shared" si="46"/>
        <v>0</v>
      </c>
      <c r="P138" s="17">
        <f t="shared" si="47"/>
        <v>0</v>
      </c>
      <c r="Q138" s="18">
        <f t="shared" si="48"/>
        <v>7802.7</v>
      </c>
      <c r="R138" s="42" t="str">
        <f>IFERROR((VLOOKUP($A138,'Из ГУГЛа'!$B:$G,6,0)+T138)*S138,VLOOKUP($A138,'Из ГУГЛа'!$B:$G,6,0))</f>
        <v/>
      </c>
      <c r="S138" s="7">
        <v>1</v>
      </c>
      <c r="T138" s="7">
        <v>0</v>
      </c>
      <c r="U138" s="37">
        <f t="shared" si="49"/>
        <v>0.30044999999999988</v>
      </c>
      <c r="V138" s="37" t="str">
        <f t="shared" si="50"/>
        <v/>
      </c>
      <c r="W138" s="37" t="str">
        <f t="shared" si="51"/>
        <v/>
      </c>
      <c r="X138" s="38" t="s">
        <v>521</v>
      </c>
    </row>
    <row r="139" spans="1:25" ht="45" x14ac:dyDescent="0.25">
      <c r="A139" s="33">
        <v>140113</v>
      </c>
      <c r="B139" s="33">
        <f>VLOOKUP($A139,'Выгр Кат'!$A:$R,B$1,0)</f>
        <v>23200</v>
      </c>
      <c r="C139" s="34" t="str">
        <f>VLOOKUP($A139,'Выгр Кат'!$A:$R,C$1,0)</f>
        <v>Выпускной коллектор (паук) "STT" 4-2-1 (16V, нержавеющая сталь) для Лада Веста 1.6L</v>
      </c>
      <c r="D139" s="33" t="str">
        <f>VLOOKUP($A139,'Выгр Кат'!$A:$R,D$1,0)</f>
        <v>Y</v>
      </c>
      <c r="E139" s="33" t="str">
        <f>VLOOKUP($A139,'Выгр Кат'!$A:$R,E$1,0)</f>
        <v>1ск6</v>
      </c>
      <c r="F139" s="33" t="str">
        <f>VLOOKUP($A139,'Выгр Кат'!$A:$R,F$1,0)</f>
        <v>TT-00076.</v>
      </c>
      <c r="G139" s="33"/>
      <c r="H139" s="23" t="s">
        <v>29</v>
      </c>
      <c r="I139" s="41">
        <v>6100</v>
      </c>
      <c r="J139" s="35">
        <f>VLOOKUP(I139,Наценка!$A$1:$B$8,2,1)</f>
        <v>1.4</v>
      </c>
      <c r="K139" s="39">
        <f t="shared" si="44"/>
        <v>8540</v>
      </c>
      <c r="L139" s="20">
        <f t="shared" si="45"/>
        <v>8590</v>
      </c>
      <c r="M139" s="33">
        <f>VLOOKUP($A139,'Выгр Кат'!$A:$R,M$1,0)</f>
        <v>6100</v>
      </c>
      <c r="N139" s="33">
        <f>VLOOKUP($A139,'Выгр Кат'!$A:$R,N$1,0)</f>
        <v>8590</v>
      </c>
      <c r="O139" s="17">
        <f t="shared" si="46"/>
        <v>0</v>
      </c>
      <c r="P139" s="17">
        <f t="shared" si="47"/>
        <v>0</v>
      </c>
      <c r="Q139" s="18">
        <f t="shared" si="48"/>
        <v>7988.7</v>
      </c>
      <c r="R139" s="42">
        <f>IFERROR((VLOOKUP($A139,'Из ГУГЛа'!$B:$G,6,0)+T139)*S139,VLOOKUP($A139,'Из ГУГЛа'!$B:$G,6,0))</f>
        <v>5790</v>
      </c>
      <c r="S139" s="7">
        <v>1</v>
      </c>
      <c r="T139" s="7">
        <v>0</v>
      </c>
      <c r="U139" s="37">
        <f t="shared" si="49"/>
        <v>0.30962295081967217</v>
      </c>
      <c r="V139" s="37">
        <f t="shared" si="50"/>
        <v>-0.37974093264248704</v>
      </c>
      <c r="W139" s="37">
        <f t="shared" si="51"/>
        <v>-5.0819672131147575E-2</v>
      </c>
      <c r="X139" s="38">
        <v>5790</v>
      </c>
      <c r="Y139" s="26" t="s">
        <v>531</v>
      </c>
    </row>
    <row r="140" spans="1:25" ht="45" x14ac:dyDescent="0.25">
      <c r="A140" s="33">
        <v>140111</v>
      </c>
      <c r="B140" s="33">
        <f>VLOOKUP($A140,'Выгр Кат'!$A:$R,B$1,0)</f>
        <v>23202</v>
      </c>
      <c r="C140" s="34" t="str">
        <f>VLOOKUP($A140,'Выгр Кат'!$A:$R,C$1,0)</f>
        <v>Выпускной коллектор (паук) "STT" 4-2-1 (16V, нержавеющая сталь) для ВАЗ 2101-2107</v>
      </c>
      <c r="D140" s="33" t="str">
        <f>VLOOKUP($A140,'Выгр Кат'!$A:$R,D$1,0)</f>
        <v>Y</v>
      </c>
      <c r="E140" s="33" t="str">
        <f>VLOOKUP($A140,'Выгр Кат'!$A:$R,E$1,0)</f>
        <v>1</v>
      </c>
      <c r="F140" s="33" t="str">
        <f>VLOOKUP($A140,'Выгр Кат'!$A:$R,F$1,0)</f>
        <v>TT-00155.</v>
      </c>
      <c r="G140" s="33"/>
      <c r="H140" s="23" t="s">
        <v>29</v>
      </c>
      <c r="I140" s="41">
        <v>6220</v>
      </c>
      <c r="J140" s="35">
        <f>VLOOKUP(I140,Наценка!$A$1:$B$8,2,1)</f>
        <v>1.4</v>
      </c>
      <c r="K140" s="39">
        <f t="shared" si="44"/>
        <v>8708</v>
      </c>
      <c r="L140" s="20">
        <f t="shared" si="45"/>
        <v>8790</v>
      </c>
      <c r="M140" s="33">
        <f>VLOOKUP($A140,'Выгр Кат'!$A:$R,M$1,0)</f>
        <v>6220</v>
      </c>
      <c r="N140" s="33">
        <f>VLOOKUP($A140,'Выгр Кат'!$A:$R,N$1,0)</f>
        <v>8790</v>
      </c>
      <c r="O140" s="17">
        <f t="shared" si="46"/>
        <v>0</v>
      </c>
      <c r="P140" s="17">
        <f t="shared" si="47"/>
        <v>0</v>
      </c>
      <c r="Q140" s="18">
        <f t="shared" si="48"/>
        <v>8174.7</v>
      </c>
      <c r="R140" s="42" t="str">
        <f>IFERROR((VLOOKUP($A140,'Из ГУГЛа'!$B:$G,6,0)+T140)*S140,VLOOKUP($A140,'Из ГУГЛа'!$B:$G,6,0))</f>
        <v/>
      </c>
      <c r="S140" s="7">
        <v>1</v>
      </c>
      <c r="T140" s="7">
        <v>0</v>
      </c>
      <c r="U140" s="37">
        <f t="shared" si="49"/>
        <v>0.31426045016077175</v>
      </c>
      <c r="V140" s="37" t="str">
        <f t="shared" si="50"/>
        <v/>
      </c>
      <c r="W140" s="37" t="str">
        <f t="shared" si="51"/>
        <v/>
      </c>
      <c r="X140" s="38" t="s">
        <v>521</v>
      </c>
    </row>
    <row r="141" spans="1:25" ht="30" x14ac:dyDescent="0.25">
      <c r="A141" s="33">
        <v>141025</v>
      </c>
      <c r="B141" s="33">
        <f>VLOOKUP($A141,'Выгр Кат'!$A:$R,B$1,0)</f>
        <v>2366</v>
      </c>
      <c r="C141" s="34" t="str">
        <f>VLOOKUP($A141,'Выгр Кат'!$A:$R,C$1,0)</f>
        <v>Глушитель “STT” ВАЗ 2110-11 (нержавейка)</v>
      </c>
      <c r="D141" s="33" t="str">
        <f>VLOOKUP($A141,'Выгр Кат'!$A:$R,D$1,0)</f>
        <v>Y</v>
      </c>
      <c r="E141" s="33" t="str">
        <f>VLOOKUP($A141,'Выгр Кат'!$A:$R,E$1,0)</f>
        <v>1</v>
      </c>
      <c r="F141" s="33" t="str">
        <f>VLOOKUP($A141,'Выгр Кат'!$A:$R,F$1,0)</f>
        <v>ТТ-00167</v>
      </c>
      <c r="G141" s="33"/>
      <c r="H141" s="23" t="s">
        <v>29</v>
      </c>
      <c r="I141" s="41">
        <v>6350</v>
      </c>
      <c r="J141" s="35">
        <f>VLOOKUP(I141,Наценка!$A$1:$B$8,2,1)</f>
        <v>1.4</v>
      </c>
      <c r="K141" s="39">
        <f t="shared" si="44"/>
        <v>8890</v>
      </c>
      <c r="L141" s="20">
        <f t="shared" si="45"/>
        <v>8890</v>
      </c>
      <c r="M141" s="33">
        <f>VLOOKUP($A141,'Выгр Кат'!$A:$R,M$1,0)</f>
        <v>6350</v>
      </c>
      <c r="N141" s="33">
        <f>VLOOKUP($A141,'Выгр Кат'!$A:$R,N$1,0)</f>
        <v>8890</v>
      </c>
      <c r="O141" s="17">
        <f t="shared" si="46"/>
        <v>0</v>
      </c>
      <c r="P141" s="17">
        <f t="shared" si="47"/>
        <v>0</v>
      </c>
      <c r="Q141" s="18">
        <f t="shared" si="48"/>
        <v>8267.6999999999989</v>
      </c>
      <c r="R141" s="42" t="str">
        <f>IFERROR((VLOOKUP($A141,'Из ГУГЛа'!$B:$G,6,0)+T141)*S141,VLOOKUP($A141,'Из ГУГЛа'!$B:$G,6,0))</f>
        <v/>
      </c>
      <c r="S141" s="7">
        <v>1</v>
      </c>
      <c r="T141" s="7">
        <v>0</v>
      </c>
      <c r="U141" s="37">
        <f t="shared" si="49"/>
        <v>0.30199999999999982</v>
      </c>
      <c r="V141" s="37" t="str">
        <f t="shared" si="50"/>
        <v/>
      </c>
      <c r="W141" s="37" t="str">
        <f t="shared" si="51"/>
        <v/>
      </c>
      <c r="X141" s="38" t="s">
        <v>521</v>
      </c>
    </row>
    <row r="142" spans="1:25" ht="30" x14ac:dyDescent="0.25">
      <c r="A142" s="33">
        <v>141026</v>
      </c>
      <c r="B142" s="33">
        <f>VLOOKUP($A142,'Выгр Кат'!$A:$R,B$1,0)</f>
        <v>2374</v>
      </c>
      <c r="C142" s="34" t="str">
        <f>VLOOKUP($A142,'Выгр Кат'!$A:$R,C$1,0)</f>
        <v>Глушитель "STT" ВАЗ 2112 новое крепление (нержавейка)</v>
      </c>
      <c r="D142" s="33" t="str">
        <f>VLOOKUP($A142,'Выгр Кат'!$A:$R,D$1,0)</f>
        <v>Y</v>
      </c>
      <c r="E142" s="33" t="str">
        <f>VLOOKUP($A142,'Выгр Кат'!$A:$R,E$1,0)</f>
        <v>1</v>
      </c>
      <c r="F142" s="33" t="str">
        <f>VLOOKUP($A142,'Выгр Кат'!$A:$R,F$1,0)</f>
        <v>ТТ-00173</v>
      </c>
      <c r="G142" s="33"/>
      <c r="H142" s="23" t="s">
        <v>29</v>
      </c>
      <c r="I142" s="41">
        <v>6350</v>
      </c>
      <c r="J142" s="35">
        <f>VLOOKUP(I142,Наценка!$A$1:$B$8,2,1)</f>
        <v>1.4</v>
      </c>
      <c r="K142" s="39">
        <f t="shared" si="44"/>
        <v>8890</v>
      </c>
      <c r="L142" s="20">
        <f t="shared" si="45"/>
        <v>8890</v>
      </c>
      <c r="M142" s="33">
        <f>VLOOKUP($A142,'Выгр Кат'!$A:$R,M$1,0)</f>
        <v>6350</v>
      </c>
      <c r="N142" s="33">
        <f>VLOOKUP($A142,'Выгр Кат'!$A:$R,N$1,0)</f>
        <v>8890</v>
      </c>
      <c r="O142" s="17">
        <f t="shared" si="46"/>
        <v>0</v>
      </c>
      <c r="P142" s="17">
        <f t="shared" si="47"/>
        <v>0</v>
      </c>
      <c r="Q142" s="18">
        <f t="shared" si="48"/>
        <v>8267.6999999999989</v>
      </c>
      <c r="R142" s="42" t="str">
        <f>IFERROR((VLOOKUP($A142,'Из ГУГЛа'!$B:$G,6,0)+T142)*S142,VLOOKUP($A142,'Из ГУГЛа'!$B:$G,6,0))</f>
        <v/>
      </c>
      <c r="S142" s="7">
        <v>1</v>
      </c>
      <c r="T142" s="7">
        <v>0</v>
      </c>
      <c r="U142" s="37">
        <f t="shared" si="49"/>
        <v>0.30199999999999982</v>
      </c>
      <c r="V142" s="37" t="str">
        <f t="shared" si="50"/>
        <v/>
      </c>
      <c r="W142" s="37" t="str">
        <f t="shared" si="51"/>
        <v/>
      </c>
      <c r="X142" s="38" t="s">
        <v>521</v>
      </c>
    </row>
    <row r="143" spans="1:25" ht="30" x14ac:dyDescent="0.25">
      <c r="A143" s="33">
        <v>141032</v>
      </c>
      <c r="B143" s="33">
        <f>VLOOKUP($A143,'Выгр Кат'!$A:$R,B$1,0)</f>
        <v>2379</v>
      </c>
      <c r="C143" s="34" t="str">
        <f>VLOOKUP($A143,'Выгр Кат'!$A:$R,C$1,0)</f>
        <v>Глушитель "STT" Калина 1117-18 (нержавейка)</v>
      </c>
      <c r="D143" s="33" t="str">
        <f>VLOOKUP($A143,'Выгр Кат'!$A:$R,D$1,0)</f>
        <v>Y</v>
      </c>
      <c r="E143" s="33" t="str">
        <f>VLOOKUP($A143,'Выгр Кат'!$A:$R,E$1,0)</f>
        <v>1</v>
      </c>
      <c r="F143" s="33" t="str">
        <f>VLOOKUP($A143,'Выгр Кат'!$A:$R,F$1,0)</f>
        <v>ТТ-00203</v>
      </c>
      <c r="G143" s="33"/>
      <c r="H143" s="23" t="s">
        <v>29</v>
      </c>
      <c r="I143" s="41">
        <v>6350</v>
      </c>
      <c r="J143" s="35">
        <f>VLOOKUP(I143,Наценка!$A$1:$B$8,2,1)</f>
        <v>1.4</v>
      </c>
      <c r="K143" s="39">
        <f t="shared" si="44"/>
        <v>8890</v>
      </c>
      <c r="L143" s="20">
        <f t="shared" si="45"/>
        <v>8890</v>
      </c>
      <c r="M143" s="33">
        <f>VLOOKUP($A143,'Выгр Кат'!$A:$R,M$1,0)</f>
        <v>6350</v>
      </c>
      <c r="N143" s="33">
        <f>VLOOKUP($A143,'Выгр Кат'!$A:$R,N$1,0)</f>
        <v>8890</v>
      </c>
      <c r="O143" s="17">
        <f t="shared" si="46"/>
        <v>0</v>
      </c>
      <c r="P143" s="17">
        <f t="shared" si="47"/>
        <v>0</v>
      </c>
      <c r="Q143" s="18">
        <f t="shared" si="48"/>
        <v>8267.6999999999989</v>
      </c>
      <c r="R143" s="42" t="str">
        <f>IFERROR((VLOOKUP($A143,'Из ГУГЛа'!$B:$G,6,0)+T143)*S143,VLOOKUP($A143,'Из ГУГЛа'!$B:$G,6,0))</f>
        <v/>
      </c>
      <c r="S143" s="7">
        <v>1</v>
      </c>
      <c r="T143" s="7">
        <v>0</v>
      </c>
      <c r="U143" s="37">
        <f t="shared" si="49"/>
        <v>0.30199999999999982</v>
      </c>
      <c r="V143" s="37" t="str">
        <f t="shared" si="50"/>
        <v/>
      </c>
      <c r="W143" s="37" t="str">
        <f t="shared" si="51"/>
        <v/>
      </c>
      <c r="X143" s="38" t="s">
        <v>521</v>
      </c>
    </row>
    <row r="144" spans="1:25" ht="45" x14ac:dyDescent="0.25">
      <c r="A144" s="33">
        <v>141034</v>
      </c>
      <c r="B144" s="33">
        <f>VLOOKUP($A144,'Выгр Кат'!$A:$R,B$1,0)</f>
        <v>2377</v>
      </c>
      <c r="C144" s="34" t="str">
        <f>VLOOKUP($A144,'Выгр Кат'!$A:$R,C$1,0)</f>
        <v>Глушитель "STT" прямоточный (нержавейка) для Лада Гранта, Калина 2 (универсал)</v>
      </c>
      <c r="D144" s="33" t="str">
        <f>VLOOKUP($A144,'Выгр Кат'!$A:$R,D$1,0)</f>
        <v>Y</v>
      </c>
      <c r="E144" s="33" t="str">
        <f>VLOOKUP($A144,'Выгр Кат'!$A:$R,E$1,0)</f>
        <v>1</v>
      </c>
      <c r="F144" s="33" t="str">
        <f>VLOOKUP($A144,'Выгр Кат'!$A:$R,F$1,0)</f>
        <v>ТТ-00149</v>
      </c>
      <c r="G144" s="33"/>
      <c r="H144" s="23" t="s">
        <v>29</v>
      </c>
      <c r="I144" s="41">
        <v>6350</v>
      </c>
      <c r="J144" s="35">
        <f>VLOOKUP(I144,Наценка!$A$1:$B$8,2,1)</f>
        <v>1.4</v>
      </c>
      <c r="K144" s="39">
        <f t="shared" si="44"/>
        <v>8890</v>
      </c>
      <c r="L144" s="20">
        <f t="shared" si="45"/>
        <v>8890</v>
      </c>
      <c r="M144" s="33">
        <f>VLOOKUP($A144,'Выгр Кат'!$A:$R,M$1,0)</f>
        <v>6350</v>
      </c>
      <c r="N144" s="33">
        <f>VLOOKUP($A144,'Выгр Кат'!$A:$R,N$1,0)</f>
        <v>8890</v>
      </c>
      <c r="O144" s="17">
        <f t="shared" si="46"/>
        <v>0</v>
      </c>
      <c r="P144" s="17">
        <f t="shared" si="47"/>
        <v>0</v>
      </c>
      <c r="Q144" s="18">
        <f t="shared" si="48"/>
        <v>8267.6999999999989</v>
      </c>
      <c r="R144" s="42" t="str">
        <f>IFERROR((VLOOKUP($A144,'Из ГУГЛа'!$B:$G,6,0)+T144)*S144,VLOOKUP($A144,'Из ГУГЛа'!$B:$G,6,0))</f>
        <v/>
      </c>
      <c r="S144" s="7">
        <v>1</v>
      </c>
      <c r="T144" s="7">
        <v>0</v>
      </c>
      <c r="U144" s="37">
        <f t="shared" si="49"/>
        <v>0.30199999999999982</v>
      </c>
      <c r="V144" s="37" t="str">
        <f t="shared" si="50"/>
        <v/>
      </c>
      <c r="W144" s="37" t="str">
        <f t="shared" si="51"/>
        <v/>
      </c>
      <c r="X144" s="38" t="s">
        <v>521</v>
      </c>
    </row>
    <row r="145" spans="1:25" ht="45" x14ac:dyDescent="0.25">
      <c r="A145" s="33">
        <v>141004</v>
      </c>
      <c r="B145" s="33">
        <f>VLOOKUP($A145,'Выгр Кат'!$A:$R,B$1,0)</f>
        <v>23267</v>
      </c>
      <c r="C145" s="34" t="str">
        <f>VLOOKUP($A145,'Выгр Кат'!$A:$R,C$1,0)</f>
        <v>Глушитель "STT" прямоточный (нержавеющая сталь, крепления с/о) для ВАЗ 2112</v>
      </c>
      <c r="D145" s="33" t="str">
        <f>VLOOKUP($A145,'Выгр Кат'!$A:$R,D$1,0)</f>
        <v>Y</v>
      </c>
      <c r="E145" s="33" t="str">
        <f>VLOOKUP($A145,'Выгр Кат'!$A:$R,E$1,0)</f>
        <v>1</v>
      </c>
      <c r="F145" s="33" t="str">
        <f>VLOOKUP($A145,'Выгр Кат'!$A:$R,F$1,0)</f>
        <v>ТТ-00172</v>
      </c>
      <c r="G145" s="33"/>
      <c r="H145" s="23" t="s">
        <v>29</v>
      </c>
      <c r="I145" s="41">
        <v>6350</v>
      </c>
      <c r="J145" s="35">
        <f>VLOOKUP(I145,Наценка!$A$1:$B$8,2,1)</f>
        <v>1.4</v>
      </c>
      <c r="K145" s="39">
        <f t="shared" si="44"/>
        <v>8890</v>
      </c>
      <c r="L145" s="20">
        <f t="shared" si="45"/>
        <v>8890</v>
      </c>
      <c r="M145" s="33">
        <f>VLOOKUP($A145,'Выгр Кат'!$A:$R,M$1,0)</f>
        <v>6350</v>
      </c>
      <c r="N145" s="33">
        <f>VLOOKUP($A145,'Выгр Кат'!$A:$R,N$1,0)</f>
        <v>8890</v>
      </c>
      <c r="O145" s="17">
        <f t="shared" si="46"/>
        <v>0</v>
      </c>
      <c r="P145" s="17">
        <f t="shared" si="47"/>
        <v>0</v>
      </c>
      <c r="Q145" s="18">
        <f t="shared" si="48"/>
        <v>8267.6999999999989</v>
      </c>
      <c r="R145" s="42" t="str">
        <f>IFERROR((VLOOKUP($A145,'Из ГУГЛа'!$B:$G,6,0)+T145)*S145,VLOOKUP($A145,'Из ГУГЛа'!$B:$G,6,0))</f>
        <v/>
      </c>
      <c r="S145" s="7">
        <v>1</v>
      </c>
      <c r="T145" s="7">
        <v>0</v>
      </c>
      <c r="U145" s="37">
        <f t="shared" si="49"/>
        <v>0.30199999999999982</v>
      </c>
      <c r="V145" s="37" t="str">
        <f t="shared" si="50"/>
        <v/>
      </c>
      <c r="W145" s="37" t="str">
        <f t="shared" si="51"/>
        <v/>
      </c>
      <c r="X145" s="38" t="s">
        <v>521</v>
      </c>
    </row>
    <row r="146" spans="1:25" ht="45" x14ac:dyDescent="0.25">
      <c r="A146" s="33">
        <v>141005</v>
      </c>
      <c r="B146" s="33">
        <f>VLOOKUP($A146,'Выгр Кат'!$A:$R,B$1,0)</f>
        <v>23258</v>
      </c>
      <c r="C146" s="34" t="str">
        <f>VLOOKUP($A146,'Выгр Кат'!$A:$R,C$1,0)</f>
        <v>Глушитель "STT" прямоточный (нержавеющая сталь) для ВАЗ 2108, 2109</v>
      </c>
      <c r="D146" s="33" t="str">
        <f>VLOOKUP($A146,'Выгр Кат'!$A:$R,D$1,0)</f>
        <v>Y</v>
      </c>
      <c r="E146" s="33" t="str">
        <f>VLOOKUP($A146,'Выгр Кат'!$A:$R,E$1,0)</f>
        <v>1</v>
      </c>
      <c r="F146" s="33" t="str">
        <f>VLOOKUP($A146,'Выгр Кат'!$A:$R,F$1,0)</f>
        <v>ТТ-00161</v>
      </c>
      <c r="G146" s="33"/>
      <c r="H146" s="23" t="s">
        <v>29</v>
      </c>
      <c r="I146" s="41">
        <v>6350</v>
      </c>
      <c r="J146" s="35">
        <f>VLOOKUP(I146,Наценка!$A$1:$B$8,2,1)</f>
        <v>1.4</v>
      </c>
      <c r="K146" s="39">
        <f t="shared" si="44"/>
        <v>8890</v>
      </c>
      <c r="L146" s="20">
        <f t="shared" si="45"/>
        <v>8890</v>
      </c>
      <c r="M146" s="33">
        <f>VLOOKUP($A146,'Выгр Кат'!$A:$R,M$1,0)</f>
        <v>6350</v>
      </c>
      <c r="N146" s="33">
        <f>VLOOKUP($A146,'Выгр Кат'!$A:$R,N$1,0)</f>
        <v>8890</v>
      </c>
      <c r="O146" s="17">
        <f t="shared" si="46"/>
        <v>0</v>
      </c>
      <c r="P146" s="17">
        <f t="shared" si="47"/>
        <v>0</v>
      </c>
      <c r="Q146" s="18">
        <f t="shared" si="48"/>
        <v>8267.6999999999989</v>
      </c>
      <c r="R146" s="42" t="str">
        <f>IFERROR((VLOOKUP($A146,'Из ГУГЛа'!$B:$G,6,0)+T146)*S146,VLOOKUP($A146,'Из ГУГЛа'!$B:$G,6,0))</f>
        <v/>
      </c>
      <c r="S146" s="7">
        <v>1</v>
      </c>
      <c r="T146" s="7">
        <v>0</v>
      </c>
      <c r="U146" s="37">
        <f t="shared" si="49"/>
        <v>0.30199999999999982</v>
      </c>
      <c r="V146" s="37" t="str">
        <f t="shared" si="50"/>
        <v/>
      </c>
      <c r="W146" s="37" t="str">
        <f t="shared" si="51"/>
        <v/>
      </c>
      <c r="X146" s="38" t="s">
        <v>521</v>
      </c>
    </row>
    <row r="147" spans="1:25" ht="45" x14ac:dyDescent="0.25">
      <c r="A147" s="33">
        <v>141007</v>
      </c>
      <c r="B147" s="33">
        <f>VLOOKUP($A147,'Выгр Кат'!$A:$R,B$1,0)</f>
        <v>23269</v>
      </c>
      <c r="C147" s="34" t="str">
        <f>VLOOKUP($A147,'Выгр Кат'!$A:$R,C$1,0)</f>
        <v>Глушитель "STT" прямоточный (нержавеющая сталь) для ВАЗ 2113, 2114</v>
      </c>
      <c r="D147" s="33" t="str">
        <f>VLOOKUP($A147,'Выгр Кат'!$A:$R,D$1,0)</f>
        <v>Y</v>
      </c>
      <c r="E147" s="33" t="str">
        <f>VLOOKUP($A147,'Выгр Кат'!$A:$R,E$1,0)</f>
        <v>1</v>
      </c>
      <c r="F147" s="33" t="str">
        <f>VLOOKUP($A147,'Выгр Кат'!$A:$R,F$1,0)</f>
        <v>ТТ-00179</v>
      </c>
      <c r="G147" s="33"/>
      <c r="H147" s="23" t="s">
        <v>29</v>
      </c>
      <c r="I147" s="41">
        <v>6350</v>
      </c>
      <c r="J147" s="35">
        <f>VLOOKUP(I147,Наценка!$A$1:$B$8,2,1)</f>
        <v>1.4</v>
      </c>
      <c r="K147" s="39">
        <f t="shared" si="44"/>
        <v>8890</v>
      </c>
      <c r="L147" s="20">
        <f t="shared" si="45"/>
        <v>8890</v>
      </c>
      <c r="M147" s="33">
        <f>VLOOKUP($A147,'Выгр Кат'!$A:$R,M$1,0)</f>
        <v>6350</v>
      </c>
      <c r="N147" s="33">
        <f>VLOOKUP($A147,'Выгр Кат'!$A:$R,N$1,0)</f>
        <v>8890</v>
      </c>
      <c r="O147" s="17">
        <f t="shared" si="46"/>
        <v>0</v>
      </c>
      <c r="P147" s="17">
        <f t="shared" si="47"/>
        <v>0</v>
      </c>
      <c r="Q147" s="18">
        <f t="shared" si="48"/>
        <v>8267.6999999999989</v>
      </c>
      <c r="R147" s="42" t="str">
        <f>IFERROR((VLOOKUP($A147,'Из ГУГЛа'!$B:$G,6,0)+T147)*S147,VLOOKUP($A147,'Из ГУГЛа'!$B:$G,6,0))</f>
        <v/>
      </c>
      <c r="S147" s="7">
        <v>1</v>
      </c>
      <c r="T147" s="7">
        <v>0</v>
      </c>
      <c r="U147" s="37">
        <f t="shared" si="49"/>
        <v>0.30199999999999982</v>
      </c>
      <c r="V147" s="37" t="str">
        <f t="shared" si="50"/>
        <v/>
      </c>
      <c r="W147" s="37" t="str">
        <f t="shared" si="51"/>
        <v/>
      </c>
      <c r="X147" s="38" t="s">
        <v>521</v>
      </c>
    </row>
    <row r="148" spans="1:25" ht="30" x14ac:dyDescent="0.25">
      <c r="A148" s="33">
        <v>141008</v>
      </c>
      <c r="B148" s="33">
        <f>VLOOKUP($A148,'Выгр Кат'!$A:$R,B$1,0)</f>
        <v>23271</v>
      </c>
      <c r="C148" s="34" t="str">
        <f>VLOOKUP($A148,'Выгр Кат'!$A:$R,C$1,0)</f>
        <v>Глушитель "STT" прямоточный (нержавеющая сталь) для ВАЗ 2115</v>
      </c>
      <c r="D148" s="33" t="str">
        <f>VLOOKUP($A148,'Выгр Кат'!$A:$R,D$1,0)</f>
        <v>Y</v>
      </c>
      <c r="E148" s="33" t="str">
        <f>VLOOKUP($A148,'Выгр Кат'!$A:$R,E$1,0)</f>
        <v>1ск6</v>
      </c>
      <c r="F148" s="33" t="str">
        <f>VLOOKUP($A148,'Выгр Кат'!$A:$R,F$1,0)</f>
        <v>ТТ-00185</v>
      </c>
      <c r="G148" s="33"/>
      <c r="H148" s="23" t="s">
        <v>29</v>
      </c>
      <c r="I148" s="41">
        <v>6350</v>
      </c>
      <c r="J148" s="35">
        <f>VLOOKUP(I148,Наценка!$A$1:$B$8,2,1)</f>
        <v>1.4</v>
      </c>
      <c r="K148" s="39">
        <f t="shared" si="44"/>
        <v>8890</v>
      </c>
      <c r="L148" s="20">
        <f t="shared" si="45"/>
        <v>8890</v>
      </c>
      <c r="M148" s="33">
        <f>VLOOKUP($A148,'Выгр Кат'!$A:$R,M$1,0)</f>
        <v>6350</v>
      </c>
      <c r="N148" s="33">
        <f>VLOOKUP($A148,'Выгр Кат'!$A:$R,N$1,0)</f>
        <v>8890</v>
      </c>
      <c r="O148" s="17">
        <f t="shared" si="46"/>
        <v>0</v>
      </c>
      <c r="P148" s="17">
        <f t="shared" si="47"/>
        <v>0</v>
      </c>
      <c r="Q148" s="18">
        <f t="shared" si="48"/>
        <v>8267.6999999999989</v>
      </c>
      <c r="R148" s="42" t="str">
        <f>IFERROR((VLOOKUP($A148,'Из ГУГЛа'!$B:$G,6,0)+T148)*S148,VLOOKUP($A148,'Из ГУГЛа'!$B:$G,6,0))</f>
        <v/>
      </c>
      <c r="S148" s="7">
        <v>1</v>
      </c>
      <c r="T148" s="7">
        <v>0</v>
      </c>
      <c r="U148" s="37">
        <f t="shared" si="49"/>
        <v>0.30199999999999982</v>
      </c>
      <c r="V148" s="37" t="str">
        <f t="shared" si="50"/>
        <v/>
      </c>
      <c r="W148" s="37" t="str">
        <f t="shared" si="51"/>
        <v/>
      </c>
      <c r="X148" s="38" t="s">
        <v>521</v>
      </c>
    </row>
    <row r="149" spans="1:25" ht="45" x14ac:dyDescent="0.25">
      <c r="A149" s="33">
        <v>141010</v>
      </c>
      <c r="B149" s="33">
        <f>VLOOKUP($A149,'Выгр Кат'!$A:$R,B$1,0)</f>
        <v>2384</v>
      </c>
      <c r="C149" s="34" t="str">
        <f>VLOOKUP($A149,'Выгр Кат'!$A:$R,C$1,0)</f>
        <v>Глушитель "STT" прямоточный (нержавеющая сталь) для Лада Калина, Калина 2 хэтчбек</v>
      </c>
      <c r="D149" s="33" t="str">
        <f>VLOOKUP($A149,'Выгр Кат'!$A:$R,D$1,0)</f>
        <v>Y</v>
      </c>
      <c r="E149" s="33" t="str">
        <f>VLOOKUP($A149,'Выгр Кат'!$A:$R,E$1,0)</f>
        <v>1</v>
      </c>
      <c r="F149" s="33" t="str">
        <f>VLOOKUP($A149,'Выгр Кат'!$A:$R,F$1,0)</f>
        <v>ТТ-00205</v>
      </c>
      <c r="G149" s="33"/>
      <c r="H149" s="23" t="s">
        <v>29</v>
      </c>
      <c r="I149" s="41">
        <v>6350</v>
      </c>
      <c r="J149" s="35">
        <f>VLOOKUP(I149,Наценка!$A$1:$B$8,2,1)</f>
        <v>1.4</v>
      </c>
      <c r="K149" s="39">
        <f t="shared" si="44"/>
        <v>8890</v>
      </c>
      <c r="L149" s="20">
        <f t="shared" si="45"/>
        <v>8890</v>
      </c>
      <c r="M149" s="33">
        <f>VLOOKUP($A149,'Выгр Кат'!$A:$R,M$1,0)</f>
        <v>6350</v>
      </c>
      <c r="N149" s="33">
        <f>VLOOKUP($A149,'Выгр Кат'!$A:$R,N$1,0)</f>
        <v>8890</v>
      </c>
      <c r="O149" s="17">
        <f t="shared" si="46"/>
        <v>0</v>
      </c>
      <c r="P149" s="17">
        <f t="shared" si="47"/>
        <v>0</v>
      </c>
      <c r="Q149" s="18">
        <f t="shared" si="48"/>
        <v>8267.6999999999989</v>
      </c>
      <c r="R149" s="42" t="str">
        <f>IFERROR((VLOOKUP($A149,'Из ГУГЛа'!$B:$G,6,0)+T149)*S149,VLOOKUP($A149,'Из ГУГЛа'!$B:$G,6,0))</f>
        <v/>
      </c>
      <c r="S149" s="7">
        <v>1</v>
      </c>
      <c r="T149" s="7">
        <v>0</v>
      </c>
      <c r="U149" s="37">
        <f t="shared" si="49"/>
        <v>0.30199999999999982</v>
      </c>
      <c r="V149" s="37" t="str">
        <f t="shared" si="50"/>
        <v/>
      </c>
      <c r="W149" s="37" t="str">
        <f t="shared" si="51"/>
        <v/>
      </c>
      <c r="X149" s="38" t="s">
        <v>521</v>
      </c>
    </row>
    <row r="150" spans="1:25" ht="45" x14ac:dyDescent="0.25">
      <c r="A150" s="33">
        <v>141018</v>
      </c>
      <c r="B150" s="33">
        <f>VLOOKUP($A150,'Выгр Кат'!$A:$R,B$1,0)</f>
        <v>23257</v>
      </c>
      <c r="C150" s="34" t="str">
        <f>VLOOKUP($A150,'Выгр Кат'!$A:$R,C$1,0)</f>
        <v>Глушитель "STT" прямоточный круглый (нержавеющая сталь) для Лада Веста</v>
      </c>
      <c r="D150" s="33" t="str">
        <f>VLOOKUP($A150,'Выгр Кат'!$A:$R,D$1,0)</f>
        <v>Y</v>
      </c>
      <c r="E150" s="33" t="str">
        <f>VLOOKUP($A150,'Выгр Кат'!$A:$R,E$1,0)</f>
        <v>1</v>
      </c>
      <c r="F150" s="33" t="str">
        <f>VLOOKUP($A150,'Выгр Кат'!$A:$R,F$1,0)</f>
        <v>TT-00148</v>
      </c>
      <c r="G150" s="33"/>
      <c r="H150" s="23" t="s">
        <v>29</v>
      </c>
      <c r="I150" s="41">
        <v>6350</v>
      </c>
      <c r="J150" s="35">
        <f>VLOOKUP(I150,Наценка!$A$1:$B$8,2,1)</f>
        <v>1.4</v>
      </c>
      <c r="K150" s="39">
        <f t="shared" si="44"/>
        <v>8890</v>
      </c>
      <c r="L150" s="20">
        <f t="shared" si="45"/>
        <v>8890</v>
      </c>
      <c r="M150" s="33">
        <f>VLOOKUP($A150,'Выгр Кат'!$A:$R,M$1,0)</f>
        <v>6350</v>
      </c>
      <c r="N150" s="33">
        <f>VLOOKUP($A150,'Выгр Кат'!$A:$R,N$1,0)</f>
        <v>8890</v>
      </c>
      <c r="O150" s="17">
        <f t="shared" si="46"/>
        <v>0</v>
      </c>
      <c r="P150" s="17">
        <f t="shared" si="47"/>
        <v>0</v>
      </c>
      <c r="Q150" s="18">
        <f t="shared" si="48"/>
        <v>8267.6999999999989</v>
      </c>
      <c r="R150" s="42" t="str">
        <f>IFERROR((VLOOKUP($A150,'Из ГУГЛа'!$B:$G,6,0)+T150)*S150,VLOOKUP($A150,'Из ГУГЛа'!$B:$G,6,0))</f>
        <v/>
      </c>
      <c r="S150" s="7">
        <v>1</v>
      </c>
      <c r="T150" s="7">
        <v>0</v>
      </c>
      <c r="U150" s="37">
        <f t="shared" si="49"/>
        <v>0.30199999999999982</v>
      </c>
      <c r="V150" s="37" t="str">
        <f t="shared" si="50"/>
        <v/>
      </c>
      <c r="W150" s="37" t="str">
        <f t="shared" si="51"/>
        <v/>
      </c>
      <c r="X150" s="38" t="s">
        <v>521</v>
      </c>
    </row>
    <row r="151" spans="1:25" ht="45" x14ac:dyDescent="0.25">
      <c r="A151" s="33">
        <v>141009</v>
      </c>
      <c r="B151" s="33">
        <f>VLOOKUP($A151,'Выгр Кат'!$A:$R,B$1,0)</f>
        <v>41805</v>
      </c>
      <c r="C151" s="34" t="str">
        <f>VLOOKUP($A151,'Выгр Кат'!$A:$R,C$1,0)</f>
        <v>Глушитель прямоточный "STT" (нержавеющая сталь) для Лада Гранта FL</v>
      </c>
      <c r="D151" s="33" t="str">
        <f>VLOOKUP($A151,'Выгр Кат'!$A:$R,D$1,0)</f>
        <v>Y</v>
      </c>
      <c r="E151" s="33" t="str">
        <f>VLOOKUP($A151,'Выгр Кат'!$A:$R,E$1,0)</f>
        <v>1</v>
      </c>
      <c r="F151" s="33" t="str">
        <f>VLOOKUP($A151,'Выгр Кат'!$A:$R,F$1,0)</f>
        <v>ТТ-00285</v>
      </c>
      <c r="G151" s="33"/>
      <c r="H151" s="23" t="s">
        <v>29</v>
      </c>
      <c r="I151" s="41">
        <v>6350</v>
      </c>
      <c r="J151" s="35">
        <f>VLOOKUP(I151,Наценка!$A$1:$B$8,2,1)</f>
        <v>1.4</v>
      </c>
      <c r="K151" s="39">
        <f t="shared" si="44"/>
        <v>8890</v>
      </c>
      <c r="L151" s="20">
        <f t="shared" si="45"/>
        <v>8890</v>
      </c>
      <c r="M151" s="33">
        <f>VLOOKUP($A151,'Выгр Кат'!$A:$R,M$1,0)</f>
        <v>6350</v>
      </c>
      <c r="N151" s="33">
        <f>VLOOKUP($A151,'Выгр Кат'!$A:$R,N$1,0)</f>
        <v>8890</v>
      </c>
      <c r="O151" s="17">
        <f t="shared" si="46"/>
        <v>0</v>
      </c>
      <c r="P151" s="17">
        <f t="shared" si="47"/>
        <v>0</v>
      </c>
      <c r="Q151" s="18">
        <f t="shared" si="48"/>
        <v>8267.6999999999989</v>
      </c>
      <c r="R151" s="42" t="str">
        <f>IFERROR((VLOOKUP($A151,'Из ГУГЛа'!$B:$G,6,0)+T151)*S151,VLOOKUP($A151,'Из ГУГЛа'!$B:$G,6,0))</f>
        <v/>
      </c>
      <c r="S151" s="7">
        <v>1</v>
      </c>
      <c r="T151" s="7">
        <v>0</v>
      </c>
      <c r="U151" s="37">
        <f t="shared" si="49"/>
        <v>0.30199999999999982</v>
      </c>
      <c r="V151" s="37" t="str">
        <f t="shared" si="50"/>
        <v/>
      </c>
      <c r="W151" s="37" t="str">
        <f t="shared" si="51"/>
        <v/>
      </c>
      <c r="X151" s="38" t="s">
        <v>521</v>
      </c>
    </row>
    <row r="152" spans="1:25" ht="30" x14ac:dyDescent="0.25">
      <c r="A152" s="33">
        <v>141284</v>
      </c>
      <c r="B152" s="33">
        <f>VLOOKUP($A152,'Выгр Кат'!$A:$R,B$1,0)</f>
        <v>2356</v>
      </c>
      <c r="C152" s="34" t="str">
        <f>VLOOKUP($A152,'Выгр Кат'!$A:$R,C$1,0)</f>
        <v>Глушитель прямоточный нержавейка "STT" ВАЗ 2101-2107</v>
      </c>
      <c r="D152" s="33" t="str">
        <f>VLOOKUP($A152,'Выгр Кат'!$A:$R,D$1,0)</f>
        <v>Y</v>
      </c>
      <c r="E152" s="33" t="str">
        <f>VLOOKUP($A152,'Выгр Кат'!$A:$R,E$1,0)</f>
        <v>1</v>
      </c>
      <c r="F152" s="33" t="str">
        <f>VLOOKUP($A152,'Выгр Кат'!$A:$R,F$1,0)</f>
        <v>ТТ-00158</v>
      </c>
      <c r="G152" s="33"/>
      <c r="H152" s="23" t="s">
        <v>29</v>
      </c>
      <c r="I152" s="41">
        <v>6350</v>
      </c>
      <c r="J152" s="35">
        <f>VLOOKUP(I152,Наценка!$A$1:$B$8,2,1)</f>
        <v>1.4</v>
      </c>
      <c r="K152" s="39">
        <f t="shared" si="44"/>
        <v>8890</v>
      </c>
      <c r="L152" s="20">
        <f t="shared" si="45"/>
        <v>8890</v>
      </c>
      <c r="M152" s="33">
        <f>VLOOKUP($A152,'Выгр Кат'!$A:$R,M$1,0)</f>
        <v>6350</v>
      </c>
      <c r="N152" s="33">
        <f>VLOOKUP($A152,'Выгр Кат'!$A:$R,N$1,0)</f>
        <v>8890</v>
      </c>
      <c r="O152" s="17">
        <f t="shared" si="46"/>
        <v>0</v>
      </c>
      <c r="P152" s="17">
        <f t="shared" si="47"/>
        <v>0</v>
      </c>
      <c r="Q152" s="18">
        <f t="shared" si="48"/>
        <v>8267.6999999999989</v>
      </c>
      <c r="R152" s="42" t="str">
        <f>IFERROR((VLOOKUP($A152,'Из ГУГЛа'!$B:$G,6,0)+T152)*S152,VLOOKUP($A152,'Из ГУГЛа'!$B:$G,6,0))</f>
        <v/>
      </c>
      <c r="S152" s="7">
        <v>1</v>
      </c>
      <c r="T152" s="7">
        <v>0</v>
      </c>
      <c r="U152" s="37">
        <f t="shared" si="49"/>
        <v>0.30199999999999982</v>
      </c>
      <c r="V152" s="37" t="str">
        <f t="shared" si="50"/>
        <v/>
      </c>
      <c r="W152" s="37" t="str">
        <f t="shared" si="51"/>
        <v/>
      </c>
      <c r="X152" s="38" t="s">
        <v>521</v>
      </c>
    </row>
    <row r="153" spans="1:25" ht="30" x14ac:dyDescent="0.25">
      <c r="A153" s="33">
        <v>141286</v>
      </c>
      <c r="B153" s="33">
        <f>VLOOKUP($A153,'Выгр Кат'!$A:$R,B$1,0)</f>
        <v>2339</v>
      </c>
      <c r="C153" s="34" t="str">
        <f>VLOOKUP($A153,'Выгр Кат'!$A:$R,C$1,0)</f>
        <v>Глушитель прямоточный нержавейка "STT" ВАЗ 21099</v>
      </c>
      <c r="D153" s="33" t="str">
        <f>VLOOKUP($A153,'Выгр Кат'!$A:$R,D$1,0)</f>
        <v>Y</v>
      </c>
      <c r="E153" s="33" t="str">
        <f>VLOOKUP($A153,'Выгр Кат'!$A:$R,E$1,0)</f>
        <v>1</v>
      </c>
      <c r="F153" s="33" t="str">
        <f>VLOOKUP($A153,'Выгр Кат'!$A:$R,F$1,0)</f>
        <v>ТТ-00165</v>
      </c>
      <c r="G153" s="33"/>
      <c r="H153" s="23" t="s">
        <v>29</v>
      </c>
      <c r="I153" s="41">
        <v>6350</v>
      </c>
      <c r="J153" s="35">
        <f>VLOOKUP(I153,Наценка!$A$1:$B$8,2,1)</f>
        <v>1.4</v>
      </c>
      <c r="K153" s="39">
        <f t="shared" si="44"/>
        <v>8890</v>
      </c>
      <c r="L153" s="20">
        <f t="shared" si="45"/>
        <v>8890</v>
      </c>
      <c r="M153" s="33">
        <f>VLOOKUP($A153,'Выгр Кат'!$A:$R,M$1,0)</f>
        <v>6350</v>
      </c>
      <c r="N153" s="33">
        <f>VLOOKUP($A153,'Выгр Кат'!$A:$R,N$1,0)</f>
        <v>8890</v>
      </c>
      <c r="O153" s="17">
        <f t="shared" si="46"/>
        <v>0</v>
      </c>
      <c r="P153" s="17">
        <f t="shared" si="47"/>
        <v>0</v>
      </c>
      <c r="Q153" s="18">
        <f t="shared" si="48"/>
        <v>8267.6999999999989</v>
      </c>
      <c r="R153" s="42" t="str">
        <f>IFERROR((VLOOKUP($A153,'Из ГУГЛа'!$B:$G,6,0)+T153)*S153,VLOOKUP($A153,'Из ГУГЛа'!$B:$G,6,0))</f>
        <v/>
      </c>
      <c r="S153" s="7">
        <v>1</v>
      </c>
      <c r="T153" s="7">
        <v>0</v>
      </c>
      <c r="U153" s="37">
        <f t="shared" si="49"/>
        <v>0.30199999999999982</v>
      </c>
      <c r="V153" s="37" t="str">
        <f t="shared" si="50"/>
        <v/>
      </c>
      <c r="W153" s="37" t="str">
        <f t="shared" si="51"/>
        <v/>
      </c>
      <c r="X153" s="38" t="s">
        <v>521</v>
      </c>
    </row>
    <row r="154" spans="1:25" ht="45" x14ac:dyDescent="0.25">
      <c r="A154" s="33">
        <v>141287</v>
      </c>
      <c r="B154" s="33">
        <f>VLOOKUP($A154,'Выгр Кат'!$A:$R,B$1,0)</f>
        <v>2360</v>
      </c>
      <c r="C154" s="34" t="str">
        <f>VLOOKUP($A154,'Выгр Кат'!$A:$R,C$1,0)</f>
        <v>Глушитель прямоточный нержавейка "STT" для Лада Приора седан, универсал</v>
      </c>
      <c r="D154" s="33" t="str">
        <f>VLOOKUP($A154,'Выгр Кат'!$A:$R,D$1,0)</f>
        <v>Y</v>
      </c>
      <c r="E154" s="33" t="str">
        <f>VLOOKUP($A154,'Выгр Кат'!$A:$R,E$1,0)</f>
        <v>1</v>
      </c>
      <c r="F154" s="33" t="str">
        <f>VLOOKUP($A154,'Выгр Кат'!$A:$R,F$1,0)</f>
        <v>ТТ-00188</v>
      </c>
      <c r="G154" s="33"/>
      <c r="H154" s="23" t="s">
        <v>29</v>
      </c>
      <c r="I154" s="41">
        <v>6350</v>
      </c>
      <c r="J154" s="35">
        <f>VLOOKUP(I154,Наценка!$A$1:$B$8,2,1)</f>
        <v>1.4</v>
      </c>
      <c r="K154" s="39">
        <f t="shared" si="44"/>
        <v>8890</v>
      </c>
      <c r="L154" s="20">
        <f t="shared" si="45"/>
        <v>8890</v>
      </c>
      <c r="M154" s="33">
        <f>VLOOKUP($A154,'Выгр Кат'!$A:$R,M$1,0)</f>
        <v>6350</v>
      </c>
      <c r="N154" s="33">
        <f>VLOOKUP($A154,'Выгр Кат'!$A:$R,N$1,0)</f>
        <v>8890</v>
      </c>
      <c r="O154" s="17">
        <f t="shared" si="46"/>
        <v>0</v>
      </c>
      <c r="P154" s="17">
        <f t="shared" si="47"/>
        <v>0</v>
      </c>
      <c r="Q154" s="18">
        <f t="shared" si="48"/>
        <v>8267.6999999999989</v>
      </c>
      <c r="R154" s="42" t="str">
        <f>IFERROR((VLOOKUP($A154,'Из ГУГЛа'!$B:$G,6,0)+T154)*S154,VLOOKUP($A154,'Из ГУГЛа'!$B:$G,6,0))</f>
        <v/>
      </c>
      <c r="S154" s="7">
        <v>1</v>
      </c>
      <c r="T154" s="7">
        <v>0</v>
      </c>
      <c r="U154" s="37">
        <f t="shared" si="49"/>
        <v>0.30199999999999982</v>
      </c>
      <c r="V154" s="37" t="str">
        <f t="shared" si="50"/>
        <v/>
      </c>
      <c r="W154" s="37" t="str">
        <f t="shared" si="51"/>
        <v/>
      </c>
      <c r="X154" s="38" t="s">
        <v>521</v>
      </c>
    </row>
    <row r="155" spans="1:25" ht="30" x14ac:dyDescent="0.25">
      <c r="A155" s="33">
        <v>141288</v>
      </c>
      <c r="B155" s="33">
        <f>VLOOKUP($A155,'Выгр Кат'!$A:$R,B$1,0)</f>
        <v>2362</v>
      </c>
      <c r="C155" s="34" t="str">
        <f>VLOOKUP($A155,'Выгр Кат'!$A:$R,C$1,0)</f>
        <v>Глушитель прямоточный нержавейка "STT" для Лада Приора хэтчбек</v>
      </c>
      <c r="D155" s="33" t="str">
        <f>VLOOKUP($A155,'Выгр Кат'!$A:$R,D$1,0)</f>
        <v>Y</v>
      </c>
      <c r="E155" s="33" t="str">
        <f>VLOOKUP($A155,'Выгр Кат'!$A:$R,E$1,0)</f>
        <v>1</v>
      </c>
      <c r="F155" s="33" t="str">
        <f>VLOOKUP($A155,'Выгр Кат'!$A:$R,F$1,0)</f>
        <v>ТТ-00197</v>
      </c>
      <c r="G155" s="33"/>
      <c r="H155" s="23" t="s">
        <v>29</v>
      </c>
      <c r="I155" s="41">
        <v>6350</v>
      </c>
      <c r="J155" s="35">
        <f>VLOOKUP(I155,Наценка!$A$1:$B$8,2,1)</f>
        <v>1.4</v>
      </c>
      <c r="K155" s="39">
        <f t="shared" si="44"/>
        <v>8890</v>
      </c>
      <c r="L155" s="20">
        <f t="shared" si="45"/>
        <v>8890</v>
      </c>
      <c r="M155" s="33">
        <f>VLOOKUP($A155,'Выгр Кат'!$A:$R,M$1,0)</f>
        <v>6350</v>
      </c>
      <c r="N155" s="33">
        <f>VLOOKUP($A155,'Выгр Кат'!$A:$R,N$1,0)</f>
        <v>8890</v>
      </c>
      <c r="O155" s="17">
        <f t="shared" si="46"/>
        <v>0</v>
      </c>
      <c r="P155" s="17">
        <f t="shared" si="47"/>
        <v>0</v>
      </c>
      <c r="Q155" s="18">
        <f t="shared" si="48"/>
        <v>8267.6999999999989</v>
      </c>
      <c r="R155" s="42" t="str">
        <f>IFERROR((VLOOKUP($A155,'Из ГУГЛа'!$B:$G,6,0)+T155)*S155,VLOOKUP($A155,'Из ГУГЛа'!$B:$G,6,0))</f>
        <v/>
      </c>
      <c r="S155" s="7">
        <v>1</v>
      </c>
      <c r="T155" s="7">
        <v>0</v>
      </c>
      <c r="U155" s="37">
        <f t="shared" si="49"/>
        <v>0.30199999999999982</v>
      </c>
      <c r="V155" s="37" t="str">
        <f t="shared" si="50"/>
        <v/>
      </c>
      <c r="W155" s="37" t="str">
        <f t="shared" si="51"/>
        <v/>
      </c>
      <c r="X155" s="38" t="s">
        <v>521</v>
      </c>
    </row>
    <row r="156" spans="1:25" ht="45" x14ac:dyDescent="0.25">
      <c r="A156" s="33">
        <v>203641</v>
      </c>
      <c r="B156" s="33">
        <f>VLOOKUP($A156,'Выгр Кат'!$A:$R,B$1,0)</f>
        <v>23278</v>
      </c>
      <c r="C156" s="34" t="str">
        <f>VLOOKUP($A156,'Выгр Кат'!$A:$R,C$1,0)</f>
        <v>Резонатор "STT" (под выпускной коллектор "STT", нержавеющая сталь) для ВАЗ 2101-2107</v>
      </c>
      <c r="D156" s="33" t="str">
        <f>VLOOKUP($A156,'Выгр Кат'!$A:$R,D$1,0)</f>
        <v>Y</v>
      </c>
      <c r="E156" s="33" t="str">
        <f>VLOOKUP($A156,'Выгр Кат'!$A:$R,E$1,0)</f>
        <v>1</v>
      </c>
      <c r="F156" s="33" t="str">
        <f>VLOOKUP($A156,'Выгр Кат'!$A:$R,F$1,0)</f>
        <v>TT-00102.</v>
      </c>
      <c r="G156" s="33"/>
      <c r="H156" s="23" t="s">
        <v>29</v>
      </c>
      <c r="I156" s="41">
        <v>6450</v>
      </c>
      <c r="J156" s="35">
        <f>VLOOKUP(I156,Наценка!$A$1:$B$8,2,1)</f>
        <v>1.4</v>
      </c>
      <c r="K156" s="46">
        <f>X156-100</f>
        <v>9590</v>
      </c>
      <c r="L156" s="20">
        <f t="shared" si="45"/>
        <v>9590</v>
      </c>
      <c r="M156" s="33">
        <f>VLOOKUP($A156,'Выгр Кат'!$A:$R,M$1,0)</f>
        <v>6450</v>
      </c>
      <c r="N156" s="33">
        <f>VLOOKUP($A156,'Выгр Кат'!$A:$R,N$1,0)</f>
        <v>9090</v>
      </c>
      <c r="O156" s="17">
        <f t="shared" si="46"/>
        <v>0</v>
      </c>
      <c r="P156" s="17">
        <f t="shared" si="47"/>
        <v>-500</v>
      </c>
      <c r="Q156" s="18">
        <f t="shared" si="48"/>
        <v>8918.6999999999989</v>
      </c>
      <c r="R156" s="42">
        <f>IFERROR((VLOOKUP($A156,'Из ГУГЛа'!$B:$G,6,0)+T156)*S156,VLOOKUP($A156,'Из ГУГЛа'!$B:$G,6,0))</f>
        <v>9690</v>
      </c>
      <c r="S156" s="7">
        <v>1</v>
      </c>
      <c r="T156" s="7">
        <v>0</v>
      </c>
      <c r="U156" s="37">
        <f t="shared" si="49"/>
        <v>0.3827441860465115</v>
      </c>
      <c r="V156" s="37">
        <f t="shared" si="50"/>
        <v>7.9597523219814351E-2</v>
      </c>
      <c r="W156" s="37">
        <f t="shared" si="51"/>
        <v>0.50232558139534889</v>
      </c>
      <c r="X156" s="38">
        <v>9690</v>
      </c>
      <c r="Y156" s="26" t="s">
        <v>606</v>
      </c>
    </row>
    <row r="157" spans="1:25" ht="45" x14ac:dyDescent="0.25">
      <c r="A157" s="33">
        <v>203643</v>
      </c>
      <c r="B157" s="33">
        <f>VLOOKUP($A157,'Выгр Кат'!$A:$R,B$1,0)</f>
        <v>23276</v>
      </c>
      <c r="C157" s="34" t="str">
        <f>VLOOKUP($A157,'Выгр Кат'!$A:$R,C$1,0)</f>
        <v>Резонатор "STT" (под выпускной коллектор "STT", нержавеющая сталь) для Лада Веста (1,6 л, до 2018 г. в.)</v>
      </c>
      <c r="D157" s="33" t="str">
        <f>VLOOKUP($A157,'Выгр Кат'!$A:$R,D$1,0)</f>
        <v>Y</v>
      </c>
      <c r="E157" s="33" t="str">
        <f>VLOOKUP($A157,'Выгр Кат'!$A:$R,E$1,0)</f>
        <v>1</v>
      </c>
      <c r="F157" s="33" t="str">
        <f>VLOOKUP($A157,'Выгр Кат'!$A:$R,F$1,0)</f>
        <v>TT-00137.</v>
      </c>
      <c r="G157" s="33"/>
      <c r="H157" s="23" t="s">
        <v>29</v>
      </c>
      <c r="I157" s="41">
        <v>6450</v>
      </c>
      <c r="J157" s="35">
        <f>VLOOKUP(I157,Наценка!$A$1:$B$8,2,1)</f>
        <v>1.4</v>
      </c>
      <c r="K157" s="39">
        <f t="shared" si="44"/>
        <v>9030</v>
      </c>
      <c r="L157" s="20">
        <f t="shared" si="45"/>
        <v>9090</v>
      </c>
      <c r="M157" s="33">
        <f>VLOOKUP($A157,'Выгр Кат'!$A:$R,M$1,0)</f>
        <v>6450</v>
      </c>
      <c r="N157" s="33">
        <f>VLOOKUP($A157,'Выгр Кат'!$A:$R,N$1,0)</f>
        <v>9090</v>
      </c>
      <c r="O157" s="17">
        <f t="shared" si="46"/>
        <v>0</v>
      </c>
      <c r="P157" s="17">
        <f t="shared" si="47"/>
        <v>0</v>
      </c>
      <c r="Q157" s="18">
        <f t="shared" si="48"/>
        <v>8453.6999999999989</v>
      </c>
      <c r="R157" s="42">
        <f>IFERROR((VLOOKUP($A157,'Из ГУГЛа'!$B:$G,6,0)+T157)*S157,VLOOKUP($A157,'Из ГУГЛа'!$B:$G,6,0))</f>
        <v>6090</v>
      </c>
      <c r="S157" s="7">
        <v>1</v>
      </c>
      <c r="T157" s="7">
        <v>0</v>
      </c>
      <c r="U157" s="37">
        <f t="shared" si="49"/>
        <v>0.3106511627906976</v>
      </c>
      <c r="V157" s="37">
        <f t="shared" si="50"/>
        <v>-0.38812807881773381</v>
      </c>
      <c r="W157" s="37">
        <f t="shared" si="51"/>
        <v>-5.5813953488372148E-2</v>
      </c>
      <c r="X157" s="38">
        <v>6090</v>
      </c>
      <c r="Y157" s="26" t="s">
        <v>527</v>
      </c>
    </row>
    <row r="158" spans="1:25" ht="75" x14ac:dyDescent="0.25">
      <c r="A158" s="33">
        <v>140128</v>
      </c>
      <c r="B158" s="33">
        <f>VLOOKUP($A158,'Выгр Кат'!$A:$R,B$1,0)</f>
        <v>41668</v>
      </c>
      <c r="C158" s="34" t="str">
        <f>VLOOKUP($A158,'Выгр Кат'!$A:$R,C$1,0)</f>
        <v>(снято с производства) Выпускной коллектор (паук) "STT" двухсоставной, разборный, 4-2-1, (d51 мм, нержавеющий) для Лада Веста (ВАЗ-21129, 1.6 л, 16 клапанный)</v>
      </c>
      <c r="D158" s="33" t="str">
        <f>VLOOKUP($A158,'Выгр Кат'!$A:$R,D$1,0)</f>
        <v>N</v>
      </c>
      <c r="E158" s="33" t="str">
        <f>VLOOKUP($A158,'Выгр Кат'!$A:$R,E$1,0)</f>
        <v>1</v>
      </c>
      <c r="F158" s="33" t="str">
        <f>VLOOKUP($A158,'Выгр Кат'!$A:$R,F$1,0)</f>
        <v>ТТ-00229</v>
      </c>
      <c r="G158" s="33"/>
      <c r="H158" s="23" t="s">
        <v>29</v>
      </c>
      <c r="I158" s="41">
        <v>6550</v>
      </c>
      <c r="J158" s="35">
        <f>VLOOKUP(I158,Наценка!$A$1:$B$8,2,1)</f>
        <v>1.4</v>
      </c>
      <c r="K158" s="39">
        <f t="shared" si="44"/>
        <v>9170</v>
      </c>
      <c r="L158" s="20">
        <f t="shared" si="45"/>
        <v>9190</v>
      </c>
      <c r="M158" s="33">
        <f>VLOOKUP($A158,'Выгр Кат'!$A:$R,M$1,0)</f>
        <v>6550</v>
      </c>
      <c r="N158" s="33">
        <f>VLOOKUP($A158,'Выгр Кат'!$A:$R,N$1,0)</f>
        <v>9190</v>
      </c>
      <c r="O158" s="17">
        <f t="shared" si="46"/>
        <v>0</v>
      </c>
      <c r="P158" s="17">
        <f t="shared" si="47"/>
        <v>0</v>
      </c>
      <c r="Q158" s="18">
        <f t="shared" si="48"/>
        <v>8546.6999999999989</v>
      </c>
      <c r="R158" s="42">
        <f>IFERROR((VLOOKUP($A158,'Из ГУГЛа'!$B:$G,6,0)+T158)*S158,VLOOKUP($A158,'Из ГУГЛа'!$B:$G,6,0))</f>
        <v>5390</v>
      </c>
      <c r="S158" s="7">
        <v>1</v>
      </c>
      <c r="T158" s="7">
        <v>0</v>
      </c>
      <c r="U158" s="37">
        <f t="shared" si="49"/>
        <v>0.30483969465648841</v>
      </c>
      <c r="V158" s="37">
        <f t="shared" si="50"/>
        <v>-0.58565862708719829</v>
      </c>
      <c r="W158" s="37">
        <f t="shared" si="51"/>
        <v>-0.1770992366412214</v>
      </c>
      <c r="X158" s="38">
        <v>5390</v>
      </c>
      <c r="Y158" s="26" t="s">
        <v>532</v>
      </c>
    </row>
    <row r="159" spans="1:25" ht="45" x14ac:dyDescent="0.25">
      <c r="A159" s="33">
        <v>141011</v>
      </c>
      <c r="B159" s="33">
        <f>VLOOKUP($A159,'Выгр Кат'!$A:$R,B$1,0)</f>
        <v>41807</v>
      </c>
      <c r="C159" s="34" t="str">
        <f>VLOOKUP($A159,'Выгр Кат'!$A:$R,C$1,0)</f>
        <v>Глушитель "STT" прямоточный (нержавеющая сталь) для Лада Приора хэтчбек</v>
      </c>
      <c r="D159" s="33" t="str">
        <f>VLOOKUP($A159,'Выгр Кат'!$A:$R,D$1,0)</f>
        <v>Y</v>
      </c>
      <c r="E159" s="33" t="str">
        <f>VLOOKUP($A159,'Выгр Кат'!$A:$R,E$1,0)</f>
        <v>1</v>
      </c>
      <c r="F159" s="33" t="str">
        <f>VLOOKUP($A159,'Выгр Кат'!$A:$R,F$1,0)</f>
        <v>TT-00286</v>
      </c>
      <c r="G159" s="33"/>
      <c r="H159" s="23" t="s">
        <v>29</v>
      </c>
      <c r="I159" s="41">
        <v>6750</v>
      </c>
      <c r="J159" s="35">
        <f>VLOOKUP(I159,Наценка!$A$1:$B$8,2,1)</f>
        <v>1.4</v>
      </c>
      <c r="K159" s="39">
        <f t="shared" si="44"/>
        <v>9450</v>
      </c>
      <c r="L159" s="20">
        <f t="shared" si="45"/>
        <v>9490</v>
      </c>
      <c r="M159" s="33">
        <f>VLOOKUP($A159,'Выгр Кат'!$A:$R,M$1,0)</f>
        <v>6750</v>
      </c>
      <c r="N159" s="33">
        <f>VLOOKUP($A159,'Выгр Кат'!$A:$R,N$1,0)</f>
        <v>9490</v>
      </c>
      <c r="O159" s="17">
        <f t="shared" si="46"/>
        <v>0</v>
      </c>
      <c r="P159" s="17">
        <f t="shared" si="47"/>
        <v>0</v>
      </c>
      <c r="Q159" s="18">
        <f t="shared" si="48"/>
        <v>8825.6999999999989</v>
      </c>
      <c r="R159" s="42" t="str">
        <f>IFERROR((VLOOKUP($A159,'Из ГУГЛа'!$B:$G,6,0)+T159)*S159,VLOOKUP($A159,'Из ГУГЛа'!$B:$G,6,0))</f>
        <v/>
      </c>
      <c r="S159" s="7">
        <v>1</v>
      </c>
      <c r="T159" s="7">
        <v>0</v>
      </c>
      <c r="U159" s="37">
        <f t="shared" si="49"/>
        <v>0.30751111111111085</v>
      </c>
      <c r="V159" s="37" t="str">
        <f t="shared" si="50"/>
        <v/>
      </c>
      <c r="W159" s="37" t="str">
        <f t="shared" si="51"/>
        <v/>
      </c>
      <c r="X159" s="38" t="s">
        <v>521</v>
      </c>
    </row>
    <row r="160" spans="1:25" ht="45" x14ac:dyDescent="0.25">
      <c r="A160" s="33">
        <v>141006</v>
      </c>
      <c r="B160" s="33">
        <f>VLOOKUP($A160,'Выгр Кат'!$A:$R,B$1,0)</f>
        <v>41791</v>
      </c>
      <c r="C160" s="34" t="str">
        <f>VLOOKUP($A160,'Выгр Кат'!$A:$R,C$1,0)</f>
        <v>Глушитель прямоточный  "STT" (нержавеющая сталь) для ВАЗ 2108, 2109, 2113, 2114</v>
      </c>
      <c r="D160" s="33" t="str">
        <f>VLOOKUP($A160,'Выгр Кат'!$A:$R,D$1,0)</f>
        <v>Y</v>
      </c>
      <c r="E160" s="33" t="str">
        <f>VLOOKUP($A160,'Выгр Кат'!$A:$R,E$1,0)</f>
        <v>1ск6</v>
      </c>
      <c r="F160" s="33" t="str">
        <f>VLOOKUP($A160,'Выгр Кат'!$A:$R,F$1,0)</f>
        <v>ТТ-00323</v>
      </c>
      <c r="G160" s="33"/>
      <c r="H160" s="23" t="s">
        <v>29</v>
      </c>
      <c r="I160" s="41">
        <v>6750</v>
      </c>
      <c r="J160" s="35">
        <f>VLOOKUP(I160,Наценка!$A$1:$B$8,2,1)</f>
        <v>1.4</v>
      </c>
      <c r="K160" s="39">
        <f t="shared" si="44"/>
        <v>9450</v>
      </c>
      <c r="L160" s="20">
        <f t="shared" si="45"/>
        <v>9490</v>
      </c>
      <c r="M160" s="33">
        <f>VLOOKUP($A160,'Выгр Кат'!$A:$R,M$1,0)</f>
        <v>6750</v>
      </c>
      <c r="N160" s="33">
        <f>VLOOKUP($A160,'Выгр Кат'!$A:$R,N$1,0)</f>
        <v>9490</v>
      </c>
      <c r="O160" s="17">
        <f t="shared" si="46"/>
        <v>0</v>
      </c>
      <c r="P160" s="17">
        <f t="shared" si="47"/>
        <v>0</v>
      </c>
      <c r="Q160" s="18">
        <f t="shared" si="48"/>
        <v>8825.6999999999989</v>
      </c>
      <c r="R160" s="42" t="str">
        <f>IFERROR((VLOOKUP($A160,'Из ГУГЛа'!$B:$G,6,0)+T160)*S160,VLOOKUP($A160,'Из ГУГЛа'!$B:$G,6,0))</f>
        <v/>
      </c>
      <c r="S160" s="7">
        <v>1</v>
      </c>
      <c r="T160" s="7">
        <v>0</v>
      </c>
      <c r="U160" s="37">
        <f t="shared" si="49"/>
        <v>0.30751111111111085</v>
      </c>
      <c r="V160" s="37" t="str">
        <f t="shared" si="50"/>
        <v/>
      </c>
      <c r="W160" s="37" t="str">
        <f t="shared" si="51"/>
        <v/>
      </c>
      <c r="X160" s="38" t="s">
        <v>521</v>
      </c>
    </row>
    <row r="161" spans="1:25" ht="45" x14ac:dyDescent="0.25">
      <c r="A161" s="33">
        <v>141020</v>
      </c>
      <c r="B161" s="33">
        <f>VLOOKUP($A161,'Выгр Кат'!$A:$R,B$1,0)</f>
        <v>41796</v>
      </c>
      <c r="C161" s="34" t="str">
        <f>VLOOKUP($A161,'Выгр Кат'!$A:$R,C$1,0)</f>
        <v>Глушитель прямоточный овальный "STT" (нержавеющая сталь) для Лада Веста</v>
      </c>
      <c r="D161" s="33" t="str">
        <f>VLOOKUP($A161,'Выгр Кат'!$A:$R,D$1,0)</f>
        <v>Y</v>
      </c>
      <c r="E161" s="33" t="str">
        <f>VLOOKUP($A161,'Выгр Кат'!$A:$R,E$1,0)</f>
        <v>1</v>
      </c>
      <c r="F161" s="33" t="str">
        <f>VLOOKUP($A161,'Выгр Кат'!$A:$R,F$1,0)</f>
        <v>ТТ-00284</v>
      </c>
      <c r="G161" s="33"/>
      <c r="H161" s="23" t="s">
        <v>29</v>
      </c>
      <c r="I161" s="41">
        <v>6750</v>
      </c>
      <c r="J161" s="35">
        <f>VLOOKUP(I161,Наценка!$A$1:$B$8,2,1)</f>
        <v>1.4</v>
      </c>
      <c r="K161" s="39">
        <f t="shared" si="44"/>
        <v>9450</v>
      </c>
      <c r="L161" s="20">
        <f t="shared" si="45"/>
        <v>9490</v>
      </c>
      <c r="M161" s="33">
        <f>VLOOKUP($A161,'Выгр Кат'!$A:$R,M$1,0)</f>
        <v>6750</v>
      </c>
      <c r="N161" s="33">
        <f>VLOOKUP($A161,'Выгр Кат'!$A:$R,N$1,0)</f>
        <v>9490</v>
      </c>
      <c r="O161" s="17">
        <f t="shared" si="46"/>
        <v>0</v>
      </c>
      <c r="P161" s="17">
        <f t="shared" si="47"/>
        <v>0</v>
      </c>
      <c r="Q161" s="18">
        <f t="shared" si="48"/>
        <v>8825.6999999999989</v>
      </c>
      <c r="R161" s="42" t="str">
        <f>IFERROR((VLOOKUP($A161,'Из ГУГЛа'!$B:$G,6,0)+T161)*S161,VLOOKUP($A161,'Из ГУГЛа'!$B:$G,6,0))</f>
        <v/>
      </c>
      <c r="S161" s="7">
        <v>1</v>
      </c>
      <c r="T161" s="7">
        <v>0</v>
      </c>
      <c r="U161" s="37">
        <f t="shared" si="49"/>
        <v>0.30751111111111085</v>
      </c>
      <c r="V161" s="37" t="str">
        <f t="shared" si="50"/>
        <v/>
      </c>
      <c r="W161" s="37" t="str">
        <f t="shared" si="51"/>
        <v/>
      </c>
      <c r="X161" s="38" t="s">
        <v>521</v>
      </c>
    </row>
    <row r="162" spans="1:25" ht="30" x14ac:dyDescent="0.25">
      <c r="A162" s="33">
        <v>203658</v>
      </c>
      <c r="B162" s="33">
        <f>VLOOKUP($A162,'Выгр Кат'!$A:$R,B$1,0)</f>
        <v>1765</v>
      </c>
      <c r="C162" s="34" t="str">
        <f>VLOOKUP($A162,'Выгр Кат'!$A:$R,C$1,0)</f>
        <v>Резонатор "STT" (d51, 1.5л, под выпуск, нержавейка) для ВАЗ 2110-2112</v>
      </c>
      <c r="D162" s="33" t="str">
        <f>VLOOKUP($A162,'Выгр Кат'!$A:$R,D$1,0)</f>
        <v>Y</v>
      </c>
      <c r="E162" s="33" t="str">
        <f>VLOOKUP($A162,'Выгр Кат'!$A:$R,E$1,0)</f>
        <v>1</v>
      </c>
      <c r="F162" s="33" t="str">
        <f>VLOOKUP($A162,'Выгр Кат'!$A:$R,F$1,0)</f>
        <v>TT-00113.</v>
      </c>
      <c r="G162" s="33"/>
      <c r="H162" s="23" t="s">
        <v>29</v>
      </c>
      <c r="I162" s="41">
        <v>6750</v>
      </c>
      <c r="J162" s="35">
        <f>VLOOKUP(I162,Наценка!$A$1:$B$8,2,1)</f>
        <v>1.4</v>
      </c>
      <c r="K162" s="39">
        <f t="shared" si="44"/>
        <v>9450</v>
      </c>
      <c r="L162" s="20">
        <f t="shared" si="45"/>
        <v>9490</v>
      </c>
      <c r="M162" s="33">
        <f>VLOOKUP($A162,'Выгр Кат'!$A:$R,M$1,0)</f>
        <v>6750</v>
      </c>
      <c r="N162" s="33">
        <f>VLOOKUP($A162,'Выгр Кат'!$A:$R,N$1,0)</f>
        <v>9490</v>
      </c>
      <c r="O162" s="17">
        <f t="shared" si="46"/>
        <v>0</v>
      </c>
      <c r="P162" s="17">
        <f t="shared" si="47"/>
        <v>0</v>
      </c>
      <c r="Q162" s="18">
        <f t="shared" si="48"/>
        <v>8825.6999999999989</v>
      </c>
      <c r="R162" s="42" t="str">
        <f>IFERROR((VLOOKUP($A162,'Из ГУГЛа'!$B:$G,6,0)+T162)*S162,VLOOKUP($A162,'Из ГУГЛа'!$B:$G,6,0))</f>
        <v/>
      </c>
      <c r="S162" s="7">
        <v>1</v>
      </c>
      <c r="T162" s="7">
        <v>0</v>
      </c>
      <c r="U162" s="37">
        <f t="shared" si="49"/>
        <v>0.30751111111111085</v>
      </c>
      <c r="V162" s="37" t="str">
        <f t="shared" si="50"/>
        <v/>
      </c>
      <c r="W162" s="37" t="str">
        <f t="shared" si="51"/>
        <v/>
      </c>
      <c r="X162" s="38" t="s">
        <v>521</v>
      </c>
    </row>
    <row r="163" spans="1:25" ht="30" x14ac:dyDescent="0.25">
      <c r="A163" s="33">
        <v>203660</v>
      </c>
      <c r="B163" s="33">
        <f>VLOOKUP($A163,'Выгр Кат'!$A:$R,B$1,0)</f>
        <v>1774</v>
      </c>
      <c r="C163" s="34" t="str">
        <f>VLOOKUP($A163,'Выгр Кат'!$A:$R,C$1,0)</f>
        <v>Резонатор "STT" (d51, 1.6л, под выпуск, нержавейка) для ВАЗ 2110-2112</v>
      </c>
      <c r="D163" s="33" t="str">
        <f>VLOOKUP($A163,'Выгр Кат'!$A:$R,D$1,0)</f>
        <v>Y</v>
      </c>
      <c r="E163" s="33" t="str">
        <f>VLOOKUP($A163,'Выгр Кат'!$A:$R,E$1,0)</f>
        <v>1ск6</v>
      </c>
      <c r="F163" s="33" t="str">
        <f>VLOOKUP($A163,'Выгр Кат'!$A:$R,F$1,0)</f>
        <v>ТТ-00119</v>
      </c>
      <c r="G163" s="33"/>
      <c r="H163" s="23" t="s">
        <v>29</v>
      </c>
      <c r="I163" s="41">
        <v>6750</v>
      </c>
      <c r="J163" s="35">
        <f>VLOOKUP(I163,Наценка!$A$1:$B$8,2,1)</f>
        <v>1.4</v>
      </c>
      <c r="K163" s="39">
        <f t="shared" ref="K163:K194" si="53">I163*J163</f>
        <v>9450</v>
      </c>
      <c r="L163" s="20">
        <f t="shared" ref="L163:L194" si="54">IF(K163&lt;=1000,(ROUNDUP(K163,-1)-1),(ROUNDUP(K163,-2)-10))</f>
        <v>9490</v>
      </c>
      <c r="M163" s="33">
        <f>VLOOKUP($A163,'Выгр Кат'!$A:$R,M$1,0)</f>
        <v>6750</v>
      </c>
      <c r="N163" s="33">
        <f>VLOOKUP($A163,'Выгр Кат'!$A:$R,N$1,0)</f>
        <v>9490</v>
      </c>
      <c r="O163" s="17">
        <f t="shared" ref="O163:O196" si="55">M163-I163</f>
        <v>0</v>
      </c>
      <c r="P163" s="17">
        <f t="shared" ref="P163:P196" si="56">N163-L163</f>
        <v>0</v>
      </c>
      <c r="Q163" s="18">
        <f t="shared" ref="Q163:Q196" si="57">IFERROR(L163*(1-$Q$2),"")</f>
        <v>8825.6999999999989</v>
      </c>
      <c r="R163" s="42" t="str">
        <f>IFERROR((VLOOKUP($A163,'Из ГУГЛа'!$B:$G,6,0)+T163)*S163,VLOOKUP($A163,'Из ГУГЛа'!$B:$G,6,0))</f>
        <v/>
      </c>
      <c r="S163" s="7">
        <v>1</v>
      </c>
      <c r="T163" s="7">
        <v>0</v>
      </c>
      <c r="U163" s="37">
        <f t="shared" ref="U163:U196" si="58">IFERROR(Q163/I163-1,"")</f>
        <v>0.30751111111111085</v>
      </c>
      <c r="V163" s="37" t="str">
        <f t="shared" ref="V163:V196" si="59">IFERROR((X163-Q163)/X163,"")</f>
        <v/>
      </c>
      <c r="W163" s="37" t="str">
        <f t="shared" ref="W163:W194" si="60">IFERROR(IF(X163="","",X163/I163-1),"")</f>
        <v/>
      </c>
      <c r="X163" s="38" t="s">
        <v>521</v>
      </c>
    </row>
    <row r="164" spans="1:25" ht="30" x14ac:dyDescent="0.25">
      <c r="A164" s="33">
        <v>203629</v>
      </c>
      <c r="B164" s="33">
        <f>VLOOKUP($A164,'Выгр Кат'!$A:$R,B$1,0)</f>
        <v>1755</v>
      </c>
      <c r="C164" s="34" t="str">
        <f>VLOOKUP($A164,'Выгр Кат'!$A:$R,C$1,0)</f>
        <v>Резонатор "STT" (d51, под выпуск "STT", нержавейка) для Лада Приора</v>
      </c>
      <c r="D164" s="33" t="str">
        <f>VLOOKUP($A164,'Выгр Кат'!$A:$R,D$1,0)</f>
        <v>Y</v>
      </c>
      <c r="E164" s="33" t="str">
        <f>VLOOKUP($A164,'Выгр Кат'!$A:$R,E$1,0)</f>
        <v>1</v>
      </c>
      <c r="F164" s="33" t="str">
        <f>VLOOKUP($A164,'Выгр Кат'!$A:$R,F$1,0)</f>
        <v>TT-00129.</v>
      </c>
      <c r="G164" s="33"/>
      <c r="H164" s="23" t="s">
        <v>29</v>
      </c>
      <c r="I164" s="41">
        <v>6750</v>
      </c>
      <c r="J164" s="35">
        <f>VLOOKUP(I164,Наценка!$A$1:$B$8,2,1)</f>
        <v>1.4</v>
      </c>
      <c r="K164" s="39">
        <f t="shared" si="53"/>
        <v>9450</v>
      </c>
      <c r="L164" s="20">
        <f t="shared" si="54"/>
        <v>9490</v>
      </c>
      <c r="M164" s="33">
        <f>VLOOKUP($A164,'Выгр Кат'!$A:$R,M$1,0)</f>
        <v>6750</v>
      </c>
      <c r="N164" s="33">
        <f>VLOOKUP($A164,'Выгр Кат'!$A:$R,N$1,0)</f>
        <v>9490</v>
      </c>
      <c r="O164" s="17">
        <f t="shared" si="55"/>
        <v>0</v>
      </c>
      <c r="P164" s="17">
        <f t="shared" si="56"/>
        <v>0</v>
      </c>
      <c r="Q164" s="18">
        <f t="shared" si="57"/>
        <v>8825.6999999999989</v>
      </c>
      <c r="R164" s="42">
        <f>IFERROR((VLOOKUP($A164,'Из ГУГЛа'!$B:$G,6,0)+T164)*S164,VLOOKUP($A164,'Из ГУГЛа'!$B:$G,6,0))</f>
        <v>9890</v>
      </c>
      <c r="S164" s="7">
        <v>1</v>
      </c>
      <c r="T164" s="7">
        <v>0</v>
      </c>
      <c r="U164" s="37">
        <f t="shared" si="58"/>
        <v>0.30751111111111085</v>
      </c>
      <c r="V164" s="37">
        <f t="shared" si="59"/>
        <v>0.10761375126390305</v>
      </c>
      <c r="W164" s="37">
        <f t="shared" si="60"/>
        <v>0.46518518518518515</v>
      </c>
      <c r="X164" s="38">
        <v>9890</v>
      </c>
      <c r="Y164" s="26" t="s">
        <v>511</v>
      </c>
    </row>
    <row r="165" spans="1:25" ht="30" x14ac:dyDescent="0.25">
      <c r="A165" s="33">
        <v>203637</v>
      </c>
      <c r="B165" s="33">
        <f>VLOOKUP($A165,'Выгр Кат'!$A:$R,B$1,0)</f>
        <v>1789</v>
      </c>
      <c r="C165" s="34" t="str">
        <f>VLOOKUP($A165,'Выгр Кат'!$A:$R,C$1,0)</f>
        <v>Резонатор "STT" (под выпуск "STT", нержавейка) для Лада Калина</v>
      </c>
      <c r="D165" s="33" t="str">
        <f>VLOOKUP($A165,'Выгр Кат'!$A:$R,D$1,0)</f>
        <v>Y</v>
      </c>
      <c r="E165" s="33" t="str">
        <f>VLOOKUP($A165,'Выгр Кат'!$A:$R,E$1,0)</f>
        <v>1</v>
      </c>
      <c r="F165" s="33" t="str">
        <f>VLOOKUP($A165,'Выгр Кат'!$A:$R,F$1,0)</f>
        <v>TT-00124.</v>
      </c>
      <c r="G165" s="33"/>
      <c r="H165" s="23" t="s">
        <v>29</v>
      </c>
      <c r="I165" s="41">
        <v>6750</v>
      </c>
      <c r="J165" s="35">
        <f>VLOOKUP(I165,Наценка!$A$1:$B$8,2,1)</f>
        <v>1.4</v>
      </c>
      <c r="K165" s="39">
        <f t="shared" si="53"/>
        <v>9450</v>
      </c>
      <c r="L165" s="20">
        <f t="shared" si="54"/>
        <v>9490</v>
      </c>
      <c r="M165" s="33">
        <f>VLOOKUP($A165,'Выгр Кат'!$A:$R,M$1,0)</f>
        <v>6750</v>
      </c>
      <c r="N165" s="33">
        <f>VLOOKUP($A165,'Выгр Кат'!$A:$R,N$1,0)</f>
        <v>9490</v>
      </c>
      <c r="O165" s="17">
        <f t="shared" si="55"/>
        <v>0</v>
      </c>
      <c r="P165" s="17">
        <f t="shared" si="56"/>
        <v>0</v>
      </c>
      <c r="Q165" s="18">
        <f t="shared" si="57"/>
        <v>8825.6999999999989</v>
      </c>
      <c r="R165" s="42">
        <f>IFERROR((VLOOKUP($A165,'Из ГУГЛа'!$B:$G,6,0)+T165)*S165,VLOOKUP($A165,'Из ГУГЛа'!$B:$G,6,0))</f>
        <v>9590</v>
      </c>
      <c r="S165" s="7">
        <v>1</v>
      </c>
      <c r="T165" s="7">
        <v>0</v>
      </c>
      <c r="U165" s="37">
        <f t="shared" si="58"/>
        <v>0.30751111111111085</v>
      </c>
      <c r="V165" s="37">
        <f t="shared" si="59"/>
        <v>7.96976016684047E-2</v>
      </c>
      <c r="W165" s="37">
        <f t="shared" si="60"/>
        <v>0.42074074074074064</v>
      </c>
      <c r="X165" s="38">
        <v>9590</v>
      </c>
      <c r="Y165" s="26" t="s">
        <v>597</v>
      </c>
    </row>
    <row r="166" spans="1:25" ht="45" x14ac:dyDescent="0.25">
      <c r="A166" s="33">
        <v>140118</v>
      </c>
      <c r="B166" s="33">
        <f>VLOOKUP($A166,'Выгр Кат'!$A:$R,B$1,0)</f>
        <v>23203</v>
      </c>
      <c r="C166" s="34" t="str">
        <f>VLOOKUP($A166,'Выгр Кат'!$A:$R,C$1,0)</f>
        <v>Выпускной коллектор (паук) "STT" 4-2-1 (8V, нержавеющая сталь) для ВАЗ 2101-2107</v>
      </c>
      <c r="D166" s="33" t="str">
        <f>VLOOKUP($A166,'Выгр Кат'!$A:$R,D$1,0)</f>
        <v>Y</v>
      </c>
      <c r="E166" s="33" t="str">
        <f>VLOOKUP($A166,'Выгр Кат'!$A:$R,E$1,0)</f>
        <v>1</v>
      </c>
      <c r="F166" s="33" t="str">
        <f>VLOOKUP($A166,'Выгр Кат'!$A:$R,F$1,0)</f>
        <v>TT-00022.</v>
      </c>
      <c r="G166" s="33"/>
      <c r="H166" s="23" t="s">
        <v>29</v>
      </c>
      <c r="I166" s="41">
        <v>6850</v>
      </c>
      <c r="J166" s="35">
        <f>VLOOKUP(I166,Наценка!$A$1:$B$8,2,1)</f>
        <v>1.4</v>
      </c>
      <c r="K166" s="46">
        <f>X166-100</f>
        <v>10290</v>
      </c>
      <c r="L166" s="20">
        <f t="shared" si="54"/>
        <v>10290</v>
      </c>
      <c r="M166" s="33">
        <f>VLOOKUP($A166,'Выгр Кат'!$A:$R,M$1,0)</f>
        <v>6850</v>
      </c>
      <c r="N166" s="33">
        <f>VLOOKUP($A166,'Выгр Кат'!$A:$R,N$1,0)</f>
        <v>9590</v>
      </c>
      <c r="O166" s="17">
        <f t="shared" si="55"/>
        <v>0</v>
      </c>
      <c r="P166" s="17">
        <f t="shared" si="56"/>
        <v>-700</v>
      </c>
      <c r="Q166" s="18">
        <f t="shared" si="57"/>
        <v>9569.6999999999989</v>
      </c>
      <c r="R166" s="42">
        <f>IFERROR((VLOOKUP($A166,'Из ГУГЛа'!$B:$G,6,0)+T166)*S166,VLOOKUP($A166,'Из ГУГЛа'!$B:$G,6,0))</f>
        <v>10390</v>
      </c>
      <c r="S166" s="7">
        <v>1</v>
      </c>
      <c r="T166" s="7">
        <v>0</v>
      </c>
      <c r="U166" s="37">
        <f t="shared" si="58"/>
        <v>0.39703649635036475</v>
      </c>
      <c r="V166" s="37">
        <f t="shared" si="59"/>
        <v>7.895091434071233E-2</v>
      </c>
      <c r="W166" s="37">
        <f t="shared" si="60"/>
        <v>0.5167883211678832</v>
      </c>
      <c r="X166" s="38">
        <v>10390</v>
      </c>
      <c r="Y166" s="26" t="s">
        <v>604</v>
      </c>
    </row>
    <row r="167" spans="1:25" ht="60" x14ac:dyDescent="0.25">
      <c r="A167" s="33">
        <v>203635</v>
      </c>
      <c r="B167" s="33">
        <f>VLOOKUP($A167,'Выгр Кат'!$A:$R,B$1,0)</f>
        <v>23279</v>
      </c>
      <c r="C167" s="34" t="str">
        <f>VLOOKUP($A167,'Выгр Кат'!$A:$R,C$1,0)</f>
        <v>Резонатор "STT" (1,5 л, под выпускной коллектор "STT", с гофрой, нержавеющая сталь) для ВАЗ 2110-2112</v>
      </c>
      <c r="D167" s="33" t="str">
        <f>VLOOKUP($A167,'Выгр Кат'!$A:$R,D$1,0)</f>
        <v>Y</v>
      </c>
      <c r="E167" s="33" t="str">
        <f>VLOOKUP($A167,'Выгр Кат'!$A:$R,E$1,0)</f>
        <v>1</v>
      </c>
      <c r="F167" s="33" t="str">
        <f>VLOOKUP($A167,'Выгр Кат'!$A:$R,F$1,0)</f>
        <v>TT-00114</v>
      </c>
      <c r="G167" s="33"/>
      <c r="H167" s="23" t="s">
        <v>29</v>
      </c>
      <c r="I167" s="41">
        <v>7250</v>
      </c>
      <c r="J167" s="35">
        <f>VLOOKUP(I167,Наценка!$A$1:$B$8,2,1)</f>
        <v>1.4</v>
      </c>
      <c r="K167" s="39">
        <f t="shared" si="53"/>
        <v>10150</v>
      </c>
      <c r="L167" s="20">
        <f t="shared" si="54"/>
        <v>10190</v>
      </c>
      <c r="M167" s="33">
        <f>VLOOKUP($A167,'Выгр Кат'!$A:$R,M$1,0)</f>
        <v>7250</v>
      </c>
      <c r="N167" s="33">
        <f>VLOOKUP($A167,'Выгр Кат'!$A:$R,N$1,0)</f>
        <v>10190</v>
      </c>
      <c r="O167" s="17">
        <f t="shared" si="55"/>
        <v>0</v>
      </c>
      <c r="P167" s="17">
        <f t="shared" si="56"/>
        <v>0</v>
      </c>
      <c r="Q167" s="18">
        <f t="shared" si="57"/>
        <v>9476.6999999999989</v>
      </c>
      <c r="R167" s="42" t="str">
        <f>IFERROR((VLOOKUP($A167,'Из ГУГЛа'!$B:$G,6,0)+T167)*S167,VLOOKUP($A167,'Из ГУГЛа'!$B:$G,6,0))</f>
        <v/>
      </c>
      <c r="S167" s="7">
        <v>1</v>
      </c>
      <c r="T167" s="7">
        <v>0</v>
      </c>
      <c r="U167" s="37">
        <f t="shared" si="58"/>
        <v>0.30713103448275847</v>
      </c>
      <c r="V167" s="37" t="str">
        <f t="shared" si="59"/>
        <v/>
      </c>
      <c r="W167" s="37" t="str">
        <f t="shared" si="60"/>
        <v/>
      </c>
      <c r="X167" s="38" t="s">
        <v>521</v>
      </c>
    </row>
    <row r="168" spans="1:25" ht="45" x14ac:dyDescent="0.25">
      <c r="A168" s="33">
        <v>203627</v>
      </c>
      <c r="B168" s="33">
        <f>VLOOKUP($A168,'Выгр Кат'!$A:$R,B$1,0)</f>
        <v>1759</v>
      </c>
      <c r="C168" s="34" t="str">
        <f>VLOOKUP($A168,'Выгр Кат'!$A:$R,C$1,0)</f>
        <v>Резонатор "STT" (d51 под выпуск "STT", с гофрой, нержавейка) для Лада Приора</v>
      </c>
      <c r="D168" s="33" t="str">
        <f>VLOOKUP($A168,'Выгр Кат'!$A:$R,D$1,0)</f>
        <v>Y</v>
      </c>
      <c r="E168" s="33" t="str">
        <f>VLOOKUP($A168,'Выгр Кат'!$A:$R,E$1,0)</f>
        <v>1</v>
      </c>
      <c r="F168" s="33" t="str">
        <f>VLOOKUP($A168,'Выгр Кат'!$A:$R,F$1,0)</f>
        <v>TT-00131.</v>
      </c>
      <c r="G168" s="33"/>
      <c r="H168" s="23" t="s">
        <v>29</v>
      </c>
      <c r="I168" s="41">
        <v>7250</v>
      </c>
      <c r="J168" s="35">
        <f>VLOOKUP(I168,Наценка!$A$1:$B$8,2,1)</f>
        <v>1.4</v>
      </c>
      <c r="K168" s="39">
        <f t="shared" si="53"/>
        <v>10150</v>
      </c>
      <c r="L168" s="20">
        <f t="shared" si="54"/>
        <v>10190</v>
      </c>
      <c r="M168" s="33">
        <f>VLOOKUP($A168,'Выгр Кат'!$A:$R,M$1,0)</f>
        <v>7250</v>
      </c>
      <c r="N168" s="33">
        <f>VLOOKUP($A168,'Выгр Кат'!$A:$R,N$1,0)</f>
        <v>10190</v>
      </c>
      <c r="O168" s="17">
        <f t="shared" si="55"/>
        <v>0</v>
      </c>
      <c r="P168" s="17">
        <f t="shared" si="56"/>
        <v>0</v>
      </c>
      <c r="Q168" s="18">
        <f t="shared" si="57"/>
        <v>9476.6999999999989</v>
      </c>
      <c r="R168" s="42">
        <f>IFERROR((VLOOKUP($A168,'Из ГУГЛа'!$B:$G,6,0)+T168)*S168,VLOOKUP($A168,'Из ГУГЛа'!$B:$G,6,0))</f>
        <v>10690</v>
      </c>
      <c r="S168" s="7">
        <v>1</v>
      </c>
      <c r="T168" s="7">
        <v>0</v>
      </c>
      <c r="U168" s="37">
        <f t="shared" si="58"/>
        <v>0.30713103448275847</v>
      </c>
      <c r="V168" s="37">
        <f t="shared" si="59"/>
        <v>0.11349859681945754</v>
      </c>
      <c r="W168" s="37">
        <f t="shared" si="60"/>
        <v>0.47448275862068967</v>
      </c>
      <c r="X168" s="38">
        <v>10690</v>
      </c>
      <c r="Y168" s="26" t="s">
        <v>510</v>
      </c>
    </row>
    <row r="169" spans="1:25" ht="30" x14ac:dyDescent="0.25">
      <c r="A169" s="33">
        <v>203632</v>
      </c>
      <c r="B169" s="33">
        <f>VLOOKUP($A169,'Выгр Кат'!$A:$R,B$1,0)</f>
        <v>1751</v>
      </c>
      <c r="C169" s="34" t="str">
        <f>VLOOKUP($A169,'Выгр Кат'!$A:$R,C$1,0)</f>
        <v>Резонатор "STT" (d51, под выпуск, с гофрой, нержавейка) для Лада Калина</v>
      </c>
      <c r="D169" s="33" t="str">
        <f>VLOOKUP($A169,'Выгр Кат'!$A:$R,D$1,0)</f>
        <v>Y</v>
      </c>
      <c r="E169" s="33" t="str">
        <f>VLOOKUP($A169,'Выгр Кат'!$A:$R,E$1,0)</f>
        <v>1</v>
      </c>
      <c r="F169" s="33" t="str">
        <f>VLOOKUP($A169,'Выгр Кат'!$A:$R,F$1,0)</f>
        <v>ТТ-00302</v>
      </c>
      <c r="G169" s="33"/>
      <c r="H169" s="23" t="s">
        <v>29</v>
      </c>
      <c r="I169" s="41">
        <v>7250</v>
      </c>
      <c r="J169" s="35">
        <f>VLOOKUP(I169,Наценка!$A$1:$B$8,2,1)</f>
        <v>1.4</v>
      </c>
      <c r="K169" s="39">
        <f t="shared" si="53"/>
        <v>10150</v>
      </c>
      <c r="L169" s="20">
        <f t="shared" si="54"/>
        <v>10190</v>
      </c>
      <c r="M169" s="33">
        <f>VLOOKUP($A169,'Выгр Кат'!$A:$R,M$1,0)</f>
        <v>7250</v>
      </c>
      <c r="N169" s="33">
        <f>VLOOKUP($A169,'Выгр Кат'!$A:$R,N$1,0)</f>
        <v>10190</v>
      </c>
      <c r="O169" s="17">
        <f t="shared" si="55"/>
        <v>0</v>
      </c>
      <c r="P169" s="17">
        <f t="shared" si="56"/>
        <v>0</v>
      </c>
      <c r="Q169" s="18">
        <f t="shared" si="57"/>
        <v>9476.6999999999989</v>
      </c>
      <c r="R169" s="42">
        <f>IFERROR((VLOOKUP($A169,'Из ГУГЛа'!$B:$G,6,0)+T169)*S169,VLOOKUP($A169,'Из ГУГЛа'!$B:$G,6,0))</f>
        <v>9990</v>
      </c>
      <c r="S169" s="7">
        <v>1</v>
      </c>
      <c r="T169" s="7">
        <v>0</v>
      </c>
      <c r="U169" s="37">
        <f t="shared" si="58"/>
        <v>0.30713103448275847</v>
      </c>
      <c r="V169" s="37">
        <f t="shared" si="59"/>
        <v>5.1381381381381493E-2</v>
      </c>
      <c r="W169" s="37">
        <f t="shared" si="60"/>
        <v>0.37793103448275867</v>
      </c>
      <c r="X169" s="38">
        <v>9990</v>
      </c>
      <c r="Y169" s="26" t="s">
        <v>598</v>
      </c>
    </row>
    <row r="170" spans="1:25" ht="45" x14ac:dyDescent="0.25">
      <c r="A170" s="33">
        <v>203638</v>
      </c>
      <c r="B170" s="33">
        <f>VLOOKUP($A170,'Выгр Кат'!$A:$R,B$1,0)</f>
        <v>1792</v>
      </c>
      <c r="C170" s="34" t="str">
        <f>VLOOKUP($A170,'Выгр Кат'!$A:$R,C$1,0)</f>
        <v>Резонатор "STT" (под выпуск "STT", с гофрой, нержавейка) для Лада Гранта, Калина 2</v>
      </c>
      <c r="D170" s="33" t="str">
        <f>VLOOKUP($A170,'Выгр Кат'!$A:$R,D$1,0)</f>
        <v>Y</v>
      </c>
      <c r="E170" s="33" t="str">
        <f>VLOOKUP($A170,'Выгр Кат'!$A:$R,E$1,0)</f>
        <v>1</v>
      </c>
      <c r="F170" s="33" t="str">
        <f>VLOOKUP($A170,'Выгр Кат'!$A:$R,F$1,0)</f>
        <v>TT-00136.</v>
      </c>
      <c r="G170" s="33"/>
      <c r="H170" s="23" t="s">
        <v>29</v>
      </c>
      <c r="I170" s="41">
        <v>7250</v>
      </c>
      <c r="J170" s="35">
        <f>VLOOKUP(I170,Наценка!$A$1:$B$8,2,1)</f>
        <v>1.4</v>
      </c>
      <c r="K170" s="39">
        <f t="shared" si="53"/>
        <v>10150</v>
      </c>
      <c r="L170" s="20">
        <f t="shared" si="54"/>
        <v>10190</v>
      </c>
      <c r="M170" s="33">
        <f>VLOOKUP($A170,'Выгр Кат'!$A:$R,M$1,0)</f>
        <v>7250</v>
      </c>
      <c r="N170" s="33">
        <f>VLOOKUP($A170,'Выгр Кат'!$A:$R,N$1,0)</f>
        <v>10190</v>
      </c>
      <c r="O170" s="17">
        <f t="shared" si="55"/>
        <v>0</v>
      </c>
      <c r="P170" s="17">
        <f t="shared" si="56"/>
        <v>0</v>
      </c>
      <c r="Q170" s="18">
        <f t="shared" si="57"/>
        <v>9476.6999999999989</v>
      </c>
      <c r="R170" s="42">
        <f>IFERROR((VLOOKUP($A170,'Из ГУГЛа'!$B:$G,6,0)+T170)*S170,VLOOKUP($A170,'Из ГУГЛа'!$B:$G,6,0))</f>
        <v>10590</v>
      </c>
      <c r="S170" s="7">
        <v>1</v>
      </c>
      <c r="T170" s="7">
        <v>0</v>
      </c>
      <c r="U170" s="37">
        <f t="shared" si="58"/>
        <v>0.30713103448275847</v>
      </c>
      <c r="V170" s="37">
        <f t="shared" si="59"/>
        <v>0.10512747875354118</v>
      </c>
      <c r="W170" s="37">
        <f t="shared" si="60"/>
        <v>0.46068965517241378</v>
      </c>
      <c r="X170" s="38">
        <v>10590</v>
      </c>
      <c r="Y170" s="26" t="s">
        <v>577</v>
      </c>
    </row>
    <row r="171" spans="1:25" ht="45" x14ac:dyDescent="0.25">
      <c r="A171" s="33">
        <v>203663</v>
      </c>
      <c r="B171" s="33">
        <f>VLOOKUP($A171,'Выгр Кат'!$A:$R,B$1,0)</f>
        <v>17125</v>
      </c>
      <c r="C171" s="34" t="str">
        <f>VLOOKUP($A171,'Выгр Кат'!$A:$R,C$1,0)</f>
        <v>Резонатор "STT" (с гофрой под выпуск "STT", d51, нержавейка) для ВАЗ 2108-21099, 2113-2115</v>
      </c>
      <c r="D171" s="33" t="str">
        <f>VLOOKUP($A171,'Выгр Кат'!$A:$R,D$1,0)</f>
        <v>Y</v>
      </c>
      <c r="E171" s="33" t="str">
        <f>VLOOKUP($A171,'Выгр Кат'!$A:$R,E$1,0)</f>
        <v>1</v>
      </c>
      <c r="F171" s="33" t="str">
        <f>VLOOKUP($A171,'Выгр Кат'!$A:$R,F$1,0)</f>
        <v>TT-00110.</v>
      </c>
      <c r="G171" s="33"/>
      <c r="H171" s="23" t="s">
        <v>29</v>
      </c>
      <c r="I171" s="41">
        <v>7250</v>
      </c>
      <c r="J171" s="35">
        <f>VLOOKUP(I171,Наценка!$A$1:$B$8,2,1)</f>
        <v>1.4</v>
      </c>
      <c r="K171" s="39">
        <f t="shared" si="53"/>
        <v>10150</v>
      </c>
      <c r="L171" s="20">
        <f t="shared" si="54"/>
        <v>10190</v>
      </c>
      <c r="M171" s="33">
        <f>VLOOKUP($A171,'Выгр Кат'!$A:$R,M$1,0)</f>
        <v>7250</v>
      </c>
      <c r="N171" s="33">
        <f>VLOOKUP($A171,'Выгр Кат'!$A:$R,N$1,0)</f>
        <v>10190</v>
      </c>
      <c r="O171" s="17">
        <f t="shared" si="55"/>
        <v>0</v>
      </c>
      <c r="P171" s="17">
        <f t="shared" si="56"/>
        <v>0</v>
      </c>
      <c r="Q171" s="18">
        <f t="shared" si="57"/>
        <v>9476.6999999999989</v>
      </c>
      <c r="R171" s="42" t="str">
        <f>IFERROR((VLOOKUP($A171,'Из ГУГЛа'!$B:$G,6,0)+T171)*S171,VLOOKUP($A171,'Из ГУГЛа'!$B:$G,6,0))</f>
        <v/>
      </c>
      <c r="S171" s="7">
        <v>1</v>
      </c>
      <c r="T171" s="7">
        <v>0</v>
      </c>
      <c r="U171" s="37">
        <f t="shared" si="58"/>
        <v>0.30713103448275847</v>
      </c>
      <c r="V171" s="37" t="str">
        <f t="shared" si="59"/>
        <v/>
      </c>
      <c r="W171" s="37" t="str">
        <f t="shared" si="60"/>
        <v/>
      </c>
      <c r="X171" s="38" t="s">
        <v>521</v>
      </c>
    </row>
    <row r="172" spans="1:25" ht="60" x14ac:dyDescent="0.25">
      <c r="A172" s="33">
        <v>203650</v>
      </c>
      <c r="B172" s="33">
        <f>VLOOKUP($A172,'Выгр Кат'!$A:$R,B$1,0)</f>
        <v>23273</v>
      </c>
      <c r="C172" s="34" t="str">
        <f>VLOOKUP($A172,'Выгр Кат'!$A:$R,C$1,0)</f>
        <v>Резонатор "STT" под выпускной коллектор (1,6л, с гофрой, нержавеющая сталь) для ВАЗ 2110-2112</v>
      </c>
      <c r="D172" s="33" t="str">
        <f>VLOOKUP($A172,'Выгр Кат'!$A:$R,D$1,0)</f>
        <v>Y</v>
      </c>
      <c r="E172" s="33" t="str">
        <f>VLOOKUP($A172,'Выгр Кат'!$A:$R,E$1,0)</f>
        <v>1</v>
      </c>
      <c r="F172" s="33" t="str">
        <f>VLOOKUP($A172,'Выгр Кат'!$A:$R,F$1,0)</f>
        <v>TT-00120.</v>
      </c>
      <c r="G172" s="33"/>
      <c r="H172" s="23" t="s">
        <v>29</v>
      </c>
      <c r="I172" s="41">
        <v>7250</v>
      </c>
      <c r="J172" s="35">
        <f>VLOOKUP(I172,Наценка!$A$1:$B$8,2,1)</f>
        <v>1.4</v>
      </c>
      <c r="K172" s="39">
        <f t="shared" si="53"/>
        <v>10150</v>
      </c>
      <c r="L172" s="20">
        <f t="shared" si="54"/>
        <v>10190</v>
      </c>
      <c r="M172" s="33">
        <f>VLOOKUP($A172,'Выгр Кат'!$A:$R,M$1,0)</f>
        <v>7250</v>
      </c>
      <c r="N172" s="33">
        <f>VLOOKUP($A172,'Выгр Кат'!$A:$R,N$1,0)</f>
        <v>10190</v>
      </c>
      <c r="O172" s="17">
        <f t="shared" si="55"/>
        <v>0</v>
      </c>
      <c r="P172" s="17">
        <f t="shared" si="56"/>
        <v>0</v>
      </c>
      <c r="Q172" s="18">
        <f t="shared" si="57"/>
        <v>9476.6999999999989</v>
      </c>
      <c r="R172" s="42" t="str">
        <f>IFERROR((VLOOKUP($A172,'Из ГУГЛа'!$B:$G,6,0)+T172)*S172,VLOOKUP($A172,'Из ГУГЛа'!$B:$G,6,0))</f>
        <v/>
      </c>
      <c r="S172" s="7">
        <v>1</v>
      </c>
      <c r="T172" s="7">
        <v>0</v>
      </c>
      <c r="U172" s="37">
        <f t="shared" si="58"/>
        <v>0.30713103448275847</v>
      </c>
      <c r="V172" s="37" t="str">
        <f t="shared" si="59"/>
        <v/>
      </c>
      <c r="W172" s="37" t="str">
        <f t="shared" si="60"/>
        <v/>
      </c>
      <c r="X172" s="38" t="s">
        <v>521</v>
      </c>
    </row>
    <row r="173" spans="1:25" ht="45" x14ac:dyDescent="0.25">
      <c r="A173" s="33">
        <v>203642</v>
      </c>
      <c r="B173" s="33">
        <f>VLOOKUP($A173,'Выгр Кат'!$A:$R,B$1,0)</f>
        <v>23491</v>
      </c>
      <c r="C173" s="34" t="str">
        <f>VLOOKUP($A173,'Выгр Кат'!$A:$R,C$1,0)</f>
        <v>Резонатор "STT" (под выпускной коллектор "STT", нержавеющая сталь) для ВАЗ 2108-21099, 2113-2115</v>
      </c>
      <c r="D173" s="33" t="str">
        <f>VLOOKUP($A173,'Выгр Кат'!$A:$R,D$1,0)</f>
        <v>Y</v>
      </c>
      <c r="E173" s="33" t="str">
        <f>VLOOKUP($A173,'Выгр Кат'!$A:$R,E$1,0)</f>
        <v>1</v>
      </c>
      <c r="F173" s="33" t="str">
        <f>VLOOKUP($A173,'Выгр Кат'!$A:$R,F$1,0)</f>
        <v>ТТ-00109</v>
      </c>
      <c r="G173" s="33"/>
      <c r="H173" s="23" t="s">
        <v>29</v>
      </c>
      <c r="I173" s="41">
        <v>7350</v>
      </c>
      <c r="J173" s="35">
        <f>VLOOKUP(I173,Наценка!$A$1:$B$8,2,1)</f>
        <v>1.4</v>
      </c>
      <c r="K173" s="39">
        <f t="shared" si="53"/>
        <v>10290</v>
      </c>
      <c r="L173" s="20">
        <f t="shared" si="54"/>
        <v>10290</v>
      </c>
      <c r="M173" s="33">
        <f>VLOOKUP($A173,'Выгр Кат'!$A:$R,M$1,0)</f>
        <v>7350</v>
      </c>
      <c r="N173" s="33">
        <f>VLOOKUP($A173,'Выгр Кат'!$A:$R,N$1,0)</f>
        <v>10290</v>
      </c>
      <c r="O173" s="17">
        <f t="shared" si="55"/>
        <v>0</v>
      </c>
      <c r="P173" s="17">
        <f t="shared" si="56"/>
        <v>0</v>
      </c>
      <c r="Q173" s="18">
        <f t="shared" si="57"/>
        <v>9569.6999999999989</v>
      </c>
      <c r="R173" s="42" t="str">
        <f>IFERROR((VLOOKUP($A173,'Из ГУГЛа'!$B:$G,6,0)+T173)*S173,VLOOKUP($A173,'Из ГУГЛа'!$B:$G,6,0))</f>
        <v/>
      </c>
      <c r="S173" s="7">
        <v>1</v>
      </c>
      <c r="T173" s="7">
        <v>0</v>
      </c>
      <c r="U173" s="37">
        <f t="shared" si="58"/>
        <v>0.30199999999999982</v>
      </c>
      <c r="V173" s="37" t="str">
        <f t="shared" si="59"/>
        <v/>
      </c>
      <c r="W173" s="37" t="str">
        <f t="shared" si="60"/>
        <v/>
      </c>
      <c r="X173" s="38" t="s">
        <v>521</v>
      </c>
    </row>
    <row r="174" spans="1:25" ht="45" x14ac:dyDescent="0.25">
      <c r="A174" s="33">
        <v>203644</v>
      </c>
      <c r="B174" s="33">
        <f>VLOOKUP($A174,'Выгр Кат'!$A:$R,B$1,0)</f>
        <v>23275</v>
      </c>
      <c r="C174" s="34" t="str">
        <f>VLOOKUP($A174,'Выгр Кат'!$A:$R,C$1,0)</f>
        <v>Резонатор "STT" (под выпускной коллектор "STT", нержавеющая сталь) для Шевроле Нива</v>
      </c>
      <c r="D174" s="33" t="str">
        <f>VLOOKUP($A174,'Выгр Кат'!$A:$R,D$1,0)</f>
        <v>Y</v>
      </c>
      <c r="E174" s="33" t="str">
        <f>VLOOKUP($A174,'Выгр Кат'!$A:$R,E$1,0)</f>
        <v>1</v>
      </c>
      <c r="F174" s="33" t="str">
        <f>VLOOKUP($A174,'Выгр Кат'!$A:$R,F$1,0)</f>
        <v>ТТ-00320</v>
      </c>
      <c r="G174" s="33"/>
      <c r="H174" s="23" t="s">
        <v>29</v>
      </c>
      <c r="I174" s="41">
        <v>7450</v>
      </c>
      <c r="J174" s="35">
        <f>VLOOKUP(I174,Наценка!$A$1:$B$8,2,1)</f>
        <v>1.4</v>
      </c>
      <c r="K174" s="39">
        <f t="shared" si="53"/>
        <v>10430</v>
      </c>
      <c r="L174" s="20">
        <f t="shared" si="54"/>
        <v>10490</v>
      </c>
      <c r="M174" s="33">
        <f>VLOOKUP($A174,'Выгр Кат'!$A:$R,M$1,0)</f>
        <v>7450</v>
      </c>
      <c r="N174" s="33">
        <f>VLOOKUP($A174,'Выгр Кат'!$A:$R,N$1,0)</f>
        <v>10490</v>
      </c>
      <c r="O174" s="17">
        <f t="shared" si="55"/>
        <v>0</v>
      </c>
      <c r="P174" s="17">
        <f t="shared" si="56"/>
        <v>0</v>
      </c>
      <c r="Q174" s="18">
        <f t="shared" si="57"/>
        <v>9755.6999999999989</v>
      </c>
      <c r="R174" s="42" t="str">
        <f>IFERROR((VLOOKUP($A174,'Из ГУГЛа'!$B:$G,6,0)+T174)*S174,VLOOKUP($A174,'Из ГУГЛа'!$B:$G,6,0))</f>
        <v/>
      </c>
      <c r="S174" s="7">
        <v>1</v>
      </c>
      <c r="T174" s="7">
        <v>0</v>
      </c>
      <c r="U174" s="37">
        <f t="shared" si="58"/>
        <v>0.30948993288590598</v>
      </c>
      <c r="V174" s="37" t="str">
        <f t="shared" si="59"/>
        <v/>
      </c>
      <c r="W174" s="37" t="str">
        <f t="shared" si="60"/>
        <v/>
      </c>
      <c r="X174" s="38" t="s">
        <v>521</v>
      </c>
    </row>
    <row r="175" spans="1:25" ht="45" x14ac:dyDescent="0.25">
      <c r="A175" s="33">
        <v>140120</v>
      </c>
      <c r="B175" s="33">
        <f>VLOOKUP($A175,'Выгр Кат'!$A:$R,B$1,0)</f>
        <v>23210</v>
      </c>
      <c r="C175" s="34" t="str">
        <f>VLOOKUP($A175,'Выгр Кат'!$A:$R,C$1,0)</f>
        <v>Выпускной коллектор (паук) "STT" 4-2-1 (8V, нержавеющая сталь) для Лада Нива 4x4</v>
      </c>
      <c r="D175" s="33" t="str">
        <f>VLOOKUP($A175,'Выгр Кат'!$A:$R,D$1,0)</f>
        <v>Y</v>
      </c>
      <c r="E175" s="33" t="str">
        <f>VLOOKUP($A175,'Выгр Кат'!$A:$R,E$1,0)</f>
        <v>1</v>
      </c>
      <c r="F175" s="33" t="str">
        <f>VLOOKUP($A175,'Выгр Кат'!$A:$R,F$1,0)</f>
        <v>TT-00024.</v>
      </c>
      <c r="G175" s="33"/>
      <c r="H175" s="23" t="s">
        <v>29</v>
      </c>
      <c r="I175" s="41">
        <v>7500</v>
      </c>
      <c r="J175" s="35">
        <f>VLOOKUP(I175,Наценка!$A$1:$B$8,2,1)</f>
        <v>1.4</v>
      </c>
      <c r="K175" s="39">
        <f t="shared" si="53"/>
        <v>10500</v>
      </c>
      <c r="L175" s="20">
        <f t="shared" si="54"/>
        <v>10490</v>
      </c>
      <c r="M175" s="33">
        <f>VLOOKUP($A175,'Выгр Кат'!$A:$R,M$1,0)</f>
        <v>7500</v>
      </c>
      <c r="N175" s="33">
        <f>VLOOKUP($A175,'Выгр Кат'!$A:$R,N$1,0)</f>
        <v>10490</v>
      </c>
      <c r="O175" s="17">
        <f t="shared" si="55"/>
        <v>0</v>
      </c>
      <c r="P175" s="17">
        <f t="shared" si="56"/>
        <v>0</v>
      </c>
      <c r="Q175" s="18">
        <f t="shared" si="57"/>
        <v>9755.6999999999989</v>
      </c>
      <c r="R175" s="42" t="str">
        <f>IFERROR((VLOOKUP($A175,'Из ГУГЛа'!$B:$G,6,0)+T175)*S175,VLOOKUP($A175,'Из ГУГЛа'!$B:$G,6,0))</f>
        <v/>
      </c>
      <c r="S175" s="7">
        <v>1</v>
      </c>
      <c r="T175" s="7">
        <v>0</v>
      </c>
      <c r="U175" s="37">
        <f t="shared" si="58"/>
        <v>0.30075999999999992</v>
      </c>
      <c r="V175" s="37" t="str">
        <f t="shared" si="59"/>
        <v/>
      </c>
      <c r="W175" s="37" t="str">
        <f t="shared" si="60"/>
        <v/>
      </c>
      <c r="X175" s="38" t="s">
        <v>521</v>
      </c>
    </row>
    <row r="176" spans="1:25" ht="30" x14ac:dyDescent="0.25">
      <c r="A176" s="33">
        <v>141023</v>
      </c>
      <c r="B176" s="33">
        <f>VLOOKUP($A176,'Выгр Кат'!$A:$R,B$1,0)</f>
        <v>39118</v>
      </c>
      <c r="C176" s="34" t="str">
        <f>VLOOKUP($A176,'Выгр Кат'!$A:$R,C$1,0)</f>
        <v>Глушитель прямоточный, раздвоенный "STT" для Лада Веста</v>
      </c>
      <c r="D176" s="33" t="str">
        <f>VLOOKUP($A176,'Выгр Кат'!$A:$R,D$1,0)</f>
        <v>Y</v>
      </c>
      <c r="E176" s="33" t="str">
        <f>VLOOKUP($A176,'Выгр Кат'!$A:$R,E$1,0)</f>
        <v>1</v>
      </c>
      <c r="F176" s="33" t="str">
        <f>VLOOKUP($A176,'Выгр Кат'!$A:$R,F$1,0)</f>
        <v>ТТ-00394</v>
      </c>
      <c r="G176" s="33"/>
      <c r="H176" s="23" t="s">
        <v>29</v>
      </c>
      <c r="I176" s="41">
        <v>7500</v>
      </c>
      <c r="J176" s="35">
        <f>VLOOKUP(I176,Наценка!$A$1:$B$8,2,1)</f>
        <v>1.4</v>
      </c>
      <c r="K176" s="39">
        <f t="shared" si="53"/>
        <v>10500</v>
      </c>
      <c r="L176" s="20">
        <f t="shared" si="54"/>
        <v>10490</v>
      </c>
      <c r="M176" s="33">
        <f>VLOOKUP($A176,'Выгр Кат'!$A:$R,M$1,0)</f>
        <v>7500</v>
      </c>
      <c r="N176" s="33">
        <f>VLOOKUP($A176,'Выгр Кат'!$A:$R,N$1,0)</f>
        <v>10490</v>
      </c>
      <c r="O176" s="17">
        <f t="shared" si="55"/>
        <v>0</v>
      </c>
      <c r="P176" s="17">
        <f t="shared" si="56"/>
        <v>0</v>
      </c>
      <c r="Q176" s="18">
        <f t="shared" si="57"/>
        <v>9755.6999999999989</v>
      </c>
      <c r="R176" s="42" t="str">
        <f>IFERROR((VLOOKUP($A176,'Из ГУГЛа'!$B:$G,6,0)+T176)*S176,VLOOKUP($A176,'Из ГУГЛа'!$B:$G,6,0))</f>
        <v/>
      </c>
      <c r="S176" s="7">
        <v>1</v>
      </c>
      <c r="T176" s="7">
        <v>0</v>
      </c>
      <c r="U176" s="37">
        <f t="shared" si="58"/>
        <v>0.30075999999999992</v>
      </c>
      <c r="V176" s="37" t="str">
        <f t="shared" si="59"/>
        <v/>
      </c>
      <c r="W176" s="37" t="str">
        <f t="shared" si="60"/>
        <v/>
      </c>
      <c r="X176" s="38" t="s">
        <v>521</v>
      </c>
    </row>
    <row r="177" spans="1:25" ht="45" x14ac:dyDescent="0.25">
      <c r="A177" s="33">
        <v>140122</v>
      </c>
      <c r="B177" s="33">
        <f>VLOOKUP($A177,'Выгр Кат'!$A:$R,B$1,0)</f>
        <v>23197</v>
      </c>
      <c r="C177" s="34" t="str">
        <f>VLOOKUP($A177,'Выгр Кат'!$A:$R,C$1,0)</f>
        <v>Выпускной коллектор (паук) "STT" 4-2-1 (нержавеющая сталь) для Шевроле Нива</v>
      </c>
      <c r="D177" s="33" t="str">
        <f>VLOOKUP($A177,'Выгр Кат'!$A:$R,D$1,0)</f>
        <v>Y</v>
      </c>
      <c r="E177" s="33" t="str">
        <f>VLOOKUP($A177,'Выгр Кат'!$A:$R,E$1,0)</f>
        <v>1</v>
      </c>
      <c r="F177" s="33" t="str">
        <f>VLOOKUP($A177,'Выгр Кат'!$A:$R,F$1,0)</f>
        <v>ТТ-00227</v>
      </c>
      <c r="G177" s="33"/>
      <c r="H177" s="23" t="s">
        <v>29</v>
      </c>
      <c r="I177" s="41">
        <v>7900</v>
      </c>
      <c r="J177" s="35">
        <f>VLOOKUP(I177,Наценка!$A$1:$B$8,2,1)</f>
        <v>1.4</v>
      </c>
      <c r="K177" s="39">
        <f t="shared" si="53"/>
        <v>11060</v>
      </c>
      <c r="L177" s="20">
        <f t="shared" si="54"/>
        <v>11090</v>
      </c>
      <c r="M177" s="33">
        <f>VLOOKUP($A177,'Выгр Кат'!$A:$R,M$1,0)</f>
        <v>7900</v>
      </c>
      <c r="N177" s="33">
        <f>VLOOKUP($A177,'Выгр Кат'!$A:$R,N$1,0)</f>
        <v>11090</v>
      </c>
      <c r="O177" s="17">
        <f t="shared" si="55"/>
        <v>0</v>
      </c>
      <c r="P177" s="17">
        <f t="shared" si="56"/>
        <v>0</v>
      </c>
      <c r="Q177" s="18">
        <f t="shared" si="57"/>
        <v>10313.699999999999</v>
      </c>
      <c r="R177" s="42" t="str">
        <f>IFERROR((VLOOKUP($A177,'Из ГУГЛа'!$B:$G,6,0)+T177)*S177,VLOOKUP($A177,'Из ГУГЛа'!$B:$G,6,0))</f>
        <v/>
      </c>
      <c r="S177" s="7">
        <v>1</v>
      </c>
      <c r="T177" s="7">
        <v>0</v>
      </c>
      <c r="U177" s="37">
        <f t="shared" si="58"/>
        <v>0.3055316455696202</v>
      </c>
      <c r="V177" s="37" t="str">
        <f t="shared" si="59"/>
        <v/>
      </c>
      <c r="W177" s="37" t="str">
        <f t="shared" si="60"/>
        <v/>
      </c>
      <c r="X177" s="38" t="s">
        <v>521</v>
      </c>
    </row>
    <row r="178" spans="1:25" ht="60" x14ac:dyDescent="0.25">
      <c r="A178" s="33">
        <v>203651</v>
      </c>
      <c r="B178" s="33">
        <f>VLOOKUP($A178,'Выгр Кат'!$A:$R,B$1,0)</f>
        <v>41866</v>
      </c>
      <c r="C178" s="34" t="str">
        <f>VLOOKUP($A178,'Выгр Кат'!$A:$R,C$1,0)</f>
        <v>Резонатор "STT" под штатный катализатор (с гофрой, d51 мм, нержавейка) для Лада Гранта, Гранта FL</v>
      </c>
      <c r="D178" s="33" t="str">
        <f>VLOOKUP($A178,'Выгр Кат'!$A:$R,D$1,0)</f>
        <v>Y</v>
      </c>
      <c r="E178" s="33" t="str">
        <f>VLOOKUP($A178,'Выгр Кат'!$A:$R,E$1,0)</f>
        <v>1</v>
      </c>
      <c r="F178" s="33" t="str">
        <f>VLOOKUP($A178,'Выгр Кат'!$A:$R,F$1,0)</f>
        <v>TT-00370</v>
      </c>
      <c r="G178" s="33"/>
      <c r="H178" s="23" t="s">
        <v>29</v>
      </c>
      <c r="I178" s="41">
        <v>7900</v>
      </c>
      <c r="J178" s="35">
        <f>VLOOKUP(I178,Наценка!$A$1:$B$8,2,1)</f>
        <v>1.4</v>
      </c>
      <c r="K178" s="39">
        <f t="shared" si="53"/>
        <v>11060</v>
      </c>
      <c r="L178" s="20">
        <f t="shared" si="54"/>
        <v>11090</v>
      </c>
      <c r="M178" s="33">
        <f>VLOOKUP($A178,'Выгр Кат'!$A:$R,M$1,0)</f>
        <v>7900</v>
      </c>
      <c r="N178" s="33">
        <f>VLOOKUP($A178,'Выгр Кат'!$A:$R,N$1,0)</f>
        <v>11090</v>
      </c>
      <c r="O178" s="17">
        <f t="shared" si="55"/>
        <v>0</v>
      </c>
      <c r="P178" s="17">
        <f t="shared" si="56"/>
        <v>0</v>
      </c>
      <c r="Q178" s="18">
        <f t="shared" si="57"/>
        <v>10313.699999999999</v>
      </c>
      <c r="R178" s="42" t="str">
        <f>IFERROR((VLOOKUP($A178,'Из ГУГЛа'!$B:$G,6,0)+T178)*S178,VLOOKUP($A178,'Из ГУГЛа'!$B:$G,6,0))</f>
        <v/>
      </c>
      <c r="S178" s="7">
        <v>1</v>
      </c>
      <c r="T178" s="7">
        <v>0</v>
      </c>
      <c r="U178" s="37">
        <f t="shared" si="58"/>
        <v>0.3055316455696202</v>
      </c>
      <c r="V178" s="37" t="str">
        <f t="shared" si="59"/>
        <v/>
      </c>
      <c r="W178" s="37" t="str">
        <f t="shared" si="60"/>
        <v/>
      </c>
      <c r="X178" s="38" t="s">
        <v>521</v>
      </c>
    </row>
    <row r="179" spans="1:25" ht="45" x14ac:dyDescent="0.25">
      <c r="A179" s="33">
        <v>203654</v>
      </c>
      <c r="B179" s="33">
        <f>VLOOKUP($A179,'Выгр Кат'!$A:$R,B$1,0)</f>
        <v>23498</v>
      </c>
      <c r="C179" s="34" t="str">
        <f>VLOOKUP($A179,'Выгр Кат'!$A:$R,C$1,0)</f>
        <v>Резонатор "STT" прямоточный (d51, нержавеющая сталь, штатная установка) для Лада Веста (16V, 1,6 л)</v>
      </c>
      <c r="D179" s="33" t="str">
        <f>VLOOKUP($A179,'Выгр Кат'!$A:$R,D$1,0)</f>
        <v>Y</v>
      </c>
      <c r="E179" s="33" t="str">
        <f>VLOOKUP($A179,'Выгр Кат'!$A:$R,E$1,0)</f>
        <v>1</v>
      </c>
      <c r="F179" s="33" t="str">
        <f>VLOOKUP($A179,'Выгр Кат'!$A:$R,F$1,0)</f>
        <v>ТТ-00300</v>
      </c>
      <c r="G179" s="33"/>
      <c r="H179" s="23" t="s">
        <v>29</v>
      </c>
      <c r="I179" s="41">
        <v>8000</v>
      </c>
      <c r="J179" s="35">
        <f>VLOOKUP(I179,Наценка!$A$1:$B$8,2,1)</f>
        <v>1.4</v>
      </c>
      <c r="K179" s="46">
        <f>X179-100</f>
        <v>12490</v>
      </c>
      <c r="L179" s="20">
        <f t="shared" si="54"/>
        <v>12490</v>
      </c>
      <c r="M179" s="33">
        <f>VLOOKUP($A179,'Выгр Кат'!$A:$R,M$1,0)</f>
        <v>8000</v>
      </c>
      <c r="N179" s="33">
        <f>VLOOKUP($A179,'Выгр Кат'!$A:$R,N$1,0)</f>
        <v>11190</v>
      </c>
      <c r="O179" s="17">
        <f t="shared" si="55"/>
        <v>0</v>
      </c>
      <c r="P179" s="17">
        <f t="shared" si="56"/>
        <v>-1300</v>
      </c>
      <c r="Q179" s="18">
        <f t="shared" si="57"/>
        <v>11615.699999999999</v>
      </c>
      <c r="R179" s="42">
        <f>IFERROR((VLOOKUP($A179,'Из ГУГЛа'!$B:$G,6,0)+T179)*S179,VLOOKUP($A179,'Из ГУГЛа'!$B:$G,6,0))</f>
        <v>12590</v>
      </c>
      <c r="S179" s="7">
        <v>1</v>
      </c>
      <c r="T179" s="7">
        <v>0</v>
      </c>
      <c r="U179" s="37">
        <f t="shared" si="58"/>
        <v>0.45196249999999982</v>
      </c>
      <c r="V179" s="37">
        <f t="shared" si="59"/>
        <v>7.7386814932486184E-2</v>
      </c>
      <c r="W179" s="37">
        <f t="shared" si="60"/>
        <v>0.57374999999999998</v>
      </c>
      <c r="X179" s="38">
        <v>12590</v>
      </c>
      <c r="Y179" s="26" t="s">
        <v>522</v>
      </c>
    </row>
    <row r="180" spans="1:25" x14ac:dyDescent="0.25">
      <c r="A180" s="33">
        <v>144121</v>
      </c>
      <c r="B180" s="33">
        <f>VLOOKUP($A180,'Выгр Кат'!$A:$R,B$1,0)</f>
        <v>15393</v>
      </c>
      <c r="C180" s="34" t="str">
        <f>VLOOKUP($A180,'Выгр Кат'!$A:$R,C$1,0)</f>
        <v>Диск сцепления "Art-Perform" (184 мм)</v>
      </c>
      <c r="D180" s="33" t="str">
        <f>VLOOKUP($A180,'Выгр Кат'!$A:$R,D$1,0)</f>
        <v>Y</v>
      </c>
      <c r="E180" s="33" t="str">
        <f>VLOOKUP($A180,'Выгр Кат'!$A:$R,E$1,0)</f>
        <v>0</v>
      </c>
      <c r="F180" s="33" t="str">
        <f>VLOOKUP($A180,'Выгр Кат'!$A:$R,F$1,0)</f>
        <v>AP RacingArt-Perform 184724-20201225 "184мм"</v>
      </c>
      <c r="G180" s="33"/>
      <c r="H180" s="23" t="s">
        <v>29</v>
      </c>
      <c r="I180" s="41">
        <v>11900</v>
      </c>
      <c r="J180" s="35">
        <f>VLOOKUP(I180,Наценка!$A$1:$B$8,2,1)</f>
        <v>1.4</v>
      </c>
      <c r="K180" s="39">
        <f t="shared" si="53"/>
        <v>16660</v>
      </c>
      <c r="L180" s="20">
        <f t="shared" si="54"/>
        <v>16690</v>
      </c>
      <c r="M180" s="33">
        <f>VLOOKUP($A180,'Выгр Кат'!$A:$R,M$1,0)</f>
        <v>11900</v>
      </c>
      <c r="N180" s="33">
        <f>VLOOKUP($A180,'Выгр Кат'!$A:$R,N$1,0)</f>
        <v>16690</v>
      </c>
      <c r="O180" s="17">
        <f t="shared" si="55"/>
        <v>0</v>
      </c>
      <c r="P180" s="17">
        <f t="shared" si="56"/>
        <v>0</v>
      </c>
      <c r="Q180" s="18">
        <f t="shared" si="57"/>
        <v>15521.699999999999</v>
      </c>
      <c r="R180" s="42" t="str">
        <f>IFERROR((VLOOKUP($A180,'Из ГУГЛа'!$B:$G,6,0)+T180)*S180,VLOOKUP($A180,'Из ГУГЛа'!$B:$G,6,0))</f>
        <v/>
      </c>
      <c r="S180" s="7">
        <v>1</v>
      </c>
      <c r="T180" s="7">
        <v>0</v>
      </c>
      <c r="U180" s="37">
        <f t="shared" si="58"/>
        <v>0.30434453781512594</v>
      </c>
      <c r="V180" s="37" t="str">
        <f t="shared" si="59"/>
        <v/>
      </c>
      <c r="W180" s="37" t="str">
        <f t="shared" si="60"/>
        <v/>
      </c>
      <c r="X180" s="38" t="s">
        <v>521</v>
      </c>
    </row>
    <row r="181" spans="1:25" x14ac:dyDescent="0.25">
      <c r="A181" s="33">
        <v>144122</v>
      </c>
      <c r="B181" s="33">
        <f>VLOOKUP($A181,'Выгр Кат'!$A:$R,B$1,0)</f>
        <v>15392</v>
      </c>
      <c r="C181" s="34" t="str">
        <f>VLOOKUP($A181,'Выгр Кат'!$A:$R,C$1,0)</f>
        <v>Диск сцепления "Art-Perform" (184 мм)</v>
      </c>
      <c r="D181" s="33" t="str">
        <f>VLOOKUP($A181,'Выгр Кат'!$A:$R,D$1,0)</f>
        <v>Y</v>
      </c>
      <c r="E181" s="33" t="str">
        <f>VLOOKUP($A181,'Выгр Кат'!$A:$R,E$1,0)</f>
        <v>0</v>
      </c>
      <c r="F181" s="33" t="str">
        <f>VLOOKUP($A181,'Выгр Кат'!$A:$R,F$1,0)</f>
        <v>Sachs RacingArt-Perform 184784-20201225 "184мм"</v>
      </c>
      <c r="G181" s="33"/>
      <c r="H181" s="23" t="s">
        <v>29</v>
      </c>
      <c r="I181" s="41">
        <v>11900</v>
      </c>
      <c r="J181" s="35">
        <f>VLOOKUP(I181,Наценка!$A$1:$B$8,2,1)</f>
        <v>1.4</v>
      </c>
      <c r="K181" s="39">
        <f t="shared" si="53"/>
        <v>16660</v>
      </c>
      <c r="L181" s="20">
        <f t="shared" si="54"/>
        <v>16690</v>
      </c>
      <c r="M181" s="33">
        <f>VLOOKUP($A181,'Выгр Кат'!$A:$R,M$1,0)</f>
        <v>11900</v>
      </c>
      <c r="N181" s="33">
        <f>VLOOKUP($A181,'Выгр Кат'!$A:$R,N$1,0)</f>
        <v>16690</v>
      </c>
      <c r="O181" s="17">
        <f t="shared" si="55"/>
        <v>0</v>
      </c>
      <c r="P181" s="17">
        <f t="shared" si="56"/>
        <v>0</v>
      </c>
      <c r="Q181" s="18">
        <f t="shared" si="57"/>
        <v>15521.699999999999</v>
      </c>
      <c r="R181" s="42" t="str">
        <f>IFERROR((VLOOKUP($A181,'Из ГУГЛа'!$B:$G,6,0)+T181)*S181,VLOOKUP($A181,'Из ГУГЛа'!$B:$G,6,0))</f>
        <v/>
      </c>
      <c r="S181" s="7">
        <v>1</v>
      </c>
      <c r="T181" s="7">
        <v>0</v>
      </c>
      <c r="U181" s="37">
        <f t="shared" si="58"/>
        <v>0.30434453781512594</v>
      </c>
      <c r="V181" s="37" t="str">
        <f t="shared" si="59"/>
        <v/>
      </c>
      <c r="W181" s="37" t="str">
        <f t="shared" si="60"/>
        <v/>
      </c>
      <c r="X181" s="38" t="s">
        <v>521</v>
      </c>
    </row>
    <row r="182" spans="1:25" ht="30" x14ac:dyDescent="0.25">
      <c r="A182" s="33">
        <v>144126</v>
      </c>
      <c r="B182" s="33">
        <f>VLOOKUP($A182,'Выгр Кат'!$A:$R,B$1,0)</f>
        <v>15381</v>
      </c>
      <c r="C182" s="34" t="str">
        <f>VLOOKUP($A182,'Выгр Кат'!$A:$R,C$1,0)</f>
        <v>Диск сцепления "Art-Perform" для ВАЗ (2101-2107, 2110, 2112), Лада Нива 4х4</v>
      </c>
      <c r="D182" s="33" t="str">
        <f>VLOOKUP($A182,'Выгр Кат'!$A:$R,D$1,0)</f>
        <v>Y</v>
      </c>
      <c r="E182" s="33" t="str">
        <f>VLOOKUP($A182,'Выгр Кат'!$A:$R,E$1,0)</f>
        <v>0</v>
      </c>
      <c r="F182" s="33" t="str">
        <f>VLOOKUP($A182,'Выгр Кат'!$A:$R,F$1,0)</f>
        <v>200763-20201225</v>
      </c>
      <c r="G182" s="33"/>
      <c r="H182" s="23" t="s">
        <v>29</v>
      </c>
      <c r="I182" s="41">
        <v>11900</v>
      </c>
      <c r="J182" s="35">
        <f>VLOOKUP(I182,Наценка!$A$1:$B$8,2,1)</f>
        <v>1.4</v>
      </c>
      <c r="K182" s="39">
        <f t="shared" si="53"/>
        <v>16660</v>
      </c>
      <c r="L182" s="20">
        <f t="shared" si="54"/>
        <v>16690</v>
      </c>
      <c r="M182" s="33">
        <f>VLOOKUP($A182,'Выгр Кат'!$A:$R,M$1,0)</f>
        <v>11900</v>
      </c>
      <c r="N182" s="33">
        <f>VLOOKUP($A182,'Выгр Кат'!$A:$R,N$1,0)</f>
        <v>16690</v>
      </c>
      <c r="O182" s="17">
        <f t="shared" si="55"/>
        <v>0</v>
      </c>
      <c r="P182" s="17">
        <f t="shared" si="56"/>
        <v>0</v>
      </c>
      <c r="Q182" s="18">
        <f t="shared" si="57"/>
        <v>15521.699999999999</v>
      </c>
      <c r="R182" s="42" t="str">
        <f>IFERROR((VLOOKUP($A182,'Из ГУГЛа'!$B:$G,6,0)+T182)*S182,VLOOKUP($A182,'Из ГУГЛа'!$B:$G,6,0))</f>
        <v/>
      </c>
      <c r="S182" s="7">
        <v>1</v>
      </c>
      <c r="T182" s="7">
        <v>0</v>
      </c>
      <c r="U182" s="37">
        <f t="shared" si="58"/>
        <v>0.30434453781512594</v>
      </c>
      <c r="V182" s="37" t="str">
        <f t="shared" si="59"/>
        <v/>
      </c>
      <c r="W182" s="37" t="str">
        <f t="shared" si="60"/>
        <v/>
      </c>
      <c r="X182" s="38" t="s">
        <v>521</v>
      </c>
    </row>
    <row r="183" spans="1:25" ht="30" x14ac:dyDescent="0.25">
      <c r="A183" s="33">
        <v>144127</v>
      </c>
      <c r="B183" s="33">
        <f>VLOOKUP($A183,'Выгр Кат'!$A:$R,B$1,0)</f>
        <v>15382</v>
      </c>
      <c r="C183" s="34" t="str">
        <f>VLOOKUP($A183,'Выгр Кат'!$A:$R,C$1,0)</f>
        <v>Диск сцепления "Art-Perform" для ВАЗ (2101-2107, 2110, 2112), Лада Нива 4х4</v>
      </c>
      <c r="D183" s="33" t="str">
        <f>VLOOKUP($A183,'Выгр Кат'!$A:$R,D$1,0)</f>
        <v>Y</v>
      </c>
      <c r="E183" s="33" t="str">
        <f>VLOOKUP($A183,'Выгр Кат'!$A:$R,E$1,0)</f>
        <v>0</v>
      </c>
      <c r="F183" s="33" t="str">
        <f>VLOOKUP($A183,'Выгр Кат'!$A:$R,F$1,0)</f>
        <v>200764-20201225</v>
      </c>
      <c r="G183" s="33"/>
      <c r="H183" s="23" t="s">
        <v>29</v>
      </c>
      <c r="I183" s="41">
        <v>11900</v>
      </c>
      <c r="J183" s="35">
        <f>VLOOKUP(I183,Наценка!$A$1:$B$8,2,1)</f>
        <v>1.4</v>
      </c>
      <c r="K183" s="39">
        <f t="shared" si="53"/>
        <v>16660</v>
      </c>
      <c r="L183" s="20">
        <f t="shared" si="54"/>
        <v>16690</v>
      </c>
      <c r="M183" s="33">
        <f>VLOOKUP($A183,'Выгр Кат'!$A:$R,M$1,0)</f>
        <v>11900</v>
      </c>
      <c r="N183" s="33">
        <f>VLOOKUP($A183,'Выгр Кат'!$A:$R,N$1,0)</f>
        <v>16690</v>
      </c>
      <c r="O183" s="17">
        <f t="shared" si="55"/>
        <v>0</v>
      </c>
      <c r="P183" s="17">
        <f t="shared" si="56"/>
        <v>0</v>
      </c>
      <c r="Q183" s="18">
        <f t="shared" si="57"/>
        <v>15521.699999999999</v>
      </c>
      <c r="R183" s="42" t="str">
        <f>IFERROR((VLOOKUP($A183,'Из ГУГЛа'!$B:$G,6,0)+T183)*S183,VLOOKUP($A183,'Из ГУГЛа'!$B:$G,6,0))</f>
        <v/>
      </c>
      <c r="S183" s="7">
        <v>1</v>
      </c>
      <c r="T183" s="7">
        <v>0</v>
      </c>
      <c r="U183" s="37">
        <f t="shared" si="58"/>
        <v>0.30434453781512594</v>
      </c>
      <c r="V183" s="37" t="str">
        <f t="shared" si="59"/>
        <v/>
      </c>
      <c r="W183" s="37" t="str">
        <f t="shared" si="60"/>
        <v/>
      </c>
      <c r="X183" s="38" t="s">
        <v>521</v>
      </c>
    </row>
    <row r="184" spans="1:25" ht="30" x14ac:dyDescent="0.25">
      <c r="A184" s="33">
        <v>144128</v>
      </c>
      <c r="B184" s="33">
        <f>VLOOKUP($A184,'Выгр Кат'!$A:$R,B$1,0)</f>
        <v>15383</v>
      </c>
      <c r="C184" s="34" t="str">
        <f>VLOOKUP($A184,'Выгр Кат'!$A:$R,C$1,0)</f>
        <v>Диск сцепления "Art-Perform" для ВАЗ (2101-2107, 2110, 2112), Лада Нива 4х4</v>
      </c>
      <c r="D184" s="33" t="str">
        <f>VLOOKUP($A184,'Выгр Кат'!$A:$R,D$1,0)</f>
        <v>Y</v>
      </c>
      <c r="E184" s="33" t="str">
        <f>VLOOKUP($A184,'Выгр Кат'!$A:$R,E$1,0)</f>
        <v>0</v>
      </c>
      <c r="F184" s="33" t="str">
        <f>VLOOKUP($A184,'Выгр Кат'!$A:$R,F$1,0)</f>
        <v>200765-20201225</v>
      </c>
      <c r="G184" s="33"/>
      <c r="H184" s="23" t="s">
        <v>29</v>
      </c>
      <c r="I184" s="41">
        <v>11900</v>
      </c>
      <c r="J184" s="35">
        <f>VLOOKUP(I184,Наценка!$A$1:$B$8,2,1)</f>
        <v>1.4</v>
      </c>
      <c r="K184" s="39">
        <f t="shared" si="53"/>
        <v>16660</v>
      </c>
      <c r="L184" s="20">
        <f t="shared" si="54"/>
        <v>16690</v>
      </c>
      <c r="M184" s="33">
        <f>VLOOKUP($A184,'Выгр Кат'!$A:$R,M$1,0)</f>
        <v>11900</v>
      </c>
      <c r="N184" s="33">
        <f>VLOOKUP($A184,'Выгр Кат'!$A:$R,N$1,0)</f>
        <v>16690</v>
      </c>
      <c r="O184" s="17">
        <f t="shared" si="55"/>
        <v>0</v>
      </c>
      <c r="P184" s="17">
        <f t="shared" si="56"/>
        <v>0</v>
      </c>
      <c r="Q184" s="18">
        <f t="shared" si="57"/>
        <v>15521.699999999999</v>
      </c>
      <c r="R184" s="42" t="str">
        <f>IFERROR((VLOOKUP($A184,'Из ГУГЛа'!$B:$G,6,0)+T184)*S184,VLOOKUP($A184,'Из ГУГЛа'!$B:$G,6,0))</f>
        <v/>
      </c>
      <c r="S184" s="7">
        <v>1</v>
      </c>
      <c r="T184" s="7">
        <v>0</v>
      </c>
      <c r="U184" s="37">
        <f t="shared" si="58"/>
        <v>0.30434453781512594</v>
      </c>
      <c r="V184" s="37" t="str">
        <f t="shared" si="59"/>
        <v/>
      </c>
      <c r="W184" s="37" t="str">
        <f t="shared" si="60"/>
        <v/>
      </c>
      <c r="X184" s="38" t="s">
        <v>521</v>
      </c>
    </row>
    <row r="185" spans="1:25" ht="30" x14ac:dyDescent="0.25">
      <c r="A185" s="33">
        <v>144129</v>
      </c>
      <c r="B185" s="33">
        <f>VLOOKUP($A185,'Выгр Кат'!$A:$R,B$1,0)</f>
        <v>15385</v>
      </c>
      <c r="C185" s="34" t="str">
        <f>VLOOKUP($A185,'Выгр Кат'!$A:$R,C$1,0)</f>
        <v>Диск сцепления "Art-Perform" для ВАЗ (2101-2107, 2110, 2112), Лада Нива 4х4</v>
      </c>
      <c r="D185" s="33" t="str">
        <f>VLOOKUP($A185,'Выгр Кат'!$A:$R,D$1,0)</f>
        <v>Y</v>
      </c>
      <c r="E185" s="33" t="str">
        <f>VLOOKUP($A185,'Выгр Кат'!$A:$R,E$1,0)</f>
        <v>0</v>
      </c>
      <c r="F185" s="33" t="str">
        <f>VLOOKUP($A185,'Выгр Кат'!$A:$R,F$1,0)</f>
        <v>200766-20201225</v>
      </c>
      <c r="G185" s="33"/>
      <c r="H185" s="23" t="s">
        <v>29</v>
      </c>
      <c r="I185" s="41">
        <v>11900</v>
      </c>
      <c r="J185" s="35">
        <f>VLOOKUP(I185,Наценка!$A$1:$B$8,2,1)</f>
        <v>1.4</v>
      </c>
      <c r="K185" s="39">
        <f t="shared" si="53"/>
        <v>16660</v>
      </c>
      <c r="L185" s="20">
        <f t="shared" si="54"/>
        <v>16690</v>
      </c>
      <c r="M185" s="33">
        <f>VLOOKUP($A185,'Выгр Кат'!$A:$R,M$1,0)</f>
        <v>11900</v>
      </c>
      <c r="N185" s="33">
        <f>VLOOKUP($A185,'Выгр Кат'!$A:$R,N$1,0)</f>
        <v>16690</v>
      </c>
      <c r="O185" s="17">
        <f t="shared" si="55"/>
        <v>0</v>
      </c>
      <c r="P185" s="17">
        <f t="shared" si="56"/>
        <v>0</v>
      </c>
      <c r="Q185" s="18">
        <f t="shared" si="57"/>
        <v>15521.699999999999</v>
      </c>
      <c r="R185" s="42" t="str">
        <f>IFERROR((VLOOKUP($A185,'Из ГУГЛа'!$B:$G,6,0)+T185)*S185,VLOOKUP($A185,'Из ГУГЛа'!$B:$G,6,0))</f>
        <v/>
      </c>
      <c r="S185" s="7">
        <v>1</v>
      </c>
      <c r="T185" s="7">
        <v>0</v>
      </c>
      <c r="U185" s="37">
        <f t="shared" si="58"/>
        <v>0.30434453781512594</v>
      </c>
      <c r="V185" s="37" t="str">
        <f t="shared" si="59"/>
        <v/>
      </c>
      <c r="W185" s="37" t="str">
        <f t="shared" si="60"/>
        <v/>
      </c>
      <c r="X185" s="38" t="s">
        <v>521</v>
      </c>
    </row>
    <row r="186" spans="1:25" ht="30" x14ac:dyDescent="0.25">
      <c r="A186" s="33">
        <v>144123</v>
      </c>
      <c r="B186" s="33">
        <f>VLOOKUP($A186,'Выгр Кат'!$A:$R,B$1,0)</f>
        <v>15389</v>
      </c>
      <c r="C186" s="34" t="str">
        <f>VLOOKUP($A186,'Выгр Кат'!$A:$R,C$1,0)</f>
        <v>Диск сцепления "Art-Perform" для ВАЗ 2108-21099, 2113-2115</v>
      </c>
      <c r="D186" s="33" t="str">
        <f>VLOOKUP($A186,'Выгр Кат'!$A:$R,D$1,0)</f>
        <v>Y</v>
      </c>
      <c r="E186" s="33" t="str">
        <f>VLOOKUP($A186,'Выгр Кат'!$A:$R,E$1,0)</f>
        <v>0</v>
      </c>
      <c r="F186" s="33" t="str">
        <f>VLOOKUP($A186,'Выгр Кат'!$A:$R,F$1,0)</f>
        <v>190763-20201225</v>
      </c>
      <c r="G186" s="33"/>
      <c r="H186" s="23" t="s">
        <v>29</v>
      </c>
      <c r="I186" s="41">
        <v>11900</v>
      </c>
      <c r="J186" s="35">
        <f>VLOOKUP(I186,Наценка!$A$1:$B$8,2,1)</f>
        <v>1.4</v>
      </c>
      <c r="K186" s="39">
        <f t="shared" si="53"/>
        <v>16660</v>
      </c>
      <c r="L186" s="20">
        <f t="shared" si="54"/>
        <v>16690</v>
      </c>
      <c r="M186" s="33">
        <f>VLOOKUP($A186,'Выгр Кат'!$A:$R,M$1,0)</f>
        <v>11900</v>
      </c>
      <c r="N186" s="33">
        <f>VLOOKUP($A186,'Выгр Кат'!$A:$R,N$1,0)</f>
        <v>16690</v>
      </c>
      <c r="O186" s="17">
        <f t="shared" si="55"/>
        <v>0</v>
      </c>
      <c r="P186" s="17">
        <f t="shared" si="56"/>
        <v>0</v>
      </c>
      <c r="Q186" s="18">
        <f t="shared" si="57"/>
        <v>15521.699999999999</v>
      </c>
      <c r="R186" s="42" t="str">
        <f>IFERROR((VLOOKUP($A186,'Из ГУГЛа'!$B:$G,6,0)+T186)*S186,VLOOKUP($A186,'Из ГУГЛа'!$B:$G,6,0))</f>
        <v/>
      </c>
      <c r="S186" s="7">
        <v>1</v>
      </c>
      <c r="T186" s="7">
        <v>0</v>
      </c>
      <c r="U186" s="37">
        <f t="shared" si="58"/>
        <v>0.30434453781512594</v>
      </c>
      <c r="V186" s="37" t="str">
        <f t="shared" si="59"/>
        <v/>
      </c>
      <c r="W186" s="37" t="str">
        <f t="shared" si="60"/>
        <v/>
      </c>
      <c r="X186" s="38" t="s">
        <v>521</v>
      </c>
    </row>
    <row r="187" spans="1:25" ht="30" x14ac:dyDescent="0.25">
      <c r="A187" s="33">
        <v>144124</v>
      </c>
      <c r="B187" s="33">
        <f>VLOOKUP($A187,'Выгр Кат'!$A:$R,B$1,0)</f>
        <v>15390</v>
      </c>
      <c r="C187" s="34" t="str">
        <f>VLOOKUP($A187,'Выгр Кат'!$A:$R,C$1,0)</f>
        <v>Диск сцепления "Art-Perform" для ВАЗ 2108-21099, 2113-2115</v>
      </c>
      <c r="D187" s="33" t="str">
        <f>VLOOKUP($A187,'Выгр Кат'!$A:$R,D$1,0)</f>
        <v>Y</v>
      </c>
      <c r="E187" s="33" t="str">
        <f>VLOOKUP($A187,'Выгр Кат'!$A:$R,E$1,0)</f>
        <v>0</v>
      </c>
      <c r="F187" s="33" t="str">
        <f>VLOOKUP($A187,'Выгр Кат'!$A:$R,F$1,0)</f>
        <v>190764-20201225</v>
      </c>
      <c r="G187" s="33"/>
      <c r="H187" s="23" t="s">
        <v>29</v>
      </c>
      <c r="I187" s="41">
        <v>11900</v>
      </c>
      <c r="J187" s="35">
        <f>VLOOKUP(I187,Наценка!$A$1:$B$8,2,1)</f>
        <v>1.4</v>
      </c>
      <c r="K187" s="39">
        <f t="shared" si="53"/>
        <v>16660</v>
      </c>
      <c r="L187" s="20">
        <f t="shared" si="54"/>
        <v>16690</v>
      </c>
      <c r="M187" s="33">
        <f>VLOOKUP($A187,'Выгр Кат'!$A:$R,M$1,0)</f>
        <v>11900</v>
      </c>
      <c r="N187" s="33">
        <f>VLOOKUP($A187,'Выгр Кат'!$A:$R,N$1,0)</f>
        <v>16690</v>
      </c>
      <c r="O187" s="17">
        <f t="shared" si="55"/>
        <v>0</v>
      </c>
      <c r="P187" s="17">
        <f t="shared" si="56"/>
        <v>0</v>
      </c>
      <c r="Q187" s="18">
        <f t="shared" si="57"/>
        <v>15521.699999999999</v>
      </c>
      <c r="R187" s="42" t="str">
        <f>IFERROR((VLOOKUP($A187,'Из ГУГЛа'!$B:$G,6,0)+T187)*S187,VLOOKUP($A187,'Из ГУГЛа'!$B:$G,6,0))</f>
        <v/>
      </c>
      <c r="S187" s="7">
        <v>1</v>
      </c>
      <c r="T187" s="7">
        <v>0</v>
      </c>
      <c r="U187" s="37">
        <f t="shared" si="58"/>
        <v>0.30434453781512594</v>
      </c>
      <c r="V187" s="37" t="str">
        <f t="shared" si="59"/>
        <v/>
      </c>
      <c r="W187" s="37" t="str">
        <f t="shared" si="60"/>
        <v/>
      </c>
      <c r="X187" s="38" t="s">
        <v>521</v>
      </c>
    </row>
    <row r="188" spans="1:25" ht="30" x14ac:dyDescent="0.25">
      <c r="A188" s="33">
        <v>144125</v>
      </c>
      <c r="B188" s="33">
        <f>VLOOKUP($A188,'Выгр Кат'!$A:$R,B$1,0)</f>
        <v>15391</v>
      </c>
      <c r="C188" s="34" t="str">
        <f>VLOOKUP($A188,'Выгр Кат'!$A:$R,C$1,0)</f>
        <v>Диск сцепления "Art-Perform" для ВАЗ 2108-21099, 2113-2115</v>
      </c>
      <c r="D188" s="33" t="str">
        <f>VLOOKUP($A188,'Выгр Кат'!$A:$R,D$1,0)</f>
        <v>Y</v>
      </c>
      <c r="E188" s="33" t="str">
        <f>VLOOKUP($A188,'Выгр Кат'!$A:$R,E$1,0)</f>
        <v>0</v>
      </c>
      <c r="F188" s="33" t="str">
        <f>VLOOKUP($A188,'Выгр Кат'!$A:$R,F$1,0)</f>
        <v>190766-20201225</v>
      </c>
      <c r="G188" s="33"/>
      <c r="H188" s="23" t="s">
        <v>29</v>
      </c>
      <c r="I188" s="41">
        <v>11900</v>
      </c>
      <c r="J188" s="35">
        <f>VLOOKUP(I188,Наценка!$A$1:$B$8,2,1)</f>
        <v>1.4</v>
      </c>
      <c r="K188" s="39">
        <f t="shared" si="53"/>
        <v>16660</v>
      </c>
      <c r="L188" s="20">
        <f t="shared" si="54"/>
        <v>16690</v>
      </c>
      <c r="M188" s="33">
        <f>VLOOKUP($A188,'Выгр Кат'!$A:$R,M$1,0)</f>
        <v>11900</v>
      </c>
      <c r="N188" s="33">
        <f>VLOOKUP($A188,'Выгр Кат'!$A:$R,N$1,0)</f>
        <v>16690</v>
      </c>
      <c r="O188" s="17">
        <f t="shared" si="55"/>
        <v>0</v>
      </c>
      <c r="P188" s="17">
        <f t="shared" si="56"/>
        <v>0</v>
      </c>
      <c r="Q188" s="18">
        <f t="shared" si="57"/>
        <v>15521.699999999999</v>
      </c>
      <c r="R188" s="42" t="str">
        <f>IFERROR((VLOOKUP($A188,'Из ГУГЛа'!$B:$G,6,0)+T188)*S188,VLOOKUP($A188,'Из ГУГЛа'!$B:$G,6,0))</f>
        <v/>
      </c>
      <c r="S188" s="7">
        <v>1</v>
      </c>
      <c r="T188" s="7">
        <v>0</v>
      </c>
      <c r="U188" s="37">
        <f t="shared" si="58"/>
        <v>0.30434453781512594</v>
      </c>
      <c r="V188" s="37" t="str">
        <f t="shared" si="59"/>
        <v/>
      </c>
      <c r="W188" s="37" t="str">
        <f t="shared" si="60"/>
        <v/>
      </c>
      <c r="X188" s="38" t="s">
        <v>521</v>
      </c>
    </row>
    <row r="189" spans="1:25" ht="30" x14ac:dyDescent="0.25">
      <c r="A189" s="33">
        <v>144163</v>
      </c>
      <c r="B189" s="33">
        <f>VLOOKUP($A189,'Выгр Кат'!$A:$R,B$1,0)</f>
        <v>15387</v>
      </c>
      <c r="C189" s="34" t="str">
        <f>VLOOKUP($A189,'Выгр Кат'!$A:$R,C$1,0)</f>
        <v>Диск сцепления "Art-Perform" для коробки BMW для ВАЗ 2101-2107</v>
      </c>
      <c r="D189" s="33" t="str">
        <f>VLOOKUP($A189,'Выгр Кат'!$A:$R,D$1,0)</f>
        <v>Y</v>
      </c>
      <c r="E189" s="33" t="str">
        <f>VLOOKUP($A189,'Выгр Кат'!$A:$R,E$1,0)</f>
        <v>0</v>
      </c>
      <c r="F189" s="33" t="str">
        <f>VLOOKUP($A189,'Выгр Кат'!$A:$R,F$1,0)</f>
        <v>200804-10230290</v>
      </c>
      <c r="G189" s="33"/>
      <c r="H189" s="23" t="s">
        <v>29</v>
      </c>
      <c r="I189" s="41">
        <v>11900</v>
      </c>
      <c r="J189" s="35">
        <f>VLOOKUP(I189,Наценка!$A$1:$B$8,2,1)</f>
        <v>1.4</v>
      </c>
      <c r="K189" s="39">
        <f t="shared" si="53"/>
        <v>16660</v>
      </c>
      <c r="L189" s="20">
        <f t="shared" si="54"/>
        <v>16690</v>
      </c>
      <c r="M189" s="33">
        <f>VLOOKUP($A189,'Выгр Кат'!$A:$R,M$1,0)</f>
        <v>11900</v>
      </c>
      <c r="N189" s="33">
        <f>VLOOKUP($A189,'Выгр Кат'!$A:$R,N$1,0)</f>
        <v>16690</v>
      </c>
      <c r="O189" s="17">
        <f t="shared" si="55"/>
        <v>0</v>
      </c>
      <c r="P189" s="17">
        <f t="shared" si="56"/>
        <v>0</v>
      </c>
      <c r="Q189" s="18">
        <f t="shared" si="57"/>
        <v>15521.699999999999</v>
      </c>
      <c r="R189" s="42" t="str">
        <f>IFERROR((VLOOKUP($A189,'Из ГУГЛа'!$B:$G,6,0)+T189)*S189,VLOOKUP($A189,'Из ГУГЛа'!$B:$G,6,0))</f>
        <v/>
      </c>
      <c r="S189" s="7">
        <v>1</v>
      </c>
      <c r="T189" s="7">
        <v>0</v>
      </c>
      <c r="U189" s="37">
        <f t="shared" si="58"/>
        <v>0.30434453781512594</v>
      </c>
      <c r="V189" s="37" t="str">
        <f t="shared" si="59"/>
        <v/>
      </c>
      <c r="W189" s="37" t="str">
        <f t="shared" si="60"/>
        <v/>
      </c>
      <c r="X189" s="38" t="s">
        <v>521</v>
      </c>
    </row>
    <row r="190" spans="1:25" ht="30" x14ac:dyDescent="0.25">
      <c r="A190" s="33">
        <v>144130</v>
      </c>
      <c r="B190" s="33">
        <f>VLOOKUP($A190,'Выгр Кат'!$A:$R,B$1,0)</f>
        <v>15377</v>
      </c>
      <c r="C190" s="34" t="str">
        <f>VLOOKUP($A190,'Выгр Кат'!$A:$R,C$1,0)</f>
        <v>Диск сцепления "Art-Perform" для Шевроле Нива</v>
      </c>
      <c r="D190" s="33" t="str">
        <f>VLOOKUP($A190,'Выгр Кат'!$A:$R,D$1,0)</f>
        <v>Y</v>
      </c>
      <c r="E190" s="33" t="str">
        <f>VLOOKUP($A190,'Выгр Кат'!$A:$R,E$1,0)</f>
        <v>0</v>
      </c>
      <c r="F190" s="33" t="str">
        <f>VLOOKUP($A190,'Выгр Кат'!$A:$R,F$1,0)</f>
        <v>215764-20201225</v>
      </c>
      <c r="G190" s="33"/>
      <c r="H190" s="23" t="s">
        <v>29</v>
      </c>
      <c r="I190" s="41">
        <v>11900</v>
      </c>
      <c r="J190" s="35">
        <f>VLOOKUP(I190,Наценка!$A$1:$B$8,2,1)</f>
        <v>1.4</v>
      </c>
      <c r="K190" s="39">
        <f t="shared" si="53"/>
        <v>16660</v>
      </c>
      <c r="L190" s="20">
        <f t="shared" si="54"/>
        <v>16690</v>
      </c>
      <c r="M190" s="33">
        <f>VLOOKUP($A190,'Выгр Кат'!$A:$R,M$1,0)</f>
        <v>11900</v>
      </c>
      <c r="N190" s="33">
        <f>VLOOKUP($A190,'Выгр Кат'!$A:$R,N$1,0)</f>
        <v>16690</v>
      </c>
      <c r="O190" s="17">
        <f t="shared" si="55"/>
        <v>0</v>
      </c>
      <c r="P190" s="17">
        <f t="shared" si="56"/>
        <v>0</v>
      </c>
      <c r="Q190" s="18">
        <f t="shared" si="57"/>
        <v>15521.699999999999</v>
      </c>
      <c r="R190" s="42" t="str">
        <f>IFERROR((VLOOKUP($A190,'Из ГУГЛа'!$B:$G,6,0)+T190)*S190,VLOOKUP($A190,'Из ГУГЛа'!$B:$G,6,0))</f>
        <v/>
      </c>
      <c r="S190" s="7">
        <v>1</v>
      </c>
      <c r="T190" s="7">
        <v>0</v>
      </c>
      <c r="U190" s="37">
        <f t="shared" si="58"/>
        <v>0.30434453781512594</v>
      </c>
      <c r="V190" s="37" t="str">
        <f t="shared" si="59"/>
        <v/>
      </c>
      <c r="W190" s="37" t="str">
        <f t="shared" si="60"/>
        <v/>
      </c>
      <c r="X190" s="38" t="s">
        <v>521</v>
      </c>
    </row>
    <row r="191" spans="1:25" ht="30" x14ac:dyDescent="0.25">
      <c r="A191" s="33">
        <v>144131</v>
      </c>
      <c r="B191" s="33">
        <f>VLOOKUP($A191,'Выгр Кат'!$A:$R,B$1,0)</f>
        <v>15379</v>
      </c>
      <c r="C191" s="34" t="str">
        <f>VLOOKUP($A191,'Выгр Кат'!$A:$R,C$1,0)</f>
        <v>Диск сцепления "Art-Perform" для Шевроле Нива</v>
      </c>
      <c r="D191" s="33" t="str">
        <f>VLOOKUP($A191,'Выгр Кат'!$A:$R,D$1,0)</f>
        <v>Y</v>
      </c>
      <c r="E191" s="33" t="str">
        <f>VLOOKUP($A191,'Выгр Кат'!$A:$R,E$1,0)</f>
        <v>0</v>
      </c>
      <c r="F191" s="33" t="str">
        <f>VLOOKUP($A191,'Выгр Кат'!$A:$R,F$1,0)</f>
        <v>215766-20201225</v>
      </c>
      <c r="G191" s="33"/>
      <c r="H191" s="23" t="s">
        <v>29</v>
      </c>
      <c r="I191" s="41">
        <v>11900</v>
      </c>
      <c r="J191" s="35">
        <f>VLOOKUP(I191,Наценка!$A$1:$B$8,2,1)</f>
        <v>1.4</v>
      </c>
      <c r="K191" s="39">
        <f t="shared" si="53"/>
        <v>16660</v>
      </c>
      <c r="L191" s="20">
        <f t="shared" si="54"/>
        <v>16690</v>
      </c>
      <c r="M191" s="33">
        <f>VLOOKUP($A191,'Выгр Кат'!$A:$R,M$1,0)</f>
        <v>11900</v>
      </c>
      <c r="N191" s="33">
        <f>VLOOKUP($A191,'Выгр Кат'!$A:$R,N$1,0)</f>
        <v>16690</v>
      </c>
      <c r="O191" s="17">
        <f t="shared" si="55"/>
        <v>0</v>
      </c>
      <c r="P191" s="17">
        <f t="shared" si="56"/>
        <v>0</v>
      </c>
      <c r="Q191" s="18">
        <f t="shared" si="57"/>
        <v>15521.699999999999</v>
      </c>
      <c r="R191" s="42" t="str">
        <f>IFERROR((VLOOKUP($A191,'Из ГУГЛа'!$B:$G,6,0)+T191)*S191,VLOOKUP($A191,'Из ГУГЛа'!$B:$G,6,0))</f>
        <v/>
      </c>
      <c r="S191" s="7">
        <v>1</v>
      </c>
      <c r="T191" s="7">
        <v>0</v>
      </c>
      <c r="U191" s="37">
        <f t="shared" si="58"/>
        <v>0.30434453781512594</v>
      </c>
      <c r="V191" s="37" t="str">
        <f t="shared" si="59"/>
        <v/>
      </c>
      <c r="W191" s="37" t="str">
        <f t="shared" si="60"/>
        <v/>
      </c>
      <c r="X191" s="38" t="s">
        <v>521</v>
      </c>
    </row>
    <row r="192" spans="1:25" ht="45" x14ac:dyDescent="0.25">
      <c r="A192" s="33">
        <v>144174</v>
      </c>
      <c r="B192" s="33">
        <f>VLOOKUP($A192,'Выгр Кат'!$A:$R,B$1,0)</f>
        <v>15384</v>
      </c>
      <c r="C192" s="34" t="str">
        <f>VLOOKUP($A192,'Выгр Кат'!$A:$R,C$1,0)</f>
        <v>Диск сцепления "Art-Perform" с демпфером для ВАЗ (2101-2107, 2110, 2112), Лада Нива 4х4</v>
      </c>
      <c r="D192" s="33" t="str">
        <f>VLOOKUP($A192,'Выгр Кат'!$A:$R,D$1,0)</f>
        <v>Y</v>
      </c>
      <c r="E192" s="33" t="str">
        <f>VLOOKUP($A192,'Выгр Кат'!$A:$R,E$1,0)</f>
        <v>0</v>
      </c>
      <c r="F192" s="33" t="str">
        <f>VLOOKUP($A192,'Выгр Кат'!$A:$R,F$1,0)</f>
        <v>200764-20201225sp</v>
      </c>
      <c r="G192" s="33"/>
      <c r="H192" s="23" t="s">
        <v>29</v>
      </c>
      <c r="I192" s="41">
        <v>11900</v>
      </c>
      <c r="J192" s="35">
        <f>VLOOKUP(I192,Наценка!$A$1:$B$8,2,1)</f>
        <v>1.4</v>
      </c>
      <c r="K192" s="39">
        <f t="shared" si="53"/>
        <v>16660</v>
      </c>
      <c r="L192" s="20">
        <f t="shared" si="54"/>
        <v>16690</v>
      </c>
      <c r="M192" s="33">
        <f>VLOOKUP($A192,'Выгр Кат'!$A:$R,M$1,0)</f>
        <v>11900</v>
      </c>
      <c r="N192" s="33">
        <f>VLOOKUP($A192,'Выгр Кат'!$A:$R,N$1,0)</f>
        <v>16690</v>
      </c>
      <c r="O192" s="17">
        <f t="shared" si="55"/>
        <v>0</v>
      </c>
      <c r="P192" s="17">
        <f t="shared" si="56"/>
        <v>0</v>
      </c>
      <c r="Q192" s="18">
        <f t="shared" si="57"/>
        <v>15521.699999999999</v>
      </c>
      <c r="R192" s="42" t="str">
        <f>IFERROR((VLOOKUP($A192,'Из ГУГЛа'!$B:$G,6,0)+T192)*S192,VLOOKUP($A192,'Из ГУГЛа'!$B:$G,6,0))</f>
        <v/>
      </c>
      <c r="S192" s="7">
        <v>1</v>
      </c>
      <c r="T192" s="7">
        <v>0</v>
      </c>
      <c r="U192" s="37">
        <f t="shared" si="58"/>
        <v>0.30434453781512594</v>
      </c>
      <c r="V192" s="37" t="str">
        <f t="shared" si="59"/>
        <v/>
      </c>
      <c r="W192" s="37" t="str">
        <f t="shared" si="60"/>
        <v/>
      </c>
      <c r="X192" s="38" t="s">
        <v>521</v>
      </c>
    </row>
    <row r="193" spans="1:24" ht="45" x14ac:dyDescent="0.25">
      <c r="A193" s="33">
        <v>144175</v>
      </c>
      <c r="B193" s="33">
        <f>VLOOKUP($A193,'Выгр Кат'!$A:$R,B$1,0)</f>
        <v>15388</v>
      </c>
      <c r="C193" s="34" t="str">
        <f>VLOOKUP($A193,'Выгр Кат'!$A:$R,C$1,0)</f>
        <v>Диск сцепления "Art-Perform" с демпфером для ВАЗ (2101-2107, 2110, 2112), Лада Нива 4х4</v>
      </c>
      <c r="D193" s="33" t="str">
        <f>VLOOKUP($A193,'Выгр Кат'!$A:$R,D$1,0)</f>
        <v>Y</v>
      </c>
      <c r="E193" s="33" t="str">
        <f>VLOOKUP($A193,'Выгр Кат'!$A:$R,E$1,0)</f>
        <v>0</v>
      </c>
      <c r="F193" s="33" t="str">
        <f>VLOOKUP($A193,'Выгр Кат'!$A:$R,F$1,0)</f>
        <v>200765-20201225sp</v>
      </c>
      <c r="G193" s="33"/>
      <c r="H193" s="23" t="s">
        <v>29</v>
      </c>
      <c r="I193" s="41">
        <v>11900</v>
      </c>
      <c r="J193" s="35">
        <f>VLOOKUP(I193,Наценка!$A$1:$B$8,2,1)</f>
        <v>1.4</v>
      </c>
      <c r="K193" s="39">
        <f t="shared" si="53"/>
        <v>16660</v>
      </c>
      <c r="L193" s="20">
        <f t="shared" si="54"/>
        <v>16690</v>
      </c>
      <c r="M193" s="33">
        <f>VLOOKUP($A193,'Выгр Кат'!$A:$R,M$1,0)</f>
        <v>11900</v>
      </c>
      <c r="N193" s="33">
        <f>VLOOKUP($A193,'Выгр Кат'!$A:$R,N$1,0)</f>
        <v>16690</v>
      </c>
      <c r="O193" s="17">
        <f t="shared" si="55"/>
        <v>0</v>
      </c>
      <c r="P193" s="17">
        <f t="shared" si="56"/>
        <v>0</v>
      </c>
      <c r="Q193" s="18">
        <f t="shared" si="57"/>
        <v>15521.699999999999</v>
      </c>
      <c r="R193" s="42" t="str">
        <f>IFERROR((VLOOKUP($A193,'Из ГУГЛа'!$B:$G,6,0)+T193)*S193,VLOOKUP($A193,'Из ГУГЛа'!$B:$G,6,0))</f>
        <v/>
      </c>
      <c r="S193" s="7">
        <v>1</v>
      </c>
      <c r="T193" s="7">
        <v>0</v>
      </c>
      <c r="U193" s="37">
        <f t="shared" si="58"/>
        <v>0.30434453781512594</v>
      </c>
      <c r="V193" s="37" t="str">
        <f t="shared" si="59"/>
        <v/>
      </c>
      <c r="W193" s="37" t="str">
        <f t="shared" si="60"/>
        <v/>
      </c>
      <c r="X193" s="38" t="s">
        <v>521</v>
      </c>
    </row>
    <row r="194" spans="1:24" ht="45" x14ac:dyDescent="0.25">
      <c r="A194" s="33">
        <v>144176</v>
      </c>
      <c r="B194" s="33">
        <f>VLOOKUP($A194,'Выгр Кат'!$A:$R,B$1,0)</f>
        <v>15386</v>
      </c>
      <c r="C194" s="34" t="str">
        <f>VLOOKUP($A194,'Выгр Кат'!$A:$R,C$1,0)</f>
        <v>Диск сцепления "Art-Perform" с демпфером для ВАЗ (2101-2107, 2110, 2112), Лада Нива 4х4</v>
      </c>
      <c r="D194" s="33" t="str">
        <f>VLOOKUP($A194,'Выгр Кат'!$A:$R,D$1,0)</f>
        <v>Y</v>
      </c>
      <c r="E194" s="33" t="str">
        <f>VLOOKUP($A194,'Выгр Кат'!$A:$R,E$1,0)</f>
        <v>1</v>
      </c>
      <c r="F194" s="33" t="str">
        <f>VLOOKUP($A194,'Выгр Кат'!$A:$R,F$1,0)</f>
        <v>200766-20201225sp</v>
      </c>
      <c r="G194" s="33"/>
      <c r="H194" s="23" t="s">
        <v>29</v>
      </c>
      <c r="I194" s="41">
        <v>11900</v>
      </c>
      <c r="J194" s="35">
        <f>VLOOKUP(I194,Наценка!$A$1:$B$8,2,1)</f>
        <v>1.4</v>
      </c>
      <c r="K194" s="39">
        <f t="shared" si="53"/>
        <v>16660</v>
      </c>
      <c r="L194" s="20">
        <f t="shared" si="54"/>
        <v>16690</v>
      </c>
      <c r="M194" s="33">
        <f>VLOOKUP($A194,'Выгр Кат'!$A:$R,M$1,0)</f>
        <v>11900</v>
      </c>
      <c r="N194" s="33">
        <f>VLOOKUP($A194,'Выгр Кат'!$A:$R,N$1,0)</f>
        <v>16690</v>
      </c>
      <c r="O194" s="17">
        <f t="shared" si="55"/>
        <v>0</v>
      </c>
      <c r="P194" s="17">
        <f t="shared" si="56"/>
        <v>0</v>
      </c>
      <c r="Q194" s="18">
        <f t="shared" si="57"/>
        <v>15521.699999999999</v>
      </c>
      <c r="R194" s="42" t="str">
        <f>IFERROR((VLOOKUP($A194,'Из ГУГЛа'!$B:$G,6,0)+T194)*S194,VLOOKUP($A194,'Из ГУГЛа'!$B:$G,6,0))</f>
        <v/>
      </c>
      <c r="S194" s="7">
        <v>1</v>
      </c>
      <c r="T194" s="7">
        <v>0</v>
      </c>
      <c r="U194" s="37">
        <f t="shared" si="58"/>
        <v>0.30434453781512594</v>
      </c>
      <c r="V194" s="37" t="str">
        <f t="shared" si="59"/>
        <v/>
      </c>
      <c r="W194" s="37" t="str">
        <f t="shared" si="60"/>
        <v/>
      </c>
      <c r="X194" s="38" t="s">
        <v>521</v>
      </c>
    </row>
    <row r="195" spans="1:24" ht="30" x14ac:dyDescent="0.25">
      <c r="A195" s="33">
        <v>144178</v>
      </c>
      <c r="B195" s="33">
        <f>VLOOKUP($A195,'Выгр Кат'!$A:$R,B$1,0)</f>
        <v>15380</v>
      </c>
      <c r="C195" s="34" t="str">
        <f>VLOOKUP($A195,'Выгр Кат'!$A:$R,C$1,0)</f>
        <v>Диск сцепления "Art-Perform" с демпфером для Шевроле Нива</v>
      </c>
      <c r="D195" s="33" t="str">
        <f>VLOOKUP($A195,'Выгр Кат'!$A:$R,D$1,0)</f>
        <v>Y</v>
      </c>
      <c r="E195" s="33" t="str">
        <f>VLOOKUP($A195,'Выгр Кат'!$A:$R,E$1,0)</f>
        <v>0</v>
      </c>
      <c r="F195" s="33" t="str">
        <f>VLOOKUP($A195,'Выгр Кат'!$A:$R,F$1,0)</f>
        <v>215766-20201225</v>
      </c>
      <c r="G195" s="33"/>
      <c r="H195" s="23" t="s">
        <v>29</v>
      </c>
      <c r="I195" s="41">
        <v>11900</v>
      </c>
      <c r="J195" s="35">
        <f>VLOOKUP(I195,Наценка!$A$1:$B$8,2,1)</f>
        <v>1.4</v>
      </c>
      <c r="K195" s="39">
        <f t="shared" ref="K195:K196" si="61">I195*J195</f>
        <v>16660</v>
      </c>
      <c r="L195" s="20">
        <f t="shared" ref="L195:L196" si="62">IF(K195&lt;=1000,(ROUNDUP(K195,-1)-1),(ROUNDUP(K195,-2)-10))</f>
        <v>16690</v>
      </c>
      <c r="M195" s="33">
        <f>VLOOKUP($A195,'Выгр Кат'!$A:$R,M$1,0)</f>
        <v>11900</v>
      </c>
      <c r="N195" s="33">
        <f>VLOOKUP($A195,'Выгр Кат'!$A:$R,N$1,0)</f>
        <v>16690</v>
      </c>
      <c r="O195" s="17">
        <f t="shared" si="55"/>
        <v>0</v>
      </c>
      <c r="P195" s="17">
        <f t="shared" si="56"/>
        <v>0</v>
      </c>
      <c r="Q195" s="18">
        <f t="shared" si="57"/>
        <v>15521.699999999999</v>
      </c>
      <c r="R195" s="42" t="str">
        <f>IFERROR((VLOOKUP($A195,'Из ГУГЛа'!$B:$G,6,0)+T195)*S195,VLOOKUP($A195,'Из ГУГЛа'!$B:$G,6,0))</f>
        <v/>
      </c>
      <c r="S195" s="7">
        <v>1</v>
      </c>
      <c r="T195" s="7">
        <v>0</v>
      </c>
      <c r="U195" s="37">
        <f t="shared" si="58"/>
        <v>0.30434453781512594</v>
      </c>
      <c r="V195" s="37" t="str">
        <f t="shared" si="59"/>
        <v/>
      </c>
      <c r="W195" s="37" t="str">
        <f t="shared" ref="W195:W196" si="63">IFERROR(IF(X195="","",X195/I195-1),"")</f>
        <v/>
      </c>
      <c r="X195" s="38" t="s">
        <v>521</v>
      </c>
    </row>
    <row r="196" spans="1:24" ht="30" x14ac:dyDescent="0.25">
      <c r="A196" s="33">
        <v>144177</v>
      </c>
      <c r="B196" s="33">
        <f>VLOOKUP($A196,'Выгр Кат'!$A:$R,B$1,0)</f>
        <v>15378</v>
      </c>
      <c r="C196" s="34" t="str">
        <f>VLOOKUP($A196,'Выгр Кат'!$A:$R,C$1,0)</f>
        <v>Диск сцепления "Art-Perform" с демпфером для Шевроле Нива</v>
      </c>
      <c r="D196" s="33" t="str">
        <f>VLOOKUP($A196,'Выгр Кат'!$A:$R,D$1,0)</f>
        <v>Y</v>
      </c>
      <c r="E196" s="33" t="str">
        <f>VLOOKUP($A196,'Выгр Кат'!$A:$R,E$1,0)</f>
        <v>0</v>
      </c>
      <c r="F196" s="33" t="str">
        <f>VLOOKUP($A196,'Выгр Кат'!$A:$R,F$1,0)</f>
        <v>215764-20201225sp</v>
      </c>
      <c r="G196" s="33"/>
      <c r="H196" s="23" t="s">
        <v>29</v>
      </c>
      <c r="I196" s="41">
        <v>18700</v>
      </c>
      <c r="J196" s="35">
        <f>VLOOKUP(I196,Наценка!$A$1:$B$8,2,1)</f>
        <v>1.4</v>
      </c>
      <c r="K196" s="39">
        <f t="shared" si="61"/>
        <v>26180</v>
      </c>
      <c r="L196" s="20">
        <f t="shared" si="62"/>
        <v>26190</v>
      </c>
      <c r="M196" s="33">
        <f>VLOOKUP($A196,'Выгр Кат'!$A:$R,M$1,0)</f>
        <v>18700</v>
      </c>
      <c r="N196" s="33">
        <f>VLOOKUP($A196,'Выгр Кат'!$A:$R,N$1,0)</f>
        <v>26190</v>
      </c>
      <c r="O196" s="17">
        <f t="shared" si="55"/>
        <v>0</v>
      </c>
      <c r="P196" s="17">
        <f t="shared" si="56"/>
        <v>0</v>
      </c>
      <c r="Q196" s="18">
        <f t="shared" si="57"/>
        <v>24356.699999999997</v>
      </c>
      <c r="R196" s="42" t="str">
        <f>IFERROR((VLOOKUP($A196,'Из ГУГЛа'!$B:$G,6,0)+T196)*S196,VLOOKUP($A196,'Из ГУГЛа'!$B:$G,6,0))</f>
        <v/>
      </c>
      <c r="S196" s="7">
        <v>1</v>
      </c>
      <c r="T196" s="7">
        <v>0</v>
      </c>
      <c r="U196" s="37">
        <f t="shared" si="58"/>
        <v>0.30249732620320846</v>
      </c>
      <c r="V196" s="37" t="str">
        <f t="shared" si="59"/>
        <v/>
      </c>
      <c r="W196" s="37" t="str">
        <f t="shared" si="63"/>
        <v/>
      </c>
      <c r="X196" s="38" t="s">
        <v>521</v>
      </c>
    </row>
    <row r="201" spans="1:24" x14ac:dyDescent="0.25">
      <c r="K201" s="39">
        <f t="shared" ref="K201" si="64">I201*J201</f>
        <v>0</v>
      </c>
    </row>
    <row r="202" spans="1:24" x14ac:dyDescent="0.25">
      <c r="K202" s="44">
        <f>X202*1</f>
        <v>0</v>
      </c>
    </row>
    <row r="203" spans="1:24" x14ac:dyDescent="0.25">
      <c r="K203" s="45">
        <f>X203*1.02</f>
        <v>0</v>
      </c>
    </row>
    <row r="204" spans="1:24" x14ac:dyDescent="0.25">
      <c r="K204" s="46">
        <f>X204*1.04</f>
        <v>0</v>
      </c>
    </row>
    <row r="205" spans="1:24" x14ac:dyDescent="0.25">
      <c r="K205" s="47">
        <f>X205*1.05</f>
        <v>0</v>
      </c>
    </row>
    <row r="206" spans="1:24" x14ac:dyDescent="0.25">
      <c r="K206" s="47">
        <f>X206*1.06</f>
        <v>0</v>
      </c>
    </row>
    <row r="207" spans="1:24" x14ac:dyDescent="0.25">
      <c r="K207" s="48">
        <f>X207*1.07</f>
        <v>0</v>
      </c>
    </row>
    <row r="208" spans="1:24" x14ac:dyDescent="0.25">
      <c r="K208" s="49">
        <f>X208*1.08</f>
        <v>0</v>
      </c>
    </row>
    <row r="209" spans="11:11" x14ac:dyDescent="0.25">
      <c r="K209" s="50">
        <f>I209*1.15*100/93</f>
        <v>0</v>
      </c>
    </row>
    <row r="214" spans="11:11" x14ac:dyDescent="0.25">
      <c r="K214" s="44">
        <f>X214-10</f>
        <v>-10</v>
      </c>
    </row>
    <row r="215" spans="11:11" x14ac:dyDescent="0.25">
      <c r="K215" s="45">
        <f>X215-30</f>
        <v>-30</v>
      </c>
    </row>
    <row r="216" spans="11:11" x14ac:dyDescent="0.25">
      <c r="K216" s="46">
        <f>X216-100</f>
        <v>-100</v>
      </c>
    </row>
    <row r="217" spans="11:11" x14ac:dyDescent="0.25">
      <c r="K217" s="47">
        <f>X217</f>
        <v>0</v>
      </c>
    </row>
  </sheetData>
  <autoFilter ref="A2:AA196" xr:uid="{FA7F9353-0017-46EB-9BA6-D1DA8A12A7B1}"/>
  <conditionalFormatting sqref="U3:U196">
    <cfRule type="cellIs" dxfId="6" priority="8" operator="lessThan">
      <formula>$T$1</formula>
    </cfRule>
  </conditionalFormatting>
  <conditionalFormatting sqref="V3:V196">
    <cfRule type="cellIs" dxfId="5" priority="7" operator="lessThan">
      <formula>0%</formula>
    </cfRule>
  </conditionalFormatting>
  <conditionalFormatting sqref="W3:W196">
    <cfRule type="cellIs" dxfId="4" priority="6" operator="lessThan">
      <formula>$T$1</formula>
    </cfRule>
  </conditionalFormatting>
  <conditionalFormatting sqref="R2:R196">
    <cfRule type="expression" dxfId="3" priority="5">
      <formula>VALUE(R2)&lt;&gt;X2</formula>
    </cfRule>
  </conditionalFormatting>
  <conditionalFormatting sqref="C3:C196">
    <cfRule type="expression" dxfId="2" priority="3">
      <formula>OR(D3="N",E3="0")</formula>
    </cfRule>
  </conditionalFormatting>
  <conditionalFormatting sqref="A3:A196">
    <cfRule type="expression" dxfId="1" priority="1">
      <formula>AND(ROUNDDOWN($P3,0)=0,ROUNDDOWN($O3,0)=0)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E42EC-EDF9-4C9D-9450-B2CC667DCADB}">
  <sheetPr codeName="Лист8"/>
  <dimension ref="A1:B8"/>
  <sheetViews>
    <sheetView workbookViewId="0">
      <selection activeCell="C32" sqref="C32"/>
    </sheetView>
  </sheetViews>
  <sheetFormatPr defaultRowHeight="15" x14ac:dyDescent="0.25"/>
  <sheetData>
    <row r="1" spans="1:2" x14ac:dyDescent="0.25">
      <c r="A1" s="1">
        <v>0.1</v>
      </c>
      <c r="B1" s="1">
        <v>1.4</v>
      </c>
    </row>
    <row r="2" spans="1:2" x14ac:dyDescent="0.25">
      <c r="A2" s="1">
        <v>100</v>
      </c>
      <c r="B2" s="1">
        <v>1.4</v>
      </c>
    </row>
    <row r="3" spans="1:2" x14ac:dyDescent="0.25">
      <c r="A3" s="2">
        <v>300</v>
      </c>
      <c r="B3" s="2">
        <v>1.4</v>
      </c>
    </row>
    <row r="4" spans="1:2" x14ac:dyDescent="0.25">
      <c r="A4" s="2">
        <v>500</v>
      </c>
      <c r="B4" s="2">
        <v>1.4</v>
      </c>
    </row>
    <row r="5" spans="1:2" x14ac:dyDescent="0.25">
      <c r="A5" s="2">
        <v>1000</v>
      </c>
      <c r="B5" s="2">
        <v>1.4</v>
      </c>
    </row>
    <row r="6" spans="1:2" x14ac:dyDescent="0.25">
      <c r="A6" s="2">
        <v>2000</v>
      </c>
      <c r="B6" s="2">
        <v>1.4</v>
      </c>
    </row>
    <row r="7" spans="1:2" x14ac:dyDescent="0.25">
      <c r="A7" s="2">
        <v>5000</v>
      </c>
      <c r="B7" s="2">
        <v>1.4</v>
      </c>
    </row>
    <row r="8" spans="1:2" x14ac:dyDescent="0.25">
      <c r="A8" s="2">
        <v>10000</v>
      </c>
      <c r="B8" s="2">
        <v>1.4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C524-75E8-45F1-91F9-F73EEA9D9316}">
  <sheetPr codeName="Лист4">
    <outlinePr summaryBelow="0"/>
  </sheetPr>
  <dimension ref="A1:O195"/>
  <sheetViews>
    <sheetView showRuler="0" zoomScaleNormal="100" workbookViewId="0">
      <pane ySplit="1" topLeftCell="A2" activePane="bottomLeft" state="frozen"/>
      <selection pane="bottomLeft" activeCell="G3" sqref="G3"/>
    </sheetView>
  </sheetViews>
  <sheetFormatPr defaultRowHeight="15" x14ac:dyDescent="0.25"/>
  <cols>
    <col min="1" max="2" width="7.7109375" style="15" customWidth="1"/>
    <col min="3" max="3" width="33.28515625" style="15" customWidth="1"/>
    <col min="4" max="5" width="22.28515625" style="15" customWidth="1"/>
    <col min="6" max="6" width="33.28515625" style="15" customWidth="1"/>
    <col min="7" max="7" width="22.28515625" style="15" customWidth="1"/>
    <col min="8" max="9" width="11.140625" style="15" customWidth="1"/>
    <col min="10" max="10" width="22.28515625" style="15" customWidth="1"/>
    <col min="11" max="11" width="11.140625" style="15" customWidth="1"/>
    <col min="12" max="14" width="5.5703125" style="15" customWidth="1"/>
    <col min="15" max="16384" width="9.140625" style="15"/>
  </cols>
  <sheetData>
    <row r="1" spans="1:15" s="14" customFormat="1" ht="45" x14ac:dyDescent="0.25">
      <c r="A1" s="21" t="s">
        <v>6</v>
      </c>
      <c r="B1" s="21" t="s">
        <v>16</v>
      </c>
      <c r="C1" s="21" t="s">
        <v>15</v>
      </c>
      <c r="D1" s="21" t="s">
        <v>19</v>
      </c>
      <c r="E1" s="21" t="s">
        <v>20</v>
      </c>
      <c r="F1" s="21" t="s">
        <v>21</v>
      </c>
      <c r="G1" s="21" t="s">
        <v>9</v>
      </c>
      <c r="H1" s="21" t="s">
        <v>10</v>
      </c>
      <c r="I1" s="21" t="s">
        <v>0</v>
      </c>
      <c r="J1" s="21" t="s">
        <v>22</v>
      </c>
      <c r="K1" s="21" t="s">
        <v>23</v>
      </c>
      <c r="L1" s="21" t="s">
        <v>24</v>
      </c>
      <c r="M1" s="21" t="s">
        <v>25</v>
      </c>
      <c r="N1" s="13"/>
      <c r="O1" s="13"/>
    </row>
    <row r="2" spans="1:15" ht="90" x14ac:dyDescent="0.25">
      <c r="A2" s="22">
        <v>140128</v>
      </c>
      <c r="B2" s="22">
        <v>41668</v>
      </c>
      <c r="C2" s="23" t="s">
        <v>26</v>
      </c>
      <c r="D2" s="23" t="s">
        <v>27</v>
      </c>
      <c r="E2" s="23" t="s">
        <v>28</v>
      </c>
      <c r="F2" s="23" t="s">
        <v>28</v>
      </c>
      <c r="G2" s="23" t="s">
        <v>29</v>
      </c>
      <c r="H2" s="24">
        <v>6550</v>
      </c>
      <c r="I2" s="24">
        <v>9190</v>
      </c>
      <c r="J2" s="23"/>
      <c r="K2" s="23" t="s">
        <v>14</v>
      </c>
      <c r="L2" s="23"/>
      <c r="M2" s="23" t="s">
        <v>31</v>
      </c>
      <c r="N2" s="13" t="str">
        <f>_xlfn.CONCAT(K2,IF(L2&lt;&gt;"",_xlfn.CONCAT("ск",L2),""))</f>
        <v>1</v>
      </c>
      <c r="O2" s="13" t="str">
        <f>INDEX(Кат!$H:$H,MATCH($A2,Кат!$A:$A,0))</f>
        <v>стт</v>
      </c>
    </row>
    <row r="3" spans="1:15" ht="60" x14ac:dyDescent="0.25">
      <c r="A3" s="22">
        <v>139551</v>
      </c>
      <c r="B3" s="22">
        <v>41622</v>
      </c>
      <c r="C3" s="23" t="s">
        <v>30</v>
      </c>
      <c r="D3" s="23" t="s">
        <v>31</v>
      </c>
      <c r="E3" s="23" t="s">
        <v>32</v>
      </c>
      <c r="F3" s="23" t="s">
        <v>32</v>
      </c>
      <c r="G3" s="23" t="s">
        <v>29</v>
      </c>
      <c r="H3" s="24">
        <v>2600</v>
      </c>
      <c r="I3" s="24">
        <v>3690</v>
      </c>
      <c r="J3" s="23"/>
      <c r="K3" s="23" t="s">
        <v>14</v>
      </c>
      <c r="L3" s="23"/>
      <c r="M3" s="23" t="s">
        <v>31</v>
      </c>
      <c r="N3" s="13" t="str">
        <f t="shared" ref="N3:N66" si="0">_xlfn.CONCAT(K3,IF(L3&lt;&gt;"",_xlfn.CONCAT("ск",L3),""))</f>
        <v>1</v>
      </c>
      <c r="O3" s="13" t="str">
        <f>INDEX(Кат!$H:$H,MATCH($A3,Кат!$A:$A,0))</f>
        <v>стт</v>
      </c>
    </row>
    <row r="4" spans="1:15" ht="45" x14ac:dyDescent="0.25">
      <c r="A4" s="22">
        <v>139552</v>
      </c>
      <c r="B4" s="22">
        <v>23248</v>
      </c>
      <c r="C4" s="23" t="s">
        <v>33</v>
      </c>
      <c r="D4" s="23" t="s">
        <v>31</v>
      </c>
      <c r="E4" s="23" t="s">
        <v>34</v>
      </c>
      <c r="F4" s="23" t="s">
        <v>35</v>
      </c>
      <c r="G4" s="23" t="s">
        <v>29</v>
      </c>
      <c r="H4" s="24">
        <v>2500</v>
      </c>
      <c r="I4" s="24">
        <v>3490</v>
      </c>
      <c r="J4" s="23"/>
      <c r="K4" s="23" t="s">
        <v>14</v>
      </c>
      <c r="L4" s="23"/>
      <c r="M4" s="23" t="s">
        <v>31</v>
      </c>
      <c r="N4" s="13" t="str">
        <f t="shared" si="0"/>
        <v>1</v>
      </c>
      <c r="O4" s="13" t="str">
        <f>INDEX(Кат!$H:$H,MATCH($A4,Кат!$A:$A,0))</f>
        <v>стт</v>
      </c>
    </row>
    <row r="5" spans="1:15" ht="45" x14ac:dyDescent="0.25">
      <c r="A5" s="22">
        <v>139553</v>
      </c>
      <c r="B5" s="22">
        <v>23238</v>
      </c>
      <c r="C5" s="23" t="s">
        <v>36</v>
      </c>
      <c r="D5" s="23" t="s">
        <v>31</v>
      </c>
      <c r="E5" s="23" t="s">
        <v>37</v>
      </c>
      <c r="F5" s="23" t="s">
        <v>37</v>
      </c>
      <c r="G5" s="23" t="s">
        <v>29</v>
      </c>
      <c r="H5" s="24">
        <v>1800</v>
      </c>
      <c r="I5" s="24">
        <v>2590</v>
      </c>
      <c r="J5" s="23"/>
      <c r="K5" s="23" t="s">
        <v>14</v>
      </c>
      <c r="L5" s="23"/>
      <c r="M5" s="23" t="s">
        <v>31</v>
      </c>
      <c r="N5" s="13" t="str">
        <f t="shared" si="0"/>
        <v>1</v>
      </c>
      <c r="O5" s="13" t="str">
        <f>INDEX(Кат!$H:$H,MATCH($A5,Кат!$A:$A,0))</f>
        <v>стт</v>
      </c>
    </row>
    <row r="6" spans="1:15" ht="60" x14ac:dyDescent="0.25">
      <c r="A6" s="22">
        <v>139554</v>
      </c>
      <c r="B6" s="22">
        <v>23249</v>
      </c>
      <c r="C6" s="23" t="s">
        <v>38</v>
      </c>
      <c r="D6" s="23" t="s">
        <v>31</v>
      </c>
      <c r="E6" s="23" t="s">
        <v>39</v>
      </c>
      <c r="F6" s="23" t="s">
        <v>39</v>
      </c>
      <c r="G6" s="23" t="s">
        <v>29</v>
      </c>
      <c r="H6" s="24">
        <v>3750</v>
      </c>
      <c r="I6" s="24">
        <v>5290</v>
      </c>
      <c r="J6" s="23"/>
      <c r="K6" s="23" t="s">
        <v>14</v>
      </c>
      <c r="L6" s="23"/>
      <c r="M6" s="23" t="s">
        <v>31</v>
      </c>
      <c r="N6" s="13" t="str">
        <f t="shared" si="0"/>
        <v>1</v>
      </c>
      <c r="O6" s="13" t="str">
        <f>INDEX(Кат!$H:$H,MATCH($A6,Кат!$A:$A,0))</f>
        <v>стт</v>
      </c>
    </row>
    <row r="7" spans="1:15" ht="45" x14ac:dyDescent="0.25">
      <c r="A7" s="22">
        <v>139555</v>
      </c>
      <c r="B7" s="22">
        <v>23239</v>
      </c>
      <c r="C7" s="23" t="s">
        <v>40</v>
      </c>
      <c r="D7" s="23" t="s">
        <v>31</v>
      </c>
      <c r="E7" s="23" t="s">
        <v>41</v>
      </c>
      <c r="F7" s="23" t="s">
        <v>42</v>
      </c>
      <c r="G7" s="23" t="s">
        <v>29</v>
      </c>
      <c r="H7" s="24">
        <v>1750</v>
      </c>
      <c r="I7" s="24">
        <v>2490</v>
      </c>
      <c r="J7" s="23"/>
      <c r="K7" s="23" t="s">
        <v>14</v>
      </c>
      <c r="L7" s="23"/>
      <c r="M7" s="23" t="s">
        <v>31</v>
      </c>
      <c r="N7" s="13" t="str">
        <f t="shared" si="0"/>
        <v>1</v>
      </c>
      <c r="O7" s="13" t="str">
        <f>INDEX(Кат!$H:$H,MATCH($A7,Кат!$A:$A,0))</f>
        <v>стт</v>
      </c>
    </row>
    <row r="8" spans="1:15" ht="45" x14ac:dyDescent="0.25">
      <c r="A8" s="22">
        <v>139556</v>
      </c>
      <c r="B8" s="22">
        <v>23242</v>
      </c>
      <c r="C8" s="23" t="s">
        <v>43</v>
      </c>
      <c r="D8" s="23" t="s">
        <v>31</v>
      </c>
      <c r="E8" s="23" t="s">
        <v>44</v>
      </c>
      <c r="F8" s="23" t="s">
        <v>45</v>
      </c>
      <c r="G8" s="23" t="s">
        <v>29</v>
      </c>
      <c r="H8" s="24">
        <v>1800</v>
      </c>
      <c r="I8" s="24">
        <v>2590</v>
      </c>
      <c r="J8" s="23"/>
      <c r="K8" s="23" t="s">
        <v>14</v>
      </c>
      <c r="L8" s="23"/>
      <c r="M8" s="23" t="s">
        <v>31</v>
      </c>
      <c r="N8" s="13" t="str">
        <f t="shared" si="0"/>
        <v>1</v>
      </c>
      <c r="O8" s="13" t="str">
        <f>INDEX(Кат!$H:$H,MATCH($A8,Кат!$A:$A,0))</f>
        <v>стт</v>
      </c>
    </row>
    <row r="9" spans="1:15" ht="45" x14ac:dyDescent="0.25">
      <c r="A9" s="22">
        <v>139557</v>
      </c>
      <c r="B9" s="22">
        <v>23243</v>
      </c>
      <c r="C9" s="23" t="s">
        <v>46</v>
      </c>
      <c r="D9" s="23" t="s">
        <v>31</v>
      </c>
      <c r="E9" s="23" t="s">
        <v>47</v>
      </c>
      <c r="F9" s="23" t="s">
        <v>48</v>
      </c>
      <c r="G9" s="23" t="s">
        <v>29</v>
      </c>
      <c r="H9" s="24">
        <v>1850</v>
      </c>
      <c r="I9" s="24">
        <v>2590</v>
      </c>
      <c r="J9" s="23"/>
      <c r="K9" s="23" t="s">
        <v>14</v>
      </c>
      <c r="L9" s="23"/>
      <c r="M9" s="23" t="s">
        <v>31</v>
      </c>
      <c r="N9" s="13" t="str">
        <f t="shared" si="0"/>
        <v>1</v>
      </c>
      <c r="O9" s="13" t="str">
        <f>INDEX(Кат!$H:$H,MATCH($A9,Кат!$A:$A,0))</f>
        <v>стт</v>
      </c>
    </row>
    <row r="10" spans="1:15" ht="75" x14ac:dyDescent="0.25">
      <c r="A10" s="22">
        <v>139558</v>
      </c>
      <c r="B10" s="22">
        <v>41629</v>
      </c>
      <c r="C10" s="23" t="s">
        <v>49</v>
      </c>
      <c r="D10" s="23" t="s">
        <v>31</v>
      </c>
      <c r="E10" s="23" t="s">
        <v>50</v>
      </c>
      <c r="F10" s="23" t="s">
        <v>50</v>
      </c>
      <c r="G10" s="23" t="s">
        <v>29</v>
      </c>
      <c r="H10" s="24">
        <v>4000</v>
      </c>
      <c r="I10" s="24">
        <v>5590</v>
      </c>
      <c r="J10" s="23"/>
      <c r="K10" s="23" t="s">
        <v>14</v>
      </c>
      <c r="L10" s="23"/>
      <c r="M10" s="23" t="s">
        <v>31</v>
      </c>
      <c r="N10" s="13" t="str">
        <f t="shared" si="0"/>
        <v>1</v>
      </c>
      <c r="O10" s="13" t="str">
        <f>INDEX(Кат!$H:$H,MATCH($A10,Кат!$A:$A,0))</f>
        <v>стт</v>
      </c>
    </row>
    <row r="11" spans="1:15" ht="45" x14ac:dyDescent="0.25">
      <c r="A11" s="22">
        <v>139559</v>
      </c>
      <c r="B11" s="22">
        <v>23240</v>
      </c>
      <c r="C11" s="23" t="s">
        <v>51</v>
      </c>
      <c r="D11" s="23" t="s">
        <v>31</v>
      </c>
      <c r="E11" s="23" t="s">
        <v>52</v>
      </c>
      <c r="F11" s="23" t="s">
        <v>53</v>
      </c>
      <c r="G11" s="23" t="s">
        <v>29</v>
      </c>
      <c r="H11" s="24">
        <v>1850</v>
      </c>
      <c r="I11" s="24">
        <v>2590</v>
      </c>
      <c r="J11" s="23"/>
      <c r="K11" s="23" t="s">
        <v>14</v>
      </c>
      <c r="L11" s="23"/>
      <c r="M11" s="23" t="s">
        <v>31</v>
      </c>
      <c r="N11" s="13" t="str">
        <f t="shared" si="0"/>
        <v>1</v>
      </c>
      <c r="O11" s="13" t="str">
        <f>INDEX(Кат!$H:$H,MATCH($A11,Кат!$A:$A,0))</f>
        <v>стт</v>
      </c>
    </row>
    <row r="12" spans="1:15" ht="45" x14ac:dyDescent="0.25">
      <c r="A12" s="22">
        <v>139560</v>
      </c>
      <c r="B12" s="22">
        <v>23241</v>
      </c>
      <c r="C12" s="23" t="s">
        <v>54</v>
      </c>
      <c r="D12" s="23" t="s">
        <v>31</v>
      </c>
      <c r="E12" s="23" t="s">
        <v>55</v>
      </c>
      <c r="F12" s="23" t="s">
        <v>56</v>
      </c>
      <c r="G12" s="23" t="s">
        <v>29</v>
      </c>
      <c r="H12" s="24">
        <v>1900</v>
      </c>
      <c r="I12" s="24">
        <v>2690</v>
      </c>
      <c r="J12" s="23"/>
      <c r="K12" s="23" t="s">
        <v>14</v>
      </c>
      <c r="L12" s="23"/>
      <c r="M12" s="23" t="s">
        <v>31</v>
      </c>
      <c r="N12" s="13" t="str">
        <f t="shared" si="0"/>
        <v>1</v>
      </c>
      <c r="O12" s="13" t="str">
        <f>INDEX(Кат!$H:$H,MATCH($A12,Кат!$A:$A,0))</f>
        <v>стт</v>
      </c>
    </row>
    <row r="13" spans="1:15" ht="45" x14ac:dyDescent="0.25">
      <c r="A13" s="22">
        <v>139561</v>
      </c>
      <c r="B13" s="22">
        <v>23246</v>
      </c>
      <c r="C13" s="23" t="s">
        <v>57</v>
      </c>
      <c r="D13" s="23" t="s">
        <v>31</v>
      </c>
      <c r="E13" s="23" t="s">
        <v>58</v>
      </c>
      <c r="F13" s="23" t="s">
        <v>59</v>
      </c>
      <c r="G13" s="23" t="s">
        <v>29</v>
      </c>
      <c r="H13" s="24">
        <v>2000</v>
      </c>
      <c r="I13" s="24">
        <v>2790</v>
      </c>
      <c r="J13" s="23"/>
      <c r="K13" s="23" t="s">
        <v>14</v>
      </c>
      <c r="L13" s="23"/>
      <c r="M13" s="23" t="s">
        <v>31</v>
      </c>
      <c r="N13" s="13" t="str">
        <f t="shared" si="0"/>
        <v>1</v>
      </c>
      <c r="O13" s="13" t="str">
        <f>INDEX(Кат!$H:$H,MATCH($A13,Кат!$A:$A,0))</f>
        <v>стт</v>
      </c>
    </row>
    <row r="14" spans="1:15" ht="45" x14ac:dyDescent="0.25">
      <c r="A14" s="22">
        <v>139562</v>
      </c>
      <c r="B14" s="22">
        <v>23244</v>
      </c>
      <c r="C14" s="23" t="s">
        <v>60</v>
      </c>
      <c r="D14" s="23" t="s">
        <v>31</v>
      </c>
      <c r="E14" s="23" t="s">
        <v>61</v>
      </c>
      <c r="F14" s="23" t="s">
        <v>62</v>
      </c>
      <c r="G14" s="23" t="s">
        <v>29</v>
      </c>
      <c r="H14" s="24">
        <v>2000</v>
      </c>
      <c r="I14" s="24">
        <v>2790</v>
      </c>
      <c r="J14" s="23"/>
      <c r="K14" s="23" t="s">
        <v>14</v>
      </c>
      <c r="L14" s="23"/>
      <c r="M14" s="23" t="s">
        <v>31</v>
      </c>
      <c r="N14" s="13" t="str">
        <f t="shared" si="0"/>
        <v>1</v>
      </c>
      <c r="O14" s="13" t="str">
        <f>INDEX(Кат!$H:$H,MATCH($A14,Кат!$A:$A,0))</f>
        <v>стт</v>
      </c>
    </row>
    <row r="15" spans="1:15" ht="45" x14ac:dyDescent="0.25">
      <c r="A15" s="22">
        <v>139563</v>
      </c>
      <c r="B15" s="22">
        <v>23247</v>
      </c>
      <c r="C15" s="23" t="s">
        <v>63</v>
      </c>
      <c r="D15" s="23" t="s">
        <v>31</v>
      </c>
      <c r="E15" s="23" t="s">
        <v>64</v>
      </c>
      <c r="F15" s="23" t="s">
        <v>65</v>
      </c>
      <c r="G15" s="23" t="s">
        <v>29</v>
      </c>
      <c r="H15" s="24">
        <v>2050</v>
      </c>
      <c r="I15" s="24">
        <v>2890</v>
      </c>
      <c r="J15" s="23"/>
      <c r="K15" s="23" t="s">
        <v>14</v>
      </c>
      <c r="L15" s="23"/>
      <c r="M15" s="23" t="s">
        <v>31</v>
      </c>
      <c r="N15" s="13" t="str">
        <f t="shared" si="0"/>
        <v>1</v>
      </c>
      <c r="O15" s="13" t="str">
        <f>INDEX(Кат!$H:$H,MATCH($A15,Кат!$A:$A,0))</f>
        <v>стт</v>
      </c>
    </row>
    <row r="16" spans="1:15" ht="45" x14ac:dyDescent="0.25">
      <c r="A16" s="22">
        <v>139564</v>
      </c>
      <c r="B16" s="22">
        <v>23245</v>
      </c>
      <c r="C16" s="23" t="s">
        <v>66</v>
      </c>
      <c r="D16" s="23" t="s">
        <v>31</v>
      </c>
      <c r="E16" s="23" t="s">
        <v>67</v>
      </c>
      <c r="F16" s="23" t="s">
        <v>68</v>
      </c>
      <c r="G16" s="23" t="s">
        <v>29</v>
      </c>
      <c r="H16" s="24">
        <v>2050</v>
      </c>
      <c r="I16" s="24">
        <v>2890</v>
      </c>
      <c r="J16" s="23"/>
      <c r="K16" s="23" t="s">
        <v>14</v>
      </c>
      <c r="L16" s="23"/>
      <c r="M16" s="23" t="s">
        <v>31</v>
      </c>
      <c r="N16" s="13" t="str">
        <f t="shared" si="0"/>
        <v>1</v>
      </c>
      <c r="O16" s="13" t="str">
        <f>INDEX(Кат!$H:$H,MATCH($A16,Кат!$A:$A,0))</f>
        <v>стт</v>
      </c>
    </row>
    <row r="17" spans="1:15" ht="60" x14ac:dyDescent="0.25">
      <c r="A17" s="22">
        <v>139565</v>
      </c>
      <c r="B17" s="22">
        <v>41648</v>
      </c>
      <c r="C17" s="23" t="s">
        <v>617</v>
      </c>
      <c r="D17" s="23" t="s">
        <v>31</v>
      </c>
      <c r="E17" s="23" t="s">
        <v>69</v>
      </c>
      <c r="F17" s="23" t="s">
        <v>69</v>
      </c>
      <c r="G17" s="23" t="s">
        <v>29</v>
      </c>
      <c r="H17" s="24">
        <v>2400</v>
      </c>
      <c r="I17" s="24">
        <v>3390</v>
      </c>
      <c r="J17" s="23"/>
      <c r="K17" s="23" t="s">
        <v>14</v>
      </c>
      <c r="L17" s="23"/>
      <c r="M17" s="23" t="s">
        <v>31</v>
      </c>
      <c r="N17" s="13" t="str">
        <f t="shared" si="0"/>
        <v>1</v>
      </c>
      <c r="O17" s="13" t="str">
        <f>INDEX(Кат!$H:$H,MATCH($A17,Кат!$A:$A,0))</f>
        <v>стт</v>
      </c>
    </row>
    <row r="18" spans="1:15" ht="75" x14ac:dyDescent="0.25">
      <c r="A18" s="22">
        <v>139566</v>
      </c>
      <c r="B18" s="22">
        <v>41649</v>
      </c>
      <c r="C18" s="23" t="s">
        <v>70</v>
      </c>
      <c r="D18" s="23" t="s">
        <v>31</v>
      </c>
      <c r="E18" s="23" t="s">
        <v>71</v>
      </c>
      <c r="F18" s="23" t="s">
        <v>71</v>
      </c>
      <c r="G18" s="23" t="s">
        <v>29</v>
      </c>
      <c r="H18" s="24">
        <v>3750</v>
      </c>
      <c r="I18" s="24">
        <v>5290</v>
      </c>
      <c r="J18" s="23"/>
      <c r="K18" s="23" t="s">
        <v>14</v>
      </c>
      <c r="L18" s="23"/>
      <c r="M18" s="23" t="s">
        <v>31</v>
      </c>
      <c r="N18" s="13" t="str">
        <f t="shared" si="0"/>
        <v>1</v>
      </c>
      <c r="O18" s="13" t="str">
        <f>INDEX(Кат!$H:$H,MATCH($A18,Кат!$A:$A,0))</f>
        <v>стт</v>
      </c>
    </row>
    <row r="19" spans="1:15" ht="60" x14ac:dyDescent="0.25">
      <c r="A19" s="22">
        <v>140104</v>
      </c>
      <c r="B19" s="22">
        <v>23221</v>
      </c>
      <c r="C19" s="23" t="s">
        <v>72</v>
      </c>
      <c r="D19" s="23" t="s">
        <v>31</v>
      </c>
      <c r="E19" s="23"/>
      <c r="F19" s="23"/>
      <c r="G19" s="23" t="s">
        <v>29</v>
      </c>
      <c r="H19" s="24">
        <v>4950</v>
      </c>
      <c r="I19" s="24">
        <v>6990</v>
      </c>
      <c r="J19" s="23"/>
      <c r="K19" s="23" t="s">
        <v>73</v>
      </c>
      <c r="L19" s="23"/>
      <c r="M19" s="23" t="s">
        <v>31</v>
      </c>
      <c r="N19" s="13" t="str">
        <f t="shared" si="0"/>
        <v>0</v>
      </c>
      <c r="O19" s="13" t="str">
        <f>INDEX(Кат!$H:$H,MATCH($A19,Кат!$A:$A,0))</f>
        <v>стт</v>
      </c>
    </row>
    <row r="20" spans="1:15" ht="45" x14ac:dyDescent="0.25">
      <c r="A20" s="22">
        <v>140105</v>
      </c>
      <c r="B20" s="22">
        <v>23227</v>
      </c>
      <c r="C20" s="23" t="s">
        <v>74</v>
      </c>
      <c r="D20" s="23" t="s">
        <v>31</v>
      </c>
      <c r="E20" s="23" t="s">
        <v>75</v>
      </c>
      <c r="F20" s="23" t="s">
        <v>76</v>
      </c>
      <c r="G20" s="23" t="s">
        <v>29</v>
      </c>
      <c r="H20" s="24">
        <v>5400</v>
      </c>
      <c r="I20" s="24">
        <v>7590</v>
      </c>
      <c r="J20" s="23"/>
      <c r="K20" s="23" t="s">
        <v>14</v>
      </c>
      <c r="L20" s="23"/>
      <c r="M20" s="23" t="s">
        <v>31</v>
      </c>
      <c r="N20" s="13" t="str">
        <f t="shared" si="0"/>
        <v>1</v>
      </c>
      <c r="O20" s="13" t="str">
        <f>INDEX(Кат!$H:$H,MATCH($A20,Кат!$A:$A,0))</f>
        <v>стт</v>
      </c>
    </row>
    <row r="21" spans="1:15" ht="45" x14ac:dyDescent="0.25">
      <c r="A21" s="22">
        <v>140106</v>
      </c>
      <c r="B21" s="22">
        <v>23216</v>
      </c>
      <c r="C21" s="23" t="s">
        <v>77</v>
      </c>
      <c r="D21" s="23" t="s">
        <v>31</v>
      </c>
      <c r="E21" s="23" t="s">
        <v>78</v>
      </c>
      <c r="F21" s="23" t="s">
        <v>79</v>
      </c>
      <c r="G21" s="23" t="s">
        <v>29</v>
      </c>
      <c r="H21" s="24">
        <v>5400</v>
      </c>
      <c r="I21" s="24">
        <v>7590</v>
      </c>
      <c r="J21" s="23"/>
      <c r="K21" s="23" t="s">
        <v>14</v>
      </c>
      <c r="L21" s="23"/>
      <c r="M21" s="23" t="s">
        <v>31</v>
      </c>
      <c r="N21" s="13" t="str">
        <f t="shared" si="0"/>
        <v>1</v>
      </c>
      <c r="O21" s="13" t="str">
        <f>INDEX(Кат!$H:$H,MATCH($A21,Кат!$A:$A,0))</f>
        <v>стт</v>
      </c>
    </row>
    <row r="22" spans="1:15" ht="45" x14ac:dyDescent="0.25">
      <c r="A22" s="22">
        <v>140107</v>
      </c>
      <c r="B22" s="22">
        <v>23220</v>
      </c>
      <c r="C22" s="23" t="s">
        <v>80</v>
      </c>
      <c r="D22" s="23" t="s">
        <v>31</v>
      </c>
      <c r="E22" s="23" t="s">
        <v>81</v>
      </c>
      <c r="F22" s="23" t="s">
        <v>82</v>
      </c>
      <c r="G22" s="23" t="s">
        <v>29</v>
      </c>
      <c r="H22" s="24">
        <v>5400</v>
      </c>
      <c r="I22" s="24">
        <v>7590</v>
      </c>
      <c r="J22" s="23"/>
      <c r="K22" s="23" t="s">
        <v>14</v>
      </c>
      <c r="L22" s="23"/>
      <c r="M22" s="23" t="s">
        <v>31</v>
      </c>
      <c r="N22" s="13" t="str">
        <f t="shared" si="0"/>
        <v>1</v>
      </c>
      <c r="O22" s="13" t="str">
        <f>INDEX(Кат!$H:$H,MATCH($A22,Кат!$A:$A,0))</f>
        <v>стт</v>
      </c>
    </row>
    <row r="23" spans="1:15" ht="45" x14ac:dyDescent="0.25">
      <c r="A23" s="22">
        <v>140108</v>
      </c>
      <c r="B23" s="22">
        <v>23225</v>
      </c>
      <c r="C23" s="23" t="s">
        <v>83</v>
      </c>
      <c r="D23" s="23" t="s">
        <v>31</v>
      </c>
      <c r="E23" s="23" t="s">
        <v>84</v>
      </c>
      <c r="F23" s="23" t="s">
        <v>85</v>
      </c>
      <c r="G23" s="23" t="s">
        <v>29</v>
      </c>
      <c r="H23" s="24">
        <v>5400</v>
      </c>
      <c r="I23" s="24">
        <v>7590</v>
      </c>
      <c r="J23" s="23"/>
      <c r="K23" s="23" t="s">
        <v>14</v>
      </c>
      <c r="L23" s="23"/>
      <c r="M23" s="23" t="s">
        <v>31</v>
      </c>
      <c r="N23" s="13" t="str">
        <f t="shared" si="0"/>
        <v>1</v>
      </c>
      <c r="O23" s="13" t="str">
        <f>INDEX(Кат!$H:$H,MATCH($A23,Кат!$A:$A,0))</f>
        <v>стт</v>
      </c>
    </row>
    <row r="24" spans="1:15" ht="45" x14ac:dyDescent="0.25">
      <c r="A24" s="22">
        <v>140109</v>
      </c>
      <c r="B24" s="22">
        <v>23212</v>
      </c>
      <c r="C24" s="23" t="s">
        <v>86</v>
      </c>
      <c r="D24" s="23" t="s">
        <v>31</v>
      </c>
      <c r="E24" s="23" t="s">
        <v>87</v>
      </c>
      <c r="F24" s="23" t="s">
        <v>88</v>
      </c>
      <c r="G24" s="23" t="s">
        <v>29</v>
      </c>
      <c r="H24" s="24">
        <v>2650</v>
      </c>
      <c r="I24" s="24">
        <v>3790</v>
      </c>
      <c r="J24" s="23"/>
      <c r="K24" s="23" t="s">
        <v>14</v>
      </c>
      <c r="L24" s="23"/>
      <c r="M24" s="23" t="s">
        <v>31</v>
      </c>
      <c r="N24" s="13" t="str">
        <f t="shared" si="0"/>
        <v>1</v>
      </c>
      <c r="O24" s="13" t="str">
        <f>INDEX(Кат!$H:$H,MATCH($A24,Кат!$A:$A,0))</f>
        <v>стт</v>
      </c>
    </row>
    <row r="25" spans="1:15" ht="45" x14ac:dyDescent="0.25">
      <c r="A25" s="22">
        <v>140110</v>
      </c>
      <c r="B25" s="22">
        <v>23224</v>
      </c>
      <c r="C25" s="23" t="s">
        <v>89</v>
      </c>
      <c r="D25" s="23" t="s">
        <v>31</v>
      </c>
      <c r="E25" s="23" t="s">
        <v>90</v>
      </c>
      <c r="F25" s="23" t="s">
        <v>91</v>
      </c>
      <c r="G25" s="23" t="s">
        <v>29</v>
      </c>
      <c r="H25" s="24">
        <v>2600</v>
      </c>
      <c r="I25" s="24">
        <v>3690</v>
      </c>
      <c r="J25" s="23"/>
      <c r="K25" s="23" t="s">
        <v>14</v>
      </c>
      <c r="L25" s="23"/>
      <c r="M25" s="23" t="s">
        <v>31</v>
      </c>
      <c r="N25" s="13" t="str">
        <f t="shared" si="0"/>
        <v>1</v>
      </c>
      <c r="O25" s="13" t="str">
        <f>INDEX(Кат!$H:$H,MATCH($A25,Кат!$A:$A,0))</f>
        <v>стт</v>
      </c>
    </row>
    <row r="26" spans="1:15" ht="45" x14ac:dyDescent="0.25">
      <c r="A26" s="22">
        <v>140111</v>
      </c>
      <c r="B26" s="22">
        <v>23202</v>
      </c>
      <c r="C26" s="23" t="s">
        <v>92</v>
      </c>
      <c r="D26" s="23" t="s">
        <v>31</v>
      </c>
      <c r="E26" s="23" t="s">
        <v>93</v>
      </c>
      <c r="F26" s="23" t="s">
        <v>94</v>
      </c>
      <c r="G26" s="23" t="s">
        <v>29</v>
      </c>
      <c r="H26" s="24">
        <v>6220</v>
      </c>
      <c r="I26" s="24">
        <v>8790</v>
      </c>
      <c r="J26" s="23"/>
      <c r="K26" s="23" t="s">
        <v>14</v>
      </c>
      <c r="L26" s="23"/>
      <c r="M26" s="23" t="s">
        <v>31</v>
      </c>
      <c r="N26" s="13" t="str">
        <f t="shared" si="0"/>
        <v>1</v>
      </c>
      <c r="O26" s="13" t="str">
        <f>INDEX(Кат!$H:$H,MATCH($A26,Кат!$A:$A,0))</f>
        <v>стт</v>
      </c>
    </row>
    <row r="27" spans="1:15" ht="45" x14ac:dyDescent="0.25">
      <c r="A27" s="22">
        <v>140112</v>
      </c>
      <c r="B27" s="22">
        <v>23208</v>
      </c>
      <c r="C27" s="23" t="s">
        <v>95</v>
      </c>
      <c r="D27" s="23" t="s">
        <v>31</v>
      </c>
      <c r="E27" s="23" t="s">
        <v>96</v>
      </c>
      <c r="F27" s="23" t="s">
        <v>97</v>
      </c>
      <c r="G27" s="23" t="s">
        <v>29</v>
      </c>
      <c r="H27" s="24">
        <v>5000</v>
      </c>
      <c r="I27" s="24">
        <v>6990</v>
      </c>
      <c r="J27" s="23"/>
      <c r="K27" s="23" t="s">
        <v>14</v>
      </c>
      <c r="L27" s="23"/>
      <c r="M27" s="23" t="s">
        <v>31</v>
      </c>
      <c r="N27" s="13" t="str">
        <f t="shared" si="0"/>
        <v>1</v>
      </c>
      <c r="O27" s="13" t="str">
        <f>INDEX(Кат!$H:$H,MATCH($A27,Кат!$A:$A,0))</f>
        <v>стт</v>
      </c>
    </row>
    <row r="28" spans="1:15" ht="45" x14ac:dyDescent="0.25">
      <c r="A28" s="22">
        <v>140113</v>
      </c>
      <c r="B28" s="22">
        <v>23200</v>
      </c>
      <c r="C28" s="23" t="s">
        <v>98</v>
      </c>
      <c r="D28" s="23" t="s">
        <v>31</v>
      </c>
      <c r="E28" s="23" t="s">
        <v>99</v>
      </c>
      <c r="F28" s="23" t="s">
        <v>100</v>
      </c>
      <c r="G28" s="23" t="s">
        <v>29</v>
      </c>
      <c r="H28" s="24">
        <v>6100</v>
      </c>
      <c r="I28" s="24">
        <v>8590</v>
      </c>
      <c r="J28" s="23"/>
      <c r="K28" s="23" t="s">
        <v>14</v>
      </c>
      <c r="L28" s="23" t="s">
        <v>101</v>
      </c>
      <c r="M28" s="23"/>
      <c r="N28" s="13" t="str">
        <f t="shared" si="0"/>
        <v>1ск6</v>
      </c>
      <c r="O28" s="13" t="str">
        <f>INDEX(Кат!$H:$H,MATCH($A28,Кат!$A:$A,0))</f>
        <v>стт</v>
      </c>
    </row>
    <row r="29" spans="1:15" ht="45" x14ac:dyDescent="0.25">
      <c r="A29" s="22">
        <v>140114</v>
      </c>
      <c r="B29" s="22">
        <v>23218</v>
      </c>
      <c r="C29" s="23" t="s">
        <v>102</v>
      </c>
      <c r="D29" s="23" t="s">
        <v>31</v>
      </c>
      <c r="E29" s="23" t="s">
        <v>103</v>
      </c>
      <c r="F29" s="23" t="s">
        <v>103</v>
      </c>
      <c r="G29" s="23" t="s">
        <v>29</v>
      </c>
      <c r="H29" s="24">
        <v>2950</v>
      </c>
      <c r="I29" s="24">
        <v>4190</v>
      </c>
      <c r="J29" s="23"/>
      <c r="K29" s="23" t="s">
        <v>14</v>
      </c>
      <c r="L29" s="23"/>
      <c r="M29" s="23" t="s">
        <v>31</v>
      </c>
      <c r="N29" s="13" t="str">
        <f t="shared" si="0"/>
        <v>1</v>
      </c>
      <c r="O29" s="13" t="str">
        <f>INDEX(Кат!$H:$H,MATCH($A29,Кат!$A:$A,0))</f>
        <v>стт</v>
      </c>
    </row>
    <row r="30" spans="1:15" ht="60" x14ac:dyDescent="0.25">
      <c r="A30" s="22">
        <v>140115</v>
      </c>
      <c r="B30" s="22">
        <v>23233</v>
      </c>
      <c r="C30" s="23" t="s">
        <v>104</v>
      </c>
      <c r="D30" s="23" t="s">
        <v>31</v>
      </c>
      <c r="E30" s="23" t="s">
        <v>105</v>
      </c>
      <c r="F30" s="23" t="s">
        <v>105</v>
      </c>
      <c r="G30" s="23" t="s">
        <v>29</v>
      </c>
      <c r="H30" s="24">
        <v>5400</v>
      </c>
      <c r="I30" s="24">
        <v>7590</v>
      </c>
      <c r="J30" s="23"/>
      <c r="K30" s="23" t="s">
        <v>14</v>
      </c>
      <c r="L30" s="23"/>
      <c r="M30" s="23" t="s">
        <v>31</v>
      </c>
      <c r="N30" s="13" t="str">
        <f t="shared" si="0"/>
        <v>1</v>
      </c>
      <c r="O30" s="13" t="str">
        <f>INDEX(Кат!$H:$H,MATCH($A30,Кат!$A:$A,0))</f>
        <v>стт</v>
      </c>
    </row>
    <row r="31" spans="1:15" ht="45" x14ac:dyDescent="0.25">
      <c r="A31" s="22">
        <v>140116</v>
      </c>
      <c r="B31" s="22">
        <v>23230</v>
      </c>
      <c r="C31" s="23" t="s">
        <v>106</v>
      </c>
      <c r="D31" s="23" t="s">
        <v>31</v>
      </c>
      <c r="E31" s="23" t="s">
        <v>107</v>
      </c>
      <c r="F31" s="23" t="s">
        <v>107</v>
      </c>
      <c r="G31" s="23" t="s">
        <v>29</v>
      </c>
      <c r="H31" s="24">
        <v>5400</v>
      </c>
      <c r="I31" s="24">
        <v>7590</v>
      </c>
      <c r="J31" s="23"/>
      <c r="K31" s="23" t="s">
        <v>14</v>
      </c>
      <c r="L31" s="23"/>
      <c r="M31" s="23" t="s">
        <v>31</v>
      </c>
      <c r="N31" s="13" t="str">
        <f t="shared" si="0"/>
        <v>1</v>
      </c>
      <c r="O31" s="13" t="str">
        <f>INDEX(Кат!$H:$H,MATCH($A31,Кат!$A:$A,0))</f>
        <v>стт</v>
      </c>
    </row>
    <row r="32" spans="1:15" ht="45" x14ac:dyDescent="0.25">
      <c r="A32" s="22">
        <v>140117</v>
      </c>
      <c r="B32" s="22">
        <v>23217</v>
      </c>
      <c r="C32" s="23" t="s">
        <v>108</v>
      </c>
      <c r="D32" s="23" t="s">
        <v>31</v>
      </c>
      <c r="E32" s="23" t="s">
        <v>109</v>
      </c>
      <c r="F32" s="23" t="s">
        <v>110</v>
      </c>
      <c r="G32" s="23" t="s">
        <v>29</v>
      </c>
      <c r="H32" s="24">
        <v>5400</v>
      </c>
      <c r="I32" s="24">
        <v>7590</v>
      </c>
      <c r="J32" s="23"/>
      <c r="K32" s="23" t="s">
        <v>14</v>
      </c>
      <c r="L32" s="23"/>
      <c r="M32" s="23" t="s">
        <v>31</v>
      </c>
      <c r="N32" s="13" t="str">
        <f t="shared" si="0"/>
        <v>1</v>
      </c>
      <c r="O32" s="13" t="str">
        <f>INDEX(Кат!$H:$H,MATCH($A32,Кат!$A:$A,0))</f>
        <v>стт</v>
      </c>
    </row>
    <row r="33" spans="1:15" ht="45" x14ac:dyDescent="0.25">
      <c r="A33" s="22">
        <v>140118</v>
      </c>
      <c r="B33" s="22">
        <v>23203</v>
      </c>
      <c r="C33" s="23" t="s">
        <v>111</v>
      </c>
      <c r="D33" s="23" t="s">
        <v>31</v>
      </c>
      <c r="E33" s="23" t="s">
        <v>112</v>
      </c>
      <c r="F33" s="23" t="s">
        <v>113</v>
      </c>
      <c r="G33" s="23" t="s">
        <v>29</v>
      </c>
      <c r="H33" s="24">
        <v>6850</v>
      </c>
      <c r="I33" s="24">
        <v>9590</v>
      </c>
      <c r="J33" s="23"/>
      <c r="K33" s="23" t="s">
        <v>14</v>
      </c>
      <c r="L33" s="23"/>
      <c r="M33" s="23" t="s">
        <v>31</v>
      </c>
      <c r="N33" s="13" t="str">
        <f t="shared" si="0"/>
        <v>1</v>
      </c>
      <c r="O33" s="13" t="str">
        <f>INDEX(Кат!$H:$H,MATCH($A33,Кат!$A:$A,0))</f>
        <v>стт</v>
      </c>
    </row>
    <row r="34" spans="1:15" ht="45" x14ac:dyDescent="0.25">
      <c r="A34" s="22">
        <v>140119</v>
      </c>
      <c r="B34" s="22">
        <v>23209</v>
      </c>
      <c r="C34" s="23" t="s">
        <v>114</v>
      </c>
      <c r="D34" s="23" t="s">
        <v>31</v>
      </c>
      <c r="E34" s="23" t="s">
        <v>115</v>
      </c>
      <c r="F34" s="23" t="s">
        <v>116</v>
      </c>
      <c r="G34" s="23" t="s">
        <v>29</v>
      </c>
      <c r="H34" s="24">
        <v>5000</v>
      </c>
      <c r="I34" s="24">
        <v>6990</v>
      </c>
      <c r="J34" s="23"/>
      <c r="K34" s="23" t="s">
        <v>14</v>
      </c>
      <c r="L34" s="23"/>
      <c r="M34" s="23" t="s">
        <v>31</v>
      </c>
      <c r="N34" s="13" t="str">
        <f t="shared" si="0"/>
        <v>1</v>
      </c>
      <c r="O34" s="13" t="str">
        <f>INDEX(Кат!$H:$H,MATCH($A34,Кат!$A:$A,0))</f>
        <v>стт</v>
      </c>
    </row>
    <row r="35" spans="1:15" ht="45" x14ac:dyDescent="0.25">
      <c r="A35" s="22">
        <v>140120</v>
      </c>
      <c r="B35" s="22">
        <v>23210</v>
      </c>
      <c r="C35" s="23" t="s">
        <v>117</v>
      </c>
      <c r="D35" s="23" t="s">
        <v>31</v>
      </c>
      <c r="E35" s="23" t="s">
        <v>118</v>
      </c>
      <c r="F35" s="23" t="s">
        <v>119</v>
      </c>
      <c r="G35" s="23" t="s">
        <v>29</v>
      </c>
      <c r="H35" s="24">
        <v>7500</v>
      </c>
      <c r="I35" s="24">
        <v>10490</v>
      </c>
      <c r="J35" s="23"/>
      <c r="K35" s="23" t="s">
        <v>14</v>
      </c>
      <c r="L35" s="23"/>
      <c r="M35" s="23" t="s">
        <v>31</v>
      </c>
      <c r="N35" s="13" t="str">
        <f t="shared" si="0"/>
        <v>1</v>
      </c>
      <c r="O35" s="13" t="str">
        <f>INDEX(Кат!$H:$H,MATCH($A35,Кат!$A:$A,0))</f>
        <v>стт</v>
      </c>
    </row>
    <row r="36" spans="1:15" ht="60" x14ac:dyDescent="0.25">
      <c r="A36" s="22">
        <v>140121</v>
      </c>
      <c r="B36" s="22">
        <v>23198</v>
      </c>
      <c r="C36" s="23" t="s">
        <v>120</v>
      </c>
      <c r="D36" s="23" t="s">
        <v>31</v>
      </c>
      <c r="E36" s="23" t="s">
        <v>121</v>
      </c>
      <c r="F36" s="23" t="s">
        <v>122</v>
      </c>
      <c r="G36" s="23" t="s">
        <v>29</v>
      </c>
      <c r="H36" s="24">
        <v>5400</v>
      </c>
      <c r="I36" s="24">
        <v>7590</v>
      </c>
      <c r="J36" s="23"/>
      <c r="K36" s="23" t="s">
        <v>14</v>
      </c>
      <c r="L36" s="23"/>
      <c r="M36" s="23" t="s">
        <v>31</v>
      </c>
      <c r="N36" s="13" t="str">
        <f t="shared" si="0"/>
        <v>1</v>
      </c>
      <c r="O36" s="13" t="str">
        <f>INDEX(Кат!$H:$H,MATCH($A36,Кат!$A:$A,0))</f>
        <v>стт</v>
      </c>
    </row>
    <row r="37" spans="1:15" ht="45" x14ac:dyDescent="0.25">
      <c r="A37" s="22">
        <v>140122</v>
      </c>
      <c r="B37" s="22">
        <v>23197</v>
      </c>
      <c r="C37" s="23" t="s">
        <v>123</v>
      </c>
      <c r="D37" s="23" t="s">
        <v>31</v>
      </c>
      <c r="E37" s="23" t="s">
        <v>124</v>
      </c>
      <c r="F37" s="23" t="s">
        <v>124</v>
      </c>
      <c r="G37" s="23" t="s">
        <v>29</v>
      </c>
      <c r="H37" s="24">
        <v>7900</v>
      </c>
      <c r="I37" s="24">
        <v>11090</v>
      </c>
      <c r="J37" s="23"/>
      <c r="K37" s="23" t="s">
        <v>14</v>
      </c>
      <c r="L37" s="23"/>
      <c r="M37" s="23" t="s">
        <v>31</v>
      </c>
      <c r="N37" s="13" t="str">
        <f t="shared" si="0"/>
        <v>1</v>
      </c>
      <c r="O37" s="13" t="str">
        <f>INDEX(Кат!$H:$H,MATCH($A37,Кат!$A:$A,0))</f>
        <v>стт</v>
      </c>
    </row>
    <row r="38" spans="1:15" ht="30" x14ac:dyDescent="0.25">
      <c r="A38" s="22">
        <v>140123</v>
      </c>
      <c r="B38" s="22">
        <v>1507</v>
      </c>
      <c r="C38" s="23" t="s">
        <v>125</v>
      </c>
      <c r="D38" s="23" t="s">
        <v>31</v>
      </c>
      <c r="E38" s="23" t="s">
        <v>126</v>
      </c>
      <c r="F38" s="23" t="s">
        <v>127</v>
      </c>
      <c r="G38" s="23" t="s">
        <v>29</v>
      </c>
      <c r="H38" s="24">
        <v>4150</v>
      </c>
      <c r="I38" s="24">
        <v>5890</v>
      </c>
      <c r="J38" s="23"/>
      <c r="K38" s="23" t="s">
        <v>14</v>
      </c>
      <c r="L38" s="23"/>
      <c r="M38" s="23" t="s">
        <v>31</v>
      </c>
      <c r="N38" s="13" t="str">
        <f t="shared" si="0"/>
        <v>1</v>
      </c>
      <c r="O38" s="13" t="str">
        <f>INDEX(Кат!$H:$H,MATCH($A38,Кат!$A:$A,0))</f>
        <v>стт</v>
      </c>
    </row>
    <row r="39" spans="1:15" ht="30" x14ac:dyDescent="0.25">
      <c r="A39" s="22">
        <v>140124</v>
      </c>
      <c r="B39" s="22">
        <v>23196</v>
      </c>
      <c r="C39" s="23" t="s">
        <v>128</v>
      </c>
      <c r="D39" s="23" t="s">
        <v>31</v>
      </c>
      <c r="E39" s="23" t="s">
        <v>129</v>
      </c>
      <c r="F39" s="23" t="s">
        <v>129</v>
      </c>
      <c r="G39" s="23" t="s">
        <v>29</v>
      </c>
      <c r="H39" s="24">
        <v>4600</v>
      </c>
      <c r="I39" s="24">
        <v>6490</v>
      </c>
      <c r="J39" s="23"/>
      <c r="K39" s="23" t="s">
        <v>14</v>
      </c>
      <c r="L39" s="23"/>
      <c r="M39" s="23" t="s">
        <v>31</v>
      </c>
      <c r="N39" s="13" t="str">
        <f t="shared" si="0"/>
        <v>1</v>
      </c>
      <c r="O39" s="13" t="str">
        <f>INDEX(Кат!$H:$H,MATCH($A39,Кат!$A:$A,0))</f>
        <v>стт</v>
      </c>
    </row>
    <row r="40" spans="1:15" ht="30" x14ac:dyDescent="0.25">
      <c r="A40" s="22">
        <v>140125</v>
      </c>
      <c r="B40" s="22">
        <v>23201</v>
      </c>
      <c r="C40" s="23" t="s">
        <v>130</v>
      </c>
      <c r="D40" s="23" t="s">
        <v>31</v>
      </c>
      <c r="E40" s="23" t="s">
        <v>131</v>
      </c>
      <c r="F40" s="23" t="s">
        <v>132</v>
      </c>
      <c r="G40" s="23" t="s">
        <v>29</v>
      </c>
      <c r="H40" s="24">
        <v>3750</v>
      </c>
      <c r="I40" s="24">
        <v>5290</v>
      </c>
      <c r="J40" s="23"/>
      <c r="K40" s="23" t="s">
        <v>14</v>
      </c>
      <c r="L40" s="23"/>
      <c r="M40" s="23" t="s">
        <v>31</v>
      </c>
      <c r="N40" s="13" t="str">
        <f t="shared" si="0"/>
        <v>1</v>
      </c>
      <c r="O40" s="13" t="str">
        <f>INDEX(Кат!$H:$H,MATCH($A40,Кат!$A:$A,0))</f>
        <v>стт</v>
      </c>
    </row>
    <row r="41" spans="1:15" ht="60" x14ac:dyDescent="0.25">
      <c r="A41" s="22">
        <v>140127</v>
      </c>
      <c r="B41" s="22">
        <v>41679</v>
      </c>
      <c r="C41" s="23" t="s">
        <v>133</v>
      </c>
      <c r="D41" s="23" t="s">
        <v>31</v>
      </c>
      <c r="E41" s="23" t="s">
        <v>134</v>
      </c>
      <c r="F41" s="23" t="s">
        <v>134</v>
      </c>
      <c r="G41" s="23" t="s">
        <v>29</v>
      </c>
      <c r="H41" s="24">
        <v>2950</v>
      </c>
      <c r="I41" s="24">
        <v>4190</v>
      </c>
      <c r="J41" s="23"/>
      <c r="K41" s="23" t="s">
        <v>14</v>
      </c>
      <c r="L41" s="23"/>
      <c r="M41" s="23" t="s">
        <v>31</v>
      </c>
      <c r="N41" s="13" t="str">
        <f t="shared" si="0"/>
        <v>1</v>
      </c>
      <c r="O41" s="13" t="str">
        <f>INDEX(Кат!$H:$H,MATCH($A41,Кат!$A:$A,0))</f>
        <v>стт</v>
      </c>
    </row>
    <row r="42" spans="1:15" ht="75" x14ac:dyDescent="0.25">
      <c r="A42" s="22">
        <v>140126</v>
      </c>
      <c r="B42" s="22">
        <v>41682</v>
      </c>
      <c r="C42" s="23" t="s">
        <v>135</v>
      </c>
      <c r="D42" s="23" t="s">
        <v>31</v>
      </c>
      <c r="E42" s="23" t="s">
        <v>136</v>
      </c>
      <c r="F42" s="23" t="s">
        <v>136</v>
      </c>
      <c r="G42" s="23" t="s">
        <v>29</v>
      </c>
      <c r="H42" s="24">
        <v>5600</v>
      </c>
      <c r="I42" s="24">
        <v>7890</v>
      </c>
      <c r="J42" s="23"/>
      <c r="K42" s="23" t="s">
        <v>14</v>
      </c>
      <c r="L42" s="23"/>
      <c r="M42" s="23" t="s">
        <v>31</v>
      </c>
      <c r="N42" s="13" t="str">
        <f t="shared" si="0"/>
        <v>1</v>
      </c>
      <c r="O42" s="13" t="str">
        <f>INDEX(Кат!$H:$H,MATCH($A42,Кат!$A:$A,0))</f>
        <v>стт</v>
      </c>
    </row>
    <row r="43" spans="1:15" ht="30" x14ac:dyDescent="0.25">
      <c r="A43" s="22">
        <v>141026</v>
      </c>
      <c r="B43" s="22">
        <v>2374</v>
      </c>
      <c r="C43" s="23" t="s">
        <v>138</v>
      </c>
      <c r="D43" s="23" t="s">
        <v>31</v>
      </c>
      <c r="E43" s="23" t="s">
        <v>139</v>
      </c>
      <c r="F43" s="23" t="s">
        <v>139</v>
      </c>
      <c r="G43" s="23" t="s">
        <v>29</v>
      </c>
      <c r="H43" s="24">
        <v>6350</v>
      </c>
      <c r="I43" s="24">
        <v>8890</v>
      </c>
      <c r="J43" s="23"/>
      <c r="K43" s="23" t="s">
        <v>14</v>
      </c>
      <c r="L43" s="23"/>
      <c r="M43" s="23" t="s">
        <v>31</v>
      </c>
      <c r="N43" s="13" t="str">
        <f t="shared" si="0"/>
        <v>1</v>
      </c>
      <c r="O43" s="13" t="str">
        <f>INDEX(Кат!$H:$H,MATCH($A43,Кат!$A:$A,0))</f>
        <v>стт</v>
      </c>
    </row>
    <row r="44" spans="1:15" ht="30" x14ac:dyDescent="0.25">
      <c r="A44" s="22">
        <v>141030</v>
      </c>
      <c r="B44" s="22">
        <v>2347</v>
      </c>
      <c r="C44" s="23" t="s">
        <v>140</v>
      </c>
      <c r="D44" s="23" t="s">
        <v>31</v>
      </c>
      <c r="E44" s="23"/>
      <c r="F44" s="23"/>
      <c r="G44" s="23" t="s">
        <v>29</v>
      </c>
      <c r="H44" s="24">
        <v>0</v>
      </c>
      <c r="I44" s="24">
        <v>6590</v>
      </c>
      <c r="J44" s="23"/>
      <c r="K44" s="23" t="s">
        <v>73</v>
      </c>
      <c r="L44" s="23"/>
      <c r="M44" s="23" t="s">
        <v>31</v>
      </c>
      <c r="N44" s="13" t="str">
        <f t="shared" si="0"/>
        <v>0</v>
      </c>
      <c r="O44" s="13" t="str">
        <f>INDEX(Кат!$H:$H,MATCH($A44,Кат!$A:$A,0))</f>
        <v>стт</v>
      </c>
    </row>
    <row r="45" spans="1:15" ht="30" x14ac:dyDescent="0.25">
      <c r="A45" s="22">
        <v>141032</v>
      </c>
      <c r="B45" s="22">
        <v>2379</v>
      </c>
      <c r="C45" s="23" t="s">
        <v>141</v>
      </c>
      <c r="D45" s="23" t="s">
        <v>31</v>
      </c>
      <c r="E45" s="23" t="s">
        <v>142</v>
      </c>
      <c r="F45" s="23" t="s">
        <v>142</v>
      </c>
      <c r="G45" s="23" t="s">
        <v>29</v>
      </c>
      <c r="H45" s="24">
        <v>6350</v>
      </c>
      <c r="I45" s="24">
        <v>8890</v>
      </c>
      <c r="J45" s="23"/>
      <c r="K45" s="23" t="s">
        <v>14</v>
      </c>
      <c r="L45" s="23"/>
      <c r="M45" s="23" t="s">
        <v>31</v>
      </c>
      <c r="N45" s="13" t="str">
        <f t="shared" si="0"/>
        <v>1</v>
      </c>
      <c r="O45" s="13" t="str">
        <f>INDEX(Кат!$H:$H,MATCH($A45,Кат!$A:$A,0))</f>
        <v>стт</v>
      </c>
    </row>
    <row r="46" spans="1:15" ht="30" x14ac:dyDescent="0.25">
      <c r="A46" s="22">
        <v>141002</v>
      </c>
      <c r="B46" s="22">
        <v>13842</v>
      </c>
      <c r="C46" s="23" t="s">
        <v>143</v>
      </c>
      <c r="D46" s="23" t="s">
        <v>31</v>
      </c>
      <c r="E46" s="23" t="s">
        <v>144</v>
      </c>
      <c r="F46" s="23" t="s">
        <v>144</v>
      </c>
      <c r="G46" s="23" t="s">
        <v>29</v>
      </c>
      <c r="H46" s="24">
        <v>3000</v>
      </c>
      <c r="I46" s="24">
        <v>4190</v>
      </c>
      <c r="J46" s="23"/>
      <c r="K46" s="23" t="s">
        <v>14</v>
      </c>
      <c r="L46" s="23"/>
      <c r="M46" s="23" t="s">
        <v>31</v>
      </c>
      <c r="N46" s="13" t="str">
        <f t="shared" si="0"/>
        <v>1</v>
      </c>
      <c r="O46" s="13" t="str">
        <f>INDEX(Кат!$H:$H,MATCH($A46,Кат!$A:$A,0))</f>
        <v>стт</v>
      </c>
    </row>
    <row r="47" spans="1:15" ht="45" x14ac:dyDescent="0.25">
      <c r="A47" s="22">
        <v>141003</v>
      </c>
      <c r="B47" s="22">
        <v>23266</v>
      </c>
      <c r="C47" s="23" t="s">
        <v>145</v>
      </c>
      <c r="D47" s="23" t="s">
        <v>31</v>
      </c>
      <c r="E47" s="23" t="s">
        <v>146</v>
      </c>
      <c r="F47" s="23" t="s">
        <v>146</v>
      </c>
      <c r="G47" s="23" t="s">
        <v>29</v>
      </c>
      <c r="H47" s="24">
        <v>3000</v>
      </c>
      <c r="I47" s="24">
        <v>4190</v>
      </c>
      <c r="J47" s="23"/>
      <c r="K47" s="23" t="s">
        <v>14</v>
      </c>
      <c r="L47" s="23"/>
      <c r="M47" s="23" t="s">
        <v>31</v>
      </c>
      <c r="N47" s="13" t="str">
        <f t="shared" si="0"/>
        <v>1</v>
      </c>
      <c r="O47" s="13" t="str">
        <f>INDEX(Кат!$H:$H,MATCH($A47,Кат!$A:$A,0))</f>
        <v>стт</v>
      </c>
    </row>
    <row r="48" spans="1:15" ht="30" x14ac:dyDescent="0.25">
      <c r="A48" s="22">
        <v>141033</v>
      </c>
      <c r="B48" s="22">
        <v>2367</v>
      </c>
      <c r="C48" s="23" t="s">
        <v>147</v>
      </c>
      <c r="D48" s="23" t="s">
        <v>31</v>
      </c>
      <c r="E48" s="23" t="s">
        <v>148</v>
      </c>
      <c r="F48" s="23" t="s">
        <v>148</v>
      </c>
      <c r="G48" s="23" t="s">
        <v>29</v>
      </c>
      <c r="H48" s="24">
        <v>3000</v>
      </c>
      <c r="I48" s="24">
        <v>4190</v>
      </c>
      <c r="J48" s="23"/>
      <c r="K48" s="23" t="s">
        <v>14</v>
      </c>
      <c r="L48" s="23" t="s">
        <v>101</v>
      </c>
      <c r="M48" s="23"/>
      <c r="N48" s="13" t="str">
        <f t="shared" si="0"/>
        <v>1ск6</v>
      </c>
      <c r="O48" s="13" t="str">
        <f>INDEX(Кат!$H:$H,MATCH($A48,Кат!$A:$A,0))</f>
        <v>стт</v>
      </c>
    </row>
    <row r="49" spans="1:15" ht="45" x14ac:dyDescent="0.25">
      <c r="A49" s="22">
        <v>141034</v>
      </c>
      <c r="B49" s="22">
        <v>2377</v>
      </c>
      <c r="C49" s="23" t="s">
        <v>149</v>
      </c>
      <c r="D49" s="23" t="s">
        <v>31</v>
      </c>
      <c r="E49" s="23" t="s">
        <v>150</v>
      </c>
      <c r="F49" s="23" t="s">
        <v>150</v>
      </c>
      <c r="G49" s="23" t="s">
        <v>29</v>
      </c>
      <c r="H49" s="24">
        <v>6350</v>
      </c>
      <c r="I49" s="24">
        <v>8890</v>
      </c>
      <c r="J49" s="23"/>
      <c r="K49" s="23" t="s">
        <v>14</v>
      </c>
      <c r="L49" s="23"/>
      <c r="M49" s="23" t="s">
        <v>31</v>
      </c>
      <c r="N49" s="13" t="str">
        <f t="shared" si="0"/>
        <v>1</v>
      </c>
      <c r="O49" s="13" t="str">
        <f>INDEX(Кат!$H:$H,MATCH($A49,Кат!$A:$A,0))</f>
        <v>стт</v>
      </c>
    </row>
    <row r="50" spans="1:15" ht="45" x14ac:dyDescent="0.25">
      <c r="A50" s="22">
        <v>141004</v>
      </c>
      <c r="B50" s="22">
        <v>23267</v>
      </c>
      <c r="C50" s="23" t="s">
        <v>151</v>
      </c>
      <c r="D50" s="23" t="s">
        <v>31</v>
      </c>
      <c r="E50" s="23" t="s">
        <v>152</v>
      </c>
      <c r="F50" s="23" t="s">
        <v>152</v>
      </c>
      <c r="G50" s="23" t="s">
        <v>29</v>
      </c>
      <c r="H50" s="24">
        <v>6350</v>
      </c>
      <c r="I50" s="24">
        <v>8890</v>
      </c>
      <c r="J50" s="23"/>
      <c r="K50" s="23" t="s">
        <v>14</v>
      </c>
      <c r="L50" s="23"/>
      <c r="M50" s="23" t="s">
        <v>31</v>
      </c>
      <c r="N50" s="13" t="str">
        <f t="shared" si="0"/>
        <v>1</v>
      </c>
      <c r="O50" s="13" t="str">
        <f>INDEX(Кат!$H:$H,MATCH($A50,Кат!$A:$A,0))</f>
        <v>стт</v>
      </c>
    </row>
    <row r="51" spans="1:15" ht="45" x14ac:dyDescent="0.25">
      <c r="A51" s="22">
        <v>141005</v>
      </c>
      <c r="B51" s="22">
        <v>23258</v>
      </c>
      <c r="C51" s="23" t="s">
        <v>153</v>
      </c>
      <c r="D51" s="23" t="s">
        <v>31</v>
      </c>
      <c r="E51" s="23" t="s">
        <v>154</v>
      </c>
      <c r="F51" s="23" t="s">
        <v>154</v>
      </c>
      <c r="G51" s="23" t="s">
        <v>29</v>
      </c>
      <c r="H51" s="24">
        <v>6350</v>
      </c>
      <c r="I51" s="24">
        <v>8890</v>
      </c>
      <c r="J51" s="23"/>
      <c r="K51" s="23" t="s">
        <v>14</v>
      </c>
      <c r="L51" s="23"/>
      <c r="M51" s="23" t="s">
        <v>31</v>
      </c>
      <c r="N51" s="13" t="str">
        <f t="shared" si="0"/>
        <v>1</v>
      </c>
      <c r="O51" s="13" t="str">
        <f>INDEX(Кат!$H:$H,MATCH($A51,Кат!$A:$A,0))</f>
        <v>стт</v>
      </c>
    </row>
    <row r="52" spans="1:15" ht="45" x14ac:dyDescent="0.25">
      <c r="A52" s="22">
        <v>141007</v>
      </c>
      <c r="B52" s="22">
        <v>23269</v>
      </c>
      <c r="C52" s="23" t="s">
        <v>155</v>
      </c>
      <c r="D52" s="23" t="s">
        <v>31</v>
      </c>
      <c r="E52" s="23" t="s">
        <v>156</v>
      </c>
      <c r="F52" s="23" t="s">
        <v>156</v>
      </c>
      <c r="G52" s="23" t="s">
        <v>29</v>
      </c>
      <c r="H52" s="24">
        <v>6350</v>
      </c>
      <c r="I52" s="24">
        <v>8890</v>
      </c>
      <c r="J52" s="23"/>
      <c r="K52" s="23" t="s">
        <v>14</v>
      </c>
      <c r="L52" s="23"/>
      <c r="M52" s="23" t="s">
        <v>31</v>
      </c>
      <c r="N52" s="13" t="str">
        <f t="shared" si="0"/>
        <v>1</v>
      </c>
      <c r="O52" s="13" t="str">
        <f>INDEX(Кат!$H:$H,MATCH($A52,Кат!$A:$A,0))</f>
        <v>стт</v>
      </c>
    </row>
    <row r="53" spans="1:15" ht="45" x14ac:dyDescent="0.25">
      <c r="A53" s="22">
        <v>141008</v>
      </c>
      <c r="B53" s="22">
        <v>23271</v>
      </c>
      <c r="C53" s="23" t="s">
        <v>157</v>
      </c>
      <c r="D53" s="23" t="s">
        <v>31</v>
      </c>
      <c r="E53" s="23" t="s">
        <v>158</v>
      </c>
      <c r="F53" s="23" t="s">
        <v>158</v>
      </c>
      <c r="G53" s="23" t="s">
        <v>29</v>
      </c>
      <c r="H53" s="24">
        <v>6350</v>
      </c>
      <c r="I53" s="24">
        <v>8890</v>
      </c>
      <c r="J53" s="23"/>
      <c r="K53" s="23" t="s">
        <v>14</v>
      </c>
      <c r="L53" s="23" t="s">
        <v>101</v>
      </c>
      <c r="M53" s="23"/>
      <c r="N53" s="13" t="str">
        <f t="shared" si="0"/>
        <v>1ск6</v>
      </c>
      <c r="O53" s="13" t="str">
        <f>INDEX(Кат!$H:$H,MATCH($A53,Кат!$A:$A,0))</f>
        <v>стт</v>
      </c>
    </row>
    <row r="54" spans="1:15" ht="45" x14ac:dyDescent="0.25">
      <c r="A54" s="22">
        <v>141010</v>
      </c>
      <c r="B54" s="22">
        <v>2384</v>
      </c>
      <c r="C54" s="23" t="s">
        <v>159</v>
      </c>
      <c r="D54" s="23" t="s">
        <v>31</v>
      </c>
      <c r="E54" s="23" t="s">
        <v>160</v>
      </c>
      <c r="F54" s="23" t="s">
        <v>160</v>
      </c>
      <c r="G54" s="23" t="s">
        <v>29</v>
      </c>
      <c r="H54" s="24">
        <v>6350</v>
      </c>
      <c r="I54" s="24">
        <v>8890</v>
      </c>
      <c r="J54" s="23"/>
      <c r="K54" s="23" t="s">
        <v>14</v>
      </c>
      <c r="L54" s="23"/>
      <c r="M54" s="23" t="s">
        <v>31</v>
      </c>
      <c r="N54" s="13" t="str">
        <f t="shared" si="0"/>
        <v>1</v>
      </c>
      <c r="O54" s="13" t="str">
        <f>INDEX(Кат!$H:$H,MATCH($A54,Кат!$A:$A,0))</f>
        <v>стт</v>
      </c>
    </row>
    <row r="55" spans="1:15" ht="45" x14ac:dyDescent="0.25">
      <c r="A55" s="22">
        <v>141011</v>
      </c>
      <c r="B55" s="22">
        <v>41807</v>
      </c>
      <c r="C55" s="23" t="s">
        <v>161</v>
      </c>
      <c r="D55" s="23" t="s">
        <v>31</v>
      </c>
      <c r="E55" s="23" t="s">
        <v>162</v>
      </c>
      <c r="F55" s="23" t="s">
        <v>162</v>
      </c>
      <c r="G55" s="23" t="s">
        <v>29</v>
      </c>
      <c r="H55" s="24">
        <v>6750</v>
      </c>
      <c r="I55" s="24">
        <v>9490</v>
      </c>
      <c r="J55" s="23"/>
      <c r="K55" s="23" t="s">
        <v>14</v>
      </c>
      <c r="L55" s="23"/>
      <c r="M55" s="23" t="s">
        <v>31</v>
      </c>
      <c r="N55" s="13" t="str">
        <f t="shared" si="0"/>
        <v>1</v>
      </c>
      <c r="O55" s="13" t="str">
        <f>INDEX(Кат!$H:$H,MATCH($A55,Кат!$A:$A,0))</f>
        <v>стт</v>
      </c>
    </row>
    <row r="56" spans="1:15" ht="30" x14ac:dyDescent="0.25">
      <c r="A56" s="22">
        <v>141012</v>
      </c>
      <c r="B56" s="22">
        <v>23255</v>
      </c>
      <c r="C56" s="23" t="s">
        <v>163</v>
      </c>
      <c r="D56" s="23" t="s">
        <v>31</v>
      </c>
      <c r="E56" s="23" t="s">
        <v>164</v>
      </c>
      <c r="F56" s="23" t="s">
        <v>164</v>
      </c>
      <c r="G56" s="23" t="s">
        <v>29</v>
      </c>
      <c r="H56" s="24">
        <v>3550</v>
      </c>
      <c r="I56" s="24">
        <v>4990</v>
      </c>
      <c r="J56" s="23"/>
      <c r="K56" s="23" t="s">
        <v>14</v>
      </c>
      <c r="L56" s="23"/>
      <c r="M56" s="23" t="s">
        <v>31</v>
      </c>
      <c r="N56" s="13" t="str">
        <f t="shared" si="0"/>
        <v>1</v>
      </c>
      <c r="O56" s="13" t="str">
        <f>INDEX(Кат!$H:$H,MATCH($A56,Кат!$A:$A,0))</f>
        <v>стт</v>
      </c>
    </row>
    <row r="57" spans="1:15" ht="30" x14ac:dyDescent="0.25">
      <c r="A57" s="22">
        <v>141013</v>
      </c>
      <c r="B57" s="22">
        <v>23268</v>
      </c>
      <c r="C57" s="23" t="s">
        <v>165</v>
      </c>
      <c r="D57" s="23" t="s">
        <v>31</v>
      </c>
      <c r="E57" s="23" t="s">
        <v>166</v>
      </c>
      <c r="F57" s="23" t="s">
        <v>166</v>
      </c>
      <c r="G57" s="23" t="s">
        <v>29</v>
      </c>
      <c r="H57" s="24">
        <v>3000</v>
      </c>
      <c r="I57" s="24">
        <v>4190</v>
      </c>
      <c r="J57" s="23"/>
      <c r="K57" s="23" t="s">
        <v>14</v>
      </c>
      <c r="L57" s="23"/>
      <c r="M57" s="23" t="s">
        <v>31</v>
      </c>
      <c r="N57" s="13" t="str">
        <f t="shared" si="0"/>
        <v>1</v>
      </c>
      <c r="O57" s="13" t="str">
        <f>INDEX(Кат!$H:$H,MATCH($A57,Кат!$A:$A,0))</f>
        <v>стт</v>
      </c>
    </row>
    <row r="58" spans="1:15" ht="30" x14ac:dyDescent="0.25">
      <c r="A58" s="22">
        <v>141014</v>
      </c>
      <c r="B58" s="22">
        <v>23270</v>
      </c>
      <c r="C58" s="23" t="s">
        <v>167</v>
      </c>
      <c r="D58" s="23" t="s">
        <v>31</v>
      </c>
      <c r="E58" s="23" t="s">
        <v>168</v>
      </c>
      <c r="F58" s="23" t="s">
        <v>168</v>
      </c>
      <c r="G58" s="23" t="s">
        <v>29</v>
      </c>
      <c r="H58" s="24">
        <v>3000</v>
      </c>
      <c r="I58" s="24">
        <v>4190</v>
      </c>
      <c r="J58" s="23"/>
      <c r="K58" s="23" t="s">
        <v>14</v>
      </c>
      <c r="L58" s="23"/>
      <c r="M58" s="23" t="s">
        <v>31</v>
      </c>
      <c r="N58" s="13" t="str">
        <f t="shared" si="0"/>
        <v>1</v>
      </c>
      <c r="O58" s="13" t="str">
        <f>INDEX(Кат!$H:$H,MATCH($A58,Кат!$A:$A,0))</f>
        <v>стт</v>
      </c>
    </row>
    <row r="59" spans="1:15" ht="45" x14ac:dyDescent="0.25">
      <c r="A59" s="22">
        <v>141035</v>
      </c>
      <c r="B59" s="22">
        <v>2378</v>
      </c>
      <c r="C59" s="23" t="s">
        <v>169</v>
      </c>
      <c r="D59" s="23" t="s">
        <v>31</v>
      </c>
      <c r="E59" s="23" t="s">
        <v>170</v>
      </c>
      <c r="F59" s="23" t="s">
        <v>170</v>
      </c>
      <c r="G59" s="23" t="s">
        <v>29</v>
      </c>
      <c r="H59" s="24">
        <v>3000</v>
      </c>
      <c r="I59" s="24">
        <v>4190</v>
      </c>
      <c r="J59" s="23"/>
      <c r="K59" s="23" t="s">
        <v>14</v>
      </c>
      <c r="L59" s="23"/>
      <c r="M59" s="23" t="s">
        <v>31</v>
      </c>
      <c r="N59" s="13" t="str">
        <f t="shared" si="0"/>
        <v>1</v>
      </c>
      <c r="O59" s="13" t="str">
        <f>INDEX(Кат!$H:$H,MATCH($A59,Кат!$A:$A,0))</f>
        <v>стт</v>
      </c>
    </row>
    <row r="60" spans="1:15" ht="45" x14ac:dyDescent="0.25">
      <c r="A60" s="22">
        <v>141015</v>
      </c>
      <c r="B60" s="22">
        <v>2386</v>
      </c>
      <c r="C60" s="23" t="s">
        <v>171</v>
      </c>
      <c r="D60" s="23" t="s">
        <v>31</v>
      </c>
      <c r="E60" s="23" t="s">
        <v>172</v>
      </c>
      <c r="F60" s="23" t="s">
        <v>172</v>
      </c>
      <c r="G60" s="23" t="s">
        <v>29</v>
      </c>
      <c r="H60" s="24">
        <v>3000</v>
      </c>
      <c r="I60" s="24">
        <v>4190</v>
      </c>
      <c r="J60" s="23"/>
      <c r="K60" s="23" t="s">
        <v>14</v>
      </c>
      <c r="L60" s="23"/>
      <c r="M60" s="23" t="s">
        <v>31</v>
      </c>
      <c r="N60" s="13" t="str">
        <f t="shared" si="0"/>
        <v>1</v>
      </c>
      <c r="O60" s="13" t="str">
        <f>INDEX(Кат!$H:$H,MATCH($A60,Кат!$A:$A,0))</f>
        <v>стт</v>
      </c>
    </row>
    <row r="61" spans="1:15" ht="45" x14ac:dyDescent="0.25">
      <c r="A61" s="22">
        <v>141018</v>
      </c>
      <c r="B61" s="22">
        <v>23257</v>
      </c>
      <c r="C61" s="23" t="s">
        <v>173</v>
      </c>
      <c r="D61" s="23" t="s">
        <v>31</v>
      </c>
      <c r="E61" s="23" t="s">
        <v>174</v>
      </c>
      <c r="F61" s="23" t="s">
        <v>174</v>
      </c>
      <c r="G61" s="23" t="s">
        <v>29</v>
      </c>
      <c r="H61" s="24">
        <v>6350</v>
      </c>
      <c r="I61" s="24">
        <v>8890</v>
      </c>
      <c r="J61" s="23"/>
      <c r="K61" s="23" t="s">
        <v>14</v>
      </c>
      <c r="L61" s="23"/>
      <c r="M61" s="23" t="s">
        <v>31</v>
      </c>
      <c r="N61" s="13" t="str">
        <f t="shared" si="0"/>
        <v>1</v>
      </c>
      <c r="O61" s="13" t="str">
        <f>INDEX(Кат!$H:$H,MATCH($A61,Кат!$A:$A,0))</f>
        <v>стт</v>
      </c>
    </row>
    <row r="62" spans="1:15" ht="45" x14ac:dyDescent="0.25">
      <c r="A62" s="22">
        <v>141022</v>
      </c>
      <c r="B62" s="22">
        <v>41846</v>
      </c>
      <c r="C62" s="23" t="s">
        <v>175</v>
      </c>
      <c r="D62" s="23" t="s">
        <v>31</v>
      </c>
      <c r="E62" s="23" t="s">
        <v>176</v>
      </c>
      <c r="F62" s="23" t="s">
        <v>176</v>
      </c>
      <c r="G62" s="23" t="s">
        <v>29</v>
      </c>
      <c r="H62" s="24">
        <v>3550</v>
      </c>
      <c r="I62" s="24">
        <v>4990</v>
      </c>
      <c r="J62" s="23"/>
      <c r="K62" s="23" t="s">
        <v>14</v>
      </c>
      <c r="L62" s="23"/>
      <c r="M62" s="23" t="s">
        <v>31</v>
      </c>
      <c r="N62" s="13" t="str">
        <f t="shared" si="0"/>
        <v>1</v>
      </c>
      <c r="O62" s="13" t="str">
        <f>INDEX(Кат!$H:$H,MATCH($A62,Кат!$A:$A,0))</f>
        <v>стт</v>
      </c>
    </row>
    <row r="63" spans="1:15" ht="30" x14ac:dyDescent="0.25">
      <c r="A63" s="22">
        <v>141025</v>
      </c>
      <c r="B63" s="22">
        <v>2366</v>
      </c>
      <c r="C63" s="23" t="s">
        <v>618</v>
      </c>
      <c r="D63" s="23" t="s">
        <v>31</v>
      </c>
      <c r="E63" s="23" t="s">
        <v>137</v>
      </c>
      <c r="F63" s="23" t="s">
        <v>137</v>
      </c>
      <c r="G63" s="23" t="s">
        <v>29</v>
      </c>
      <c r="H63" s="24">
        <v>6350</v>
      </c>
      <c r="I63" s="24">
        <v>8890</v>
      </c>
      <c r="J63" s="23"/>
      <c r="K63" s="23" t="s">
        <v>14</v>
      </c>
      <c r="L63" s="23"/>
      <c r="M63" s="23" t="s">
        <v>31</v>
      </c>
      <c r="N63" s="13" t="str">
        <f t="shared" si="0"/>
        <v>1</v>
      </c>
      <c r="O63" s="13" t="str">
        <f>INDEX(Кат!$H:$H,MATCH($A63,Кат!$A:$A,0))</f>
        <v>стт</v>
      </c>
    </row>
    <row r="64" spans="1:15" ht="45" x14ac:dyDescent="0.25">
      <c r="A64" s="22">
        <v>141021</v>
      </c>
      <c r="B64" s="22">
        <v>41833</v>
      </c>
      <c r="C64" s="23" t="s">
        <v>177</v>
      </c>
      <c r="D64" s="23" t="s">
        <v>31</v>
      </c>
      <c r="E64" s="23" t="s">
        <v>178</v>
      </c>
      <c r="F64" s="23" t="s">
        <v>178</v>
      </c>
      <c r="G64" s="23" t="s">
        <v>29</v>
      </c>
      <c r="H64" s="24">
        <v>3550</v>
      </c>
      <c r="I64" s="24">
        <v>4990</v>
      </c>
      <c r="J64" s="23"/>
      <c r="K64" s="23" t="s">
        <v>14</v>
      </c>
      <c r="L64" s="23"/>
      <c r="M64" s="23" t="s">
        <v>31</v>
      </c>
      <c r="N64" s="13" t="str">
        <f t="shared" si="0"/>
        <v>1</v>
      </c>
      <c r="O64" s="13" t="str">
        <f>INDEX(Кат!$H:$H,MATCH($A64,Кат!$A:$A,0))</f>
        <v>стт</v>
      </c>
    </row>
    <row r="65" spans="1:15" ht="45" x14ac:dyDescent="0.25">
      <c r="A65" s="22">
        <v>141006</v>
      </c>
      <c r="B65" s="22">
        <v>41791</v>
      </c>
      <c r="C65" s="23" t="s">
        <v>179</v>
      </c>
      <c r="D65" s="23" t="s">
        <v>31</v>
      </c>
      <c r="E65" s="23" t="s">
        <v>180</v>
      </c>
      <c r="F65" s="23" t="s">
        <v>180</v>
      </c>
      <c r="G65" s="23" t="s">
        <v>29</v>
      </c>
      <c r="H65" s="24">
        <v>6750</v>
      </c>
      <c r="I65" s="24">
        <v>9490</v>
      </c>
      <c r="J65" s="23"/>
      <c r="K65" s="23" t="s">
        <v>14</v>
      </c>
      <c r="L65" s="23" t="s">
        <v>101</v>
      </c>
      <c r="M65" s="23"/>
      <c r="N65" s="13" t="str">
        <f t="shared" si="0"/>
        <v>1ск6</v>
      </c>
      <c r="O65" s="13" t="str">
        <f>INDEX(Кат!$H:$H,MATCH($A65,Кат!$A:$A,0))</f>
        <v>стт</v>
      </c>
    </row>
    <row r="66" spans="1:15" ht="45" x14ac:dyDescent="0.25">
      <c r="A66" s="22">
        <v>141009</v>
      </c>
      <c r="B66" s="22">
        <v>41805</v>
      </c>
      <c r="C66" s="23" t="s">
        <v>181</v>
      </c>
      <c r="D66" s="23" t="s">
        <v>31</v>
      </c>
      <c r="E66" s="23" t="s">
        <v>182</v>
      </c>
      <c r="F66" s="23" t="s">
        <v>182</v>
      </c>
      <c r="G66" s="23" t="s">
        <v>29</v>
      </c>
      <c r="H66" s="24">
        <v>6350</v>
      </c>
      <c r="I66" s="24">
        <v>8890</v>
      </c>
      <c r="J66" s="23"/>
      <c r="K66" s="23" t="s">
        <v>14</v>
      </c>
      <c r="L66" s="23"/>
      <c r="M66" s="23" t="s">
        <v>31</v>
      </c>
      <c r="N66" s="13" t="str">
        <f t="shared" si="0"/>
        <v>1</v>
      </c>
      <c r="O66" s="13" t="str">
        <f>INDEX(Кат!$H:$H,MATCH($A66,Кат!$A:$A,0))</f>
        <v>стт</v>
      </c>
    </row>
    <row r="67" spans="1:15" ht="30" x14ac:dyDescent="0.25">
      <c r="A67" s="22">
        <v>141281</v>
      </c>
      <c r="B67" s="22">
        <v>2352</v>
      </c>
      <c r="C67" s="23" t="s">
        <v>183</v>
      </c>
      <c r="D67" s="23" t="s">
        <v>31</v>
      </c>
      <c r="E67" s="23" t="s">
        <v>184</v>
      </c>
      <c r="F67" s="23" t="s">
        <v>184</v>
      </c>
      <c r="G67" s="23" t="s">
        <v>29</v>
      </c>
      <c r="H67" s="24">
        <v>3000</v>
      </c>
      <c r="I67" s="24">
        <v>4190</v>
      </c>
      <c r="J67" s="23"/>
      <c r="K67" s="23" t="s">
        <v>14</v>
      </c>
      <c r="L67" s="23"/>
      <c r="M67" s="23" t="s">
        <v>31</v>
      </c>
      <c r="N67" s="13" t="str">
        <f t="shared" ref="N67:N130" si="1">_xlfn.CONCAT(K67,IF(L67&lt;&gt;"",_xlfn.CONCAT("ск",L67),""))</f>
        <v>1</v>
      </c>
      <c r="O67" s="13" t="str">
        <f>INDEX(Кат!$H:$H,MATCH($A67,Кат!$A:$A,0))</f>
        <v>стт</v>
      </c>
    </row>
    <row r="68" spans="1:15" ht="30" x14ac:dyDescent="0.25">
      <c r="A68" s="22">
        <v>141024</v>
      </c>
      <c r="B68" s="22">
        <v>2341</v>
      </c>
      <c r="C68" s="23" t="s">
        <v>185</v>
      </c>
      <c r="D68" s="23" t="s">
        <v>31</v>
      </c>
      <c r="E68" s="23" t="s">
        <v>186</v>
      </c>
      <c r="F68" s="23" t="s">
        <v>187</v>
      </c>
      <c r="G68" s="23" t="s">
        <v>29</v>
      </c>
      <c r="H68" s="24">
        <v>3000</v>
      </c>
      <c r="I68" s="24">
        <v>4190</v>
      </c>
      <c r="J68" s="23"/>
      <c r="K68" s="23" t="s">
        <v>14</v>
      </c>
      <c r="L68" s="23" t="s">
        <v>101</v>
      </c>
      <c r="M68" s="23"/>
      <c r="N68" s="13" t="str">
        <f t="shared" si="1"/>
        <v>1ск6</v>
      </c>
      <c r="O68" s="13" t="str">
        <f>INDEX(Кат!$H:$H,MATCH($A68,Кат!$A:$A,0))</f>
        <v>стт</v>
      </c>
    </row>
    <row r="69" spans="1:15" ht="30" x14ac:dyDescent="0.25">
      <c r="A69" s="22">
        <v>141027</v>
      </c>
      <c r="B69" s="22">
        <v>2373</v>
      </c>
      <c r="C69" s="23" t="s">
        <v>188</v>
      </c>
      <c r="D69" s="23" t="s">
        <v>31</v>
      </c>
      <c r="E69" s="23" t="s">
        <v>189</v>
      </c>
      <c r="F69" s="23" t="s">
        <v>190</v>
      </c>
      <c r="G69" s="23" t="s">
        <v>29</v>
      </c>
      <c r="H69" s="24">
        <v>3000</v>
      </c>
      <c r="I69" s="24">
        <v>4190</v>
      </c>
      <c r="J69" s="23"/>
      <c r="K69" s="23" t="s">
        <v>14</v>
      </c>
      <c r="L69" s="23"/>
      <c r="M69" s="23" t="s">
        <v>31</v>
      </c>
      <c r="N69" s="13" t="str">
        <f t="shared" si="1"/>
        <v>1</v>
      </c>
      <c r="O69" s="13" t="str">
        <f>INDEX(Кат!$H:$H,MATCH($A69,Кат!$A:$A,0))</f>
        <v>стт</v>
      </c>
    </row>
    <row r="70" spans="1:15" ht="30" x14ac:dyDescent="0.25">
      <c r="A70" s="22">
        <v>141028</v>
      </c>
      <c r="B70" s="22">
        <v>17066</v>
      </c>
      <c r="C70" s="23" t="s">
        <v>191</v>
      </c>
      <c r="D70" s="23" t="s">
        <v>31</v>
      </c>
      <c r="E70" s="23" t="s">
        <v>192</v>
      </c>
      <c r="F70" s="23" t="s">
        <v>193</v>
      </c>
      <c r="G70" s="23" t="s">
        <v>29</v>
      </c>
      <c r="H70" s="24">
        <v>3000</v>
      </c>
      <c r="I70" s="24">
        <v>4190</v>
      </c>
      <c r="J70" s="23"/>
      <c r="K70" s="23" t="s">
        <v>14</v>
      </c>
      <c r="L70" s="23"/>
      <c r="M70" s="23" t="s">
        <v>31</v>
      </c>
      <c r="N70" s="13" t="str">
        <f t="shared" si="1"/>
        <v>1</v>
      </c>
      <c r="O70" s="13" t="str">
        <f>INDEX(Кат!$H:$H,MATCH($A70,Кат!$A:$A,0))</f>
        <v>стт</v>
      </c>
    </row>
    <row r="71" spans="1:15" ht="30" x14ac:dyDescent="0.25">
      <c r="A71" s="22">
        <v>141029</v>
      </c>
      <c r="B71" s="22">
        <v>2345</v>
      </c>
      <c r="C71" s="23" t="s">
        <v>194</v>
      </c>
      <c r="D71" s="23" t="s">
        <v>31</v>
      </c>
      <c r="E71" s="23" t="s">
        <v>195</v>
      </c>
      <c r="F71" s="23" t="s">
        <v>196</v>
      </c>
      <c r="G71" s="23" t="s">
        <v>29</v>
      </c>
      <c r="H71" s="24">
        <v>3000</v>
      </c>
      <c r="I71" s="24">
        <v>4190</v>
      </c>
      <c r="J71" s="23"/>
      <c r="K71" s="23" t="s">
        <v>14</v>
      </c>
      <c r="L71" s="23"/>
      <c r="M71" s="23" t="s">
        <v>31</v>
      </c>
      <c r="N71" s="13" t="str">
        <f t="shared" si="1"/>
        <v>1</v>
      </c>
      <c r="O71" s="13" t="str">
        <f>INDEX(Кат!$H:$H,MATCH($A71,Кат!$A:$A,0))</f>
        <v>стт</v>
      </c>
    </row>
    <row r="72" spans="1:15" ht="45" x14ac:dyDescent="0.25">
      <c r="A72" s="22">
        <v>141019</v>
      </c>
      <c r="B72" s="22">
        <v>41840</v>
      </c>
      <c r="C72" s="23" t="s">
        <v>197</v>
      </c>
      <c r="D72" s="23" t="s">
        <v>31</v>
      </c>
      <c r="E72" s="23" t="s">
        <v>198</v>
      </c>
      <c r="F72" s="23" t="s">
        <v>198</v>
      </c>
      <c r="G72" s="23" t="s">
        <v>29</v>
      </c>
      <c r="H72" s="24">
        <v>3000</v>
      </c>
      <c r="I72" s="24">
        <v>4190</v>
      </c>
      <c r="J72" s="23"/>
      <c r="K72" s="23" t="s">
        <v>14</v>
      </c>
      <c r="L72" s="23"/>
      <c r="M72" s="23" t="s">
        <v>31</v>
      </c>
      <c r="N72" s="13" t="str">
        <f t="shared" si="1"/>
        <v>1</v>
      </c>
      <c r="O72" s="13" t="str">
        <f>INDEX(Кат!$H:$H,MATCH($A72,Кат!$A:$A,0))</f>
        <v>стт</v>
      </c>
    </row>
    <row r="73" spans="1:15" ht="30" x14ac:dyDescent="0.25">
      <c r="A73" s="22">
        <v>141016</v>
      </c>
      <c r="B73" s="22">
        <v>23272</v>
      </c>
      <c r="C73" s="23" t="s">
        <v>199</v>
      </c>
      <c r="D73" s="23" t="s">
        <v>31</v>
      </c>
      <c r="E73" s="23" t="s">
        <v>200</v>
      </c>
      <c r="F73" s="23" t="s">
        <v>200</v>
      </c>
      <c r="G73" s="23" t="s">
        <v>29</v>
      </c>
      <c r="H73" s="24">
        <v>3300</v>
      </c>
      <c r="I73" s="24">
        <v>4690</v>
      </c>
      <c r="J73" s="23"/>
      <c r="K73" s="23" t="s">
        <v>14</v>
      </c>
      <c r="L73" s="23"/>
      <c r="M73" s="23" t="s">
        <v>31</v>
      </c>
      <c r="N73" s="13" t="str">
        <f t="shared" si="1"/>
        <v>1</v>
      </c>
      <c r="O73" s="13" t="str">
        <f>INDEX(Кат!$H:$H,MATCH($A73,Кат!$A:$A,0))</f>
        <v>стт</v>
      </c>
    </row>
    <row r="74" spans="1:15" ht="45" x14ac:dyDescent="0.25">
      <c r="A74" s="22">
        <v>141282</v>
      </c>
      <c r="B74" s="22">
        <v>2357</v>
      </c>
      <c r="C74" s="23" t="s">
        <v>201</v>
      </c>
      <c r="D74" s="23" t="s">
        <v>31</v>
      </c>
      <c r="E74" s="23" t="s">
        <v>202</v>
      </c>
      <c r="F74" s="23" t="s">
        <v>202</v>
      </c>
      <c r="G74" s="23" t="s">
        <v>29</v>
      </c>
      <c r="H74" s="24">
        <v>3000</v>
      </c>
      <c r="I74" s="24">
        <v>4190</v>
      </c>
      <c r="J74" s="23"/>
      <c r="K74" s="23" t="s">
        <v>14</v>
      </c>
      <c r="L74" s="23"/>
      <c r="M74" s="23" t="s">
        <v>31</v>
      </c>
      <c r="N74" s="13" t="str">
        <f t="shared" si="1"/>
        <v>1</v>
      </c>
      <c r="O74" s="13" t="str">
        <f>INDEX(Кат!$H:$H,MATCH($A74,Кат!$A:$A,0))</f>
        <v>стт</v>
      </c>
    </row>
    <row r="75" spans="1:15" ht="30" x14ac:dyDescent="0.25">
      <c r="A75" s="22">
        <v>141283</v>
      </c>
      <c r="B75" s="22">
        <v>2358</v>
      </c>
      <c r="C75" s="23" t="s">
        <v>203</v>
      </c>
      <c r="D75" s="23" t="s">
        <v>31</v>
      </c>
      <c r="E75" s="23" t="s">
        <v>204</v>
      </c>
      <c r="F75" s="23" t="s">
        <v>204</v>
      </c>
      <c r="G75" s="23" t="s">
        <v>29</v>
      </c>
      <c r="H75" s="24">
        <v>3000</v>
      </c>
      <c r="I75" s="24">
        <v>4190</v>
      </c>
      <c r="J75" s="23"/>
      <c r="K75" s="23" t="s">
        <v>14</v>
      </c>
      <c r="L75" s="23"/>
      <c r="M75" s="23" t="s">
        <v>31</v>
      </c>
      <c r="N75" s="13" t="str">
        <f t="shared" si="1"/>
        <v>1</v>
      </c>
      <c r="O75" s="13" t="str">
        <f>INDEX(Кат!$H:$H,MATCH($A75,Кат!$A:$A,0))</f>
        <v>стт</v>
      </c>
    </row>
    <row r="76" spans="1:15" ht="30" x14ac:dyDescent="0.25">
      <c r="A76" s="22">
        <v>141017</v>
      </c>
      <c r="B76" s="22">
        <v>23250</v>
      </c>
      <c r="C76" s="23" t="s">
        <v>205</v>
      </c>
      <c r="D76" s="23" t="s">
        <v>31</v>
      </c>
      <c r="E76" s="23" t="s">
        <v>206</v>
      </c>
      <c r="F76" s="23" t="s">
        <v>206</v>
      </c>
      <c r="G76" s="23" t="s">
        <v>29</v>
      </c>
      <c r="H76" s="24">
        <v>3300</v>
      </c>
      <c r="I76" s="24">
        <v>4690</v>
      </c>
      <c r="J76" s="23"/>
      <c r="K76" s="23" t="s">
        <v>14</v>
      </c>
      <c r="L76" s="23"/>
      <c r="M76" s="23" t="s">
        <v>31</v>
      </c>
      <c r="N76" s="13" t="str">
        <f t="shared" si="1"/>
        <v>1</v>
      </c>
      <c r="O76" s="13" t="str">
        <f>INDEX(Кат!$H:$H,MATCH($A76,Кат!$A:$A,0))</f>
        <v>стт</v>
      </c>
    </row>
    <row r="77" spans="1:15" ht="30" x14ac:dyDescent="0.25">
      <c r="A77" s="22">
        <v>141031</v>
      </c>
      <c r="B77" s="22">
        <v>2381</v>
      </c>
      <c r="C77" s="23" t="s">
        <v>207</v>
      </c>
      <c r="D77" s="23" t="s">
        <v>31</v>
      </c>
      <c r="E77" s="23" t="s">
        <v>208</v>
      </c>
      <c r="F77" s="23" t="s">
        <v>208</v>
      </c>
      <c r="G77" s="23" t="s">
        <v>29</v>
      </c>
      <c r="H77" s="24">
        <v>3000</v>
      </c>
      <c r="I77" s="24">
        <v>4190</v>
      </c>
      <c r="J77" s="23"/>
      <c r="K77" s="23" t="s">
        <v>14</v>
      </c>
      <c r="L77" s="23"/>
      <c r="M77" s="23" t="s">
        <v>31</v>
      </c>
      <c r="N77" s="13" t="str">
        <f t="shared" si="1"/>
        <v>1</v>
      </c>
      <c r="O77" s="13" t="str">
        <f>INDEX(Кат!$H:$H,MATCH($A77,Кат!$A:$A,0))</f>
        <v>стт</v>
      </c>
    </row>
    <row r="78" spans="1:15" ht="30" x14ac:dyDescent="0.25">
      <c r="A78" s="22">
        <v>141284</v>
      </c>
      <c r="B78" s="22">
        <v>2356</v>
      </c>
      <c r="C78" s="23" t="s">
        <v>209</v>
      </c>
      <c r="D78" s="23" t="s">
        <v>31</v>
      </c>
      <c r="E78" s="23" t="s">
        <v>210</v>
      </c>
      <c r="F78" s="23" t="s">
        <v>210</v>
      </c>
      <c r="G78" s="23" t="s">
        <v>29</v>
      </c>
      <c r="H78" s="24">
        <v>6350</v>
      </c>
      <c r="I78" s="24">
        <v>8890</v>
      </c>
      <c r="J78" s="23"/>
      <c r="K78" s="23" t="s">
        <v>14</v>
      </c>
      <c r="L78" s="23"/>
      <c r="M78" s="23" t="s">
        <v>31</v>
      </c>
      <c r="N78" s="13" t="str">
        <f t="shared" si="1"/>
        <v>1</v>
      </c>
      <c r="O78" s="13" t="str">
        <f>INDEX(Кат!$H:$H,MATCH($A78,Кат!$A:$A,0))</f>
        <v>стт</v>
      </c>
    </row>
    <row r="79" spans="1:15" ht="45" x14ac:dyDescent="0.25">
      <c r="A79" s="22">
        <v>141285</v>
      </c>
      <c r="B79" s="22">
        <v>2354</v>
      </c>
      <c r="C79" s="23" t="s">
        <v>211</v>
      </c>
      <c r="D79" s="23" t="s">
        <v>31</v>
      </c>
      <c r="E79" s="23" t="s">
        <v>212</v>
      </c>
      <c r="F79" s="23" t="s">
        <v>212</v>
      </c>
      <c r="G79" s="23" t="s">
        <v>29</v>
      </c>
      <c r="H79" s="24">
        <v>5800</v>
      </c>
      <c r="I79" s="24">
        <v>8190</v>
      </c>
      <c r="J79" s="23"/>
      <c r="K79" s="23" t="s">
        <v>73</v>
      </c>
      <c r="L79" s="23"/>
      <c r="M79" s="23" t="s">
        <v>31</v>
      </c>
      <c r="N79" s="13" t="str">
        <f t="shared" si="1"/>
        <v>0</v>
      </c>
      <c r="O79" s="13" t="str">
        <f>INDEX(Кат!$H:$H,MATCH($A79,Кат!$A:$A,0))</f>
        <v>стт</v>
      </c>
    </row>
    <row r="80" spans="1:15" ht="30" x14ac:dyDescent="0.25">
      <c r="A80" s="22">
        <v>141286</v>
      </c>
      <c r="B80" s="22">
        <v>2339</v>
      </c>
      <c r="C80" s="23" t="s">
        <v>213</v>
      </c>
      <c r="D80" s="23" t="s">
        <v>31</v>
      </c>
      <c r="E80" s="23" t="s">
        <v>214</v>
      </c>
      <c r="F80" s="23" t="s">
        <v>214</v>
      </c>
      <c r="G80" s="23" t="s">
        <v>29</v>
      </c>
      <c r="H80" s="24">
        <v>6350</v>
      </c>
      <c r="I80" s="24">
        <v>8890</v>
      </c>
      <c r="J80" s="23"/>
      <c r="K80" s="23" t="s">
        <v>14</v>
      </c>
      <c r="L80" s="23"/>
      <c r="M80" s="23" t="s">
        <v>31</v>
      </c>
      <c r="N80" s="13" t="str">
        <f t="shared" si="1"/>
        <v>1</v>
      </c>
      <c r="O80" s="13" t="str">
        <f>INDEX(Кат!$H:$H,MATCH($A80,Кат!$A:$A,0))</f>
        <v>стт</v>
      </c>
    </row>
    <row r="81" spans="1:15" ht="45" x14ac:dyDescent="0.25">
      <c r="A81" s="22">
        <v>141287</v>
      </c>
      <c r="B81" s="22">
        <v>2360</v>
      </c>
      <c r="C81" s="23" t="s">
        <v>215</v>
      </c>
      <c r="D81" s="23" t="s">
        <v>31</v>
      </c>
      <c r="E81" s="23" t="s">
        <v>216</v>
      </c>
      <c r="F81" s="23" t="s">
        <v>216</v>
      </c>
      <c r="G81" s="23" t="s">
        <v>29</v>
      </c>
      <c r="H81" s="24">
        <v>6350</v>
      </c>
      <c r="I81" s="24">
        <v>8890</v>
      </c>
      <c r="J81" s="23"/>
      <c r="K81" s="23" t="s">
        <v>14</v>
      </c>
      <c r="L81" s="23"/>
      <c r="M81" s="23" t="s">
        <v>31</v>
      </c>
      <c r="N81" s="13" t="str">
        <f t="shared" si="1"/>
        <v>1</v>
      </c>
      <c r="O81" s="13" t="str">
        <f>INDEX(Кат!$H:$H,MATCH($A81,Кат!$A:$A,0))</f>
        <v>стт</v>
      </c>
    </row>
    <row r="82" spans="1:15" ht="45" x14ac:dyDescent="0.25">
      <c r="A82" s="22">
        <v>141288</v>
      </c>
      <c r="B82" s="22">
        <v>2362</v>
      </c>
      <c r="C82" s="23" t="s">
        <v>217</v>
      </c>
      <c r="D82" s="23" t="s">
        <v>31</v>
      </c>
      <c r="E82" s="23" t="s">
        <v>218</v>
      </c>
      <c r="F82" s="23" t="s">
        <v>218</v>
      </c>
      <c r="G82" s="23" t="s">
        <v>29</v>
      </c>
      <c r="H82" s="24">
        <v>6350</v>
      </c>
      <c r="I82" s="24">
        <v>8890</v>
      </c>
      <c r="J82" s="23"/>
      <c r="K82" s="23" t="s">
        <v>14</v>
      </c>
      <c r="L82" s="23"/>
      <c r="M82" s="23" t="s">
        <v>31</v>
      </c>
      <c r="N82" s="13" t="str">
        <f t="shared" si="1"/>
        <v>1</v>
      </c>
      <c r="O82" s="13" t="str">
        <f>INDEX(Кат!$H:$H,MATCH($A82,Кат!$A:$A,0))</f>
        <v>стт</v>
      </c>
    </row>
    <row r="83" spans="1:15" ht="45" x14ac:dyDescent="0.25">
      <c r="A83" s="22">
        <v>141020</v>
      </c>
      <c r="B83" s="22">
        <v>41796</v>
      </c>
      <c r="C83" s="23" t="s">
        <v>219</v>
      </c>
      <c r="D83" s="23" t="s">
        <v>31</v>
      </c>
      <c r="E83" s="23" t="s">
        <v>220</v>
      </c>
      <c r="F83" s="23" t="s">
        <v>221</v>
      </c>
      <c r="G83" s="23" t="s">
        <v>29</v>
      </c>
      <c r="H83" s="24">
        <v>6750</v>
      </c>
      <c r="I83" s="24">
        <v>9490</v>
      </c>
      <c r="J83" s="23"/>
      <c r="K83" s="23" t="s">
        <v>14</v>
      </c>
      <c r="L83" s="23"/>
      <c r="M83" s="23" t="s">
        <v>31</v>
      </c>
      <c r="N83" s="13" t="str">
        <f t="shared" si="1"/>
        <v>1</v>
      </c>
      <c r="O83" s="13" t="str">
        <f>INDEX(Кат!$H:$H,MATCH($A83,Кат!$A:$A,0))</f>
        <v>стт</v>
      </c>
    </row>
    <row r="84" spans="1:15" ht="45" x14ac:dyDescent="0.25">
      <c r="A84" s="22">
        <v>141289</v>
      </c>
      <c r="B84" s="22">
        <v>23253</v>
      </c>
      <c r="C84" s="23" t="s">
        <v>222</v>
      </c>
      <c r="D84" s="23" t="s">
        <v>31</v>
      </c>
      <c r="E84" s="23" t="s">
        <v>223</v>
      </c>
      <c r="F84" s="23" t="s">
        <v>223</v>
      </c>
      <c r="G84" s="23" t="s">
        <v>29</v>
      </c>
      <c r="H84" s="24">
        <v>3550</v>
      </c>
      <c r="I84" s="24">
        <v>4990</v>
      </c>
      <c r="J84" s="23"/>
      <c r="K84" s="23" t="s">
        <v>14</v>
      </c>
      <c r="L84" s="23" t="s">
        <v>101</v>
      </c>
      <c r="M84" s="23" t="s">
        <v>31</v>
      </c>
      <c r="N84" s="13" t="str">
        <f t="shared" si="1"/>
        <v>1ск6</v>
      </c>
      <c r="O84" s="13" t="str">
        <f>INDEX(Кат!$H:$H,MATCH($A84,Кат!$A:$A,0))</f>
        <v>стт</v>
      </c>
    </row>
    <row r="85" spans="1:15" ht="45" x14ac:dyDescent="0.25">
      <c r="A85" s="22">
        <v>141290</v>
      </c>
      <c r="B85" s="22">
        <v>23252</v>
      </c>
      <c r="C85" s="23" t="s">
        <v>224</v>
      </c>
      <c r="D85" s="23" t="s">
        <v>31</v>
      </c>
      <c r="E85" s="23" t="s">
        <v>225</v>
      </c>
      <c r="F85" s="23" t="s">
        <v>225</v>
      </c>
      <c r="G85" s="23" t="s">
        <v>29</v>
      </c>
      <c r="H85" s="24">
        <v>3550</v>
      </c>
      <c r="I85" s="24">
        <v>4990</v>
      </c>
      <c r="J85" s="23"/>
      <c r="K85" s="23" t="s">
        <v>14</v>
      </c>
      <c r="L85" s="23"/>
      <c r="M85" s="23" t="s">
        <v>31</v>
      </c>
      <c r="N85" s="13" t="str">
        <f t="shared" si="1"/>
        <v>1</v>
      </c>
      <c r="O85" s="13" t="str">
        <f>INDEX(Кат!$H:$H,MATCH($A85,Кат!$A:$A,0))</f>
        <v>стт</v>
      </c>
    </row>
    <row r="86" spans="1:15" ht="30" x14ac:dyDescent="0.25">
      <c r="A86" s="22">
        <v>141023</v>
      </c>
      <c r="B86" s="22">
        <v>39118</v>
      </c>
      <c r="C86" s="23" t="s">
        <v>226</v>
      </c>
      <c r="D86" s="23" t="s">
        <v>31</v>
      </c>
      <c r="E86" s="23" t="s">
        <v>227</v>
      </c>
      <c r="F86" s="23" t="s">
        <v>227</v>
      </c>
      <c r="G86" s="23" t="s">
        <v>29</v>
      </c>
      <c r="H86" s="24">
        <v>7500</v>
      </c>
      <c r="I86" s="24">
        <v>10490</v>
      </c>
      <c r="J86" s="23"/>
      <c r="K86" s="23" t="s">
        <v>14</v>
      </c>
      <c r="L86" s="23"/>
      <c r="M86" s="23" t="s">
        <v>31</v>
      </c>
      <c r="N86" s="13" t="str">
        <f t="shared" si="1"/>
        <v>1</v>
      </c>
      <c r="O86" s="13" t="str">
        <f>INDEX(Кат!$H:$H,MATCH($A86,Кат!$A:$A,0))</f>
        <v>стт</v>
      </c>
    </row>
    <row r="87" spans="1:15" ht="45" x14ac:dyDescent="0.25">
      <c r="A87" s="22">
        <v>144121</v>
      </c>
      <c r="B87" s="22">
        <v>15393</v>
      </c>
      <c r="C87" s="23" t="s">
        <v>228</v>
      </c>
      <c r="D87" s="23" t="s">
        <v>31</v>
      </c>
      <c r="E87" s="23" t="s">
        <v>229</v>
      </c>
      <c r="F87" s="23" t="s">
        <v>230</v>
      </c>
      <c r="G87" s="23" t="s">
        <v>29</v>
      </c>
      <c r="H87" s="24">
        <v>11900</v>
      </c>
      <c r="I87" s="24">
        <v>16690</v>
      </c>
      <c r="J87" s="23"/>
      <c r="K87" s="23" t="s">
        <v>73</v>
      </c>
      <c r="L87" s="23"/>
      <c r="M87" s="23" t="s">
        <v>31</v>
      </c>
      <c r="N87" s="13" t="str">
        <f t="shared" si="1"/>
        <v>0</v>
      </c>
      <c r="O87" s="13" t="str">
        <f>INDEX(Кат!$H:$H,MATCH($A87,Кат!$A:$A,0))</f>
        <v>стт</v>
      </c>
    </row>
    <row r="88" spans="1:15" ht="45" x14ac:dyDescent="0.25">
      <c r="A88" s="22">
        <v>144122</v>
      </c>
      <c r="B88" s="22">
        <v>15392</v>
      </c>
      <c r="C88" s="23" t="s">
        <v>228</v>
      </c>
      <c r="D88" s="23" t="s">
        <v>31</v>
      </c>
      <c r="E88" s="23" t="s">
        <v>231</v>
      </c>
      <c r="F88" s="23" t="s">
        <v>232</v>
      </c>
      <c r="G88" s="23" t="s">
        <v>29</v>
      </c>
      <c r="H88" s="24">
        <v>11900</v>
      </c>
      <c r="I88" s="24">
        <v>16690</v>
      </c>
      <c r="J88" s="23"/>
      <c r="K88" s="23" t="s">
        <v>73</v>
      </c>
      <c r="L88" s="23"/>
      <c r="M88" s="23" t="s">
        <v>31</v>
      </c>
      <c r="N88" s="13" t="str">
        <f t="shared" si="1"/>
        <v>0</v>
      </c>
      <c r="O88" s="13" t="str">
        <f>INDEX(Кат!$H:$H,MATCH($A88,Кат!$A:$A,0))</f>
        <v>стт</v>
      </c>
    </row>
    <row r="89" spans="1:15" ht="45" x14ac:dyDescent="0.25">
      <c r="A89" s="22">
        <v>144126</v>
      </c>
      <c r="B89" s="22">
        <v>15381</v>
      </c>
      <c r="C89" s="23" t="s">
        <v>233</v>
      </c>
      <c r="D89" s="23" t="s">
        <v>31</v>
      </c>
      <c r="E89" s="23" t="s">
        <v>234</v>
      </c>
      <c r="F89" s="23" t="s">
        <v>234</v>
      </c>
      <c r="G89" s="23" t="s">
        <v>29</v>
      </c>
      <c r="H89" s="24">
        <v>11900</v>
      </c>
      <c r="I89" s="24">
        <v>16690</v>
      </c>
      <c r="J89" s="23"/>
      <c r="K89" s="23" t="s">
        <v>73</v>
      </c>
      <c r="L89" s="23"/>
      <c r="M89" s="23" t="s">
        <v>31</v>
      </c>
      <c r="N89" s="13" t="str">
        <f t="shared" si="1"/>
        <v>0</v>
      </c>
      <c r="O89" s="13" t="str">
        <f>INDEX(Кат!$H:$H,MATCH($A89,Кат!$A:$A,0))</f>
        <v>стт</v>
      </c>
    </row>
    <row r="90" spans="1:15" ht="45" x14ac:dyDescent="0.25">
      <c r="A90" s="22">
        <v>144127</v>
      </c>
      <c r="B90" s="22">
        <v>15382</v>
      </c>
      <c r="C90" s="23" t="s">
        <v>233</v>
      </c>
      <c r="D90" s="23" t="s">
        <v>31</v>
      </c>
      <c r="E90" s="23" t="s">
        <v>235</v>
      </c>
      <c r="F90" s="23" t="s">
        <v>235</v>
      </c>
      <c r="G90" s="23" t="s">
        <v>29</v>
      </c>
      <c r="H90" s="24">
        <v>11900</v>
      </c>
      <c r="I90" s="24">
        <v>16690</v>
      </c>
      <c r="J90" s="23"/>
      <c r="K90" s="23" t="s">
        <v>73</v>
      </c>
      <c r="L90" s="23"/>
      <c r="M90" s="23" t="s">
        <v>31</v>
      </c>
      <c r="N90" s="13" t="str">
        <f t="shared" si="1"/>
        <v>0</v>
      </c>
      <c r="O90" s="13" t="str">
        <f>INDEX(Кат!$H:$H,MATCH($A90,Кат!$A:$A,0))</f>
        <v>стт</v>
      </c>
    </row>
    <row r="91" spans="1:15" ht="45" x14ac:dyDescent="0.25">
      <c r="A91" s="22">
        <v>144128</v>
      </c>
      <c r="B91" s="22">
        <v>15383</v>
      </c>
      <c r="C91" s="23" t="s">
        <v>233</v>
      </c>
      <c r="D91" s="23" t="s">
        <v>31</v>
      </c>
      <c r="E91" s="23" t="s">
        <v>236</v>
      </c>
      <c r="F91" s="23" t="s">
        <v>236</v>
      </c>
      <c r="G91" s="23" t="s">
        <v>29</v>
      </c>
      <c r="H91" s="24">
        <v>11900</v>
      </c>
      <c r="I91" s="24">
        <v>16690</v>
      </c>
      <c r="J91" s="23"/>
      <c r="K91" s="23" t="s">
        <v>73</v>
      </c>
      <c r="L91" s="23"/>
      <c r="M91" s="23" t="s">
        <v>31</v>
      </c>
      <c r="N91" s="13" t="str">
        <f t="shared" si="1"/>
        <v>0</v>
      </c>
      <c r="O91" s="13" t="str">
        <f>INDEX(Кат!$H:$H,MATCH($A91,Кат!$A:$A,0))</f>
        <v>стт</v>
      </c>
    </row>
    <row r="92" spans="1:15" ht="45" x14ac:dyDescent="0.25">
      <c r="A92" s="22">
        <v>144129</v>
      </c>
      <c r="B92" s="22">
        <v>15385</v>
      </c>
      <c r="C92" s="23" t="s">
        <v>233</v>
      </c>
      <c r="D92" s="23" t="s">
        <v>31</v>
      </c>
      <c r="E92" s="23" t="s">
        <v>237</v>
      </c>
      <c r="F92" s="23" t="s">
        <v>237</v>
      </c>
      <c r="G92" s="23" t="s">
        <v>29</v>
      </c>
      <c r="H92" s="24">
        <v>11900</v>
      </c>
      <c r="I92" s="24">
        <v>16690</v>
      </c>
      <c r="J92" s="23"/>
      <c r="K92" s="23" t="s">
        <v>73</v>
      </c>
      <c r="L92" s="23"/>
      <c r="M92" s="23" t="s">
        <v>31</v>
      </c>
      <c r="N92" s="13" t="str">
        <f t="shared" si="1"/>
        <v>0</v>
      </c>
      <c r="O92" s="13" t="str">
        <f>INDEX(Кат!$H:$H,MATCH($A92,Кат!$A:$A,0))</f>
        <v>стт</v>
      </c>
    </row>
    <row r="93" spans="1:15" ht="30" x14ac:dyDescent="0.25">
      <c r="A93" s="22">
        <v>144123</v>
      </c>
      <c r="B93" s="22">
        <v>15389</v>
      </c>
      <c r="C93" s="23" t="s">
        <v>238</v>
      </c>
      <c r="D93" s="23" t="s">
        <v>31</v>
      </c>
      <c r="E93" s="23" t="s">
        <v>239</v>
      </c>
      <c r="F93" s="23" t="s">
        <v>239</v>
      </c>
      <c r="G93" s="23" t="s">
        <v>29</v>
      </c>
      <c r="H93" s="24">
        <v>11900</v>
      </c>
      <c r="I93" s="24">
        <v>16690</v>
      </c>
      <c r="J93" s="23"/>
      <c r="K93" s="23" t="s">
        <v>73</v>
      </c>
      <c r="L93" s="23"/>
      <c r="M93" s="23" t="s">
        <v>31</v>
      </c>
      <c r="N93" s="13" t="str">
        <f t="shared" si="1"/>
        <v>0</v>
      </c>
      <c r="O93" s="13" t="str">
        <f>INDEX(Кат!$H:$H,MATCH($A93,Кат!$A:$A,0))</f>
        <v>стт</v>
      </c>
    </row>
    <row r="94" spans="1:15" ht="30" x14ac:dyDescent="0.25">
      <c r="A94" s="22">
        <v>144124</v>
      </c>
      <c r="B94" s="22">
        <v>15390</v>
      </c>
      <c r="C94" s="23" t="s">
        <v>238</v>
      </c>
      <c r="D94" s="23" t="s">
        <v>31</v>
      </c>
      <c r="E94" s="23" t="s">
        <v>240</v>
      </c>
      <c r="F94" s="23" t="s">
        <v>240</v>
      </c>
      <c r="G94" s="23" t="s">
        <v>29</v>
      </c>
      <c r="H94" s="24">
        <v>11900</v>
      </c>
      <c r="I94" s="24">
        <v>16690</v>
      </c>
      <c r="J94" s="23"/>
      <c r="K94" s="23" t="s">
        <v>73</v>
      </c>
      <c r="L94" s="23"/>
      <c r="M94" s="23" t="s">
        <v>31</v>
      </c>
      <c r="N94" s="13" t="str">
        <f t="shared" si="1"/>
        <v>0</v>
      </c>
      <c r="O94" s="13" t="str">
        <f>INDEX(Кат!$H:$H,MATCH($A94,Кат!$A:$A,0))</f>
        <v>стт</v>
      </c>
    </row>
    <row r="95" spans="1:15" ht="30" x14ac:dyDescent="0.25">
      <c r="A95" s="22">
        <v>144125</v>
      </c>
      <c r="B95" s="22">
        <v>15391</v>
      </c>
      <c r="C95" s="23" t="s">
        <v>238</v>
      </c>
      <c r="D95" s="23" t="s">
        <v>31</v>
      </c>
      <c r="E95" s="23" t="s">
        <v>241</v>
      </c>
      <c r="F95" s="23" t="s">
        <v>241</v>
      </c>
      <c r="G95" s="23" t="s">
        <v>29</v>
      </c>
      <c r="H95" s="24">
        <v>11900</v>
      </c>
      <c r="I95" s="24">
        <v>16690</v>
      </c>
      <c r="J95" s="23"/>
      <c r="K95" s="23" t="s">
        <v>73</v>
      </c>
      <c r="L95" s="23"/>
      <c r="M95" s="23" t="s">
        <v>31</v>
      </c>
      <c r="N95" s="13" t="str">
        <f t="shared" si="1"/>
        <v>0</v>
      </c>
      <c r="O95" s="13" t="str">
        <f>INDEX(Кат!$H:$H,MATCH($A95,Кат!$A:$A,0))</f>
        <v>стт</v>
      </c>
    </row>
    <row r="96" spans="1:15" ht="30" x14ac:dyDescent="0.25">
      <c r="A96" s="22">
        <v>144163</v>
      </c>
      <c r="B96" s="22">
        <v>15387</v>
      </c>
      <c r="C96" s="23" t="s">
        <v>242</v>
      </c>
      <c r="D96" s="23" t="s">
        <v>31</v>
      </c>
      <c r="E96" s="23" t="s">
        <v>243</v>
      </c>
      <c r="F96" s="23" t="s">
        <v>243</v>
      </c>
      <c r="G96" s="23" t="s">
        <v>29</v>
      </c>
      <c r="H96" s="24">
        <v>11900</v>
      </c>
      <c r="I96" s="24">
        <v>16690</v>
      </c>
      <c r="J96" s="23"/>
      <c r="K96" s="23" t="s">
        <v>73</v>
      </c>
      <c r="L96" s="23"/>
      <c r="M96" s="23" t="s">
        <v>31</v>
      </c>
      <c r="N96" s="13" t="str">
        <f t="shared" si="1"/>
        <v>0</v>
      </c>
      <c r="O96" s="13" t="str">
        <f>INDEX(Кат!$H:$H,MATCH($A96,Кат!$A:$A,0))</f>
        <v>стт</v>
      </c>
    </row>
    <row r="97" spans="1:15" ht="30" x14ac:dyDescent="0.25">
      <c r="A97" s="22">
        <v>144130</v>
      </c>
      <c r="B97" s="22">
        <v>15377</v>
      </c>
      <c r="C97" s="23" t="s">
        <v>244</v>
      </c>
      <c r="D97" s="23" t="s">
        <v>31</v>
      </c>
      <c r="E97" s="23" t="s">
        <v>245</v>
      </c>
      <c r="F97" s="23" t="s">
        <v>245</v>
      </c>
      <c r="G97" s="23" t="s">
        <v>29</v>
      </c>
      <c r="H97" s="24">
        <v>11900</v>
      </c>
      <c r="I97" s="24">
        <v>16690</v>
      </c>
      <c r="J97" s="23"/>
      <c r="K97" s="23" t="s">
        <v>73</v>
      </c>
      <c r="L97" s="23"/>
      <c r="M97" s="23" t="s">
        <v>31</v>
      </c>
      <c r="N97" s="13" t="str">
        <f t="shared" si="1"/>
        <v>0</v>
      </c>
      <c r="O97" s="13" t="str">
        <f>INDEX(Кат!$H:$H,MATCH($A97,Кат!$A:$A,0))</f>
        <v>стт</v>
      </c>
    </row>
    <row r="98" spans="1:15" ht="30" x14ac:dyDescent="0.25">
      <c r="A98" s="22">
        <v>144131</v>
      </c>
      <c r="B98" s="22">
        <v>15379</v>
      </c>
      <c r="C98" s="23" t="s">
        <v>244</v>
      </c>
      <c r="D98" s="23" t="s">
        <v>31</v>
      </c>
      <c r="E98" s="23" t="s">
        <v>246</v>
      </c>
      <c r="F98" s="23" t="s">
        <v>246</v>
      </c>
      <c r="G98" s="23" t="s">
        <v>29</v>
      </c>
      <c r="H98" s="24">
        <v>11900</v>
      </c>
      <c r="I98" s="24">
        <v>16690</v>
      </c>
      <c r="J98" s="23"/>
      <c r="K98" s="23" t="s">
        <v>73</v>
      </c>
      <c r="L98" s="23"/>
      <c r="M98" s="23" t="s">
        <v>31</v>
      </c>
      <c r="N98" s="13" t="str">
        <f t="shared" si="1"/>
        <v>0</v>
      </c>
      <c r="O98" s="13" t="str">
        <f>INDEX(Кат!$H:$H,MATCH($A98,Кат!$A:$A,0))</f>
        <v>стт</v>
      </c>
    </row>
    <row r="99" spans="1:15" ht="45" x14ac:dyDescent="0.25">
      <c r="A99" s="22">
        <v>144174</v>
      </c>
      <c r="B99" s="22">
        <v>15384</v>
      </c>
      <c r="C99" s="23" t="s">
        <v>247</v>
      </c>
      <c r="D99" s="23" t="s">
        <v>31</v>
      </c>
      <c r="E99" s="23" t="s">
        <v>248</v>
      </c>
      <c r="F99" s="23" t="s">
        <v>248</v>
      </c>
      <c r="G99" s="23" t="s">
        <v>29</v>
      </c>
      <c r="H99" s="24">
        <v>11900</v>
      </c>
      <c r="I99" s="24">
        <v>16690</v>
      </c>
      <c r="J99" s="23"/>
      <c r="K99" s="23" t="s">
        <v>73</v>
      </c>
      <c r="L99" s="23"/>
      <c r="M99" s="23" t="s">
        <v>31</v>
      </c>
      <c r="N99" s="13" t="str">
        <f t="shared" si="1"/>
        <v>0</v>
      </c>
      <c r="O99" s="13" t="str">
        <f>INDEX(Кат!$H:$H,MATCH($A99,Кат!$A:$A,0))</f>
        <v>стт</v>
      </c>
    </row>
    <row r="100" spans="1:15" ht="45" x14ac:dyDescent="0.25">
      <c r="A100" s="22">
        <v>144175</v>
      </c>
      <c r="B100" s="22">
        <v>15388</v>
      </c>
      <c r="C100" s="23" t="s">
        <v>247</v>
      </c>
      <c r="D100" s="23" t="s">
        <v>31</v>
      </c>
      <c r="E100" s="23" t="s">
        <v>249</v>
      </c>
      <c r="F100" s="23" t="s">
        <v>249</v>
      </c>
      <c r="G100" s="23" t="s">
        <v>29</v>
      </c>
      <c r="H100" s="24">
        <v>11900</v>
      </c>
      <c r="I100" s="24">
        <v>16690</v>
      </c>
      <c r="J100" s="23"/>
      <c r="K100" s="23" t="s">
        <v>73</v>
      </c>
      <c r="L100" s="23"/>
      <c r="M100" s="23" t="s">
        <v>31</v>
      </c>
      <c r="N100" s="13" t="str">
        <f t="shared" si="1"/>
        <v>0</v>
      </c>
      <c r="O100" s="13" t="str">
        <f>INDEX(Кат!$H:$H,MATCH($A100,Кат!$A:$A,0))</f>
        <v>стт</v>
      </c>
    </row>
    <row r="101" spans="1:15" ht="45" x14ac:dyDescent="0.25">
      <c r="A101" s="22">
        <v>144176</v>
      </c>
      <c r="B101" s="22">
        <v>15386</v>
      </c>
      <c r="C101" s="23" t="s">
        <v>247</v>
      </c>
      <c r="D101" s="23" t="s">
        <v>31</v>
      </c>
      <c r="E101" s="23" t="s">
        <v>250</v>
      </c>
      <c r="F101" s="23" t="s">
        <v>250</v>
      </c>
      <c r="G101" s="23" t="s">
        <v>29</v>
      </c>
      <c r="H101" s="24">
        <v>11900</v>
      </c>
      <c r="I101" s="24">
        <v>16690</v>
      </c>
      <c r="J101" s="23"/>
      <c r="K101" s="23" t="s">
        <v>14</v>
      </c>
      <c r="L101" s="23"/>
      <c r="M101" s="23" t="s">
        <v>31</v>
      </c>
      <c r="N101" s="13" t="str">
        <f t="shared" si="1"/>
        <v>1</v>
      </c>
      <c r="O101" s="13" t="str">
        <f>INDEX(Кат!$H:$H,MATCH($A101,Кат!$A:$A,0))</f>
        <v>стт</v>
      </c>
    </row>
    <row r="102" spans="1:15" ht="30" x14ac:dyDescent="0.25">
      <c r="A102" s="22">
        <v>144177</v>
      </c>
      <c r="B102" s="22">
        <v>15378</v>
      </c>
      <c r="C102" s="23" t="s">
        <v>251</v>
      </c>
      <c r="D102" s="23" t="s">
        <v>31</v>
      </c>
      <c r="E102" s="23" t="s">
        <v>252</v>
      </c>
      <c r="F102" s="23" t="s">
        <v>252</v>
      </c>
      <c r="G102" s="23" t="s">
        <v>29</v>
      </c>
      <c r="H102" s="24">
        <v>18700</v>
      </c>
      <c r="I102" s="24">
        <v>26190</v>
      </c>
      <c r="J102" s="23"/>
      <c r="K102" s="23" t="s">
        <v>73</v>
      </c>
      <c r="L102" s="23"/>
      <c r="M102" s="23" t="s">
        <v>31</v>
      </c>
      <c r="N102" s="13" t="str">
        <f t="shared" si="1"/>
        <v>0</v>
      </c>
      <c r="O102" s="13" t="str">
        <f>INDEX(Кат!$H:$H,MATCH($A102,Кат!$A:$A,0))</f>
        <v>стт</v>
      </c>
    </row>
    <row r="103" spans="1:15" ht="30" x14ac:dyDescent="0.25">
      <c r="A103" s="22">
        <v>144178</v>
      </c>
      <c r="B103" s="22">
        <v>15380</v>
      </c>
      <c r="C103" s="23" t="s">
        <v>251</v>
      </c>
      <c r="D103" s="23" t="s">
        <v>31</v>
      </c>
      <c r="E103" s="23" t="s">
        <v>246</v>
      </c>
      <c r="F103" s="23" t="s">
        <v>253</v>
      </c>
      <c r="G103" s="23" t="s">
        <v>29</v>
      </c>
      <c r="H103" s="24">
        <v>11900</v>
      </c>
      <c r="I103" s="24">
        <v>16690</v>
      </c>
      <c r="J103" s="23"/>
      <c r="K103" s="23" t="s">
        <v>73</v>
      </c>
      <c r="L103" s="23"/>
      <c r="M103" s="23" t="s">
        <v>31</v>
      </c>
      <c r="N103" s="13" t="str">
        <f t="shared" si="1"/>
        <v>0</v>
      </c>
      <c r="O103" s="13" t="str">
        <f>INDEX(Кат!$H:$H,MATCH($A103,Кат!$A:$A,0))</f>
        <v>стт</v>
      </c>
    </row>
    <row r="104" spans="1:15" ht="30" x14ac:dyDescent="0.25">
      <c r="A104" s="22">
        <v>186924</v>
      </c>
      <c r="B104" s="22">
        <v>1479</v>
      </c>
      <c r="C104" s="23" t="s">
        <v>254</v>
      </c>
      <c r="D104" s="23" t="s">
        <v>31</v>
      </c>
      <c r="E104" s="23" t="s">
        <v>255</v>
      </c>
      <c r="F104" s="23" t="s">
        <v>256</v>
      </c>
      <c r="G104" s="23" t="s">
        <v>29</v>
      </c>
      <c r="H104" s="24">
        <v>2600</v>
      </c>
      <c r="I104" s="24">
        <v>3690</v>
      </c>
      <c r="J104" s="23"/>
      <c r="K104" s="23" t="s">
        <v>14</v>
      </c>
      <c r="L104" s="23"/>
      <c r="M104" s="23" t="s">
        <v>31</v>
      </c>
      <c r="N104" s="13" t="str">
        <f t="shared" si="1"/>
        <v>1</v>
      </c>
      <c r="O104" s="13" t="str">
        <f>INDEX(Кат!$H:$H,MATCH($A104,Кат!$A:$A,0))</f>
        <v>стт</v>
      </c>
    </row>
    <row r="105" spans="1:15" ht="45" x14ac:dyDescent="0.25">
      <c r="A105" s="22">
        <v>186961</v>
      </c>
      <c r="B105" s="22">
        <v>1468</v>
      </c>
      <c r="C105" s="23" t="s">
        <v>257</v>
      </c>
      <c r="D105" s="23" t="s">
        <v>31</v>
      </c>
      <c r="E105" s="23" t="s">
        <v>258</v>
      </c>
      <c r="F105" s="23" t="s">
        <v>259</v>
      </c>
      <c r="G105" s="23" t="s">
        <v>29</v>
      </c>
      <c r="H105" s="24">
        <v>5000</v>
      </c>
      <c r="I105" s="24">
        <v>6990</v>
      </c>
      <c r="J105" s="23"/>
      <c r="K105" s="23" t="s">
        <v>14</v>
      </c>
      <c r="L105" s="23"/>
      <c r="M105" s="23" t="s">
        <v>31</v>
      </c>
      <c r="N105" s="13" t="str">
        <f t="shared" si="1"/>
        <v>1</v>
      </c>
      <c r="O105" s="13" t="str">
        <f>INDEX(Кат!$H:$H,MATCH($A105,Кат!$A:$A,0))</f>
        <v>стт</v>
      </c>
    </row>
    <row r="106" spans="1:15" ht="30" x14ac:dyDescent="0.25">
      <c r="A106" s="22">
        <v>186962</v>
      </c>
      <c r="B106" s="22">
        <v>1474</v>
      </c>
      <c r="C106" s="23" t="s">
        <v>260</v>
      </c>
      <c r="D106" s="23" t="s">
        <v>31</v>
      </c>
      <c r="E106" s="23" t="s">
        <v>261</v>
      </c>
      <c r="F106" s="23" t="s">
        <v>262</v>
      </c>
      <c r="G106" s="23" t="s">
        <v>29</v>
      </c>
      <c r="H106" s="24">
        <v>5000</v>
      </c>
      <c r="I106" s="24">
        <v>6990</v>
      </c>
      <c r="J106" s="23"/>
      <c r="K106" s="23" t="s">
        <v>14</v>
      </c>
      <c r="L106" s="23"/>
      <c r="M106" s="23" t="s">
        <v>31</v>
      </c>
      <c r="N106" s="13" t="str">
        <f t="shared" si="1"/>
        <v>1</v>
      </c>
      <c r="O106" s="13" t="str">
        <f>INDEX(Кат!$H:$H,MATCH($A106,Кат!$A:$A,0))</f>
        <v>стт</v>
      </c>
    </row>
    <row r="107" spans="1:15" ht="30" x14ac:dyDescent="0.25">
      <c r="A107" s="22">
        <v>186963</v>
      </c>
      <c r="B107" s="22">
        <v>1478</v>
      </c>
      <c r="C107" s="23" t="s">
        <v>263</v>
      </c>
      <c r="D107" s="23" t="s">
        <v>31</v>
      </c>
      <c r="E107" s="23" t="s">
        <v>264</v>
      </c>
      <c r="F107" s="23" t="s">
        <v>264</v>
      </c>
      <c r="G107" s="23" t="s">
        <v>29</v>
      </c>
      <c r="H107" s="24">
        <v>5000</v>
      </c>
      <c r="I107" s="24">
        <v>6990</v>
      </c>
      <c r="J107" s="23"/>
      <c r="K107" s="23" t="s">
        <v>14</v>
      </c>
      <c r="L107" s="23"/>
      <c r="M107" s="23" t="s">
        <v>31</v>
      </c>
      <c r="N107" s="13" t="str">
        <f t="shared" si="1"/>
        <v>1</v>
      </c>
      <c r="O107" s="13" t="str">
        <f>INDEX(Кат!$H:$H,MATCH($A107,Кат!$A:$A,0))</f>
        <v>стт</v>
      </c>
    </row>
    <row r="108" spans="1:15" ht="30" x14ac:dyDescent="0.25">
      <c r="A108" s="22">
        <v>186964</v>
      </c>
      <c r="B108" s="22">
        <v>1482</v>
      </c>
      <c r="C108" s="23" t="s">
        <v>265</v>
      </c>
      <c r="D108" s="23" t="s">
        <v>31</v>
      </c>
      <c r="E108" s="23" t="s">
        <v>266</v>
      </c>
      <c r="F108" s="23" t="s">
        <v>267</v>
      </c>
      <c r="G108" s="23" t="s">
        <v>29</v>
      </c>
      <c r="H108" s="24">
        <v>5000</v>
      </c>
      <c r="I108" s="24">
        <v>6990</v>
      </c>
      <c r="J108" s="23"/>
      <c r="K108" s="23" t="s">
        <v>14</v>
      </c>
      <c r="L108" s="23"/>
      <c r="M108" s="23" t="s">
        <v>31</v>
      </c>
      <c r="N108" s="13" t="str">
        <f t="shared" si="1"/>
        <v>1</v>
      </c>
      <c r="O108" s="13" t="str">
        <f>INDEX(Кат!$H:$H,MATCH($A108,Кат!$A:$A,0))</f>
        <v>стт</v>
      </c>
    </row>
    <row r="109" spans="1:15" ht="30" x14ac:dyDescent="0.25">
      <c r="A109" s="22">
        <v>186965</v>
      </c>
      <c r="B109" s="22">
        <v>1466</v>
      </c>
      <c r="C109" s="23" t="s">
        <v>268</v>
      </c>
      <c r="D109" s="23" t="s">
        <v>31</v>
      </c>
      <c r="E109" s="23" t="s">
        <v>269</v>
      </c>
      <c r="F109" s="23" t="s">
        <v>270</v>
      </c>
      <c r="G109" s="23" t="s">
        <v>29</v>
      </c>
      <c r="H109" s="24">
        <v>2500</v>
      </c>
      <c r="I109" s="24">
        <v>3490</v>
      </c>
      <c r="J109" s="23"/>
      <c r="K109" s="23" t="s">
        <v>14</v>
      </c>
      <c r="L109" s="23"/>
      <c r="M109" s="23" t="s">
        <v>31</v>
      </c>
      <c r="N109" s="13" t="str">
        <f t="shared" si="1"/>
        <v>1</v>
      </c>
      <c r="O109" s="13" t="str">
        <f>INDEX(Кат!$H:$H,MATCH($A109,Кат!$A:$A,0))</f>
        <v>стт</v>
      </c>
    </row>
    <row r="110" spans="1:15" ht="45" x14ac:dyDescent="0.25">
      <c r="A110" s="22">
        <v>186966</v>
      </c>
      <c r="B110" s="22">
        <v>1483</v>
      </c>
      <c r="C110" s="23" t="s">
        <v>271</v>
      </c>
      <c r="D110" s="23" t="s">
        <v>31</v>
      </c>
      <c r="E110" s="23" t="s">
        <v>272</v>
      </c>
      <c r="F110" s="23" t="s">
        <v>273</v>
      </c>
      <c r="G110" s="23" t="s">
        <v>29</v>
      </c>
      <c r="H110" s="24">
        <v>2600</v>
      </c>
      <c r="I110" s="24">
        <v>3690</v>
      </c>
      <c r="J110" s="23"/>
      <c r="K110" s="23" t="s">
        <v>14</v>
      </c>
      <c r="L110" s="23"/>
      <c r="M110" s="23" t="s">
        <v>31</v>
      </c>
      <c r="N110" s="13" t="str">
        <f t="shared" si="1"/>
        <v>1</v>
      </c>
      <c r="O110" s="13" t="str">
        <f>INDEX(Кат!$H:$H,MATCH($A110,Кат!$A:$A,0))</f>
        <v>стт</v>
      </c>
    </row>
    <row r="111" spans="1:15" ht="30" x14ac:dyDescent="0.25">
      <c r="A111" s="22">
        <v>186967</v>
      </c>
      <c r="B111" s="22">
        <v>1495</v>
      </c>
      <c r="C111" s="23" t="s">
        <v>274</v>
      </c>
      <c r="D111" s="23" t="s">
        <v>31</v>
      </c>
      <c r="E111" s="23" t="s">
        <v>275</v>
      </c>
      <c r="F111" s="23" t="s">
        <v>276</v>
      </c>
      <c r="G111" s="23" t="s">
        <v>29</v>
      </c>
      <c r="H111" s="24">
        <v>2950</v>
      </c>
      <c r="I111" s="24">
        <v>4190</v>
      </c>
      <c r="J111" s="23"/>
      <c r="K111" s="23" t="s">
        <v>14</v>
      </c>
      <c r="L111" s="23"/>
      <c r="M111" s="23" t="s">
        <v>31</v>
      </c>
      <c r="N111" s="13" t="str">
        <f t="shared" si="1"/>
        <v>1</v>
      </c>
      <c r="O111" s="13" t="str">
        <f>INDEX(Кат!$H:$H,MATCH($A111,Кат!$A:$A,0))</f>
        <v>стт</v>
      </c>
    </row>
    <row r="112" spans="1:15" ht="30" x14ac:dyDescent="0.25">
      <c r="A112" s="22">
        <v>186968</v>
      </c>
      <c r="B112" s="22">
        <v>1489</v>
      </c>
      <c r="C112" s="23" t="s">
        <v>277</v>
      </c>
      <c r="D112" s="23" t="s">
        <v>31</v>
      </c>
      <c r="E112" s="23" t="s">
        <v>278</v>
      </c>
      <c r="F112" s="23" t="s">
        <v>279</v>
      </c>
      <c r="G112" s="23" t="s">
        <v>29</v>
      </c>
      <c r="H112" s="24">
        <v>5000</v>
      </c>
      <c r="I112" s="24">
        <v>6990</v>
      </c>
      <c r="J112" s="23"/>
      <c r="K112" s="23" t="s">
        <v>14</v>
      </c>
      <c r="L112" s="23"/>
      <c r="M112" s="23" t="s">
        <v>31</v>
      </c>
      <c r="N112" s="13" t="str">
        <f t="shared" si="1"/>
        <v>1</v>
      </c>
      <c r="O112" s="13" t="str">
        <f>INDEX(Кат!$H:$H,MATCH($A112,Кат!$A:$A,0))</f>
        <v>стт</v>
      </c>
    </row>
    <row r="113" spans="1:15" ht="30" x14ac:dyDescent="0.25">
      <c r="A113" s="22">
        <v>186969</v>
      </c>
      <c r="B113" s="22">
        <v>1500</v>
      </c>
      <c r="C113" s="23" t="s">
        <v>280</v>
      </c>
      <c r="D113" s="23" t="s">
        <v>31</v>
      </c>
      <c r="E113" s="23" t="s">
        <v>281</v>
      </c>
      <c r="F113" s="23" t="s">
        <v>282</v>
      </c>
      <c r="G113" s="23" t="s">
        <v>29</v>
      </c>
      <c r="H113" s="24">
        <v>5000</v>
      </c>
      <c r="I113" s="24">
        <v>6990</v>
      </c>
      <c r="J113" s="23"/>
      <c r="K113" s="23" t="s">
        <v>14</v>
      </c>
      <c r="L113" s="23"/>
      <c r="M113" s="23" t="s">
        <v>31</v>
      </c>
      <c r="N113" s="13" t="str">
        <f t="shared" si="1"/>
        <v>1</v>
      </c>
      <c r="O113" s="13" t="str">
        <f>INDEX(Кат!$H:$H,MATCH($A113,Кат!$A:$A,0))</f>
        <v>стт</v>
      </c>
    </row>
    <row r="114" spans="1:15" ht="45" x14ac:dyDescent="0.25">
      <c r="A114" s="22">
        <v>186970</v>
      </c>
      <c r="B114" s="22">
        <v>1494</v>
      </c>
      <c r="C114" s="23" t="s">
        <v>283</v>
      </c>
      <c r="D114" s="23" t="s">
        <v>31</v>
      </c>
      <c r="E114" s="23" t="s">
        <v>284</v>
      </c>
      <c r="F114" s="23" t="s">
        <v>285</v>
      </c>
      <c r="G114" s="23" t="s">
        <v>29</v>
      </c>
      <c r="H114" s="24">
        <v>5000</v>
      </c>
      <c r="I114" s="24">
        <v>6990</v>
      </c>
      <c r="J114" s="23"/>
      <c r="K114" s="23" t="s">
        <v>14</v>
      </c>
      <c r="L114" s="23"/>
      <c r="M114" s="23" t="s">
        <v>31</v>
      </c>
      <c r="N114" s="13" t="str">
        <f t="shared" si="1"/>
        <v>1</v>
      </c>
      <c r="O114" s="13" t="str">
        <f>INDEX(Кат!$H:$H,MATCH($A114,Кат!$A:$A,0))</f>
        <v>стт</v>
      </c>
    </row>
    <row r="115" spans="1:15" ht="45" x14ac:dyDescent="0.25">
      <c r="A115" s="22">
        <v>186971</v>
      </c>
      <c r="B115" s="22">
        <v>1492</v>
      </c>
      <c r="C115" s="23" t="s">
        <v>286</v>
      </c>
      <c r="D115" s="23" t="s">
        <v>31</v>
      </c>
      <c r="E115" s="23" t="s">
        <v>287</v>
      </c>
      <c r="F115" s="23" t="s">
        <v>288</v>
      </c>
      <c r="G115" s="23" t="s">
        <v>29</v>
      </c>
      <c r="H115" s="24">
        <v>2750</v>
      </c>
      <c r="I115" s="24">
        <v>3890</v>
      </c>
      <c r="J115" s="23"/>
      <c r="K115" s="23" t="s">
        <v>14</v>
      </c>
      <c r="L115" s="23"/>
      <c r="M115" s="23" t="s">
        <v>31</v>
      </c>
      <c r="N115" s="13" t="str">
        <f t="shared" si="1"/>
        <v>1</v>
      </c>
      <c r="O115" s="13" t="str">
        <f>INDEX(Кат!$H:$H,MATCH($A115,Кат!$A:$A,0))</f>
        <v>стт</v>
      </c>
    </row>
    <row r="116" spans="1:15" ht="30" x14ac:dyDescent="0.25">
      <c r="A116" s="22">
        <v>186972</v>
      </c>
      <c r="B116" s="22">
        <v>1493</v>
      </c>
      <c r="C116" s="23" t="s">
        <v>289</v>
      </c>
      <c r="D116" s="23" t="s">
        <v>31</v>
      </c>
      <c r="E116" s="23" t="s">
        <v>290</v>
      </c>
      <c r="F116" s="23" t="s">
        <v>291</v>
      </c>
      <c r="G116" s="23" t="s">
        <v>29</v>
      </c>
      <c r="H116" s="24">
        <v>2550</v>
      </c>
      <c r="I116" s="24">
        <v>3590</v>
      </c>
      <c r="J116" s="23"/>
      <c r="K116" s="23" t="s">
        <v>14</v>
      </c>
      <c r="L116" s="23" t="s">
        <v>101</v>
      </c>
      <c r="M116" s="23"/>
      <c r="N116" s="13" t="str">
        <f t="shared" si="1"/>
        <v>1ск6</v>
      </c>
      <c r="O116" s="13" t="str">
        <f>INDEX(Кат!$H:$H,MATCH($A116,Кат!$A:$A,0))</f>
        <v>стт</v>
      </c>
    </row>
    <row r="117" spans="1:15" ht="45" x14ac:dyDescent="0.25">
      <c r="A117" s="22">
        <v>186973</v>
      </c>
      <c r="B117" s="22">
        <v>13671</v>
      </c>
      <c r="C117" s="23" t="s">
        <v>292</v>
      </c>
      <c r="D117" s="23" t="s">
        <v>31</v>
      </c>
      <c r="E117" s="23" t="s">
        <v>293</v>
      </c>
      <c r="F117" s="23" t="s">
        <v>293</v>
      </c>
      <c r="G117" s="23" t="s">
        <v>29</v>
      </c>
      <c r="H117" s="24">
        <v>5600</v>
      </c>
      <c r="I117" s="24">
        <v>7890</v>
      </c>
      <c r="J117" s="23"/>
      <c r="K117" s="23" t="s">
        <v>14</v>
      </c>
      <c r="L117" s="23"/>
      <c r="M117" s="23" t="s">
        <v>31</v>
      </c>
      <c r="N117" s="13" t="str">
        <f t="shared" si="1"/>
        <v>1</v>
      </c>
      <c r="O117" s="13" t="str">
        <f>INDEX(Кат!$H:$H,MATCH($A117,Кат!$A:$A,0))</f>
        <v>стт</v>
      </c>
    </row>
    <row r="118" spans="1:15" ht="45" x14ac:dyDescent="0.25">
      <c r="A118" s="22">
        <v>186974</v>
      </c>
      <c r="B118" s="22">
        <v>1472</v>
      </c>
      <c r="C118" s="23" t="s">
        <v>294</v>
      </c>
      <c r="D118" s="23" t="s">
        <v>31</v>
      </c>
      <c r="E118" s="23" t="s">
        <v>295</v>
      </c>
      <c r="F118" s="23" t="s">
        <v>296</v>
      </c>
      <c r="G118" s="23" t="s">
        <v>29</v>
      </c>
      <c r="H118" s="24">
        <v>2700</v>
      </c>
      <c r="I118" s="24">
        <v>3790</v>
      </c>
      <c r="J118" s="23"/>
      <c r="K118" s="23" t="s">
        <v>14</v>
      </c>
      <c r="L118" s="23"/>
      <c r="M118" s="23" t="s">
        <v>31</v>
      </c>
      <c r="N118" s="13" t="str">
        <f t="shared" si="1"/>
        <v>1</v>
      </c>
      <c r="O118" s="13" t="str">
        <f>INDEX(Кат!$H:$H,MATCH($A118,Кат!$A:$A,0))</f>
        <v>стт</v>
      </c>
    </row>
    <row r="119" spans="1:15" ht="45" x14ac:dyDescent="0.25">
      <c r="A119" s="22">
        <v>186975</v>
      </c>
      <c r="B119" s="22">
        <v>1464</v>
      </c>
      <c r="C119" s="23" t="s">
        <v>297</v>
      </c>
      <c r="D119" s="23" t="s">
        <v>31</v>
      </c>
      <c r="E119" s="23" t="s">
        <v>298</v>
      </c>
      <c r="F119" s="23" t="s">
        <v>298</v>
      </c>
      <c r="G119" s="23" t="s">
        <v>29</v>
      </c>
      <c r="H119" s="24">
        <v>2700</v>
      </c>
      <c r="I119" s="24">
        <v>3790</v>
      </c>
      <c r="J119" s="23"/>
      <c r="K119" s="23" t="s">
        <v>14</v>
      </c>
      <c r="L119" s="23"/>
      <c r="M119" s="23" t="s">
        <v>31</v>
      </c>
      <c r="N119" s="13" t="str">
        <f t="shared" si="1"/>
        <v>1</v>
      </c>
      <c r="O119" s="13" t="str">
        <f>INDEX(Кат!$H:$H,MATCH($A119,Кат!$A:$A,0))</f>
        <v>стт</v>
      </c>
    </row>
    <row r="120" spans="1:15" ht="45" x14ac:dyDescent="0.25">
      <c r="A120" s="22">
        <v>186976</v>
      </c>
      <c r="B120" s="22">
        <v>1475</v>
      </c>
      <c r="C120" s="23" t="s">
        <v>299</v>
      </c>
      <c r="D120" s="23" t="s">
        <v>31</v>
      </c>
      <c r="E120" s="23" t="s">
        <v>300</v>
      </c>
      <c r="F120" s="23" t="s">
        <v>301</v>
      </c>
      <c r="G120" s="23" t="s">
        <v>29</v>
      </c>
      <c r="H120" s="24">
        <v>2700</v>
      </c>
      <c r="I120" s="24">
        <v>3790</v>
      </c>
      <c r="J120" s="23"/>
      <c r="K120" s="23" t="s">
        <v>14</v>
      </c>
      <c r="L120" s="23"/>
      <c r="M120" s="23" t="s">
        <v>31</v>
      </c>
      <c r="N120" s="13" t="str">
        <f t="shared" si="1"/>
        <v>1</v>
      </c>
      <c r="O120" s="13" t="str">
        <f>INDEX(Кат!$H:$H,MATCH($A120,Кат!$A:$A,0))</f>
        <v>стт</v>
      </c>
    </row>
    <row r="121" spans="1:15" ht="30" x14ac:dyDescent="0.25">
      <c r="A121" s="22">
        <v>186977</v>
      </c>
      <c r="B121" s="22">
        <v>1480</v>
      </c>
      <c r="C121" s="23" t="s">
        <v>302</v>
      </c>
      <c r="D121" s="23" t="s">
        <v>31</v>
      </c>
      <c r="E121" s="23" t="s">
        <v>303</v>
      </c>
      <c r="F121" s="23" t="s">
        <v>303</v>
      </c>
      <c r="G121" s="23" t="s">
        <v>29</v>
      </c>
      <c r="H121" s="24">
        <v>2650</v>
      </c>
      <c r="I121" s="24">
        <v>3790</v>
      </c>
      <c r="J121" s="23"/>
      <c r="K121" s="23" t="s">
        <v>14</v>
      </c>
      <c r="L121" s="23"/>
      <c r="M121" s="23" t="s">
        <v>31</v>
      </c>
      <c r="N121" s="13" t="str">
        <f t="shared" si="1"/>
        <v>1</v>
      </c>
      <c r="O121" s="13" t="str">
        <f>INDEX(Кат!$H:$H,MATCH($A121,Кат!$A:$A,0))</f>
        <v>стт</v>
      </c>
    </row>
    <row r="122" spans="1:15" ht="30" x14ac:dyDescent="0.25">
      <c r="A122" s="22">
        <v>186978</v>
      </c>
      <c r="B122" s="22">
        <v>1471</v>
      </c>
      <c r="C122" s="23" t="s">
        <v>304</v>
      </c>
      <c r="D122" s="23" t="s">
        <v>31</v>
      </c>
      <c r="E122" s="23" t="s">
        <v>305</v>
      </c>
      <c r="F122" s="23" t="s">
        <v>306</v>
      </c>
      <c r="G122" s="23" t="s">
        <v>29</v>
      </c>
      <c r="H122" s="24">
        <v>2600</v>
      </c>
      <c r="I122" s="24">
        <v>3690</v>
      </c>
      <c r="J122" s="23"/>
      <c r="K122" s="23" t="s">
        <v>14</v>
      </c>
      <c r="L122" s="23"/>
      <c r="M122" s="23" t="s">
        <v>31</v>
      </c>
      <c r="N122" s="13" t="str">
        <f t="shared" si="1"/>
        <v>1</v>
      </c>
      <c r="O122" s="13" t="str">
        <f>INDEX(Кат!$H:$H,MATCH($A122,Кат!$A:$A,0))</f>
        <v>стт</v>
      </c>
    </row>
    <row r="123" spans="1:15" ht="30" x14ac:dyDescent="0.25">
      <c r="A123" s="22">
        <v>186979</v>
      </c>
      <c r="B123" s="22">
        <v>1491</v>
      </c>
      <c r="C123" s="23" t="s">
        <v>307</v>
      </c>
      <c r="D123" s="23" t="s">
        <v>31</v>
      </c>
      <c r="E123" s="23" t="s">
        <v>308</v>
      </c>
      <c r="F123" s="23" t="s">
        <v>309</v>
      </c>
      <c r="G123" s="23" t="s">
        <v>29</v>
      </c>
      <c r="H123" s="24">
        <v>2950</v>
      </c>
      <c r="I123" s="24">
        <v>4190</v>
      </c>
      <c r="J123" s="23"/>
      <c r="K123" s="23" t="s">
        <v>14</v>
      </c>
      <c r="L123" s="23"/>
      <c r="M123" s="23" t="s">
        <v>31</v>
      </c>
      <c r="N123" s="13" t="str">
        <f t="shared" si="1"/>
        <v>1</v>
      </c>
      <c r="O123" s="13" t="str">
        <f>INDEX(Кат!$H:$H,MATCH($A123,Кат!$A:$A,0))</f>
        <v>стт</v>
      </c>
    </row>
    <row r="124" spans="1:15" ht="30" x14ac:dyDescent="0.25">
      <c r="A124" s="22">
        <v>186980</v>
      </c>
      <c r="B124" s="22">
        <v>1503</v>
      </c>
      <c r="C124" s="23" t="s">
        <v>310</v>
      </c>
      <c r="D124" s="23" t="s">
        <v>31</v>
      </c>
      <c r="E124" s="23" t="s">
        <v>311</v>
      </c>
      <c r="F124" s="23" t="s">
        <v>312</v>
      </c>
      <c r="G124" s="23" t="s">
        <v>29</v>
      </c>
      <c r="H124" s="24">
        <v>5400</v>
      </c>
      <c r="I124" s="24">
        <v>7590</v>
      </c>
      <c r="J124" s="23"/>
      <c r="K124" s="23" t="s">
        <v>14</v>
      </c>
      <c r="L124" s="23"/>
      <c r="M124" s="23" t="s">
        <v>31</v>
      </c>
      <c r="N124" s="13" t="str">
        <f t="shared" si="1"/>
        <v>1</v>
      </c>
      <c r="O124" s="13" t="str">
        <f>INDEX(Кат!$H:$H,MATCH($A124,Кат!$A:$A,0))</f>
        <v>стт</v>
      </c>
    </row>
    <row r="125" spans="1:15" ht="30" x14ac:dyDescent="0.25">
      <c r="A125" s="22">
        <v>186981</v>
      </c>
      <c r="B125" s="22">
        <v>1496</v>
      </c>
      <c r="C125" s="23" t="s">
        <v>313</v>
      </c>
      <c r="D125" s="23" t="s">
        <v>31</v>
      </c>
      <c r="E125" s="23" t="s">
        <v>314</v>
      </c>
      <c r="F125" s="23" t="s">
        <v>315</v>
      </c>
      <c r="G125" s="23" t="s">
        <v>29</v>
      </c>
      <c r="H125" s="24">
        <v>2800</v>
      </c>
      <c r="I125" s="24">
        <v>3990</v>
      </c>
      <c r="J125" s="23"/>
      <c r="K125" s="23" t="s">
        <v>14</v>
      </c>
      <c r="L125" s="23"/>
      <c r="M125" s="23" t="s">
        <v>31</v>
      </c>
      <c r="N125" s="13" t="str">
        <f t="shared" si="1"/>
        <v>1</v>
      </c>
      <c r="O125" s="13" t="str">
        <f>INDEX(Кат!$H:$H,MATCH($A125,Кат!$A:$A,0))</f>
        <v>стт</v>
      </c>
    </row>
    <row r="126" spans="1:15" ht="30" x14ac:dyDescent="0.25">
      <c r="A126" s="22">
        <v>186982</v>
      </c>
      <c r="B126" s="22">
        <v>1498</v>
      </c>
      <c r="C126" s="23" t="s">
        <v>316</v>
      </c>
      <c r="D126" s="23" t="s">
        <v>31</v>
      </c>
      <c r="E126" s="23" t="s">
        <v>317</v>
      </c>
      <c r="F126" s="23" t="s">
        <v>318</v>
      </c>
      <c r="G126" s="23" t="s">
        <v>29</v>
      </c>
      <c r="H126" s="24">
        <v>2700</v>
      </c>
      <c r="I126" s="24">
        <v>3790</v>
      </c>
      <c r="J126" s="23"/>
      <c r="K126" s="23" t="s">
        <v>14</v>
      </c>
      <c r="L126" s="23"/>
      <c r="M126" s="23" t="s">
        <v>31</v>
      </c>
      <c r="N126" s="13" t="str">
        <f t="shared" si="1"/>
        <v>1</v>
      </c>
      <c r="O126" s="13" t="str">
        <f>INDEX(Кат!$H:$H,MATCH($A126,Кат!$A:$A,0))</f>
        <v>стт</v>
      </c>
    </row>
    <row r="127" spans="1:15" ht="30" x14ac:dyDescent="0.25">
      <c r="A127" s="22">
        <v>186983</v>
      </c>
      <c r="B127" s="22">
        <v>1501</v>
      </c>
      <c r="C127" s="23" t="s">
        <v>319</v>
      </c>
      <c r="D127" s="23" t="s">
        <v>31</v>
      </c>
      <c r="E127" s="23" t="s">
        <v>320</v>
      </c>
      <c r="F127" s="23" t="s">
        <v>321</v>
      </c>
      <c r="G127" s="23" t="s">
        <v>29</v>
      </c>
      <c r="H127" s="24">
        <v>2650</v>
      </c>
      <c r="I127" s="24">
        <v>3790</v>
      </c>
      <c r="J127" s="23"/>
      <c r="K127" s="23" t="s">
        <v>14</v>
      </c>
      <c r="L127" s="23"/>
      <c r="M127" s="23" t="s">
        <v>31</v>
      </c>
      <c r="N127" s="13" t="str">
        <f t="shared" si="1"/>
        <v>1</v>
      </c>
      <c r="O127" s="13" t="str">
        <f>INDEX(Кат!$H:$H,MATCH($A127,Кат!$A:$A,0))</f>
        <v>стт</v>
      </c>
    </row>
    <row r="128" spans="1:15" ht="30" x14ac:dyDescent="0.25">
      <c r="A128" s="22">
        <v>186984</v>
      </c>
      <c r="B128" s="22">
        <v>1470</v>
      </c>
      <c r="C128" s="23" t="s">
        <v>322</v>
      </c>
      <c r="D128" s="23" t="s">
        <v>31</v>
      </c>
      <c r="E128" s="23" t="s">
        <v>323</v>
      </c>
      <c r="F128" s="23" t="s">
        <v>324</v>
      </c>
      <c r="G128" s="23" t="s">
        <v>29</v>
      </c>
      <c r="H128" s="24">
        <v>2500</v>
      </c>
      <c r="I128" s="24">
        <v>3490</v>
      </c>
      <c r="J128" s="23"/>
      <c r="K128" s="23" t="s">
        <v>14</v>
      </c>
      <c r="L128" s="23"/>
      <c r="M128" s="23" t="s">
        <v>31</v>
      </c>
      <c r="N128" s="13" t="str">
        <f t="shared" si="1"/>
        <v>1</v>
      </c>
      <c r="O128" s="13" t="str">
        <f>INDEX(Кат!$H:$H,MATCH($A128,Кат!$A:$A,0))</f>
        <v>стт</v>
      </c>
    </row>
    <row r="129" spans="1:15" ht="30" x14ac:dyDescent="0.25">
      <c r="A129" s="22">
        <v>186985</v>
      </c>
      <c r="B129" s="22">
        <v>1473</v>
      </c>
      <c r="C129" s="23" t="s">
        <v>325</v>
      </c>
      <c r="D129" s="23" t="s">
        <v>31</v>
      </c>
      <c r="E129" s="23" t="s">
        <v>326</v>
      </c>
      <c r="F129" s="23" t="s">
        <v>327</v>
      </c>
      <c r="G129" s="23" t="s">
        <v>29</v>
      </c>
      <c r="H129" s="24">
        <v>2550</v>
      </c>
      <c r="I129" s="24">
        <v>3590</v>
      </c>
      <c r="J129" s="23"/>
      <c r="K129" s="23" t="s">
        <v>14</v>
      </c>
      <c r="L129" s="23"/>
      <c r="M129" s="23" t="s">
        <v>31</v>
      </c>
      <c r="N129" s="13" t="str">
        <f t="shared" si="1"/>
        <v>1</v>
      </c>
      <c r="O129" s="13" t="str">
        <f>INDEX(Кат!$H:$H,MATCH($A129,Кат!$A:$A,0))</f>
        <v>стт</v>
      </c>
    </row>
    <row r="130" spans="1:15" ht="30" x14ac:dyDescent="0.25">
      <c r="A130" s="22">
        <v>186986</v>
      </c>
      <c r="B130" s="22">
        <v>1477</v>
      </c>
      <c r="C130" s="23" t="s">
        <v>328</v>
      </c>
      <c r="D130" s="23" t="s">
        <v>31</v>
      </c>
      <c r="E130" s="23" t="s">
        <v>329</v>
      </c>
      <c r="F130" s="23" t="s">
        <v>330</v>
      </c>
      <c r="G130" s="23" t="s">
        <v>29</v>
      </c>
      <c r="H130" s="24">
        <v>2500</v>
      </c>
      <c r="I130" s="24">
        <v>3490</v>
      </c>
      <c r="J130" s="23"/>
      <c r="K130" s="23" t="s">
        <v>14</v>
      </c>
      <c r="L130" s="23"/>
      <c r="M130" s="23" t="s">
        <v>31</v>
      </c>
      <c r="N130" s="13" t="str">
        <f t="shared" si="1"/>
        <v>1</v>
      </c>
      <c r="O130" s="13" t="str">
        <f>INDEX(Кат!$H:$H,MATCH($A130,Кат!$A:$A,0))</f>
        <v>стт</v>
      </c>
    </row>
    <row r="131" spans="1:15" ht="30" x14ac:dyDescent="0.25">
      <c r="A131" s="22">
        <v>186987</v>
      </c>
      <c r="B131" s="22">
        <v>1481</v>
      </c>
      <c r="C131" s="23" t="s">
        <v>331</v>
      </c>
      <c r="D131" s="23" t="s">
        <v>31</v>
      </c>
      <c r="E131" s="23" t="s">
        <v>332</v>
      </c>
      <c r="F131" s="23" t="s">
        <v>333</v>
      </c>
      <c r="G131" s="23" t="s">
        <v>29</v>
      </c>
      <c r="H131" s="24">
        <v>2500</v>
      </c>
      <c r="I131" s="24">
        <v>3490</v>
      </c>
      <c r="J131" s="23"/>
      <c r="K131" s="23" t="s">
        <v>14</v>
      </c>
      <c r="L131" s="23"/>
      <c r="M131" s="23" t="s">
        <v>31</v>
      </c>
      <c r="N131" s="13" t="str">
        <f t="shared" ref="N131:N194" si="2">_xlfn.CONCAT(K131,IF(L131&lt;&gt;"",_xlfn.CONCAT("ск",L131),""))</f>
        <v>1</v>
      </c>
      <c r="O131" s="13" t="str">
        <f>INDEX(Кат!$H:$H,MATCH($A131,Кат!$A:$A,0))</f>
        <v>стт</v>
      </c>
    </row>
    <row r="132" spans="1:15" ht="30" x14ac:dyDescent="0.25">
      <c r="A132" s="22">
        <v>186988</v>
      </c>
      <c r="B132" s="22">
        <v>1504</v>
      </c>
      <c r="C132" s="23" t="s">
        <v>334</v>
      </c>
      <c r="D132" s="23" t="s">
        <v>31</v>
      </c>
      <c r="E132" s="23" t="s">
        <v>335</v>
      </c>
      <c r="F132" s="23" t="s">
        <v>336</v>
      </c>
      <c r="G132" s="23" t="s">
        <v>29</v>
      </c>
      <c r="H132" s="24">
        <v>3950</v>
      </c>
      <c r="I132" s="24">
        <v>5590</v>
      </c>
      <c r="J132" s="23"/>
      <c r="K132" s="23" t="s">
        <v>14</v>
      </c>
      <c r="L132" s="23" t="s">
        <v>101</v>
      </c>
      <c r="M132" s="23"/>
      <c r="N132" s="13" t="str">
        <f t="shared" si="2"/>
        <v>1ск6</v>
      </c>
      <c r="O132" s="13" t="str">
        <f>INDEX(Кат!$H:$H,MATCH($A132,Кат!$A:$A,0))</f>
        <v>стт</v>
      </c>
    </row>
    <row r="133" spans="1:15" ht="30" x14ac:dyDescent="0.25">
      <c r="A133" s="22">
        <v>186989</v>
      </c>
      <c r="B133" s="22">
        <v>1488</v>
      </c>
      <c r="C133" s="23" t="s">
        <v>337</v>
      </c>
      <c r="D133" s="23" t="s">
        <v>31</v>
      </c>
      <c r="E133" s="23" t="s">
        <v>338</v>
      </c>
      <c r="F133" s="23" t="s">
        <v>339</v>
      </c>
      <c r="G133" s="23" t="s">
        <v>29</v>
      </c>
      <c r="H133" s="24">
        <v>2650</v>
      </c>
      <c r="I133" s="24">
        <v>3790</v>
      </c>
      <c r="J133" s="23"/>
      <c r="K133" s="23" t="s">
        <v>14</v>
      </c>
      <c r="L133" s="23"/>
      <c r="M133" s="23" t="s">
        <v>31</v>
      </c>
      <c r="N133" s="13" t="str">
        <f t="shared" si="2"/>
        <v>1</v>
      </c>
      <c r="O133" s="13" t="str">
        <f>INDEX(Кат!$H:$H,MATCH($A133,Кат!$A:$A,0))</f>
        <v>стт</v>
      </c>
    </row>
    <row r="134" spans="1:15" ht="30" x14ac:dyDescent="0.25">
      <c r="A134" s="22">
        <v>186990</v>
      </c>
      <c r="B134" s="22">
        <v>1497</v>
      </c>
      <c r="C134" s="23" t="s">
        <v>340</v>
      </c>
      <c r="D134" s="23" t="s">
        <v>31</v>
      </c>
      <c r="E134" s="23" t="s">
        <v>341</v>
      </c>
      <c r="F134" s="23" t="s">
        <v>342</v>
      </c>
      <c r="G134" s="23" t="s">
        <v>29</v>
      </c>
      <c r="H134" s="24">
        <v>2600</v>
      </c>
      <c r="I134" s="24">
        <v>3690</v>
      </c>
      <c r="J134" s="23"/>
      <c r="K134" s="23" t="s">
        <v>14</v>
      </c>
      <c r="L134" s="23"/>
      <c r="M134" s="23" t="s">
        <v>31</v>
      </c>
      <c r="N134" s="13" t="str">
        <f t="shared" si="2"/>
        <v>1</v>
      </c>
      <c r="O134" s="13" t="str">
        <f>INDEX(Кат!$H:$H,MATCH($A134,Кат!$A:$A,0))</f>
        <v>стт</v>
      </c>
    </row>
    <row r="135" spans="1:15" ht="30" x14ac:dyDescent="0.25">
      <c r="A135" s="22">
        <v>186991</v>
      </c>
      <c r="B135" s="22">
        <v>1499</v>
      </c>
      <c r="C135" s="23" t="s">
        <v>343</v>
      </c>
      <c r="D135" s="23" t="s">
        <v>31</v>
      </c>
      <c r="E135" s="23" t="s">
        <v>344</v>
      </c>
      <c r="F135" s="23" t="s">
        <v>345</v>
      </c>
      <c r="G135" s="23" t="s">
        <v>29</v>
      </c>
      <c r="H135" s="24">
        <v>2550</v>
      </c>
      <c r="I135" s="24">
        <v>3590</v>
      </c>
      <c r="J135" s="23"/>
      <c r="K135" s="23" t="s">
        <v>14</v>
      </c>
      <c r="L135" s="23"/>
      <c r="M135" s="23" t="s">
        <v>31</v>
      </c>
      <c r="N135" s="13" t="str">
        <f t="shared" si="2"/>
        <v>1</v>
      </c>
      <c r="O135" s="13" t="str">
        <f>INDEX(Кат!$H:$H,MATCH($A135,Кат!$A:$A,0))</f>
        <v>стт</v>
      </c>
    </row>
    <row r="136" spans="1:15" ht="30" x14ac:dyDescent="0.25">
      <c r="A136" s="22">
        <v>186960</v>
      </c>
      <c r="B136" s="22">
        <v>6871</v>
      </c>
      <c r="C136" s="23" t="s">
        <v>346</v>
      </c>
      <c r="D136" s="23" t="s">
        <v>31</v>
      </c>
      <c r="E136" s="23" t="s">
        <v>347</v>
      </c>
      <c r="F136" s="23" t="s">
        <v>348</v>
      </c>
      <c r="G136" s="23" t="s">
        <v>29</v>
      </c>
      <c r="H136" s="24">
        <v>3100</v>
      </c>
      <c r="I136" s="24">
        <v>4390</v>
      </c>
      <c r="J136" s="23"/>
      <c r="K136" s="23" t="s">
        <v>14</v>
      </c>
      <c r="L136" s="23"/>
      <c r="M136" s="23" t="s">
        <v>31</v>
      </c>
      <c r="N136" s="13" t="str">
        <f t="shared" si="2"/>
        <v>1</v>
      </c>
      <c r="O136" s="13" t="str">
        <f>INDEX(Кат!$H:$H,MATCH($A136,Кат!$A:$A,0))</f>
        <v>стт</v>
      </c>
    </row>
    <row r="137" spans="1:15" ht="30" x14ac:dyDescent="0.25">
      <c r="A137" s="22">
        <v>187035</v>
      </c>
      <c r="B137" s="22">
        <v>1462</v>
      </c>
      <c r="C137" s="23" t="s">
        <v>349</v>
      </c>
      <c r="D137" s="23" t="s">
        <v>31</v>
      </c>
      <c r="E137" s="23" t="s">
        <v>350</v>
      </c>
      <c r="F137" s="23" t="s">
        <v>351</v>
      </c>
      <c r="G137" s="23" t="s">
        <v>29</v>
      </c>
      <c r="H137" s="24">
        <v>2650</v>
      </c>
      <c r="I137" s="24">
        <v>3790</v>
      </c>
      <c r="J137" s="23"/>
      <c r="K137" s="23" t="s">
        <v>14</v>
      </c>
      <c r="L137" s="23" t="s">
        <v>101</v>
      </c>
      <c r="M137" s="23" t="s">
        <v>31</v>
      </c>
      <c r="N137" s="13" t="str">
        <f t="shared" si="2"/>
        <v>1ск6</v>
      </c>
      <c r="O137" s="13" t="str">
        <f>INDEX(Кат!$H:$H,MATCH($A137,Кат!$A:$A,0))</f>
        <v>стт</v>
      </c>
    </row>
    <row r="138" spans="1:15" ht="60" x14ac:dyDescent="0.25">
      <c r="A138" s="22">
        <v>203635</v>
      </c>
      <c r="B138" s="22">
        <v>23279</v>
      </c>
      <c r="C138" s="23" t="s">
        <v>352</v>
      </c>
      <c r="D138" s="23" t="s">
        <v>31</v>
      </c>
      <c r="E138" s="23" t="s">
        <v>353</v>
      </c>
      <c r="F138" s="23" t="s">
        <v>353</v>
      </c>
      <c r="G138" s="23" t="s">
        <v>29</v>
      </c>
      <c r="H138" s="24">
        <v>7250</v>
      </c>
      <c r="I138" s="24">
        <v>10190</v>
      </c>
      <c r="J138" s="23"/>
      <c r="K138" s="23" t="s">
        <v>14</v>
      </c>
      <c r="L138" s="23"/>
      <c r="M138" s="23" t="s">
        <v>31</v>
      </c>
      <c r="N138" s="13" t="str">
        <f t="shared" si="2"/>
        <v>1</v>
      </c>
      <c r="O138" s="13" t="str">
        <f>INDEX(Кат!$H:$H,MATCH($A138,Кат!$A:$A,0))</f>
        <v>стт</v>
      </c>
    </row>
    <row r="139" spans="1:15" ht="45" x14ac:dyDescent="0.25">
      <c r="A139" s="22">
        <v>203636</v>
      </c>
      <c r="B139" s="22">
        <v>23487</v>
      </c>
      <c r="C139" s="23" t="s">
        <v>354</v>
      </c>
      <c r="D139" s="23" t="s">
        <v>31</v>
      </c>
      <c r="E139" s="23" t="s">
        <v>355</v>
      </c>
      <c r="F139" s="23" t="s">
        <v>356</v>
      </c>
      <c r="G139" s="23" t="s">
        <v>29</v>
      </c>
      <c r="H139" s="24">
        <v>2900</v>
      </c>
      <c r="I139" s="24">
        <v>4090</v>
      </c>
      <c r="J139" s="23"/>
      <c r="K139" s="23" t="s">
        <v>14</v>
      </c>
      <c r="L139" s="23"/>
      <c r="M139" s="23" t="s">
        <v>31</v>
      </c>
      <c r="N139" s="13" t="str">
        <f t="shared" si="2"/>
        <v>1</v>
      </c>
      <c r="O139" s="13" t="str">
        <f>INDEX(Кат!$H:$H,MATCH($A139,Кат!$A:$A,0))</f>
        <v>стт</v>
      </c>
    </row>
    <row r="140" spans="1:15" ht="45" x14ac:dyDescent="0.25">
      <c r="A140" s="22">
        <v>203627</v>
      </c>
      <c r="B140" s="22">
        <v>1759</v>
      </c>
      <c r="C140" s="23" t="s">
        <v>357</v>
      </c>
      <c r="D140" s="23" t="s">
        <v>31</v>
      </c>
      <c r="E140" s="23" t="s">
        <v>358</v>
      </c>
      <c r="F140" s="23" t="s">
        <v>359</v>
      </c>
      <c r="G140" s="23" t="s">
        <v>29</v>
      </c>
      <c r="H140" s="24">
        <v>7250</v>
      </c>
      <c r="I140" s="24">
        <v>10190</v>
      </c>
      <c r="J140" s="23"/>
      <c r="K140" s="23" t="s">
        <v>14</v>
      </c>
      <c r="L140" s="23"/>
      <c r="M140" s="23" t="s">
        <v>31</v>
      </c>
      <c r="N140" s="13" t="str">
        <f t="shared" si="2"/>
        <v>1</v>
      </c>
      <c r="O140" s="13" t="str">
        <f>INDEX(Кат!$H:$H,MATCH($A140,Кат!$A:$A,0))</f>
        <v>стт</v>
      </c>
    </row>
    <row r="141" spans="1:15" ht="30" x14ac:dyDescent="0.25">
      <c r="A141" s="22">
        <v>203628</v>
      </c>
      <c r="B141" s="22">
        <v>1758</v>
      </c>
      <c r="C141" s="23" t="s">
        <v>360</v>
      </c>
      <c r="D141" s="23" t="s">
        <v>31</v>
      </c>
      <c r="E141" s="23" t="s">
        <v>361</v>
      </c>
      <c r="F141" s="23" t="s">
        <v>362</v>
      </c>
      <c r="G141" s="23" t="s">
        <v>29</v>
      </c>
      <c r="H141" s="24">
        <v>1350</v>
      </c>
      <c r="I141" s="24">
        <v>1890</v>
      </c>
      <c r="J141" s="23"/>
      <c r="K141" s="23" t="s">
        <v>14</v>
      </c>
      <c r="L141" s="23"/>
      <c r="M141" s="23" t="s">
        <v>31</v>
      </c>
      <c r="N141" s="13" t="str">
        <f t="shared" si="2"/>
        <v>1</v>
      </c>
      <c r="O141" s="13" t="str">
        <f>INDEX(Кат!$H:$H,MATCH($A141,Кат!$A:$A,0))</f>
        <v>стт</v>
      </c>
    </row>
    <row r="142" spans="1:15" ht="45" x14ac:dyDescent="0.25">
      <c r="A142" s="22">
        <v>203658</v>
      </c>
      <c r="B142" s="22">
        <v>1765</v>
      </c>
      <c r="C142" s="23" t="s">
        <v>363</v>
      </c>
      <c r="D142" s="23" t="s">
        <v>31</v>
      </c>
      <c r="E142" s="23" t="s">
        <v>364</v>
      </c>
      <c r="F142" s="23" t="s">
        <v>365</v>
      </c>
      <c r="G142" s="23" t="s">
        <v>29</v>
      </c>
      <c r="H142" s="24">
        <v>6750</v>
      </c>
      <c r="I142" s="24">
        <v>9490</v>
      </c>
      <c r="J142" s="23"/>
      <c r="K142" s="23" t="s">
        <v>14</v>
      </c>
      <c r="L142" s="23"/>
      <c r="M142" s="23" t="s">
        <v>31</v>
      </c>
      <c r="N142" s="13" t="str">
        <f t="shared" si="2"/>
        <v>1</v>
      </c>
      <c r="O142" s="13" t="str">
        <f>INDEX(Кат!$H:$H,MATCH($A142,Кат!$A:$A,0))</f>
        <v>стт</v>
      </c>
    </row>
    <row r="143" spans="1:15" ht="45" x14ac:dyDescent="0.25">
      <c r="A143" s="22">
        <v>203659</v>
      </c>
      <c r="B143" s="22">
        <v>1772</v>
      </c>
      <c r="C143" s="23" t="s">
        <v>366</v>
      </c>
      <c r="D143" s="23" t="s">
        <v>31</v>
      </c>
      <c r="E143" s="23" t="s">
        <v>367</v>
      </c>
      <c r="F143" s="23" t="s">
        <v>368</v>
      </c>
      <c r="G143" s="23" t="s">
        <v>29</v>
      </c>
      <c r="H143" s="24">
        <v>2900</v>
      </c>
      <c r="I143" s="24">
        <v>4090</v>
      </c>
      <c r="J143" s="23"/>
      <c r="K143" s="23" t="s">
        <v>14</v>
      </c>
      <c r="L143" s="23"/>
      <c r="M143" s="23" t="s">
        <v>31</v>
      </c>
      <c r="N143" s="13" t="str">
        <f t="shared" si="2"/>
        <v>1</v>
      </c>
      <c r="O143" s="13" t="str">
        <f>INDEX(Кат!$H:$H,MATCH($A143,Кат!$A:$A,0))</f>
        <v>стт</v>
      </c>
    </row>
    <row r="144" spans="1:15" ht="45" x14ac:dyDescent="0.25">
      <c r="A144" s="22">
        <v>203660</v>
      </c>
      <c r="B144" s="22">
        <v>1774</v>
      </c>
      <c r="C144" s="23" t="s">
        <v>369</v>
      </c>
      <c r="D144" s="23" t="s">
        <v>31</v>
      </c>
      <c r="E144" s="23" t="s">
        <v>370</v>
      </c>
      <c r="F144" s="23" t="s">
        <v>371</v>
      </c>
      <c r="G144" s="23" t="s">
        <v>29</v>
      </c>
      <c r="H144" s="24">
        <v>6750</v>
      </c>
      <c r="I144" s="24">
        <v>9490</v>
      </c>
      <c r="J144" s="23"/>
      <c r="K144" s="23" t="s">
        <v>14</v>
      </c>
      <c r="L144" s="23" t="s">
        <v>101</v>
      </c>
      <c r="M144" s="23"/>
      <c r="N144" s="13" t="str">
        <f t="shared" si="2"/>
        <v>1ск6</v>
      </c>
      <c r="O144" s="13" t="str">
        <f>INDEX(Кат!$H:$H,MATCH($A144,Кат!$A:$A,0))</f>
        <v>стт</v>
      </c>
    </row>
    <row r="145" spans="1:15" ht="30" x14ac:dyDescent="0.25">
      <c r="A145" s="22">
        <v>203661</v>
      </c>
      <c r="B145" s="22">
        <v>1773</v>
      </c>
      <c r="C145" s="23" t="s">
        <v>372</v>
      </c>
      <c r="D145" s="23" t="s">
        <v>31</v>
      </c>
      <c r="E145" s="23" t="s">
        <v>373</v>
      </c>
      <c r="F145" s="23" t="s">
        <v>374</v>
      </c>
      <c r="G145" s="23" t="s">
        <v>29</v>
      </c>
      <c r="H145" s="24">
        <v>2350</v>
      </c>
      <c r="I145" s="24">
        <v>3290</v>
      </c>
      <c r="J145" s="23"/>
      <c r="K145" s="23" t="s">
        <v>14</v>
      </c>
      <c r="L145" s="23"/>
      <c r="M145" s="23" t="s">
        <v>31</v>
      </c>
      <c r="N145" s="13" t="str">
        <f t="shared" si="2"/>
        <v>1</v>
      </c>
      <c r="O145" s="13" t="str">
        <f>INDEX(Кат!$H:$H,MATCH($A145,Кат!$A:$A,0))</f>
        <v>стт</v>
      </c>
    </row>
    <row r="146" spans="1:15" ht="45" x14ac:dyDescent="0.25">
      <c r="A146" s="22">
        <v>203629</v>
      </c>
      <c r="B146" s="22">
        <v>1755</v>
      </c>
      <c r="C146" s="23" t="s">
        <v>375</v>
      </c>
      <c r="D146" s="23" t="s">
        <v>31</v>
      </c>
      <c r="E146" s="23" t="s">
        <v>376</v>
      </c>
      <c r="F146" s="23" t="s">
        <v>377</v>
      </c>
      <c r="G146" s="23" t="s">
        <v>29</v>
      </c>
      <c r="H146" s="24">
        <v>6750</v>
      </c>
      <c r="I146" s="24">
        <v>9490</v>
      </c>
      <c r="J146" s="23"/>
      <c r="K146" s="23" t="s">
        <v>14</v>
      </c>
      <c r="L146" s="23"/>
      <c r="M146" s="23" t="s">
        <v>31</v>
      </c>
      <c r="N146" s="13" t="str">
        <f t="shared" si="2"/>
        <v>1</v>
      </c>
      <c r="O146" s="13" t="str">
        <f>INDEX(Кат!$H:$H,MATCH($A146,Кат!$A:$A,0))</f>
        <v>стт</v>
      </c>
    </row>
    <row r="147" spans="1:15" ht="30" x14ac:dyDescent="0.25">
      <c r="A147" s="22">
        <v>203630</v>
      </c>
      <c r="B147" s="22">
        <v>1756</v>
      </c>
      <c r="C147" s="23" t="s">
        <v>378</v>
      </c>
      <c r="D147" s="23" t="s">
        <v>31</v>
      </c>
      <c r="E147" s="23" t="s">
        <v>379</v>
      </c>
      <c r="F147" s="23" t="s">
        <v>380</v>
      </c>
      <c r="G147" s="23" t="s">
        <v>29</v>
      </c>
      <c r="H147" s="24">
        <v>2900</v>
      </c>
      <c r="I147" s="24">
        <v>4090</v>
      </c>
      <c r="J147" s="23"/>
      <c r="K147" s="23" t="s">
        <v>14</v>
      </c>
      <c r="L147" s="23"/>
      <c r="M147" s="23" t="s">
        <v>31</v>
      </c>
      <c r="N147" s="13" t="str">
        <f t="shared" si="2"/>
        <v>1</v>
      </c>
      <c r="O147" s="13" t="str">
        <f>INDEX(Кат!$H:$H,MATCH($A147,Кат!$A:$A,0))</f>
        <v>стт</v>
      </c>
    </row>
    <row r="148" spans="1:15" ht="30" x14ac:dyDescent="0.25">
      <c r="A148" s="22">
        <v>203631</v>
      </c>
      <c r="B148" s="22">
        <v>1754</v>
      </c>
      <c r="C148" s="23" t="s">
        <v>381</v>
      </c>
      <c r="D148" s="23" t="s">
        <v>31</v>
      </c>
      <c r="E148" s="23" t="s">
        <v>382</v>
      </c>
      <c r="F148" s="23" t="s">
        <v>383</v>
      </c>
      <c r="G148" s="23" t="s">
        <v>29</v>
      </c>
      <c r="H148" s="24">
        <v>2350</v>
      </c>
      <c r="I148" s="24">
        <v>3290</v>
      </c>
      <c r="J148" s="23"/>
      <c r="K148" s="23" t="s">
        <v>14</v>
      </c>
      <c r="L148" s="23"/>
      <c r="M148" s="23" t="s">
        <v>31</v>
      </c>
      <c r="N148" s="13" t="str">
        <f t="shared" si="2"/>
        <v>1</v>
      </c>
      <c r="O148" s="13" t="str">
        <f>INDEX(Кат!$H:$H,MATCH($A148,Кат!$A:$A,0))</f>
        <v>стт</v>
      </c>
    </row>
    <row r="149" spans="1:15" ht="45" x14ac:dyDescent="0.25">
      <c r="A149" s="22">
        <v>203632</v>
      </c>
      <c r="B149" s="22">
        <v>1751</v>
      </c>
      <c r="C149" s="23" t="s">
        <v>384</v>
      </c>
      <c r="D149" s="23" t="s">
        <v>31</v>
      </c>
      <c r="E149" s="23" t="s">
        <v>385</v>
      </c>
      <c r="F149" s="23" t="s">
        <v>385</v>
      </c>
      <c r="G149" s="23" t="s">
        <v>29</v>
      </c>
      <c r="H149" s="24">
        <v>7250</v>
      </c>
      <c r="I149" s="24">
        <v>10190</v>
      </c>
      <c r="J149" s="23"/>
      <c r="K149" s="23" t="s">
        <v>14</v>
      </c>
      <c r="L149" s="23"/>
      <c r="M149" s="23" t="s">
        <v>31</v>
      </c>
      <c r="N149" s="13" t="str">
        <f t="shared" si="2"/>
        <v>1</v>
      </c>
      <c r="O149" s="13" t="str">
        <f>INDEX(Кат!$H:$H,MATCH($A149,Кат!$A:$A,0))</f>
        <v>стт</v>
      </c>
    </row>
    <row r="150" spans="1:15" ht="30" x14ac:dyDescent="0.25">
      <c r="A150" s="22">
        <v>203662</v>
      </c>
      <c r="B150" s="22">
        <v>1782</v>
      </c>
      <c r="C150" s="23" t="s">
        <v>386</v>
      </c>
      <c r="D150" s="23" t="s">
        <v>31</v>
      </c>
      <c r="E150" s="23" t="s">
        <v>387</v>
      </c>
      <c r="F150" s="23" t="s">
        <v>387</v>
      </c>
      <c r="G150" s="23" t="s">
        <v>29</v>
      </c>
      <c r="H150" s="24">
        <v>2350</v>
      </c>
      <c r="I150" s="24">
        <v>3290</v>
      </c>
      <c r="J150" s="23"/>
      <c r="K150" s="23" t="s">
        <v>14</v>
      </c>
      <c r="L150" s="23"/>
      <c r="M150" s="23" t="s">
        <v>31</v>
      </c>
      <c r="N150" s="13" t="str">
        <f t="shared" si="2"/>
        <v>1</v>
      </c>
      <c r="O150" s="13" t="str">
        <f>INDEX(Кат!$H:$H,MATCH($A150,Кат!$A:$A,0))</f>
        <v>стт</v>
      </c>
    </row>
    <row r="151" spans="1:15" ht="60" x14ac:dyDescent="0.25">
      <c r="A151" s="22">
        <v>203633</v>
      </c>
      <c r="B151" s="22">
        <v>23497</v>
      </c>
      <c r="C151" s="23" t="s">
        <v>388</v>
      </c>
      <c r="D151" s="23" t="s">
        <v>31</v>
      </c>
      <c r="E151" s="23" t="s">
        <v>389</v>
      </c>
      <c r="F151" s="23" t="s">
        <v>389</v>
      </c>
      <c r="G151" s="23" t="s">
        <v>29</v>
      </c>
      <c r="H151" s="24">
        <v>6000</v>
      </c>
      <c r="I151" s="24">
        <v>8390</v>
      </c>
      <c r="J151" s="23"/>
      <c r="K151" s="23" t="s">
        <v>14</v>
      </c>
      <c r="L151" s="23"/>
      <c r="M151" s="23" t="s">
        <v>31</v>
      </c>
      <c r="N151" s="13" t="str">
        <f t="shared" si="2"/>
        <v>1</v>
      </c>
      <c r="O151" s="13" t="str">
        <f>INDEX(Кат!$H:$H,MATCH($A151,Кат!$A:$A,0))</f>
        <v>стт</v>
      </c>
    </row>
    <row r="152" spans="1:15" ht="45" x14ac:dyDescent="0.25">
      <c r="A152" s="22">
        <v>203634</v>
      </c>
      <c r="B152" s="22">
        <v>23495</v>
      </c>
      <c r="C152" s="23" t="s">
        <v>390</v>
      </c>
      <c r="D152" s="23" t="s">
        <v>31</v>
      </c>
      <c r="E152" s="23" t="s">
        <v>391</v>
      </c>
      <c r="F152" s="23" t="s">
        <v>392</v>
      </c>
      <c r="G152" s="23" t="s">
        <v>29</v>
      </c>
      <c r="H152" s="24">
        <v>2100</v>
      </c>
      <c r="I152" s="24">
        <v>2990</v>
      </c>
      <c r="J152" s="23"/>
      <c r="K152" s="23" t="s">
        <v>14</v>
      </c>
      <c r="L152" s="23"/>
      <c r="M152" s="23" t="s">
        <v>31</v>
      </c>
      <c r="N152" s="13" t="str">
        <f t="shared" si="2"/>
        <v>1</v>
      </c>
      <c r="O152" s="13" t="str">
        <f>INDEX(Кат!$H:$H,MATCH($A152,Кат!$A:$A,0))</f>
        <v>стт</v>
      </c>
    </row>
    <row r="153" spans="1:15" ht="45" x14ac:dyDescent="0.25">
      <c r="A153" s="22">
        <v>203637</v>
      </c>
      <c r="B153" s="22">
        <v>1789</v>
      </c>
      <c r="C153" s="23" t="s">
        <v>393</v>
      </c>
      <c r="D153" s="23" t="s">
        <v>31</v>
      </c>
      <c r="E153" s="23" t="s">
        <v>394</v>
      </c>
      <c r="F153" s="23" t="s">
        <v>395</v>
      </c>
      <c r="G153" s="23" t="s">
        <v>29</v>
      </c>
      <c r="H153" s="24">
        <v>6750</v>
      </c>
      <c r="I153" s="24">
        <v>9490</v>
      </c>
      <c r="J153" s="23"/>
      <c r="K153" s="23" t="s">
        <v>14</v>
      </c>
      <c r="L153" s="23"/>
      <c r="M153" s="23" t="s">
        <v>31</v>
      </c>
      <c r="N153" s="13" t="str">
        <f t="shared" si="2"/>
        <v>1</v>
      </c>
      <c r="O153" s="13" t="str">
        <f>INDEX(Кат!$H:$H,MATCH($A153,Кат!$A:$A,0))</f>
        <v>стт</v>
      </c>
    </row>
    <row r="154" spans="1:15" ht="45" x14ac:dyDescent="0.25">
      <c r="A154" s="22">
        <v>203638</v>
      </c>
      <c r="B154" s="22">
        <v>1792</v>
      </c>
      <c r="C154" s="23" t="s">
        <v>396</v>
      </c>
      <c r="D154" s="23" t="s">
        <v>31</v>
      </c>
      <c r="E154" s="23" t="s">
        <v>397</v>
      </c>
      <c r="F154" s="23" t="s">
        <v>398</v>
      </c>
      <c r="G154" s="23" t="s">
        <v>29</v>
      </c>
      <c r="H154" s="24">
        <v>7250</v>
      </c>
      <c r="I154" s="24">
        <v>10190</v>
      </c>
      <c r="J154" s="23"/>
      <c r="K154" s="23" t="s">
        <v>14</v>
      </c>
      <c r="L154" s="23"/>
      <c r="M154" s="23" t="s">
        <v>31</v>
      </c>
      <c r="N154" s="13" t="str">
        <f t="shared" si="2"/>
        <v>1</v>
      </c>
      <c r="O154" s="13" t="str">
        <f>INDEX(Кат!$H:$H,MATCH($A154,Кат!$A:$A,0))</f>
        <v>стт</v>
      </c>
    </row>
    <row r="155" spans="1:15" ht="45" x14ac:dyDescent="0.25">
      <c r="A155" s="22">
        <v>203639</v>
      </c>
      <c r="B155" s="22">
        <v>1791</v>
      </c>
      <c r="C155" s="23" t="s">
        <v>399</v>
      </c>
      <c r="D155" s="23" t="s">
        <v>31</v>
      </c>
      <c r="E155" s="23" t="s">
        <v>400</v>
      </c>
      <c r="F155" s="23" t="s">
        <v>401</v>
      </c>
      <c r="G155" s="23" t="s">
        <v>29</v>
      </c>
      <c r="H155" s="24">
        <v>2900</v>
      </c>
      <c r="I155" s="24">
        <v>4090</v>
      </c>
      <c r="J155" s="23"/>
      <c r="K155" s="23" t="s">
        <v>14</v>
      </c>
      <c r="L155" s="23"/>
      <c r="M155" s="23" t="s">
        <v>31</v>
      </c>
      <c r="N155" s="13" t="str">
        <f t="shared" si="2"/>
        <v>1</v>
      </c>
      <c r="O155" s="13" t="str">
        <f>INDEX(Кат!$H:$H,MATCH($A155,Кат!$A:$A,0))</f>
        <v>стт</v>
      </c>
    </row>
    <row r="156" spans="1:15" ht="30" x14ac:dyDescent="0.25">
      <c r="A156" s="22">
        <v>203640</v>
      </c>
      <c r="B156" s="22">
        <v>1788</v>
      </c>
      <c r="C156" s="23" t="s">
        <v>402</v>
      </c>
      <c r="D156" s="23" t="s">
        <v>31</v>
      </c>
      <c r="E156" s="23" t="s">
        <v>403</v>
      </c>
      <c r="F156" s="23" t="s">
        <v>404</v>
      </c>
      <c r="G156" s="23" t="s">
        <v>29</v>
      </c>
      <c r="H156" s="24">
        <v>2350</v>
      </c>
      <c r="I156" s="24">
        <v>3290</v>
      </c>
      <c r="J156" s="23"/>
      <c r="K156" s="23" t="s">
        <v>14</v>
      </c>
      <c r="L156" s="23" t="s">
        <v>101</v>
      </c>
      <c r="M156" s="23"/>
      <c r="N156" s="13" t="str">
        <f t="shared" si="2"/>
        <v>1ск6</v>
      </c>
      <c r="O156" s="13" t="str">
        <f>INDEX(Кат!$H:$H,MATCH($A156,Кат!$A:$A,0))</f>
        <v>стт</v>
      </c>
    </row>
    <row r="157" spans="1:15" ht="45" x14ac:dyDescent="0.25">
      <c r="A157" s="22">
        <v>203641</v>
      </c>
      <c r="B157" s="22">
        <v>23278</v>
      </c>
      <c r="C157" s="23" t="s">
        <v>405</v>
      </c>
      <c r="D157" s="23" t="s">
        <v>31</v>
      </c>
      <c r="E157" s="23" t="s">
        <v>406</v>
      </c>
      <c r="F157" s="23" t="s">
        <v>407</v>
      </c>
      <c r="G157" s="23" t="s">
        <v>29</v>
      </c>
      <c r="H157" s="24">
        <v>6450</v>
      </c>
      <c r="I157" s="24">
        <v>9090</v>
      </c>
      <c r="J157" s="23"/>
      <c r="K157" s="23" t="s">
        <v>14</v>
      </c>
      <c r="L157" s="23"/>
      <c r="M157" s="23" t="s">
        <v>31</v>
      </c>
      <c r="N157" s="13" t="str">
        <f t="shared" si="2"/>
        <v>1</v>
      </c>
      <c r="O157" s="13" t="str">
        <f>INDEX(Кат!$H:$H,MATCH($A157,Кат!$A:$A,0))</f>
        <v>стт</v>
      </c>
    </row>
    <row r="158" spans="1:15" ht="60" x14ac:dyDescent="0.25">
      <c r="A158" s="22">
        <v>203642</v>
      </c>
      <c r="B158" s="22">
        <v>23491</v>
      </c>
      <c r="C158" s="23" t="s">
        <v>408</v>
      </c>
      <c r="D158" s="23" t="s">
        <v>31</v>
      </c>
      <c r="E158" s="23" t="s">
        <v>409</v>
      </c>
      <c r="F158" s="23" t="s">
        <v>410</v>
      </c>
      <c r="G158" s="23" t="s">
        <v>29</v>
      </c>
      <c r="H158" s="24">
        <v>7350</v>
      </c>
      <c r="I158" s="24">
        <v>10290</v>
      </c>
      <c r="J158" s="23"/>
      <c r="K158" s="23" t="s">
        <v>14</v>
      </c>
      <c r="L158" s="23"/>
      <c r="M158" s="23" t="s">
        <v>31</v>
      </c>
      <c r="N158" s="13" t="str">
        <f t="shared" si="2"/>
        <v>1</v>
      </c>
      <c r="O158" s="13" t="str">
        <f>INDEX(Кат!$H:$H,MATCH($A158,Кат!$A:$A,0))</f>
        <v>стт</v>
      </c>
    </row>
    <row r="159" spans="1:15" ht="60" x14ac:dyDescent="0.25">
      <c r="A159" s="22">
        <v>203643</v>
      </c>
      <c r="B159" s="22">
        <v>23276</v>
      </c>
      <c r="C159" s="23" t="s">
        <v>411</v>
      </c>
      <c r="D159" s="23" t="s">
        <v>31</v>
      </c>
      <c r="E159" s="23" t="s">
        <v>412</v>
      </c>
      <c r="F159" s="23" t="s">
        <v>413</v>
      </c>
      <c r="G159" s="23" t="s">
        <v>29</v>
      </c>
      <c r="H159" s="24">
        <v>6450</v>
      </c>
      <c r="I159" s="24">
        <v>9090</v>
      </c>
      <c r="J159" s="23"/>
      <c r="K159" s="23" t="s">
        <v>14</v>
      </c>
      <c r="L159" s="23"/>
      <c r="M159" s="23" t="s">
        <v>31</v>
      </c>
      <c r="N159" s="13" t="str">
        <f t="shared" si="2"/>
        <v>1</v>
      </c>
      <c r="O159" s="13" t="str">
        <f>INDEX(Кат!$H:$H,MATCH($A159,Кат!$A:$A,0))</f>
        <v>стт</v>
      </c>
    </row>
    <row r="160" spans="1:15" ht="45" x14ac:dyDescent="0.25">
      <c r="A160" s="22">
        <v>203644</v>
      </c>
      <c r="B160" s="22">
        <v>23275</v>
      </c>
      <c r="C160" s="23" t="s">
        <v>414</v>
      </c>
      <c r="D160" s="23" t="s">
        <v>31</v>
      </c>
      <c r="E160" s="23" t="s">
        <v>415</v>
      </c>
      <c r="F160" s="23" t="s">
        <v>415</v>
      </c>
      <c r="G160" s="23" t="s">
        <v>29</v>
      </c>
      <c r="H160" s="24">
        <v>7450</v>
      </c>
      <c r="I160" s="24">
        <v>10490</v>
      </c>
      <c r="J160" s="23"/>
      <c r="K160" s="23" t="s">
        <v>14</v>
      </c>
      <c r="L160" s="23"/>
      <c r="M160" s="23" t="s">
        <v>31</v>
      </c>
      <c r="N160" s="13" t="str">
        <f t="shared" si="2"/>
        <v>1</v>
      </c>
      <c r="O160" s="13" t="str">
        <f>INDEX(Кат!$H:$H,MATCH($A160,Кат!$A:$A,0))</f>
        <v>стт</v>
      </c>
    </row>
    <row r="161" spans="1:15" ht="45" x14ac:dyDescent="0.25">
      <c r="A161" s="22">
        <v>203645</v>
      </c>
      <c r="B161" s="22">
        <v>23493</v>
      </c>
      <c r="C161" s="23" t="s">
        <v>416</v>
      </c>
      <c r="D161" s="23" t="s">
        <v>31</v>
      </c>
      <c r="E161" s="23" t="s">
        <v>417</v>
      </c>
      <c r="F161" s="23" t="s">
        <v>417</v>
      </c>
      <c r="G161" s="23" t="s">
        <v>29</v>
      </c>
      <c r="H161" s="24">
        <v>2900</v>
      </c>
      <c r="I161" s="24">
        <v>4090</v>
      </c>
      <c r="J161" s="23"/>
      <c r="K161" s="23" t="s">
        <v>14</v>
      </c>
      <c r="L161" s="23"/>
      <c r="M161" s="23" t="s">
        <v>31</v>
      </c>
      <c r="N161" s="13" t="str">
        <f t="shared" si="2"/>
        <v>1</v>
      </c>
      <c r="O161" s="13" t="str">
        <f>INDEX(Кат!$H:$H,MATCH($A161,Кат!$A:$A,0))</f>
        <v>стт</v>
      </c>
    </row>
    <row r="162" spans="1:15" ht="45" x14ac:dyDescent="0.25">
      <c r="A162" s="22">
        <v>203646</v>
      </c>
      <c r="B162" s="22">
        <v>23274</v>
      </c>
      <c r="C162" s="23" t="s">
        <v>418</v>
      </c>
      <c r="D162" s="23" t="s">
        <v>31</v>
      </c>
      <c r="E162" s="23" t="s">
        <v>419</v>
      </c>
      <c r="F162" s="23" t="s">
        <v>419</v>
      </c>
      <c r="G162" s="23" t="s">
        <v>29</v>
      </c>
      <c r="H162" s="24">
        <v>2750</v>
      </c>
      <c r="I162" s="24">
        <v>3890</v>
      </c>
      <c r="J162" s="23"/>
      <c r="K162" s="23" t="s">
        <v>14</v>
      </c>
      <c r="L162" s="23"/>
      <c r="M162" s="23" t="s">
        <v>31</v>
      </c>
      <c r="N162" s="13" t="str">
        <f t="shared" si="2"/>
        <v>1</v>
      </c>
      <c r="O162" s="13" t="str">
        <f>INDEX(Кат!$H:$H,MATCH($A162,Кат!$A:$A,0))</f>
        <v>стт</v>
      </c>
    </row>
    <row r="163" spans="1:15" ht="45" x14ac:dyDescent="0.25">
      <c r="A163" s="22">
        <v>203663</v>
      </c>
      <c r="B163" s="22">
        <v>17125</v>
      </c>
      <c r="C163" s="23" t="s">
        <v>420</v>
      </c>
      <c r="D163" s="23" t="s">
        <v>31</v>
      </c>
      <c r="E163" s="23" t="s">
        <v>421</v>
      </c>
      <c r="F163" s="23" t="s">
        <v>422</v>
      </c>
      <c r="G163" s="23" t="s">
        <v>29</v>
      </c>
      <c r="H163" s="24">
        <v>7250</v>
      </c>
      <c r="I163" s="24">
        <v>10190</v>
      </c>
      <c r="J163" s="23"/>
      <c r="K163" s="23" t="s">
        <v>14</v>
      </c>
      <c r="L163" s="23"/>
      <c r="M163" s="23" t="s">
        <v>31</v>
      </c>
      <c r="N163" s="13" t="str">
        <f t="shared" si="2"/>
        <v>1</v>
      </c>
      <c r="O163" s="13" t="str">
        <f>INDEX(Кат!$H:$H,MATCH($A163,Кат!$A:$A,0))</f>
        <v>стт</v>
      </c>
    </row>
    <row r="164" spans="1:15" ht="30" x14ac:dyDescent="0.25">
      <c r="A164" s="22">
        <v>203647</v>
      </c>
      <c r="B164" s="22">
        <v>1787</v>
      </c>
      <c r="C164" s="23" t="s">
        <v>423</v>
      </c>
      <c r="D164" s="23" t="s">
        <v>31</v>
      </c>
      <c r="E164" s="23" t="s">
        <v>424</v>
      </c>
      <c r="F164" s="23" t="s">
        <v>425</v>
      </c>
      <c r="G164" s="23" t="s">
        <v>29</v>
      </c>
      <c r="H164" s="24">
        <v>2900</v>
      </c>
      <c r="I164" s="24">
        <v>4090</v>
      </c>
      <c r="J164" s="23"/>
      <c r="K164" s="23" t="s">
        <v>14</v>
      </c>
      <c r="L164" s="23"/>
      <c r="M164" s="23" t="s">
        <v>31</v>
      </c>
      <c r="N164" s="13" t="str">
        <f t="shared" si="2"/>
        <v>1</v>
      </c>
      <c r="O164" s="13" t="str">
        <f>INDEX(Кат!$H:$H,MATCH($A164,Кат!$A:$A,0))</f>
        <v>стт</v>
      </c>
    </row>
    <row r="165" spans="1:15" ht="30" x14ac:dyDescent="0.25">
      <c r="A165" s="22">
        <v>203664</v>
      </c>
      <c r="B165" s="22">
        <v>1760</v>
      </c>
      <c r="C165" s="23" t="s">
        <v>426</v>
      </c>
      <c r="D165" s="23" t="s">
        <v>31</v>
      </c>
      <c r="E165" s="23" t="s">
        <v>427</v>
      </c>
      <c r="F165" s="23" t="s">
        <v>428</v>
      </c>
      <c r="G165" s="23" t="s">
        <v>29</v>
      </c>
      <c r="H165" s="24">
        <v>2250</v>
      </c>
      <c r="I165" s="24">
        <v>3190</v>
      </c>
      <c r="J165" s="23"/>
      <c r="K165" s="23" t="s">
        <v>14</v>
      </c>
      <c r="L165" s="23"/>
      <c r="M165" s="23" t="s">
        <v>31</v>
      </c>
      <c r="N165" s="13" t="str">
        <f t="shared" si="2"/>
        <v>1</v>
      </c>
      <c r="O165" s="13" t="str">
        <f>INDEX(Кат!$H:$H,MATCH($A165,Кат!$A:$A,0))</f>
        <v>стт</v>
      </c>
    </row>
    <row r="166" spans="1:15" x14ac:dyDescent="0.25">
      <c r="A166" s="22">
        <v>203648</v>
      </c>
      <c r="B166" s="22">
        <v>1764</v>
      </c>
      <c r="C166" s="23" t="s">
        <v>429</v>
      </c>
      <c r="D166" s="23" t="s">
        <v>31</v>
      </c>
      <c r="E166" s="23"/>
      <c r="F166" s="23"/>
      <c r="G166" s="23" t="s">
        <v>29</v>
      </c>
      <c r="H166" s="24">
        <v>0</v>
      </c>
      <c r="I166" s="24">
        <v>1990</v>
      </c>
      <c r="J166" s="23"/>
      <c r="K166" s="23" t="s">
        <v>73</v>
      </c>
      <c r="L166" s="23"/>
      <c r="M166" s="23" t="s">
        <v>31</v>
      </c>
      <c r="N166" s="13" t="str">
        <f t="shared" si="2"/>
        <v>0</v>
      </c>
      <c r="O166" s="13" t="str">
        <f>INDEX(Кат!$H:$H,MATCH($A166,Кат!$A:$A,0))</f>
        <v>стт</v>
      </c>
    </row>
    <row r="167" spans="1:15" x14ac:dyDescent="0.25">
      <c r="A167" s="22">
        <v>203649</v>
      </c>
      <c r="B167" s="22">
        <v>13843</v>
      </c>
      <c r="C167" s="23" t="s">
        <v>430</v>
      </c>
      <c r="D167" s="23" t="s">
        <v>31</v>
      </c>
      <c r="E167" s="23" t="s">
        <v>431</v>
      </c>
      <c r="F167" s="23" t="s">
        <v>432</v>
      </c>
      <c r="G167" s="23" t="s">
        <v>29</v>
      </c>
      <c r="H167" s="24">
        <v>2800</v>
      </c>
      <c r="I167" s="24">
        <v>3990</v>
      </c>
      <c r="J167" s="23"/>
      <c r="K167" s="23" t="s">
        <v>14</v>
      </c>
      <c r="L167" s="23"/>
      <c r="M167" s="23" t="s">
        <v>31</v>
      </c>
      <c r="N167" s="13" t="str">
        <f t="shared" si="2"/>
        <v>1</v>
      </c>
      <c r="O167" s="13" t="str">
        <f>INDEX(Кат!$H:$H,MATCH($A167,Кат!$A:$A,0))</f>
        <v>стт</v>
      </c>
    </row>
    <row r="168" spans="1:15" ht="45" x14ac:dyDescent="0.25">
      <c r="A168" s="22">
        <v>203665</v>
      </c>
      <c r="B168" s="22">
        <v>1771</v>
      </c>
      <c r="C168" s="23" t="s">
        <v>433</v>
      </c>
      <c r="D168" s="23" t="s">
        <v>31</v>
      </c>
      <c r="E168" s="23" t="s">
        <v>434</v>
      </c>
      <c r="F168" s="23" t="s">
        <v>435</v>
      </c>
      <c r="G168" s="23" t="s">
        <v>29</v>
      </c>
      <c r="H168" s="24">
        <v>2350</v>
      </c>
      <c r="I168" s="24">
        <v>3290</v>
      </c>
      <c r="J168" s="23"/>
      <c r="K168" s="23" t="s">
        <v>14</v>
      </c>
      <c r="L168" s="23"/>
      <c r="M168" s="23" t="s">
        <v>31</v>
      </c>
      <c r="N168" s="13" t="str">
        <f t="shared" si="2"/>
        <v>1</v>
      </c>
      <c r="O168" s="13" t="str">
        <f>INDEX(Кат!$H:$H,MATCH($A168,Кат!$A:$A,0))</f>
        <v>стт</v>
      </c>
    </row>
    <row r="169" spans="1:15" ht="60" x14ac:dyDescent="0.25">
      <c r="A169" s="22">
        <v>203650</v>
      </c>
      <c r="B169" s="22">
        <v>23273</v>
      </c>
      <c r="C169" s="23" t="s">
        <v>436</v>
      </c>
      <c r="D169" s="23" t="s">
        <v>31</v>
      </c>
      <c r="E169" s="23" t="s">
        <v>437</v>
      </c>
      <c r="F169" s="23" t="s">
        <v>438</v>
      </c>
      <c r="G169" s="23" t="s">
        <v>29</v>
      </c>
      <c r="H169" s="24">
        <v>7250</v>
      </c>
      <c r="I169" s="24">
        <v>10190</v>
      </c>
      <c r="J169" s="23"/>
      <c r="K169" s="23" t="s">
        <v>14</v>
      </c>
      <c r="L169" s="23"/>
      <c r="M169" s="23" t="s">
        <v>31</v>
      </c>
      <c r="N169" s="13" t="str">
        <f t="shared" si="2"/>
        <v>1</v>
      </c>
      <c r="O169" s="13" t="str">
        <f>INDEX(Кат!$H:$H,MATCH($A169,Кат!$A:$A,0))</f>
        <v>стт</v>
      </c>
    </row>
    <row r="170" spans="1:15" ht="60" x14ac:dyDescent="0.25">
      <c r="A170" s="22">
        <v>203651</v>
      </c>
      <c r="B170" s="22">
        <v>41866</v>
      </c>
      <c r="C170" s="23" t="s">
        <v>439</v>
      </c>
      <c r="D170" s="23" t="s">
        <v>31</v>
      </c>
      <c r="E170" s="23" t="s">
        <v>440</v>
      </c>
      <c r="F170" s="23" t="s">
        <v>440</v>
      </c>
      <c r="G170" s="23" t="s">
        <v>29</v>
      </c>
      <c r="H170" s="24">
        <v>7900</v>
      </c>
      <c r="I170" s="24">
        <v>11090</v>
      </c>
      <c r="J170" s="23"/>
      <c r="K170" s="23" t="s">
        <v>14</v>
      </c>
      <c r="L170" s="23"/>
      <c r="M170" s="23" t="s">
        <v>31</v>
      </c>
      <c r="N170" s="13" t="str">
        <f t="shared" si="2"/>
        <v>1</v>
      </c>
      <c r="O170" s="13" t="str">
        <f>INDEX(Кат!$H:$H,MATCH($A170,Кат!$A:$A,0))</f>
        <v>стт</v>
      </c>
    </row>
    <row r="171" spans="1:15" ht="45" x14ac:dyDescent="0.25">
      <c r="A171" s="22">
        <v>203652</v>
      </c>
      <c r="B171" s="22">
        <v>41861</v>
      </c>
      <c r="C171" s="23" t="s">
        <v>441</v>
      </c>
      <c r="D171" s="23" t="s">
        <v>31</v>
      </c>
      <c r="E171" s="23" t="s">
        <v>442</v>
      </c>
      <c r="F171" s="23" t="s">
        <v>442</v>
      </c>
      <c r="G171" s="23" t="s">
        <v>29</v>
      </c>
      <c r="H171" s="24">
        <v>3200</v>
      </c>
      <c r="I171" s="24">
        <v>4490</v>
      </c>
      <c r="J171" s="23"/>
      <c r="K171" s="23" t="s">
        <v>14</v>
      </c>
      <c r="L171" s="23"/>
      <c r="M171" s="23" t="s">
        <v>31</v>
      </c>
      <c r="N171" s="13" t="str">
        <f t="shared" si="2"/>
        <v>1</v>
      </c>
      <c r="O171" s="13" t="str">
        <f>INDEX(Кат!$H:$H,MATCH($A171,Кат!$A:$A,0))</f>
        <v>стт</v>
      </c>
    </row>
    <row r="172" spans="1:15" ht="45" x14ac:dyDescent="0.25">
      <c r="A172" s="22">
        <v>203653</v>
      </c>
      <c r="B172" s="22">
        <v>41848</v>
      </c>
      <c r="C172" s="23" t="s">
        <v>443</v>
      </c>
      <c r="D172" s="23" t="s">
        <v>31</v>
      </c>
      <c r="E172" s="23" t="s">
        <v>444</v>
      </c>
      <c r="F172" s="23" t="s">
        <v>444</v>
      </c>
      <c r="G172" s="23" t="s">
        <v>29</v>
      </c>
      <c r="H172" s="24">
        <v>3150</v>
      </c>
      <c r="I172" s="24">
        <v>4490</v>
      </c>
      <c r="J172" s="23"/>
      <c r="K172" s="23" t="s">
        <v>14</v>
      </c>
      <c r="L172" s="23"/>
      <c r="M172" s="23" t="s">
        <v>31</v>
      </c>
      <c r="N172" s="13" t="str">
        <f t="shared" si="2"/>
        <v>1</v>
      </c>
      <c r="O172" s="13" t="str">
        <f>INDEX(Кат!$H:$H,MATCH($A172,Кат!$A:$A,0))</f>
        <v>стт</v>
      </c>
    </row>
    <row r="173" spans="1:15" ht="60" x14ac:dyDescent="0.25">
      <c r="A173" s="22">
        <v>203654</v>
      </c>
      <c r="B173" s="22">
        <v>23498</v>
      </c>
      <c r="C173" s="23" t="s">
        <v>445</v>
      </c>
      <c r="D173" s="23" t="s">
        <v>31</v>
      </c>
      <c r="E173" s="23" t="s">
        <v>446</v>
      </c>
      <c r="F173" s="23" t="s">
        <v>446</v>
      </c>
      <c r="G173" s="23" t="s">
        <v>29</v>
      </c>
      <c r="H173" s="24">
        <v>8000</v>
      </c>
      <c r="I173" s="24">
        <v>11190</v>
      </c>
      <c r="J173" s="23"/>
      <c r="K173" s="23" t="s">
        <v>14</v>
      </c>
      <c r="L173" s="23"/>
      <c r="M173" s="23" t="s">
        <v>31</v>
      </c>
      <c r="N173" s="13" t="str">
        <f t="shared" si="2"/>
        <v>1</v>
      </c>
      <c r="O173" s="13" t="str">
        <f>INDEX(Кат!$H:$H,MATCH($A173,Кат!$A:$A,0))</f>
        <v>стт</v>
      </c>
    </row>
    <row r="174" spans="1:15" ht="45" x14ac:dyDescent="0.25">
      <c r="A174" s="22">
        <v>203655</v>
      </c>
      <c r="B174" s="22">
        <v>23499</v>
      </c>
      <c r="C174" s="23" t="s">
        <v>447</v>
      </c>
      <c r="D174" s="23" t="s">
        <v>31</v>
      </c>
      <c r="E174" s="23" t="s">
        <v>448</v>
      </c>
      <c r="F174" s="23" t="s">
        <v>448</v>
      </c>
      <c r="G174" s="23" t="s">
        <v>29</v>
      </c>
      <c r="H174" s="24">
        <v>3150</v>
      </c>
      <c r="I174" s="24">
        <v>4490</v>
      </c>
      <c r="J174" s="23"/>
      <c r="K174" s="23" t="s">
        <v>14</v>
      </c>
      <c r="L174" s="23"/>
      <c r="M174" s="23" t="s">
        <v>31</v>
      </c>
      <c r="N174" s="13" t="str">
        <f t="shared" si="2"/>
        <v>1</v>
      </c>
      <c r="O174" s="13" t="str">
        <f>INDEX(Кат!$H:$H,MATCH($A174,Кат!$A:$A,0))</f>
        <v>стт</v>
      </c>
    </row>
    <row r="175" spans="1:15" ht="45" x14ac:dyDescent="0.25">
      <c r="A175" s="22">
        <v>203694</v>
      </c>
      <c r="B175" s="22">
        <v>1797</v>
      </c>
      <c r="C175" s="23" t="s">
        <v>449</v>
      </c>
      <c r="D175" s="23" t="s">
        <v>31</v>
      </c>
      <c r="E175" s="23" t="s">
        <v>450</v>
      </c>
      <c r="F175" s="23" t="s">
        <v>451</v>
      </c>
      <c r="G175" s="23" t="s">
        <v>29</v>
      </c>
      <c r="H175" s="24">
        <v>1850</v>
      </c>
      <c r="I175" s="24">
        <v>2590</v>
      </c>
      <c r="J175" s="23"/>
      <c r="K175" s="23" t="s">
        <v>14</v>
      </c>
      <c r="L175" s="23"/>
      <c r="M175" s="23"/>
      <c r="N175" s="13" t="str">
        <f t="shared" si="2"/>
        <v>1</v>
      </c>
      <c r="O175" s="13" t="str">
        <f>INDEX(Кат!$H:$H,MATCH($A175,Кат!$A:$A,0))</f>
        <v>стт</v>
      </c>
    </row>
    <row r="176" spans="1:15" ht="30" x14ac:dyDescent="0.25">
      <c r="A176" s="22">
        <v>203695</v>
      </c>
      <c r="B176" s="22">
        <v>1794</v>
      </c>
      <c r="C176" s="23" t="s">
        <v>452</v>
      </c>
      <c r="D176" s="23" t="s">
        <v>31</v>
      </c>
      <c r="E176" s="23"/>
      <c r="F176" s="23"/>
      <c r="G176" s="23" t="s">
        <v>29</v>
      </c>
      <c r="H176" s="24">
        <v>0</v>
      </c>
      <c r="I176" s="24">
        <v>1090</v>
      </c>
      <c r="J176" s="23"/>
      <c r="K176" s="23" t="s">
        <v>73</v>
      </c>
      <c r="L176" s="23"/>
      <c r="M176" s="23" t="s">
        <v>31</v>
      </c>
      <c r="N176" s="13" t="str">
        <f t="shared" si="2"/>
        <v>0</v>
      </c>
      <c r="O176" s="13" t="str">
        <f>INDEX(Кат!$H:$H,MATCH($A176,Кат!$A:$A,0))</f>
        <v>стт</v>
      </c>
    </row>
    <row r="177" spans="1:15" ht="60" x14ac:dyDescent="0.25">
      <c r="A177" s="22">
        <v>203709</v>
      </c>
      <c r="B177" s="22">
        <v>23505</v>
      </c>
      <c r="C177" s="23" t="s">
        <v>453</v>
      </c>
      <c r="D177" s="23" t="s">
        <v>31</v>
      </c>
      <c r="E177" s="23" t="s">
        <v>454</v>
      </c>
      <c r="F177" s="23" t="s">
        <v>455</v>
      </c>
      <c r="G177" s="23" t="s">
        <v>29</v>
      </c>
      <c r="H177" s="24">
        <v>2700</v>
      </c>
      <c r="I177" s="24">
        <v>3790</v>
      </c>
      <c r="J177" s="23"/>
      <c r="K177" s="23" t="s">
        <v>14</v>
      </c>
      <c r="L177" s="23"/>
      <c r="M177" s="23" t="s">
        <v>31</v>
      </c>
      <c r="N177" s="13" t="str">
        <f t="shared" si="2"/>
        <v>1</v>
      </c>
      <c r="O177" s="13" t="str">
        <f>INDEX(Кат!$H:$H,MATCH($A177,Кат!$A:$A,0))</f>
        <v>стт</v>
      </c>
    </row>
    <row r="178" spans="1:15" ht="60" x14ac:dyDescent="0.25">
      <c r="A178" s="22">
        <v>203710</v>
      </c>
      <c r="B178" s="22">
        <v>23508</v>
      </c>
      <c r="C178" s="23" t="s">
        <v>456</v>
      </c>
      <c r="D178" s="23" t="s">
        <v>31</v>
      </c>
      <c r="E178" s="23" t="s">
        <v>457</v>
      </c>
      <c r="F178" s="23" t="s">
        <v>457</v>
      </c>
      <c r="G178" s="23" t="s">
        <v>29</v>
      </c>
      <c r="H178" s="24">
        <v>3000</v>
      </c>
      <c r="I178" s="24">
        <v>4190</v>
      </c>
      <c r="J178" s="23"/>
      <c r="K178" s="23" t="s">
        <v>14</v>
      </c>
      <c r="L178" s="23" t="s">
        <v>101</v>
      </c>
      <c r="M178" s="23"/>
      <c r="N178" s="13" t="str">
        <f t="shared" si="2"/>
        <v>1ск6</v>
      </c>
      <c r="O178" s="13" t="str">
        <f>INDEX(Кат!$H:$H,MATCH($A178,Кат!$A:$A,0))</f>
        <v>стт</v>
      </c>
    </row>
    <row r="179" spans="1:15" ht="60" x14ac:dyDescent="0.25">
      <c r="A179" s="22">
        <v>203711</v>
      </c>
      <c r="B179" s="22">
        <v>23503</v>
      </c>
      <c r="C179" s="23" t="s">
        <v>458</v>
      </c>
      <c r="D179" s="23" t="s">
        <v>31</v>
      </c>
      <c r="E179" s="23" t="s">
        <v>459</v>
      </c>
      <c r="F179" s="23" t="s">
        <v>459</v>
      </c>
      <c r="G179" s="23" t="s">
        <v>29</v>
      </c>
      <c r="H179" s="24">
        <v>3050</v>
      </c>
      <c r="I179" s="24">
        <v>4290</v>
      </c>
      <c r="J179" s="23"/>
      <c r="K179" s="23" t="s">
        <v>14</v>
      </c>
      <c r="L179" s="23"/>
      <c r="M179" s="23" t="s">
        <v>31</v>
      </c>
      <c r="N179" s="13" t="str">
        <f t="shared" si="2"/>
        <v>1</v>
      </c>
      <c r="O179" s="13" t="str">
        <f>INDEX(Кат!$H:$H,MATCH($A179,Кат!$A:$A,0))</f>
        <v>стт</v>
      </c>
    </row>
    <row r="180" spans="1:15" ht="60" x14ac:dyDescent="0.25">
      <c r="A180" s="22">
        <v>203712</v>
      </c>
      <c r="B180" s="22">
        <v>1786</v>
      </c>
      <c r="C180" s="23" t="s">
        <v>460</v>
      </c>
      <c r="D180" s="23" t="s">
        <v>31</v>
      </c>
      <c r="E180" s="23" t="s">
        <v>461</v>
      </c>
      <c r="F180" s="23" t="s">
        <v>461</v>
      </c>
      <c r="G180" s="23" t="s">
        <v>29</v>
      </c>
      <c r="H180" s="24">
        <v>1850</v>
      </c>
      <c r="I180" s="24">
        <v>2590</v>
      </c>
      <c r="J180" s="23"/>
      <c r="K180" s="23" t="s">
        <v>14</v>
      </c>
      <c r="L180" s="23"/>
      <c r="M180" s="23" t="s">
        <v>31</v>
      </c>
      <c r="N180" s="13" t="str">
        <f t="shared" si="2"/>
        <v>1</v>
      </c>
      <c r="O180" s="13" t="str">
        <f>INDEX(Кат!$H:$H,MATCH($A180,Кат!$A:$A,0))</f>
        <v>стт</v>
      </c>
    </row>
    <row r="181" spans="1:15" ht="45" x14ac:dyDescent="0.25">
      <c r="A181" s="22">
        <v>203713</v>
      </c>
      <c r="B181" s="22">
        <v>23504</v>
      </c>
      <c r="C181" s="23" t="s">
        <v>462</v>
      </c>
      <c r="D181" s="23" t="s">
        <v>31</v>
      </c>
      <c r="E181" s="23" t="s">
        <v>463</v>
      </c>
      <c r="F181" s="23" t="s">
        <v>464</v>
      </c>
      <c r="G181" s="23" t="s">
        <v>29</v>
      </c>
      <c r="H181" s="24">
        <v>1350</v>
      </c>
      <c r="I181" s="24">
        <v>1890</v>
      </c>
      <c r="J181" s="23"/>
      <c r="K181" s="23" t="s">
        <v>14</v>
      </c>
      <c r="L181" s="23"/>
      <c r="M181" s="23" t="s">
        <v>31</v>
      </c>
      <c r="N181" s="13" t="str">
        <f t="shared" si="2"/>
        <v>1</v>
      </c>
      <c r="O181" s="13" t="str">
        <f>INDEX(Кат!$H:$H,MATCH($A181,Кат!$A:$A,0))</f>
        <v>стт</v>
      </c>
    </row>
    <row r="182" spans="1:15" ht="45" x14ac:dyDescent="0.25">
      <c r="A182" s="22">
        <v>203714</v>
      </c>
      <c r="B182" s="22">
        <v>1783</v>
      </c>
      <c r="C182" s="23" t="s">
        <v>465</v>
      </c>
      <c r="D182" s="23" t="s">
        <v>31</v>
      </c>
      <c r="E182" s="23" t="s">
        <v>466</v>
      </c>
      <c r="F182" s="23" t="s">
        <v>466</v>
      </c>
      <c r="G182" s="23" t="s">
        <v>29</v>
      </c>
      <c r="H182" s="24">
        <v>1350</v>
      </c>
      <c r="I182" s="24">
        <v>1890</v>
      </c>
      <c r="J182" s="23"/>
      <c r="K182" s="23" t="s">
        <v>14</v>
      </c>
      <c r="L182" s="23"/>
      <c r="M182" s="23" t="s">
        <v>31</v>
      </c>
      <c r="N182" s="13" t="str">
        <f t="shared" si="2"/>
        <v>1</v>
      </c>
      <c r="O182" s="13" t="str">
        <f>INDEX(Кат!$H:$H,MATCH($A182,Кат!$A:$A,0))</f>
        <v>стт</v>
      </c>
    </row>
    <row r="183" spans="1:15" ht="45" x14ac:dyDescent="0.25">
      <c r="A183" s="22">
        <v>203715</v>
      </c>
      <c r="B183" s="22">
        <v>1793</v>
      </c>
      <c r="C183" s="23" t="s">
        <v>467</v>
      </c>
      <c r="D183" s="23" t="s">
        <v>31</v>
      </c>
      <c r="E183" s="23" t="s">
        <v>468</v>
      </c>
      <c r="F183" s="23" t="s">
        <v>469</v>
      </c>
      <c r="G183" s="23" t="s">
        <v>29</v>
      </c>
      <c r="H183" s="24">
        <v>1350</v>
      </c>
      <c r="I183" s="24">
        <v>1890</v>
      </c>
      <c r="J183" s="23"/>
      <c r="K183" s="23" t="s">
        <v>14</v>
      </c>
      <c r="L183" s="23"/>
      <c r="M183" s="23" t="s">
        <v>31</v>
      </c>
      <c r="N183" s="13" t="str">
        <f t="shared" si="2"/>
        <v>1</v>
      </c>
      <c r="O183" s="13" t="str">
        <f>INDEX(Кат!$H:$H,MATCH($A183,Кат!$A:$A,0))</f>
        <v>стт</v>
      </c>
    </row>
    <row r="184" spans="1:15" ht="45" x14ac:dyDescent="0.25">
      <c r="A184" s="22">
        <v>203717</v>
      </c>
      <c r="B184" s="22">
        <v>23510</v>
      </c>
      <c r="C184" s="23" t="s">
        <v>470</v>
      </c>
      <c r="D184" s="23" t="s">
        <v>31</v>
      </c>
      <c r="E184" s="23" t="s">
        <v>471</v>
      </c>
      <c r="F184" s="23" t="s">
        <v>471</v>
      </c>
      <c r="G184" s="23" t="s">
        <v>29</v>
      </c>
      <c r="H184" s="24">
        <v>1250</v>
      </c>
      <c r="I184" s="24">
        <v>1790</v>
      </c>
      <c r="J184" s="23"/>
      <c r="K184" s="23" t="s">
        <v>14</v>
      </c>
      <c r="L184" s="23"/>
      <c r="M184" s="23" t="s">
        <v>31</v>
      </c>
      <c r="N184" s="13" t="str">
        <f t="shared" si="2"/>
        <v>1</v>
      </c>
      <c r="O184" s="13" t="str">
        <f>INDEX(Кат!$H:$H,MATCH($A184,Кат!$A:$A,0))</f>
        <v>стт</v>
      </c>
    </row>
    <row r="185" spans="1:15" ht="60" x14ac:dyDescent="0.25">
      <c r="A185" s="22">
        <v>203716</v>
      </c>
      <c r="B185" s="22">
        <v>23511</v>
      </c>
      <c r="C185" s="23" t="s">
        <v>472</v>
      </c>
      <c r="D185" s="23" t="s">
        <v>31</v>
      </c>
      <c r="E185" s="23" t="s">
        <v>473</v>
      </c>
      <c r="F185" s="23" t="s">
        <v>473</v>
      </c>
      <c r="G185" s="23" t="s">
        <v>29</v>
      </c>
      <c r="H185" s="24">
        <v>2550</v>
      </c>
      <c r="I185" s="24">
        <v>3590</v>
      </c>
      <c r="J185" s="23"/>
      <c r="K185" s="23" t="s">
        <v>14</v>
      </c>
      <c r="L185" s="23"/>
      <c r="M185" s="23" t="s">
        <v>31</v>
      </c>
      <c r="N185" s="13" t="str">
        <f t="shared" si="2"/>
        <v>1</v>
      </c>
      <c r="O185" s="13" t="str">
        <f>INDEX(Кат!$H:$H,MATCH($A185,Кат!$A:$A,0))</f>
        <v>стт</v>
      </c>
    </row>
    <row r="186" spans="1:15" ht="45" x14ac:dyDescent="0.25">
      <c r="A186" s="22">
        <v>203718</v>
      </c>
      <c r="B186" s="22">
        <v>23500</v>
      </c>
      <c r="C186" s="23" t="s">
        <v>474</v>
      </c>
      <c r="D186" s="23" t="s">
        <v>31</v>
      </c>
      <c r="E186" s="23" t="s">
        <v>419</v>
      </c>
      <c r="F186" s="23" t="s">
        <v>419</v>
      </c>
      <c r="G186" s="23" t="s">
        <v>29</v>
      </c>
      <c r="H186" s="24">
        <v>2750</v>
      </c>
      <c r="I186" s="24">
        <v>3890</v>
      </c>
      <c r="J186" s="23"/>
      <c r="K186" s="23" t="s">
        <v>73</v>
      </c>
      <c r="L186" s="23"/>
      <c r="M186" s="23" t="s">
        <v>31</v>
      </c>
      <c r="N186" s="13" t="str">
        <f t="shared" si="2"/>
        <v>0</v>
      </c>
      <c r="O186" s="13" t="str">
        <f>INDEX(Кат!$H:$H,MATCH($A186,Кат!$A:$A,0))</f>
        <v>стт</v>
      </c>
    </row>
    <row r="187" spans="1:15" ht="60" x14ac:dyDescent="0.25">
      <c r="A187" s="22">
        <v>203719</v>
      </c>
      <c r="B187" s="22">
        <v>1778</v>
      </c>
      <c r="C187" s="23" t="s">
        <v>475</v>
      </c>
      <c r="D187" s="23" t="s">
        <v>31</v>
      </c>
      <c r="E187" s="23" t="s">
        <v>476</v>
      </c>
      <c r="F187" s="23" t="s">
        <v>477</v>
      </c>
      <c r="G187" s="23" t="s">
        <v>29</v>
      </c>
      <c r="H187" s="24">
        <v>1350</v>
      </c>
      <c r="I187" s="24">
        <v>1890</v>
      </c>
      <c r="J187" s="23"/>
      <c r="K187" s="23" t="s">
        <v>14</v>
      </c>
      <c r="L187" s="23"/>
      <c r="M187" s="23" t="s">
        <v>31</v>
      </c>
      <c r="N187" s="13" t="str">
        <f t="shared" si="2"/>
        <v>1</v>
      </c>
      <c r="O187" s="13" t="str">
        <f>INDEX(Кат!$H:$H,MATCH($A187,Кат!$A:$A,0))</f>
        <v>стт</v>
      </c>
    </row>
    <row r="188" spans="1:15" ht="45" x14ac:dyDescent="0.25">
      <c r="A188" s="22">
        <v>203720</v>
      </c>
      <c r="B188" s="22">
        <v>41871</v>
      </c>
      <c r="C188" s="23" t="s">
        <v>478</v>
      </c>
      <c r="D188" s="23" t="s">
        <v>31</v>
      </c>
      <c r="E188" s="23" t="s">
        <v>479</v>
      </c>
      <c r="F188" s="23" t="s">
        <v>479</v>
      </c>
      <c r="G188" s="23" t="s">
        <v>29</v>
      </c>
      <c r="H188" s="24">
        <v>3600</v>
      </c>
      <c r="I188" s="24">
        <v>5090</v>
      </c>
      <c r="J188" s="23"/>
      <c r="K188" s="23" t="s">
        <v>14</v>
      </c>
      <c r="L188" s="23"/>
      <c r="M188" s="23" t="s">
        <v>31</v>
      </c>
      <c r="N188" s="13" t="str">
        <f t="shared" si="2"/>
        <v>1</v>
      </c>
      <c r="O188" s="13" t="str">
        <f>INDEX(Кат!$H:$H,MATCH($A188,Кат!$A:$A,0))</f>
        <v>стт</v>
      </c>
    </row>
    <row r="189" spans="1:15" ht="60" x14ac:dyDescent="0.25">
      <c r="A189" s="22">
        <v>203721</v>
      </c>
      <c r="B189" s="22">
        <v>23506</v>
      </c>
      <c r="C189" s="23" t="s">
        <v>480</v>
      </c>
      <c r="D189" s="23" t="s">
        <v>31</v>
      </c>
      <c r="E189" s="23" t="s">
        <v>481</v>
      </c>
      <c r="F189" s="23" t="s">
        <v>482</v>
      </c>
      <c r="G189" s="23" t="s">
        <v>29</v>
      </c>
      <c r="H189" s="24">
        <v>1850</v>
      </c>
      <c r="I189" s="24">
        <v>2590</v>
      </c>
      <c r="J189" s="23"/>
      <c r="K189" s="23" t="s">
        <v>14</v>
      </c>
      <c r="L189" s="23" t="s">
        <v>101</v>
      </c>
      <c r="M189" s="23"/>
      <c r="N189" s="13" t="str">
        <f t="shared" si="2"/>
        <v>1ск6</v>
      </c>
      <c r="O189" s="13" t="str">
        <f>INDEX(Кат!$H:$H,MATCH($A189,Кат!$A:$A,0))</f>
        <v>стт</v>
      </c>
    </row>
    <row r="190" spans="1:15" ht="75" x14ac:dyDescent="0.25">
      <c r="A190" s="22">
        <v>203722</v>
      </c>
      <c r="B190" s="22">
        <v>30444</v>
      </c>
      <c r="C190" s="23" t="s">
        <v>483</v>
      </c>
      <c r="D190" s="23" t="s">
        <v>31</v>
      </c>
      <c r="E190" s="23" t="s">
        <v>484</v>
      </c>
      <c r="F190" s="23" t="s">
        <v>484</v>
      </c>
      <c r="G190" s="23" t="s">
        <v>29</v>
      </c>
      <c r="H190" s="24">
        <v>1350</v>
      </c>
      <c r="I190" s="24">
        <v>1890</v>
      </c>
      <c r="J190" s="23"/>
      <c r="K190" s="23" t="s">
        <v>14</v>
      </c>
      <c r="L190" s="23"/>
      <c r="M190" s="23" t="s">
        <v>31</v>
      </c>
      <c r="N190" s="13" t="str">
        <f t="shared" si="2"/>
        <v>1</v>
      </c>
      <c r="O190" s="13" t="str">
        <f>INDEX(Кат!$H:$H,MATCH($A190,Кат!$A:$A,0))</f>
        <v>стт</v>
      </c>
    </row>
    <row r="191" spans="1:15" ht="60" x14ac:dyDescent="0.25">
      <c r="A191" s="22">
        <v>204572</v>
      </c>
      <c r="B191" s="22">
        <v>833</v>
      </c>
      <c r="C191" s="23" t="s">
        <v>619</v>
      </c>
      <c r="D191" s="23" t="s">
        <v>31</v>
      </c>
      <c r="E191" s="23"/>
      <c r="F191" s="23"/>
      <c r="G191" s="23" t="s">
        <v>29</v>
      </c>
      <c r="H191" s="24">
        <v>4500</v>
      </c>
      <c r="I191" s="24">
        <v>6290</v>
      </c>
      <c r="J191" s="23"/>
      <c r="K191" s="23" t="s">
        <v>73</v>
      </c>
      <c r="L191" s="23"/>
      <c r="M191" s="23" t="s">
        <v>31</v>
      </c>
      <c r="N191" s="13" t="str">
        <f t="shared" si="2"/>
        <v>0</v>
      </c>
      <c r="O191" s="13" t="str">
        <f>INDEX(Кат!$H:$H,MATCH($A191,Кат!$A:$A,0))</f>
        <v>стт</v>
      </c>
    </row>
    <row r="192" spans="1:15" ht="60" x14ac:dyDescent="0.25">
      <c r="A192" s="22">
        <v>204573</v>
      </c>
      <c r="B192" s="22">
        <v>832</v>
      </c>
      <c r="C192" s="23" t="s">
        <v>620</v>
      </c>
      <c r="D192" s="23" t="s">
        <v>31</v>
      </c>
      <c r="E192" s="23"/>
      <c r="F192" s="23"/>
      <c r="G192" s="23" t="s">
        <v>29</v>
      </c>
      <c r="H192" s="24">
        <v>0</v>
      </c>
      <c r="I192" s="24">
        <v>6690</v>
      </c>
      <c r="J192" s="23"/>
      <c r="K192" s="23" t="s">
        <v>73</v>
      </c>
      <c r="L192" s="23"/>
      <c r="M192" s="23" t="s">
        <v>31</v>
      </c>
      <c r="N192" s="13" t="str">
        <f t="shared" si="2"/>
        <v>0</v>
      </c>
      <c r="O192" s="13" t="str">
        <f>INDEX(Кат!$H:$H,MATCH($A192,Кат!$A:$A,0))</f>
        <v>стт</v>
      </c>
    </row>
    <row r="193" spans="1:15" ht="60" x14ac:dyDescent="0.25">
      <c r="A193" s="22">
        <v>204570</v>
      </c>
      <c r="B193" s="22">
        <v>1068</v>
      </c>
      <c r="C193" s="23" t="s">
        <v>621</v>
      </c>
      <c r="D193" s="23" t="s">
        <v>31</v>
      </c>
      <c r="E193" s="23" t="s">
        <v>488</v>
      </c>
      <c r="F193" s="23" t="s">
        <v>488</v>
      </c>
      <c r="G193" s="23" t="s">
        <v>29</v>
      </c>
      <c r="H193" s="24">
        <v>4600</v>
      </c>
      <c r="I193" s="24">
        <v>6490</v>
      </c>
      <c r="J193" s="23"/>
      <c r="K193" s="23" t="s">
        <v>73</v>
      </c>
      <c r="L193" s="23"/>
      <c r="M193" s="23" t="s">
        <v>31</v>
      </c>
      <c r="N193" s="13" t="str">
        <f t="shared" si="2"/>
        <v>0</v>
      </c>
      <c r="O193" s="13" t="str">
        <f>INDEX(Кат!$H:$H,MATCH($A193,Кат!$A:$A,0))</f>
        <v>стт</v>
      </c>
    </row>
    <row r="194" spans="1:15" ht="45" x14ac:dyDescent="0.25">
      <c r="A194" s="22">
        <v>204571</v>
      </c>
      <c r="B194" s="22">
        <v>1069</v>
      </c>
      <c r="C194" s="23" t="s">
        <v>622</v>
      </c>
      <c r="D194" s="23" t="s">
        <v>31</v>
      </c>
      <c r="E194" s="23" t="s">
        <v>489</v>
      </c>
      <c r="F194" s="23" t="s">
        <v>490</v>
      </c>
      <c r="G194" s="23" t="s">
        <v>29</v>
      </c>
      <c r="H194" s="24">
        <v>4600</v>
      </c>
      <c r="I194" s="24">
        <v>6490</v>
      </c>
      <c r="J194" s="23"/>
      <c r="K194" s="23" t="s">
        <v>14</v>
      </c>
      <c r="L194" s="23" t="s">
        <v>101</v>
      </c>
      <c r="M194" s="23"/>
      <c r="N194" s="13" t="str">
        <f t="shared" si="2"/>
        <v>1ск6</v>
      </c>
      <c r="O194" s="13" t="str">
        <f>INDEX(Кат!$H:$H,MATCH($A194,Кат!$A:$A,0))</f>
        <v>стт</v>
      </c>
    </row>
    <row r="195" spans="1:15" ht="90" x14ac:dyDescent="0.25">
      <c r="A195" s="22">
        <v>204554</v>
      </c>
      <c r="B195" s="22">
        <v>838</v>
      </c>
      <c r="C195" s="23" t="s">
        <v>485</v>
      </c>
      <c r="D195" s="23" t="s">
        <v>31</v>
      </c>
      <c r="E195" s="23" t="s">
        <v>486</v>
      </c>
      <c r="F195" s="23" t="s">
        <v>487</v>
      </c>
      <c r="G195" s="23" t="s">
        <v>29</v>
      </c>
      <c r="H195" s="24">
        <v>4900</v>
      </c>
      <c r="I195" s="24">
        <v>6890</v>
      </c>
      <c r="J195" s="23"/>
      <c r="K195" s="23" t="s">
        <v>14</v>
      </c>
      <c r="L195" s="23"/>
      <c r="M195" s="23" t="s">
        <v>31</v>
      </c>
      <c r="N195" s="13" t="str">
        <f t="shared" ref="N195" si="3">_xlfn.CONCAT(K195,IF(L195&lt;&gt;"",_xlfn.CONCAT("ск",L195),""))</f>
        <v>1</v>
      </c>
      <c r="O195" s="13" t="str">
        <f>INDEX(Кат!$H:$H,MATCH($A195,Кат!$A:$A,0))</f>
        <v>стт</v>
      </c>
    </row>
  </sheetData>
  <sheetProtection formatCells="0" formatColumns="0" formatRows="0" insertColumns="0" insertRows="0" insertHyperlinks="0" deleteColumns="0" deleteRows="0" sort="0" autoFilter="0" pivotTables="0"/>
  <autoFilter ref="A1:O1" xr:uid="{5A33C524-75E8-45F1-91F9-F73EEA9D9316}"/>
  <pageMargins left="0.7" right="0.7" top="0.75" bottom="0.75" header="0.3" footer="0.3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E4143-B1C1-451C-8F80-5E993173B0BD}">
  <sheetPr codeName="Лист6">
    <tabColor rgb="FF92D050"/>
  </sheetPr>
  <dimension ref="A1:C196"/>
  <sheetViews>
    <sheetView workbookViewId="0">
      <selection activeCell="C1" sqref="C1:C1048576"/>
    </sheetView>
  </sheetViews>
  <sheetFormatPr defaultRowHeight="15" x14ac:dyDescent="0.25"/>
  <cols>
    <col min="1" max="1" width="7" bestFit="1" customWidth="1"/>
    <col min="2" max="2" width="9.7109375" bestFit="1" customWidth="1"/>
  </cols>
  <sheetData>
    <row r="1" spans="1:3" x14ac:dyDescent="0.25">
      <c r="A1" s="12"/>
      <c r="B1" s="3"/>
    </row>
    <row r="2" spans="1:3" x14ac:dyDescent="0.25">
      <c r="A2" s="8" t="s">
        <v>6</v>
      </c>
      <c r="B2" s="4" t="s">
        <v>4</v>
      </c>
    </row>
    <row r="3" spans="1:3" x14ac:dyDescent="0.25">
      <c r="A3" s="11">
        <v>141030</v>
      </c>
      <c r="B3" s="5" t="s">
        <v>521</v>
      </c>
    </row>
    <row r="4" spans="1:3" x14ac:dyDescent="0.25">
      <c r="A4" s="11">
        <v>203648</v>
      </c>
      <c r="B4" s="5" t="s">
        <v>521</v>
      </c>
    </row>
    <row r="5" spans="1:3" x14ac:dyDescent="0.25">
      <c r="A5" s="11">
        <v>203695</v>
      </c>
      <c r="B5" s="5" t="s">
        <v>521</v>
      </c>
    </row>
    <row r="6" spans="1:3" x14ac:dyDescent="0.25">
      <c r="A6" s="11">
        <v>204573</v>
      </c>
      <c r="B6" s="5" t="s">
        <v>521</v>
      </c>
    </row>
    <row r="7" spans="1:3" x14ac:dyDescent="0.25">
      <c r="A7" s="11">
        <v>203717</v>
      </c>
      <c r="B7" s="5" t="s">
        <v>521</v>
      </c>
    </row>
    <row r="8" spans="1:3" x14ac:dyDescent="0.25">
      <c r="A8" s="11">
        <v>203628</v>
      </c>
      <c r="B8" s="5">
        <v>2190</v>
      </c>
      <c r="C8" t="s">
        <v>506</v>
      </c>
    </row>
    <row r="9" spans="1:3" x14ac:dyDescent="0.25">
      <c r="A9" s="11">
        <v>203713</v>
      </c>
      <c r="B9" s="5">
        <v>2190</v>
      </c>
      <c r="C9" t="s">
        <v>502</v>
      </c>
    </row>
    <row r="10" spans="1:3" x14ac:dyDescent="0.25">
      <c r="A10" s="11">
        <v>203714</v>
      </c>
      <c r="B10" s="5" t="s">
        <v>521</v>
      </c>
    </row>
    <row r="11" spans="1:3" x14ac:dyDescent="0.25">
      <c r="A11" s="11">
        <v>203715</v>
      </c>
      <c r="B11" s="5">
        <v>2190</v>
      </c>
      <c r="C11" t="s">
        <v>503</v>
      </c>
    </row>
    <row r="12" spans="1:3" x14ac:dyDescent="0.25">
      <c r="A12" s="11">
        <v>203719</v>
      </c>
      <c r="B12" s="5" t="s">
        <v>521</v>
      </c>
    </row>
    <row r="13" spans="1:3" x14ac:dyDescent="0.25">
      <c r="A13" s="11">
        <v>203722</v>
      </c>
      <c r="B13" s="5" t="s">
        <v>521</v>
      </c>
    </row>
    <row r="14" spans="1:3" x14ac:dyDescent="0.25">
      <c r="A14" s="11">
        <v>139555</v>
      </c>
      <c r="B14" s="5">
        <v>2690</v>
      </c>
      <c r="C14" t="s">
        <v>496</v>
      </c>
    </row>
    <row r="15" spans="1:3" x14ac:dyDescent="0.25">
      <c r="A15" s="11">
        <v>139553</v>
      </c>
      <c r="B15" s="5">
        <v>2790</v>
      </c>
      <c r="C15" t="s">
        <v>495</v>
      </c>
    </row>
    <row r="16" spans="1:3" x14ac:dyDescent="0.25">
      <c r="A16" s="11">
        <v>139556</v>
      </c>
      <c r="B16" s="5">
        <v>2790</v>
      </c>
      <c r="C16" t="s">
        <v>494</v>
      </c>
    </row>
    <row r="17" spans="1:3" x14ac:dyDescent="0.25">
      <c r="A17" s="11">
        <v>139557</v>
      </c>
      <c r="B17" s="5">
        <v>2790</v>
      </c>
      <c r="C17" t="s">
        <v>493</v>
      </c>
    </row>
    <row r="18" spans="1:3" x14ac:dyDescent="0.25">
      <c r="A18" s="11">
        <v>139559</v>
      </c>
      <c r="B18" s="5">
        <v>2890</v>
      </c>
      <c r="C18" t="s">
        <v>492</v>
      </c>
    </row>
    <row r="19" spans="1:3" x14ac:dyDescent="0.25">
      <c r="A19" s="11">
        <v>203694</v>
      </c>
      <c r="B19" s="5">
        <v>3090</v>
      </c>
      <c r="C19" t="s">
        <v>504</v>
      </c>
    </row>
    <row r="20" spans="1:3" x14ac:dyDescent="0.25">
      <c r="A20" s="11">
        <v>203712</v>
      </c>
      <c r="B20" s="5" t="s">
        <v>521</v>
      </c>
    </row>
    <row r="21" spans="1:3" x14ac:dyDescent="0.25">
      <c r="A21" s="11">
        <v>203721</v>
      </c>
      <c r="B21" s="5" t="s">
        <v>521</v>
      </c>
    </row>
    <row r="22" spans="1:3" x14ac:dyDescent="0.25">
      <c r="A22" s="11">
        <v>139560</v>
      </c>
      <c r="B22" s="5">
        <v>2890</v>
      </c>
      <c r="C22" t="s">
        <v>491</v>
      </c>
    </row>
    <row r="23" spans="1:3" x14ac:dyDescent="0.25">
      <c r="A23" s="11">
        <v>139561</v>
      </c>
      <c r="B23" s="5">
        <v>2990</v>
      </c>
      <c r="C23" t="s">
        <v>498</v>
      </c>
    </row>
    <row r="24" spans="1:3" x14ac:dyDescent="0.25">
      <c r="A24" s="11">
        <v>139562</v>
      </c>
      <c r="B24" s="5">
        <v>2990</v>
      </c>
      <c r="C24" t="s">
        <v>498</v>
      </c>
    </row>
    <row r="25" spans="1:3" x14ac:dyDescent="0.25">
      <c r="A25" s="11">
        <v>139563</v>
      </c>
      <c r="B25" s="5">
        <v>3190</v>
      </c>
      <c r="C25" t="s">
        <v>497</v>
      </c>
    </row>
    <row r="26" spans="1:3" x14ac:dyDescent="0.25">
      <c r="A26" s="11">
        <v>139564</v>
      </c>
      <c r="B26" s="5">
        <v>3190</v>
      </c>
      <c r="C26" t="s">
        <v>497</v>
      </c>
    </row>
    <row r="27" spans="1:3" x14ac:dyDescent="0.25">
      <c r="A27" s="11">
        <v>203634</v>
      </c>
      <c r="B27" s="5">
        <v>3190</v>
      </c>
      <c r="C27" t="s">
        <v>524</v>
      </c>
    </row>
    <row r="28" spans="1:3" x14ac:dyDescent="0.25">
      <c r="A28" s="11">
        <v>203664</v>
      </c>
      <c r="B28" s="5">
        <v>3390</v>
      </c>
      <c r="C28" t="s">
        <v>605</v>
      </c>
    </row>
    <row r="29" spans="1:3" x14ac:dyDescent="0.25">
      <c r="A29" s="11">
        <v>203661</v>
      </c>
      <c r="B29" s="5" t="s">
        <v>521</v>
      </c>
    </row>
    <row r="30" spans="1:3" x14ac:dyDescent="0.25">
      <c r="A30" s="11">
        <v>203631</v>
      </c>
      <c r="B30" s="5">
        <v>3590</v>
      </c>
      <c r="C30" t="s">
        <v>509</v>
      </c>
    </row>
    <row r="31" spans="1:3" x14ac:dyDescent="0.25">
      <c r="A31" s="11">
        <v>203662</v>
      </c>
      <c r="B31" s="5">
        <v>3590</v>
      </c>
      <c r="C31" t="s">
        <v>610</v>
      </c>
    </row>
    <row r="32" spans="1:3" x14ac:dyDescent="0.25">
      <c r="A32" s="11">
        <v>203640</v>
      </c>
      <c r="B32" s="5">
        <v>3490</v>
      </c>
      <c r="C32" t="s">
        <v>595</v>
      </c>
    </row>
    <row r="33" spans="1:3" x14ac:dyDescent="0.25">
      <c r="A33" s="11">
        <v>203665</v>
      </c>
      <c r="B33" s="5" t="s">
        <v>521</v>
      </c>
    </row>
    <row r="34" spans="1:3" x14ac:dyDescent="0.25">
      <c r="A34" s="11">
        <v>139565</v>
      </c>
      <c r="B34" s="5" t="s">
        <v>521</v>
      </c>
    </row>
    <row r="35" spans="1:3" x14ac:dyDescent="0.25">
      <c r="A35" s="11">
        <v>139552</v>
      </c>
      <c r="B35" s="5">
        <v>3790</v>
      </c>
      <c r="C35" t="s">
        <v>500</v>
      </c>
    </row>
    <row r="36" spans="1:3" x14ac:dyDescent="0.25">
      <c r="A36" s="11">
        <v>186965</v>
      </c>
      <c r="B36" s="5">
        <v>3790</v>
      </c>
      <c r="C36" t="s">
        <v>534</v>
      </c>
    </row>
    <row r="37" spans="1:3" x14ac:dyDescent="0.25">
      <c r="A37" s="11">
        <v>186984</v>
      </c>
      <c r="B37" s="5">
        <v>3890</v>
      </c>
      <c r="C37" t="s">
        <v>517</v>
      </c>
    </row>
    <row r="38" spans="1:3" x14ac:dyDescent="0.25">
      <c r="A38" s="11">
        <v>186986</v>
      </c>
      <c r="B38" s="5">
        <v>3890</v>
      </c>
      <c r="C38" t="s">
        <v>590</v>
      </c>
    </row>
    <row r="39" spans="1:3" x14ac:dyDescent="0.25">
      <c r="A39" s="11">
        <v>186987</v>
      </c>
      <c r="B39" s="5">
        <v>3790</v>
      </c>
      <c r="C39" t="s">
        <v>514</v>
      </c>
    </row>
    <row r="40" spans="1:3" x14ac:dyDescent="0.25">
      <c r="A40" s="11">
        <v>186972</v>
      </c>
      <c r="B40" s="5">
        <v>3790</v>
      </c>
      <c r="C40" t="s">
        <v>537</v>
      </c>
    </row>
    <row r="41" spans="1:3" x14ac:dyDescent="0.25">
      <c r="A41" s="11">
        <v>186985</v>
      </c>
      <c r="B41" s="5">
        <v>3790</v>
      </c>
      <c r="C41" t="s">
        <v>583</v>
      </c>
    </row>
    <row r="42" spans="1:3" x14ac:dyDescent="0.25">
      <c r="A42" s="11">
        <v>186991</v>
      </c>
      <c r="B42" s="5">
        <v>3990</v>
      </c>
      <c r="C42" t="s">
        <v>589</v>
      </c>
    </row>
    <row r="43" spans="1:3" x14ac:dyDescent="0.25">
      <c r="A43" s="11">
        <v>203716</v>
      </c>
      <c r="B43" s="5" t="s">
        <v>521</v>
      </c>
    </row>
    <row r="44" spans="1:3" x14ac:dyDescent="0.25">
      <c r="A44" s="11">
        <v>139551</v>
      </c>
      <c r="B44" s="5">
        <v>3890</v>
      </c>
      <c r="C44" t="s">
        <v>501</v>
      </c>
    </row>
    <row r="45" spans="1:3" x14ac:dyDescent="0.25">
      <c r="A45" s="11">
        <v>140110</v>
      </c>
      <c r="B45" s="5">
        <v>3890</v>
      </c>
      <c r="C45" t="s">
        <v>513</v>
      </c>
    </row>
    <row r="46" spans="1:3" x14ac:dyDescent="0.25">
      <c r="A46" s="11">
        <v>186924</v>
      </c>
      <c r="B46" s="5">
        <v>3890</v>
      </c>
      <c r="C46" t="s">
        <v>592</v>
      </c>
    </row>
    <row r="47" spans="1:3" x14ac:dyDescent="0.25">
      <c r="A47" s="11">
        <v>186966</v>
      </c>
      <c r="B47" s="5">
        <v>3990</v>
      </c>
      <c r="C47" t="s">
        <v>533</v>
      </c>
    </row>
    <row r="48" spans="1:3" x14ac:dyDescent="0.25">
      <c r="A48" s="11">
        <v>186978</v>
      </c>
      <c r="B48" s="5">
        <v>3990</v>
      </c>
      <c r="C48" t="s">
        <v>516</v>
      </c>
    </row>
    <row r="49" spans="1:3" x14ac:dyDescent="0.25">
      <c r="A49" s="11">
        <v>186990</v>
      </c>
      <c r="B49" s="5">
        <v>3890</v>
      </c>
      <c r="C49" t="s">
        <v>584</v>
      </c>
    </row>
    <row r="50" spans="1:3" x14ac:dyDescent="0.25">
      <c r="A50" s="11">
        <v>140109</v>
      </c>
      <c r="B50" s="5">
        <v>3990</v>
      </c>
      <c r="C50" t="s">
        <v>582</v>
      </c>
    </row>
    <row r="51" spans="1:3" x14ac:dyDescent="0.25">
      <c r="A51" s="11">
        <v>186977</v>
      </c>
      <c r="B51" s="5">
        <v>3890</v>
      </c>
      <c r="C51" t="s">
        <v>593</v>
      </c>
    </row>
    <row r="52" spans="1:3" x14ac:dyDescent="0.25">
      <c r="A52" s="11">
        <v>186983</v>
      </c>
      <c r="B52" s="5">
        <v>4090</v>
      </c>
      <c r="C52" t="s">
        <v>591</v>
      </c>
    </row>
    <row r="53" spans="1:3" x14ac:dyDescent="0.25">
      <c r="A53" s="11">
        <v>186989</v>
      </c>
      <c r="B53" s="5">
        <v>3890</v>
      </c>
      <c r="C53" t="s">
        <v>519</v>
      </c>
    </row>
    <row r="54" spans="1:3" x14ac:dyDescent="0.25">
      <c r="A54" s="11">
        <v>187035</v>
      </c>
      <c r="B54" s="5">
        <v>3990</v>
      </c>
      <c r="C54" t="s">
        <v>507</v>
      </c>
    </row>
    <row r="55" spans="1:3" x14ac:dyDescent="0.25">
      <c r="A55" s="11">
        <v>186974</v>
      </c>
      <c r="B55" s="5" t="s">
        <v>521</v>
      </c>
    </row>
    <row r="56" spans="1:3" x14ac:dyDescent="0.25">
      <c r="A56" s="11">
        <v>186975</v>
      </c>
      <c r="B56" s="5">
        <v>4090</v>
      </c>
      <c r="C56" t="s">
        <v>535</v>
      </c>
    </row>
    <row r="57" spans="1:3" x14ac:dyDescent="0.25">
      <c r="A57" s="11">
        <v>186976</v>
      </c>
      <c r="B57" s="5" t="s">
        <v>521</v>
      </c>
    </row>
    <row r="58" spans="1:3" x14ac:dyDescent="0.25">
      <c r="A58" s="11">
        <v>186982</v>
      </c>
      <c r="B58" s="5">
        <v>3990</v>
      </c>
      <c r="C58" t="s">
        <v>585</v>
      </c>
    </row>
    <row r="59" spans="1:3" x14ac:dyDescent="0.25">
      <c r="A59" s="11">
        <v>203709</v>
      </c>
      <c r="B59" s="5">
        <v>4190</v>
      </c>
      <c r="C59" t="s">
        <v>505</v>
      </c>
    </row>
    <row r="60" spans="1:3" x14ac:dyDescent="0.25">
      <c r="A60" s="11">
        <v>186971</v>
      </c>
      <c r="B60" s="5">
        <v>4090</v>
      </c>
      <c r="C60" t="s">
        <v>536</v>
      </c>
    </row>
    <row r="61" spans="1:3" x14ac:dyDescent="0.25">
      <c r="A61" s="11">
        <v>203646</v>
      </c>
      <c r="B61" s="5" t="s">
        <v>521</v>
      </c>
    </row>
    <row r="62" spans="1:3" x14ac:dyDescent="0.25">
      <c r="A62" s="11">
        <v>203718</v>
      </c>
      <c r="B62" s="5" t="s">
        <v>521</v>
      </c>
    </row>
    <row r="63" spans="1:3" x14ac:dyDescent="0.25">
      <c r="A63" s="11">
        <v>186981</v>
      </c>
      <c r="B63" s="5">
        <v>4490</v>
      </c>
      <c r="C63" t="s">
        <v>520</v>
      </c>
    </row>
    <row r="64" spans="1:3" x14ac:dyDescent="0.25">
      <c r="A64" s="11">
        <v>203649</v>
      </c>
      <c r="B64" s="5">
        <v>2990</v>
      </c>
      <c r="C64" t="s">
        <v>529</v>
      </c>
    </row>
    <row r="65" spans="1:3" x14ac:dyDescent="0.25">
      <c r="A65" s="11">
        <v>203636</v>
      </c>
      <c r="B65" s="5" t="s">
        <v>521</v>
      </c>
    </row>
    <row r="66" spans="1:3" x14ac:dyDescent="0.25">
      <c r="A66" s="11">
        <v>203659</v>
      </c>
      <c r="B66" s="5" t="s">
        <v>521</v>
      </c>
    </row>
    <row r="67" spans="1:3" x14ac:dyDescent="0.25">
      <c r="A67" s="11">
        <v>203630</v>
      </c>
      <c r="B67" s="5">
        <v>4390</v>
      </c>
      <c r="C67" t="s">
        <v>508</v>
      </c>
    </row>
    <row r="68" spans="1:3" x14ac:dyDescent="0.25">
      <c r="A68" s="11">
        <v>203639</v>
      </c>
      <c r="B68" s="5">
        <v>4390</v>
      </c>
      <c r="C68" t="s">
        <v>587</v>
      </c>
    </row>
    <row r="69" spans="1:3" x14ac:dyDescent="0.25">
      <c r="A69" s="11">
        <v>203645</v>
      </c>
      <c r="B69" s="5">
        <v>4390</v>
      </c>
      <c r="C69" t="s">
        <v>611</v>
      </c>
    </row>
    <row r="70" spans="1:3" x14ac:dyDescent="0.25">
      <c r="A70" s="11">
        <v>203647</v>
      </c>
      <c r="B70" s="5">
        <v>4390</v>
      </c>
      <c r="C70" t="s">
        <v>594</v>
      </c>
    </row>
    <row r="71" spans="1:3" x14ac:dyDescent="0.25">
      <c r="A71" s="11">
        <v>140114</v>
      </c>
      <c r="B71" s="5">
        <v>4190</v>
      </c>
      <c r="C71" t="s">
        <v>586</v>
      </c>
    </row>
    <row r="72" spans="1:3" x14ac:dyDescent="0.25">
      <c r="A72" s="11">
        <v>140127</v>
      </c>
      <c r="B72" s="5" t="s">
        <v>521</v>
      </c>
    </row>
    <row r="73" spans="1:3" x14ac:dyDescent="0.25">
      <c r="A73" s="11">
        <v>186967</v>
      </c>
      <c r="B73" s="5">
        <v>4190</v>
      </c>
      <c r="C73" t="s">
        <v>538</v>
      </c>
    </row>
    <row r="74" spans="1:3" x14ac:dyDescent="0.25">
      <c r="A74" s="11">
        <v>186979</v>
      </c>
      <c r="B74" s="5">
        <v>4390</v>
      </c>
      <c r="C74" t="s">
        <v>518</v>
      </c>
    </row>
    <row r="75" spans="1:3" x14ac:dyDescent="0.25">
      <c r="A75" s="11">
        <v>141002</v>
      </c>
      <c r="B75" s="5" t="s">
        <v>521</v>
      </c>
    </row>
    <row r="76" spans="1:3" x14ac:dyDescent="0.25">
      <c r="A76" s="11">
        <v>141003</v>
      </c>
      <c r="B76" s="5">
        <v>4290</v>
      </c>
      <c r="C76" t="s">
        <v>541</v>
      </c>
    </row>
    <row r="77" spans="1:3" x14ac:dyDescent="0.25">
      <c r="A77" s="11">
        <v>141033</v>
      </c>
      <c r="B77" s="5">
        <v>4290</v>
      </c>
      <c r="C77" t="s">
        <v>540</v>
      </c>
    </row>
    <row r="78" spans="1:3" x14ac:dyDescent="0.25">
      <c r="A78" s="11">
        <v>141013</v>
      </c>
      <c r="B78" s="5">
        <v>4590</v>
      </c>
      <c r="C78" t="s">
        <v>612</v>
      </c>
    </row>
    <row r="79" spans="1:3" x14ac:dyDescent="0.25">
      <c r="A79" s="11">
        <v>141014</v>
      </c>
      <c r="B79" s="5">
        <v>4590</v>
      </c>
      <c r="C79" t="s">
        <v>615</v>
      </c>
    </row>
    <row r="80" spans="1:3" x14ac:dyDescent="0.25">
      <c r="A80" s="11">
        <v>141035</v>
      </c>
      <c r="B80" s="5" t="s">
        <v>521</v>
      </c>
    </row>
    <row r="81" spans="1:3" x14ac:dyDescent="0.25">
      <c r="A81" s="11">
        <v>141015</v>
      </c>
      <c r="B81" s="5" t="s">
        <v>521</v>
      </c>
    </row>
    <row r="82" spans="1:3" x14ac:dyDescent="0.25">
      <c r="A82" s="11">
        <v>141281</v>
      </c>
      <c r="B82" s="5" t="s">
        <v>521</v>
      </c>
    </row>
    <row r="83" spans="1:3" x14ac:dyDescent="0.25">
      <c r="A83" s="11">
        <v>141024</v>
      </c>
      <c r="B83" s="5">
        <v>4590</v>
      </c>
      <c r="C83" t="s">
        <v>613</v>
      </c>
    </row>
    <row r="84" spans="1:3" x14ac:dyDescent="0.25">
      <c r="A84" s="11">
        <v>141027</v>
      </c>
      <c r="B84" s="5">
        <v>4290</v>
      </c>
      <c r="C84" t="s">
        <v>542</v>
      </c>
    </row>
    <row r="85" spans="1:3" x14ac:dyDescent="0.25">
      <c r="A85" s="11">
        <v>141028</v>
      </c>
      <c r="B85" s="5">
        <v>4290</v>
      </c>
      <c r="C85" t="s">
        <v>543</v>
      </c>
    </row>
    <row r="86" spans="1:3" x14ac:dyDescent="0.25">
      <c r="A86" s="11">
        <v>141029</v>
      </c>
      <c r="B86" s="5">
        <v>4490</v>
      </c>
      <c r="C86" t="s">
        <v>614</v>
      </c>
    </row>
    <row r="87" spans="1:3" x14ac:dyDescent="0.25">
      <c r="A87" s="11">
        <v>141019</v>
      </c>
      <c r="B87" s="5" t="s">
        <v>521</v>
      </c>
    </row>
    <row r="88" spans="1:3" x14ac:dyDescent="0.25">
      <c r="A88" s="11">
        <v>141282</v>
      </c>
      <c r="B88" s="5">
        <v>4590</v>
      </c>
      <c r="C88" t="s">
        <v>512</v>
      </c>
    </row>
    <row r="89" spans="1:3" x14ac:dyDescent="0.25">
      <c r="A89" s="11">
        <v>141283</v>
      </c>
      <c r="B89" s="5">
        <v>4590</v>
      </c>
      <c r="C89" t="s">
        <v>515</v>
      </c>
    </row>
    <row r="90" spans="1:3" x14ac:dyDescent="0.25">
      <c r="A90" s="11">
        <v>141031</v>
      </c>
      <c r="B90" s="5">
        <v>4590</v>
      </c>
      <c r="C90" t="s">
        <v>596</v>
      </c>
    </row>
    <row r="91" spans="1:3" x14ac:dyDescent="0.25">
      <c r="A91" s="11">
        <v>203710</v>
      </c>
      <c r="B91" s="5" t="s">
        <v>521</v>
      </c>
    </row>
    <row r="92" spans="1:3" x14ac:dyDescent="0.25">
      <c r="A92" s="11">
        <v>203711</v>
      </c>
      <c r="B92" s="5" t="s">
        <v>521</v>
      </c>
    </row>
    <row r="93" spans="1:3" x14ac:dyDescent="0.25">
      <c r="A93" s="11">
        <v>186960</v>
      </c>
      <c r="B93" s="5">
        <v>4390</v>
      </c>
      <c r="C93" t="s">
        <v>530</v>
      </c>
    </row>
    <row r="94" spans="1:3" x14ac:dyDescent="0.25">
      <c r="A94" s="11">
        <v>203653</v>
      </c>
      <c r="B94" s="5" t="s">
        <v>521</v>
      </c>
    </row>
    <row r="95" spans="1:3" x14ac:dyDescent="0.25">
      <c r="A95" s="11">
        <v>203655</v>
      </c>
      <c r="B95" s="5">
        <v>4790</v>
      </c>
      <c r="C95" t="s">
        <v>528</v>
      </c>
    </row>
    <row r="96" spans="1:3" x14ac:dyDescent="0.25">
      <c r="A96" s="11">
        <v>203652</v>
      </c>
      <c r="B96" s="5" t="s">
        <v>521</v>
      </c>
    </row>
    <row r="97" spans="1:3" x14ac:dyDescent="0.25">
      <c r="A97" s="11">
        <v>141016</v>
      </c>
      <c r="B97" s="5">
        <v>4690</v>
      </c>
      <c r="C97" t="s">
        <v>526</v>
      </c>
    </row>
    <row r="98" spans="1:3" x14ac:dyDescent="0.25">
      <c r="A98" s="11">
        <v>141017</v>
      </c>
      <c r="B98" s="5" t="s">
        <v>521</v>
      </c>
    </row>
    <row r="99" spans="1:3" x14ac:dyDescent="0.25">
      <c r="A99" s="11">
        <v>141012</v>
      </c>
      <c r="B99" s="5" t="s">
        <v>521</v>
      </c>
    </row>
    <row r="100" spans="1:3" x14ac:dyDescent="0.25">
      <c r="A100" s="11">
        <v>141022</v>
      </c>
      <c r="B100" s="5" t="s">
        <v>521</v>
      </c>
    </row>
    <row r="101" spans="1:3" x14ac:dyDescent="0.25">
      <c r="A101" s="11">
        <v>141021</v>
      </c>
      <c r="B101" s="5" t="s">
        <v>521</v>
      </c>
    </row>
    <row r="102" spans="1:3" x14ac:dyDescent="0.25">
      <c r="A102" s="11">
        <v>141289</v>
      </c>
      <c r="B102" s="5" t="s">
        <v>521</v>
      </c>
    </row>
    <row r="103" spans="1:3" x14ac:dyDescent="0.25">
      <c r="A103" s="11">
        <v>141290</v>
      </c>
      <c r="B103" s="5" t="s">
        <v>521</v>
      </c>
    </row>
    <row r="104" spans="1:3" x14ac:dyDescent="0.25">
      <c r="A104" s="11">
        <v>203720</v>
      </c>
      <c r="B104" s="5" t="s">
        <v>521</v>
      </c>
    </row>
    <row r="105" spans="1:3" x14ac:dyDescent="0.25">
      <c r="A105" s="11">
        <v>139554</v>
      </c>
      <c r="B105" s="5">
        <v>5690</v>
      </c>
      <c r="C105" t="s">
        <v>499</v>
      </c>
    </row>
    <row r="106" spans="1:3" x14ac:dyDescent="0.25">
      <c r="A106" s="11">
        <v>139566</v>
      </c>
      <c r="B106" s="5">
        <v>5690</v>
      </c>
      <c r="C106" t="s">
        <v>499</v>
      </c>
    </row>
    <row r="107" spans="1:3" x14ac:dyDescent="0.25">
      <c r="A107" s="11">
        <v>140125</v>
      </c>
      <c r="B107" s="5">
        <v>5690</v>
      </c>
      <c r="C107" t="s">
        <v>603</v>
      </c>
    </row>
    <row r="108" spans="1:3" x14ac:dyDescent="0.25">
      <c r="A108" s="11">
        <v>186988</v>
      </c>
      <c r="B108" s="5">
        <v>5990</v>
      </c>
      <c r="C108" t="s">
        <v>602</v>
      </c>
    </row>
    <row r="109" spans="1:3" x14ac:dyDescent="0.25">
      <c r="A109" s="11">
        <v>139558</v>
      </c>
      <c r="B109" s="5" t="s">
        <v>521</v>
      </c>
    </row>
    <row r="110" spans="1:3" x14ac:dyDescent="0.25">
      <c r="A110" s="11">
        <v>140123</v>
      </c>
      <c r="B110" s="5">
        <v>5790</v>
      </c>
      <c r="C110" t="s">
        <v>525</v>
      </c>
    </row>
    <row r="111" spans="1:3" x14ac:dyDescent="0.25">
      <c r="A111" s="11">
        <v>204572</v>
      </c>
      <c r="B111" s="5" t="s">
        <v>521</v>
      </c>
    </row>
    <row r="112" spans="1:3" x14ac:dyDescent="0.25">
      <c r="A112" s="11">
        <v>140124</v>
      </c>
      <c r="B112" s="5">
        <v>6990</v>
      </c>
      <c r="C112" t="s">
        <v>523</v>
      </c>
    </row>
    <row r="113" spans="1:3" x14ac:dyDescent="0.25">
      <c r="A113" s="11">
        <v>204570</v>
      </c>
      <c r="B113" s="5" t="s">
        <v>521</v>
      </c>
    </row>
    <row r="114" spans="1:3" x14ac:dyDescent="0.25">
      <c r="A114" s="11">
        <v>204571</v>
      </c>
      <c r="B114" s="5" t="s">
        <v>521</v>
      </c>
    </row>
    <row r="115" spans="1:3" x14ac:dyDescent="0.25">
      <c r="A115" s="11">
        <v>204554</v>
      </c>
      <c r="B115" s="5">
        <v>7690</v>
      </c>
      <c r="C115" t="s">
        <v>616</v>
      </c>
    </row>
    <row r="116" spans="1:3" x14ac:dyDescent="0.25">
      <c r="A116" s="11">
        <v>140104</v>
      </c>
      <c r="B116" s="5" t="s">
        <v>521</v>
      </c>
    </row>
    <row r="117" spans="1:3" x14ac:dyDescent="0.25">
      <c r="A117" s="11">
        <v>140112</v>
      </c>
      <c r="B117" s="5">
        <v>7190</v>
      </c>
      <c r="C117" t="s">
        <v>607</v>
      </c>
    </row>
    <row r="118" spans="1:3" x14ac:dyDescent="0.25">
      <c r="A118" s="11">
        <v>140119</v>
      </c>
      <c r="B118" s="5">
        <v>7890</v>
      </c>
      <c r="C118" t="s">
        <v>581</v>
      </c>
    </row>
    <row r="119" spans="1:3" x14ac:dyDescent="0.25">
      <c r="A119" s="11">
        <v>186961</v>
      </c>
      <c r="B119" s="5">
        <v>7590</v>
      </c>
      <c r="C119" t="s">
        <v>544</v>
      </c>
    </row>
    <row r="120" spans="1:3" x14ac:dyDescent="0.25">
      <c r="A120" s="11">
        <v>186962</v>
      </c>
      <c r="B120" s="5">
        <v>7590</v>
      </c>
      <c r="C120" t="s">
        <v>580</v>
      </c>
    </row>
    <row r="121" spans="1:3" x14ac:dyDescent="0.25">
      <c r="A121" s="11">
        <v>186963</v>
      </c>
      <c r="B121" s="5">
        <v>7690</v>
      </c>
      <c r="C121" t="s">
        <v>600</v>
      </c>
    </row>
    <row r="122" spans="1:3" x14ac:dyDescent="0.25">
      <c r="A122" s="11">
        <v>186964</v>
      </c>
      <c r="B122" s="5">
        <v>7990</v>
      </c>
      <c r="C122" t="s">
        <v>576</v>
      </c>
    </row>
    <row r="123" spans="1:3" x14ac:dyDescent="0.25">
      <c r="A123" s="11">
        <v>186968</v>
      </c>
      <c r="B123" s="5">
        <v>7590</v>
      </c>
      <c r="C123" t="s">
        <v>608</v>
      </c>
    </row>
    <row r="124" spans="1:3" x14ac:dyDescent="0.25">
      <c r="A124" s="11">
        <v>186969</v>
      </c>
      <c r="B124" s="5">
        <v>7390</v>
      </c>
      <c r="C124" t="s">
        <v>599</v>
      </c>
    </row>
    <row r="125" spans="1:3" x14ac:dyDescent="0.25">
      <c r="A125" s="11">
        <v>186970</v>
      </c>
      <c r="B125" s="5">
        <v>7890</v>
      </c>
      <c r="C125" t="s">
        <v>539</v>
      </c>
    </row>
    <row r="126" spans="1:3" x14ac:dyDescent="0.25">
      <c r="A126" s="11">
        <v>140105</v>
      </c>
      <c r="B126" s="5" t="s">
        <v>521</v>
      </c>
    </row>
    <row r="127" spans="1:3" x14ac:dyDescent="0.25">
      <c r="A127" s="11">
        <v>140106</v>
      </c>
      <c r="B127" s="5">
        <v>7149</v>
      </c>
      <c r="C127" t="s">
        <v>579</v>
      </c>
    </row>
    <row r="128" spans="1:3" x14ac:dyDescent="0.25">
      <c r="A128" s="11">
        <v>140107</v>
      </c>
      <c r="B128" s="5" t="s">
        <v>521</v>
      </c>
    </row>
    <row r="129" spans="1:3" x14ac:dyDescent="0.25">
      <c r="A129" s="11">
        <v>140108</v>
      </c>
      <c r="B129" s="5" t="s">
        <v>521</v>
      </c>
    </row>
    <row r="130" spans="1:3" x14ac:dyDescent="0.25">
      <c r="A130" s="11">
        <v>140115</v>
      </c>
      <c r="B130" s="5" t="s">
        <v>521</v>
      </c>
    </row>
    <row r="131" spans="1:3" x14ac:dyDescent="0.25">
      <c r="A131" s="11">
        <v>140116</v>
      </c>
      <c r="B131" s="5" t="s">
        <v>521</v>
      </c>
    </row>
    <row r="132" spans="1:3" x14ac:dyDescent="0.25">
      <c r="A132" s="11">
        <v>140117</v>
      </c>
      <c r="B132" s="5">
        <v>5590</v>
      </c>
      <c r="C132" t="s">
        <v>578</v>
      </c>
    </row>
    <row r="133" spans="1:3" x14ac:dyDescent="0.25">
      <c r="A133" s="11">
        <v>140121</v>
      </c>
      <c r="B133" s="5">
        <v>7990</v>
      </c>
      <c r="C133" t="s">
        <v>609</v>
      </c>
    </row>
    <row r="134" spans="1:3" x14ac:dyDescent="0.25">
      <c r="A134" s="11">
        <v>186980</v>
      </c>
      <c r="B134" s="5">
        <v>5590</v>
      </c>
      <c r="C134" t="s">
        <v>601</v>
      </c>
    </row>
    <row r="135" spans="1:3" x14ac:dyDescent="0.25">
      <c r="A135" s="11">
        <v>140126</v>
      </c>
      <c r="B135" s="5">
        <v>8390</v>
      </c>
      <c r="C135" t="s">
        <v>545</v>
      </c>
    </row>
    <row r="136" spans="1:3" x14ac:dyDescent="0.25">
      <c r="A136" s="11">
        <v>186973</v>
      </c>
      <c r="B136" s="5">
        <v>8390</v>
      </c>
      <c r="C136" t="s">
        <v>588</v>
      </c>
    </row>
    <row r="137" spans="1:3" x14ac:dyDescent="0.25">
      <c r="A137" s="11">
        <v>141285</v>
      </c>
      <c r="B137" s="5" t="s">
        <v>521</v>
      </c>
    </row>
    <row r="138" spans="1:3" x14ac:dyDescent="0.25">
      <c r="A138" s="11">
        <v>203633</v>
      </c>
      <c r="B138" s="5" t="s">
        <v>521</v>
      </c>
    </row>
    <row r="139" spans="1:3" x14ac:dyDescent="0.25">
      <c r="A139" s="11">
        <v>140113</v>
      </c>
      <c r="B139" s="5">
        <v>5790</v>
      </c>
      <c r="C139" t="s">
        <v>531</v>
      </c>
    </row>
    <row r="140" spans="1:3" x14ac:dyDescent="0.25">
      <c r="A140" s="11">
        <v>140111</v>
      </c>
      <c r="B140" s="5" t="s">
        <v>521</v>
      </c>
    </row>
    <row r="141" spans="1:3" x14ac:dyDescent="0.25">
      <c r="A141" s="11">
        <v>141025</v>
      </c>
      <c r="B141" s="5" t="s">
        <v>521</v>
      </c>
    </row>
    <row r="142" spans="1:3" x14ac:dyDescent="0.25">
      <c r="A142" s="11">
        <v>141026</v>
      </c>
      <c r="B142" s="5" t="s">
        <v>521</v>
      </c>
    </row>
    <row r="143" spans="1:3" x14ac:dyDescent="0.25">
      <c r="A143" s="11">
        <v>141032</v>
      </c>
      <c r="B143" s="5" t="s">
        <v>521</v>
      </c>
    </row>
    <row r="144" spans="1:3" x14ac:dyDescent="0.25">
      <c r="A144" s="11">
        <v>141034</v>
      </c>
      <c r="B144" s="5" t="s">
        <v>521</v>
      </c>
    </row>
    <row r="145" spans="1:3" x14ac:dyDescent="0.25">
      <c r="A145" s="11">
        <v>141004</v>
      </c>
      <c r="B145" s="5" t="s">
        <v>521</v>
      </c>
    </row>
    <row r="146" spans="1:3" x14ac:dyDescent="0.25">
      <c r="A146" s="11">
        <v>141005</v>
      </c>
      <c r="B146" s="5" t="s">
        <v>521</v>
      </c>
    </row>
    <row r="147" spans="1:3" x14ac:dyDescent="0.25">
      <c r="A147" s="11">
        <v>141007</v>
      </c>
      <c r="B147" s="5" t="s">
        <v>521</v>
      </c>
    </row>
    <row r="148" spans="1:3" x14ac:dyDescent="0.25">
      <c r="A148" s="11">
        <v>141008</v>
      </c>
      <c r="B148" s="5" t="s">
        <v>521</v>
      </c>
    </row>
    <row r="149" spans="1:3" x14ac:dyDescent="0.25">
      <c r="A149" s="11">
        <v>141010</v>
      </c>
      <c r="B149" s="5" t="s">
        <v>521</v>
      </c>
    </row>
    <row r="150" spans="1:3" x14ac:dyDescent="0.25">
      <c r="A150" s="11">
        <v>141018</v>
      </c>
      <c r="B150" s="5" t="s">
        <v>521</v>
      </c>
    </row>
    <row r="151" spans="1:3" x14ac:dyDescent="0.25">
      <c r="A151" s="11">
        <v>141009</v>
      </c>
      <c r="B151" s="5" t="s">
        <v>521</v>
      </c>
    </row>
    <row r="152" spans="1:3" x14ac:dyDescent="0.25">
      <c r="A152" s="11">
        <v>141284</v>
      </c>
      <c r="B152" s="5" t="s">
        <v>521</v>
      </c>
    </row>
    <row r="153" spans="1:3" x14ac:dyDescent="0.25">
      <c r="A153" s="11">
        <v>141286</v>
      </c>
      <c r="B153" s="5" t="s">
        <v>521</v>
      </c>
    </row>
    <row r="154" spans="1:3" x14ac:dyDescent="0.25">
      <c r="A154" s="11">
        <v>141287</v>
      </c>
      <c r="B154" s="5" t="s">
        <v>521</v>
      </c>
    </row>
    <row r="155" spans="1:3" x14ac:dyDescent="0.25">
      <c r="A155" s="11">
        <v>141288</v>
      </c>
      <c r="B155" s="5" t="s">
        <v>521</v>
      </c>
    </row>
    <row r="156" spans="1:3" x14ac:dyDescent="0.25">
      <c r="A156" s="11">
        <v>203641</v>
      </c>
      <c r="B156" s="5">
        <v>9690</v>
      </c>
      <c r="C156" t="s">
        <v>606</v>
      </c>
    </row>
    <row r="157" spans="1:3" x14ac:dyDescent="0.25">
      <c r="A157" s="11">
        <v>203643</v>
      </c>
      <c r="B157" s="5">
        <v>6090</v>
      </c>
      <c r="C157" t="s">
        <v>527</v>
      </c>
    </row>
    <row r="158" spans="1:3" x14ac:dyDescent="0.25">
      <c r="A158" s="11">
        <v>140128</v>
      </c>
      <c r="B158" s="5">
        <v>5390</v>
      </c>
      <c r="C158" t="s">
        <v>532</v>
      </c>
    </row>
    <row r="159" spans="1:3" x14ac:dyDescent="0.25">
      <c r="A159" s="11">
        <v>141011</v>
      </c>
      <c r="B159" s="5" t="s">
        <v>521</v>
      </c>
    </row>
    <row r="160" spans="1:3" x14ac:dyDescent="0.25">
      <c r="A160" s="11">
        <v>141006</v>
      </c>
      <c r="B160" s="5" t="s">
        <v>521</v>
      </c>
    </row>
    <row r="161" spans="1:3" x14ac:dyDescent="0.25">
      <c r="A161" s="11">
        <v>141020</v>
      </c>
      <c r="B161" s="5" t="s">
        <v>521</v>
      </c>
    </row>
    <row r="162" spans="1:3" x14ac:dyDescent="0.25">
      <c r="A162" s="11">
        <v>203658</v>
      </c>
      <c r="B162" s="5" t="s">
        <v>521</v>
      </c>
    </row>
    <row r="163" spans="1:3" x14ac:dyDescent="0.25">
      <c r="A163" s="11">
        <v>203660</v>
      </c>
      <c r="B163" s="5" t="s">
        <v>521</v>
      </c>
    </row>
    <row r="164" spans="1:3" x14ac:dyDescent="0.25">
      <c r="A164" s="11">
        <v>203629</v>
      </c>
      <c r="B164" s="5">
        <v>9890</v>
      </c>
      <c r="C164" t="s">
        <v>511</v>
      </c>
    </row>
    <row r="165" spans="1:3" x14ac:dyDescent="0.25">
      <c r="A165" s="11">
        <v>203637</v>
      </c>
      <c r="B165" s="5">
        <v>9590</v>
      </c>
      <c r="C165" t="s">
        <v>597</v>
      </c>
    </row>
    <row r="166" spans="1:3" x14ac:dyDescent="0.25">
      <c r="A166" s="11">
        <v>140118</v>
      </c>
      <c r="B166" s="5">
        <v>10390</v>
      </c>
      <c r="C166" t="s">
        <v>604</v>
      </c>
    </row>
    <row r="167" spans="1:3" x14ac:dyDescent="0.25">
      <c r="A167" s="11">
        <v>203635</v>
      </c>
      <c r="B167" s="5" t="s">
        <v>521</v>
      </c>
    </row>
    <row r="168" spans="1:3" x14ac:dyDescent="0.25">
      <c r="A168" s="11">
        <v>203627</v>
      </c>
      <c r="B168" s="5">
        <v>10690</v>
      </c>
      <c r="C168" t="s">
        <v>510</v>
      </c>
    </row>
    <row r="169" spans="1:3" x14ac:dyDescent="0.25">
      <c r="A169" s="11">
        <v>203632</v>
      </c>
      <c r="B169" s="5">
        <v>9990</v>
      </c>
      <c r="C169" t="s">
        <v>598</v>
      </c>
    </row>
    <row r="170" spans="1:3" x14ac:dyDescent="0.25">
      <c r="A170" s="11">
        <v>203638</v>
      </c>
      <c r="B170" s="5">
        <v>10590</v>
      </c>
      <c r="C170" t="s">
        <v>577</v>
      </c>
    </row>
    <row r="171" spans="1:3" x14ac:dyDescent="0.25">
      <c r="A171" s="11">
        <v>203663</v>
      </c>
      <c r="B171" s="5" t="s">
        <v>521</v>
      </c>
    </row>
    <row r="172" spans="1:3" x14ac:dyDescent="0.25">
      <c r="A172" s="11">
        <v>203650</v>
      </c>
      <c r="B172" s="5" t="s">
        <v>521</v>
      </c>
    </row>
    <row r="173" spans="1:3" x14ac:dyDescent="0.25">
      <c r="A173" s="11">
        <v>203642</v>
      </c>
      <c r="B173" s="5" t="s">
        <v>521</v>
      </c>
    </row>
    <row r="174" spans="1:3" x14ac:dyDescent="0.25">
      <c r="A174" s="11">
        <v>203644</v>
      </c>
      <c r="B174" s="5" t="s">
        <v>521</v>
      </c>
    </row>
    <row r="175" spans="1:3" x14ac:dyDescent="0.25">
      <c r="A175" s="11">
        <v>140120</v>
      </c>
      <c r="B175" s="5" t="s">
        <v>521</v>
      </c>
    </row>
    <row r="176" spans="1:3" x14ac:dyDescent="0.25">
      <c r="A176" s="11">
        <v>141023</v>
      </c>
      <c r="B176" s="5" t="s">
        <v>521</v>
      </c>
    </row>
    <row r="177" spans="1:3" x14ac:dyDescent="0.25">
      <c r="A177" s="11">
        <v>140122</v>
      </c>
      <c r="B177" s="5" t="s">
        <v>521</v>
      </c>
    </row>
    <row r="178" spans="1:3" x14ac:dyDescent="0.25">
      <c r="A178" s="11">
        <v>203651</v>
      </c>
      <c r="B178" s="5" t="s">
        <v>521</v>
      </c>
    </row>
    <row r="179" spans="1:3" x14ac:dyDescent="0.25">
      <c r="A179" s="11">
        <v>203654</v>
      </c>
      <c r="B179" s="5">
        <v>11690</v>
      </c>
      <c r="C179" t="s">
        <v>522</v>
      </c>
    </row>
    <row r="180" spans="1:3" x14ac:dyDescent="0.25">
      <c r="A180" s="11">
        <v>144121</v>
      </c>
      <c r="B180" s="5" t="s">
        <v>521</v>
      </c>
    </row>
    <row r="181" spans="1:3" x14ac:dyDescent="0.25">
      <c r="A181" s="11">
        <v>144122</v>
      </c>
      <c r="B181" s="5" t="s">
        <v>521</v>
      </c>
    </row>
    <row r="182" spans="1:3" x14ac:dyDescent="0.25">
      <c r="A182" s="11">
        <v>144126</v>
      </c>
      <c r="B182" s="5" t="s">
        <v>521</v>
      </c>
    </row>
    <row r="183" spans="1:3" x14ac:dyDescent="0.25">
      <c r="A183" s="11">
        <v>144127</v>
      </c>
      <c r="B183" s="5" t="s">
        <v>521</v>
      </c>
    </row>
    <row r="184" spans="1:3" x14ac:dyDescent="0.25">
      <c r="A184" s="11">
        <v>144128</v>
      </c>
      <c r="B184" s="5" t="s">
        <v>521</v>
      </c>
    </row>
    <row r="185" spans="1:3" x14ac:dyDescent="0.25">
      <c r="A185" s="11">
        <v>144129</v>
      </c>
      <c r="B185" s="5" t="s">
        <v>521</v>
      </c>
    </row>
    <row r="186" spans="1:3" x14ac:dyDescent="0.25">
      <c r="A186" s="11">
        <v>144123</v>
      </c>
      <c r="B186" s="5" t="s">
        <v>521</v>
      </c>
    </row>
    <row r="187" spans="1:3" x14ac:dyDescent="0.25">
      <c r="A187" s="11">
        <v>144124</v>
      </c>
      <c r="B187" s="5" t="s">
        <v>521</v>
      </c>
    </row>
    <row r="188" spans="1:3" x14ac:dyDescent="0.25">
      <c r="A188" s="11">
        <v>144125</v>
      </c>
      <c r="B188" s="5" t="s">
        <v>521</v>
      </c>
    </row>
    <row r="189" spans="1:3" x14ac:dyDescent="0.25">
      <c r="A189" s="11">
        <v>144163</v>
      </c>
      <c r="B189" s="5" t="s">
        <v>521</v>
      </c>
    </row>
    <row r="190" spans="1:3" x14ac:dyDescent="0.25">
      <c r="A190" s="11">
        <v>144130</v>
      </c>
      <c r="B190" s="5" t="s">
        <v>521</v>
      </c>
    </row>
    <row r="191" spans="1:3" x14ac:dyDescent="0.25">
      <c r="A191" s="11">
        <v>144131</v>
      </c>
      <c r="B191" s="5" t="s">
        <v>521</v>
      </c>
    </row>
    <row r="192" spans="1:3" x14ac:dyDescent="0.25">
      <c r="A192" s="11">
        <v>144174</v>
      </c>
      <c r="B192" s="5" t="s">
        <v>521</v>
      </c>
    </row>
    <row r="193" spans="1:2" x14ac:dyDescent="0.25">
      <c r="A193" s="11">
        <v>144175</v>
      </c>
      <c r="B193" s="5" t="s">
        <v>521</v>
      </c>
    </row>
    <row r="194" spans="1:2" x14ac:dyDescent="0.25">
      <c r="A194" s="11">
        <v>144176</v>
      </c>
      <c r="B194" s="5" t="s">
        <v>521</v>
      </c>
    </row>
    <row r="195" spans="1:2" x14ac:dyDescent="0.25">
      <c r="A195" s="11">
        <v>144178</v>
      </c>
      <c r="B195" s="5" t="s">
        <v>521</v>
      </c>
    </row>
    <row r="196" spans="1:2" x14ac:dyDescent="0.25">
      <c r="A196" s="11">
        <v>144177</v>
      </c>
      <c r="B196" s="5" t="s">
        <v>521</v>
      </c>
    </row>
  </sheetData>
  <conditionalFormatting sqref="A3:A196">
    <cfRule type="expression" dxfId="0" priority="1">
      <formula>AND(ROUNDDOWN($P3,0)=0,ROUNDDOWN($O3,0)=0)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457200</xdr:colOff>
                <xdr:row>4</xdr:row>
                <xdr:rowOff>180975</xdr:rowOff>
              </from>
              <to>
                <xdr:col>11</xdr:col>
                <xdr:colOff>590550</xdr:colOff>
                <xdr:row>8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759A5-B9EA-4CD9-B475-6266DCB9E705}">
  <sheetPr codeName="Лист7">
    <tabColor rgb="FF92D050"/>
  </sheetPr>
  <dimension ref="A1:T198"/>
  <sheetViews>
    <sheetView workbookViewId="0">
      <selection activeCell="B18" sqref="B18"/>
    </sheetView>
  </sheetViews>
  <sheetFormatPr defaultRowHeight="15" x14ac:dyDescent="0.25"/>
  <cols>
    <col min="1" max="2" width="11.140625" bestFit="1" customWidth="1"/>
    <col min="3" max="3" width="13.28515625" bestFit="1" customWidth="1"/>
    <col min="4" max="4" width="81.140625" bestFit="1" customWidth="1"/>
    <col min="5" max="5" width="28.28515625" bestFit="1" customWidth="1"/>
    <col min="6" max="6" width="35.5703125" bestFit="1" customWidth="1"/>
    <col min="7" max="9" width="11.140625" bestFit="1" customWidth="1"/>
    <col min="10" max="20" width="12.140625" bestFit="1" customWidth="1"/>
  </cols>
  <sheetData>
    <row r="1" spans="1:20" x14ac:dyDescent="0.25">
      <c r="A1" t="s">
        <v>546</v>
      </c>
      <c r="B1" t="s">
        <v>547</v>
      </c>
      <c r="C1" t="s">
        <v>548</v>
      </c>
      <c r="D1" t="s">
        <v>549</v>
      </c>
      <c r="E1" t="s">
        <v>550</v>
      </c>
      <c r="F1" t="s">
        <v>551</v>
      </c>
      <c r="G1" t="s">
        <v>552</v>
      </c>
      <c r="H1" t="s">
        <v>553</v>
      </c>
      <c r="I1" t="s">
        <v>554</v>
      </c>
      <c r="J1" t="s">
        <v>555</v>
      </c>
      <c r="K1" t="s">
        <v>556</v>
      </c>
      <c r="L1" t="s">
        <v>557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</row>
    <row r="2" spans="1:20" x14ac:dyDescent="0.25">
      <c r="E2" t="s">
        <v>566</v>
      </c>
      <c r="F2" t="s">
        <v>566</v>
      </c>
    </row>
    <row r="3" spans="1:20" x14ac:dyDescent="0.25">
      <c r="A3" t="s">
        <v>567</v>
      </c>
      <c r="B3" t="s">
        <v>568</v>
      </c>
      <c r="C3" t="s">
        <v>569</v>
      </c>
      <c r="D3" t="s">
        <v>570</v>
      </c>
      <c r="E3" t="s">
        <v>571</v>
      </c>
      <c r="F3" t="s">
        <v>572</v>
      </c>
    </row>
    <row r="4" spans="1:20" x14ac:dyDescent="0.25">
      <c r="B4" t="s">
        <v>6</v>
      </c>
      <c r="D4" t="s">
        <v>573</v>
      </c>
      <c r="E4" t="s">
        <v>574</v>
      </c>
      <c r="F4" t="s">
        <v>574</v>
      </c>
      <c r="G4" t="s">
        <v>574</v>
      </c>
    </row>
    <row r="5" spans="1:20" x14ac:dyDescent="0.25">
      <c r="A5" t="s">
        <v>29</v>
      </c>
      <c r="B5">
        <v>141030</v>
      </c>
      <c r="C5" t="s">
        <v>521</v>
      </c>
      <c r="G5" t="s">
        <v>575</v>
      </c>
    </row>
    <row r="6" spans="1:20" x14ac:dyDescent="0.25">
      <c r="A6" t="s">
        <v>29</v>
      </c>
      <c r="B6">
        <v>203648</v>
      </c>
      <c r="C6" t="s">
        <v>521</v>
      </c>
      <c r="G6" t="s">
        <v>575</v>
      </c>
    </row>
    <row r="7" spans="1:20" x14ac:dyDescent="0.25">
      <c r="A7" t="s">
        <v>29</v>
      </c>
      <c r="B7">
        <v>203695</v>
      </c>
      <c r="C7" t="s">
        <v>521</v>
      </c>
      <c r="G7" t="s">
        <v>575</v>
      </c>
    </row>
    <row r="8" spans="1:20" x14ac:dyDescent="0.25">
      <c r="A8" t="s">
        <v>29</v>
      </c>
      <c r="B8">
        <v>204573</v>
      </c>
      <c r="C8" t="s">
        <v>521</v>
      </c>
      <c r="G8" t="s">
        <v>575</v>
      </c>
    </row>
    <row r="9" spans="1:20" x14ac:dyDescent="0.25">
      <c r="A9" t="s">
        <v>29</v>
      </c>
      <c r="B9">
        <v>203717</v>
      </c>
      <c r="C9" t="s">
        <v>521</v>
      </c>
      <c r="G9" t="s">
        <v>575</v>
      </c>
    </row>
    <row r="10" spans="1:20" x14ac:dyDescent="0.25">
      <c r="A10" t="s">
        <v>29</v>
      </c>
      <c r="B10">
        <v>203628</v>
      </c>
      <c r="C10">
        <v>2190</v>
      </c>
      <c r="D10" t="s">
        <v>506</v>
      </c>
      <c r="G10">
        <v>2190</v>
      </c>
    </row>
    <row r="11" spans="1:20" x14ac:dyDescent="0.25">
      <c r="A11" t="s">
        <v>29</v>
      </c>
      <c r="B11">
        <v>203713</v>
      </c>
      <c r="C11">
        <v>2190</v>
      </c>
      <c r="D11" t="s">
        <v>502</v>
      </c>
      <c r="G11">
        <v>2190</v>
      </c>
    </row>
    <row r="12" spans="1:20" x14ac:dyDescent="0.25">
      <c r="A12" t="s">
        <v>29</v>
      </c>
      <c r="B12">
        <v>203714</v>
      </c>
      <c r="C12" t="s">
        <v>521</v>
      </c>
      <c r="G12" t="s">
        <v>575</v>
      </c>
    </row>
    <row r="13" spans="1:20" x14ac:dyDescent="0.25">
      <c r="A13" t="s">
        <v>29</v>
      </c>
      <c r="B13">
        <v>203715</v>
      </c>
      <c r="C13">
        <v>2190</v>
      </c>
      <c r="D13" t="s">
        <v>503</v>
      </c>
      <c r="G13">
        <v>2190</v>
      </c>
    </row>
    <row r="14" spans="1:20" x14ac:dyDescent="0.25">
      <c r="A14" t="s">
        <v>29</v>
      </c>
      <c r="B14">
        <v>203719</v>
      </c>
      <c r="C14" t="s">
        <v>521</v>
      </c>
      <c r="G14" t="s">
        <v>575</v>
      </c>
    </row>
    <row r="15" spans="1:20" x14ac:dyDescent="0.25">
      <c r="A15" t="s">
        <v>29</v>
      </c>
      <c r="B15">
        <v>203722</v>
      </c>
      <c r="C15" t="s">
        <v>521</v>
      </c>
      <c r="G15" t="s">
        <v>575</v>
      </c>
    </row>
    <row r="16" spans="1:20" x14ac:dyDescent="0.25">
      <c r="A16" t="s">
        <v>29</v>
      </c>
      <c r="B16">
        <v>139555</v>
      </c>
      <c r="C16">
        <v>2690</v>
      </c>
      <c r="D16" t="s">
        <v>496</v>
      </c>
      <c r="G16">
        <v>2690</v>
      </c>
    </row>
    <row r="17" spans="1:7" x14ac:dyDescent="0.25">
      <c r="A17" t="s">
        <v>29</v>
      </c>
      <c r="B17">
        <v>139553</v>
      </c>
      <c r="C17">
        <v>2790</v>
      </c>
      <c r="D17" t="s">
        <v>495</v>
      </c>
      <c r="G17">
        <v>2790</v>
      </c>
    </row>
    <row r="18" spans="1:7" x14ac:dyDescent="0.25">
      <c r="A18" t="s">
        <v>29</v>
      </c>
      <c r="B18">
        <v>139556</v>
      </c>
      <c r="C18">
        <v>2790</v>
      </c>
      <c r="D18" t="s">
        <v>494</v>
      </c>
      <c r="G18">
        <v>2790</v>
      </c>
    </row>
    <row r="19" spans="1:7" x14ac:dyDescent="0.25">
      <c r="A19" t="s">
        <v>29</v>
      </c>
      <c r="B19">
        <v>139557</v>
      </c>
      <c r="C19">
        <v>2790</v>
      </c>
      <c r="D19" t="s">
        <v>493</v>
      </c>
      <c r="G19">
        <v>2790</v>
      </c>
    </row>
    <row r="20" spans="1:7" x14ac:dyDescent="0.25">
      <c r="A20" t="s">
        <v>29</v>
      </c>
      <c r="B20">
        <v>139559</v>
      </c>
      <c r="C20">
        <v>2890</v>
      </c>
      <c r="D20" t="s">
        <v>492</v>
      </c>
      <c r="G20">
        <v>2890</v>
      </c>
    </row>
    <row r="21" spans="1:7" x14ac:dyDescent="0.25">
      <c r="A21" t="s">
        <v>29</v>
      </c>
      <c r="B21">
        <v>203694</v>
      </c>
      <c r="C21">
        <v>3090</v>
      </c>
      <c r="D21" t="s">
        <v>504</v>
      </c>
      <c r="G21">
        <v>3090</v>
      </c>
    </row>
    <row r="22" spans="1:7" x14ac:dyDescent="0.25">
      <c r="A22" t="s">
        <v>29</v>
      </c>
      <c r="B22">
        <v>203712</v>
      </c>
      <c r="C22" t="s">
        <v>521</v>
      </c>
      <c r="G22" t="s">
        <v>575</v>
      </c>
    </row>
    <row r="23" spans="1:7" x14ac:dyDescent="0.25">
      <c r="A23" t="s">
        <v>29</v>
      </c>
      <c r="B23">
        <v>203721</v>
      </c>
      <c r="C23" t="s">
        <v>521</v>
      </c>
      <c r="G23" t="s">
        <v>575</v>
      </c>
    </row>
    <row r="24" spans="1:7" x14ac:dyDescent="0.25">
      <c r="A24" t="s">
        <v>29</v>
      </c>
      <c r="B24">
        <v>139560</v>
      </c>
      <c r="C24">
        <v>2890</v>
      </c>
      <c r="D24" t="s">
        <v>491</v>
      </c>
      <c r="G24">
        <v>2890</v>
      </c>
    </row>
    <row r="25" spans="1:7" x14ac:dyDescent="0.25">
      <c r="A25" t="s">
        <v>29</v>
      </c>
      <c r="B25">
        <v>139561</v>
      </c>
      <c r="C25">
        <v>2990</v>
      </c>
      <c r="D25" t="s">
        <v>498</v>
      </c>
      <c r="G25">
        <v>2990</v>
      </c>
    </row>
    <row r="26" spans="1:7" x14ac:dyDescent="0.25">
      <c r="A26" t="s">
        <v>29</v>
      </c>
      <c r="B26">
        <v>139562</v>
      </c>
      <c r="C26">
        <v>2990</v>
      </c>
      <c r="D26" t="s">
        <v>498</v>
      </c>
      <c r="G26">
        <v>2990</v>
      </c>
    </row>
    <row r="27" spans="1:7" x14ac:dyDescent="0.25">
      <c r="A27" t="s">
        <v>29</v>
      </c>
      <c r="B27">
        <v>139563</v>
      </c>
      <c r="C27">
        <v>3190</v>
      </c>
      <c r="D27" t="s">
        <v>497</v>
      </c>
      <c r="G27">
        <v>3190</v>
      </c>
    </row>
    <row r="28" spans="1:7" x14ac:dyDescent="0.25">
      <c r="A28" t="s">
        <v>29</v>
      </c>
      <c r="B28">
        <v>139564</v>
      </c>
      <c r="C28">
        <v>3190</v>
      </c>
      <c r="D28" t="s">
        <v>497</v>
      </c>
      <c r="G28">
        <v>3190</v>
      </c>
    </row>
    <row r="29" spans="1:7" x14ac:dyDescent="0.25">
      <c r="A29" t="s">
        <v>29</v>
      </c>
      <c r="B29">
        <v>203634</v>
      </c>
      <c r="C29">
        <v>3190</v>
      </c>
      <c r="D29" t="s">
        <v>524</v>
      </c>
      <c r="G29">
        <v>3190</v>
      </c>
    </row>
    <row r="30" spans="1:7" x14ac:dyDescent="0.25">
      <c r="A30" t="s">
        <v>29</v>
      </c>
      <c r="B30">
        <v>203664</v>
      </c>
      <c r="C30">
        <v>3390</v>
      </c>
      <c r="D30" t="s">
        <v>605</v>
      </c>
      <c r="G30">
        <v>3390</v>
      </c>
    </row>
    <row r="31" spans="1:7" x14ac:dyDescent="0.25">
      <c r="A31" t="s">
        <v>29</v>
      </c>
      <c r="B31">
        <v>203661</v>
      </c>
      <c r="C31" t="s">
        <v>521</v>
      </c>
      <c r="G31" t="s">
        <v>575</v>
      </c>
    </row>
    <row r="32" spans="1:7" x14ac:dyDescent="0.25">
      <c r="A32" t="s">
        <v>29</v>
      </c>
      <c r="B32">
        <v>203631</v>
      </c>
      <c r="C32">
        <v>3590</v>
      </c>
      <c r="D32" t="s">
        <v>509</v>
      </c>
      <c r="G32">
        <v>3590</v>
      </c>
    </row>
    <row r="33" spans="1:7" x14ac:dyDescent="0.25">
      <c r="A33" t="s">
        <v>29</v>
      </c>
      <c r="B33">
        <v>203662</v>
      </c>
      <c r="C33">
        <v>3590</v>
      </c>
      <c r="D33" t="s">
        <v>610</v>
      </c>
      <c r="G33">
        <v>3590</v>
      </c>
    </row>
    <row r="34" spans="1:7" x14ac:dyDescent="0.25">
      <c r="A34" t="s">
        <v>29</v>
      </c>
      <c r="B34">
        <v>203640</v>
      </c>
      <c r="C34">
        <v>3490</v>
      </c>
      <c r="D34" t="s">
        <v>595</v>
      </c>
      <c r="G34">
        <v>3490</v>
      </c>
    </row>
    <row r="35" spans="1:7" x14ac:dyDescent="0.25">
      <c r="A35" t="s">
        <v>29</v>
      </c>
      <c r="B35">
        <v>203665</v>
      </c>
      <c r="C35" t="s">
        <v>521</v>
      </c>
      <c r="G35" t="s">
        <v>575</v>
      </c>
    </row>
    <row r="36" spans="1:7" x14ac:dyDescent="0.25">
      <c r="A36" t="s">
        <v>29</v>
      </c>
      <c r="B36">
        <v>139565</v>
      </c>
      <c r="C36" t="s">
        <v>521</v>
      </c>
      <c r="G36" t="s">
        <v>575</v>
      </c>
    </row>
    <row r="37" spans="1:7" x14ac:dyDescent="0.25">
      <c r="A37" t="s">
        <v>29</v>
      </c>
      <c r="B37">
        <v>139552</v>
      </c>
      <c r="C37">
        <v>3790</v>
      </c>
      <c r="D37" t="s">
        <v>500</v>
      </c>
      <c r="G37">
        <v>3790</v>
      </c>
    </row>
    <row r="38" spans="1:7" x14ac:dyDescent="0.25">
      <c r="A38" t="s">
        <v>29</v>
      </c>
      <c r="B38">
        <v>186965</v>
      </c>
      <c r="C38">
        <v>3790</v>
      </c>
      <c r="D38" t="s">
        <v>534</v>
      </c>
      <c r="G38">
        <v>3890</v>
      </c>
    </row>
    <row r="39" spans="1:7" x14ac:dyDescent="0.25">
      <c r="A39" t="s">
        <v>29</v>
      </c>
      <c r="B39">
        <v>186984</v>
      </c>
      <c r="C39">
        <v>3890</v>
      </c>
      <c r="D39" t="s">
        <v>517</v>
      </c>
      <c r="G39">
        <v>3890</v>
      </c>
    </row>
    <row r="40" spans="1:7" x14ac:dyDescent="0.25">
      <c r="A40" t="s">
        <v>29</v>
      </c>
      <c r="B40">
        <v>186986</v>
      </c>
      <c r="C40">
        <v>3890</v>
      </c>
      <c r="D40" t="s">
        <v>590</v>
      </c>
      <c r="G40">
        <v>3890</v>
      </c>
    </row>
    <row r="41" spans="1:7" x14ac:dyDescent="0.25">
      <c r="A41" t="s">
        <v>29</v>
      </c>
      <c r="B41">
        <v>186987</v>
      </c>
      <c r="C41">
        <v>3790</v>
      </c>
      <c r="D41" t="s">
        <v>514</v>
      </c>
      <c r="G41">
        <v>3790</v>
      </c>
    </row>
    <row r="42" spans="1:7" x14ac:dyDescent="0.25">
      <c r="A42" t="s">
        <v>29</v>
      </c>
      <c r="B42">
        <v>186972</v>
      </c>
      <c r="C42">
        <v>3790</v>
      </c>
      <c r="D42" t="s">
        <v>537</v>
      </c>
      <c r="G42">
        <v>3790</v>
      </c>
    </row>
    <row r="43" spans="1:7" x14ac:dyDescent="0.25">
      <c r="A43" t="s">
        <v>29</v>
      </c>
      <c r="B43">
        <v>186985</v>
      </c>
      <c r="C43">
        <v>3790</v>
      </c>
      <c r="D43" t="s">
        <v>583</v>
      </c>
      <c r="G43">
        <v>3790</v>
      </c>
    </row>
    <row r="44" spans="1:7" x14ac:dyDescent="0.25">
      <c r="A44" t="s">
        <v>29</v>
      </c>
      <c r="B44">
        <v>186991</v>
      </c>
      <c r="C44">
        <v>3990</v>
      </c>
      <c r="D44" t="s">
        <v>589</v>
      </c>
      <c r="G44">
        <v>3990</v>
      </c>
    </row>
    <row r="45" spans="1:7" x14ac:dyDescent="0.25">
      <c r="A45" t="s">
        <v>29</v>
      </c>
      <c r="B45">
        <v>203716</v>
      </c>
      <c r="C45" t="s">
        <v>521</v>
      </c>
      <c r="G45" t="s">
        <v>575</v>
      </c>
    </row>
    <row r="46" spans="1:7" x14ac:dyDescent="0.25">
      <c r="A46" t="s">
        <v>29</v>
      </c>
      <c r="B46">
        <v>139551</v>
      </c>
      <c r="C46">
        <v>3890</v>
      </c>
      <c r="D46" t="s">
        <v>501</v>
      </c>
      <c r="G46">
        <v>3890</v>
      </c>
    </row>
    <row r="47" spans="1:7" x14ac:dyDescent="0.25">
      <c r="A47" t="s">
        <v>29</v>
      </c>
      <c r="B47">
        <v>140110</v>
      </c>
      <c r="C47">
        <v>3890</v>
      </c>
      <c r="D47" t="s">
        <v>513</v>
      </c>
      <c r="G47">
        <v>3890</v>
      </c>
    </row>
    <row r="48" spans="1:7" x14ac:dyDescent="0.25">
      <c r="A48" t="s">
        <v>29</v>
      </c>
      <c r="B48">
        <v>186924</v>
      </c>
      <c r="C48">
        <v>3890</v>
      </c>
      <c r="D48" t="s">
        <v>592</v>
      </c>
      <c r="G48">
        <v>3890</v>
      </c>
    </row>
    <row r="49" spans="1:7" x14ac:dyDescent="0.25">
      <c r="A49" t="s">
        <v>29</v>
      </c>
      <c r="B49">
        <v>186966</v>
      </c>
      <c r="C49">
        <v>3990</v>
      </c>
      <c r="D49" t="s">
        <v>533</v>
      </c>
      <c r="G49">
        <v>3990</v>
      </c>
    </row>
    <row r="50" spans="1:7" x14ac:dyDescent="0.25">
      <c r="A50" t="s">
        <v>29</v>
      </c>
      <c r="B50">
        <v>186978</v>
      </c>
      <c r="C50">
        <v>3990</v>
      </c>
      <c r="D50" t="s">
        <v>516</v>
      </c>
      <c r="G50">
        <v>3990</v>
      </c>
    </row>
    <row r="51" spans="1:7" x14ac:dyDescent="0.25">
      <c r="A51" t="s">
        <v>29</v>
      </c>
      <c r="B51">
        <v>186990</v>
      </c>
      <c r="C51">
        <v>3890</v>
      </c>
      <c r="D51" t="s">
        <v>584</v>
      </c>
      <c r="G51">
        <v>3890</v>
      </c>
    </row>
    <row r="52" spans="1:7" x14ac:dyDescent="0.25">
      <c r="A52" t="s">
        <v>29</v>
      </c>
      <c r="B52">
        <v>140109</v>
      </c>
      <c r="C52">
        <v>3990</v>
      </c>
      <c r="D52" t="s">
        <v>582</v>
      </c>
      <c r="G52">
        <v>3990</v>
      </c>
    </row>
    <row r="53" spans="1:7" x14ac:dyDescent="0.25">
      <c r="A53" t="s">
        <v>29</v>
      </c>
      <c r="B53">
        <v>186977</v>
      </c>
      <c r="C53">
        <v>3890</v>
      </c>
      <c r="D53" t="s">
        <v>593</v>
      </c>
      <c r="G53">
        <v>3890</v>
      </c>
    </row>
    <row r="54" spans="1:7" x14ac:dyDescent="0.25">
      <c r="A54" t="s">
        <v>29</v>
      </c>
      <c r="B54">
        <v>186983</v>
      </c>
      <c r="C54">
        <v>4090</v>
      </c>
      <c r="D54" t="s">
        <v>591</v>
      </c>
      <c r="G54">
        <v>4090</v>
      </c>
    </row>
    <row r="55" spans="1:7" x14ac:dyDescent="0.25">
      <c r="A55" t="s">
        <v>29</v>
      </c>
      <c r="B55">
        <v>186989</v>
      </c>
      <c r="C55">
        <v>3890</v>
      </c>
      <c r="D55" t="s">
        <v>519</v>
      </c>
      <c r="G55">
        <v>3890</v>
      </c>
    </row>
    <row r="56" spans="1:7" x14ac:dyDescent="0.25">
      <c r="A56" t="s">
        <v>29</v>
      </c>
      <c r="B56">
        <v>187035</v>
      </c>
      <c r="C56">
        <v>3990</v>
      </c>
      <c r="D56" t="s">
        <v>507</v>
      </c>
      <c r="G56">
        <v>3990</v>
      </c>
    </row>
    <row r="57" spans="1:7" x14ac:dyDescent="0.25">
      <c r="A57" t="s">
        <v>29</v>
      </c>
      <c r="B57">
        <v>186974</v>
      </c>
      <c r="C57" t="s">
        <v>521</v>
      </c>
      <c r="G57" t="s">
        <v>575</v>
      </c>
    </row>
    <row r="58" spans="1:7" x14ac:dyDescent="0.25">
      <c r="A58" t="s">
        <v>29</v>
      </c>
      <c r="B58">
        <v>186975</v>
      </c>
      <c r="C58">
        <v>4090</v>
      </c>
      <c r="D58" t="s">
        <v>535</v>
      </c>
      <c r="G58">
        <v>4090</v>
      </c>
    </row>
    <row r="59" spans="1:7" x14ac:dyDescent="0.25">
      <c r="A59" t="s">
        <v>29</v>
      </c>
      <c r="B59">
        <v>186976</v>
      </c>
      <c r="C59" t="s">
        <v>521</v>
      </c>
      <c r="G59" t="s">
        <v>575</v>
      </c>
    </row>
    <row r="60" spans="1:7" x14ac:dyDescent="0.25">
      <c r="A60" t="s">
        <v>29</v>
      </c>
      <c r="B60">
        <v>186982</v>
      </c>
      <c r="C60">
        <v>3990</v>
      </c>
      <c r="D60" t="s">
        <v>585</v>
      </c>
      <c r="G60">
        <v>3990</v>
      </c>
    </row>
    <row r="61" spans="1:7" x14ac:dyDescent="0.25">
      <c r="A61" t="s">
        <v>29</v>
      </c>
      <c r="B61">
        <v>203709</v>
      </c>
      <c r="C61">
        <v>4190</v>
      </c>
      <c r="D61" t="s">
        <v>505</v>
      </c>
      <c r="G61">
        <v>4190</v>
      </c>
    </row>
    <row r="62" spans="1:7" x14ac:dyDescent="0.25">
      <c r="A62" t="s">
        <v>29</v>
      </c>
      <c r="B62">
        <v>186971</v>
      </c>
      <c r="C62">
        <v>4090</v>
      </c>
      <c r="D62" t="s">
        <v>536</v>
      </c>
      <c r="G62">
        <v>4090</v>
      </c>
    </row>
    <row r="63" spans="1:7" x14ac:dyDescent="0.25">
      <c r="A63" t="s">
        <v>29</v>
      </c>
      <c r="B63">
        <v>203646</v>
      </c>
      <c r="C63" t="s">
        <v>521</v>
      </c>
      <c r="G63" t="s">
        <v>575</v>
      </c>
    </row>
    <row r="64" spans="1:7" x14ac:dyDescent="0.25">
      <c r="A64" t="s">
        <v>29</v>
      </c>
      <c r="B64">
        <v>203718</v>
      </c>
      <c r="C64" t="s">
        <v>521</v>
      </c>
      <c r="G64" t="s">
        <v>575</v>
      </c>
    </row>
    <row r="65" spans="1:7" x14ac:dyDescent="0.25">
      <c r="A65" t="s">
        <v>29</v>
      </c>
      <c r="B65">
        <v>186981</v>
      </c>
      <c r="C65">
        <v>4490</v>
      </c>
      <c r="D65" t="s">
        <v>520</v>
      </c>
      <c r="G65">
        <v>4490</v>
      </c>
    </row>
    <row r="66" spans="1:7" x14ac:dyDescent="0.25">
      <c r="A66" t="s">
        <v>29</v>
      </c>
      <c r="B66">
        <v>203649</v>
      </c>
      <c r="C66">
        <v>2990</v>
      </c>
      <c r="D66" t="s">
        <v>529</v>
      </c>
      <c r="G66">
        <v>2990</v>
      </c>
    </row>
    <row r="67" spans="1:7" x14ac:dyDescent="0.25">
      <c r="A67" t="s">
        <v>29</v>
      </c>
      <c r="B67">
        <v>203636</v>
      </c>
      <c r="C67" t="s">
        <v>521</v>
      </c>
      <c r="G67" t="s">
        <v>575</v>
      </c>
    </row>
    <row r="68" spans="1:7" x14ac:dyDescent="0.25">
      <c r="A68" t="s">
        <v>29</v>
      </c>
      <c r="B68">
        <v>203659</v>
      </c>
      <c r="C68" t="s">
        <v>521</v>
      </c>
      <c r="G68" t="s">
        <v>575</v>
      </c>
    </row>
    <row r="69" spans="1:7" x14ac:dyDescent="0.25">
      <c r="A69" t="s">
        <v>29</v>
      </c>
      <c r="B69">
        <v>203630</v>
      </c>
      <c r="C69">
        <v>4390</v>
      </c>
      <c r="D69" t="s">
        <v>508</v>
      </c>
      <c r="G69">
        <v>4390</v>
      </c>
    </row>
    <row r="70" spans="1:7" x14ac:dyDescent="0.25">
      <c r="A70" t="s">
        <v>29</v>
      </c>
      <c r="B70">
        <v>203639</v>
      </c>
      <c r="C70">
        <v>4390</v>
      </c>
      <c r="D70" t="s">
        <v>587</v>
      </c>
      <c r="G70">
        <v>4390</v>
      </c>
    </row>
    <row r="71" spans="1:7" x14ac:dyDescent="0.25">
      <c r="A71" t="s">
        <v>29</v>
      </c>
      <c r="B71">
        <v>203645</v>
      </c>
      <c r="C71">
        <v>4390</v>
      </c>
      <c r="D71" t="s">
        <v>611</v>
      </c>
      <c r="G71">
        <v>4390</v>
      </c>
    </row>
    <row r="72" spans="1:7" x14ac:dyDescent="0.25">
      <c r="A72" t="s">
        <v>29</v>
      </c>
      <c r="B72">
        <v>203647</v>
      </c>
      <c r="C72">
        <v>4390</v>
      </c>
      <c r="D72" t="s">
        <v>594</v>
      </c>
      <c r="G72">
        <v>4390</v>
      </c>
    </row>
    <row r="73" spans="1:7" x14ac:dyDescent="0.25">
      <c r="A73" t="s">
        <v>29</v>
      </c>
      <c r="B73">
        <v>140114</v>
      </c>
      <c r="C73">
        <v>4190</v>
      </c>
      <c r="D73" t="s">
        <v>586</v>
      </c>
      <c r="G73">
        <v>4190</v>
      </c>
    </row>
    <row r="74" spans="1:7" x14ac:dyDescent="0.25">
      <c r="A74" t="s">
        <v>29</v>
      </c>
      <c r="B74">
        <v>140127</v>
      </c>
      <c r="C74" t="s">
        <v>521</v>
      </c>
      <c r="G74" t="s">
        <v>575</v>
      </c>
    </row>
    <row r="75" spans="1:7" x14ac:dyDescent="0.25">
      <c r="A75" t="s">
        <v>29</v>
      </c>
      <c r="B75">
        <v>186967</v>
      </c>
      <c r="C75">
        <v>4190</v>
      </c>
      <c r="D75" t="s">
        <v>538</v>
      </c>
      <c r="G75">
        <v>4190</v>
      </c>
    </row>
    <row r="76" spans="1:7" x14ac:dyDescent="0.25">
      <c r="A76" t="s">
        <v>29</v>
      </c>
      <c r="B76">
        <v>186979</v>
      </c>
      <c r="C76">
        <v>4390</v>
      </c>
      <c r="D76" t="s">
        <v>518</v>
      </c>
      <c r="G76">
        <v>4390</v>
      </c>
    </row>
    <row r="77" spans="1:7" x14ac:dyDescent="0.25">
      <c r="A77" t="s">
        <v>29</v>
      </c>
      <c r="B77">
        <v>141002</v>
      </c>
      <c r="C77" t="s">
        <v>521</v>
      </c>
      <c r="G77" t="s">
        <v>575</v>
      </c>
    </row>
    <row r="78" spans="1:7" x14ac:dyDescent="0.25">
      <c r="A78" t="s">
        <v>29</v>
      </c>
      <c r="B78">
        <v>141003</v>
      </c>
      <c r="C78">
        <v>4290</v>
      </c>
      <c r="D78" t="s">
        <v>541</v>
      </c>
      <c r="G78">
        <v>4290</v>
      </c>
    </row>
    <row r="79" spans="1:7" x14ac:dyDescent="0.25">
      <c r="A79" t="s">
        <v>29</v>
      </c>
      <c r="B79">
        <v>141033</v>
      </c>
      <c r="C79">
        <v>4290</v>
      </c>
      <c r="D79" t="s">
        <v>540</v>
      </c>
      <c r="G79">
        <v>4290</v>
      </c>
    </row>
    <row r="80" spans="1:7" x14ac:dyDescent="0.25">
      <c r="A80" t="s">
        <v>29</v>
      </c>
      <c r="B80">
        <v>141013</v>
      </c>
      <c r="C80">
        <v>4590</v>
      </c>
      <c r="D80" t="s">
        <v>612</v>
      </c>
      <c r="G80">
        <v>4590</v>
      </c>
    </row>
    <row r="81" spans="1:7" x14ac:dyDescent="0.25">
      <c r="A81" t="s">
        <v>29</v>
      </c>
      <c r="B81">
        <v>141014</v>
      </c>
      <c r="C81">
        <v>4590</v>
      </c>
      <c r="D81" t="s">
        <v>615</v>
      </c>
      <c r="G81">
        <v>4590</v>
      </c>
    </row>
    <row r="82" spans="1:7" x14ac:dyDescent="0.25">
      <c r="A82" t="s">
        <v>29</v>
      </c>
      <c r="B82">
        <v>141035</v>
      </c>
      <c r="C82" t="s">
        <v>521</v>
      </c>
      <c r="G82" t="s">
        <v>575</v>
      </c>
    </row>
    <row r="83" spans="1:7" x14ac:dyDescent="0.25">
      <c r="A83" t="s">
        <v>29</v>
      </c>
      <c r="B83">
        <v>141015</v>
      </c>
      <c r="C83" t="s">
        <v>521</v>
      </c>
      <c r="G83" t="s">
        <v>575</v>
      </c>
    </row>
    <row r="84" spans="1:7" x14ac:dyDescent="0.25">
      <c r="A84" t="s">
        <v>29</v>
      </c>
      <c r="B84">
        <v>141281</v>
      </c>
      <c r="C84" t="s">
        <v>521</v>
      </c>
      <c r="G84" t="s">
        <v>575</v>
      </c>
    </row>
    <row r="85" spans="1:7" x14ac:dyDescent="0.25">
      <c r="A85" t="s">
        <v>29</v>
      </c>
      <c r="B85">
        <v>141024</v>
      </c>
      <c r="C85">
        <v>4590</v>
      </c>
      <c r="D85" t="s">
        <v>613</v>
      </c>
      <c r="G85">
        <v>4590</v>
      </c>
    </row>
    <row r="86" spans="1:7" x14ac:dyDescent="0.25">
      <c r="A86" t="s">
        <v>29</v>
      </c>
      <c r="B86">
        <v>141027</v>
      </c>
      <c r="C86">
        <v>4290</v>
      </c>
      <c r="D86" t="s">
        <v>542</v>
      </c>
      <c r="G86">
        <v>4290</v>
      </c>
    </row>
    <row r="87" spans="1:7" x14ac:dyDescent="0.25">
      <c r="A87" t="s">
        <v>29</v>
      </c>
      <c r="B87">
        <v>141028</v>
      </c>
      <c r="C87">
        <v>4290</v>
      </c>
      <c r="D87" t="s">
        <v>543</v>
      </c>
      <c r="G87">
        <v>4290</v>
      </c>
    </row>
    <row r="88" spans="1:7" x14ac:dyDescent="0.25">
      <c r="A88" t="s">
        <v>29</v>
      </c>
      <c r="B88">
        <v>141029</v>
      </c>
      <c r="C88">
        <v>4490</v>
      </c>
      <c r="D88" t="s">
        <v>614</v>
      </c>
      <c r="G88">
        <v>4490</v>
      </c>
    </row>
    <row r="89" spans="1:7" x14ac:dyDescent="0.25">
      <c r="A89" t="s">
        <v>29</v>
      </c>
      <c r="B89">
        <v>141019</v>
      </c>
      <c r="C89" t="s">
        <v>521</v>
      </c>
      <c r="G89" t="s">
        <v>575</v>
      </c>
    </row>
    <row r="90" spans="1:7" x14ac:dyDescent="0.25">
      <c r="A90" t="s">
        <v>29</v>
      </c>
      <c r="B90">
        <v>141282</v>
      </c>
      <c r="C90">
        <v>4590</v>
      </c>
      <c r="D90" t="s">
        <v>512</v>
      </c>
      <c r="G90">
        <v>4590</v>
      </c>
    </row>
    <row r="91" spans="1:7" x14ac:dyDescent="0.25">
      <c r="A91" t="s">
        <v>29</v>
      </c>
      <c r="B91">
        <v>141283</v>
      </c>
      <c r="C91">
        <v>4590</v>
      </c>
      <c r="D91" t="s">
        <v>515</v>
      </c>
      <c r="G91">
        <v>4590</v>
      </c>
    </row>
    <row r="92" spans="1:7" x14ac:dyDescent="0.25">
      <c r="A92" t="s">
        <v>29</v>
      </c>
      <c r="B92">
        <v>141031</v>
      </c>
      <c r="C92">
        <v>4590</v>
      </c>
      <c r="D92" t="s">
        <v>596</v>
      </c>
      <c r="G92">
        <v>4590</v>
      </c>
    </row>
    <row r="93" spans="1:7" x14ac:dyDescent="0.25">
      <c r="A93" t="s">
        <v>29</v>
      </c>
      <c r="B93">
        <v>203710</v>
      </c>
      <c r="C93" t="s">
        <v>521</v>
      </c>
      <c r="G93" t="s">
        <v>575</v>
      </c>
    </row>
    <row r="94" spans="1:7" x14ac:dyDescent="0.25">
      <c r="A94" t="s">
        <v>29</v>
      </c>
      <c r="B94">
        <v>203711</v>
      </c>
      <c r="C94" t="s">
        <v>521</v>
      </c>
      <c r="G94" t="s">
        <v>575</v>
      </c>
    </row>
    <row r="95" spans="1:7" x14ac:dyDescent="0.25">
      <c r="A95" t="s">
        <v>29</v>
      </c>
      <c r="B95">
        <v>186960</v>
      </c>
      <c r="C95">
        <v>4390</v>
      </c>
      <c r="D95" t="s">
        <v>530</v>
      </c>
      <c r="G95">
        <v>4390</v>
      </c>
    </row>
    <row r="96" spans="1:7" x14ac:dyDescent="0.25">
      <c r="A96" t="s">
        <v>29</v>
      </c>
      <c r="B96">
        <v>203653</v>
      </c>
      <c r="C96" t="s">
        <v>521</v>
      </c>
      <c r="G96" t="s">
        <v>575</v>
      </c>
    </row>
    <row r="97" spans="1:7" x14ac:dyDescent="0.25">
      <c r="A97" t="s">
        <v>29</v>
      </c>
      <c r="B97">
        <v>203655</v>
      </c>
      <c r="C97">
        <v>4790</v>
      </c>
      <c r="D97" t="s">
        <v>528</v>
      </c>
      <c r="G97">
        <v>4790</v>
      </c>
    </row>
    <row r="98" spans="1:7" x14ac:dyDescent="0.25">
      <c r="A98" t="s">
        <v>29</v>
      </c>
      <c r="B98">
        <v>203652</v>
      </c>
      <c r="C98" t="s">
        <v>521</v>
      </c>
      <c r="G98" t="s">
        <v>575</v>
      </c>
    </row>
    <row r="99" spans="1:7" x14ac:dyDescent="0.25">
      <c r="A99" t="s">
        <v>29</v>
      </c>
      <c r="B99">
        <v>141016</v>
      </c>
      <c r="C99">
        <v>4690</v>
      </c>
      <c r="D99" t="s">
        <v>526</v>
      </c>
      <c r="G99">
        <v>4690</v>
      </c>
    </row>
    <row r="100" spans="1:7" x14ac:dyDescent="0.25">
      <c r="A100" t="s">
        <v>29</v>
      </c>
      <c r="B100">
        <v>141017</v>
      </c>
      <c r="C100" t="s">
        <v>521</v>
      </c>
      <c r="G100" t="s">
        <v>575</v>
      </c>
    </row>
    <row r="101" spans="1:7" x14ac:dyDescent="0.25">
      <c r="A101" t="s">
        <v>29</v>
      </c>
      <c r="B101">
        <v>141012</v>
      </c>
      <c r="C101" t="s">
        <v>521</v>
      </c>
      <c r="G101" t="s">
        <v>575</v>
      </c>
    </row>
    <row r="102" spans="1:7" x14ac:dyDescent="0.25">
      <c r="A102" t="s">
        <v>29</v>
      </c>
      <c r="B102">
        <v>141022</v>
      </c>
      <c r="C102" t="s">
        <v>521</v>
      </c>
      <c r="G102" t="s">
        <v>575</v>
      </c>
    </row>
    <row r="103" spans="1:7" x14ac:dyDescent="0.25">
      <c r="A103" t="s">
        <v>29</v>
      </c>
      <c r="B103">
        <v>141021</v>
      </c>
      <c r="C103" t="s">
        <v>521</v>
      </c>
      <c r="G103" t="s">
        <v>575</v>
      </c>
    </row>
    <row r="104" spans="1:7" x14ac:dyDescent="0.25">
      <c r="A104" t="s">
        <v>29</v>
      </c>
      <c r="B104">
        <v>141289</v>
      </c>
      <c r="C104" t="s">
        <v>521</v>
      </c>
      <c r="G104" t="s">
        <v>575</v>
      </c>
    </row>
    <row r="105" spans="1:7" x14ac:dyDescent="0.25">
      <c r="A105" t="s">
        <v>29</v>
      </c>
      <c r="B105">
        <v>141290</v>
      </c>
      <c r="C105" t="s">
        <v>521</v>
      </c>
      <c r="G105" t="s">
        <v>575</v>
      </c>
    </row>
    <row r="106" spans="1:7" x14ac:dyDescent="0.25">
      <c r="A106" t="s">
        <v>29</v>
      </c>
      <c r="B106">
        <v>203720</v>
      </c>
      <c r="C106" t="s">
        <v>521</v>
      </c>
      <c r="G106" t="s">
        <v>575</v>
      </c>
    </row>
    <row r="107" spans="1:7" x14ac:dyDescent="0.25">
      <c r="A107" t="s">
        <v>29</v>
      </c>
      <c r="B107">
        <v>139554</v>
      </c>
      <c r="C107">
        <v>5690</v>
      </c>
      <c r="D107" t="s">
        <v>499</v>
      </c>
      <c r="G107">
        <v>5690</v>
      </c>
    </row>
    <row r="108" spans="1:7" x14ac:dyDescent="0.25">
      <c r="A108" t="s">
        <v>29</v>
      </c>
      <c r="B108">
        <v>139566</v>
      </c>
      <c r="C108">
        <v>5690</v>
      </c>
      <c r="D108" t="s">
        <v>499</v>
      </c>
      <c r="G108">
        <v>5690</v>
      </c>
    </row>
    <row r="109" spans="1:7" x14ac:dyDescent="0.25">
      <c r="A109" t="s">
        <v>29</v>
      </c>
      <c r="B109">
        <v>140125</v>
      </c>
      <c r="C109">
        <v>5690</v>
      </c>
      <c r="D109" t="s">
        <v>603</v>
      </c>
      <c r="G109">
        <v>5690</v>
      </c>
    </row>
    <row r="110" spans="1:7" x14ac:dyDescent="0.25">
      <c r="A110" t="s">
        <v>29</v>
      </c>
      <c r="B110">
        <v>186988</v>
      </c>
      <c r="C110">
        <v>5990</v>
      </c>
      <c r="D110" t="s">
        <v>602</v>
      </c>
      <c r="G110">
        <v>5990</v>
      </c>
    </row>
    <row r="111" spans="1:7" x14ac:dyDescent="0.25">
      <c r="A111" t="s">
        <v>29</v>
      </c>
      <c r="B111">
        <v>139558</v>
      </c>
      <c r="C111" t="s">
        <v>521</v>
      </c>
      <c r="G111" t="s">
        <v>575</v>
      </c>
    </row>
    <row r="112" spans="1:7" x14ac:dyDescent="0.25">
      <c r="A112" t="s">
        <v>29</v>
      </c>
      <c r="B112">
        <v>140123</v>
      </c>
      <c r="C112">
        <v>5790</v>
      </c>
      <c r="D112" t="s">
        <v>525</v>
      </c>
      <c r="G112">
        <v>5790</v>
      </c>
    </row>
    <row r="113" spans="1:7" x14ac:dyDescent="0.25">
      <c r="A113" t="s">
        <v>29</v>
      </c>
      <c r="B113">
        <v>204572</v>
      </c>
      <c r="C113" t="s">
        <v>521</v>
      </c>
      <c r="G113" t="s">
        <v>575</v>
      </c>
    </row>
    <row r="114" spans="1:7" x14ac:dyDescent="0.25">
      <c r="A114" t="s">
        <v>29</v>
      </c>
      <c r="B114">
        <v>140124</v>
      </c>
      <c r="C114">
        <v>6990</v>
      </c>
      <c r="D114" t="s">
        <v>523</v>
      </c>
      <c r="G114">
        <v>6990</v>
      </c>
    </row>
    <row r="115" spans="1:7" x14ac:dyDescent="0.25">
      <c r="A115" t="s">
        <v>29</v>
      </c>
      <c r="B115">
        <v>204570</v>
      </c>
      <c r="C115" t="s">
        <v>521</v>
      </c>
      <c r="G115" t="s">
        <v>575</v>
      </c>
    </row>
    <row r="116" spans="1:7" x14ac:dyDescent="0.25">
      <c r="A116" t="s">
        <v>29</v>
      </c>
      <c r="B116">
        <v>204571</v>
      </c>
      <c r="C116" t="s">
        <v>521</v>
      </c>
      <c r="G116" t="s">
        <v>575</v>
      </c>
    </row>
    <row r="117" spans="1:7" x14ac:dyDescent="0.25">
      <c r="A117" t="s">
        <v>29</v>
      </c>
      <c r="B117">
        <v>204554</v>
      </c>
      <c r="C117">
        <v>7690</v>
      </c>
      <c r="D117" t="s">
        <v>616</v>
      </c>
      <c r="G117">
        <v>7690</v>
      </c>
    </row>
    <row r="118" spans="1:7" x14ac:dyDescent="0.25">
      <c r="A118" t="s">
        <v>29</v>
      </c>
      <c r="B118">
        <v>140104</v>
      </c>
      <c r="C118" t="s">
        <v>521</v>
      </c>
      <c r="G118" t="s">
        <v>575</v>
      </c>
    </row>
    <row r="119" spans="1:7" x14ac:dyDescent="0.25">
      <c r="A119" t="s">
        <v>29</v>
      </c>
      <c r="B119">
        <v>140112</v>
      </c>
      <c r="C119">
        <v>7190</v>
      </c>
      <c r="D119" t="s">
        <v>607</v>
      </c>
      <c r="G119">
        <v>7190</v>
      </c>
    </row>
    <row r="120" spans="1:7" x14ac:dyDescent="0.25">
      <c r="A120" t="s">
        <v>29</v>
      </c>
      <c r="B120">
        <v>140119</v>
      </c>
      <c r="C120">
        <v>7890</v>
      </c>
      <c r="D120" t="s">
        <v>581</v>
      </c>
      <c r="G120">
        <v>7890</v>
      </c>
    </row>
    <row r="121" spans="1:7" x14ac:dyDescent="0.25">
      <c r="A121" t="s">
        <v>29</v>
      </c>
      <c r="B121">
        <v>186961</v>
      </c>
      <c r="C121">
        <v>7590</v>
      </c>
      <c r="D121" t="s">
        <v>544</v>
      </c>
      <c r="G121">
        <v>7590</v>
      </c>
    </row>
    <row r="122" spans="1:7" x14ac:dyDescent="0.25">
      <c r="A122" t="s">
        <v>29</v>
      </c>
      <c r="B122">
        <v>186962</v>
      </c>
      <c r="C122">
        <v>7590</v>
      </c>
      <c r="D122" t="s">
        <v>580</v>
      </c>
      <c r="G122">
        <v>7590</v>
      </c>
    </row>
    <row r="123" spans="1:7" x14ac:dyDescent="0.25">
      <c r="A123" t="s">
        <v>29</v>
      </c>
      <c r="B123">
        <v>186963</v>
      </c>
      <c r="C123">
        <v>7690</v>
      </c>
      <c r="D123" t="s">
        <v>600</v>
      </c>
      <c r="G123">
        <v>7690</v>
      </c>
    </row>
    <row r="124" spans="1:7" x14ac:dyDescent="0.25">
      <c r="A124" t="s">
        <v>29</v>
      </c>
      <c r="B124">
        <v>186964</v>
      </c>
      <c r="C124">
        <v>7990</v>
      </c>
      <c r="D124" t="s">
        <v>576</v>
      </c>
      <c r="G124">
        <v>7990</v>
      </c>
    </row>
    <row r="125" spans="1:7" x14ac:dyDescent="0.25">
      <c r="A125" t="s">
        <v>29</v>
      </c>
      <c r="B125">
        <v>186968</v>
      </c>
      <c r="C125">
        <v>7590</v>
      </c>
      <c r="D125" t="s">
        <v>608</v>
      </c>
      <c r="G125">
        <v>7590</v>
      </c>
    </row>
    <row r="126" spans="1:7" x14ac:dyDescent="0.25">
      <c r="A126" t="s">
        <v>29</v>
      </c>
      <c r="B126">
        <v>186969</v>
      </c>
      <c r="C126">
        <v>7390</v>
      </c>
      <c r="D126" t="s">
        <v>599</v>
      </c>
      <c r="G126">
        <v>7390</v>
      </c>
    </row>
    <row r="127" spans="1:7" x14ac:dyDescent="0.25">
      <c r="A127" t="s">
        <v>29</v>
      </c>
      <c r="B127">
        <v>186970</v>
      </c>
      <c r="C127">
        <v>7890</v>
      </c>
      <c r="D127" t="s">
        <v>539</v>
      </c>
      <c r="G127">
        <v>7890</v>
      </c>
    </row>
    <row r="128" spans="1:7" x14ac:dyDescent="0.25">
      <c r="A128" t="s">
        <v>29</v>
      </c>
      <c r="B128">
        <v>140105</v>
      </c>
      <c r="C128" t="s">
        <v>521</v>
      </c>
      <c r="G128" t="s">
        <v>575</v>
      </c>
    </row>
    <row r="129" spans="1:7" x14ac:dyDescent="0.25">
      <c r="A129" t="s">
        <v>29</v>
      </c>
      <c r="B129">
        <v>140106</v>
      </c>
      <c r="C129">
        <v>7149</v>
      </c>
      <c r="D129" t="s">
        <v>579</v>
      </c>
      <c r="G129">
        <v>7149</v>
      </c>
    </row>
    <row r="130" spans="1:7" x14ac:dyDescent="0.25">
      <c r="A130" t="s">
        <v>29</v>
      </c>
      <c r="B130">
        <v>140107</v>
      </c>
      <c r="C130" t="s">
        <v>521</v>
      </c>
      <c r="G130" t="s">
        <v>575</v>
      </c>
    </row>
    <row r="131" spans="1:7" x14ac:dyDescent="0.25">
      <c r="A131" t="s">
        <v>29</v>
      </c>
      <c r="B131">
        <v>140108</v>
      </c>
      <c r="C131" t="s">
        <v>521</v>
      </c>
      <c r="G131" t="s">
        <v>575</v>
      </c>
    </row>
    <row r="132" spans="1:7" x14ac:dyDescent="0.25">
      <c r="A132" t="s">
        <v>29</v>
      </c>
      <c r="B132">
        <v>140115</v>
      </c>
      <c r="C132" t="s">
        <v>521</v>
      </c>
      <c r="G132" t="s">
        <v>575</v>
      </c>
    </row>
    <row r="133" spans="1:7" x14ac:dyDescent="0.25">
      <c r="A133" t="s">
        <v>29</v>
      </c>
      <c r="B133">
        <v>140116</v>
      </c>
      <c r="C133" t="s">
        <v>521</v>
      </c>
      <c r="G133" t="s">
        <v>575</v>
      </c>
    </row>
    <row r="134" spans="1:7" x14ac:dyDescent="0.25">
      <c r="A134" t="s">
        <v>29</v>
      </c>
      <c r="B134">
        <v>140117</v>
      </c>
      <c r="C134">
        <v>5590</v>
      </c>
      <c r="D134" t="s">
        <v>578</v>
      </c>
      <c r="G134">
        <v>5590</v>
      </c>
    </row>
    <row r="135" spans="1:7" x14ac:dyDescent="0.25">
      <c r="A135" t="s">
        <v>29</v>
      </c>
      <c r="B135">
        <v>140121</v>
      </c>
      <c r="C135">
        <v>7990</v>
      </c>
      <c r="D135" t="s">
        <v>609</v>
      </c>
      <c r="G135">
        <v>7990</v>
      </c>
    </row>
    <row r="136" spans="1:7" x14ac:dyDescent="0.25">
      <c r="A136" t="s">
        <v>29</v>
      </c>
      <c r="B136">
        <v>186980</v>
      </c>
      <c r="C136">
        <v>5590</v>
      </c>
      <c r="D136" t="s">
        <v>601</v>
      </c>
      <c r="G136">
        <v>5590</v>
      </c>
    </row>
    <row r="137" spans="1:7" x14ac:dyDescent="0.25">
      <c r="A137" t="s">
        <v>29</v>
      </c>
      <c r="B137">
        <v>140126</v>
      </c>
      <c r="C137">
        <v>8390</v>
      </c>
      <c r="D137" t="s">
        <v>545</v>
      </c>
      <c r="G137">
        <v>8390</v>
      </c>
    </row>
    <row r="138" spans="1:7" x14ac:dyDescent="0.25">
      <c r="A138" t="s">
        <v>29</v>
      </c>
      <c r="B138">
        <v>186973</v>
      </c>
      <c r="C138">
        <v>8390</v>
      </c>
      <c r="D138" t="s">
        <v>588</v>
      </c>
      <c r="G138">
        <v>8390</v>
      </c>
    </row>
    <row r="139" spans="1:7" x14ac:dyDescent="0.25">
      <c r="A139" t="s">
        <v>29</v>
      </c>
      <c r="B139">
        <v>141285</v>
      </c>
      <c r="C139" t="s">
        <v>521</v>
      </c>
      <c r="G139" t="s">
        <v>575</v>
      </c>
    </row>
    <row r="140" spans="1:7" x14ac:dyDescent="0.25">
      <c r="A140" t="s">
        <v>29</v>
      </c>
      <c r="B140">
        <v>203633</v>
      </c>
      <c r="C140" t="s">
        <v>521</v>
      </c>
      <c r="G140" t="s">
        <v>575</v>
      </c>
    </row>
    <row r="141" spans="1:7" x14ac:dyDescent="0.25">
      <c r="A141" t="s">
        <v>29</v>
      </c>
      <c r="B141">
        <v>140113</v>
      </c>
      <c r="C141">
        <v>5790</v>
      </c>
      <c r="D141" t="s">
        <v>531</v>
      </c>
      <c r="G141">
        <v>5790</v>
      </c>
    </row>
    <row r="142" spans="1:7" x14ac:dyDescent="0.25">
      <c r="A142" t="s">
        <v>29</v>
      </c>
      <c r="B142">
        <v>140111</v>
      </c>
      <c r="C142" t="s">
        <v>521</v>
      </c>
      <c r="G142" t="s">
        <v>575</v>
      </c>
    </row>
    <row r="143" spans="1:7" x14ac:dyDescent="0.25">
      <c r="A143" t="s">
        <v>29</v>
      </c>
      <c r="B143">
        <v>141025</v>
      </c>
      <c r="C143" t="s">
        <v>521</v>
      </c>
      <c r="G143" t="s">
        <v>575</v>
      </c>
    </row>
    <row r="144" spans="1:7" x14ac:dyDescent="0.25">
      <c r="A144" t="s">
        <v>29</v>
      </c>
      <c r="B144">
        <v>141026</v>
      </c>
      <c r="C144" t="s">
        <v>521</v>
      </c>
      <c r="G144" t="s">
        <v>575</v>
      </c>
    </row>
    <row r="145" spans="1:7" x14ac:dyDescent="0.25">
      <c r="A145" t="s">
        <v>29</v>
      </c>
      <c r="B145">
        <v>141032</v>
      </c>
      <c r="C145" t="s">
        <v>521</v>
      </c>
      <c r="G145" t="s">
        <v>575</v>
      </c>
    </row>
    <row r="146" spans="1:7" x14ac:dyDescent="0.25">
      <c r="A146" t="s">
        <v>29</v>
      </c>
      <c r="B146">
        <v>141034</v>
      </c>
      <c r="C146" t="s">
        <v>521</v>
      </c>
      <c r="G146" t="s">
        <v>575</v>
      </c>
    </row>
    <row r="147" spans="1:7" x14ac:dyDescent="0.25">
      <c r="A147" t="s">
        <v>29</v>
      </c>
      <c r="B147">
        <v>141004</v>
      </c>
      <c r="C147" t="s">
        <v>521</v>
      </c>
      <c r="G147" t="s">
        <v>575</v>
      </c>
    </row>
    <row r="148" spans="1:7" x14ac:dyDescent="0.25">
      <c r="A148" t="s">
        <v>29</v>
      </c>
      <c r="B148">
        <v>141005</v>
      </c>
      <c r="C148" t="s">
        <v>521</v>
      </c>
      <c r="G148" t="s">
        <v>575</v>
      </c>
    </row>
    <row r="149" spans="1:7" x14ac:dyDescent="0.25">
      <c r="A149" t="s">
        <v>29</v>
      </c>
      <c r="B149">
        <v>141007</v>
      </c>
      <c r="C149" t="s">
        <v>521</v>
      </c>
      <c r="G149" t="s">
        <v>575</v>
      </c>
    </row>
    <row r="150" spans="1:7" x14ac:dyDescent="0.25">
      <c r="A150" t="s">
        <v>29</v>
      </c>
      <c r="B150">
        <v>141008</v>
      </c>
      <c r="C150" t="s">
        <v>521</v>
      </c>
      <c r="G150" t="s">
        <v>575</v>
      </c>
    </row>
    <row r="151" spans="1:7" x14ac:dyDescent="0.25">
      <c r="A151" t="s">
        <v>29</v>
      </c>
      <c r="B151">
        <v>141010</v>
      </c>
      <c r="C151" t="s">
        <v>521</v>
      </c>
      <c r="G151" t="s">
        <v>575</v>
      </c>
    </row>
    <row r="152" spans="1:7" x14ac:dyDescent="0.25">
      <c r="A152" t="s">
        <v>29</v>
      </c>
      <c r="B152">
        <v>141018</v>
      </c>
      <c r="C152" t="s">
        <v>521</v>
      </c>
      <c r="G152" t="s">
        <v>575</v>
      </c>
    </row>
    <row r="153" spans="1:7" x14ac:dyDescent="0.25">
      <c r="A153" t="s">
        <v>29</v>
      </c>
      <c r="B153">
        <v>141009</v>
      </c>
      <c r="C153" t="s">
        <v>521</v>
      </c>
      <c r="G153" t="s">
        <v>575</v>
      </c>
    </row>
    <row r="154" spans="1:7" x14ac:dyDescent="0.25">
      <c r="A154" t="s">
        <v>29</v>
      </c>
      <c r="B154">
        <v>141284</v>
      </c>
      <c r="C154" t="s">
        <v>521</v>
      </c>
      <c r="G154" t="s">
        <v>575</v>
      </c>
    </row>
    <row r="155" spans="1:7" x14ac:dyDescent="0.25">
      <c r="A155" t="s">
        <v>29</v>
      </c>
      <c r="B155">
        <v>141286</v>
      </c>
      <c r="C155" t="s">
        <v>521</v>
      </c>
      <c r="G155" t="s">
        <v>575</v>
      </c>
    </row>
    <row r="156" spans="1:7" x14ac:dyDescent="0.25">
      <c r="A156" t="s">
        <v>29</v>
      </c>
      <c r="B156">
        <v>141287</v>
      </c>
      <c r="C156" t="s">
        <v>521</v>
      </c>
      <c r="G156" t="s">
        <v>575</v>
      </c>
    </row>
    <row r="157" spans="1:7" x14ac:dyDescent="0.25">
      <c r="A157" t="s">
        <v>29</v>
      </c>
      <c r="B157">
        <v>141288</v>
      </c>
      <c r="C157" t="s">
        <v>521</v>
      </c>
      <c r="G157" t="s">
        <v>575</v>
      </c>
    </row>
    <row r="158" spans="1:7" x14ac:dyDescent="0.25">
      <c r="A158" t="s">
        <v>29</v>
      </c>
      <c r="B158">
        <v>203641</v>
      </c>
      <c r="C158">
        <v>9690</v>
      </c>
      <c r="D158" t="s">
        <v>606</v>
      </c>
      <c r="G158">
        <v>9690</v>
      </c>
    </row>
    <row r="159" spans="1:7" x14ac:dyDescent="0.25">
      <c r="A159" t="s">
        <v>29</v>
      </c>
      <c r="B159">
        <v>203643</v>
      </c>
      <c r="C159">
        <v>6090</v>
      </c>
      <c r="D159" t="s">
        <v>527</v>
      </c>
      <c r="G159">
        <v>6090</v>
      </c>
    </row>
    <row r="160" spans="1:7" x14ac:dyDescent="0.25">
      <c r="A160" t="s">
        <v>29</v>
      </c>
      <c r="B160">
        <v>140128</v>
      </c>
      <c r="C160">
        <v>5390</v>
      </c>
      <c r="D160" t="s">
        <v>532</v>
      </c>
      <c r="G160">
        <v>5390</v>
      </c>
    </row>
    <row r="161" spans="1:7" x14ac:dyDescent="0.25">
      <c r="A161" t="s">
        <v>29</v>
      </c>
      <c r="B161">
        <v>141011</v>
      </c>
      <c r="C161" t="s">
        <v>521</v>
      </c>
      <c r="G161" t="s">
        <v>575</v>
      </c>
    </row>
    <row r="162" spans="1:7" x14ac:dyDescent="0.25">
      <c r="A162" t="s">
        <v>29</v>
      </c>
      <c r="B162">
        <v>141006</v>
      </c>
      <c r="C162" t="s">
        <v>521</v>
      </c>
      <c r="G162" t="s">
        <v>575</v>
      </c>
    </row>
    <row r="163" spans="1:7" x14ac:dyDescent="0.25">
      <c r="A163" t="s">
        <v>29</v>
      </c>
      <c r="B163">
        <v>141020</v>
      </c>
      <c r="C163" t="s">
        <v>521</v>
      </c>
      <c r="G163" t="s">
        <v>575</v>
      </c>
    </row>
    <row r="164" spans="1:7" x14ac:dyDescent="0.25">
      <c r="A164" t="s">
        <v>29</v>
      </c>
      <c r="B164">
        <v>203658</v>
      </c>
      <c r="C164" t="s">
        <v>521</v>
      </c>
      <c r="G164" t="s">
        <v>575</v>
      </c>
    </row>
    <row r="165" spans="1:7" x14ac:dyDescent="0.25">
      <c r="A165" t="s">
        <v>29</v>
      </c>
      <c r="B165">
        <v>203660</v>
      </c>
      <c r="C165" t="s">
        <v>521</v>
      </c>
      <c r="G165" t="s">
        <v>575</v>
      </c>
    </row>
    <row r="166" spans="1:7" x14ac:dyDescent="0.25">
      <c r="A166" t="s">
        <v>29</v>
      </c>
      <c r="B166">
        <v>203629</v>
      </c>
      <c r="C166">
        <v>9890</v>
      </c>
      <c r="D166" t="s">
        <v>511</v>
      </c>
      <c r="G166">
        <v>9890</v>
      </c>
    </row>
    <row r="167" spans="1:7" x14ac:dyDescent="0.25">
      <c r="A167" t="s">
        <v>29</v>
      </c>
      <c r="B167">
        <v>203637</v>
      </c>
      <c r="C167">
        <v>9590</v>
      </c>
      <c r="D167" t="s">
        <v>597</v>
      </c>
      <c r="G167">
        <v>9590</v>
      </c>
    </row>
    <row r="168" spans="1:7" x14ac:dyDescent="0.25">
      <c r="A168" t="s">
        <v>29</v>
      </c>
      <c r="B168">
        <v>140118</v>
      </c>
      <c r="C168">
        <v>10390</v>
      </c>
      <c r="D168" t="s">
        <v>604</v>
      </c>
      <c r="G168">
        <v>10390</v>
      </c>
    </row>
    <row r="169" spans="1:7" x14ac:dyDescent="0.25">
      <c r="A169" t="s">
        <v>29</v>
      </c>
      <c r="B169">
        <v>203635</v>
      </c>
      <c r="C169" t="s">
        <v>521</v>
      </c>
      <c r="G169" t="s">
        <v>575</v>
      </c>
    </row>
    <row r="170" spans="1:7" x14ac:dyDescent="0.25">
      <c r="A170" t="s">
        <v>29</v>
      </c>
      <c r="B170">
        <v>203627</v>
      </c>
      <c r="C170">
        <v>10690</v>
      </c>
      <c r="D170" t="s">
        <v>510</v>
      </c>
      <c r="G170">
        <v>10690</v>
      </c>
    </row>
    <row r="171" spans="1:7" x14ac:dyDescent="0.25">
      <c r="A171" t="s">
        <v>29</v>
      </c>
      <c r="B171">
        <v>203632</v>
      </c>
      <c r="C171">
        <v>9990</v>
      </c>
      <c r="D171" t="s">
        <v>598</v>
      </c>
      <c r="G171">
        <v>9990</v>
      </c>
    </row>
    <row r="172" spans="1:7" x14ac:dyDescent="0.25">
      <c r="A172" t="s">
        <v>29</v>
      </c>
      <c r="B172">
        <v>203638</v>
      </c>
      <c r="C172">
        <v>10590</v>
      </c>
      <c r="D172" t="s">
        <v>577</v>
      </c>
      <c r="G172">
        <v>10590</v>
      </c>
    </row>
    <row r="173" spans="1:7" x14ac:dyDescent="0.25">
      <c r="A173" t="s">
        <v>29</v>
      </c>
      <c r="B173">
        <v>203663</v>
      </c>
      <c r="C173" t="s">
        <v>521</v>
      </c>
      <c r="G173" t="s">
        <v>575</v>
      </c>
    </row>
    <row r="174" spans="1:7" x14ac:dyDescent="0.25">
      <c r="A174" t="s">
        <v>29</v>
      </c>
      <c r="B174">
        <v>203650</v>
      </c>
      <c r="C174" t="s">
        <v>521</v>
      </c>
      <c r="G174" t="s">
        <v>575</v>
      </c>
    </row>
    <row r="175" spans="1:7" x14ac:dyDescent="0.25">
      <c r="A175" t="s">
        <v>29</v>
      </c>
      <c r="B175">
        <v>203642</v>
      </c>
      <c r="C175" t="s">
        <v>521</v>
      </c>
      <c r="G175" t="s">
        <v>575</v>
      </c>
    </row>
    <row r="176" spans="1:7" x14ac:dyDescent="0.25">
      <c r="A176" t="s">
        <v>29</v>
      </c>
      <c r="B176">
        <v>203644</v>
      </c>
      <c r="C176" t="s">
        <v>521</v>
      </c>
      <c r="G176" t="s">
        <v>575</v>
      </c>
    </row>
    <row r="177" spans="1:7" x14ac:dyDescent="0.25">
      <c r="A177" t="s">
        <v>29</v>
      </c>
      <c r="B177">
        <v>140120</v>
      </c>
      <c r="C177" t="s">
        <v>521</v>
      </c>
      <c r="G177" t="s">
        <v>575</v>
      </c>
    </row>
    <row r="178" spans="1:7" x14ac:dyDescent="0.25">
      <c r="A178" t="s">
        <v>29</v>
      </c>
      <c r="B178">
        <v>141023</v>
      </c>
      <c r="C178" t="s">
        <v>521</v>
      </c>
      <c r="G178" t="s">
        <v>575</v>
      </c>
    </row>
    <row r="179" spans="1:7" x14ac:dyDescent="0.25">
      <c r="A179" t="s">
        <v>29</v>
      </c>
      <c r="B179">
        <v>140122</v>
      </c>
      <c r="C179" t="s">
        <v>521</v>
      </c>
      <c r="G179" t="s">
        <v>575</v>
      </c>
    </row>
    <row r="180" spans="1:7" x14ac:dyDescent="0.25">
      <c r="A180" t="s">
        <v>29</v>
      </c>
      <c r="B180">
        <v>203651</v>
      </c>
      <c r="C180" t="s">
        <v>521</v>
      </c>
      <c r="G180" t="s">
        <v>575</v>
      </c>
    </row>
    <row r="181" spans="1:7" x14ac:dyDescent="0.25">
      <c r="A181" t="s">
        <v>29</v>
      </c>
      <c r="B181">
        <v>203654</v>
      </c>
      <c r="C181">
        <v>11690</v>
      </c>
      <c r="D181" t="s">
        <v>522</v>
      </c>
      <c r="G181">
        <v>12590</v>
      </c>
    </row>
    <row r="182" spans="1:7" x14ac:dyDescent="0.25">
      <c r="A182" t="s">
        <v>29</v>
      </c>
      <c r="B182">
        <v>144121</v>
      </c>
      <c r="C182" t="s">
        <v>521</v>
      </c>
      <c r="G182" t="s">
        <v>575</v>
      </c>
    </row>
    <row r="183" spans="1:7" x14ac:dyDescent="0.25">
      <c r="A183" t="s">
        <v>29</v>
      </c>
      <c r="B183">
        <v>144122</v>
      </c>
      <c r="C183" t="s">
        <v>521</v>
      </c>
      <c r="G183" t="s">
        <v>575</v>
      </c>
    </row>
    <row r="184" spans="1:7" x14ac:dyDescent="0.25">
      <c r="A184" t="s">
        <v>29</v>
      </c>
      <c r="B184">
        <v>144126</v>
      </c>
      <c r="C184" t="s">
        <v>521</v>
      </c>
      <c r="G184" t="s">
        <v>575</v>
      </c>
    </row>
    <row r="185" spans="1:7" x14ac:dyDescent="0.25">
      <c r="A185" t="s">
        <v>29</v>
      </c>
      <c r="B185">
        <v>144127</v>
      </c>
      <c r="C185" t="s">
        <v>521</v>
      </c>
      <c r="G185" t="s">
        <v>575</v>
      </c>
    </row>
    <row r="186" spans="1:7" x14ac:dyDescent="0.25">
      <c r="A186" t="s">
        <v>29</v>
      </c>
      <c r="B186">
        <v>144128</v>
      </c>
      <c r="C186" t="s">
        <v>521</v>
      </c>
      <c r="G186" t="s">
        <v>575</v>
      </c>
    </row>
    <row r="187" spans="1:7" x14ac:dyDescent="0.25">
      <c r="A187" t="s">
        <v>29</v>
      </c>
      <c r="B187">
        <v>144129</v>
      </c>
      <c r="C187" t="s">
        <v>521</v>
      </c>
      <c r="G187" t="s">
        <v>575</v>
      </c>
    </row>
    <row r="188" spans="1:7" x14ac:dyDescent="0.25">
      <c r="A188" t="s">
        <v>29</v>
      </c>
      <c r="B188">
        <v>144123</v>
      </c>
      <c r="C188" t="s">
        <v>521</v>
      </c>
      <c r="G188" t="s">
        <v>575</v>
      </c>
    </row>
    <row r="189" spans="1:7" x14ac:dyDescent="0.25">
      <c r="A189" t="s">
        <v>29</v>
      </c>
      <c r="B189">
        <v>144124</v>
      </c>
      <c r="C189" t="s">
        <v>521</v>
      </c>
      <c r="G189" t="s">
        <v>575</v>
      </c>
    </row>
    <row r="190" spans="1:7" x14ac:dyDescent="0.25">
      <c r="A190" t="s">
        <v>29</v>
      </c>
      <c r="B190">
        <v>144125</v>
      </c>
      <c r="C190" t="s">
        <v>521</v>
      </c>
      <c r="G190" t="s">
        <v>575</v>
      </c>
    </row>
    <row r="191" spans="1:7" x14ac:dyDescent="0.25">
      <c r="A191" t="s">
        <v>29</v>
      </c>
      <c r="B191">
        <v>144163</v>
      </c>
      <c r="C191" t="s">
        <v>521</v>
      </c>
      <c r="G191" t="s">
        <v>575</v>
      </c>
    </row>
    <row r="192" spans="1:7" x14ac:dyDescent="0.25">
      <c r="A192" t="s">
        <v>29</v>
      </c>
      <c r="B192">
        <v>144130</v>
      </c>
      <c r="C192" t="s">
        <v>521</v>
      </c>
      <c r="G192" t="s">
        <v>575</v>
      </c>
    </row>
    <row r="193" spans="1:7" x14ac:dyDescent="0.25">
      <c r="A193" t="s">
        <v>29</v>
      </c>
      <c r="B193">
        <v>144131</v>
      </c>
      <c r="C193" t="s">
        <v>521</v>
      </c>
      <c r="G193" t="s">
        <v>575</v>
      </c>
    </row>
    <row r="194" spans="1:7" x14ac:dyDescent="0.25">
      <c r="A194" t="s">
        <v>29</v>
      </c>
      <c r="B194">
        <v>144174</v>
      </c>
      <c r="C194" t="s">
        <v>521</v>
      </c>
      <c r="G194" t="s">
        <v>575</v>
      </c>
    </row>
    <row r="195" spans="1:7" x14ac:dyDescent="0.25">
      <c r="A195" t="s">
        <v>29</v>
      </c>
      <c r="B195">
        <v>144175</v>
      </c>
      <c r="C195" t="s">
        <v>521</v>
      </c>
      <c r="G195" t="s">
        <v>575</v>
      </c>
    </row>
    <row r="196" spans="1:7" x14ac:dyDescent="0.25">
      <c r="A196" t="s">
        <v>29</v>
      </c>
      <c r="B196">
        <v>144176</v>
      </c>
      <c r="C196" t="s">
        <v>521</v>
      </c>
      <c r="G196" t="s">
        <v>575</v>
      </c>
    </row>
    <row r="197" spans="1:7" x14ac:dyDescent="0.25">
      <c r="A197" t="s">
        <v>29</v>
      </c>
      <c r="B197">
        <v>144178</v>
      </c>
      <c r="C197" t="s">
        <v>521</v>
      </c>
      <c r="G197" t="s">
        <v>575</v>
      </c>
    </row>
    <row r="198" spans="1:7" x14ac:dyDescent="0.25">
      <c r="A198" t="s">
        <v>29</v>
      </c>
      <c r="B198">
        <v>144177</v>
      </c>
      <c r="C198" t="s">
        <v>521</v>
      </c>
      <c r="G198" t="s">
        <v>575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BA9D74-050D-4286-B32F-8589EC2A1A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Кат</vt:lpstr>
      <vt:lpstr>Наценка</vt:lpstr>
      <vt:lpstr>Выгр Кат</vt:lpstr>
      <vt:lpstr>Ссылки</vt:lpstr>
      <vt:lpstr>Из ГУГЛа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User947</dc:creator>
  <cp:lastModifiedBy>Snab TimeTurbo</cp:lastModifiedBy>
  <dcterms:created xsi:type="dcterms:W3CDTF">2015-06-05T18:19:34Z</dcterms:created>
  <dcterms:modified xsi:type="dcterms:W3CDTF">2024-06-11T09:20:27Z</dcterms:modified>
</cp:coreProperties>
</file>