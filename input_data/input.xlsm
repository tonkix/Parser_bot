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8E2DF182-C966-45C1-9E14-A0038703C91E}" xr6:coauthVersionLast="47" xr6:coauthVersionMax="47" xr10:uidLastSave="{00000000-0000-0000-0000-000000000000}"/>
  <bookViews>
    <workbookView xWindow="28680" yWindow="-120" windowWidth="29040" windowHeight="15990" activeTab="4" xr2:uid="{00000000-000D-0000-FFFF-FFFF00000000}"/>
  </bookViews>
  <sheets>
    <sheet name="Кат" sheetId="1" r:id="rId1"/>
    <sheet name="Импорт" sheetId="6" r:id="rId2"/>
    <sheet name="Наценка" sheetId="3" r:id="rId3"/>
    <sheet name="Выгр Кат" sheetId="2" r:id="rId4"/>
    <sheet name="Ссылки" sheetId="4" r:id="rId5"/>
    <sheet name="Из ГУГЛа" sheetId="5" r:id="rId6"/>
  </sheets>
  <definedNames>
    <definedName name="_xlnm._FilterDatabase" localSheetId="3" hidden="1">'Выгр Кат'!$A$1:$O$22</definedName>
    <definedName name="_xlnm._FilterDatabase" localSheetId="1" hidden="1">Импорт!$A$2:$C$2</definedName>
    <definedName name="_xlnm._FilterDatabase" localSheetId="0" hidden="1">Кат!$A$2:$AE$23</definedName>
    <definedName name="ExternalData_1" localSheetId="5" hidden="1">'Из ГУГЛа'!$A$1:$S$1004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" l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Q16" i="1"/>
  <c r="P17" i="1"/>
  <c r="Q17" i="1"/>
  <c r="P18" i="1"/>
  <c r="Q18" i="1"/>
  <c r="P19" i="1"/>
  <c r="Q19" i="1"/>
  <c r="P20" i="1"/>
  <c r="Q20" i="1"/>
  <c r="P21" i="1"/>
  <c r="Q21" i="1"/>
  <c r="Q22" i="1"/>
  <c r="P23" i="1"/>
  <c r="Q23" i="1"/>
  <c r="Q3" i="1"/>
  <c r="G1" i="1"/>
  <c r="N3" i="2"/>
  <c r="O3" i="2"/>
  <c r="N4" i="2"/>
  <c r="O4" i="2"/>
  <c r="N5" i="2"/>
  <c r="O5" i="2"/>
  <c r="N6" i="2"/>
  <c r="O6" i="2"/>
  <c r="N7" i="2"/>
  <c r="E22" i="1" s="1"/>
  <c r="O7" i="2"/>
  <c r="N8" i="2"/>
  <c r="O8" i="2"/>
  <c r="N9" i="2"/>
  <c r="O9" i="2"/>
  <c r="N10" i="2"/>
  <c r="O10" i="2"/>
  <c r="N11" i="2"/>
  <c r="O11" i="2"/>
  <c r="N12" i="2"/>
  <c r="O12" i="2"/>
  <c r="N13" i="2"/>
  <c r="E8" i="1" s="1"/>
  <c r="O13" i="2"/>
  <c r="N14" i="2"/>
  <c r="E7" i="1" s="1"/>
  <c r="O14" i="2"/>
  <c r="N15" i="2"/>
  <c r="O15" i="2"/>
  <c r="N16" i="2"/>
  <c r="O16" i="2"/>
  <c r="N17" i="2"/>
  <c r="O17" i="2"/>
  <c r="N18" i="2"/>
  <c r="O18" i="2"/>
  <c r="N19" i="2"/>
  <c r="O19" i="2"/>
  <c r="N20" i="2"/>
  <c r="E12" i="1" s="1"/>
  <c r="O20" i="2"/>
  <c r="N21" i="2"/>
  <c r="O21" i="2"/>
  <c r="N22" i="2"/>
  <c r="O22" i="2"/>
  <c r="O2" i="2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3" i="1"/>
  <c r="F6" i="1"/>
  <c r="C14" i="1"/>
  <c r="C17" i="1"/>
  <c r="N2" i="2"/>
  <c r="C4" i="1"/>
  <c r="D4" i="1"/>
  <c r="E4" i="1"/>
  <c r="F4" i="1"/>
  <c r="D5" i="1"/>
  <c r="C6" i="1"/>
  <c r="D6" i="1"/>
  <c r="E6" i="1"/>
  <c r="C7" i="1"/>
  <c r="D7" i="1"/>
  <c r="F7" i="1"/>
  <c r="C8" i="1"/>
  <c r="D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C13" i="1"/>
  <c r="D13" i="1"/>
  <c r="E13" i="1"/>
  <c r="F13" i="1"/>
  <c r="C15" i="1"/>
  <c r="D15" i="1"/>
  <c r="E15" i="1"/>
  <c r="F15" i="1"/>
  <c r="C16" i="1"/>
  <c r="D16" i="1"/>
  <c r="E16" i="1"/>
  <c r="F16" i="1"/>
  <c r="D17" i="1"/>
  <c r="F17" i="1"/>
  <c r="C18" i="1"/>
  <c r="D18" i="1"/>
  <c r="E18" i="1"/>
  <c r="F18" i="1"/>
  <c r="C19" i="1"/>
  <c r="D19" i="1"/>
  <c r="E19" i="1"/>
  <c r="F19" i="1"/>
  <c r="C20" i="1"/>
  <c r="D20" i="1"/>
  <c r="E20" i="1"/>
  <c r="F20" i="1"/>
  <c r="C21" i="1"/>
  <c r="D21" i="1"/>
  <c r="E21" i="1"/>
  <c r="F21" i="1"/>
  <c r="C22" i="1"/>
  <c r="D22" i="1"/>
  <c r="F22" i="1"/>
  <c r="C23" i="1"/>
  <c r="D23" i="1"/>
  <c r="E23" i="1"/>
  <c r="F23" i="1"/>
  <c r="L4" i="1"/>
  <c r="M4" i="1"/>
  <c r="L5" i="1"/>
  <c r="M5" i="1"/>
  <c r="L6" i="1"/>
  <c r="N6" i="1" s="1"/>
  <c r="M6" i="1"/>
  <c r="L7" i="1"/>
  <c r="N7" i="1" s="1"/>
  <c r="M7" i="1"/>
  <c r="L8" i="1"/>
  <c r="N8" i="1" s="1"/>
  <c r="M8" i="1"/>
  <c r="L9" i="1"/>
  <c r="N9" i="1" s="1"/>
  <c r="M9" i="1"/>
  <c r="L10" i="1"/>
  <c r="N10" i="1" s="1"/>
  <c r="M10" i="1"/>
  <c r="L11" i="1"/>
  <c r="N11" i="1" s="1"/>
  <c r="M11" i="1"/>
  <c r="L12" i="1"/>
  <c r="N12" i="1" s="1"/>
  <c r="M12" i="1"/>
  <c r="L13" i="1"/>
  <c r="N13" i="1" s="1"/>
  <c r="M13" i="1"/>
  <c r="L15" i="1"/>
  <c r="N15" i="1" s="1"/>
  <c r="M15" i="1"/>
  <c r="L16" i="1"/>
  <c r="N16" i="1" s="1"/>
  <c r="M16" i="1"/>
  <c r="L17" i="1"/>
  <c r="N17" i="1" s="1"/>
  <c r="M17" i="1"/>
  <c r="L18" i="1"/>
  <c r="N18" i="1" s="1"/>
  <c r="M18" i="1"/>
  <c r="L19" i="1"/>
  <c r="N19" i="1" s="1"/>
  <c r="M19" i="1"/>
  <c r="L20" i="1"/>
  <c r="N20" i="1" s="1"/>
  <c r="M20" i="1"/>
  <c r="L21" i="1"/>
  <c r="N21" i="1" s="1"/>
  <c r="M21" i="1"/>
  <c r="L22" i="1"/>
  <c r="M22" i="1"/>
  <c r="L23" i="1"/>
  <c r="N23" i="1" s="1"/>
  <c r="M23" i="1"/>
  <c r="M3" i="1"/>
  <c r="L3" i="1"/>
  <c r="F3" i="1"/>
  <c r="E3" i="1"/>
  <c r="D3" i="1"/>
  <c r="C3" i="1"/>
  <c r="J23" i="1"/>
  <c r="J21" i="1"/>
  <c r="J20" i="1"/>
  <c r="J19" i="1"/>
  <c r="J18" i="1"/>
  <c r="J17" i="1"/>
  <c r="J16" i="1"/>
  <c r="J15" i="1"/>
  <c r="J13" i="1"/>
  <c r="J12" i="1"/>
  <c r="J11" i="1"/>
  <c r="J10" i="1"/>
  <c r="J9" i="1"/>
  <c r="J8" i="1"/>
  <c r="J7" i="1"/>
  <c r="J6" i="1"/>
  <c r="M14" i="1" l="1"/>
  <c r="F12" i="1"/>
  <c r="F14" i="1"/>
  <c r="F5" i="1"/>
  <c r="E17" i="1"/>
  <c r="E14" i="1"/>
  <c r="E5" i="1"/>
  <c r="D14" i="1"/>
  <c r="L14" i="1"/>
  <c r="N14" i="1" s="1"/>
  <c r="C5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3" i="1"/>
  <c r="V1" i="1" l="1"/>
  <c r="H22" i="1" l="1"/>
  <c r="AD22" i="1"/>
  <c r="K23" i="1"/>
  <c r="AD23" i="1"/>
  <c r="J27" i="1"/>
  <c r="J26" i="1"/>
  <c r="O23" i="1" l="1"/>
  <c r="N22" i="1"/>
  <c r="T23" i="1"/>
  <c r="U23" i="1"/>
  <c r="AE23" i="1" l="1"/>
  <c r="I23" i="1"/>
  <c r="K1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3" i="1"/>
  <c r="K21" i="1" l="1"/>
  <c r="O21" i="1" s="1"/>
  <c r="K20" i="1"/>
  <c r="O20" i="1" s="1"/>
  <c r="K19" i="1"/>
  <c r="O19" i="1" s="1"/>
  <c r="K18" i="1"/>
  <c r="O18" i="1" s="1"/>
  <c r="K17" i="1"/>
  <c r="O17" i="1" s="1"/>
  <c r="K16" i="1"/>
  <c r="K15" i="1"/>
  <c r="O15" i="1" s="1"/>
  <c r="K13" i="1"/>
  <c r="O13" i="1" s="1"/>
  <c r="K12" i="1"/>
  <c r="O12" i="1" s="1"/>
  <c r="K11" i="1"/>
  <c r="O11" i="1" s="1"/>
  <c r="K10" i="1"/>
  <c r="O10" i="1" s="1"/>
  <c r="K9" i="1"/>
  <c r="O9" i="1" s="1"/>
  <c r="K8" i="1"/>
  <c r="O8" i="1" s="1"/>
  <c r="K7" i="1"/>
  <c r="O7" i="1" s="1"/>
  <c r="K6" i="1"/>
  <c r="O6" i="1" s="1"/>
  <c r="O16" i="1" l="1"/>
  <c r="P16" i="1"/>
  <c r="H1" i="1"/>
  <c r="T15" i="1" l="1"/>
  <c r="U15" i="1"/>
  <c r="T16" i="1"/>
  <c r="U16" i="1"/>
  <c r="U17" i="1"/>
  <c r="T17" i="1"/>
  <c r="T21" i="1"/>
  <c r="U21" i="1"/>
  <c r="T20" i="1"/>
  <c r="U20" i="1"/>
  <c r="T19" i="1"/>
  <c r="U19" i="1"/>
  <c r="T18" i="1"/>
  <c r="U18" i="1"/>
  <c r="T13" i="1"/>
  <c r="U13" i="1"/>
  <c r="U12" i="1"/>
  <c r="T12" i="1"/>
  <c r="T10" i="1"/>
  <c r="U10" i="1"/>
  <c r="T8" i="1"/>
  <c r="U8" i="1"/>
  <c r="T11" i="1"/>
  <c r="U11" i="1"/>
  <c r="T9" i="1"/>
  <c r="U9" i="1"/>
  <c r="T7" i="1"/>
  <c r="U7" i="1"/>
  <c r="T6" i="1"/>
  <c r="U6" i="1"/>
  <c r="K4" i="1"/>
  <c r="K5" i="1"/>
  <c r="K3" i="1"/>
  <c r="O3" i="1" l="1"/>
  <c r="P3" i="1"/>
  <c r="O5" i="1"/>
  <c r="P5" i="1"/>
  <c r="O4" i="1"/>
  <c r="P4" i="1"/>
  <c r="I15" i="1"/>
  <c r="H4" i="1"/>
  <c r="H5" i="1"/>
  <c r="H3" i="1"/>
  <c r="I6" i="1"/>
  <c r="I9" i="1"/>
  <c r="N5" i="1" l="1"/>
  <c r="N4" i="1"/>
  <c r="N3" i="1"/>
  <c r="I13" i="1"/>
  <c r="AE19" i="1"/>
  <c r="AE17" i="1"/>
  <c r="AE20" i="1"/>
  <c r="AE6" i="1"/>
  <c r="AE9" i="1"/>
  <c r="AE12" i="1"/>
  <c r="AE10" i="1"/>
  <c r="AE15" i="1"/>
  <c r="I19" i="1"/>
  <c r="I20" i="1"/>
  <c r="I12" i="1"/>
  <c r="AE8" i="1"/>
  <c r="AE16" i="1"/>
  <c r="AE18" i="1"/>
  <c r="I14" i="1"/>
  <c r="J14" i="1" s="1"/>
  <c r="K14" i="1" s="1"/>
  <c r="AE14" i="1"/>
  <c r="I21" i="1"/>
  <c r="AE21" i="1"/>
  <c r="I10" i="1"/>
  <c r="I3" i="1"/>
  <c r="J3" i="1" s="1"/>
  <c r="AE3" i="1"/>
  <c r="I4" i="1"/>
  <c r="J4" i="1" s="1"/>
  <c r="AE4" i="1"/>
  <c r="I5" i="1"/>
  <c r="J5" i="1" s="1"/>
  <c r="AE5" i="1"/>
  <c r="I17" i="1"/>
  <c r="AE7" i="1"/>
  <c r="I11" i="1"/>
  <c r="AE11" i="1"/>
  <c r="AE13" i="1"/>
  <c r="I16" i="1"/>
  <c r="I8" i="1"/>
  <c r="I18" i="1"/>
  <c r="I7" i="1"/>
  <c r="O14" i="1" l="1"/>
  <c r="T4" i="1"/>
  <c r="U4" i="1"/>
  <c r="T5" i="1"/>
  <c r="U5" i="1"/>
  <c r="U3" i="1"/>
  <c r="T3" i="1"/>
  <c r="T14" i="1"/>
  <c r="U14" i="1"/>
  <c r="AE22" i="1" l="1"/>
  <c r="AE1" i="1" s="1"/>
  <c r="I22" i="1"/>
  <c r="J22" i="1" s="1"/>
  <c r="K22" i="1" s="1"/>
  <c r="O22" i="1" l="1"/>
  <c r="P22" i="1"/>
  <c r="U22" i="1" s="1"/>
  <c r="U1" i="1" s="1"/>
  <c r="T22" i="1"/>
  <c r="T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CDA102-EA3A-4DC6-8DDA-E66F2A5CA0DF}" keepAlive="1" name="Запрос — 100 деталей (2)" description="Соединение с запросом &quot;100 деталей (2)&quot; в книге." type="5" refreshedVersion="7" background="1" saveData="1">
    <dbPr connection="Provider=Microsoft.Mashup.OleDb.1;Data Source=$Workbook$;Location=100 деталей (2);Extended Properties=&quot;&quot;" command="SELECT * FROM [100 деталей (2)]"/>
  </connection>
</connections>
</file>

<file path=xl/sharedStrings.xml><?xml version="1.0" encoding="utf-8"?>
<sst xmlns="http://schemas.openxmlformats.org/spreadsheetml/2006/main" count="292" uniqueCount="112">
  <si>
    <t>ID</t>
  </si>
  <si>
    <t>Под заказ</t>
  </si>
  <si>
    <t>Поставщик</t>
  </si>
  <si>
    <t>1</t>
  </si>
  <si>
    <t>Маховик (облегчённый, алюминиевый) для ВАЗ 2101-2107 (с 16-ти клапанным двигателем)</t>
  </si>
  <si>
    <t>100 деталей</t>
  </si>
  <si>
    <t>Маховик необлегчённый для ВАЗ 2108-21099, 2113-2115 (под сцепление 2110-2112 с КПП 2109)</t>
  </si>
  <si>
    <t>4</t>
  </si>
  <si>
    <t>Розница</t>
  </si>
  <si>
    <t>Закуп</t>
  </si>
  <si>
    <t>Наименование</t>
  </si>
  <si>
    <t>Склад</t>
  </si>
  <si>
    <t>Розн</t>
  </si>
  <si>
    <t>Факт</t>
  </si>
  <si>
    <t>Сред</t>
  </si>
  <si>
    <t>снят</t>
  </si>
  <si>
    <t>https://motorring.ru/product/5803-mahovik-oblegchennyy-100detaley-dlya-vaz-2110-2112</t>
  </si>
  <si>
    <t>https://motorring.ru/product/31895-mahovik-oblegchennyy-100detaley-pod-sceplenie-2123-dlya-2101-4x4</t>
  </si>
  <si>
    <t>https://motorring.ru/product/5805-mahovik-oblegchennyy-4kg-sceplenie-2110-vaz-2108-21099-2113-2115</t>
  </si>
  <si>
    <t>https://motorring.ru/product/8244-mahovik-oblegchennyy-100detaley-dlya-vaz-2108-21099</t>
  </si>
  <si>
    <t>https://motorring.ru/product/29296-mahovik-oblegchennyy-100detaley-turbo-pod-sceplenie-2110</t>
  </si>
  <si>
    <t>https://motorring.ru/product/14199-mahovik-oblegchennyy-100detaley-pod-trosovuyu-korobku</t>
  </si>
  <si>
    <t>https://motorring.ru/product/31898-mahovik-oblegchennyy-100detaley-8v-2101</t>
  </si>
  <si>
    <t>https://motorring.ru/product/37236-mahovik-oblegchennyy-stalnoy-100detaley-vaz-2110-2112</t>
  </si>
  <si>
    <t>https://motorring.ru/product/37234-mahovik-oblegchennyy-sceplenie-2123-100detaley-lada-vesta</t>
  </si>
  <si>
    <t>https://motorring.ru/product/40316-mahovik-oblegchennyy-stalnoy-100detaley-tros-kpp-granta</t>
  </si>
  <si>
    <t>https://motorring.ru/product/1025-mahovik-oblegchennyy-100detaley-215mm-dlya-shevrole-niva</t>
  </si>
  <si>
    <t>https://motorring.ru/product/1026-mahovik-oblegchennyy-100detaley-turbo-215mm-dlya-shevrole</t>
  </si>
  <si>
    <t>https://motorring.ru/product/31897-mahovik-oblegchennyy-100detaley-16v-2101</t>
  </si>
  <si>
    <t>https://motorring.ru/product/37235-mahovik-oblegchennyy-100detaley-lada-vesta</t>
  </si>
  <si>
    <t>https://motorring.ru/product/5807-mahovik-oblegchennyy-100detaley-pod-sceplenie-2123-dlya-2101</t>
  </si>
  <si>
    <t>Column1</t>
  </si>
  <si>
    <t>Column2</t>
  </si>
  <si>
    <t>Column3</t>
  </si>
  <si>
    <t>Column4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</si>
  <si>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</si>
  <si>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</si>
  <si>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</si>
  <si>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</si>
  <si>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</si>
  <si>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</si>
  <si>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</si>
  <si>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</si>
  <si>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</si>
  <si>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</si>
  <si>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</si>
  <si>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//*[@id="e-curr-price"]/text()</t>
  </si>
  <si>
    <t>//*[@class="p_club_price pb5"]/text()</t>
  </si>
  <si>
    <t>Ссылка</t>
  </si>
  <si>
    <t>Цена</t>
  </si>
  <si>
    <t>#VALUE!</t>
  </si>
  <si>
    <t>ЕСЛИОШИБКА(ПСТР(ARRAY_CONSTRAIN(IMPORTXML($C3; E$1);1;2);15;100);ARRAY_CONSTRAIN(IMPORTXML($C3; D$1);1;2))</t>
  </si>
  <si>
    <t>Разн</t>
  </si>
  <si>
    <t>Рек</t>
  </si>
  <si>
    <t>https://ozon.ru/t/3M4ylXA</t>
  </si>
  <si>
    <t>https://ozon.ru/t/GL0aKzV</t>
  </si>
  <si>
    <t>https://ozon.ru/t/MweZGDp</t>
  </si>
  <si>
    <t>https://ozon.ru/t/3M4dzw5</t>
  </si>
  <si>
    <t>https://ozon.ru/t/nB7WYA1</t>
  </si>
  <si>
    <t>https://ozon.ru/t/e8VaMgl</t>
  </si>
  <si>
    <t>https://ozon.ru/t/g0qlELN</t>
  </si>
  <si>
    <t>https://ozon.ru/t/nB7W3jL</t>
  </si>
  <si>
    <t>https://ozon.ru/t/GL0aDgV</t>
  </si>
  <si>
    <t>https://ozon.ru/t/nB7Wg2N</t>
  </si>
  <si>
    <t>%</t>
  </si>
  <si>
    <t>MR</t>
  </si>
  <si>
    <t>//*[@class="ol9 o7l"]</t>
  </si>
  <si>
    <t>https://ozon.ru/t/g0qPN98</t>
  </si>
  <si>
    <t>#VALUE!_1</t>
  </si>
  <si>
    <t>Column19</t>
  </si>
  <si>
    <t>https://docs.google.com/spreadsheets/d/1f8_y-lcqVEuKpceVw_F97NEKzue5YmQtx8GIXUS_2B8/export?format=xlsx</t>
  </si>
  <si>
    <t>#N/A</t>
  </si>
  <si>
    <t>Код</t>
  </si>
  <si>
    <t>Кат. Номер</t>
  </si>
  <si>
    <t>Ст З</t>
  </si>
  <si>
    <t>Ст Р</t>
  </si>
  <si>
    <t>Наименование элемента</t>
  </si>
  <si>
    <t>Y / N</t>
  </si>
  <si>
    <t>Ссылка на конкурентов</t>
  </si>
  <si>
    <t>Кол-во</t>
  </si>
  <si>
    <t>Маховик "Турбо" облегченный для ВАЗ 2108-21099, 2113-2115 (сцепление 2110)</t>
  </si>
  <si>
    <t>Y</t>
  </si>
  <si>
    <t>Маховик "Турбо" облегченный для Шевроле Нива (сцепление 2123)</t>
  </si>
  <si>
    <t>Маховик "Турбо" облегченный, тяжёлый для ВАЗ 2101-2107, Лада Нива 4х4 (16-ти клапанный двигатель)</t>
  </si>
  <si>
    <t>0</t>
  </si>
  <si>
    <t>Маховик облегченный для ВАЗ 2101-2107, Лада Нива 4х4 (сцепление 2123, 16-ти клапанный двигатель)</t>
  </si>
  <si>
    <t>Маховик облегченный для ВАЗ 2108-21099, 2113-2115 (сцепление 2110)</t>
  </si>
  <si>
    <t>Маховик облегченный для ВАЗ 2110-2112</t>
  </si>
  <si>
    <t>Маховик облегченный для Лада Веста</t>
  </si>
  <si>
    <t>Маховик облегченный тяжелый для Лада Веста (сцепление 2123)</t>
  </si>
  <si>
    <t>Маховик облегченный, балансированный для ВАЗ 2101-2107 (16-ти клапанный двигатель)</t>
  </si>
  <si>
    <t>Маховик облегченный, балансированный для ВАЗ 2108-21099, 2113-2115</t>
  </si>
  <si>
    <t>Маховик облегченный, балансированный для ВАЗ 2108-21099, 2113-2115 (сцепление 2110)</t>
  </si>
  <si>
    <t>Маховик облегченный, балансированный для ВАЗ 2110-2112</t>
  </si>
  <si>
    <t>Маховик облегченный, балансированный для ВАЗ 2110-2112, Лада (Калина, Приора, Гранта)</t>
  </si>
  <si>
    <t>Маховик облегченный, балансированный для Лада Гранта</t>
  </si>
  <si>
    <t>Маховик облегченный, балансированный для Лада Нива 4х4</t>
  </si>
  <si>
    <t>Маховик облегченный, балансированный для Лада Приора 2, Калина 2, Гранта, Веста (тросовая КПП)</t>
  </si>
  <si>
    <t>Маховик облегченный, балансированный для Шевроле Нива</t>
  </si>
  <si>
    <t/>
  </si>
  <si>
    <t>Каталожный номер</t>
  </si>
  <si>
    <t>Артикул поставщика</t>
  </si>
  <si>
    <t>Из ГУГЛа</t>
  </si>
  <si>
    <t>Коэф.</t>
  </si>
  <si>
    <t>Доп.</t>
  </si>
  <si>
    <t>4490 снят</t>
  </si>
  <si>
    <t>СВОД</t>
  </si>
  <si>
    <t>Данные</t>
  </si>
  <si>
    <t>Переменные</t>
  </si>
  <si>
    <t>(дубль) Маховик облегченный тяжёлый для ВАЗ 2101-2107, Лада Нива 4х4 (сцепление 2123, 16-ти клапанный двигатель)</t>
  </si>
  <si>
    <t>N</t>
  </si>
  <si>
    <t>Маховик облегченный, балансированный для ВАЗ 2101-2107 (8-ми клапанный двигатель)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</si>
</sst>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sz val="10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0"/>
      <color theme="1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b/>
      <sz val="10"/>
      <color theme="1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9C0006"/>
      <name val="Calibri"/>
      <family val="2"/>
      <charset val="204"/>
    </font>
    <font>
      <i/>
      <sz val="10"/>
      <color rgb="FF7F7F7F"/>
      <name val="Calibri"/>
      <family val="2"/>
      <charset val="204"/>
    </font>
    <font>
      <sz val="10"/>
      <color rgb="FFFA7D00"/>
      <name val="Calibri"/>
      <family val="2"/>
      <charset val="204"/>
    </font>
    <font>
      <sz val="10"/>
      <color rgb="FFFF0000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theme="1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6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7" fillId="32" borderId="1" applyNumberFormat="0" applyFont="0" applyBorder="0" applyAlignment="0" applyProtection="0"/>
    <xf numFmtId="0" fontId="18" fillId="27" borderId="2" applyNumberFormat="0" applyFont="0" applyBorder="0" applyAlignment="0" applyProtection="0"/>
    <xf numFmtId="0" fontId="19" fillId="33" borderId="3" applyNumberFormat="0" applyFont="0" applyBorder="0" applyAlignment="0" applyProtection="0"/>
    <xf numFmtId="0" fontId="19" fillId="0" borderId="0" applyNumberFormat="0" applyFill="0" applyBorder="0" applyAlignment="0" applyProtection="0"/>
    <xf numFmtId="0" fontId="27" fillId="2" borderId="0" applyNumberFormat="0" applyBorder="0" applyAlignment="0" applyProtection="0"/>
    <xf numFmtId="0" fontId="23" fillId="3" borderId="0" applyNumberFormat="0" applyBorder="0" applyAlignment="0" applyProtection="0"/>
    <xf numFmtId="0" fontId="22" fillId="4" borderId="0" applyNumberFormat="0" applyBorder="0" applyAlignment="0" applyProtection="0"/>
    <xf numFmtId="0" fontId="14" fillId="5" borderId="4" applyNumberFormat="0" applyAlignment="0" applyProtection="0"/>
    <xf numFmtId="0" fontId="15" fillId="6" borderId="5" applyNumberFormat="0" applyAlignment="0" applyProtection="0"/>
    <xf numFmtId="0" fontId="16" fillId="6" borderId="4" applyNumberFormat="0" applyAlignment="0" applyProtection="0"/>
    <xf numFmtId="0" fontId="25" fillId="0" borderId="6" applyNumberFormat="0" applyFill="0" applyAlignment="0" applyProtection="0"/>
    <xf numFmtId="0" fontId="21" fillId="7" borderId="7" applyNumberFormat="0" applyAlignment="0" applyProtection="0"/>
    <xf numFmtId="0" fontId="2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4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9" fillId="0" borderId="14" applyNumberFormat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0" fillId="0" borderId="15" applyNumberForma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1" fillId="0" borderId="16" applyNumberFormat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9" fillId="29" borderId="17" applyNumberFormat="0" applyProtection="0">
      <alignment horizontal="center" vertical="center"/>
    </xf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2" fillId="30" borderId="18" applyNumberForma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3" fillId="3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/>
    <xf numFmtId="0" fontId="29" fillId="0" borderId="14" applyFill="0" applyAlignment="0" applyProtection="0"/>
  </cellStyleXfs>
  <cellXfs count="60">
    <xf numFmtId="0" fontId="0" fillId="0" borderId="0" xfId="0"/>
    <xf numFmtId="1" fontId="4" fillId="0" borderId="10" xfId="0" applyNumberFormat="1" applyFont="1" applyBorder="1" applyAlignment="1">
      <alignment horizontal="right" wrapText="1"/>
    </xf>
    <xf numFmtId="2" fontId="4" fillId="0" borderId="10" xfId="0" applyNumberFormat="1" applyFont="1" applyBorder="1" applyAlignment="1">
      <alignment wrapText="1"/>
    </xf>
    <xf numFmtId="2" fontId="4" fillId="0" borderId="10" xfId="0" applyNumberFormat="1" applyFont="1" applyBorder="1" applyAlignment="1">
      <alignment horizontal="left" wrapText="1"/>
    </xf>
    <xf numFmtId="2" fontId="0" fillId="0" borderId="0" xfId="0" applyNumberFormat="1"/>
    <xf numFmtId="2" fontId="5" fillId="0" borderId="10" xfId="43" applyNumberFormat="1" applyBorder="1" applyAlignment="1">
      <alignment horizontal="left" wrapText="1"/>
    </xf>
    <xf numFmtId="0" fontId="6" fillId="0" borderId="0" xfId="44" applyAlignment="1">
      <alignment horizontal="left" vertical="top" wrapText="1"/>
    </xf>
    <xf numFmtId="0" fontId="7" fillId="0" borderId="0" xfId="44" applyFont="1" applyAlignment="1">
      <alignment horizontal="left" vertical="top" wrapText="1"/>
    </xf>
    <xf numFmtId="1" fontId="0" fillId="0" borderId="0" xfId="0" applyNumberFormat="1"/>
    <xf numFmtId="1" fontId="4" fillId="0" borderId="10" xfId="0" applyNumberFormat="1" applyFont="1" applyBorder="1" applyAlignment="1">
      <alignment wrapText="1"/>
    </xf>
    <xf numFmtId="2" fontId="4" fillId="27" borderId="10" xfId="0" applyNumberFormat="1" applyFont="1" applyFill="1" applyBorder="1" applyAlignment="1">
      <alignment wrapText="1"/>
    </xf>
    <xf numFmtId="2" fontId="4" fillId="27" borderId="10" xfId="0" applyNumberFormat="1" applyFont="1" applyFill="1" applyBorder="1" applyAlignment="1">
      <alignment horizontal="left" wrapText="1"/>
    </xf>
    <xf numFmtId="2" fontId="23" fillId="3" borderId="10" xfId="8" applyNumberFormat="1" applyBorder="1" applyAlignment="1">
      <alignment horizontal="left" wrapText="1"/>
    </xf>
    <xf numFmtId="9" fontId="0" fillId="0" borderId="0" xfId="1" applyFont="1"/>
    <xf numFmtId="2" fontId="4" fillId="0" borderId="12" xfId="0" applyNumberFormat="1" applyFont="1" applyBorder="1" applyAlignment="1">
      <alignment horizontal="left" wrapText="1"/>
    </xf>
    <xf numFmtId="10" fontId="0" fillId="0" borderId="0" xfId="1" applyNumberFormat="1" applyFont="1"/>
    <xf numFmtId="9" fontId="0" fillId="27" borderId="11" xfId="0" applyNumberFormat="1" applyFill="1" applyBorder="1"/>
    <xf numFmtId="2" fontId="5" fillId="0" borderId="12" xfId="43" applyNumberFormat="1" applyBorder="1" applyAlignment="1">
      <alignment horizontal="left" wrapText="1"/>
    </xf>
    <xf numFmtId="2" fontId="0" fillId="35" borderId="11" xfId="0" applyNumberFormat="1" applyFill="1" applyBorder="1"/>
    <xf numFmtId="0" fontId="28" fillId="0" borderId="19" xfId="0" applyFont="1" applyBorder="1" applyAlignment="1">
      <alignment horizontal="right" wrapText="1"/>
    </xf>
    <xf numFmtId="0" fontId="28" fillId="0" borderId="20" xfId="0" applyFont="1" applyBorder="1" applyAlignment="1">
      <alignment horizontal="right" wrapText="1"/>
    </xf>
    <xf numFmtId="0" fontId="28" fillId="0" borderId="21" xfId="0" applyFont="1" applyBorder="1" applyAlignment="1">
      <alignment horizontal="right" wrapText="1"/>
    </xf>
    <xf numFmtId="1" fontId="4" fillId="0" borderId="10" xfId="0" applyNumberFormat="1" applyFont="1" applyBorder="1" applyAlignment="1">
      <alignment horizontal="left" wrapText="1"/>
    </xf>
    <xf numFmtId="1" fontId="9" fillId="0" borderId="14" xfId="19" applyNumberFormat="1" applyAlignment="1">
      <alignment horizontal="left" wrapText="1"/>
    </xf>
    <xf numFmtId="1" fontId="4" fillId="0" borderId="10" xfId="0" applyNumberFormat="1" applyFont="1" applyBorder="1" applyAlignment="1">
      <alignment horizontal="center" vertical="center" wrapText="1"/>
    </xf>
    <xf numFmtId="1" fontId="4" fillId="0" borderId="12" xfId="0" applyNumberFormat="1" applyFont="1" applyBorder="1" applyAlignment="1">
      <alignment horizontal="center" vertical="center" wrapText="1"/>
    </xf>
    <xf numFmtId="9" fontId="0" fillId="35" borderId="11" xfId="1" applyFont="1" applyFill="1" applyBorder="1"/>
    <xf numFmtId="2" fontId="4" fillId="0" borderId="22" xfId="0" applyNumberFormat="1" applyFont="1" applyBorder="1" applyAlignment="1">
      <alignment horizontal="left" wrapText="1"/>
    </xf>
    <xf numFmtId="0" fontId="5" fillId="0" borderId="11" xfId="43" applyBorder="1" applyAlignment="1"/>
    <xf numFmtId="0" fontId="28" fillId="0" borderId="11" xfId="0" applyFont="1" applyBorder="1" applyAlignment="1"/>
    <xf numFmtId="2" fontId="5" fillId="0" borderId="13" xfId="43" applyNumberFormat="1" applyBorder="1" applyAlignment="1">
      <alignment horizontal="left" wrapText="1"/>
    </xf>
    <xf numFmtId="1" fontId="4" fillId="0" borderId="11" xfId="0" applyNumberFormat="1" applyFont="1" applyBorder="1" applyAlignment="1">
      <alignment horizontal="left" wrapText="1"/>
    </xf>
    <xf numFmtId="2" fontId="0" fillId="27" borderId="0" xfId="0" applyNumberFormat="1" applyFill="1"/>
    <xf numFmtId="0" fontId="8" fillId="0" borderId="11" xfId="0" applyFont="1" applyBorder="1" applyAlignment="1">
      <alignment horizontal="center" vertical="center" wrapText="1"/>
    </xf>
    <xf numFmtId="2" fontId="8" fillId="0" borderId="11" xfId="0" applyNumberFormat="1" applyFont="1" applyBorder="1" applyAlignment="1">
      <alignment horizontal="center" vertical="center" wrapText="1"/>
    </xf>
    <xf numFmtId="9" fontId="2" fillId="0" borderId="11" xfId="1" applyFont="1" applyBorder="1" applyAlignment="1">
      <alignment wrapText="1"/>
    </xf>
    <xf numFmtId="1" fontId="0" fillId="0" borderId="11" xfId="0" applyNumberFormat="1" applyBorder="1" applyAlignment="1" applyProtection="1">
      <alignment horizontal="left" vertical="top" wrapText="1"/>
    </xf>
    <xf numFmtId="2" fontId="13" fillId="27" borderId="10" xfId="8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0" xfId="0" applyAlignment="1">
      <alignment wrapText="1"/>
    </xf>
    <xf numFmtId="0" fontId="7" fillId="36" borderId="11" xfId="0" applyFont="1" applyFill="1" applyBorder="1" applyAlignment="1">
      <alignment horizontal="left" vertical="top" wrapText="1"/>
    </xf>
    <xf numFmtId="0" fontId="0" fillId="0" borderId="11" xfId="0" applyBorder="1"/>
    <xf numFmtId="0" fontId="0" fillId="0" borderId="11" xfId="0" applyBorder="1" applyAlignment="1">
      <alignment wrapText="1"/>
    </xf>
    <xf numFmtId="1" fontId="7" fillId="37" borderId="11" xfId="0" applyNumberFormat="1" applyFont="1" applyFill="1" applyBorder="1" applyAlignment="1">
      <alignment horizontal="left" vertical="top" wrapText="1"/>
    </xf>
    <xf numFmtId="0" fontId="0" fillId="28" borderId="11" xfId="0" applyFill="1" applyBorder="1"/>
    <xf numFmtId="1" fontId="23" fillId="3" borderId="10" xfId="8" applyNumberFormat="1" applyBorder="1" applyAlignment="1">
      <alignment horizontal="left" wrapText="1"/>
    </xf>
    <xf numFmtId="1" fontId="4" fillId="27" borderId="10" xfId="0" applyNumberFormat="1" applyFont="1" applyFill="1" applyBorder="1" applyAlignment="1">
      <alignment wrapText="1"/>
    </xf>
    <xf numFmtId="1" fontId="13" fillId="27" borderId="10" xfId="8" applyNumberFormat="1" applyFont="1" applyFill="1" applyBorder="1" applyAlignment="1">
      <alignment horizontal="left" wrapText="1"/>
    </xf>
    <xf numFmtId="1" fontId="4" fillId="34" borderId="10" xfId="0" applyNumberFormat="1" applyFont="1" applyFill="1" applyBorder="1" applyAlignment="1">
      <alignment horizontal="left" wrapText="1"/>
    </xf>
    <xf numFmtId="1" fontId="4" fillId="27" borderId="10" xfId="0" applyNumberFormat="1" applyFont="1" applyFill="1" applyBorder="1" applyAlignment="1">
      <alignment horizontal="left" wrapText="1"/>
    </xf>
    <xf numFmtId="9" fontId="7" fillId="34" borderId="11" xfId="1" applyFont="1" applyFill="1" applyBorder="1" applyAlignment="1">
      <alignment horizontal="left" vertical="top" wrapText="1"/>
    </xf>
    <xf numFmtId="9" fontId="30" fillId="34" borderId="11" xfId="0" applyNumberFormat="1" applyFont="1" applyFill="1" applyBorder="1" applyAlignment="1">
      <alignment horizontal="left" vertical="center"/>
    </xf>
    <xf numFmtId="1" fontId="7" fillId="34" borderId="11" xfId="1" applyNumberFormat="1" applyFont="1" applyFill="1" applyBorder="1" applyAlignment="1">
      <alignment horizontal="left" vertical="top" wrapText="1"/>
    </xf>
    <xf numFmtId="0" fontId="30" fillId="34" borderId="11" xfId="0" applyFont="1" applyFill="1" applyBorder="1" applyAlignment="1">
      <alignment horizontal="left" vertical="center"/>
    </xf>
    <xf numFmtId="1" fontId="30" fillId="34" borderId="11" xfId="0" applyNumberFormat="1" applyFont="1" applyFill="1" applyBorder="1" applyAlignment="1">
      <alignment horizontal="left" vertical="center"/>
    </xf>
    <xf numFmtId="1" fontId="30" fillId="34" borderId="11" xfId="0" applyNumberFormat="1" applyFont="1" applyFill="1" applyBorder="1" applyAlignment="1">
      <alignment horizontal="left" vertical="top"/>
    </xf>
    <xf numFmtId="0" fontId="7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7" fillId="27" borderId="11" xfId="0" applyNumberFormat="1" applyFont="1" applyFill="1" applyBorder="1" applyAlignment="1" applyProtection="1">
      <alignment horizontal="left" vertical="top" wrapText="1"/>
    </xf>
  </cellXfs>
  <cellStyles count="46">
    <cellStyle name="20% — акцент1" xfId="20" builtinId="30" customBuiltin="1"/>
    <cellStyle name="20% — акцент2" xfId="24" builtinId="34" customBuiltin="1"/>
    <cellStyle name="20% — акцент3" xfId="28" builtinId="38" customBuiltin="1"/>
    <cellStyle name="20% — акцент4" xfId="32" builtinId="42" customBuiltin="1"/>
    <cellStyle name="20% — акцент5" xfId="36" builtinId="46" customBuiltin="1"/>
    <cellStyle name="20% — акцент6" xfId="40" builtinId="50" customBuiltin="1"/>
    <cellStyle name="40% — акцент1" xfId="21" builtinId="31" customBuiltin="1"/>
    <cellStyle name="40% — акцент2" xfId="25" builtinId="35" customBuiltin="1"/>
    <cellStyle name="40% — акцент3" xfId="29" builtinId="39" customBuiltin="1"/>
    <cellStyle name="40% — акцент4" xfId="33" builtinId="43" customBuiltin="1"/>
    <cellStyle name="40% — акцент5" xfId="37" builtinId="47" customBuiltin="1"/>
    <cellStyle name="40% — акцент6" xfId="41" builtinId="51" customBuiltin="1"/>
    <cellStyle name="60% — акцент1" xfId="22" builtinId="32" customBuiltin="1"/>
    <cellStyle name="60% — акцент2" xfId="26" builtinId="36" customBuiltin="1"/>
    <cellStyle name="60% — акцент3" xfId="30" builtinId="40" customBuiltin="1"/>
    <cellStyle name="60% — акцент4" xfId="34" builtinId="44" customBuiltin="1"/>
    <cellStyle name="60% — акцент5" xfId="38" builtinId="48" customBuiltin="1"/>
    <cellStyle name="60% — акцент6" xfId="42" builtinId="52" customBuiltin="1"/>
    <cellStyle name="Акцент1" xfId="19" builtinId="29" customBuiltin="1"/>
    <cellStyle name="Акцент2" xfId="23" builtinId="33" customBuiltin="1"/>
    <cellStyle name="Акцент3" xfId="27" builtinId="37" customBuiltin="1"/>
    <cellStyle name="Акцент4" xfId="31" builtinId="41" customBuiltin="1"/>
    <cellStyle name="Акцент5" xfId="35" builtinId="45" customBuiltin="1"/>
    <cellStyle name="Акцент6" xfId="39" builtinId="49" customBuiltin="1"/>
    <cellStyle name="Ввод " xfId="10" builtinId="20" customBuiltin="1"/>
    <cellStyle name="Вывод" xfId="11" builtinId="21" customBuiltin="1"/>
    <cellStyle name="Вычисление" xfId="12" builtinId="22" customBuiltin="1"/>
    <cellStyle name="Гиперссылка" xfId="43" builtinId="8"/>
    <cellStyle name="Заголовок 1" xfId="3" builtinId="16" customBuiltin="1"/>
    <cellStyle name="Заголовок 2" xfId="4" builtinId="17" customBuiltin="1"/>
    <cellStyle name="Заголовок 3" xfId="5" builtinId="18" customBuiltin="1"/>
    <cellStyle name="Заголовок 4" xfId="6" builtinId="19" customBuiltin="1"/>
    <cellStyle name="Итог" xfId="18" builtinId="25" customBuiltin="1"/>
    <cellStyle name="Контрольная ячейка" xfId="14" builtinId="23" customBuiltin="1"/>
    <cellStyle name="Моторринг" xfId="45" xr:uid="{C9AC2458-4158-4937-850B-C4FC4D639A50}"/>
    <cellStyle name="Название" xfId="2" builtinId="15" customBuiltin="1"/>
    <cellStyle name="Нейтральный" xfId="9" builtinId="28" customBuiltin="1"/>
    <cellStyle name="Обычный" xfId="0" builtinId="0" customBuiltin="1"/>
    <cellStyle name="Обычный 2" xfId="44" xr:uid="{8C21F7C2-C62E-4305-B0E8-CDA5348D51E3}"/>
    <cellStyle name="Плохой" xfId="8" builtinId="27" customBuiltin="1"/>
    <cellStyle name="Пояснение" xfId="17" builtinId="53" customBuiltin="1"/>
    <cellStyle name="Примечание" xfId="16" builtinId="10" customBuiltin="1"/>
    <cellStyle name="Процентный" xfId="1" builtinId="5"/>
    <cellStyle name="Связанная ячейка" xfId="13" builtinId="24" customBuiltin="1"/>
    <cellStyle name="Текст предупреждения" xfId="15" builtinId="11" customBuiltin="1"/>
    <cellStyle name="Хороший" xfId="7" builtinId="26" customBuiltin="1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266700</xdr:colOff>
          <xdr:row>1</xdr:row>
          <xdr:rowOff>19050</xdr:rowOff>
        </xdr:from>
        <xdr:to>
          <xdr:col>17</xdr:col>
          <xdr:colOff>581025</xdr:colOff>
          <xdr:row>4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006283A-E185-42F4-9B2F-A50456793533}" autoFormatId="16" applyNumberFormats="0" applyBorderFormats="0" applyFontFormats="0" applyPatternFormats="0" applyAlignmentFormats="0" applyWidthHeightFormats="0">
  <queryTableRefresh nextId="20">
    <queryTableFields count="1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#VALUE!" tableColumnId="5"/>
      <queryTableField id="6" name="#VALUE!_1" tableColumnId="6"/>
      <queryTableField id="7" name="ЕСЛИОШИБКА(ПСТР(ARRAY_CONSTRAIN(IMPORTXML($C3; E$1);1;2);15;100);ARRAY_CONSTRAIN(IMPORTXML($C3; D$1);1;2))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6FD90C-9619-453E-A548-0BEF91E01923}" name="_100_деталей__2" displayName="_100_деталей__2" ref="A1:S1004" tableType="queryTable" totalsRowShown="0">
  <autoFilter ref="A1:S1004" xr:uid="{FC2ECE66-270A-49A5-9179-3AB86B12B73E}"/>
  <tableColumns count="19">
    <tableColumn id="1" xr3:uid="{98DFA12A-8080-4B55-A665-A8B197C6F4D5}" uniqueName="1" name="Column1" queryTableFieldId="1" dataDxfId="4"/>
    <tableColumn id="2" xr3:uid="{14D4B265-B8B4-4C74-8C7F-7B91FDDDB69D}" uniqueName="2" name="Column2" queryTableFieldId="2"/>
    <tableColumn id="3" xr3:uid="{392E6B45-EACE-418C-A608-CC3372A6943C}" uniqueName="3" name="Column3" queryTableFieldId="3"/>
    <tableColumn id="4" xr3:uid="{570DE052-AE8C-4242-BAB3-486E5B166556}" uniqueName="4" name="Column4" queryTableFieldId="4" dataDxfId="3"/>
    <tableColumn id="5" xr3:uid="{DAB9DE9C-5558-4539-8AD1-E5EC400301AB}" uniqueName="5" name="#VALUE!" queryTableFieldId="5"/>
    <tableColumn id="6" xr3:uid="{00A98033-DB69-4648-AB1C-7D15786CA2D1}" uniqueName="6" name="#VALUE!_1" queryTableFieldId="6" dataDxfId="2"/>
    <tableColumn id="7" xr3:uid="{D56647F7-7B04-4334-9E80-6AEA00A8009E}" uniqueName="7" name="ЕСЛИОШИБКА(ПСТР(ARRAY_CONSTRAIN(IMPORTXML($C3; E$1);1;2);15;100);ARRAY_CONSTRAIN(IMPORTXML($C3; D$1);1;2))" queryTableFieldId="7"/>
    <tableColumn id="8" xr3:uid="{7EBD5C3D-5ADE-4DEE-84E1-9901DD208120}" uniqueName="8" name="Column8" queryTableFieldId="8"/>
    <tableColumn id="9" xr3:uid="{C2032C5A-A016-4408-AA4F-E1145A1818F0}" uniqueName="9" name="Column9" queryTableFieldId="9" dataDxfId="1"/>
    <tableColumn id="10" xr3:uid="{B13B84DC-1C8C-40D5-9B94-A4AB3497199A}" uniqueName="10" name="Column10" queryTableFieldId="10" dataDxfId="0"/>
    <tableColumn id="11" xr3:uid="{7A8D629B-E37C-4A6E-A26B-157DBC2497F2}" uniqueName="11" name="Column11" queryTableFieldId="11"/>
    <tableColumn id="12" xr3:uid="{D9551EF9-C2BC-4318-A1DA-7BA57B11EC75}" uniqueName="12" name="Column12" queryTableFieldId="12"/>
    <tableColumn id="13" xr3:uid="{3C50D0B3-1728-4454-B1F4-E2FDFCE61171}" uniqueName="13" name="Column13" queryTableFieldId="13"/>
    <tableColumn id="14" xr3:uid="{17596D53-F97D-455A-8ED3-7F7A11CE67B6}" uniqueName="14" name="Column14" queryTableFieldId="14"/>
    <tableColumn id="15" xr3:uid="{978E2D74-2142-4112-B2F0-91E1EAAB58F2}" uniqueName="15" name="Column15" queryTableFieldId="15"/>
    <tableColumn id="16" xr3:uid="{3D603412-C910-44DA-AF07-37E29170AC06}" uniqueName="16" name="Column16" queryTableFieldId="16"/>
    <tableColumn id="17" xr3:uid="{B9BC0C8D-D59B-402C-AC85-B00A7AB866AE}" uniqueName="17" name="Column17" queryTableFieldId="17"/>
    <tableColumn id="18" xr3:uid="{13FF419D-EF81-4333-8CCF-533EE6977680}" uniqueName="18" name="Column18" queryTableFieldId="18"/>
    <tableColumn id="19" xr3:uid="{C8F63C68-39A2-49BF-8F4C-D4E6C46C872A}" uniqueName="19" name="Column19" queryTableField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37236-mahovik-oblegchennyy-stalnoy-100detaley-vaz-2110-2112" TargetMode="External"/><Relationship Id="rId13" Type="http://schemas.openxmlformats.org/officeDocument/2006/relationships/hyperlink" Target="https://motorring.ru/product/31897-mahovik-oblegchennyy-100detaley-16v-2101" TargetMode="External"/><Relationship Id="rId18" Type="http://schemas.openxmlformats.org/officeDocument/2006/relationships/hyperlink" Target="https://ozon.ru/t/GL0aKzV" TargetMode="External"/><Relationship Id="rId3" Type="http://schemas.openxmlformats.org/officeDocument/2006/relationships/hyperlink" Target="https://motorring.ru/product/5805-mahovik-oblegchennyy-4kg-sceplenie-2110-vaz-2108-21099-2113-2115" TargetMode="External"/><Relationship Id="rId21" Type="http://schemas.openxmlformats.org/officeDocument/2006/relationships/hyperlink" Target="https://ozon.ru/t/e8VaMgl" TargetMode="External"/><Relationship Id="rId7" Type="http://schemas.openxmlformats.org/officeDocument/2006/relationships/hyperlink" Target="https://motorring.ru/product/31898-mahovik-oblegchennyy-100detaley-8v-2101" TargetMode="External"/><Relationship Id="rId12" Type="http://schemas.openxmlformats.org/officeDocument/2006/relationships/hyperlink" Target="https://motorring.ru/product/1026-mahovik-oblegchennyy-100detaley-turbo-215mm-dlya-shevrole" TargetMode="External"/><Relationship Id="rId17" Type="http://schemas.openxmlformats.org/officeDocument/2006/relationships/hyperlink" Target="https://ozon.ru/t/3M4ylXA" TargetMode="External"/><Relationship Id="rId2" Type="http://schemas.openxmlformats.org/officeDocument/2006/relationships/hyperlink" Target="https://motorring.ru/product/31895-mahovik-oblegchennyy-100detaley-pod-sceplenie-2123-dlya-2101-4x4" TargetMode="External"/><Relationship Id="rId16" Type="http://schemas.openxmlformats.org/officeDocument/2006/relationships/hyperlink" Target="https://motorring.ru/product/5807-mahovik-oblegchennyy-100detaley-pod-sceplenie-2123-dlya-2101" TargetMode="External"/><Relationship Id="rId20" Type="http://schemas.openxmlformats.org/officeDocument/2006/relationships/hyperlink" Target="https://ozon.ru/t/nB7WYA1" TargetMode="External"/><Relationship Id="rId1" Type="http://schemas.openxmlformats.org/officeDocument/2006/relationships/hyperlink" Target="https://motorring.ru/product/5803-mahovik-oblegchennyy-100detaley-dlya-vaz-2110-2112" TargetMode="External"/><Relationship Id="rId6" Type="http://schemas.openxmlformats.org/officeDocument/2006/relationships/hyperlink" Target="https://motorring.ru/product/14199-mahovik-oblegchennyy-100detaley-pod-trosovuyu-korobku" TargetMode="External"/><Relationship Id="rId11" Type="http://schemas.openxmlformats.org/officeDocument/2006/relationships/hyperlink" Target="https://motorring.ru/product/1025-mahovik-oblegchennyy-100detaley-215mm-dlya-shevrole-niva" TargetMode="External"/><Relationship Id="rId5" Type="http://schemas.openxmlformats.org/officeDocument/2006/relationships/hyperlink" Target="https://motorring.ru/product/29296-mahovik-oblegchennyy-100detaley-turbo-pod-sceplenie-2110" TargetMode="External"/><Relationship Id="rId15" Type="http://schemas.openxmlformats.org/officeDocument/2006/relationships/hyperlink" Target="https://motorring.ru/product/31898-mahovik-oblegchennyy-100detaley-8v-2101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s://motorring.ru/product/40316-mahovik-oblegchennyy-stalnoy-100detaley-tros-kpp-granta" TargetMode="External"/><Relationship Id="rId19" Type="http://schemas.openxmlformats.org/officeDocument/2006/relationships/hyperlink" Target="https://ozon.ru/t/MweZGDp" TargetMode="External"/><Relationship Id="rId4" Type="http://schemas.openxmlformats.org/officeDocument/2006/relationships/hyperlink" Target="https://motorring.ru/product/8244-mahovik-oblegchennyy-100detaley-dlya-vaz-2108-21099" TargetMode="External"/><Relationship Id="rId9" Type="http://schemas.openxmlformats.org/officeDocument/2006/relationships/hyperlink" Target="https://motorring.ru/product/37234-mahovik-oblegchennyy-sceplenie-2123-100detaley-lada-vesta" TargetMode="External"/><Relationship Id="rId14" Type="http://schemas.openxmlformats.org/officeDocument/2006/relationships/hyperlink" Target="https://motorring.ru/product/37235-mahovik-oblegchennyy-100detaley-lada-vesta" TargetMode="External"/><Relationship Id="rId22" Type="http://schemas.openxmlformats.org/officeDocument/2006/relationships/hyperlink" Target="https://motorring.ru/product/5807-mahovik-oblegchennyy-100detaley-pod-sceplenie-2123-dlya-2101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37236-mahovik-oblegchennyy-stalnoy-100detaley-vaz-2110-2112" TargetMode="External"/><Relationship Id="rId13" Type="http://schemas.openxmlformats.org/officeDocument/2006/relationships/hyperlink" Target="https://motorring.ru/product/31897-mahovik-oblegchennyy-100detaley-16v-2101" TargetMode="External"/><Relationship Id="rId18" Type="http://schemas.openxmlformats.org/officeDocument/2006/relationships/hyperlink" Target="https://ozon.ru/t/GL0aKzV" TargetMode="External"/><Relationship Id="rId26" Type="http://schemas.openxmlformats.org/officeDocument/2006/relationships/hyperlink" Target="https://ozon.ru/t/GL0aDgV" TargetMode="External"/><Relationship Id="rId3" Type="http://schemas.openxmlformats.org/officeDocument/2006/relationships/hyperlink" Target="https://motorring.ru/product/5805-mahovik-oblegchennyy-4kg-sceplenie-2110-vaz-2108-21099-2113-2115" TargetMode="External"/><Relationship Id="rId21" Type="http://schemas.openxmlformats.org/officeDocument/2006/relationships/hyperlink" Target="https://ozon.ru/t/nB7Wg2N" TargetMode="External"/><Relationship Id="rId7" Type="http://schemas.openxmlformats.org/officeDocument/2006/relationships/hyperlink" Target="https://motorring.ru/product/31898-mahovik-oblegchennyy-100detaley-8v-2101" TargetMode="External"/><Relationship Id="rId12" Type="http://schemas.openxmlformats.org/officeDocument/2006/relationships/hyperlink" Target="https://motorring.ru/product/1026-mahovik-oblegchennyy-100detaley-turbo-215mm-dlya-shevrole" TargetMode="External"/><Relationship Id="rId17" Type="http://schemas.openxmlformats.org/officeDocument/2006/relationships/hyperlink" Target="https://ozon.ru/t/3M4ylXA" TargetMode="External"/><Relationship Id="rId25" Type="http://schemas.openxmlformats.org/officeDocument/2006/relationships/hyperlink" Target="https://ozon.ru/t/nB7W3jL" TargetMode="External"/><Relationship Id="rId2" Type="http://schemas.openxmlformats.org/officeDocument/2006/relationships/hyperlink" Target="https://motorring.ru/product/31895-mahovik-oblegchennyy-100detaley-pod-sceplenie-2123-dlya-2101-4x4" TargetMode="External"/><Relationship Id="rId16" Type="http://schemas.openxmlformats.org/officeDocument/2006/relationships/hyperlink" Target="https://motorring.ru/product/5807-mahovik-oblegchennyy-100detaley-pod-sceplenie-2123-dlya-2101" TargetMode="External"/><Relationship Id="rId20" Type="http://schemas.openxmlformats.org/officeDocument/2006/relationships/hyperlink" Target="https://ozon.ru/t/3M4dzw5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https://motorring.ru/product/5803-mahovik-oblegchennyy-100detaley-dlya-vaz-2110-2112" TargetMode="External"/><Relationship Id="rId6" Type="http://schemas.openxmlformats.org/officeDocument/2006/relationships/hyperlink" Target="https://motorring.ru/product/14199-mahovik-oblegchennyy-100detaley-pod-trosovuyu-korobku" TargetMode="External"/><Relationship Id="rId11" Type="http://schemas.openxmlformats.org/officeDocument/2006/relationships/hyperlink" Target="https://motorring.ru/product/1025-mahovik-oblegchennyy-100detaley-215mm-dlya-shevrole-niva" TargetMode="External"/><Relationship Id="rId24" Type="http://schemas.openxmlformats.org/officeDocument/2006/relationships/hyperlink" Target="https://ozon.ru/t/g0qlELN" TargetMode="External"/><Relationship Id="rId32" Type="http://schemas.openxmlformats.org/officeDocument/2006/relationships/image" Target="../media/image1.emf"/><Relationship Id="rId5" Type="http://schemas.openxmlformats.org/officeDocument/2006/relationships/hyperlink" Target="https://motorring.ru/product/29296-mahovik-oblegchennyy-100detaley-turbo-pod-sceplenie-2110" TargetMode="External"/><Relationship Id="rId15" Type="http://schemas.openxmlformats.org/officeDocument/2006/relationships/hyperlink" Target="https://motorring.ru/product/31898-mahovik-oblegchennyy-100detaley-8v-2101" TargetMode="External"/><Relationship Id="rId23" Type="http://schemas.openxmlformats.org/officeDocument/2006/relationships/hyperlink" Target="https://ozon.ru/t/e8VaMgl" TargetMode="External"/><Relationship Id="rId28" Type="http://schemas.openxmlformats.org/officeDocument/2006/relationships/printerSettings" Target="../printerSettings/printerSettings3.bin"/><Relationship Id="rId10" Type="http://schemas.openxmlformats.org/officeDocument/2006/relationships/hyperlink" Target="https://motorring.ru/product/40316-mahovik-oblegchennyy-stalnoy-100detaley-tros-kpp-granta" TargetMode="External"/><Relationship Id="rId19" Type="http://schemas.openxmlformats.org/officeDocument/2006/relationships/hyperlink" Target="https://ozon.ru/t/MweZGDp" TargetMode="External"/><Relationship Id="rId31" Type="http://schemas.openxmlformats.org/officeDocument/2006/relationships/control" Target="../activeX/activeX1.xml"/><Relationship Id="rId4" Type="http://schemas.openxmlformats.org/officeDocument/2006/relationships/hyperlink" Target="https://motorring.ru/product/8244-mahovik-oblegchennyy-100detaley-dlya-vaz-2108-21099" TargetMode="External"/><Relationship Id="rId9" Type="http://schemas.openxmlformats.org/officeDocument/2006/relationships/hyperlink" Target="https://motorring.ru/product/37234-mahovik-oblegchennyy-sceplenie-2123-100detaley-lada-vesta" TargetMode="External"/><Relationship Id="rId14" Type="http://schemas.openxmlformats.org/officeDocument/2006/relationships/hyperlink" Target="https://motorring.ru/product/37235-mahovik-oblegchennyy-100detaley-lada-vesta" TargetMode="External"/><Relationship Id="rId22" Type="http://schemas.openxmlformats.org/officeDocument/2006/relationships/hyperlink" Target="https://ozon.ru/t/nB7WYA1" TargetMode="External"/><Relationship Id="rId27" Type="http://schemas.openxmlformats.org/officeDocument/2006/relationships/hyperlink" Target="https://motorring.ru/product/5807-mahovik-oblegchennyy-100detaley-pod-sceplenie-2123-dlya-2101" TargetMode="External"/><Relationship Id="rId30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E27"/>
  <sheetViews>
    <sheetView showGridLines="0" workbookViewId="0">
      <pane ySplit="2" topLeftCell="A3" activePane="bottomLeft" state="frozen"/>
      <selection pane="bottomLeft" activeCell="N6" sqref="N6"/>
    </sheetView>
  </sheetViews>
  <sheetFormatPr defaultRowHeight="15" x14ac:dyDescent="0.25"/>
  <cols>
    <col min="1" max="2" width="7" style="8" bestFit="1" customWidth="1"/>
    <col min="3" max="3" width="36.7109375" style="4" customWidth="1"/>
    <col min="4" max="4" width="3.5703125" style="4" customWidth="1"/>
    <col min="5" max="5" width="4.85546875" style="4" bestFit="1" customWidth="1"/>
    <col min="6" max="6" width="13.5703125" style="4" bestFit="1" customWidth="1"/>
    <col min="7" max="7" width="9.85546875" style="4" customWidth="1"/>
    <col min="8" max="8" width="7.85546875" style="8" bestFit="1" customWidth="1"/>
    <col min="9" max="9" width="4.85546875" style="4" bestFit="1" customWidth="1"/>
    <col min="10" max="10" width="6" style="8" bestFit="1" customWidth="1"/>
    <col min="11" max="11" width="7.140625" style="8" bestFit="1" customWidth="1"/>
    <col min="12" max="12" width="6.7109375" style="4" bestFit="1" customWidth="1"/>
    <col min="13" max="13" width="6.85546875" style="4" bestFit="1" customWidth="1"/>
    <col min="14" max="15" width="7.42578125" style="4" bestFit="1" customWidth="1"/>
    <col min="16" max="16" width="9.140625" style="4"/>
    <col min="17" max="17" width="9" style="8" customWidth="1"/>
    <col min="18" max="19" width="9.140625" style="4"/>
    <col min="20" max="20" width="7.28515625" style="13" bestFit="1" customWidth="1"/>
    <col min="21" max="21" width="5.85546875" style="15" bestFit="1" customWidth="1"/>
    <col min="22" max="22" width="9.85546875" style="15" bestFit="1" customWidth="1"/>
    <col min="23" max="23" width="8.5703125" style="8" bestFit="1" customWidth="1"/>
    <col min="25" max="25" width="6.5703125" style="4" bestFit="1" customWidth="1"/>
    <col min="26" max="26" width="8" style="8" bestFit="1" customWidth="1"/>
    <col min="27" max="27" width="7.5703125" style="4" bestFit="1" customWidth="1"/>
    <col min="28" max="29" width="6.5703125" style="4" bestFit="1" customWidth="1"/>
    <col min="30" max="30" width="8.28515625" style="4" bestFit="1" customWidth="1"/>
    <col min="31" max="31" width="6.5703125" style="4" bestFit="1" customWidth="1"/>
    <col min="32" max="16384" width="9.140625" style="4"/>
  </cols>
  <sheetData>
    <row r="1" spans="1:31" x14ac:dyDescent="0.25">
      <c r="B1" s="39">
        <v>2</v>
      </c>
      <c r="C1" s="39">
        <v>3</v>
      </c>
      <c r="D1">
        <v>4</v>
      </c>
      <c r="E1">
        <v>14</v>
      </c>
      <c r="F1">
        <v>5</v>
      </c>
      <c r="G1" s="13">
        <f>COUNT($W:$W)/COUNT($A:$A)</f>
        <v>0.76190476190476186</v>
      </c>
      <c r="H1" s="45">
        <f>L1</f>
        <v>8</v>
      </c>
      <c r="K1" s="45">
        <f>M1</f>
        <v>9</v>
      </c>
      <c r="L1">
        <v>8</v>
      </c>
      <c r="M1">
        <v>9</v>
      </c>
      <c r="N1" s="8"/>
      <c r="O1" s="8"/>
      <c r="P1"/>
      <c r="R1"/>
      <c r="S1"/>
      <c r="T1" s="16" t="str">
        <f>_xlfn.CONCAT(ROUND(MIN(T3:T9000)*100,0),"-",ROUND(MAX(T3:T9000)*100,0),"%")</f>
        <v>27-38%</v>
      </c>
      <c r="U1" s="16" t="str">
        <f>_xlfn.CONCAT(ROUND(SUBTOTAL(5,U3:U9000)*100,0)," - ",ROUND(SUBTOTAL(4,U3:U9000)*100,0),"%")</f>
        <v>2 - 5%</v>
      </c>
      <c r="V1" s="16" t="str">
        <f>_xlfn.CONCAT(ROUND(SUBTOTAL(5,V3:V90000)*100,0)," - ",ROUND(SUBTOTAL(4,V3:V90000)*100,0),"%")</f>
        <v>29 - 45%</v>
      </c>
      <c r="W1" s="32"/>
      <c r="AE1" s="16" t="str">
        <f>_xlfn.CONCAT(ROUND(MIN(AE3:AE1215)*100,0),"-",ROUND(MAX(AE3:AE1215)*100,0),"%")</f>
        <v>29-45%</v>
      </c>
    </row>
    <row r="2" spans="1:31" ht="26.25" customHeight="1" x14ac:dyDescent="0.25">
      <c r="A2" s="9" t="s">
        <v>0</v>
      </c>
      <c r="B2" s="40" t="s">
        <v>72</v>
      </c>
      <c r="C2" s="40" t="s">
        <v>10</v>
      </c>
      <c r="D2" s="40"/>
      <c r="E2" s="40"/>
      <c r="F2" s="40" t="s">
        <v>73</v>
      </c>
      <c r="G2" s="2" t="s">
        <v>2</v>
      </c>
      <c r="H2" s="46" t="s">
        <v>9</v>
      </c>
      <c r="I2" s="2"/>
      <c r="J2" s="9"/>
      <c r="K2" s="46" t="s">
        <v>12</v>
      </c>
      <c r="L2" s="40" t="s">
        <v>74</v>
      </c>
      <c r="M2" s="40" t="s">
        <v>75</v>
      </c>
      <c r="N2" s="43" t="s">
        <v>52</v>
      </c>
      <c r="O2" s="43" t="s">
        <v>52</v>
      </c>
      <c r="P2" s="50">
        <v>0</v>
      </c>
      <c r="Q2" s="55" t="s">
        <v>102</v>
      </c>
      <c r="R2" s="51" t="s">
        <v>103</v>
      </c>
      <c r="S2" s="51" t="s">
        <v>104</v>
      </c>
      <c r="T2" s="33" t="s">
        <v>13</v>
      </c>
      <c r="U2" s="33" t="s">
        <v>64</v>
      </c>
      <c r="V2" s="33" t="s">
        <v>53</v>
      </c>
      <c r="W2" s="34" t="s">
        <v>65</v>
      </c>
      <c r="Y2" s="24">
        <v>2</v>
      </c>
      <c r="Z2" s="24">
        <v>3</v>
      </c>
      <c r="AA2" s="24">
        <v>4</v>
      </c>
      <c r="AB2" s="24">
        <v>5</v>
      </c>
      <c r="AC2" s="25">
        <v>6</v>
      </c>
      <c r="AD2" s="18" t="s">
        <v>14</v>
      </c>
      <c r="AE2" s="18" t="s">
        <v>53</v>
      </c>
    </row>
    <row r="3" spans="1:31" ht="45" x14ac:dyDescent="0.25">
      <c r="A3" s="41">
        <v>163870</v>
      </c>
      <c r="B3" s="41">
        <f>VLOOKUP($A3,'Выгр Кат'!$A:$R,B$1,0)</f>
        <v>37217</v>
      </c>
      <c r="C3" s="42" t="str">
        <f>VLOOKUP($A3,'Выгр Кат'!$A:$R,C$1,0)</f>
        <v>Маховик (облегчённый, алюминиевый) для ВАЗ 2101-2107 (с 16-ти клапанным двигателем)</v>
      </c>
      <c r="D3" s="41" t="str">
        <f>VLOOKUP($A3,'Выгр Кат'!$A:$R,D$1,0)</f>
        <v>Y</v>
      </c>
      <c r="E3" s="41" t="str">
        <f>VLOOKUP($A3,'Выгр Кат'!$A:$R,E$1,0)</f>
        <v>0</v>
      </c>
      <c r="F3" s="41">
        <f>VLOOKUP($A3,'Выгр Кат'!$A:$R,F$1,0)</f>
        <v>0</v>
      </c>
      <c r="G3" s="3" t="s">
        <v>5</v>
      </c>
      <c r="H3" s="45">
        <f>L3</f>
        <v>0</v>
      </c>
      <c r="I3" s="3" t="e">
        <f>VLOOKUP(H3,Наценка!$A$1:$B$8,2,1)</f>
        <v>#N/A</v>
      </c>
      <c r="J3" s="9" t="e">
        <f>H3*I3</f>
        <v>#N/A</v>
      </c>
      <c r="K3" s="45">
        <f>M3</f>
        <v>0</v>
      </c>
      <c r="L3" s="41">
        <f>VLOOKUP($A3,'Выгр Кат'!$A:$R,L$1,0)</f>
        <v>0</v>
      </c>
      <c r="M3" s="41">
        <f>VLOOKUP($A3,'Выгр Кат'!$A:$R,M$1,0)</f>
        <v>0</v>
      </c>
      <c r="N3" s="43">
        <f>L3-H3</f>
        <v>0</v>
      </c>
      <c r="O3" s="43">
        <f>M3-K3</f>
        <v>0</v>
      </c>
      <c r="P3" s="52">
        <f>IFERROR(K3*(1-$P$2),"")</f>
        <v>0</v>
      </c>
      <c r="Q3" s="54" t="str">
        <f>IFERROR((VLOOKUP($A3,'Из ГУГЛа'!$B:$G,6,0)+S3)*R3,VLOOKUP($A3,'Из ГУГЛа'!$B:$G,6,0))</f>
        <v/>
      </c>
      <c r="R3" s="53">
        <v>1</v>
      </c>
      <c r="S3" s="53">
        <v>0</v>
      </c>
      <c r="T3" s="35" t="str">
        <f>IFERROR(P3/H3-1,"")</f>
        <v/>
      </c>
      <c r="U3" s="35" t="str">
        <f>IFERROR((W3-P3)/W3,"")</f>
        <v/>
      </c>
      <c r="V3" s="35" t="str">
        <f>IFERROR(IF(W3="","",W3/H3-1),"")</f>
        <v/>
      </c>
      <c r="W3" s="22"/>
      <c r="Y3" s="3"/>
      <c r="Z3" s="31"/>
      <c r="AA3" s="3"/>
      <c r="AB3" s="3"/>
      <c r="AC3" s="14"/>
      <c r="AD3" s="18" t="str">
        <f>IFERROR(AVERAGE(W3:AC3),"")</f>
        <v/>
      </c>
      <c r="AE3" s="26" t="str">
        <f>IFERROR(AD3/H3-1,"")</f>
        <v/>
      </c>
    </row>
    <row r="4" spans="1:31" ht="30" x14ac:dyDescent="0.25">
      <c r="A4" s="41">
        <v>163871</v>
      </c>
      <c r="B4" s="41">
        <f>VLOOKUP($A4,'Выгр Кат'!$A:$R,B$1,0)</f>
        <v>37218</v>
      </c>
      <c r="C4" s="42" t="str">
        <f>VLOOKUP($A4,'Выгр Кат'!$A:$R,C$1,0)</f>
        <v>Маховик облегченный для ВАЗ 2110-2112</v>
      </c>
      <c r="D4" s="41" t="str">
        <f>VLOOKUP($A4,'Выгр Кат'!$A:$R,D$1,0)</f>
        <v>Y</v>
      </c>
      <c r="E4" s="41" t="str">
        <f>VLOOKUP($A4,'Выгр Кат'!$A:$R,E$1,0)</f>
        <v>0</v>
      </c>
      <c r="F4" s="41">
        <f>VLOOKUP($A4,'Выгр Кат'!$A:$R,F$1,0)</f>
        <v>0</v>
      </c>
      <c r="G4" s="3" t="s">
        <v>5</v>
      </c>
      <c r="H4" s="45">
        <f t="shared" ref="H4:H5" si="0">L4</f>
        <v>0</v>
      </c>
      <c r="I4" s="3" t="e">
        <f>VLOOKUP(H4,Наценка!$A$1:$B$8,2,1)</f>
        <v>#N/A</v>
      </c>
      <c r="J4" s="9" t="e">
        <f>H4*I4</f>
        <v>#N/A</v>
      </c>
      <c r="K4" s="45">
        <f>M4</f>
        <v>0</v>
      </c>
      <c r="L4" s="41">
        <f>VLOOKUP($A4,'Выгр Кат'!$A:$R,L$1,0)</f>
        <v>0</v>
      </c>
      <c r="M4" s="41">
        <f>VLOOKUP($A4,'Выгр Кат'!$A:$R,M$1,0)</f>
        <v>0</v>
      </c>
      <c r="N4" s="43">
        <f t="shared" ref="N4:N23" si="1">L4-H4</f>
        <v>0</v>
      </c>
      <c r="O4" s="43">
        <f t="shared" ref="O4:O23" si="2">M4-K4</f>
        <v>0</v>
      </c>
      <c r="P4" s="52">
        <f t="shared" ref="P4:P23" si="3">IFERROR(K4*(1-$P$2),"")</f>
        <v>0</v>
      </c>
      <c r="Q4" s="54" t="str">
        <f>IFERROR((VLOOKUP($A4,'Из ГУГЛа'!$B:$G,6,0)+S4)*R4,VLOOKUP($A4,'Из ГУГЛа'!$B:$G,6,0))</f>
        <v/>
      </c>
      <c r="R4" s="53">
        <v>1</v>
      </c>
      <c r="S4" s="53">
        <v>0</v>
      </c>
      <c r="T4" s="35" t="str">
        <f t="shared" ref="T4:T23" si="4">IFERROR(P4/H4-1,"")</f>
        <v/>
      </c>
      <c r="U4" s="35" t="str">
        <f t="shared" ref="U4:U23" si="5">IFERROR((W4-P4)/W4,"")</f>
        <v/>
      </c>
      <c r="V4" s="35" t="str">
        <f t="shared" ref="V4:V23" si="6">IFERROR(IF(W4="","",W4/H4-1),"")</f>
        <v/>
      </c>
      <c r="W4" s="22"/>
      <c r="Y4" s="3"/>
      <c r="Z4" s="31"/>
      <c r="AA4" s="3"/>
      <c r="AB4" s="3"/>
      <c r="AC4" s="14"/>
      <c r="AD4" s="18" t="str">
        <f t="shared" ref="AD4:AD21" si="7">IFERROR(AVERAGE(W4:AC4),"")</f>
        <v/>
      </c>
      <c r="AE4" s="26" t="str">
        <f t="shared" ref="AE4:AE21" si="8">IFERROR(AD4/H4-1,"")</f>
        <v/>
      </c>
    </row>
    <row r="5" spans="1:31" ht="30" x14ac:dyDescent="0.25">
      <c r="A5" s="41">
        <v>163872</v>
      </c>
      <c r="B5" s="41">
        <f>VLOOKUP($A5,'Выгр Кат'!$A:$R,B$1,0)</f>
        <v>37216</v>
      </c>
      <c r="C5" s="42" t="str">
        <f>VLOOKUP($A5,'Выгр Кат'!$A:$R,C$1,0)</f>
        <v>Маховик облегченный для ВАЗ 2108-21099, 2113-2115 (сцепление 2110)</v>
      </c>
      <c r="D5" s="41" t="str">
        <f>VLOOKUP($A5,'Выгр Кат'!$A:$R,D$1,0)</f>
        <v>Y</v>
      </c>
      <c r="E5" s="41" t="str">
        <f>VLOOKUP($A5,'Выгр Кат'!$A:$R,E$1,0)</f>
        <v>0</v>
      </c>
      <c r="F5" s="41">
        <f>VLOOKUP($A5,'Выгр Кат'!$A:$R,F$1,0)</f>
        <v>0</v>
      </c>
      <c r="G5" s="3" t="s">
        <v>5</v>
      </c>
      <c r="H5" s="45">
        <f t="shared" si="0"/>
        <v>0</v>
      </c>
      <c r="I5" s="3" t="e">
        <f>VLOOKUP(H5,Наценка!$A$1:$B$8,2,1)</f>
        <v>#N/A</v>
      </c>
      <c r="J5" s="9" t="e">
        <f>H5*I5</f>
        <v>#N/A</v>
      </c>
      <c r="K5" s="45">
        <f>M5</f>
        <v>0</v>
      </c>
      <c r="L5" s="41">
        <f>VLOOKUP($A5,'Выгр Кат'!$A:$R,L$1,0)</f>
        <v>0</v>
      </c>
      <c r="M5" s="41">
        <f>VLOOKUP($A5,'Выгр Кат'!$A:$R,M$1,0)</f>
        <v>0</v>
      </c>
      <c r="N5" s="43">
        <f t="shared" si="1"/>
        <v>0</v>
      </c>
      <c r="O5" s="43">
        <f t="shared" si="2"/>
        <v>0</v>
      </c>
      <c r="P5" s="52">
        <f t="shared" si="3"/>
        <v>0</v>
      </c>
      <c r="Q5" s="54" t="str">
        <f>IFERROR((VLOOKUP($A5,'Из ГУГЛа'!$B:$G,6,0)+S5)*R5,VLOOKUP($A5,'Из ГУГЛа'!$B:$G,6,0))</f>
        <v/>
      </c>
      <c r="R5" s="53">
        <v>1</v>
      </c>
      <c r="S5" s="53">
        <v>0</v>
      </c>
      <c r="T5" s="35" t="str">
        <f t="shared" si="4"/>
        <v/>
      </c>
      <c r="U5" s="35" t="str">
        <f t="shared" si="5"/>
        <v/>
      </c>
      <c r="V5" s="35" t="str">
        <f t="shared" si="6"/>
        <v/>
      </c>
      <c r="W5" s="22"/>
      <c r="Y5" s="27"/>
      <c r="Z5" s="31"/>
      <c r="AA5" s="3"/>
      <c r="AB5" s="3"/>
      <c r="AC5" s="14"/>
      <c r="AD5" s="18" t="str">
        <f t="shared" si="7"/>
        <v/>
      </c>
      <c r="AE5" s="26" t="str">
        <f t="shared" si="8"/>
        <v/>
      </c>
    </row>
    <row r="6" spans="1:31" ht="60.75" thickBot="1" x14ac:dyDescent="0.3">
      <c r="A6" s="41">
        <v>163842</v>
      </c>
      <c r="B6" s="41">
        <f>VLOOKUP($A6,'Выгр Кат'!$A:$R,B$1,0)</f>
        <v>804</v>
      </c>
      <c r="C6" s="42" t="str">
        <f>VLOOKUP($A6,'Выгр Кат'!$A:$R,C$1,0)</f>
        <v>Маховик облегченный, балансированный для Лада Приора 2, Калина 2, Гранта, Веста (тросовая КПП)</v>
      </c>
      <c r="D6" s="41" t="str">
        <f>VLOOKUP($A6,'Выгр Кат'!$A:$R,D$1,0)</f>
        <v>Y</v>
      </c>
      <c r="E6" s="41" t="str">
        <f>VLOOKUP($A6,'Выгр Кат'!$A:$R,E$1,0)</f>
        <v>1</v>
      </c>
      <c r="F6" s="41">
        <f>VLOOKUP($A6,'Выгр Кат'!$A:$R,F$1,0)</f>
        <v>0</v>
      </c>
      <c r="G6" s="3" t="s">
        <v>5</v>
      </c>
      <c r="H6" s="47">
        <v>3400</v>
      </c>
      <c r="I6" s="3">
        <f>VLOOKUP(H6,Наценка!$A$1:$B$8,2,1)</f>
        <v>1.3</v>
      </c>
      <c r="J6" s="48">
        <f>W6-150</f>
        <v>4740</v>
      </c>
      <c r="K6" s="49">
        <f>IF(J6&lt;=1000,(ROUNDUP(J6,-1)-1),(ROUNDDOWN(J6,-2)-10))</f>
        <v>4690</v>
      </c>
      <c r="L6" s="41">
        <f>VLOOKUP($A6,'Выгр Кат'!$A:$R,L$1,0)</f>
        <v>3400</v>
      </c>
      <c r="M6" s="41">
        <f>VLOOKUP($A6,'Выгр Кат'!$A:$R,M$1,0)</f>
        <v>4690</v>
      </c>
      <c r="N6" s="43">
        <f t="shared" si="1"/>
        <v>0</v>
      </c>
      <c r="O6" s="43">
        <f t="shared" si="2"/>
        <v>0</v>
      </c>
      <c r="P6" s="52">
        <f t="shared" si="3"/>
        <v>4690</v>
      </c>
      <c r="Q6" s="54">
        <f>IFERROR((VLOOKUP($A6,'Из ГУГЛа'!$B:$G,6,0)+S6)*R6,VLOOKUP($A6,'Из ГУГЛа'!$B:$G,6,0))</f>
        <v>4890</v>
      </c>
      <c r="R6" s="53">
        <v>1</v>
      </c>
      <c r="S6" s="53">
        <v>0</v>
      </c>
      <c r="T6" s="35">
        <f t="shared" si="4"/>
        <v>0.37941176470588234</v>
      </c>
      <c r="U6" s="35">
        <f t="shared" si="5"/>
        <v>4.0899795501022497E-2</v>
      </c>
      <c r="V6" s="35">
        <f t="shared" si="6"/>
        <v>0.43823529411764706</v>
      </c>
      <c r="W6" s="23">
        <v>4890</v>
      </c>
      <c r="X6" t="s">
        <v>21</v>
      </c>
      <c r="Y6" s="28" t="s">
        <v>54</v>
      </c>
      <c r="Z6" s="31">
        <v>4531</v>
      </c>
      <c r="AA6" s="30"/>
      <c r="AB6" s="5"/>
      <c r="AC6" s="17"/>
      <c r="AD6" s="18">
        <f t="shared" si="7"/>
        <v>4710.5</v>
      </c>
      <c r="AE6" s="26">
        <f t="shared" si="8"/>
        <v>0.38544117647058829</v>
      </c>
    </row>
    <row r="7" spans="1:31" ht="46.5" thickTop="1" thickBot="1" x14ac:dyDescent="0.3">
      <c r="A7" s="41">
        <v>163873</v>
      </c>
      <c r="B7" s="41">
        <f>VLOOKUP($A7,'Выгр Кат'!$A:$R,B$1,0)</f>
        <v>819</v>
      </c>
      <c r="C7" s="42" t="str">
        <f>VLOOKUP($A7,'Выгр Кат'!$A:$R,C$1,0)</f>
        <v>Маховик облегченный, балансированный для ВАЗ 2101-2107 (8-ми клапанный двигатель)</v>
      </c>
      <c r="D7" s="41" t="str">
        <f>VLOOKUP($A7,'Выгр Кат'!$A:$R,D$1,0)</f>
        <v>Y</v>
      </c>
      <c r="E7" s="41" t="str">
        <f>VLOOKUP($A7,'Выгр Кат'!$A:$R,E$1,0)</f>
        <v>1</v>
      </c>
      <c r="F7" s="41">
        <f>VLOOKUP($A7,'Выгр Кат'!$A:$R,F$1,0)</f>
        <v>0</v>
      </c>
      <c r="G7" s="3" t="s">
        <v>5</v>
      </c>
      <c r="H7" s="47">
        <v>3200</v>
      </c>
      <c r="I7" s="3">
        <f>VLOOKUP(H7,Наценка!$A$1:$B$8,2,1)</f>
        <v>1.3</v>
      </c>
      <c r="J7" s="48">
        <f t="shared" ref="J7:J13" si="9">W7-150</f>
        <v>4440</v>
      </c>
      <c r="K7" s="49">
        <f t="shared" ref="K7:K21" si="10">IF(J7&lt;=1000,(ROUNDUP(J7,-1)-1),(ROUNDDOWN(J7,-2)-10))</f>
        <v>4390</v>
      </c>
      <c r="L7" s="41">
        <f>VLOOKUP($A7,'Выгр Кат'!$A:$R,L$1,0)</f>
        <v>3200</v>
      </c>
      <c r="M7" s="41">
        <f>VLOOKUP($A7,'Выгр Кат'!$A:$R,M$1,0)</f>
        <v>4390</v>
      </c>
      <c r="N7" s="43">
        <f t="shared" si="1"/>
        <v>0</v>
      </c>
      <c r="O7" s="43">
        <f t="shared" si="2"/>
        <v>0</v>
      </c>
      <c r="P7" s="52">
        <f t="shared" si="3"/>
        <v>4390</v>
      </c>
      <c r="Q7" s="54">
        <f>IFERROR((VLOOKUP($A7,'Из ГУГЛа'!$B:$G,6,0)+S7)*R7,VLOOKUP($A7,'Из ГУГЛа'!$B:$G,6,0))</f>
        <v>4590</v>
      </c>
      <c r="R7" s="53">
        <v>1</v>
      </c>
      <c r="S7" s="53">
        <v>0</v>
      </c>
      <c r="T7" s="35">
        <f t="shared" si="4"/>
        <v>0.37187499999999996</v>
      </c>
      <c r="U7" s="35">
        <f t="shared" si="5"/>
        <v>4.357298474945534E-2</v>
      </c>
      <c r="V7" s="35">
        <f t="shared" si="6"/>
        <v>0.43437499999999996</v>
      </c>
      <c r="W7" s="23">
        <v>4590</v>
      </c>
      <c r="X7" t="s">
        <v>22</v>
      </c>
      <c r="Y7" s="28" t="s">
        <v>55</v>
      </c>
      <c r="Z7" s="31">
        <v>4074</v>
      </c>
      <c r="AA7" s="30"/>
      <c r="AB7" s="5"/>
      <c r="AC7" s="17"/>
      <c r="AD7" s="18">
        <f t="shared" si="7"/>
        <v>4332</v>
      </c>
      <c r="AE7" s="26">
        <f t="shared" si="8"/>
        <v>0.35375000000000001</v>
      </c>
    </row>
    <row r="8" spans="1:31" ht="46.5" thickTop="1" thickBot="1" x14ac:dyDescent="0.3">
      <c r="A8" s="41">
        <v>163874</v>
      </c>
      <c r="B8" s="41">
        <f>VLOOKUP($A8,'Выгр Кат'!$A:$R,B$1,0)</f>
        <v>816</v>
      </c>
      <c r="C8" s="42" t="str">
        <f>VLOOKUP($A8,'Выгр Кат'!$A:$R,C$1,0)</f>
        <v>Маховик облегченный, балансированный для ВАЗ 2101-2107 (16-ти клапанный двигатель)</v>
      </c>
      <c r="D8" s="41" t="str">
        <f>VLOOKUP($A8,'Выгр Кат'!$A:$R,D$1,0)</f>
        <v>Y</v>
      </c>
      <c r="E8" s="41" t="str">
        <f>VLOOKUP($A8,'Выгр Кат'!$A:$R,E$1,0)</f>
        <v>1</v>
      </c>
      <c r="F8" s="41">
        <f>VLOOKUP($A8,'Выгр Кат'!$A:$R,F$1,0)</f>
        <v>0</v>
      </c>
      <c r="G8" s="3" t="s">
        <v>5</v>
      </c>
      <c r="H8" s="47">
        <v>3200</v>
      </c>
      <c r="I8" s="3">
        <f>VLOOKUP(H8,Наценка!$A$1:$B$8,2,1)</f>
        <v>1.3</v>
      </c>
      <c r="J8" s="48">
        <f t="shared" si="9"/>
        <v>4240</v>
      </c>
      <c r="K8" s="49">
        <f t="shared" si="10"/>
        <v>4190</v>
      </c>
      <c r="L8" s="41">
        <f>VLOOKUP($A8,'Выгр Кат'!$A:$R,L$1,0)</f>
        <v>3200</v>
      </c>
      <c r="M8" s="41">
        <f>VLOOKUP($A8,'Выгр Кат'!$A:$R,M$1,0)</f>
        <v>4190</v>
      </c>
      <c r="N8" s="43">
        <f t="shared" si="1"/>
        <v>0</v>
      </c>
      <c r="O8" s="43">
        <f t="shared" si="2"/>
        <v>0</v>
      </c>
      <c r="P8" s="52">
        <f t="shared" si="3"/>
        <v>4190</v>
      </c>
      <c r="Q8" s="54">
        <f>IFERROR((VLOOKUP($A8,'Из ГУГЛа'!$B:$G,6,0)+S8)*R8,VLOOKUP($A8,'Из ГУГЛа'!$B:$G,6,0))</f>
        <v>4390</v>
      </c>
      <c r="R8" s="53">
        <v>1</v>
      </c>
      <c r="S8" s="53">
        <v>0</v>
      </c>
      <c r="T8" s="35">
        <f t="shared" si="4"/>
        <v>0.30937499999999996</v>
      </c>
      <c r="U8" s="35">
        <f t="shared" si="5"/>
        <v>4.5558086560364468E-2</v>
      </c>
      <c r="V8" s="35">
        <f t="shared" si="6"/>
        <v>0.37187499999999996</v>
      </c>
      <c r="W8" s="23">
        <v>4390</v>
      </c>
      <c r="X8" t="s">
        <v>28</v>
      </c>
      <c r="Y8" s="29"/>
      <c r="Z8" s="31"/>
      <c r="AA8" s="30"/>
      <c r="AB8" s="5"/>
      <c r="AC8" s="17"/>
      <c r="AD8" s="18">
        <f t="shared" si="7"/>
        <v>4390</v>
      </c>
      <c r="AE8" s="26">
        <f t="shared" si="8"/>
        <v>0.37187499999999996</v>
      </c>
    </row>
    <row r="9" spans="1:31" ht="46.5" thickTop="1" thickBot="1" x14ac:dyDescent="0.3">
      <c r="A9" s="41">
        <v>163875</v>
      </c>
      <c r="B9" s="41">
        <f>VLOOKUP($A9,'Выгр Кат'!$A:$R,B$1,0)</f>
        <v>815</v>
      </c>
      <c r="C9" s="42" t="str">
        <f>VLOOKUP($A9,'Выгр Кат'!$A:$R,C$1,0)</f>
        <v>Маховик облегченный, балансированный для ВАЗ 2108-21099, 2113-2115</v>
      </c>
      <c r="D9" s="41" t="str">
        <f>VLOOKUP($A9,'Выгр Кат'!$A:$R,D$1,0)</f>
        <v>Y</v>
      </c>
      <c r="E9" s="41" t="str">
        <f>VLOOKUP($A9,'Выгр Кат'!$A:$R,E$1,0)</f>
        <v>1</v>
      </c>
      <c r="F9" s="41">
        <f>VLOOKUP($A9,'Выгр Кат'!$A:$R,F$1,0)</f>
        <v>0</v>
      </c>
      <c r="G9" s="3" t="s">
        <v>5</v>
      </c>
      <c r="H9" s="47">
        <v>3200</v>
      </c>
      <c r="I9" s="3">
        <f>VLOOKUP(H9,Наценка!$A$1:$B$8,2,1)</f>
        <v>1.3</v>
      </c>
      <c r="J9" s="48">
        <f t="shared" si="9"/>
        <v>4440</v>
      </c>
      <c r="K9" s="49">
        <f t="shared" si="10"/>
        <v>4390</v>
      </c>
      <c r="L9" s="41">
        <f>VLOOKUP($A9,'Выгр Кат'!$A:$R,L$1,0)</f>
        <v>3200</v>
      </c>
      <c r="M9" s="41">
        <f>VLOOKUP($A9,'Выгр Кат'!$A:$R,M$1,0)</f>
        <v>4390</v>
      </c>
      <c r="N9" s="43">
        <f t="shared" si="1"/>
        <v>0</v>
      </c>
      <c r="O9" s="43">
        <f t="shared" si="2"/>
        <v>0</v>
      </c>
      <c r="P9" s="52">
        <f t="shared" si="3"/>
        <v>4390</v>
      </c>
      <c r="Q9" s="54">
        <f>IFERROR((VLOOKUP($A9,'Из ГУГЛа'!$B:$G,6,0)+S9)*R9,VLOOKUP($A9,'Из ГУГЛа'!$B:$G,6,0))</f>
        <v>4590</v>
      </c>
      <c r="R9" s="53">
        <v>1</v>
      </c>
      <c r="S9" s="53">
        <v>0</v>
      </c>
      <c r="T9" s="35">
        <f t="shared" si="4"/>
        <v>0.37187499999999996</v>
      </c>
      <c r="U9" s="35">
        <f t="shared" si="5"/>
        <v>4.357298474945534E-2</v>
      </c>
      <c r="V9" s="35">
        <f t="shared" si="6"/>
        <v>0.43437499999999996</v>
      </c>
      <c r="W9" s="23">
        <v>4590</v>
      </c>
      <c r="X9" t="s">
        <v>19</v>
      </c>
      <c r="Y9" s="28" t="s">
        <v>56</v>
      </c>
      <c r="Z9" s="31">
        <v>3793</v>
      </c>
      <c r="AA9" s="30"/>
      <c r="AB9" s="5"/>
      <c r="AC9" s="17"/>
      <c r="AD9" s="18">
        <f t="shared" si="7"/>
        <v>4191.5</v>
      </c>
      <c r="AE9" s="26">
        <f t="shared" si="8"/>
        <v>0.30984374999999997</v>
      </c>
    </row>
    <row r="10" spans="1:31" ht="46.5" thickTop="1" thickBot="1" x14ac:dyDescent="0.3">
      <c r="A10" s="41">
        <v>163876</v>
      </c>
      <c r="B10" s="41">
        <f>VLOOKUP($A10,'Выгр Кат'!$A:$R,B$1,0)</f>
        <v>825</v>
      </c>
      <c r="C10" s="42" t="str">
        <f>VLOOKUP($A10,'Выгр Кат'!$A:$R,C$1,0)</f>
        <v>Маховик облегченный, балансированный для ВАЗ 2108-21099, 2113-2115 (сцепление 2110)</v>
      </c>
      <c r="D10" s="41" t="str">
        <f>VLOOKUP($A10,'Выгр Кат'!$A:$R,D$1,0)</f>
        <v>Y</v>
      </c>
      <c r="E10" s="41" t="str">
        <f>VLOOKUP($A10,'Выгр Кат'!$A:$R,E$1,0)</f>
        <v>1</v>
      </c>
      <c r="F10" s="41">
        <f>VLOOKUP($A10,'Выгр Кат'!$A:$R,F$1,0)</f>
        <v>0</v>
      </c>
      <c r="G10" s="3" t="s">
        <v>5</v>
      </c>
      <c r="H10" s="47">
        <v>3200</v>
      </c>
      <c r="I10" s="3">
        <f>VLOOKUP(H10,Наценка!$A$1:$B$8,2,1)</f>
        <v>1.3</v>
      </c>
      <c r="J10" s="48">
        <f t="shared" si="9"/>
        <v>4240</v>
      </c>
      <c r="K10" s="49">
        <f t="shared" si="10"/>
        <v>4190</v>
      </c>
      <c r="L10" s="41">
        <f>VLOOKUP($A10,'Выгр Кат'!$A:$R,L$1,0)</f>
        <v>3200</v>
      </c>
      <c r="M10" s="41">
        <f>VLOOKUP($A10,'Выгр Кат'!$A:$R,M$1,0)</f>
        <v>4190</v>
      </c>
      <c r="N10" s="43">
        <f t="shared" si="1"/>
        <v>0</v>
      </c>
      <c r="O10" s="43">
        <f t="shared" si="2"/>
        <v>0</v>
      </c>
      <c r="P10" s="52">
        <f t="shared" si="3"/>
        <v>4190</v>
      </c>
      <c r="Q10" s="54">
        <f>IFERROR((VLOOKUP($A10,'Из ГУГЛа'!$B:$G,6,0)+S10)*R10,VLOOKUP($A10,'Из ГУГЛа'!$B:$G,6,0))</f>
        <v>4390</v>
      </c>
      <c r="R10" s="53">
        <v>1</v>
      </c>
      <c r="S10" s="53">
        <v>0</v>
      </c>
      <c r="T10" s="35">
        <f t="shared" si="4"/>
        <v>0.30937499999999996</v>
      </c>
      <c r="U10" s="35">
        <f t="shared" si="5"/>
        <v>4.5558086560364468E-2</v>
      </c>
      <c r="V10" s="35">
        <f t="shared" si="6"/>
        <v>0.37187499999999996</v>
      </c>
      <c r="W10" s="23">
        <v>4390</v>
      </c>
      <c r="X10" t="s">
        <v>18</v>
      </c>
      <c r="Y10" s="28"/>
      <c r="Z10" s="31"/>
      <c r="AA10" s="30"/>
      <c r="AB10" s="5"/>
      <c r="AC10" s="17"/>
      <c r="AD10" s="18">
        <f t="shared" si="7"/>
        <v>4390</v>
      </c>
      <c r="AE10" s="26">
        <f t="shared" si="8"/>
        <v>0.37187499999999996</v>
      </c>
    </row>
    <row r="11" spans="1:31" ht="46.5" thickTop="1" thickBot="1" x14ac:dyDescent="0.3">
      <c r="A11" s="41">
        <v>163877</v>
      </c>
      <c r="B11" s="41">
        <f>VLOOKUP($A11,'Выгр Кат'!$A:$R,B$1,0)</f>
        <v>810</v>
      </c>
      <c r="C11" s="42" t="str">
        <f>VLOOKUP($A11,'Выгр Кат'!$A:$R,C$1,0)</f>
        <v>Маховик облегченный, балансированный для ВАЗ 2110-2112, Лада (Калина, Приора, Гранта)</v>
      </c>
      <c r="D11" s="41" t="str">
        <f>VLOOKUP($A11,'Выгр Кат'!$A:$R,D$1,0)</f>
        <v>Y</v>
      </c>
      <c r="E11" s="41" t="str">
        <f>VLOOKUP($A11,'Выгр Кат'!$A:$R,E$1,0)</f>
        <v>1</v>
      </c>
      <c r="F11" s="41">
        <f>VLOOKUP($A11,'Выгр Кат'!$A:$R,F$1,0)</f>
        <v>0</v>
      </c>
      <c r="G11" s="3" t="s">
        <v>5</v>
      </c>
      <c r="H11" s="47">
        <v>3200</v>
      </c>
      <c r="I11" s="3">
        <f>VLOOKUP(H11,Наценка!$A$1:$B$8,2,1)</f>
        <v>1.3</v>
      </c>
      <c r="J11" s="48">
        <f t="shared" si="9"/>
        <v>4240</v>
      </c>
      <c r="K11" s="49">
        <f t="shared" si="10"/>
        <v>4190</v>
      </c>
      <c r="L11" s="41">
        <f>VLOOKUP($A11,'Выгр Кат'!$A:$R,L$1,0)</f>
        <v>3200</v>
      </c>
      <c r="M11" s="41">
        <f>VLOOKUP($A11,'Выгр Кат'!$A:$R,M$1,0)</f>
        <v>4190</v>
      </c>
      <c r="N11" s="43">
        <f t="shared" si="1"/>
        <v>0</v>
      </c>
      <c r="O11" s="43">
        <f t="shared" si="2"/>
        <v>0</v>
      </c>
      <c r="P11" s="52">
        <f t="shared" si="3"/>
        <v>4190</v>
      </c>
      <c r="Q11" s="54">
        <f>IFERROR((VLOOKUP($A11,'Из ГУГЛа'!$B:$G,6,0)+S11)*R11,VLOOKUP($A11,'Из ГУГЛа'!$B:$G,6,0))</f>
        <v>4390</v>
      </c>
      <c r="R11" s="53">
        <v>1</v>
      </c>
      <c r="S11" s="53">
        <v>0</v>
      </c>
      <c r="T11" s="35">
        <f t="shared" si="4"/>
        <v>0.30937499999999996</v>
      </c>
      <c r="U11" s="35">
        <f t="shared" si="5"/>
        <v>4.5558086560364468E-2</v>
      </c>
      <c r="V11" s="35">
        <f t="shared" si="6"/>
        <v>0.37187499999999996</v>
      </c>
      <c r="W11" s="23">
        <v>4390</v>
      </c>
      <c r="X11" t="s">
        <v>16</v>
      </c>
      <c r="Y11" s="28"/>
      <c r="Z11" s="31"/>
      <c r="AA11" s="30"/>
      <c r="AB11" s="5"/>
      <c r="AC11" s="17"/>
      <c r="AD11" s="18">
        <f t="shared" si="7"/>
        <v>4390</v>
      </c>
      <c r="AE11" s="26">
        <f t="shared" si="8"/>
        <v>0.37187499999999996</v>
      </c>
    </row>
    <row r="12" spans="1:31" ht="31.5" thickTop="1" thickBot="1" x14ac:dyDescent="0.3">
      <c r="A12" s="41">
        <v>163879</v>
      </c>
      <c r="B12" s="41">
        <f>VLOOKUP($A12,'Выгр Кат'!$A:$R,B$1,0)</f>
        <v>822</v>
      </c>
      <c r="C12" s="42" t="str">
        <f>VLOOKUP($A12,'Выгр Кат'!$A:$R,C$1,0)</f>
        <v>Маховик облегченный, балансированный для Лада Нива 4х4</v>
      </c>
      <c r="D12" s="41" t="str">
        <f>VLOOKUP($A12,'Выгр Кат'!$A:$R,D$1,0)</f>
        <v>Y</v>
      </c>
      <c r="E12" s="41" t="str">
        <f>VLOOKUP($A12,'Выгр Кат'!$A:$R,E$1,0)</f>
        <v>1</v>
      </c>
      <c r="F12" s="41">
        <f>VLOOKUP($A12,'Выгр Кат'!$A:$R,F$1,0)</f>
        <v>0</v>
      </c>
      <c r="G12" s="3" t="s">
        <v>5</v>
      </c>
      <c r="H12" s="47">
        <v>3200</v>
      </c>
      <c r="I12" s="3">
        <f>VLOOKUP(H12,Наценка!$A$1:$B$8,2,1)</f>
        <v>1.3</v>
      </c>
      <c r="J12" s="48">
        <f t="shared" si="9"/>
        <v>4440</v>
      </c>
      <c r="K12" s="49">
        <f t="shared" si="10"/>
        <v>4390</v>
      </c>
      <c r="L12" s="41">
        <f>VLOOKUP($A12,'Выгр Кат'!$A:$R,L$1,0)</f>
        <v>3200</v>
      </c>
      <c r="M12" s="41">
        <f>VLOOKUP($A12,'Выгр Кат'!$A:$R,M$1,0)</f>
        <v>4390</v>
      </c>
      <c r="N12" s="43">
        <f t="shared" si="1"/>
        <v>0</v>
      </c>
      <c r="O12" s="43">
        <f t="shared" si="2"/>
        <v>0</v>
      </c>
      <c r="P12" s="52">
        <f t="shared" si="3"/>
        <v>4390</v>
      </c>
      <c r="Q12" s="54">
        <f>IFERROR((VLOOKUP($A12,'Из ГУГЛа'!$B:$G,6,0)+S12)*R12,VLOOKUP($A12,'Из ГУГЛа'!$B:$G,6,0))</f>
        <v>4590</v>
      </c>
      <c r="R12" s="53">
        <v>1</v>
      </c>
      <c r="S12" s="53">
        <v>0</v>
      </c>
      <c r="T12" s="35">
        <f t="shared" si="4"/>
        <v>0.37187499999999996</v>
      </c>
      <c r="U12" s="35">
        <f t="shared" si="5"/>
        <v>4.357298474945534E-2</v>
      </c>
      <c r="V12" s="35">
        <f t="shared" si="6"/>
        <v>0.43437499999999996</v>
      </c>
      <c r="W12" s="23">
        <v>4590</v>
      </c>
      <c r="X12" t="s">
        <v>22</v>
      </c>
      <c r="Y12" s="28"/>
      <c r="Z12" s="31"/>
      <c r="AA12" s="30"/>
      <c r="AB12" s="5"/>
      <c r="AC12" s="17"/>
      <c r="AD12" s="18">
        <f t="shared" si="7"/>
        <v>4590</v>
      </c>
      <c r="AE12" s="26">
        <f t="shared" si="8"/>
        <v>0.43437499999999996</v>
      </c>
    </row>
    <row r="13" spans="1:31" ht="31.5" thickTop="1" thickBot="1" x14ac:dyDescent="0.3">
      <c r="A13" s="41">
        <v>163892</v>
      </c>
      <c r="B13" s="41">
        <f>VLOOKUP($A13,'Выгр Кат'!$A:$R,B$1,0)</f>
        <v>38879</v>
      </c>
      <c r="C13" s="42" t="str">
        <f>VLOOKUP($A13,'Выгр Кат'!$A:$R,C$1,0)</f>
        <v>Маховик облегченный тяжелый для Лада Веста (сцепление 2123)</v>
      </c>
      <c r="D13" s="41" t="str">
        <f>VLOOKUP($A13,'Выгр Кат'!$A:$R,D$1,0)</f>
        <v>Y</v>
      </c>
      <c r="E13" s="41" t="str">
        <f>VLOOKUP($A13,'Выгр Кат'!$A:$R,E$1,0)</f>
        <v>1</v>
      </c>
      <c r="F13" s="41">
        <f>VLOOKUP($A13,'Выгр Кат'!$A:$R,F$1,0)</f>
        <v>0</v>
      </c>
      <c r="G13" s="3" t="s">
        <v>5</v>
      </c>
      <c r="H13" s="47">
        <v>4000</v>
      </c>
      <c r="I13" s="3">
        <f>VLOOKUP(H13,Наценка!$A$1:$B$8,2,1)</f>
        <v>1.3</v>
      </c>
      <c r="J13" s="48">
        <f t="shared" si="9"/>
        <v>5340</v>
      </c>
      <c r="K13" s="49">
        <f t="shared" si="10"/>
        <v>5290</v>
      </c>
      <c r="L13" s="41">
        <f>VLOOKUP($A13,'Выгр Кат'!$A:$R,L$1,0)</f>
        <v>4000</v>
      </c>
      <c r="M13" s="41">
        <f>VLOOKUP($A13,'Выгр Кат'!$A:$R,M$1,0)</f>
        <v>5290</v>
      </c>
      <c r="N13" s="43">
        <f t="shared" si="1"/>
        <v>0</v>
      </c>
      <c r="O13" s="43">
        <f t="shared" si="2"/>
        <v>0</v>
      </c>
      <c r="P13" s="52">
        <f t="shared" si="3"/>
        <v>5290</v>
      </c>
      <c r="Q13" s="54">
        <f>IFERROR((VLOOKUP($A13,'Из ГУГЛа'!$B:$G,6,0)+S13)*R13,VLOOKUP($A13,'Из ГУГЛа'!$B:$G,6,0))</f>
        <v>5490</v>
      </c>
      <c r="R13" s="53">
        <v>1</v>
      </c>
      <c r="S13" s="53">
        <v>0</v>
      </c>
      <c r="T13" s="35">
        <f t="shared" si="4"/>
        <v>0.32250000000000001</v>
      </c>
      <c r="U13" s="35">
        <f t="shared" si="5"/>
        <v>3.6429872495446269E-2</v>
      </c>
      <c r="V13" s="35">
        <f t="shared" si="6"/>
        <v>0.37250000000000005</v>
      </c>
      <c r="W13" s="23">
        <v>5490</v>
      </c>
      <c r="X13" t="s">
        <v>24</v>
      </c>
      <c r="Y13" s="29"/>
      <c r="Z13" s="31"/>
      <c r="AA13" s="30"/>
      <c r="AB13" s="5"/>
      <c r="AC13" s="17"/>
      <c r="AD13" s="18">
        <f t="shared" si="7"/>
        <v>5490</v>
      </c>
      <c r="AE13" s="26">
        <f t="shared" si="8"/>
        <v>0.37250000000000005</v>
      </c>
    </row>
    <row r="14" spans="1:31" ht="27.75" thickTop="1" thickBot="1" x14ac:dyDescent="0.3">
      <c r="A14" s="41">
        <v>163893</v>
      </c>
      <c r="B14" s="41">
        <f>VLOOKUP($A14,'Выгр Кат'!$A:$R,B$1,0)</f>
        <v>38878</v>
      </c>
      <c r="C14" s="42" t="str">
        <f>VLOOKUP($A14,'Выгр Кат'!$A:$R,C$1,0)</f>
        <v>Маховик облегченный для Лада Веста</v>
      </c>
      <c r="D14" s="41" t="str">
        <f>VLOOKUP($A14,'Выгр Кат'!$A:$R,D$1,0)</f>
        <v>Y</v>
      </c>
      <c r="E14" s="41" t="str">
        <f>VLOOKUP($A14,'Выгр Кат'!$A:$R,E$1,0)</f>
        <v>1</v>
      </c>
      <c r="F14" s="41">
        <f>VLOOKUP($A14,'Выгр Кат'!$A:$R,F$1,0)</f>
        <v>0</v>
      </c>
      <c r="G14" s="3" t="s">
        <v>5</v>
      </c>
      <c r="H14" s="47">
        <v>3800</v>
      </c>
      <c r="I14" s="3">
        <f>VLOOKUP(H14,Наценка!$A$1:$B$8,2,1)</f>
        <v>1.3</v>
      </c>
      <c r="J14" s="9">
        <f>H14*I14</f>
        <v>4940</v>
      </c>
      <c r="K14" s="49">
        <f t="shared" si="10"/>
        <v>4890</v>
      </c>
      <c r="L14" s="41">
        <f>VLOOKUP($A14,'Выгр Кат'!$A:$R,L$1,0)</f>
        <v>3800</v>
      </c>
      <c r="M14" s="41">
        <f>VLOOKUP($A14,'Выгр Кат'!$A:$R,M$1,0)</f>
        <v>4890</v>
      </c>
      <c r="N14" s="43">
        <f t="shared" si="1"/>
        <v>0</v>
      </c>
      <c r="O14" s="43">
        <f t="shared" si="2"/>
        <v>0</v>
      </c>
      <c r="P14" s="52">
        <f t="shared" si="3"/>
        <v>4890</v>
      </c>
      <c r="Q14" s="54">
        <f>IFERROR((VLOOKUP($A14,'Из ГУГЛа'!$B:$G,6,0)+S14)*R14,VLOOKUP($A14,'Из ГУГЛа'!$B:$G,6,0))</f>
        <v>4490</v>
      </c>
      <c r="R14" s="53">
        <v>1</v>
      </c>
      <c r="S14" s="53">
        <v>0</v>
      </c>
      <c r="T14" s="35">
        <f t="shared" si="4"/>
        <v>0.28684210526315779</v>
      </c>
      <c r="U14" s="35" t="str">
        <f t="shared" si="5"/>
        <v/>
      </c>
      <c r="V14" s="35" t="str">
        <f t="shared" si="6"/>
        <v/>
      </c>
      <c r="W14" s="23" t="s">
        <v>105</v>
      </c>
      <c r="X14" t="s">
        <v>29</v>
      </c>
      <c r="Y14" s="29"/>
      <c r="Z14" s="31"/>
      <c r="AA14" s="30"/>
      <c r="AB14" s="5"/>
      <c r="AC14" s="17"/>
      <c r="AD14" s="18" t="str">
        <f t="shared" si="7"/>
        <v/>
      </c>
      <c r="AE14" s="26" t="str">
        <f t="shared" si="8"/>
        <v/>
      </c>
    </row>
    <row r="15" spans="1:31" ht="31.5" thickTop="1" thickBot="1" x14ac:dyDescent="0.3">
      <c r="A15" s="41">
        <v>163894</v>
      </c>
      <c r="B15" s="41">
        <f>VLOOKUP($A15,'Выгр Кат'!$A:$R,B$1,0)</f>
        <v>38880</v>
      </c>
      <c r="C15" s="42" t="str">
        <f>VLOOKUP($A15,'Выгр Кат'!$A:$R,C$1,0)</f>
        <v>Маховик облегченный, балансированный для ВАЗ 2110-2112</v>
      </c>
      <c r="D15" s="41" t="str">
        <f>VLOOKUP($A15,'Выгр Кат'!$A:$R,D$1,0)</f>
        <v>Y</v>
      </c>
      <c r="E15" s="41" t="str">
        <f>VLOOKUP($A15,'Выгр Кат'!$A:$R,E$1,0)</f>
        <v>1</v>
      </c>
      <c r="F15" s="41">
        <f>VLOOKUP($A15,'Выгр Кат'!$A:$R,F$1,0)</f>
        <v>0</v>
      </c>
      <c r="G15" s="3" t="s">
        <v>5</v>
      </c>
      <c r="H15" s="47">
        <v>9160</v>
      </c>
      <c r="I15" s="3">
        <f>VLOOKUP(H15,Наценка!$A$1:$B$8,2,1)</f>
        <v>1.3</v>
      </c>
      <c r="J15" s="48">
        <f t="shared" ref="J15:J21" si="11">W15-150</f>
        <v>11640</v>
      </c>
      <c r="K15" s="49">
        <f t="shared" si="10"/>
        <v>11590</v>
      </c>
      <c r="L15" s="41">
        <f>VLOOKUP($A15,'Выгр Кат'!$A:$R,L$1,0)</f>
        <v>9160</v>
      </c>
      <c r="M15" s="41">
        <f>VLOOKUP($A15,'Выгр Кат'!$A:$R,M$1,0)</f>
        <v>11590</v>
      </c>
      <c r="N15" s="43">
        <f t="shared" si="1"/>
        <v>0</v>
      </c>
      <c r="O15" s="43">
        <f t="shared" si="2"/>
        <v>0</v>
      </c>
      <c r="P15" s="52">
        <f t="shared" si="3"/>
        <v>11590</v>
      </c>
      <c r="Q15" s="54">
        <f>IFERROR((VLOOKUP($A15,'Из ГУГЛа'!$B:$G,6,0)+S15)*R15,VLOOKUP($A15,'Из ГУГЛа'!$B:$G,6,0))</f>
        <v>11790</v>
      </c>
      <c r="R15" s="53">
        <v>1</v>
      </c>
      <c r="S15" s="53">
        <v>0</v>
      </c>
      <c r="T15" s="35">
        <f t="shared" si="4"/>
        <v>0.26528384279475992</v>
      </c>
      <c r="U15" s="35">
        <f t="shared" si="5"/>
        <v>1.6963528413910092E-2</v>
      </c>
      <c r="V15" s="35">
        <f t="shared" si="6"/>
        <v>0.28711790393013104</v>
      </c>
      <c r="W15" s="23">
        <v>11790</v>
      </c>
      <c r="X15" t="s">
        <v>23</v>
      </c>
      <c r="Y15" s="29"/>
      <c r="Z15" s="31"/>
      <c r="AA15" s="30"/>
      <c r="AB15" s="5"/>
      <c r="AC15" s="17"/>
      <c r="AD15" s="18">
        <f t="shared" si="7"/>
        <v>11790</v>
      </c>
      <c r="AE15" s="26">
        <f t="shared" si="8"/>
        <v>0.28711790393013104</v>
      </c>
    </row>
    <row r="16" spans="1:31" ht="31.5" thickTop="1" thickBot="1" x14ac:dyDescent="0.3">
      <c r="A16" s="41">
        <v>163895</v>
      </c>
      <c r="B16" s="41">
        <f>VLOOKUP($A16,'Выгр Кат'!$A:$R,B$1,0)</f>
        <v>38881</v>
      </c>
      <c r="C16" s="42" t="str">
        <f>VLOOKUP($A16,'Выгр Кат'!$A:$R,C$1,0)</f>
        <v>Маховик облегченный, балансированный для Лада Гранта</v>
      </c>
      <c r="D16" s="41" t="str">
        <f>VLOOKUP($A16,'Выгр Кат'!$A:$R,D$1,0)</f>
        <v>Y</v>
      </c>
      <c r="E16" s="41" t="str">
        <f>VLOOKUP($A16,'Выгр Кат'!$A:$R,E$1,0)</f>
        <v>1</v>
      </c>
      <c r="F16" s="41">
        <f>VLOOKUP($A16,'Выгр Кат'!$A:$R,F$1,0)</f>
        <v>0</v>
      </c>
      <c r="G16" s="3" t="s">
        <v>5</v>
      </c>
      <c r="H16" s="47">
        <v>9160</v>
      </c>
      <c r="I16" s="3">
        <f>VLOOKUP(H16,Наценка!$A$1:$B$8,2,1)</f>
        <v>1.3</v>
      </c>
      <c r="J16" s="48">
        <f t="shared" si="11"/>
        <v>12340</v>
      </c>
      <c r="K16" s="49">
        <f t="shared" si="10"/>
        <v>12290</v>
      </c>
      <c r="L16" s="41">
        <f>VLOOKUP($A16,'Выгр Кат'!$A:$R,L$1,0)</f>
        <v>9160</v>
      </c>
      <c r="M16" s="41">
        <f>VLOOKUP($A16,'Выгр Кат'!$A:$R,M$1,0)</f>
        <v>12290</v>
      </c>
      <c r="N16" s="43">
        <f t="shared" si="1"/>
        <v>0</v>
      </c>
      <c r="O16" s="43">
        <f t="shared" si="2"/>
        <v>0</v>
      </c>
      <c r="P16" s="52">
        <f t="shared" si="3"/>
        <v>12290</v>
      </c>
      <c r="Q16" s="54">
        <f>IFERROR((VLOOKUP($A16,'Из ГУГЛа'!$B:$G,6,0)+S16)*R16,VLOOKUP($A16,'Из ГУГЛа'!$B:$G,6,0))</f>
        <v>12490</v>
      </c>
      <c r="R16" s="53">
        <v>1</v>
      </c>
      <c r="S16" s="53">
        <v>0</v>
      </c>
      <c r="T16" s="35">
        <f t="shared" si="4"/>
        <v>0.34170305676855905</v>
      </c>
      <c r="U16" s="35">
        <f t="shared" si="5"/>
        <v>1.6012810248198558E-2</v>
      </c>
      <c r="V16" s="35">
        <f t="shared" si="6"/>
        <v>0.36353711790393017</v>
      </c>
      <c r="W16" s="23">
        <v>12490</v>
      </c>
      <c r="X16" t="s">
        <v>25</v>
      </c>
      <c r="Y16" s="29"/>
      <c r="Z16" s="31"/>
      <c r="AA16" s="30"/>
      <c r="AB16" s="5"/>
      <c r="AC16" s="17"/>
      <c r="AD16" s="18">
        <f t="shared" si="7"/>
        <v>12490</v>
      </c>
      <c r="AE16" s="26">
        <f t="shared" si="8"/>
        <v>0.36353711790393017</v>
      </c>
    </row>
    <row r="17" spans="1:31" ht="46.5" thickTop="1" thickBot="1" x14ac:dyDescent="0.3">
      <c r="A17" s="41">
        <v>163896</v>
      </c>
      <c r="B17" s="41">
        <f>VLOOKUP($A17,'Выгр Кат'!$A:$R,B$1,0)</f>
        <v>38874</v>
      </c>
      <c r="C17" s="42" t="str">
        <f>VLOOKUP($A17,'Выгр Кат'!$A:$R,C$1,0)</f>
        <v>Маховик облегченный для ВАЗ 2101-2107, Лада Нива 4х4 (сцепление 2123, 16-ти клапанный двигатель)</v>
      </c>
      <c r="D17" s="41" t="str">
        <f>VLOOKUP($A17,'Выгр Кат'!$A:$R,D$1,0)</f>
        <v>Y</v>
      </c>
      <c r="E17" s="41" t="str">
        <f>VLOOKUP($A17,'Выгр Кат'!$A:$R,E$1,0)</f>
        <v>1ск4</v>
      </c>
      <c r="F17" s="41">
        <f>VLOOKUP($A17,'Выгр Кат'!$A:$R,F$1,0)</f>
        <v>0</v>
      </c>
      <c r="G17" s="3" t="s">
        <v>5</v>
      </c>
      <c r="H17" s="47">
        <v>3200</v>
      </c>
      <c r="I17" s="3">
        <f>VLOOKUP(H17,Наценка!$A$1:$B$8,2,1)</f>
        <v>1.3</v>
      </c>
      <c r="J17" s="48">
        <f t="shared" si="11"/>
        <v>4440</v>
      </c>
      <c r="K17" s="49">
        <f t="shared" si="10"/>
        <v>4390</v>
      </c>
      <c r="L17" s="41">
        <f>VLOOKUP($A17,'Выгр Кат'!$A:$R,L$1,0)</f>
        <v>3200</v>
      </c>
      <c r="M17" s="41">
        <f>VLOOKUP($A17,'Выгр Кат'!$A:$R,M$1,0)</f>
        <v>4390</v>
      </c>
      <c r="N17" s="43">
        <f t="shared" si="1"/>
        <v>0</v>
      </c>
      <c r="O17" s="43">
        <f t="shared" si="2"/>
        <v>0</v>
      </c>
      <c r="P17" s="52">
        <f t="shared" si="3"/>
        <v>4390</v>
      </c>
      <c r="Q17" s="54">
        <f>IFERROR((VLOOKUP($A17,'Из ГУГЛа'!$B:$G,6,0)+S17)*R17,VLOOKUP($A17,'Из ГУГЛа'!$B:$G,6,0))</f>
        <v>4590</v>
      </c>
      <c r="R17" s="53">
        <v>1</v>
      </c>
      <c r="S17" s="53">
        <v>0</v>
      </c>
      <c r="T17" s="35">
        <f t="shared" si="4"/>
        <v>0.37187499999999996</v>
      </c>
      <c r="U17" s="35">
        <f t="shared" si="5"/>
        <v>4.357298474945534E-2</v>
      </c>
      <c r="V17" s="35">
        <f t="shared" si="6"/>
        <v>0.43437499999999996</v>
      </c>
      <c r="W17" s="23">
        <v>4590</v>
      </c>
      <c r="X17" t="s">
        <v>17</v>
      </c>
      <c r="Y17" s="28"/>
      <c r="Z17" s="31"/>
      <c r="AA17" s="30"/>
      <c r="AB17" s="5"/>
      <c r="AC17" s="17"/>
      <c r="AD17" s="18">
        <f t="shared" si="7"/>
        <v>4590</v>
      </c>
      <c r="AE17" s="26">
        <f t="shared" si="8"/>
        <v>0.43437499999999996</v>
      </c>
    </row>
    <row r="18" spans="1:31" ht="31.5" thickTop="1" thickBot="1" x14ac:dyDescent="0.3">
      <c r="A18" s="41">
        <v>163897</v>
      </c>
      <c r="B18" s="41">
        <f>VLOOKUP($A18,'Выгр Кат'!$A:$R,B$1,0)</f>
        <v>38877</v>
      </c>
      <c r="C18" s="42" t="str">
        <f>VLOOKUP($A18,'Выгр Кат'!$A:$R,C$1,0)</f>
        <v>Маховик "Турбо" облегченный для Шевроле Нива (сцепление 2123)</v>
      </c>
      <c r="D18" s="41" t="str">
        <f>VLOOKUP($A18,'Выгр Кат'!$A:$R,D$1,0)</f>
        <v>Y</v>
      </c>
      <c r="E18" s="41" t="str">
        <f>VLOOKUP($A18,'Выгр Кат'!$A:$R,E$1,0)</f>
        <v>1</v>
      </c>
      <c r="F18" s="41">
        <f>VLOOKUP($A18,'Выгр Кат'!$A:$R,F$1,0)</f>
        <v>0</v>
      </c>
      <c r="G18" s="3" t="s">
        <v>5</v>
      </c>
      <c r="H18" s="47">
        <v>3100</v>
      </c>
      <c r="I18" s="3">
        <f>VLOOKUP(H18,Наценка!$A$1:$B$8,2,1)</f>
        <v>1.3</v>
      </c>
      <c r="J18" s="48">
        <f t="shared" si="11"/>
        <v>4340</v>
      </c>
      <c r="K18" s="49">
        <f t="shared" si="10"/>
        <v>4290</v>
      </c>
      <c r="L18" s="41">
        <f>VLOOKUP($A18,'Выгр Кат'!$A:$R,L$1,0)</f>
        <v>3100</v>
      </c>
      <c r="M18" s="41">
        <f>VLOOKUP($A18,'Выгр Кат'!$A:$R,M$1,0)</f>
        <v>4290</v>
      </c>
      <c r="N18" s="43">
        <f t="shared" si="1"/>
        <v>0</v>
      </c>
      <c r="O18" s="43">
        <f t="shared" si="2"/>
        <v>0</v>
      </c>
      <c r="P18" s="52">
        <f t="shared" si="3"/>
        <v>4290</v>
      </c>
      <c r="Q18" s="54">
        <f>IFERROR((VLOOKUP($A18,'Из ГУГЛа'!$B:$G,6,0)+S18)*R18,VLOOKUP($A18,'Из ГУГЛа'!$B:$G,6,0))</f>
        <v>4490</v>
      </c>
      <c r="R18" s="53">
        <v>1</v>
      </c>
      <c r="S18" s="53">
        <v>0</v>
      </c>
      <c r="T18" s="35">
        <f t="shared" si="4"/>
        <v>0.38387096774193541</v>
      </c>
      <c r="U18" s="35">
        <f t="shared" si="5"/>
        <v>4.4543429844097995E-2</v>
      </c>
      <c r="V18" s="35">
        <f t="shared" si="6"/>
        <v>0.44838709677419364</v>
      </c>
      <c r="W18" s="23">
        <v>4490</v>
      </c>
      <c r="X18" t="s">
        <v>27</v>
      </c>
      <c r="Y18" s="28"/>
      <c r="Z18" s="31"/>
      <c r="AA18" s="30"/>
      <c r="AB18" s="5"/>
      <c r="AC18" s="17"/>
      <c r="AD18" s="18">
        <f t="shared" si="7"/>
        <v>4490</v>
      </c>
      <c r="AE18" s="26">
        <f t="shared" si="8"/>
        <v>0.44838709677419364</v>
      </c>
    </row>
    <row r="19" spans="1:31" ht="46.5" thickTop="1" thickBot="1" x14ac:dyDescent="0.3">
      <c r="A19" s="41">
        <v>163898</v>
      </c>
      <c r="B19" s="41">
        <f>VLOOKUP($A19,'Выгр Кат'!$A:$R,B$1,0)</f>
        <v>38876</v>
      </c>
      <c r="C19" s="42" t="str">
        <f>VLOOKUP($A19,'Выгр Кат'!$A:$R,C$1,0)</f>
        <v>Маховик "Турбо" облегченный для ВАЗ 2108-21099, 2113-2115 (сцепление 2110)</v>
      </c>
      <c r="D19" s="41" t="str">
        <f>VLOOKUP($A19,'Выгр Кат'!$A:$R,D$1,0)</f>
        <v>Y</v>
      </c>
      <c r="E19" s="41" t="str">
        <f>VLOOKUP($A19,'Выгр Кат'!$A:$R,E$1,0)</f>
        <v>1</v>
      </c>
      <c r="F19" s="41">
        <f>VLOOKUP($A19,'Выгр Кат'!$A:$R,F$1,0)</f>
        <v>0</v>
      </c>
      <c r="G19" s="3" t="s">
        <v>5</v>
      </c>
      <c r="H19" s="47">
        <v>3100</v>
      </c>
      <c r="I19" s="3">
        <f>VLOOKUP(H19,Наценка!$A$1:$B$8,2,1)</f>
        <v>1.3</v>
      </c>
      <c r="J19" s="48">
        <f t="shared" si="11"/>
        <v>4040</v>
      </c>
      <c r="K19" s="49">
        <f t="shared" si="10"/>
        <v>3990</v>
      </c>
      <c r="L19" s="41">
        <f>VLOOKUP($A19,'Выгр Кат'!$A:$R,L$1,0)</f>
        <v>3100</v>
      </c>
      <c r="M19" s="41">
        <f>VLOOKUP($A19,'Выгр Кат'!$A:$R,M$1,0)</f>
        <v>3990</v>
      </c>
      <c r="N19" s="43">
        <f t="shared" si="1"/>
        <v>0</v>
      </c>
      <c r="O19" s="43">
        <f t="shared" si="2"/>
        <v>0</v>
      </c>
      <c r="P19" s="52">
        <f t="shared" si="3"/>
        <v>3990</v>
      </c>
      <c r="Q19" s="54">
        <f>IFERROR((VLOOKUP($A19,'Из ГУГЛа'!$B:$G,6,0)+S19)*R19,VLOOKUP($A19,'Из ГУГЛа'!$B:$G,6,0))</f>
        <v>4190</v>
      </c>
      <c r="R19" s="53">
        <v>1</v>
      </c>
      <c r="S19" s="53">
        <v>0</v>
      </c>
      <c r="T19" s="35">
        <f t="shared" si="4"/>
        <v>0.2870967741935484</v>
      </c>
      <c r="U19" s="35">
        <f t="shared" si="5"/>
        <v>4.77326968973747E-2</v>
      </c>
      <c r="V19" s="35">
        <f t="shared" si="6"/>
        <v>0.35161290322580641</v>
      </c>
      <c r="W19" s="23">
        <v>4190</v>
      </c>
      <c r="X19" t="s">
        <v>20</v>
      </c>
      <c r="Y19" s="29"/>
      <c r="Z19" s="31"/>
      <c r="AA19" s="30"/>
      <c r="AB19" s="5"/>
      <c r="AC19" s="17"/>
      <c r="AD19" s="18">
        <f t="shared" si="7"/>
        <v>4190</v>
      </c>
      <c r="AE19" s="26">
        <f t="shared" si="8"/>
        <v>0.35161290322580641</v>
      </c>
    </row>
    <row r="20" spans="1:31" ht="46.5" thickTop="1" thickBot="1" x14ac:dyDescent="0.3">
      <c r="A20" s="41">
        <v>163899</v>
      </c>
      <c r="B20" s="41">
        <f>VLOOKUP($A20,'Выгр Кат'!$A:$R,B$1,0)</f>
        <v>38875</v>
      </c>
      <c r="C20" s="42" t="str">
        <f>VLOOKUP($A20,'Выгр Кат'!$A:$R,C$1,0)</f>
        <v>Маховик "Турбо" облегченный, тяжёлый для ВАЗ 2101-2107, Лада Нива 4х4 (16-ти клапанный двигатель)</v>
      </c>
      <c r="D20" s="41" t="str">
        <f>VLOOKUP($A20,'Выгр Кат'!$A:$R,D$1,0)</f>
        <v>Y</v>
      </c>
      <c r="E20" s="41" t="str">
        <f>VLOOKUP($A20,'Выгр Кат'!$A:$R,E$1,0)</f>
        <v>1</v>
      </c>
      <c r="F20" s="41">
        <f>VLOOKUP($A20,'Выгр Кат'!$A:$R,F$1,0)</f>
        <v>0</v>
      </c>
      <c r="G20" s="3" t="s">
        <v>5</v>
      </c>
      <c r="H20" s="47">
        <v>3200</v>
      </c>
      <c r="I20" s="3">
        <f>VLOOKUP(H20,Наценка!$A$1:$B$8,2,1)</f>
        <v>1.3</v>
      </c>
      <c r="J20" s="48">
        <f t="shared" si="11"/>
        <v>4340</v>
      </c>
      <c r="K20" s="49">
        <f t="shared" si="10"/>
        <v>4290</v>
      </c>
      <c r="L20" s="41">
        <f>VLOOKUP($A20,'Выгр Кат'!$A:$R,L$1,0)</f>
        <v>3200</v>
      </c>
      <c r="M20" s="41">
        <f>VLOOKUP($A20,'Выгр Кат'!$A:$R,M$1,0)</f>
        <v>4290</v>
      </c>
      <c r="N20" s="43">
        <f t="shared" si="1"/>
        <v>0</v>
      </c>
      <c r="O20" s="43">
        <f t="shared" si="2"/>
        <v>0</v>
      </c>
      <c r="P20" s="52">
        <f t="shared" si="3"/>
        <v>4290</v>
      </c>
      <c r="Q20" s="54">
        <f>IFERROR((VLOOKUP($A20,'Из ГУГЛа'!$B:$G,6,0)+S20)*R20,VLOOKUP($A20,'Из ГУГЛа'!$B:$G,6,0))</f>
        <v>4490</v>
      </c>
      <c r="R20" s="53">
        <v>1</v>
      </c>
      <c r="S20" s="53">
        <v>0</v>
      </c>
      <c r="T20" s="35">
        <f t="shared" si="4"/>
        <v>0.34062499999999996</v>
      </c>
      <c r="U20" s="35">
        <f t="shared" si="5"/>
        <v>4.4543429844097995E-2</v>
      </c>
      <c r="V20" s="35">
        <f t="shared" si="6"/>
        <v>0.40312499999999996</v>
      </c>
      <c r="W20" s="23">
        <v>4490</v>
      </c>
      <c r="X20" t="s">
        <v>30</v>
      </c>
      <c r="Y20" s="28" t="s">
        <v>58</v>
      </c>
      <c r="Z20" s="31">
        <v>4114</v>
      </c>
      <c r="AA20" s="30"/>
      <c r="AB20" s="5"/>
      <c r="AC20" s="17"/>
      <c r="AD20" s="18">
        <f t="shared" si="7"/>
        <v>4302</v>
      </c>
      <c r="AE20" s="26">
        <f t="shared" si="8"/>
        <v>0.3443750000000001</v>
      </c>
    </row>
    <row r="21" spans="1:31" ht="31.5" thickTop="1" thickBot="1" x14ac:dyDescent="0.3">
      <c r="A21" s="41">
        <v>163900</v>
      </c>
      <c r="B21" s="41">
        <f>VLOOKUP($A21,'Выгр Кат'!$A:$R,B$1,0)</f>
        <v>6916</v>
      </c>
      <c r="C21" s="42" t="str">
        <f>VLOOKUP($A21,'Выгр Кат'!$A:$R,C$1,0)</f>
        <v>Маховик облегченный, балансированный для Шевроле Нива</v>
      </c>
      <c r="D21" s="41" t="str">
        <f>VLOOKUP($A21,'Выгр Кат'!$A:$R,D$1,0)</f>
        <v>Y</v>
      </c>
      <c r="E21" s="41" t="str">
        <f>VLOOKUP($A21,'Выгр Кат'!$A:$R,E$1,0)</f>
        <v>1</v>
      </c>
      <c r="F21" s="41">
        <f>VLOOKUP($A21,'Выгр Кат'!$A:$R,F$1,0)</f>
        <v>0</v>
      </c>
      <c r="G21" s="3" t="s">
        <v>5</v>
      </c>
      <c r="H21" s="47">
        <v>3200</v>
      </c>
      <c r="I21" s="3">
        <f>VLOOKUP(H21,Наценка!$A$1:$B$8,2,1)</f>
        <v>1.3</v>
      </c>
      <c r="J21" s="48">
        <f t="shared" si="11"/>
        <v>4440</v>
      </c>
      <c r="K21" s="49">
        <f t="shared" si="10"/>
        <v>4390</v>
      </c>
      <c r="L21" s="41">
        <f>VLOOKUP($A21,'Выгр Кат'!$A:$R,L$1,0)</f>
        <v>3200</v>
      </c>
      <c r="M21" s="41">
        <f>VLOOKUP($A21,'Выгр Кат'!$A:$R,M$1,0)</f>
        <v>4390</v>
      </c>
      <c r="N21" s="43">
        <f t="shared" si="1"/>
        <v>0</v>
      </c>
      <c r="O21" s="43">
        <f t="shared" si="2"/>
        <v>0</v>
      </c>
      <c r="P21" s="52">
        <f t="shared" si="3"/>
        <v>4390</v>
      </c>
      <c r="Q21" s="54">
        <f>IFERROR((VLOOKUP($A21,'Из ГУГЛа'!$B:$G,6,0)+S21)*R21,VLOOKUP($A21,'Из ГУГЛа'!$B:$G,6,0))</f>
        <v>4590</v>
      </c>
      <c r="R21" s="53">
        <v>1</v>
      </c>
      <c r="S21" s="53">
        <v>0</v>
      </c>
      <c r="T21" s="35">
        <f t="shared" si="4"/>
        <v>0.37187499999999996</v>
      </c>
      <c r="U21" s="35">
        <f t="shared" si="5"/>
        <v>4.357298474945534E-2</v>
      </c>
      <c r="V21" s="35">
        <f t="shared" si="6"/>
        <v>0.43437499999999996</v>
      </c>
      <c r="W21" s="23">
        <v>4590</v>
      </c>
      <c r="X21" t="s">
        <v>26</v>
      </c>
      <c r="Y21" s="28" t="s">
        <v>59</v>
      </c>
      <c r="Z21" s="31">
        <v>3852</v>
      </c>
      <c r="AA21" s="30"/>
      <c r="AB21" s="5"/>
      <c r="AC21" s="17"/>
      <c r="AD21" s="18">
        <f t="shared" si="7"/>
        <v>4221</v>
      </c>
      <c r="AE21" s="26">
        <f t="shared" si="8"/>
        <v>0.31906250000000003</v>
      </c>
    </row>
    <row r="22" spans="1:31" ht="46.5" thickTop="1" thickBot="1" x14ac:dyDescent="0.3">
      <c r="A22" s="41">
        <v>163878</v>
      </c>
      <c r="B22" s="41">
        <f>VLOOKUP($A22,'Выгр Кат'!$A:$R,B$1,0)</f>
        <v>30919</v>
      </c>
      <c r="C22" s="42" t="str">
        <f>VLOOKUP($A22,'Выгр Кат'!$A:$R,C$1,0)</f>
        <v>Маховик необлегчённый для ВАЗ 2108-21099, 2113-2115 (под сцепление 2110-2112 с КПП 2109)</v>
      </c>
      <c r="D22" s="41" t="str">
        <f>VLOOKUP($A22,'Выгр Кат'!$A:$R,D$1,0)</f>
        <v>Y</v>
      </c>
      <c r="E22" s="41" t="str">
        <f>VLOOKUP($A22,'Выгр Кат'!$A:$R,E$1,0)</f>
        <v>1</v>
      </c>
      <c r="F22" s="41">
        <f>VLOOKUP($A22,'Выгр Кат'!$A:$R,F$1,0)</f>
        <v>0</v>
      </c>
      <c r="G22" s="3" t="s">
        <v>5</v>
      </c>
      <c r="H22" s="45">
        <f>L22</f>
        <v>2400</v>
      </c>
      <c r="I22" s="3">
        <f>VLOOKUP(H22,Наценка!$A$1:$B$8,2,1)</f>
        <v>1.3</v>
      </c>
      <c r="J22" s="9">
        <f>H22*I22</f>
        <v>3120</v>
      </c>
      <c r="K22" s="49">
        <f t="shared" ref="K22:K23" si="12">IF(J22&lt;=1000,(ROUNDUP(J22,-1)-1),(ROUNDDOWN(J22,-2)-10))</f>
        <v>3090</v>
      </c>
      <c r="L22" s="41">
        <f>VLOOKUP($A22,'Выгр Кат'!$A:$R,L$1,0)</f>
        <v>2400</v>
      </c>
      <c r="M22" s="41">
        <f>VLOOKUP($A22,'Выгр Кат'!$A:$R,M$1,0)</f>
        <v>3090</v>
      </c>
      <c r="N22" s="43">
        <f t="shared" si="1"/>
        <v>0</v>
      </c>
      <c r="O22" s="43">
        <f t="shared" si="2"/>
        <v>0</v>
      </c>
      <c r="P22" s="52">
        <f t="shared" si="3"/>
        <v>3090</v>
      </c>
      <c r="Q22" s="54" t="str">
        <f>IFERROR((VLOOKUP($A22,'Из ГУГЛа'!$B:$G,6,0)+S22)*R22,VLOOKUP($A22,'Из ГУГЛа'!$B:$G,6,0))</f>
        <v/>
      </c>
      <c r="R22" s="53">
        <v>1</v>
      </c>
      <c r="S22" s="53">
        <v>0</v>
      </c>
      <c r="T22" s="35">
        <f t="shared" si="4"/>
        <v>0.28750000000000009</v>
      </c>
      <c r="U22" s="35" t="str">
        <f t="shared" si="5"/>
        <v/>
      </c>
      <c r="V22" s="35" t="str">
        <f t="shared" si="6"/>
        <v/>
      </c>
      <c r="W22" s="23"/>
      <c r="Y22" s="28"/>
      <c r="Z22" s="31"/>
      <c r="AA22" s="30"/>
      <c r="AB22" s="5"/>
      <c r="AC22" s="17"/>
      <c r="AD22" s="18" t="str">
        <f t="shared" ref="AD22:AD23" si="13">IFERROR(AVERAGE(W22:AC22),"")</f>
        <v/>
      </c>
      <c r="AE22" s="26" t="str">
        <f t="shared" ref="AE22:AE23" si="14">IFERROR(AD22/H22-1,"")</f>
        <v/>
      </c>
    </row>
    <row r="23" spans="1:31" ht="61.5" thickTop="1" thickBot="1" x14ac:dyDescent="0.3">
      <c r="A23" s="41">
        <v>163891</v>
      </c>
      <c r="B23" s="41">
        <f>VLOOKUP($A23,'Выгр Кат'!$A:$R,B$1,0)</f>
        <v>155552</v>
      </c>
      <c r="C23" s="42" t="str">
        <f>VLOOKUP($A23,'Выгр Кат'!$A:$R,C$1,0)</f>
        <v>(дубль) Маховик облегченный тяжёлый для ВАЗ 2101-2107, Лада Нива 4х4 (сцепление 2123, 16-ти клапанный двигатель)</v>
      </c>
      <c r="D23" s="41" t="str">
        <f>VLOOKUP($A23,'Выгр Кат'!$A:$R,D$1,0)</f>
        <v>N</v>
      </c>
      <c r="E23" s="41" t="str">
        <f>VLOOKUP($A23,'Выгр Кат'!$A:$R,E$1,0)</f>
        <v>1</v>
      </c>
      <c r="F23" s="41">
        <f>VLOOKUP($A23,'Выгр Кат'!$A:$R,F$1,0)</f>
        <v>0</v>
      </c>
      <c r="G23" s="3" t="s">
        <v>5</v>
      </c>
      <c r="H23" s="47">
        <v>3100</v>
      </c>
      <c r="I23" s="3">
        <f>VLOOKUP(H23,Наценка!$A$1:$B$8,2,1)</f>
        <v>1.3</v>
      </c>
      <c r="J23" s="48">
        <f>W23-150</f>
        <v>4340</v>
      </c>
      <c r="K23" s="49">
        <f t="shared" si="12"/>
        <v>4290</v>
      </c>
      <c r="L23" s="41">
        <f>VLOOKUP($A23,'Выгр Кат'!$A:$R,L$1,0)</f>
        <v>3100</v>
      </c>
      <c r="M23" s="41">
        <f>VLOOKUP($A23,'Выгр Кат'!$A:$R,M$1,0)</f>
        <v>4290</v>
      </c>
      <c r="N23" s="43">
        <f t="shared" si="1"/>
        <v>0</v>
      </c>
      <c r="O23" s="43">
        <f t="shared" si="2"/>
        <v>0</v>
      </c>
      <c r="P23" s="52">
        <f t="shared" si="3"/>
        <v>4290</v>
      </c>
      <c r="Q23" s="54">
        <f>IFERROR((VLOOKUP($A23,'Из ГУГЛа'!$B:$G,6,0)+S23)*R23,VLOOKUP($A23,'Из ГУГЛа'!$B:$G,6,0))</f>
        <v>4490</v>
      </c>
      <c r="R23" s="53">
        <v>1</v>
      </c>
      <c r="S23" s="53">
        <v>0</v>
      </c>
      <c r="T23" s="35">
        <f t="shared" si="4"/>
        <v>0.38387096774193541</v>
      </c>
      <c r="U23" s="35">
        <f t="shared" si="5"/>
        <v>4.4543429844097995E-2</v>
      </c>
      <c r="V23" s="35">
        <f t="shared" si="6"/>
        <v>0.44838709677419364</v>
      </c>
      <c r="W23" s="23">
        <v>4490</v>
      </c>
      <c r="X23" t="s">
        <v>30</v>
      </c>
      <c r="Y23" s="28"/>
      <c r="Z23" s="31"/>
      <c r="AA23" s="30"/>
      <c r="AB23" s="5"/>
      <c r="AC23" s="17"/>
      <c r="AD23" s="18">
        <f t="shared" si="13"/>
        <v>4490</v>
      </c>
      <c r="AE23" s="26">
        <f t="shared" si="14"/>
        <v>0.44838709677419364</v>
      </c>
    </row>
    <row r="24" spans="1:31" ht="15.75" thickTop="1" x14ac:dyDescent="0.25"/>
    <row r="26" spans="1:31" x14ac:dyDescent="0.25">
      <c r="J26" s="9">
        <f>H26*I26</f>
        <v>0</v>
      </c>
    </row>
    <row r="27" spans="1:31" x14ac:dyDescent="0.25">
      <c r="J27" s="48">
        <f>W27</f>
        <v>0</v>
      </c>
    </row>
  </sheetData>
  <autoFilter ref="A2:AE23" xr:uid="{C2B5A7BA-8697-471C-8FFD-018547995483}"/>
  <conditionalFormatting sqref="AE1">
    <cfRule type="cellIs" dxfId="12" priority="13" operator="lessThan">
      <formula>0.1</formula>
    </cfRule>
  </conditionalFormatting>
  <conditionalFormatting sqref="T3:T23">
    <cfRule type="cellIs" dxfId="11" priority="6" operator="lessThan">
      <formula>0.15</formula>
    </cfRule>
  </conditionalFormatting>
  <conditionalFormatting sqref="U3:U23">
    <cfRule type="cellIs" dxfId="10" priority="5" operator="lessThan">
      <formula>-5%</formula>
    </cfRule>
  </conditionalFormatting>
  <conditionalFormatting sqref="V3:V23">
    <cfRule type="cellIs" dxfId="9" priority="4" operator="lessThan">
      <formula>0.15</formula>
    </cfRule>
  </conditionalFormatting>
  <conditionalFormatting sqref="C3:C23">
    <cfRule type="expression" dxfId="8" priority="3">
      <formula>OR(D3="N",E3="0")</formula>
    </cfRule>
  </conditionalFormatting>
  <conditionalFormatting sqref="A3:A23">
    <cfRule type="expression" dxfId="7" priority="2">
      <formula>AND($O3=0,$N3=0)</formula>
    </cfRule>
  </conditionalFormatting>
  <conditionalFormatting sqref="Q2:Q23">
    <cfRule type="expression" dxfId="6" priority="1">
      <formula>VALUE(Q2)&lt;&gt;W2</formula>
    </cfRule>
  </conditionalFormatting>
  <hyperlinks>
    <hyperlink ref="W11" r:id="rId1" display="https://motorring.ru/product/5803-mahovik-oblegchennyy-100detaley-dlya-vaz-2110-2112" xr:uid="{00000000-0004-0000-0000-000000000000}"/>
    <hyperlink ref="W17" r:id="rId2" display="https://motorring.ru/product/31895-mahovik-oblegchennyy-100detaley-pod-sceplenie-2123-dlya-2101-4x4" xr:uid="{00000000-0004-0000-0000-000001000000}"/>
    <hyperlink ref="W10" r:id="rId3" display="https://motorring.ru/product/5805-mahovik-oblegchennyy-4kg-sceplenie-2110-vaz-2108-21099-2113-2115" xr:uid="{00000000-0004-0000-0000-000002000000}"/>
    <hyperlink ref="W9" r:id="rId4" display="https://motorring.ru/product/8244-mahovik-oblegchennyy-100detaley-dlya-vaz-2108-21099" xr:uid="{00000000-0004-0000-0000-000003000000}"/>
    <hyperlink ref="W19" r:id="rId5" display="https://motorring.ru/product/29296-mahovik-oblegchennyy-100detaley-turbo-pod-sceplenie-2110" xr:uid="{00000000-0004-0000-0000-000004000000}"/>
    <hyperlink ref="W6" r:id="rId6" display="https://motorring.ru/product/14199-mahovik-oblegchennyy-100detaley-pod-trosovuyu-korobku" xr:uid="{00000000-0004-0000-0000-000005000000}"/>
    <hyperlink ref="W7" r:id="rId7" display="https://motorring.ru/product/31898-mahovik-oblegchennyy-100detaley-8v-2101" xr:uid="{00000000-0004-0000-0000-000006000000}"/>
    <hyperlink ref="W15" r:id="rId8" display="https://motorring.ru/product/37236-mahovik-oblegchennyy-stalnoy-100detaley-vaz-2110-2112" xr:uid="{00000000-0004-0000-0000-000007000000}"/>
    <hyperlink ref="W13" r:id="rId9" display="https://motorring.ru/product/37234-mahovik-oblegchennyy-sceplenie-2123-100detaley-lada-vesta" xr:uid="{00000000-0004-0000-0000-000008000000}"/>
    <hyperlink ref="W16" r:id="rId10" display="https://motorring.ru/product/40316-mahovik-oblegchennyy-stalnoy-100detaley-tros-kpp-granta" xr:uid="{00000000-0004-0000-0000-000009000000}"/>
    <hyperlink ref="W21" r:id="rId11" display="https://motorring.ru/product/1025-mahovik-oblegchennyy-100detaley-215mm-dlya-shevrole-niva" xr:uid="{00000000-0004-0000-0000-00000A000000}"/>
    <hyperlink ref="W18" r:id="rId12" display="https://motorring.ru/product/1026-mahovik-oblegchennyy-100detaley-turbo-215mm-dlya-shevrole" xr:uid="{00000000-0004-0000-0000-00000B000000}"/>
    <hyperlink ref="W8" r:id="rId13" display="https://motorring.ru/product/31897-mahovik-oblegchennyy-100detaley-16v-2101" xr:uid="{00000000-0004-0000-0000-00000C000000}"/>
    <hyperlink ref="W14" r:id="rId14" display="https://motorring.ru/product/37235-mahovik-oblegchennyy-100detaley-lada-vesta" xr:uid="{00000000-0004-0000-0000-00000D000000}"/>
    <hyperlink ref="W12" r:id="rId15" display="https://motorring.ru/product/31898-mahovik-oblegchennyy-100detaley-8v-2101" xr:uid="{00000000-0004-0000-0000-00000E000000}"/>
    <hyperlink ref="W20" r:id="rId16" display="https://motorring.ru/product/5807-mahovik-oblegchennyy-100detaley-pod-sceplenie-2123-dlya-2101" xr:uid="{00000000-0004-0000-0000-00000F000000}"/>
    <hyperlink ref="Y6" r:id="rId17" xr:uid="{D222CB7A-B83F-44B3-92C9-15B0AD9D0B0E}"/>
    <hyperlink ref="Y7" r:id="rId18" xr:uid="{EB4A490A-ED54-4F36-AB90-1C5D2BDBD95D}"/>
    <hyperlink ref="Y9" r:id="rId19" xr:uid="{14F0BEE4-4A27-4C93-83BD-D9B4BD5AC60B}"/>
    <hyperlink ref="Y20" r:id="rId20" xr:uid="{7D90F83C-AACD-4E5F-BD6D-1364EC922CA1}"/>
    <hyperlink ref="Y21" r:id="rId21" xr:uid="{E97E1212-05C9-4361-BD95-B8607CADE599}"/>
    <hyperlink ref="W23" r:id="rId22" display="https://motorring.ru/product/5807-mahovik-oblegchennyy-100detaley-pod-sceplenie-2123-dlya-2101" xr:uid="{3375661F-932F-447C-A186-A25F7B98D832}"/>
  </hyperlinks>
  <pageMargins left="0.75" right="0.75" top="1" bottom="1" header="0.5" footer="0.5"/>
  <pageSetup paperSize="9" orientation="portrait" r:id="rId2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9FD67-CDB4-46AC-B9FF-751F54864614}">
  <sheetPr codeName="Лист5"/>
  <dimension ref="A1:C19"/>
  <sheetViews>
    <sheetView workbookViewId="0">
      <selection activeCell="F10" sqref="F10"/>
    </sheetView>
  </sheetViews>
  <sheetFormatPr defaultRowHeight="15" x14ac:dyDescent="0.25"/>
  <cols>
    <col min="1" max="1" width="8.42578125" style="8" customWidth="1"/>
    <col min="2" max="2" width="7.85546875" style="4" bestFit="1" customWidth="1"/>
    <col min="3" max="3" width="8.42578125" style="4" bestFit="1" customWidth="1"/>
  </cols>
  <sheetData>
    <row r="1" spans="1:3" x14ac:dyDescent="0.25">
      <c r="B1" s="12">
        <v>7</v>
      </c>
      <c r="C1" s="12">
        <v>8</v>
      </c>
    </row>
    <row r="2" spans="1:3" x14ac:dyDescent="0.25">
      <c r="A2" s="9" t="s">
        <v>0</v>
      </c>
      <c r="B2" s="10" t="s">
        <v>9</v>
      </c>
      <c r="C2" s="10" t="s">
        <v>12</v>
      </c>
    </row>
    <row r="3" spans="1:3" x14ac:dyDescent="0.25">
      <c r="A3" s="1">
        <v>804</v>
      </c>
      <c r="B3" s="37">
        <v>3400</v>
      </c>
      <c r="C3" s="11">
        <v>4390</v>
      </c>
    </row>
    <row r="4" spans="1:3" x14ac:dyDescent="0.25">
      <c r="A4" s="1">
        <v>819</v>
      </c>
      <c r="B4" s="37">
        <v>3200</v>
      </c>
      <c r="C4" s="11">
        <v>4190</v>
      </c>
    </row>
    <row r="5" spans="1:3" x14ac:dyDescent="0.25">
      <c r="A5" s="1">
        <v>816</v>
      </c>
      <c r="B5" s="37">
        <v>3200</v>
      </c>
      <c r="C5" s="11">
        <v>4190</v>
      </c>
    </row>
    <row r="6" spans="1:3" x14ac:dyDescent="0.25">
      <c r="A6" s="1">
        <v>815</v>
      </c>
      <c r="B6" s="37">
        <v>3200</v>
      </c>
      <c r="C6" s="11">
        <v>4190</v>
      </c>
    </row>
    <row r="7" spans="1:3" x14ac:dyDescent="0.25">
      <c r="A7" s="1">
        <v>825</v>
      </c>
      <c r="B7" s="37">
        <v>3200</v>
      </c>
      <c r="C7" s="11">
        <v>4190</v>
      </c>
    </row>
    <row r="8" spans="1:3" x14ac:dyDescent="0.25">
      <c r="A8" s="1">
        <v>810</v>
      </c>
      <c r="B8" s="37">
        <v>3200</v>
      </c>
      <c r="C8" s="11">
        <v>4190</v>
      </c>
    </row>
    <row r="9" spans="1:3" x14ac:dyDescent="0.25">
      <c r="A9" s="1">
        <v>822</v>
      </c>
      <c r="B9" s="37">
        <v>3200</v>
      </c>
      <c r="C9" s="11">
        <v>4190</v>
      </c>
    </row>
    <row r="10" spans="1:3" x14ac:dyDescent="0.25">
      <c r="A10" s="1">
        <v>38879</v>
      </c>
      <c r="B10" s="37">
        <v>4000</v>
      </c>
      <c r="C10" s="11">
        <v>5290</v>
      </c>
    </row>
    <row r="11" spans="1:3" x14ac:dyDescent="0.25">
      <c r="A11" s="1">
        <v>38878</v>
      </c>
      <c r="B11" s="37">
        <v>3800</v>
      </c>
      <c r="C11" s="11">
        <v>4890</v>
      </c>
    </row>
    <row r="12" spans="1:3" x14ac:dyDescent="0.25">
      <c r="A12" s="1">
        <v>38880</v>
      </c>
      <c r="B12" s="37">
        <v>9160</v>
      </c>
      <c r="C12" s="11">
        <v>11590</v>
      </c>
    </row>
    <row r="13" spans="1:3" x14ac:dyDescent="0.25">
      <c r="A13" s="1">
        <v>38881</v>
      </c>
      <c r="B13" s="37">
        <v>9160</v>
      </c>
      <c r="C13" s="11">
        <v>11590</v>
      </c>
    </row>
    <row r="14" spans="1:3" x14ac:dyDescent="0.25">
      <c r="A14" s="1">
        <v>38874</v>
      </c>
      <c r="B14" s="37">
        <v>3200</v>
      </c>
      <c r="C14" s="11">
        <v>4190</v>
      </c>
    </row>
    <row r="15" spans="1:3" x14ac:dyDescent="0.25">
      <c r="A15" s="1">
        <v>38877</v>
      </c>
      <c r="B15" s="37">
        <v>3100</v>
      </c>
      <c r="C15" s="11">
        <v>4290</v>
      </c>
    </row>
    <row r="16" spans="1:3" x14ac:dyDescent="0.25">
      <c r="A16" s="1">
        <v>38876</v>
      </c>
      <c r="B16" s="37">
        <v>3100</v>
      </c>
      <c r="C16" s="11">
        <v>3990</v>
      </c>
    </row>
    <row r="17" spans="1:3" x14ac:dyDescent="0.25">
      <c r="A17" s="1">
        <v>38875</v>
      </c>
      <c r="B17" s="37">
        <v>3200</v>
      </c>
      <c r="C17" s="11">
        <v>4290</v>
      </c>
    </row>
    <row r="18" spans="1:3" x14ac:dyDescent="0.25">
      <c r="A18" s="1">
        <v>6916</v>
      </c>
      <c r="B18" s="37">
        <v>3200</v>
      </c>
      <c r="C18" s="11">
        <v>4390</v>
      </c>
    </row>
    <row r="19" spans="1:3" x14ac:dyDescent="0.25">
      <c r="A19" s="36">
        <v>155552</v>
      </c>
      <c r="B19" s="37">
        <v>3100</v>
      </c>
      <c r="C19" s="11">
        <v>4290</v>
      </c>
    </row>
  </sheetData>
  <autoFilter ref="A2:C2" xr:uid="{59EDDE2C-3212-4051-A09D-B5AF2C82217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A6DB-7B0B-44A3-BCF0-A6110D752F58}">
  <sheetPr codeName="Лист2"/>
  <dimension ref="A1:B8"/>
  <sheetViews>
    <sheetView workbookViewId="0">
      <selection activeCell="B37" sqref="B37"/>
    </sheetView>
  </sheetViews>
  <sheetFormatPr defaultRowHeight="15" x14ac:dyDescent="0.25"/>
  <sheetData>
    <row r="1" spans="1:2" ht="15.75" thickBot="1" x14ac:dyDescent="0.3">
      <c r="A1" s="19">
        <v>0.1</v>
      </c>
      <c r="B1" s="21">
        <v>1.3</v>
      </c>
    </row>
    <row r="2" spans="1:2" ht="15.75" thickBot="1" x14ac:dyDescent="0.3">
      <c r="A2" s="20">
        <v>100</v>
      </c>
      <c r="B2" s="21">
        <v>1.3</v>
      </c>
    </row>
    <row r="3" spans="1:2" ht="15.75" thickBot="1" x14ac:dyDescent="0.3">
      <c r="A3" s="20">
        <v>300</v>
      </c>
      <c r="B3" s="21">
        <v>1.3</v>
      </c>
    </row>
    <row r="4" spans="1:2" ht="15.75" thickBot="1" x14ac:dyDescent="0.3">
      <c r="A4" s="20">
        <v>500</v>
      </c>
      <c r="B4" s="21">
        <v>1.3</v>
      </c>
    </row>
    <row r="5" spans="1:2" ht="15.75" thickBot="1" x14ac:dyDescent="0.3">
      <c r="A5" s="20">
        <v>1000</v>
      </c>
      <c r="B5" s="21">
        <v>1.3</v>
      </c>
    </row>
    <row r="6" spans="1:2" ht="15.75" thickBot="1" x14ac:dyDescent="0.3">
      <c r="A6" s="20">
        <v>2000</v>
      </c>
      <c r="B6" s="21">
        <v>1.3</v>
      </c>
    </row>
    <row r="7" spans="1:2" ht="15.75" thickBot="1" x14ac:dyDescent="0.3">
      <c r="A7" s="20">
        <v>5000</v>
      </c>
      <c r="B7" s="21">
        <v>1.3</v>
      </c>
    </row>
    <row r="8" spans="1:2" ht="15.75" thickBot="1" x14ac:dyDescent="0.3">
      <c r="A8" s="20">
        <v>10000</v>
      </c>
      <c r="B8" s="21">
        <v>1.3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D8B9-1B73-461A-83BD-C50064CEEE01}">
  <sheetPr codeName="Лист3">
    <outlinePr summaryBelow="0"/>
  </sheetPr>
  <dimension ref="A1:O22"/>
  <sheetViews>
    <sheetView showRuler="0" zoomScaleNormal="100" workbookViewId="0">
      <pane ySplit="1" topLeftCell="A17" activePane="bottomLeft" state="frozen"/>
      <selection pane="bottomLeft" activeCell="P1" sqref="P1"/>
    </sheetView>
  </sheetViews>
  <sheetFormatPr defaultRowHeight="15" x14ac:dyDescent="0.25"/>
  <cols>
    <col min="1" max="2" width="7.7109375" style="6" customWidth="1"/>
    <col min="3" max="3" width="33.28515625" style="6" customWidth="1"/>
    <col min="4" max="5" width="22.28515625" style="6" customWidth="1"/>
    <col min="6" max="6" width="33.28515625" style="6" customWidth="1"/>
    <col min="7" max="7" width="22.28515625" style="6" customWidth="1"/>
    <col min="8" max="11" width="11.140625" style="6" customWidth="1"/>
    <col min="12" max="12" width="5.5703125" style="6" customWidth="1"/>
    <col min="13" max="13" width="11.140625" style="6" customWidth="1"/>
    <col min="14" max="14" width="9.140625" style="6"/>
    <col min="15" max="15" width="11.85546875" style="6" customWidth="1"/>
    <col min="16" max="16384" width="9.140625" style="6"/>
  </cols>
  <sheetData>
    <row r="1" spans="1:15" s="7" customFormat="1" ht="45" x14ac:dyDescent="0.25">
      <c r="A1" s="56" t="s">
        <v>0</v>
      </c>
      <c r="B1" s="56" t="s">
        <v>72</v>
      </c>
      <c r="C1" s="56" t="s">
        <v>76</v>
      </c>
      <c r="D1" s="56" t="s">
        <v>77</v>
      </c>
      <c r="E1" s="56" t="s">
        <v>100</v>
      </c>
      <c r="F1" s="56" t="s">
        <v>101</v>
      </c>
      <c r="G1" s="56" t="s">
        <v>2</v>
      </c>
      <c r="H1" s="56" t="s">
        <v>9</v>
      </c>
      <c r="I1" s="56" t="s">
        <v>8</v>
      </c>
      <c r="J1" s="56" t="s">
        <v>78</v>
      </c>
      <c r="K1" s="56" t="s">
        <v>79</v>
      </c>
      <c r="L1" s="56" t="s">
        <v>11</v>
      </c>
      <c r="M1" s="56" t="s">
        <v>1</v>
      </c>
      <c r="N1" s="44"/>
      <c r="O1" s="44"/>
    </row>
    <row r="2" spans="1:15" ht="60" x14ac:dyDescent="0.25">
      <c r="A2" s="57">
        <v>163891</v>
      </c>
      <c r="B2" s="57">
        <v>155552</v>
      </c>
      <c r="C2" s="58" t="s">
        <v>109</v>
      </c>
      <c r="D2" s="58" t="s">
        <v>110</v>
      </c>
      <c r="E2" s="58"/>
      <c r="F2" s="58"/>
      <c r="G2" s="58" t="s">
        <v>5</v>
      </c>
      <c r="H2" s="59">
        <v>3100</v>
      </c>
      <c r="I2" s="59">
        <v>4290</v>
      </c>
      <c r="J2" s="58"/>
      <c r="K2" s="58" t="s">
        <v>3</v>
      </c>
      <c r="L2" s="58"/>
      <c r="M2" s="58"/>
      <c r="N2" s="44" t="str">
        <f>_xlfn.CONCAT(K2,IF(L2&lt;&gt;"",_xlfn.CONCAT("ск",L2),""))</f>
        <v>1</v>
      </c>
      <c r="O2" s="44" t="str">
        <f>INDEX(Кат!$G:$G,MATCH($A2,Кат!$A:$A,0))</f>
        <v>100 деталей</v>
      </c>
    </row>
    <row r="3" spans="1:15" ht="45" x14ac:dyDescent="0.25">
      <c r="A3" s="57">
        <v>163898</v>
      </c>
      <c r="B3" s="57">
        <v>38876</v>
      </c>
      <c r="C3" s="58" t="s">
        <v>80</v>
      </c>
      <c r="D3" s="58" t="s">
        <v>81</v>
      </c>
      <c r="E3" s="58"/>
      <c r="F3" s="58"/>
      <c r="G3" s="58" t="s">
        <v>5</v>
      </c>
      <c r="H3" s="59">
        <v>3100</v>
      </c>
      <c r="I3" s="59">
        <v>3990</v>
      </c>
      <c r="J3" s="58"/>
      <c r="K3" s="58" t="s">
        <v>3</v>
      </c>
      <c r="L3" s="58"/>
      <c r="M3" s="58"/>
      <c r="N3" s="44" t="str">
        <f t="shared" ref="N3:N22" si="0">_xlfn.CONCAT(K3,IF(L3&lt;&gt;"",_xlfn.CONCAT("ск",L3),""))</f>
        <v>1</v>
      </c>
      <c r="O3" s="44" t="str">
        <f>INDEX(Кат!$G:$G,MATCH($A3,Кат!$A:$A,0))</f>
        <v>100 деталей</v>
      </c>
    </row>
    <row r="4" spans="1:15" ht="45" x14ac:dyDescent="0.25">
      <c r="A4" s="57">
        <v>163897</v>
      </c>
      <c r="B4" s="57">
        <v>38877</v>
      </c>
      <c r="C4" s="58" t="s">
        <v>82</v>
      </c>
      <c r="D4" s="58" t="s">
        <v>81</v>
      </c>
      <c r="E4" s="58"/>
      <c r="F4" s="58"/>
      <c r="G4" s="58" t="s">
        <v>5</v>
      </c>
      <c r="H4" s="59">
        <v>3100</v>
      </c>
      <c r="I4" s="59">
        <v>4290</v>
      </c>
      <c r="J4" s="58"/>
      <c r="K4" s="58" t="s">
        <v>3</v>
      </c>
      <c r="L4" s="58"/>
      <c r="M4" s="58"/>
      <c r="N4" s="44" t="str">
        <f t="shared" si="0"/>
        <v>1</v>
      </c>
      <c r="O4" s="44" t="str">
        <f>INDEX(Кат!$G:$G,MATCH($A4,Кат!$A:$A,0))</f>
        <v>100 деталей</v>
      </c>
    </row>
    <row r="5" spans="1:15" ht="60" x14ac:dyDescent="0.25">
      <c r="A5" s="57">
        <v>163899</v>
      </c>
      <c r="B5" s="57">
        <v>38875</v>
      </c>
      <c r="C5" s="58" t="s">
        <v>83</v>
      </c>
      <c r="D5" s="58" t="s">
        <v>81</v>
      </c>
      <c r="E5" s="58"/>
      <c r="F5" s="58"/>
      <c r="G5" s="58" t="s">
        <v>5</v>
      </c>
      <c r="H5" s="59">
        <v>3200</v>
      </c>
      <c r="I5" s="59">
        <v>4290</v>
      </c>
      <c r="J5" s="58"/>
      <c r="K5" s="58" t="s">
        <v>3</v>
      </c>
      <c r="L5" s="58"/>
      <c r="M5" s="58"/>
      <c r="N5" s="44" t="str">
        <f t="shared" si="0"/>
        <v>1</v>
      </c>
      <c r="O5" s="44" t="str">
        <f>INDEX(Кат!$G:$G,MATCH($A5,Кат!$A:$A,0))</f>
        <v>100 деталей</v>
      </c>
    </row>
    <row r="6" spans="1:15" ht="45" x14ac:dyDescent="0.25">
      <c r="A6" s="57">
        <v>163870</v>
      </c>
      <c r="B6" s="57">
        <v>37217</v>
      </c>
      <c r="C6" s="58" t="s">
        <v>4</v>
      </c>
      <c r="D6" s="58" t="s">
        <v>81</v>
      </c>
      <c r="E6" s="58"/>
      <c r="F6" s="58"/>
      <c r="G6" s="58" t="s">
        <v>5</v>
      </c>
      <c r="H6" s="59"/>
      <c r="I6" s="59">
        <v>0</v>
      </c>
      <c r="J6" s="58"/>
      <c r="K6" s="58" t="s">
        <v>84</v>
      </c>
      <c r="L6" s="58"/>
      <c r="M6" s="58"/>
      <c r="N6" s="44" t="str">
        <f t="shared" si="0"/>
        <v>0</v>
      </c>
      <c r="O6" s="44" t="str">
        <f>INDEX(Кат!$G:$G,MATCH($A6,Кат!$A:$A,0))</f>
        <v>100 деталей</v>
      </c>
    </row>
    <row r="7" spans="1:15" ht="45" x14ac:dyDescent="0.25">
      <c r="A7" s="57">
        <v>163878</v>
      </c>
      <c r="B7" s="57">
        <v>30919</v>
      </c>
      <c r="C7" s="58" t="s">
        <v>6</v>
      </c>
      <c r="D7" s="58" t="s">
        <v>81</v>
      </c>
      <c r="E7" s="58"/>
      <c r="F7" s="58"/>
      <c r="G7" s="58" t="s">
        <v>5</v>
      </c>
      <c r="H7" s="59">
        <v>2400</v>
      </c>
      <c r="I7" s="59">
        <v>3090</v>
      </c>
      <c r="J7" s="58"/>
      <c r="K7" s="58" t="s">
        <v>3</v>
      </c>
      <c r="L7" s="58"/>
      <c r="M7" s="58"/>
      <c r="N7" s="44" t="str">
        <f t="shared" si="0"/>
        <v>1</v>
      </c>
      <c r="O7" s="44" t="str">
        <f>INDEX(Кат!$G:$G,MATCH($A7,Кат!$A:$A,0))</f>
        <v>100 деталей</v>
      </c>
    </row>
    <row r="8" spans="1:15" ht="60" x14ac:dyDescent="0.25">
      <c r="A8" s="57">
        <v>163896</v>
      </c>
      <c r="B8" s="57">
        <v>38874</v>
      </c>
      <c r="C8" s="58" t="s">
        <v>85</v>
      </c>
      <c r="D8" s="58" t="s">
        <v>81</v>
      </c>
      <c r="E8" s="58"/>
      <c r="F8" s="58"/>
      <c r="G8" s="58" t="s">
        <v>5</v>
      </c>
      <c r="H8" s="59">
        <v>3200</v>
      </c>
      <c r="I8" s="59">
        <v>4390</v>
      </c>
      <c r="J8" s="58"/>
      <c r="K8" s="58" t="s">
        <v>3</v>
      </c>
      <c r="L8" s="58" t="s">
        <v>7</v>
      </c>
      <c r="M8" s="58" t="s">
        <v>81</v>
      </c>
      <c r="N8" s="44" t="str">
        <f t="shared" si="0"/>
        <v>1ск4</v>
      </c>
      <c r="O8" s="44" t="str">
        <f>INDEX(Кат!$G:$G,MATCH($A8,Кат!$A:$A,0))</f>
        <v>100 деталей</v>
      </c>
    </row>
    <row r="9" spans="1:15" ht="45" x14ac:dyDescent="0.25">
      <c r="A9" s="57">
        <v>163872</v>
      </c>
      <c r="B9" s="57">
        <v>37216</v>
      </c>
      <c r="C9" s="58" t="s">
        <v>86</v>
      </c>
      <c r="D9" s="58" t="s">
        <v>81</v>
      </c>
      <c r="E9" s="58"/>
      <c r="F9" s="58"/>
      <c r="G9" s="58" t="s">
        <v>5</v>
      </c>
      <c r="H9" s="59"/>
      <c r="I9" s="59">
        <v>0</v>
      </c>
      <c r="J9" s="58"/>
      <c r="K9" s="58" t="s">
        <v>84</v>
      </c>
      <c r="L9" s="58"/>
      <c r="M9" s="58"/>
      <c r="N9" s="44" t="str">
        <f t="shared" si="0"/>
        <v>0</v>
      </c>
      <c r="O9" s="44" t="str">
        <f>INDEX(Кат!$G:$G,MATCH($A9,Кат!$A:$A,0))</f>
        <v>100 деталей</v>
      </c>
    </row>
    <row r="10" spans="1:15" ht="30" x14ac:dyDescent="0.25">
      <c r="A10" s="57">
        <v>163871</v>
      </c>
      <c r="B10" s="57">
        <v>37218</v>
      </c>
      <c r="C10" s="58" t="s">
        <v>87</v>
      </c>
      <c r="D10" s="58" t="s">
        <v>81</v>
      </c>
      <c r="E10" s="58"/>
      <c r="F10" s="58"/>
      <c r="G10" s="58" t="s">
        <v>5</v>
      </c>
      <c r="H10" s="59"/>
      <c r="I10" s="59">
        <v>0</v>
      </c>
      <c r="J10" s="58"/>
      <c r="K10" s="58" t="s">
        <v>84</v>
      </c>
      <c r="L10" s="58"/>
      <c r="M10" s="58"/>
      <c r="N10" s="44" t="str">
        <f t="shared" si="0"/>
        <v>0</v>
      </c>
      <c r="O10" s="44" t="str">
        <f>INDEX(Кат!$G:$G,MATCH($A10,Кат!$A:$A,0))</f>
        <v>100 деталей</v>
      </c>
    </row>
    <row r="11" spans="1:15" ht="30" x14ac:dyDescent="0.25">
      <c r="A11" s="57">
        <v>163893</v>
      </c>
      <c r="B11" s="57">
        <v>38878</v>
      </c>
      <c r="C11" s="58" t="s">
        <v>88</v>
      </c>
      <c r="D11" s="58" t="s">
        <v>81</v>
      </c>
      <c r="E11" s="58"/>
      <c r="F11" s="58"/>
      <c r="G11" s="58" t="s">
        <v>5</v>
      </c>
      <c r="H11" s="59">
        <v>3800</v>
      </c>
      <c r="I11" s="59">
        <v>4890</v>
      </c>
      <c r="J11" s="58"/>
      <c r="K11" s="58" t="s">
        <v>3</v>
      </c>
      <c r="L11" s="58"/>
      <c r="M11" s="58"/>
      <c r="N11" s="44" t="str">
        <f t="shared" si="0"/>
        <v>1</v>
      </c>
      <c r="O11" s="44" t="str">
        <f>INDEX(Кат!$G:$G,MATCH($A11,Кат!$A:$A,0))</f>
        <v>100 деталей</v>
      </c>
    </row>
    <row r="12" spans="1:15" ht="30" x14ac:dyDescent="0.25">
      <c r="A12" s="57">
        <v>163892</v>
      </c>
      <c r="B12" s="57">
        <v>38879</v>
      </c>
      <c r="C12" s="58" t="s">
        <v>89</v>
      </c>
      <c r="D12" s="58" t="s">
        <v>81</v>
      </c>
      <c r="E12" s="58"/>
      <c r="F12" s="58"/>
      <c r="G12" s="58" t="s">
        <v>5</v>
      </c>
      <c r="H12" s="59">
        <v>4000</v>
      </c>
      <c r="I12" s="59">
        <v>5290</v>
      </c>
      <c r="J12" s="58"/>
      <c r="K12" s="58" t="s">
        <v>3</v>
      </c>
      <c r="L12" s="58"/>
      <c r="M12" s="58"/>
      <c r="N12" s="44" t="str">
        <f t="shared" si="0"/>
        <v>1</v>
      </c>
      <c r="O12" s="44" t="str">
        <f>INDEX(Кат!$G:$G,MATCH($A12,Кат!$A:$A,0))</f>
        <v>100 деталей</v>
      </c>
    </row>
    <row r="13" spans="1:15" ht="45" x14ac:dyDescent="0.25">
      <c r="A13" s="57">
        <v>163874</v>
      </c>
      <c r="B13" s="57">
        <v>816</v>
      </c>
      <c r="C13" s="58" t="s">
        <v>90</v>
      </c>
      <c r="D13" s="58" t="s">
        <v>81</v>
      </c>
      <c r="E13" s="58"/>
      <c r="F13" s="58"/>
      <c r="G13" s="58" t="s">
        <v>5</v>
      </c>
      <c r="H13" s="59">
        <v>3200</v>
      </c>
      <c r="I13" s="59">
        <v>4190</v>
      </c>
      <c r="J13" s="58"/>
      <c r="K13" s="58" t="s">
        <v>3</v>
      </c>
      <c r="L13" s="58"/>
      <c r="M13" s="58"/>
      <c r="N13" s="44" t="str">
        <f t="shared" si="0"/>
        <v>1</v>
      </c>
      <c r="O13" s="44" t="str">
        <f>INDEX(Кат!$G:$G,MATCH($A13,Кат!$A:$A,0))</f>
        <v>100 деталей</v>
      </c>
    </row>
    <row r="14" spans="1:15" ht="45" x14ac:dyDescent="0.25">
      <c r="A14" s="57">
        <v>163873</v>
      </c>
      <c r="B14" s="57">
        <v>819</v>
      </c>
      <c r="C14" s="58" t="s">
        <v>111</v>
      </c>
      <c r="D14" s="58" t="s">
        <v>81</v>
      </c>
      <c r="E14" s="58"/>
      <c r="F14" s="58"/>
      <c r="G14" s="58" t="s">
        <v>5</v>
      </c>
      <c r="H14" s="59">
        <v>3200</v>
      </c>
      <c r="I14" s="59">
        <v>4390</v>
      </c>
      <c r="J14" s="58"/>
      <c r="K14" s="58" t="s">
        <v>3</v>
      </c>
      <c r="L14" s="58"/>
      <c r="M14" s="58"/>
      <c r="N14" s="44" t="str">
        <f t="shared" si="0"/>
        <v>1</v>
      </c>
      <c r="O14" s="44" t="str">
        <f>INDEX(Кат!$G:$G,MATCH($A14,Кат!$A:$A,0))</f>
        <v>100 деталей</v>
      </c>
    </row>
    <row r="15" spans="1:15" ht="45" x14ac:dyDescent="0.25">
      <c r="A15" s="57">
        <v>163875</v>
      </c>
      <c r="B15" s="57">
        <v>815</v>
      </c>
      <c r="C15" s="58" t="s">
        <v>91</v>
      </c>
      <c r="D15" s="58" t="s">
        <v>81</v>
      </c>
      <c r="E15" s="58"/>
      <c r="F15" s="58"/>
      <c r="G15" s="58" t="s">
        <v>5</v>
      </c>
      <c r="H15" s="59">
        <v>3200</v>
      </c>
      <c r="I15" s="59">
        <v>4390</v>
      </c>
      <c r="J15" s="58"/>
      <c r="K15" s="58" t="s">
        <v>3</v>
      </c>
      <c r="L15" s="58"/>
      <c r="M15" s="58"/>
      <c r="N15" s="44" t="str">
        <f t="shared" si="0"/>
        <v>1</v>
      </c>
      <c r="O15" s="44" t="str">
        <f>INDEX(Кат!$G:$G,MATCH($A15,Кат!$A:$A,0))</f>
        <v>100 деталей</v>
      </c>
    </row>
    <row r="16" spans="1:15" ht="45" x14ac:dyDescent="0.25">
      <c r="A16" s="57">
        <v>163876</v>
      </c>
      <c r="B16" s="57">
        <v>825</v>
      </c>
      <c r="C16" s="58" t="s">
        <v>92</v>
      </c>
      <c r="D16" s="58" t="s">
        <v>81</v>
      </c>
      <c r="E16" s="58"/>
      <c r="F16" s="58"/>
      <c r="G16" s="58" t="s">
        <v>5</v>
      </c>
      <c r="H16" s="59">
        <v>3200</v>
      </c>
      <c r="I16" s="59">
        <v>4190</v>
      </c>
      <c r="J16" s="58"/>
      <c r="K16" s="58" t="s">
        <v>3</v>
      </c>
      <c r="L16" s="58"/>
      <c r="M16" s="58"/>
      <c r="N16" s="44" t="str">
        <f t="shared" si="0"/>
        <v>1</v>
      </c>
      <c r="O16" s="44" t="str">
        <f>INDEX(Кат!$G:$G,MATCH($A16,Кат!$A:$A,0))</f>
        <v>100 деталей</v>
      </c>
    </row>
    <row r="17" spans="1:15" ht="45" x14ac:dyDescent="0.25">
      <c r="A17" s="57">
        <v>163894</v>
      </c>
      <c r="B17" s="57">
        <v>38880</v>
      </c>
      <c r="C17" s="58" t="s">
        <v>93</v>
      </c>
      <c r="D17" s="58" t="s">
        <v>81</v>
      </c>
      <c r="E17" s="58"/>
      <c r="F17" s="58"/>
      <c r="G17" s="58" t="s">
        <v>5</v>
      </c>
      <c r="H17" s="59">
        <v>9160</v>
      </c>
      <c r="I17" s="59">
        <v>11590</v>
      </c>
      <c r="J17" s="58"/>
      <c r="K17" s="58" t="s">
        <v>3</v>
      </c>
      <c r="L17" s="58"/>
      <c r="M17" s="58"/>
      <c r="N17" s="44" t="str">
        <f t="shared" si="0"/>
        <v>1</v>
      </c>
      <c r="O17" s="44" t="str">
        <f>INDEX(Кат!$G:$G,MATCH($A17,Кат!$A:$A,0))</f>
        <v>100 деталей</v>
      </c>
    </row>
    <row r="18" spans="1:15" ht="60" x14ac:dyDescent="0.25">
      <c r="A18" s="57">
        <v>163877</v>
      </c>
      <c r="B18" s="57">
        <v>810</v>
      </c>
      <c r="C18" s="58" t="s">
        <v>94</v>
      </c>
      <c r="D18" s="58" t="s">
        <v>81</v>
      </c>
      <c r="E18" s="58"/>
      <c r="F18" s="58"/>
      <c r="G18" s="58" t="s">
        <v>5</v>
      </c>
      <c r="H18" s="59">
        <v>3200</v>
      </c>
      <c r="I18" s="59">
        <v>4190</v>
      </c>
      <c r="J18" s="58"/>
      <c r="K18" s="58" t="s">
        <v>3</v>
      </c>
      <c r="L18" s="58"/>
      <c r="M18" s="58"/>
      <c r="N18" s="44" t="str">
        <f t="shared" si="0"/>
        <v>1</v>
      </c>
      <c r="O18" s="44" t="str">
        <f>INDEX(Кат!$G:$G,MATCH($A18,Кат!$A:$A,0))</f>
        <v>100 деталей</v>
      </c>
    </row>
    <row r="19" spans="1:15" ht="30" x14ac:dyDescent="0.25">
      <c r="A19" s="57">
        <v>163895</v>
      </c>
      <c r="B19" s="57">
        <v>38881</v>
      </c>
      <c r="C19" s="58" t="s">
        <v>95</v>
      </c>
      <c r="D19" s="58" t="s">
        <v>81</v>
      </c>
      <c r="E19" s="58"/>
      <c r="F19" s="58"/>
      <c r="G19" s="58" t="s">
        <v>5</v>
      </c>
      <c r="H19" s="59">
        <v>9160</v>
      </c>
      <c r="I19" s="59">
        <v>12290</v>
      </c>
      <c r="J19" s="58"/>
      <c r="K19" s="58" t="s">
        <v>3</v>
      </c>
      <c r="L19" s="58"/>
      <c r="M19" s="58"/>
      <c r="N19" s="44" t="str">
        <f t="shared" si="0"/>
        <v>1</v>
      </c>
      <c r="O19" s="44" t="str">
        <f>INDEX(Кат!$G:$G,MATCH($A19,Кат!$A:$A,0))</f>
        <v>100 деталей</v>
      </c>
    </row>
    <row r="20" spans="1:15" ht="45" x14ac:dyDescent="0.25">
      <c r="A20" s="57">
        <v>163879</v>
      </c>
      <c r="B20" s="57">
        <v>822</v>
      </c>
      <c r="C20" s="58" t="s">
        <v>96</v>
      </c>
      <c r="D20" s="58" t="s">
        <v>81</v>
      </c>
      <c r="E20" s="58"/>
      <c r="F20" s="58"/>
      <c r="G20" s="58" t="s">
        <v>5</v>
      </c>
      <c r="H20" s="59">
        <v>3200</v>
      </c>
      <c r="I20" s="59">
        <v>4390</v>
      </c>
      <c r="J20" s="58"/>
      <c r="K20" s="58" t="s">
        <v>3</v>
      </c>
      <c r="L20" s="58"/>
      <c r="M20" s="58"/>
      <c r="N20" s="44" t="str">
        <f t="shared" si="0"/>
        <v>1</v>
      </c>
      <c r="O20" s="44" t="str">
        <f>INDEX(Кат!$G:$G,MATCH($A20,Кат!$A:$A,0))</f>
        <v>100 деталей</v>
      </c>
    </row>
    <row r="21" spans="1:15" ht="60" x14ac:dyDescent="0.25">
      <c r="A21" s="57">
        <v>163842</v>
      </c>
      <c r="B21" s="57">
        <v>804</v>
      </c>
      <c r="C21" s="58" t="s">
        <v>97</v>
      </c>
      <c r="D21" s="58" t="s">
        <v>81</v>
      </c>
      <c r="E21" s="58"/>
      <c r="F21" s="58"/>
      <c r="G21" s="58" t="s">
        <v>5</v>
      </c>
      <c r="H21" s="59">
        <v>3400</v>
      </c>
      <c r="I21" s="59">
        <v>4690</v>
      </c>
      <c r="J21" s="58"/>
      <c r="K21" s="58" t="s">
        <v>3</v>
      </c>
      <c r="L21" s="58"/>
      <c r="M21" s="58"/>
      <c r="N21" s="44" t="str">
        <f t="shared" si="0"/>
        <v>1</v>
      </c>
      <c r="O21" s="44" t="str">
        <f>INDEX(Кат!$G:$G,MATCH($A21,Кат!$A:$A,0))</f>
        <v>100 деталей</v>
      </c>
    </row>
    <row r="22" spans="1:15" ht="45" x14ac:dyDescent="0.25">
      <c r="A22" s="57">
        <v>163900</v>
      </c>
      <c r="B22" s="57">
        <v>6916</v>
      </c>
      <c r="C22" s="58" t="s">
        <v>98</v>
      </c>
      <c r="D22" s="58" t="s">
        <v>81</v>
      </c>
      <c r="E22" s="58"/>
      <c r="F22" s="58"/>
      <c r="G22" s="58" t="s">
        <v>5</v>
      </c>
      <c r="H22" s="59">
        <v>3200</v>
      </c>
      <c r="I22" s="59">
        <v>4390</v>
      </c>
      <c r="J22" s="58"/>
      <c r="K22" s="58" t="s">
        <v>3</v>
      </c>
      <c r="L22" s="58"/>
      <c r="M22" s="58"/>
      <c r="N22" s="44" t="str">
        <f t="shared" si="0"/>
        <v>1</v>
      </c>
      <c r="O22" s="44" t="str">
        <f>INDEX(Кат!$G:$G,MATCH($A22,Кат!$A:$A,0))</f>
        <v>100 деталей</v>
      </c>
    </row>
  </sheetData>
  <sheetProtection formatCells="0" formatColumns="0" formatRows="0" insertColumns="0" insertRows="0" insertHyperlinks="0" deleteColumns="0" deleteRows="0" sort="0" autoFilter="0" pivotTables="0"/>
  <autoFilter ref="A1:O22" xr:uid="{1F31B540-E9EE-4E86-8F06-BDD0C3ED1F26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929AB-E108-49DA-A419-46AD0403A2CB}">
  <sheetPr codeName="Лист4">
    <tabColor rgb="FF92D050"/>
  </sheetPr>
  <dimension ref="A1:E24"/>
  <sheetViews>
    <sheetView tabSelected="1" workbookViewId="0">
      <selection activeCell="L18" sqref="L18"/>
    </sheetView>
  </sheetViews>
  <sheetFormatPr defaultRowHeight="15" x14ac:dyDescent="0.25"/>
  <cols>
    <col min="1" max="1" width="7" style="8" bestFit="1" customWidth="1"/>
    <col min="2" max="2" width="8.5703125" style="8" bestFit="1" customWidth="1"/>
    <col min="4" max="4" width="8" style="8" bestFit="1" customWidth="1"/>
    <col min="5" max="5" width="6.5703125" style="4" bestFit="1" customWidth="1"/>
  </cols>
  <sheetData>
    <row r="1" spans="1:5" x14ac:dyDescent="0.25">
      <c r="B1" s="32"/>
    </row>
    <row r="2" spans="1:5" x14ac:dyDescent="0.25">
      <c r="A2" s="9" t="s">
        <v>0</v>
      </c>
      <c r="B2" s="34" t="s">
        <v>65</v>
      </c>
      <c r="D2" s="24">
        <v>3</v>
      </c>
      <c r="E2" s="24">
        <v>2</v>
      </c>
    </row>
    <row r="3" spans="1:5" x14ac:dyDescent="0.25">
      <c r="A3" s="41">
        <v>163870</v>
      </c>
      <c r="B3" s="22"/>
      <c r="D3" s="31"/>
      <c r="E3" s="3"/>
    </row>
    <row r="4" spans="1:5" x14ac:dyDescent="0.25">
      <c r="A4" s="41">
        <v>163871</v>
      </c>
      <c r="B4" s="22"/>
      <c r="D4" s="31"/>
      <c r="E4" s="3"/>
    </row>
    <row r="5" spans="1:5" x14ac:dyDescent="0.25">
      <c r="A5" s="41">
        <v>163872</v>
      </c>
      <c r="B5" s="22"/>
      <c r="D5" s="31"/>
      <c r="E5" s="27"/>
    </row>
    <row r="6" spans="1:5" ht="15.75" thickBot="1" x14ac:dyDescent="0.3">
      <c r="A6" s="41">
        <v>163842</v>
      </c>
      <c r="B6" s="23">
        <v>4890</v>
      </c>
      <c r="C6" t="s">
        <v>21</v>
      </c>
      <c r="D6" s="31">
        <v>4244</v>
      </c>
      <c r="E6" s="28" t="s">
        <v>54</v>
      </c>
    </row>
    <row r="7" spans="1:5" ht="16.5" thickTop="1" thickBot="1" x14ac:dyDescent="0.3">
      <c r="A7" s="41">
        <v>163873</v>
      </c>
      <c r="B7" s="23">
        <v>4590</v>
      </c>
      <c r="C7" t="s">
        <v>22</v>
      </c>
      <c r="D7" s="31">
        <v>3981</v>
      </c>
      <c r="E7" s="28" t="s">
        <v>55</v>
      </c>
    </row>
    <row r="8" spans="1:5" ht="16.5" thickTop="1" thickBot="1" x14ac:dyDescent="0.3">
      <c r="A8" s="41">
        <v>163874</v>
      </c>
      <c r="B8" s="23">
        <v>4390</v>
      </c>
      <c r="C8" t="s">
        <v>28</v>
      </c>
      <c r="D8" s="31"/>
      <c r="E8" s="29"/>
    </row>
    <row r="9" spans="1:5" ht="16.5" thickTop="1" thickBot="1" x14ac:dyDescent="0.3">
      <c r="A9" s="41">
        <v>163875</v>
      </c>
      <c r="B9" s="23">
        <v>4590</v>
      </c>
      <c r="C9" t="s">
        <v>19</v>
      </c>
      <c r="D9" s="31">
        <v>3247</v>
      </c>
      <c r="E9" s="28" t="s">
        <v>56</v>
      </c>
    </row>
    <row r="10" spans="1:5" ht="16.5" thickTop="1" thickBot="1" x14ac:dyDescent="0.3">
      <c r="A10" s="41">
        <v>163876</v>
      </c>
      <c r="B10" s="23">
        <v>4390</v>
      </c>
      <c r="C10" t="s">
        <v>18</v>
      </c>
      <c r="D10" s="31">
        <v>4368</v>
      </c>
      <c r="E10" s="28" t="s">
        <v>60</v>
      </c>
    </row>
    <row r="11" spans="1:5" ht="16.5" thickTop="1" thickBot="1" x14ac:dyDescent="0.3">
      <c r="A11" s="41">
        <v>163877</v>
      </c>
      <c r="B11" s="23">
        <v>4390</v>
      </c>
      <c r="C11" t="s">
        <v>16</v>
      </c>
      <c r="D11" s="31">
        <v>3127</v>
      </c>
      <c r="E11" s="28" t="s">
        <v>57</v>
      </c>
    </row>
    <row r="12" spans="1:5" ht="16.5" thickTop="1" thickBot="1" x14ac:dyDescent="0.3">
      <c r="A12" s="41">
        <v>163879</v>
      </c>
      <c r="B12" s="23">
        <v>4590</v>
      </c>
      <c r="C12" t="s">
        <v>22</v>
      </c>
      <c r="D12" s="31">
        <v>3981</v>
      </c>
      <c r="E12" s="28" t="s">
        <v>61</v>
      </c>
    </row>
    <row r="13" spans="1:5" ht="16.5" thickTop="1" thickBot="1" x14ac:dyDescent="0.3">
      <c r="A13" s="41">
        <v>163892</v>
      </c>
      <c r="B13" s="23">
        <v>5490</v>
      </c>
      <c r="C13" t="s">
        <v>24</v>
      </c>
      <c r="D13" s="31"/>
      <c r="E13" s="29"/>
    </row>
    <row r="14" spans="1:5" ht="27.75" thickTop="1" thickBot="1" x14ac:dyDescent="0.3">
      <c r="A14" s="41">
        <v>163893</v>
      </c>
      <c r="B14" s="23" t="s">
        <v>105</v>
      </c>
      <c r="C14" t="s">
        <v>29</v>
      </c>
      <c r="D14" s="31"/>
      <c r="E14" s="29"/>
    </row>
    <row r="15" spans="1:5" ht="16.5" thickTop="1" thickBot="1" x14ac:dyDescent="0.3">
      <c r="A15" s="41">
        <v>163894</v>
      </c>
      <c r="B15" s="23">
        <v>11790</v>
      </c>
      <c r="C15" t="s">
        <v>23</v>
      </c>
      <c r="D15" s="31"/>
      <c r="E15" s="29"/>
    </row>
    <row r="16" spans="1:5" ht="16.5" thickTop="1" thickBot="1" x14ac:dyDescent="0.3">
      <c r="A16" s="41">
        <v>163895</v>
      </c>
      <c r="B16" s="23">
        <v>12490</v>
      </c>
      <c r="C16" t="s">
        <v>25</v>
      </c>
      <c r="D16" s="31"/>
      <c r="E16" s="29"/>
    </row>
    <row r="17" spans="1:5" ht="16.5" thickTop="1" thickBot="1" x14ac:dyDescent="0.3">
      <c r="A17" s="41">
        <v>163896</v>
      </c>
      <c r="B17" s="23">
        <v>4590</v>
      </c>
      <c r="C17" t="s">
        <v>17</v>
      </c>
      <c r="D17" s="31">
        <v>3924</v>
      </c>
      <c r="E17" s="28" t="s">
        <v>63</v>
      </c>
    </row>
    <row r="18" spans="1:5" ht="16.5" thickTop="1" thickBot="1" x14ac:dyDescent="0.3">
      <c r="A18" s="41">
        <v>163897</v>
      </c>
      <c r="B18" s="23">
        <v>4490</v>
      </c>
      <c r="C18" t="s">
        <v>27</v>
      </c>
      <c r="D18" s="31">
        <v>3175</v>
      </c>
      <c r="E18" s="28" t="s">
        <v>62</v>
      </c>
    </row>
    <row r="19" spans="1:5" ht="16.5" thickTop="1" thickBot="1" x14ac:dyDescent="0.3">
      <c r="A19" s="41">
        <v>163898</v>
      </c>
      <c r="B19" s="23">
        <v>4190</v>
      </c>
      <c r="C19" t="s">
        <v>20</v>
      </c>
      <c r="D19" s="31"/>
      <c r="E19" s="29"/>
    </row>
    <row r="20" spans="1:5" ht="16.5" thickTop="1" thickBot="1" x14ac:dyDescent="0.3">
      <c r="A20" s="41">
        <v>163899</v>
      </c>
      <c r="B20" s="23">
        <v>4490</v>
      </c>
      <c r="C20" t="s">
        <v>30</v>
      </c>
      <c r="D20" s="31">
        <v>4212</v>
      </c>
      <c r="E20" s="28" t="s">
        <v>58</v>
      </c>
    </row>
    <row r="21" spans="1:5" ht="16.5" thickTop="1" thickBot="1" x14ac:dyDescent="0.3">
      <c r="A21" s="41">
        <v>163900</v>
      </c>
      <c r="B21" s="23">
        <v>4590</v>
      </c>
      <c r="C21" t="s">
        <v>26</v>
      </c>
      <c r="D21" s="31">
        <v>3175</v>
      </c>
      <c r="E21" s="28" t="s">
        <v>59</v>
      </c>
    </row>
    <row r="22" spans="1:5" ht="16.5" thickTop="1" thickBot="1" x14ac:dyDescent="0.3">
      <c r="A22" s="41">
        <v>163878</v>
      </c>
      <c r="B22" s="23"/>
      <c r="D22" s="31">
        <v>3175</v>
      </c>
      <c r="E22" s="28"/>
    </row>
    <row r="23" spans="1:5" ht="16.5" thickTop="1" thickBot="1" x14ac:dyDescent="0.3">
      <c r="A23" s="41">
        <v>163891</v>
      </c>
      <c r="B23" s="23">
        <v>4490</v>
      </c>
      <c r="C23" t="s">
        <v>30</v>
      </c>
      <c r="D23" s="31">
        <v>3175</v>
      </c>
      <c r="E23" s="28"/>
    </row>
    <row r="24" spans="1:5" ht="15.75" thickTop="1" x14ac:dyDescent="0.25"/>
  </sheetData>
  <conditionalFormatting sqref="A3:A23">
    <cfRule type="expression" dxfId="5" priority="1">
      <formula>AND($O3=0,$N3=0)</formula>
    </cfRule>
  </conditionalFormatting>
  <hyperlinks>
    <hyperlink ref="B11" r:id="rId1" display="https://motorring.ru/product/5803-mahovik-oblegchennyy-100detaley-dlya-vaz-2110-2112" xr:uid="{3D0324E8-7A98-4BF2-ACDE-A68B69A99FD8}"/>
    <hyperlink ref="B17" r:id="rId2" display="https://motorring.ru/product/31895-mahovik-oblegchennyy-100detaley-pod-sceplenie-2123-dlya-2101-4x4" xr:uid="{46D56FFD-1545-4878-BBCD-2544F65F6C90}"/>
    <hyperlink ref="B10" r:id="rId3" display="https://motorring.ru/product/5805-mahovik-oblegchennyy-4kg-sceplenie-2110-vaz-2108-21099-2113-2115" xr:uid="{A20080F8-0A6C-4190-9A79-1FF51516A3B3}"/>
    <hyperlink ref="B9" r:id="rId4" display="https://motorring.ru/product/8244-mahovik-oblegchennyy-100detaley-dlya-vaz-2108-21099" xr:uid="{1F3E49C1-B3F4-439C-BA40-8B61D3850105}"/>
    <hyperlink ref="B19" r:id="rId5" display="https://motorring.ru/product/29296-mahovik-oblegchennyy-100detaley-turbo-pod-sceplenie-2110" xr:uid="{B0A694BA-823C-45CB-95BC-77A0C2D0EED5}"/>
    <hyperlink ref="B6" r:id="rId6" display="https://motorring.ru/product/14199-mahovik-oblegchennyy-100detaley-pod-trosovuyu-korobku" xr:uid="{0B3BC22B-9E3B-4ADD-9677-FDC7232E8E62}"/>
    <hyperlink ref="B7" r:id="rId7" display="https://motorring.ru/product/31898-mahovik-oblegchennyy-100detaley-8v-2101" xr:uid="{D91F6FD9-B7E7-4D01-BB00-80DC5BD625FE}"/>
    <hyperlink ref="B15" r:id="rId8" display="https://motorring.ru/product/37236-mahovik-oblegchennyy-stalnoy-100detaley-vaz-2110-2112" xr:uid="{DBACB203-868A-46C4-8404-5E1FB7C806B2}"/>
    <hyperlink ref="B13" r:id="rId9" display="https://motorring.ru/product/37234-mahovik-oblegchennyy-sceplenie-2123-100detaley-lada-vesta" xr:uid="{F420F5EE-A143-417C-AAFD-FEAFF18FA7B6}"/>
    <hyperlink ref="B16" r:id="rId10" display="https://motorring.ru/product/40316-mahovik-oblegchennyy-stalnoy-100detaley-tros-kpp-granta" xr:uid="{E5882903-F4AF-46E8-B882-E3AA4135A9DB}"/>
    <hyperlink ref="B21" r:id="rId11" display="https://motorring.ru/product/1025-mahovik-oblegchennyy-100detaley-215mm-dlya-shevrole-niva" xr:uid="{9F683B63-5486-49C9-807D-F48BFC21DE41}"/>
    <hyperlink ref="B18" r:id="rId12" display="https://motorring.ru/product/1026-mahovik-oblegchennyy-100detaley-turbo-215mm-dlya-shevrole" xr:uid="{4BDC5E43-2564-424C-BDA7-0BCBA9408E34}"/>
    <hyperlink ref="B8" r:id="rId13" display="https://motorring.ru/product/31897-mahovik-oblegchennyy-100detaley-16v-2101" xr:uid="{2562EE6E-39C4-4852-BE4E-EA1FFC4DC841}"/>
    <hyperlink ref="B14" r:id="rId14" display="https://motorring.ru/product/37235-mahovik-oblegchennyy-100detaley-lada-vesta" xr:uid="{DF75B3EA-402A-4B27-83BD-22058EA77619}"/>
    <hyperlink ref="B12" r:id="rId15" display="https://motorring.ru/product/31898-mahovik-oblegchennyy-100detaley-8v-2101" xr:uid="{A8C88E42-218B-445A-98C1-403028CB2FEA}"/>
    <hyperlink ref="B20" r:id="rId16" display="https://motorring.ru/product/5807-mahovik-oblegchennyy-100detaley-pod-sceplenie-2123-dlya-2101" xr:uid="{7839BCCF-6EB7-4FF7-BC52-4C0BC687A775}"/>
    <hyperlink ref="E6" r:id="rId17" xr:uid="{776758CA-43A1-4FD6-A6D8-36A0FD4B712B}"/>
    <hyperlink ref="E7" r:id="rId18" xr:uid="{CC44EC48-F186-4227-9137-F2CBE2C362E2}"/>
    <hyperlink ref="E9" r:id="rId19" xr:uid="{64C282F6-A3D8-48CA-8664-62B7665F0360}"/>
    <hyperlink ref="E11" r:id="rId20" xr:uid="{E778DED9-A520-41D2-985C-09A4EC6535A2}"/>
    <hyperlink ref="E17" r:id="rId21" xr:uid="{B8C7C78F-121A-42A8-8E42-C167CEBDF56B}"/>
    <hyperlink ref="E20" r:id="rId22" xr:uid="{517C1234-B3F8-4A52-BDD5-BA92D6287415}"/>
    <hyperlink ref="E21" r:id="rId23" xr:uid="{C3015574-1956-4EB9-AEDE-4E8479B31BD5}"/>
    <hyperlink ref="E10" r:id="rId24" xr:uid="{9BAE0A73-211C-42DF-89DB-9E554DF23FE9}"/>
    <hyperlink ref="E12" r:id="rId25" xr:uid="{0B7479F2-A28E-499B-ADD3-0A4E62EF7CE6}"/>
    <hyperlink ref="E18" r:id="rId26" xr:uid="{35FB6D74-9FA3-48A0-B295-647AC884CD4B}"/>
    <hyperlink ref="B23" r:id="rId27" display="https://motorring.ru/product/5807-mahovik-oblegchennyy-100detaley-pod-sceplenie-2123-dlya-2101" xr:uid="{C51CF8BF-9450-4B6F-98B7-686FAA5B418C}"/>
  </hyperlinks>
  <pageMargins left="0.7" right="0.7" top="0.75" bottom="0.75" header="0.3" footer="0.3"/>
  <pageSetup paperSize="9" orientation="portrait" r:id="rId28"/>
  <drawing r:id="rId29"/>
  <legacyDrawing r:id="rId30"/>
  <controls>
    <mc:AlternateContent xmlns:mc="http://schemas.openxmlformats.org/markup-compatibility/2006">
      <mc:Choice Requires="x14">
        <control shapeId="5121" r:id="rId31" name="CommandButton1">
          <controlPr defaultSize="0" autoLine="0" r:id="rId32">
            <anchor moveWithCells="1">
              <from>
                <xdr:col>14</xdr:col>
                <xdr:colOff>266700</xdr:colOff>
                <xdr:row>1</xdr:row>
                <xdr:rowOff>19050</xdr:rowOff>
              </from>
              <to>
                <xdr:col>17</xdr:col>
                <xdr:colOff>581025</xdr:colOff>
                <xdr:row>4</xdr:row>
                <xdr:rowOff>0</xdr:rowOff>
              </to>
            </anchor>
          </controlPr>
        </control>
      </mc:Choice>
      <mc:Fallback>
        <control shapeId="5121" r:id="rId31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71C43-CD67-425F-B7DE-CA389A438BF6}">
  <sheetPr codeName="Лист6">
    <tabColor rgb="FF92D050"/>
  </sheetPr>
  <dimension ref="A1:S1004"/>
  <sheetViews>
    <sheetView workbookViewId="0">
      <selection activeCell="B37" sqref="B37"/>
    </sheetView>
  </sheetViews>
  <sheetFormatPr defaultRowHeight="15" x14ac:dyDescent="0.25"/>
  <cols>
    <col min="1" max="1" width="12.140625" bestFit="1" customWidth="1"/>
    <col min="2" max="2" width="11.28515625" bestFit="1" customWidth="1"/>
    <col min="3" max="3" width="13.42578125" bestFit="1" customWidth="1"/>
    <col min="4" max="4" width="81.140625" bestFit="1" customWidth="1"/>
    <col min="5" max="5" width="28.42578125" bestFit="1" customWidth="1"/>
    <col min="6" max="6" width="35.7109375" bestFit="1" customWidth="1"/>
    <col min="7" max="7" width="81.140625" bestFit="1" customWidth="1"/>
    <col min="8" max="8" width="11.28515625" bestFit="1" customWidth="1"/>
    <col min="9" max="9" width="26.85546875" bestFit="1" customWidth="1"/>
    <col min="10" max="10" width="20.140625" bestFit="1" customWidth="1"/>
    <col min="11" max="19" width="12.28515625" bestFit="1" customWidth="1"/>
  </cols>
  <sheetData>
    <row r="1" spans="1:19" x14ac:dyDescent="0.25">
      <c r="A1" t="s">
        <v>31</v>
      </c>
      <c r="B1" t="s">
        <v>32</v>
      </c>
      <c r="C1" t="s">
        <v>33</v>
      </c>
      <c r="D1" t="s">
        <v>34</v>
      </c>
      <c r="E1" t="s">
        <v>50</v>
      </c>
      <c r="F1" t="s">
        <v>68</v>
      </c>
      <c r="G1" t="s">
        <v>51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43</v>
      </c>
      <c r="Q1" t="s">
        <v>44</v>
      </c>
      <c r="R1" t="s">
        <v>45</v>
      </c>
      <c r="S1" t="s">
        <v>69</v>
      </c>
    </row>
    <row r="2" spans="1:19" x14ac:dyDescent="0.25">
      <c r="A2" s="38" t="s">
        <v>106</v>
      </c>
      <c r="B2" t="s">
        <v>107</v>
      </c>
      <c r="C2" t="s">
        <v>108</v>
      </c>
      <c r="D2" s="38" t="s">
        <v>70</v>
      </c>
      <c r="E2" t="s">
        <v>46</v>
      </c>
      <c r="F2" s="38" t="s">
        <v>47</v>
      </c>
      <c r="I2" s="38"/>
      <c r="J2" s="38" t="s">
        <v>66</v>
      </c>
    </row>
    <row r="3" spans="1:19" x14ac:dyDescent="0.25">
      <c r="A3" s="38"/>
      <c r="B3" t="s">
        <v>0</v>
      </c>
      <c r="D3" s="38" t="s">
        <v>48</v>
      </c>
      <c r="E3" t="s">
        <v>49</v>
      </c>
      <c r="F3" s="38" t="s">
        <v>49</v>
      </c>
      <c r="I3" s="38"/>
      <c r="J3" s="38"/>
    </row>
    <row r="4" spans="1:19" x14ac:dyDescent="0.25">
      <c r="A4" s="38" t="s">
        <v>5</v>
      </c>
      <c r="B4">
        <v>163870</v>
      </c>
      <c r="D4" s="38"/>
      <c r="F4" s="38"/>
      <c r="G4" t="s">
        <v>99</v>
      </c>
      <c r="I4" s="38"/>
      <c r="J4" s="38"/>
    </row>
    <row r="5" spans="1:19" x14ac:dyDescent="0.25">
      <c r="A5" s="38" t="s">
        <v>5</v>
      </c>
      <c r="B5">
        <v>163871</v>
      </c>
      <c r="D5" s="38"/>
      <c r="F5" s="38"/>
      <c r="G5" t="s">
        <v>99</v>
      </c>
      <c r="I5" s="38"/>
      <c r="J5" s="38"/>
    </row>
    <row r="6" spans="1:19" x14ac:dyDescent="0.25">
      <c r="A6" s="38" t="s">
        <v>5</v>
      </c>
      <c r="B6">
        <v>163872</v>
      </c>
      <c r="D6" s="38"/>
      <c r="F6" s="38"/>
      <c r="G6" t="s">
        <v>99</v>
      </c>
      <c r="I6" s="38"/>
      <c r="J6" s="38"/>
    </row>
    <row r="7" spans="1:19" x14ac:dyDescent="0.25">
      <c r="A7" s="38" t="s">
        <v>5</v>
      </c>
      <c r="B7">
        <v>163842</v>
      </c>
      <c r="C7">
        <v>4890</v>
      </c>
      <c r="D7" s="38" t="s">
        <v>21</v>
      </c>
      <c r="F7" s="38"/>
      <c r="G7">
        <v>4890</v>
      </c>
      <c r="H7">
        <v>4244</v>
      </c>
      <c r="I7" s="38" t="s">
        <v>54</v>
      </c>
      <c r="J7" s="38" t="s">
        <v>71</v>
      </c>
    </row>
    <row r="8" spans="1:19" x14ac:dyDescent="0.25">
      <c r="A8" s="38" t="s">
        <v>5</v>
      </c>
      <c r="B8">
        <v>163873</v>
      </c>
      <c r="C8">
        <v>4590</v>
      </c>
      <c r="D8" s="38" t="s">
        <v>22</v>
      </c>
      <c r="F8" s="38"/>
      <c r="G8">
        <v>4590</v>
      </c>
      <c r="H8">
        <v>3981</v>
      </c>
      <c r="I8" s="38" t="s">
        <v>55</v>
      </c>
      <c r="J8" s="38" t="s">
        <v>71</v>
      </c>
    </row>
    <row r="9" spans="1:19" x14ac:dyDescent="0.25">
      <c r="A9" s="38" t="s">
        <v>5</v>
      </c>
      <c r="B9">
        <v>163874</v>
      </c>
      <c r="C9">
        <v>4390</v>
      </c>
      <c r="D9" s="38" t="s">
        <v>28</v>
      </c>
      <c r="F9" s="38"/>
      <c r="G9">
        <v>4390</v>
      </c>
      <c r="I9" s="38"/>
      <c r="J9" s="38" t="s">
        <v>50</v>
      </c>
    </row>
    <row r="10" spans="1:19" x14ac:dyDescent="0.25">
      <c r="A10" s="38" t="s">
        <v>5</v>
      </c>
      <c r="B10">
        <v>163875</v>
      </c>
      <c r="C10">
        <v>4590</v>
      </c>
      <c r="D10" s="38" t="s">
        <v>19</v>
      </c>
      <c r="F10" s="38"/>
      <c r="G10">
        <v>4590</v>
      </c>
      <c r="H10">
        <v>3247</v>
      </c>
      <c r="I10" s="38" t="s">
        <v>56</v>
      </c>
      <c r="J10" s="38" t="s">
        <v>71</v>
      </c>
    </row>
    <row r="11" spans="1:19" x14ac:dyDescent="0.25">
      <c r="A11" s="38" t="s">
        <v>5</v>
      </c>
      <c r="B11">
        <v>163876</v>
      </c>
      <c r="C11">
        <v>4390</v>
      </c>
      <c r="D11" s="38" t="s">
        <v>18</v>
      </c>
      <c r="F11" s="38"/>
      <c r="G11">
        <v>4390</v>
      </c>
      <c r="I11" s="38"/>
      <c r="J11" s="38" t="s">
        <v>50</v>
      </c>
    </row>
    <row r="12" spans="1:19" x14ac:dyDescent="0.25">
      <c r="A12" s="38" t="s">
        <v>5</v>
      </c>
      <c r="B12">
        <v>163877</v>
      </c>
      <c r="C12">
        <v>4390</v>
      </c>
      <c r="D12" s="38" t="s">
        <v>16</v>
      </c>
      <c r="F12" s="38"/>
      <c r="G12">
        <v>4390</v>
      </c>
      <c r="H12">
        <v>3127</v>
      </c>
      <c r="I12" s="38" t="s">
        <v>57</v>
      </c>
      <c r="J12" s="38" t="s">
        <v>71</v>
      </c>
    </row>
    <row r="13" spans="1:19" x14ac:dyDescent="0.25">
      <c r="A13" s="38" t="s">
        <v>5</v>
      </c>
      <c r="B13">
        <v>163879</v>
      </c>
      <c r="C13">
        <v>4590</v>
      </c>
      <c r="D13" s="38" t="s">
        <v>22</v>
      </c>
      <c r="F13" s="38"/>
      <c r="G13">
        <v>4590</v>
      </c>
      <c r="I13" s="38"/>
      <c r="J13" s="38" t="s">
        <v>50</v>
      </c>
    </row>
    <row r="14" spans="1:19" x14ac:dyDescent="0.25">
      <c r="A14" s="38" t="s">
        <v>5</v>
      </c>
      <c r="B14">
        <v>163892</v>
      </c>
      <c r="C14">
        <v>5490</v>
      </c>
      <c r="D14" s="38" t="s">
        <v>24</v>
      </c>
      <c r="F14" s="38"/>
      <c r="G14">
        <v>5490</v>
      </c>
      <c r="I14" s="38"/>
      <c r="J14" s="38" t="s">
        <v>50</v>
      </c>
    </row>
    <row r="15" spans="1:19" x14ac:dyDescent="0.25">
      <c r="A15" s="38" t="s">
        <v>5</v>
      </c>
      <c r="B15">
        <v>163893</v>
      </c>
      <c r="C15" t="s">
        <v>15</v>
      </c>
      <c r="D15" s="38" t="s">
        <v>29</v>
      </c>
      <c r="F15" s="38"/>
      <c r="G15">
        <v>4490</v>
      </c>
      <c r="I15" s="38"/>
      <c r="J15" s="38" t="s">
        <v>50</v>
      </c>
    </row>
    <row r="16" spans="1:19" x14ac:dyDescent="0.25">
      <c r="A16" s="38" t="s">
        <v>5</v>
      </c>
      <c r="B16">
        <v>163894</v>
      </c>
      <c r="C16">
        <v>11790</v>
      </c>
      <c r="D16" s="38" t="s">
        <v>23</v>
      </c>
      <c r="F16" s="38"/>
      <c r="G16">
        <v>11790</v>
      </c>
      <c r="I16" s="38"/>
      <c r="J16" s="38" t="s">
        <v>50</v>
      </c>
    </row>
    <row r="17" spans="1:10" x14ac:dyDescent="0.25">
      <c r="A17" s="38" t="s">
        <v>5</v>
      </c>
      <c r="B17">
        <v>163895</v>
      </c>
      <c r="C17">
        <v>11790</v>
      </c>
      <c r="D17" s="38" t="s">
        <v>25</v>
      </c>
      <c r="F17" s="38"/>
      <c r="G17">
        <v>12490</v>
      </c>
      <c r="I17" s="38"/>
      <c r="J17" s="38" t="s">
        <v>50</v>
      </c>
    </row>
    <row r="18" spans="1:10" x14ac:dyDescent="0.25">
      <c r="A18" s="38" t="s">
        <v>5</v>
      </c>
      <c r="B18">
        <v>163896</v>
      </c>
      <c r="C18">
        <v>4590</v>
      </c>
      <c r="D18" s="38" t="s">
        <v>17</v>
      </c>
      <c r="F18" s="38"/>
      <c r="G18">
        <v>4590</v>
      </c>
      <c r="H18">
        <v>3943</v>
      </c>
      <c r="I18" s="38" t="s">
        <v>67</v>
      </c>
      <c r="J18" s="38" t="s">
        <v>71</v>
      </c>
    </row>
    <row r="19" spans="1:10" x14ac:dyDescent="0.25">
      <c r="A19" s="38" t="s">
        <v>5</v>
      </c>
      <c r="B19">
        <v>163897</v>
      </c>
      <c r="C19">
        <v>4490</v>
      </c>
      <c r="D19" s="38" t="s">
        <v>27</v>
      </c>
      <c r="F19" s="38"/>
      <c r="G19">
        <v>4490</v>
      </c>
      <c r="I19" s="38"/>
      <c r="J19" s="38" t="s">
        <v>50</v>
      </c>
    </row>
    <row r="20" spans="1:10" x14ac:dyDescent="0.25">
      <c r="A20" s="38" t="s">
        <v>5</v>
      </c>
      <c r="B20">
        <v>163898</v>
      </c>
      <c r="C20">
        <v>4190</v>
      </c>
      <c r="D20" s="38" t="s">
        <v>20</v>
      </c>
      <c r="F20" s="38"/>
      <c r="G20">
        <v>4190</v>
      </c>
      <c r="I20" s="38"/>
      <c r="J20" s="38" t="s">
        <v>50</v>
      </c>
    </row>
    <row r="21" spans="1:10" x14ac:dyDescent="0.25">
      <c r="A21" s="38" t="s">
        <v>5</v>
      </c>
      <c r="B21">
        <v>163899</v>
      </c>
      <c r="C21">
        <v>4490</v>
      </c>
      <c r="D21" s="38" t="s">
        <v>30</v>
      </c>
      <c r="F21" s="38"/>
      <c r="G21">
        <v>4490</v>
      </c>
      <c r="H21">
        <v>4212</v>
      </c>
      <c r="I21" s="38" t="s">
        <v>58</v>
      </c>
      <c r="J21" s="38" t="s">
        <v>71</v>
      </c>
    </row>
    <row r="22" spans="1:10" x14ac:dyDescent="0.25">
      <c r="A22" s="38" t="s">
        <v>5</v>
      </c>
      <c r="B22">
        <v>163900</v>
      </c>
      <c r="C22">
        <v>4590</v>
      </c>
      <c r="D22" s="38" t="s">
        <v>26</v>
      </c>
      <c r="F22" s="38"/>
      <c r="G22">
        <v>4590</v>
      </c>
      <c r="H22">
        <v>3175</v>
      </c>
      <c r="I22" s="38" t="s">
        <v>59</v>
      </c>
      <c r="J22" s="38" t="s">
        <v>71</v>
      </c>
    </row>
    <row r="23" spans="1:10" x14ac:dyDescent="0.25">
      <c r="A23" s="38" t="s">
        <v>5</v>
      </c>
      <c r="B23">
        <v>163878</v>
      </c>
      <c r="D23" s="38"/>
      <c r="F23" s="38"/>
      <c r="G23" t="s">
        <v>99</v>
      </c>
      <c r="I23" s="38"/>
      <c r="J23" s="38"/>
    </row>
    <row r="24" spans="1:10" x14ac:dyDescent="0.25">
      <c r="A24" s="38" t="s">
        <v>5</v>
      </c>
      <c r="B24">
        <v>163891</v>
      </c>
      <c r="C24">
        <v>4490</v>
      </c>
      <c r="D24" s="38" t="s">
        <v>30</v>
      </c>
      <c r="F24" s="38"/>
      <c r="G24">
        <v>4490</v>
      </c>
      <c r="I24" s="38"/>
      <c r="J24" s="38"/>
    </row>
    <row r="25" spans="1:10" x14ac:dyDescent="0.25">
      <c r="A25" s="38"/>
      <c r="D25" s="38"/>
      <c r="F25" s="38"/>
      <c r="I25" s="38"/>
      <c r="J25" s="38"/>
    </row>
    <row r="26" spans="1:10" x14ac:dyDescent="0.25">
      <c r="A26" s="38"/>
      <c r="D26" s="38"/>
      <c r="F26" s="38"/>
      <c r="I26" s="38"/>
      <c r="J26" s="38"/>
    </row>
    <row r="27" spans="1:10" x14ac:dyDescent="0.25">
      <c r="A27" s="38"/>
      <c r="D27" s="38"/>
      <c r="F27" s="38"/>
      <c r="I27" s="38"/>
      <c r="J27" s="38"/>
    </row>
    <row r="28" spans="1:10" x14ac:dyDescent="0.25">
      <c r="A28" s="38"/>
      <c r="D28" s="38"/>
      <c r="F28" s="38"/>
      <c r="I28" s="38"/>
      <c r="J28" s="38"/>
    </row>
    <row r="29" spans="1:10" x14ac:dyDescent="0.25">
      <c r="A29" s="38"/>
      <c r="D29" s="38"/>
      <c r="F29" s="38"/>
      <c r="I29" s="38"/>
      <c r="J29" s="38"/>
    </row>
    <row r="30" spans="1:10" x14ac:dyDescent="0.25">
      <c r="A30" s="38"/>
      <c r="D30" s="38"/>
      <c r="F30" s="38"/>
      <c r="I30" s="38"/>
      <c r="J30" s="38"/>
    </row>
    <row r="31" spans="1:10" x14ac:dyDescent="0.25">
      <c r="A31" s="38"/>
      <c r="D31" s="38"/>
      <c r="F31" s="38"/>
      <c r="I31" s="38"/>
      <c r="J31" s="38"/>
    </row>
    <row r="32" spans="1:10" x14ac:dyDescent="0.25">
      <c r="A32" s="38"/>
      <c r="D32" s="38"/>
      <c r="F32" s="38"/>
      <c r="I32" s="38"/>
      <c r="J32" s="38"/>
    </row>
    <row r="33" spans="1:10" x14ac:dyDescent="0.25">
      <c r="A33" s="38"/>
      <c r="D33" s="38"/>
      <c r="F33" s="38"/>
      <c r="I33" s="38"/>
      <c r="J33" s="38"/>
    </row>
    <row r="34" spans="1:10" x14ac:dyDescent="0.25">
      <c r="A34" s="38"/>
      <c r="D34" s="38"/>
      <c r="F34" s="38"/>
      <c r="I34" s="38"/>
      <c r="J34" s="38"/>
    </row>
    <row r="35" spans="1:10" x14ac:dyDescent="0.25">
      <c r="A35" s="38"/>
      <c r="D35" s="38"/>
      <c r="F35" s="38"/>
      <c r="I35" s="38"/>
      <c r="J35" s="38"/>
    </row>
    <row r="36" spans="1:10" x14ac:dyDescent="0.25">
      <c r="A36" s="38"/>
      <c r="D36" s="38"/>
      <c r="F36" s="38"/>
      <c r="I36" s="38"/>
      <c r="J36" s="38"/>
    </row>
    <row r="37" spans="1:10" x14ac:dyDescent="0.25">
      <c r="A37" s="38"/>
      <c r="D37" s="38"/>
      <c r="F37" s="38"/>
      <c r="I37" s="38"/>
      <c r="J37" s="38"/>
    </row>
    <row r="38" spans="1:10" x14ac:dyDescent="0.25">
      <c r="A38" s="38"/>
      <c r="D38" s="38"/>
      <c r="F38" s="38"/>
      <c r="I38" s="38"/>
      <c r="J38" s="38"/>
    </row>
    <row r="39" spans="1:10" x14ac:dyDescent="0.25">
      <c r="A39" s="38"/>
      <c r="D39" s="38"/>
      <c r="F39" s="38"/>
      <c r="I39" s="38"/>
      <c r="J39" s="38"/>
    </row>
    <row r="40" spans="1:10" x14ac:dyDescent="0.25">
      <c r="A40" s="38"/>
      <c r="D40" s="38"/>
      <c r="F40" s="38"/>
      <c r="I40" s="38"/>
      <c r="J40" s="38"/>
    </row>
    <row r="41" spans="1:10" x14ac:dyDescent="0.25">
      <c r="A41" s="38"/>
      <c r="D41" s="38"/>
      <c r="F41" s="38"/>
      <c r="I41" s="38"/>
      <c r="J41" s="38"/>
    </row>
    <row r="42" spans="1:10" x14ac:dyDescent="0.25">
      <c r="A42" s="38"/>
      <c r="D42" s="38"/>
      <c r="F42" s="38"/>
      <c r="I42" s="38"/>
      <c r="J42" s="38"/>
    </row>
    <row r="43" spans="1:10" x14ac:dyDescent="0.25">
      <c r="A43" s="38"/>
      <c r="D43" s="38"/>
      <c r="F43" s="38"/>
      <c r="I43" s="38"/>
      <c r="J43" s="38"/>
    </row>
    <row r="44" spans="1:10" x14ac:dyDescent="0.25">
      <c r="A44" s="38"/>
      <c r="D44" s="38"/>
      <c r="F44" s="38"/>
      <c r="I44" s="38"/>
      <c r="J44" s="38"/>
    </row>
    <row r="45" spans="1:10" x14ac:dyDescent="0.25">
      <c r="A45" s="38"/>
      <c r="D45" s="38"/>
      <c r="F45" s="38"/>
      <c r="I45" s="38"/>
      <c r="J45" s="38"/>
    </row>
    <row r="46" spans="1:10" x14ac:dyDescent="0.25">
      <c r="A46" s="38"/>
      <c r="D46" s="38"/>
      <c r="F46" s="38"/>
      <c r="I46" s="38"/>
      <c r="J46" s="38"/>
    </row>
    <row r="47" spans="1:10" x14ac:dyDescent="0.25">
      <c r="A47" s="38"/>
      <c r="D47" s="38"/>
      <c r="F47" s="38"/>
      <c r="I47" s="38"/>
      <c r="J47" s="38"/>
    </row>
    <row r="48" spans="1:10" x14ac:dyDescent="0.25">
      <c r="A48" s="38"/>
      <c r="D48" s="38"/>
      <c r="F48" s="38"/>
      <c r="I48" s="38"/>
      <c r="J48" s="38"/>
    </row>
    <row r="49" spans="1:10" x14ac:dyDescent="0.25">
      <c r="A49" s="38"/>
      <c r="D49" s="38"/>
      <c r="F49" s="38"/>
      <c r="I49" s="38"/>
      <c r="J49" s="38"/>
    </row>
    <row r="50" spans="1:10" x14ac:dyDescent="0.25">
      <c r="A50" s="38"/>
      <c r="D50" s="38"/>
      <c r="F50" s="38"/>
      <c r="I50" s="38"/>
      <c r="J50" s="38"/>
    </row>
    <row r="51" spans="1:10" x14ac:dyDescent="0.25">
      <c r="A51" s="38"/>
      <c r="D51" s="38"/>
      <c r="F51" s="38"/>
      <c r="I51" s="38"/>
      <c r="J51" s="38"/>
    </row>
    <row r="52" spans="1:10" x14ac:dyDescent="0.25">
      <c r="A52" s="38"/>
      <c r="D52" s="38"/>
      <c r="F52" s="38"/>
      <c r="I52" s="38"/>
      <c r="J52" s="38"/>
    </row>
    <row r="53" spans="1:10" x14ac:dyDescent="0.25">
      <c r="A53" s="38"/>
      <c r="D53" s="38"/>
      <c r="F53" s="38"/>
      <c r="I53" s="38"/>
      <c r="J53" s="38"/>
    </row>
    <row r="54" spans="1:10" x14ac:dyDescent="0.25">
      <c r="A54" s="38"/>
      <c r="D54" s="38"/>
      <c r="F54" s="38"/>
      <c r="I54" s="38"/>
      <c r="J54" s="38"/>
    </row>
    <row r="55" spans="1:10" x14ac:dyDescent="0.25">
      <c r="A55" s="38"/>
      <c r="D55" s="38"/>
      <c r="F55" s="38"/>
      <c r="I55" s="38"/>
      <c r="J55" s="38"/>
    </row>
    <row r="56" spans="1:10" x14ac:dyDescent="0.25">
      <c r="A56" s="38"/>
      <c r="D56" s="38"/>
      <c r="F56" s="38"/>
      <c r="I56" s="38"/>
      <c r="J56" s="38"/>
    </row>
    <row r="57" spans="1:10" x14ac:dyDescent="0.25">
      <c r="A57" s="38"/>
      <c r="D57" s="38"/>
      <c r="F57" s="38"/>
      <c r="I57" s="38"/>
      <c r="J57" s="38"/>
    </row>
    <row r="58" spans="1:10" x14ac:dyDescent="0.25">
      <c r="A58" s="38"/>
      <c r="D58" s="38"/>
      <c r="F58" s="38"/>
      <c r="I58" s="38"/>
      <c r="J58" s="38"/>
    </row>
    <row r="59" spans="1:10" x14ac:dyDescent="0.25">
      <c r="A59" s="38"/>
      <c r="D59" s="38"/>
      <c r="F59" s="38"/>
      <c r="I59" s="38"/>
      <c r="J59" s="38"/>
    </row>
    <row r="60" spans="1:10" x14ac:dyDescent="0.25">
      <c r="A60" s="38"/>
      <c r="D60" s="38"/>
      <c r="F60" s="38"/>
      <c r="I60" s="38"/>
      <c r="J60" s="38"/>
    </row>
    <row r="61" spans="1:10" x14ac:dyDescent="0.25">
      <c r="A61" s="38"/>
      <c r="D61" s="38"/>
      <c r="F61" s="38"/>
      <c r="I61" s="38"/>
      <c r="J61" s="38"/>
    </row>
    <row r="62" spans="1:10" x14ac:dyDescent="0.25">
      <c r="A62" s="38"/>
      <c r="D62" s="38"/>
      <c r="F62" s="38"/>
      <c r="I62" s="38"/>
      <c r="J62" s="38"/>
    </row>
    <row r="63" spans="1:10" x14ac:dyDescent="0.25">
      <c r="A63" s="38"/>
      <c r="D63" s="38"/>
      <c r="F63" s="38"/>
      <c r="I63" s="38"/>
      <c r="J63" s="38"/>
    </row>
    <row r="64" spans="1:10" x14ac:dyDescent="0.25">
      <c r="A64" s="38"/>
      <c r="D64" s="38"/>
      <c r="F64" s="38"/>
      <c r="I64" s="38"/>
      <c r="J64" s="38"/>
    </row>
    <row r="65" spans="1:10" x14ac:dyDescent="0.25">
      <c r="A65" s="38"/>
      <c r="D65" s="38"/>
      <c r="F65" s="38"/>
      <c r="I65" s="38"/>
      <c r="J65" s="38"/>
    </row>
    <row r="66" spans="1:10" x14ac:dyDescent="0.25">
      <c r="A66" s="38"/>
      <c r="D66" s="38"/>
      <c r="F66" s="38"/>
      <c r="I66" s="38"/>
      <c r="J66" s="38"/>
    </row>
    <row r="67" spans="1:10" x14ac:dyDescent="0.25">
      <c r="A67" s="38"/>
      <c r="D67" s="38"/>
      <c r="F67" s="38"/>
      <c r="I67" s="38"/>
      <c r="J67" s="38"/>
    </row>
    <row r="68" spans="1:10" x14ac:dyDescent="0.25">
      <c r="A68" s="38"/>
      <c r="D68" s="38"/>
      <c r="F68" s="38"/>
      <c r="I68" s="38"/>
      <c r="J68" s="38"/>
    </row>
    <row r="69" spans="1:10" x14ac:dyDescent="0.25">
      <c r="A69" s="38"/>
      <c r="D69" s="38"/>
      <c r="F69" s="38"/>
      <c r="I69" s="38"/>
      <c r="J69" s="38"/>
    </row>
    <row r="70" spans="1:10" x14ac:dyDescent="0.25">
      <c r="A70" s="38"/>
      <c r="D70" s="38"/>
      <c r="F70" s="38"/>
      <c r="I70" s="38"/>
      <c r="J70" s="38"/>
    </row>
    <row r="71" spans="1:10" x14ac:dyDescent="0.25">
      <c r="A71" s="38"/>
      <c r="D71" s="38"/>
      <c r="F71" s="38"/>
      <c r="I71" s="38"/>
      <c r="J71" s="38"/>
    </row>
    <row r="72" spans="1:10" x14ac:dyDescent="0.25">
      <c r="A72" s="38"/>
      <c r="D72" s="38"/>
      <c r="F72" s="38"/>
      <c r="I72" s="38"/>
      <c r="J72" s="38"/>
    </row>
    <row r="73" spans="1:10" x14ac:dyDescent="0.25">
      <c r="A73" s="38"/>
      <c r="D73" s="38"/>
      <c r="F73" s="38"/>
      <c r="I73" s="38"/>
      <c r="J73" s="38"/>
    </row>
    <row r="74" spans="1:10" x14ac:dyDescent="0.25">
      <c r="A74" s="38"/>
      <c r="D74" s="38"/>
      <c r="F74" s="38"/>
      <c r="I74" s="38"/>
      <c r="J74" s="38"/>
    </row>
    <row r="75" spans="1:10" x14ac:dyDescent="0.25">
      <c r="A75" s="38"/>
      <c r="D75" s="38"/>
      <c r="F75" s="38"/>
      <c r="I75" s="38"/>
      <c r="J75" s="38"/>
    </row>
    <row r="76" spans="1:10" x14ac:dyDescent="0.25">
      <c r="A76" s="38"/>
      <c r="D76" s="38"/>
      <c r="F76" s="38"/>
      <c r="I76" s="38"/>
      <c r="J76" s="38"/>
    </row>
    <row r="77" spans="1:10" x14ac:dyDescent="0.25">
      <c r="A77" s="38"/>
      <c r="D77" s="38"/>
      <c r="F77" s="38"/>
      <c r="I77" s="38"/>
      <c r="J77" s="38"/>
    </row>
    <row r="78" spans="1:10" x14ac:dyDescent="0.25">
      <c r="A78" s="38"/>
      <c r="D78" s="38"/>
      <c r="F78" s="38"/>
      <c r="I78" s="38"/>
      <c r="J78" s="38"/>
    </row>
    <row r="79" spans="1:10" x14ac:dyDescent="0.25">
      <c r="A79" s="38"/>
      <c r="D79" s="38"/>
      <c r="F79" s="38"/>
      <c r="I79" s="38"/>
      <c r="J79" s="38"/>
    </row>
    <row r="80" spans="1:10" x14ac:dyDescent="0.25">
      <c r="A80" s="38"/>
      <c r="D80" s="38"/>
      <c r="F80" s="38"/>
      <c r="I80" s="38"/>
      <c r="J80" s="38"/>
    </row>
    <row r="81" spans="1:10" x14ac:dyDescent="0.25">
      <c r="A81" s="38"/>
      <c r="D81" s="38"/>
      <c r="F81" s="38"/>
      <c r="I81" s="38"/>
      <c r="J81" s="38"/>
    </row>
    <row r="82" spans="1:10" x14ac:dyDescent="0.25">
      <c r="A82" s="38"/>
      <c r="D82" s="38"/>
      <c r="F82" s="38"/>
      <c r="I82" s="38"/>
      <c r="J82" s="38"/>
    </row>
    <row r="83" spans="1:10" x14ac:dyDescent="0.25">
      <c r="A83" s="38"/>
      <c r="D83" s="38"/>
      <c r="F83" s="38"/>
      <c r="I83" s="38"/>
      <c r="J83" s="38"/>
    </row>
    <row r="84" spans="1:10" x14ac:dyDescent="0.25">
      <c r="A84" s="38"/>
      <c r="D84" s="38"/>
      <c r="F84" s="38"/>
      <c r="I84" s="38"/>
      <c r="J84" s="38"/>
    </row>
    <row r="85" spans="1:10" x14ac:dyDescent="0.25">
      <c r="A85" s="38"/>
      <c r="D85" s="38"/>
      <c r="F85" s="38"/>
      <c r="I85" s="38"/>
      <c r="J85" s="38"/>
    </row>
    <row r="86" spans="1:10" x14ac:dyDescent="0.25">
      <c r="A86" s="38"/>
      <c r="D86" s="38"/>
      <c r="F86" s="38"/>
      <c r="I86" s="38"/>
      <c r="J86" s="38"/>
    </row>
    <row r="87" spans="1:10" x14ac:dyDescent="0.25">
      <c r="A87" s="38"/>
      <c r="D87" s="38"/>
      <c r="F87" s="38"/>
      <c r="I87" s="38"/>
      <c r="J87" s="38"/>
    </row>
    <row r="88" spans="1:10" x14ac:dyDescent="0.25">
      <c r="A88" s="38"/>
      <c r="D88" s="38"/>
      <c r="F88" s="38"/>
      <c r="I88" s="38"/>
      <c r="J88" s="38"/>
    </row>
    <row r="89" spans="1:10" x14ac:dyDescent="0.25">
      <c r="A89" s="38"/>
      <c r="D89" s="38"/>
      <c r="F89" s="38"/>
      <c r="I89" s="38"/>
      <c r="J89" s="38"/>
    </row>
    <row r="90" spans="1:10" x14ac:dyDescent="0.25">
      <c r="A90" s="38"/>
      <c r="D90" s="38"/>
      <c r="F90" s="38"/>
      <c r="I90" s="38"/>
      <c r="J90" s="38"/>
    </row>
    <row r="91" spans="1:10" x14ac:dyDescent="0.25">
      <c r="A91" s="38"/>
      <c r="D91" s="38"/>
      <c r="F91" s="38"/>
      <c r="I91" s="38"/>
      <c r="J91" s="38"/>
    </row>
    <row r="92" spans="1:10" x14ac:dyDescent="0.25">
      <c r="A92" s="38"/>
      <c r="D92" s="38"/>
      <c r="F92" s="38"/>
      <c r="I92" s="38"/>
      <c r="J92" s="38"/>
    </row>
    <row r="93" spans="1:10" x14ac:dyDescent="0.25">
      <c r="A93" s="38"/>
      <c r="D93" s="38"/>
      <c r="F93" s="38"/>
      <c r="I93" s="38"/>
      <c r="J93" s="38"/>
    </row>
    <row r="94" spans="1:10" x14ac:dyDescent="0.25">
      <c r="A94" s="38"/>
      <c r="D94" s="38"/>
      <c r="F94" s="38"/>
      <c r="I94" s="38"/>
      <c r="J94" s="38"/>
    </row>
    <row r="95" spans="1:10" x14ac:dyDescent="0.25">
      <c r="A95" s="38"/>
      <c r="D95" s="38"/>
      <c r="F95" s="38"/>
      <c r="I95" s="38"/>
      <c r="J95" s="38"/>
    </row>
    <row r="96" spans="1:10" x14ac:dyDescent="0.25">
      <c r="A96" s="38"/>
      <c r="D96" s="38"/>
      <c r="F96" s="38"/>
      <c r="I96" s="38"/>
      <c r="J96" s="38"/>
    </row>
    <row r="97" spans="1:10" x14ac:dyDescent="0.25">
      <c r="A97" s="38"/>
      <c r="D97" s="38"/>
      <c r="F97" s="38"/>
      <c r="I97" s="38"/>
      <c r="J97" s="38"/>
    </row>
    <row r="98" spans="1:10" x14ac:dyDescent="0.25">
      <c r="A98" s="38"/>
      <c r="D98" s="38"/>
      <c r="F98" s="38"/>
      <c r="I98" s="38"/>
      <c r="J98" s="38"/>
    </row>
    <row r="99" spans="1:10" x14ac:dyDescent="0.25">
      <c r="A99" s="38"/>
      <c r="D99" s="38"/>
      <c r="F99" s="38"/>
      <c r="I99" s="38"/>
      <c r="J99" s="38"/>
    </row>
    <row r="100" spans="1:10" x14ac:dyDescent="0.25">
      <c r="A100" s="38"/>
      <c r="D100" s="38"/>
      <c r="F100" s="38"/>
      <c r="I100" s="38"/>
      <c r="J100" s="38"/>
    </row>
    <row r="101" spans="1:10" x14ac:dyDescent="0.25">
      <c r="A101" s="38"/>
      <c r="D101" s="38"/>
      <c r="F101" s="38"/>
      <c r="I101" s="38"/>
      <c r="J101" s="38"/>
    </row>
    <row r="102" spans="1:10" x14ac:dyDescent="0.25">
      <c r="A102" s="38"/>
      <c r="D102" s="38"/>
      <c r="F102" s="38"/>
      <c r="I102" s="38"/>
      <c r="J102" s="38"/>
    </row>
    <row r="103" spans="1:10" x14ac:dyDescent="0.25">
      <c r="A103" s="38"/>
      <c r="D103" s="38"/>
      <c r="F103" s="38"/>
      <c r="I103" s="38"/>
      <c r="J103" s="38"/>
    </row>
    <row r="104" spans="1:10" x14ac:dyDescent="0.25">
      <c r="A104" s="38"/>
      <c r="D104" s="38"/>
      <c r="F104" s="38"/>
      <c r="I104" s="38"/>
      <c r="J104" s="38"/>
    </row>
    <row r="105" spans="1:10" x14ac:dyDescent="0.25">
      <c r="A105" s="38"/>
      <c r="D105" s="38"/>
      <c r="F105" s="38"/>
      <c r="I105" s="38"/>
      <c r="J105" s="38"/>
    </row>
    <row r="106" spans="1:10" x14ac:dyDescent="0.25">
      <c r="A106" s="38"/>
      <c r="D106" s="38"/>
      <c r="F106" s="38"/>
      <c r="I106" s="38"/>
      <c r="J106" s="38"/>
    </row>
    <row r="107" spans="1:10" x14ac:dyDescent="0.25">
      <c r="A107" s="38"/>
      <c r="D107" s="38"/>
      <c r="F107" s="38"/>
      <c r="I107" s="38"/>
      <c r="J107" s="38"/>
    </row>
    <row r="108" spans="1:10" x14ac:dyDescent="0.25">
      <c r="A108" s="38"/>
      <c r="D108" s="38"/>
      <c r="F108" s="38"/>
      <c r="I108" s="38"/>
      <c r="J108" s="38"/>
    </row>
    <row r="109" spans="1:10" x14ac:dyDescent="0.25">
      <c r="A109" s="38"/>
      <c r="D109" s="38"/>
      <c r="F109" s="38"/>
      <c r="I109" s="38"/>
      <c r="J109" s="38"/>
    </row>
    <row r="110" spans="1:10" x14ac:dyDescent="0.25">
      <c r="A110" s="38"/>
      <c r="D110" s="38"/>
      <c r="F110" s="38"/>
      <c r="I110" s="38"/>
      <c r="J110" s="38"/>
    </row>
    <row r="111" spans="1:10" x14ac:dyDescent="0.25">
      <c r="A111" s="38"/>
      <c r="D111" s="38"/>
      <c r="F111" s="38"/>
      <c r="I111" s="38"/>
      <c r="J111" s="38"/>
    </row>
    <row r="112" spans="1:10" x14ac:dyDescent="0.25">
      <c r="A112" s="38"/>
      <c r="D112" s="38"/>
      <c r="F112" s="38"/>
      <c r="I112" s="38"/>
      <c r="J112" s="38"/>
    </row>
    <row r="113" spans="1:10" x14ac:dyDescent="0.25">
      <c r="A113" s="38"/>
      <c r="D113" s="38"/>
      <c r="F113" s="38"/>
      <c r="I113" s="38"/>
      <c r="J113" s="38"/>
    </row>
    <row r="114" spans="1:10" x14ac:dyDescent="0.25">
      <c r="A114" s="38"/>
      <c r="D114" s="38"/>
      <c r="F114" s="38"/>
      <c r="I114" s="38"/>
      <c r="J114" s="38"/>
    </row>
    <row r="115" spans="1:10" x14ac:dyDescent="0.25">
      <c r="A115" s="38"/>
      <c r="D115" s="38"/>
      <c r="F115" s="38"/>
      <c r="I115" s="38"/>
      <c r="J115" s="38"/>
    </row>
    <row r="116" spans="1:10" x14ac:dyDescent="0.25">
      <c r="A116" s="38"/>
      <c r="D116" s="38"/>
      <c r="F116" s="38"/>
      <c r="I116" s="38"/>
      <c r="J116" s="38"/>
    </row>
    <row r="117" spans="1:10" x14ac:dyDescent="0.25">
      <c r="A117" s="38"/>
      <c r="D117" s="38"/>
      <c r="F117" s="38"/>
      <c r="I117" s="38"/>
      <c r="J117" s="38"/>
    </row>
    <row r="118" spans="1:10" x14ac:dyDescent="0.25">
      <c r="A118" s="38"/>
      <c r="D118" s="38"/>
      <c r="F118" s="38"/>
      <c r="I118" s="38"/>
      <c r="J118" s="38"/>
    </row>
    <row r="119" spans="1:10" x14ac:dyDescent="0.25">
      <c r="A119" s="38"/>
      <c r="D119" s="38"/>
      <c r="F119" s="38"/>
      <c r="I119" s="38"/>
      <c r="J119" s="38"/>
    </row>
    <row r="120" spans="1:10" x14ac:dyDescent="0.25">
      <c r="A120" s="38"/>
      <c r="D120" s="38"/>
      <c r="F120" s="38"/>
      <c r="I120" s="38"/>
      <c r="J120" s="38"/>
    </row>
    <row r="121" spans="1:10" x14ac:dyDescent="0.25">
      <c r="A121" s="38"/>
      <c r="D121" s="38"/>
      <c r="F121" s="38"/>
      <c r="I121" s="38"/>
      <c r="J121" s="38"/>
    </row>
    <row r="122" spans="1:10" x14ac:dyDescent="0.25">
      <c r="A122" s="38"/>
      <c r="D122" s="38"/>
      <c r="F122" s="38"/>
      <c r="I122" s="38"/>
      <c r="J122" s="38"/>
    </row>
    <row r="123" spans="1:10" x14ac:dyDescent="0.25">
      <c r="A123" s="38"/>
      <c r="D123" s="38"/>
      <c r="F123" s="38"/>
      <c r="I123" s="38"/>
      <c r="J123" s="38"/>
    </row>
    <row r="124" spans="1:10" x14ac:dyDescent="0.25">
      <c r="A124" s="38"/>
      <c r="D124" s="38"/>
      <c r="F124" s="38"/>
      <c r="I124" s="38"/>
      <c r="J124" s="38"/>
    </row>
    <row r="125" spans="1:10" x14ac:dyDescent="0.25">
      <c r="A125" s="38"/>
      <c r="D125" s="38"/>
      <c r="F125" s="38"/>
      <c r="I125" s="38"/>
      <c r="J125" s="38"/>
    </row>
    <row r="126" spans="1:10" x14ac:dyDescent="0.25">
      <c r="A126" s="38"/>
      <c r="D126" s="38"/>
      <c r="F126" s="38"/>
      <c r="I126" s="38"/>
      <c r="J126" s="38"/>
    </row>
    <row r="127" spans="1:10" x14ac:dyDescent="0.25">
      <c r="A127" s="38"/>
      <c r="D127" s="38"/>
      <c r="F127" s="38"/>
      <c r="I127" s="38"/>
      <c r="J127" s="38"/>
    </row>
    <row r="128" spans="1:10" x14ac:dyDescent="0.25">
      <c r="A128" s="38"/>
      <c r="D128" s="38"/>
      <c r="F128" s="38"/>
      <c r="I128" s="38"/>
      <c r="J128" s="38"/>
    </row>
    <row r="129" spans="1:10" x14ac:dyDescent="0.25">
      <c r="A129" s="38"/>
      <c r="D129" s="38"/>
      <c r="F129" s="38"/>
      <c r="I129" s="38"/>
      <c r="J129" s="38"/>
    </row>
    <row r="130" spans="1:10" x14ac:dyDescent="0.25">
      <c r="A130" s="38"/>
      <c r="D130" s="38"/>
      <c r="F130" s="38"/>
      <c r="I130" s="38"/>
      <c r="J130" s="38"/>
    </row>
    <row r="131" spans="1:10" x14ac:dyDescent="0.25">
      <c r="A131" s="38"/>
      <c r="D131" s="38"/>
      <c r="F131" s="38"/>
      <c r="I131" s="38"/>
      <c r="J131" s="38"/>
    </row>
    <row r="132" spans="1:10" x14ac:dyDescent="0.25">
      <c r="A132" s="38"/>
      <c r="D132" s="38"/>
      <c r="F132" s="38"/>
      <c r="I132" s="38"/>
      <c r="J132" s="38"/>
    </row>
    <row r="133" spans="1:10" x14ac:dyDescent="0.25">
      <c r="A133" s="38"/>
      <c r="D133" s="38"/>
      <c r="F133" s="38"/>
      <c r="I133" s="38"/>
      <c r="J133" s="38"/>
    </row>
    <row r="134" spans="1:10" x14ac:dyDescent="0.25">
      <c r="A134" s="38"/>
      <c r="D134" s="38"/>
      <c r="F134" s="38"/>
      <c r="I134" s="38"/>
      <c r="J134" s="38"/>
    </row>
    <row r="135" spans="1:10" x14ac:dyDescent="0.25">
      <c r="A135" s="38"/>
      <c r="D135" s="38"/>
      <c r="F135" s="38"/>
      <c r="I135" s="38"/>
      <c r="J135" s="38"/>
    </row>
    <row r="136" spans="1:10" x14ac:dyDescent="0.25">
      <c r="A136" s="38"/>
      <c r="D136" s="38"/>
      <c r="F136" s="38"/>
      <c r="I136" s="38"/>
      <c r="J136" s="38"/>
    </row>
    <row r="137" spans="1:10" x14ac:dyDescent="0.25">
      <c r="A137" s="38"/>
      <c r="D137" s="38"/>
      <c r="F137" s="38"/>
      <c r="I137" s="38"/>
      <c r="J137" s="38"/>
    </row>
    <row r="138" spans="1:10" x14ac:dyDescent="0.25">
      <c r="A138" s="38"/>
      <c r="D138" s="38"/>
      <c r="F138" s="38"/>
      <c r="I138" s="38"/>
      <c r="J138" s="38"/>
    </row>
    <row r="139" spans="1:10" x14ac:dyDescent="0.25">
      <c r="A139" s="38"/>
      <c r="D139" s="38"/>
      <c r="F139" s="38"/>
      <c r="I139" s="38"/>
      <c r="J139" s="38"/>
    </row>
    <row r="140" spans="1:10" x14ac:dyDescent="0.25">
      <c r="A140" s="38"/>
      <c r="D140" s="38"/>
      <c r="F140" s="38"/>
      <c r="I140" s="38"/>
      <c r="J140" s="38"/>
    </row>
    <row r="141" spans="1:10" x14ac:dyDescent="0.25">
      <c r="A141" s="38"/>
      <c r="D141" s="38"/>
      <c r="F141" s="38"/>
      <c r="I141" s="38"/>
      <c r="J141" s="38"/>
    </row>
    <row r="142" spans="1:10" x14ac:dyDescent="0.25">
      <c r="A142" s="38"/>
      <c r="D142" s="38"/>
      <c r="F142" s="38"/>
      <c r="I142" s="38"/>
      <c r="J142" s="38"/>
    </row>
    <row r="143" spans="1:10" x14ac:dyDescent="0.25">
      <c r="A143" s="38"/>
      <c r="D143" s="38"/>
      <c r="F143" s="38"/>
      <c r="I143" s="38"/>
      <c r="J143" s="38"/>
    </row>
    <row r="144" spans="1:10" x14ac:dyDescent="0.25">
      <c r="A144" s="38"/>
      <c r="D144" s="38"/>
      <c r="F144" s="38"/>
      <c r="I144" s="38"/>
      <c r="J144" s="38"/>
    </row>
    <row r="145" spans="1:10" x14ac:dyDescent="0.25">
      <c r="A145" s="38"/>
      <c r="D145" s="38"/>
      <c r="F145" s="38"/>
      <c r="I145" s="38"/>
      <c r="J145" s="38"/>
    </row>
    <row r="146" spans="1:10" x14ac:dyDescent="0.25">
      <c r="A146" s="38"/>
      <c r="D146" s="38"/>
      <c r="F146" s="38"/>
      <c r="I146" s="38"/>
      <c r="J146" s="38"/>
    </row>
    <row r="147" spans="1:10" x14ac:dyDescent="0.25">
      <c r="A147" s="38"/>
      <c r="D147" s="38"/>
      <c r="F147" s="38"/>
      <c r="I147" s="38"/>
      <c r="J147" s="38"/>
    </row>
    <row r="148" spans="1:10" x14ac:dyDescent="0.25">
      <c r="A148" s="38"/>
      <c r="D148" s="38"/>
      <c r="F148" s="38"/>
      <c r="I148" s="38"/>
      <c r="J148" s="38"/>
    </row>
    <row r="149" spans="1:10" x14ac:dyDescent="0.25">
      <c r="A149" s="38"/>
      <c r="D149" s="38"/>
      <c r="F149" s="38"/>
      <c r="I149" s="38"/>
      <c r="J149" s="38"/>
    </row>
    <row r="150" spans="1:10" x14ac:dyDescent="0.25">
      <c r="A150" s="38"/>
      <c r="D150" s="38"/>
      <c r="F150" s="38"/>
      <c r="I150" s="38"/>
      <c r="J150" s="38"/>
    </row>
    <row r="151" spans="1:10" x14ac:dyDescent="0.25">
      <c r="A151" s="38"/>
      <c r="D151" s="38"/>
      <c r="F151" s="38"/>
      <c r="I151" s="38"/>
      <c r="J151" s="38"/>
    </row>
    <row r="152" spans="1:10" x14ac:dyDescent="0.25">
      <c r="A152" s="38"/>
      <c r="D152" s="38"/>
      <c r="F152" s="38"/>
      <c r="I152" s="38"/>
      <c r="J152" s="38"/>
    </row>
    <row r="153" spans="1:10" x14ac:dyDescent="0.25">
      <c r="A153" s="38"/>
      <c r="D153" s="38"/>
      <c r="F153" s="38"/>
      <c r="I153" s="38"/>
      <c r="J153" s="38"/>
    </row>
    <row r="154" spans="1:10" x14ac:dyDescent="0.25">
      <c r="A154" s="38"/>
      <c r="D154" s="38"/>
      <c r="F154" s="38"/>
      <c r="I154" s="38"/>
      <c r="J154" s="38"/>
    </row>
    <row r="155" spans="1:10" x14ac:dyDescent="0.25">
      <c r="A155" s="38"/>
      <c r="D155" s="38"/>
      <c r="F155" s="38"/>
      <c r="I155" s="38"/>
      <c r="J155" s="38"/>
    </row>
    <row r="156" spans="1:10" x14ac:dyDescent="0.25">
      <c r="A156" s="38"/>
      <c r="D156" s="38"/>
      <c r="F156" s="38"/>
      <c r="I156" s="38"/>
      <c r="J156" s="38"/>
    </row>
    <row r="157" spans="1:10" x14ac:dyDescent="0.25">
      <c r="A157" s="38"/>
      <c r="D157" s="38"/>
      <c r="F157" s="38"/>
      <c r="I157" s="38"/>
      <c r="J157" s="38"/>
    </row>
    <row r="158" spans="1:10" x14ac:dyDescent="0.25">
      <c r="A158" s="38"/>
      <c r="D158" s="38"/>
      <c r="F158" s="38"/>
      <c r="I158" s="38"/>
      <c r="J158" s="38"/>
    </row>
    <row r="159" spans="1:10" x14ac:dyDescent="0.25">
      <c r="A159" s="38"/>
      <c r="D159" s="38"/>
      <c r="F159" s="38"/>
      <c r="I159" s="38"/>
      <c r="J159" s="38"/>
    </row>
    <row r="160" spans="1:10" x14ac:dyDescent="0.25">
      <c r="A160" s="38"/>
      <c r="D160" s="38"/>
      <c r="F160" s="38"/>
      <c r="I160" s="38"/>
      <c r="J160" s="38"/>
    </row>
    <row r="161" spans="1:10" x14ac:dyDescent="0.25">
      <c r="A161" s="38"/>
      <c r="D161" s="38"/>
      <c r="F161" s="38"/>
      <c r="I161" s="38"/>
      <c r="J161" s="38"/>
    </row>
    <row r="162" spans="1:10" x14ac:dyDescent="0.25">
      <c r="A162" s="38"/>
      <c r="D162" s="38"/>
      <c r="F162" s="38"/>
      <c r="I162" s="38"/>
      <c r="J162" s="38"/>
    </row>
    <row r="163" spans="1:10" x14ac:dyDescent="0.25">
      <c r="A163" s="38"/>
      <c r="D163" s="38"/>
      <c r="F163" s="38"/>
      <c r="I163" s="38"/>
      <c r="J163" s="38"/>
    </row>
    <row r="164" spans="1:10" x14ac:dyDescent="0.25">
      <c r="A164" s="38"/>
      <c r="D164" s="38"/>
      <c r="F164" s="38"/>
      <c r="I164" s="38"/>
      <c r="J164" s="38"/>
    </row>
    <row r="165" spans="1:10" x14ac:dyDescent="0.25">
      <c r="A165" s="38"/>
      <c r="D165" s="38"/>
      <c r="F165" s="38"/>
      <c r="I165" s="38"/>
      <c r="J165" s="38"/>
    </row>
    <row r="166" spans="1:10" x14ac:dyDescent="0.25">
      <c r="A166" s="38"/>
      <c r="D166" s="38"/>
      <c r="F166" s="38"/>
      <c r="I166" s="38"/>
      <c r="J166" s="38"/>
    </row>
    <row r="167" spans="1:10" x14ac:dyDescent="0.25">
      <c r="A167" s="38"/>
      <c r="D167" s="38"/>
      <c r="F167" s="38"/>
      <c r="I167" s="38"/>
      <c r="J167" s="38"/>
    </row>
    <row r="168" spans="1:10" x14ac:dyDescent="0.25">
      <c r="A168" s="38"/>
      <c r="D168" s="38"/>
      <c r="F168" s="38"/>
      <c r="I168" s="38"/>
      <c r="J168" s="38"/>
    </row>
    <row r="169" spans="1:10" x14ac:dyDescent="0.25">
      <c r="A169" s="38"/>
      <c r="D169" s="38"/>
      <c r="F169" s="38"/>
      <c r="I169" s="38"/>
      <c r="J169" s="38"/>
    </row>
    <row r="170" spans="1:10" x14ac:dyDescent="0.25">
      <c r="A170" s="38"/>
      <c r="D170" s="38"/>
      <c r="F170" s="38"/>
      <c r="I170" s="38"/>
      <c r="J170" s="38"/>
    </row>
    <row r="171" spans="1:10" x14ac:dyDescent="0.25">
      <c r="A171" s="38"/>
      <c r="D171" s="38"/>
      <c r="F171" s="38"/>
      <c r="I171" s="38"/>
      <c r="J171" s="38"/>
    </row>
    <row r="172" spans="1:10" x14ac:dyDescent="0.25">
      <c r="A172" s="38"/>
      <c r="D172" s="38"/>
      <c r="F172" s="38"/>
      <c r="I172" s="38"/>
      <c r="J172" s="38"/>
    </row>
    <row r="173" spans="1:10" x14ac:dyDescent="0.25">
      <c r="A173" s="38"/>
      <c r="D173" s="38"/>
      <c r="F173" s="38"/>
      <c r="I173" s="38"/>
      <c r="J173" s="38"/>
    </row>
    <row r="174" spans="1:10" x14ac:dyDescent="0.25">
      <c r="A174" s="38"/>
      <c r="D174" s="38"/>
      <c r="F174" s="38"/>
      <c r="I174" s="38"/>
      <c r="J174" s="38"/>
    </row>
    <row r="175" spans="1:10" x14ac:dyDescent="0.25">
      <c r="A175" s="38"/>
      <c r="D175" s="38"/>
      <c r="F175" s="38"/>
      <c r="I175" s="38"/>
      <c r="J175" s="38"/>
    </row>
    <row r="176" spans="1:10" x14ac:dyDescent="0.25">
      <c r="A176" s="38"/>
      <c r="D176" s="38"/>
      <c r="F176" s="38"/>
      <c r="I176" s="38"/>
      <c r="J176" s="38"/>
    </row>
    <row r="177" spans="1:10" x14ac:dyDescent="0.25">
      <c r="A177" s="38"/>
      <c r="D177" s="38"/>
      <c r="F177" s="38"/>
      <c r="I177" s="38"/>
      <c r="J177" s="38"/>
    </row>
    <row r="178" spans="1:10" x14ac:dyDescent="0.25">
      <c r="A178" s="38"/>
      <c r="D178" s="38"/>
      <c r="F178" s="38"/>
      <c r="I178" s="38"/>
      <c r="J178" s="38"/>
    </row>
    <row r="179" spans="1:10" x14ac:dyDescent="0.25">
      <c r="A179" s="38"/>
      <c r="D179" s="38"/>
      <c r="F179" s="38"/>
      <c r="I179" s="38"/>
      <c r="J179" s="38"/>
    </row>
    <row r="180" spans="1:10" x14ac:dyDescent="0.25">
      <c r="A180" s="38"/>
      <c r="D180" s="38"/>
      <c r="F180" s="38"/>
      <c r="I180" s="38"/>
      <c r="J180" s="38"/>
    </row>
    <row r="181" spans="1:10" x14ac:dyDescent="0.25">
      <c r="A181" s="38"/>
      <c r="D181" s="38"/>
      <c r="F181" s="38"/>
      <c r="I181" s="38"/>
      <c r="J181" s="38"/>
    </row>
    <row r="182" spans="1:10" x14ac:dyDescent="0.25">
      <c r="A182" s="38"/>
      <c r="D182" s="38"/>
      <c r="F182" s="38"/>
      <c r="I182" s="38"/>
      <c r="J182" s="38"/>
    </row>
    <row r="183" spans="1:10" x14ac:dyDescent="0.25">
      <c r="A183" s="38"/>
      <c r="D183" s="38"/>
      <c r="F183" s="38"/>
      <c r="I183" s="38"/>
      <c r="J183" s="38"/>
    </row>
    <row r="184" spans="1:10" x14ac:dyDescent="0.25">
      <c r="A184" s="38"/>
      <c r="D184" s="38"/>
      <c r="F184" s="38"/>
      <c r="I184" s="38"/>
      <c r="J184" s="38"/>
    </row>
    <row r="185" spans="1:10" x14ac:dyDescent="0.25">
      <c r="A185" s="38"/>
      <c r="D185" s="38"/>
      <c r="F185" s="38"/>
      <c r="I185" s="38"/>
      <c r="J185" s="38"/>
    </row>
    <row r="186" spans="1:10" x14ac:dyDescent="0.25">
      <c r="A186" s="38"/>
      <c r="D186" s="38"/>
      <c r="F186" s="38"/>
      <c r="I186" s="38"/>
      <c r="J186" s="38"/>
    </row>
    <row r="187" spans="1:10" x14ac:dyDescent="0.25">
      <c r="A187" s="38"/>
      <c r="D187" s="38"/>
      <c r="F187" s="38"/>
      <c r="I187" s="38"/>
      <c r="J187" s="38"/>
    </row>
    <row r="188" spans="1:10" x14ac:dyDescent="0.25">
      <c r="A188" s="38"/>
      <c r="D188" s="38"/>
      <c r="F188" s="38"/>
      <c r="I188" s="38"/>
      <c r="J188" s="38"/>
    </row>
    <row r="189" spans="1:10" x14ac:dyDescent="0.25">
      <c r="A189" s="38"/>
      <c r="D189" s="38"/>
      <c r="F189" s="38"/>
      <c r="I189" s="38"/>
      <c r="J189" s="38"/>
    </row>
    <row r="190" spans="1:10" x14ac:dyDescent="0.25">
      <c r="A190" s="38"/>
      <c r="D190" s="38"/>
      <c r="F190" s="38"/>
      <c r="I190" s="38"/>
      <c r="J190" s="38"/>
    </row>
    <row r="191" spans="1:10" x14ac:dyDescent="0.25">
      <c r="A191" s="38"/>
      <c r="D191" s="38"/>
      <c r="F191" s="38"/>
      <c r="I191" s="38"/>
      <c r="J191" s="38"/>
    </row>
    <row r="192" spans="1:10" x14ac:dyDescent="0.25">
      <c r="A192" s="38"/>
      <c r="D192" s="38"/>
      <c r="F192" s="38"/>
      <c r="I192" s="38"/>
      <c r="J192" s="38"/>
    </row>
    <row r="193" spans="1:10" x14ac:dyDescent="0.25">
      <c r="A193" s="38"/>
      <c r="D193" s="38"/>
      <c r="F193" s="38"/>
      <c r="I193" s="38"/>
      <c r="J193" s="38"/>
    </row>
    <row r="194" spans="1:10" x14ac:dyDescent="0.25">
      <c r="A194" s="38"/>
      <c r="D194" s="38"/>
      <c r="F194" s="38"/>
      <c r="I194" s="38"/>
      <c r="J194" s="38"/>
    </row>
    <row r="195" spans="1:10" x14ac:dyDescent="0.25">
      <c r="A195" s="38"/>
      <c r="D195" s="38"/>
      <c r="F195" s="38"/>
      <c r="I195" s="38"/>
      <c r="J195" s="38"/>
    </row>
    <row r="196" spans="1:10" x14ac:dyDescent="0.25">
      <c r="A196" s="38"/>
      <c r="D196" s="38"/>
      <c r="F196" s="38"/>
      <c r="I196" s="38"/>
      <c r="J196" s="38"/>
    </row>
    <row r="197" spans="1:10" x14ac:dyDescent="0.25">
      <c r="A197" s="38"/>
      <c r="D197" s="38"/>
      <c r="F197" s="38"/>
      <c r="I197" s="38"/>
      <c r="J197" s="38"/>
    </row>
    <row r="198" spans="1:10" x14ac:dyDescent="0.25">
      <c r="A198" s="38"/>
      <c r="D198" s="38"/>
      <c r="F198" s="38"/>
      <c r="I198" s="38"/>
      <c r="J198" s="38"/>
    </row>
    <row r="199" spans="1:10" x14ac:dyDescent="0.25">
      <c r="A199" s="38"/>
      <c r="D199" s="38"/>
      <c r="F199" s="38"/>
      <c r="I199" s="38"/>
      <c r="J199" s="38"/>
    </row>
    <row r="200" spans="1:10" x14ac:dyDescent="0.25">
      <c r="A200" s="38"/>
      <c r="D200" s="38"/>
      <c r="F200" s="38"/>
      <c r="I200" s="38"/>
      <c r="J200" s="38"/>
    </row>
    <row r="201" spans="1:10" x14ac:dyDescent="0.25">
      <c r="A201" s="38"/>
      <c r="D201" s="38"/>
      <c r="F201" s="38"/>
      <c r="I201" s="38"/>
      <c r="J201" s="38"/>
    </row>
    <row r="202" spans="1:10" x14ac:dyDescent="0.25">
      <c r="A202" s="38"/>
      <c r="D202" s="38"/>
      <c r="F202" s="38"/>
      <c r="I202" s="38"/>
      <c r="J202" s="38"/>
    </row>
    <row r="203" spans="1:10" x14ac:dyDescent="0.25">
      <c r="A203" s="38"/>
      <c r="D203" s="38"/>
      <c r="F203" s="38"/>
      <c r="I203" s="38"/>
      <c r="J203" s="38"/>
    </row>
    <row r="204" spans="1:10" x14ac:dyDescent="0.25">
      <c r="A204" s="38"/>
      <c r="D204" s="38"/>
      <c r="F204" s="38"/>
      <c r="I204" s="38"/>
      <c r="J204" s="38"/>
    </row>
    <row r="205" spans="1:10" x14ac:dyDescent="0.25">
      <c r="A205" s="38"/>
      <c r="D205" s="38"/>
      <c r="F205" s="38"/>
      <c r="I205" s="38"/>
      <c r="J205" s="38"/>
    </row>
    <row r="206" spans="1:10" x14ac:dyDescent="0.25">
      <c r="A206" s="38"/>
      <c r="D206" s="38"/>
      <c r="F206" s="38"/>
      <c r="I206" s="38"/>
      <c r="J206" s="38"/>
    </row>
    <row r="207" spans="1:10" x14ac:dyDescent="0.25">
      <c r="A207" s="38"/>
      <c r="D207" s="38"/>
      <c r="F207" s="38"/>
      <c r="I207" s="38"/>
      <c r="J207" s="38"/>
    </row>
    <row r="208" spans="1:10" x14ac:dyDescent="0.25">
      <c r="A208" s="38"/>
      <c r="D208" s="38"/>
      <c r="F208" s="38"/>
      <c r="I208" s="38"/>
      <c r="J208" s="38"/>
    </row>
    <row r="209" spans="1:10" x14ac:dyDescent="0.25">
      <c r="A209" s="38"/>
      <c r="D209" s="38"/>
      <c r="F209" s="38"/>
      <c r="I209" s="38"/>
      <c r="J209" s="38"/>
    </row>
    <row r="210" spans="1:10" x14ac:dyDescent="0.25">
      <c r="A210" s="38"/>
      <c r="D210" s="38"/>
      <c r="F210" s="38"/>
      <c r="I210" s="38"/>
      <c r="J210" s="38"/>
    </row>
    <row r="211" spans="1:10" x14ac:dyDescent="0.25">
      <c r="A211" s="38"/>
      <c r="D211" s="38"/>
      <c r="F211" s="38"/>
      <c r="I211" s="38"/>
      <c r="J211" s="38"/>
    </row>
    <row r="212" spans="1:10" x14ac:dyDescent="0.25">
      <c r="A212" s="38"/>
      <c r="D212" s="38"/>
      <c r="F212" s="38"/>
      <c r="I212" s="38"/>
      <c r="J212" s="38"/>
    </row>
    <row r="213" spans="1:10" x14ac:dyDescent="0.25">
      <c r="A213" s="38"/>
      <c r="D213" s="38"/>
      <c r="F213" s="38"/>
      <c r="I213" s="38"/>
      <c r="J213" s="38"/>
    </row>
    <row r="214" spans="1:10" x14ac:dyDescent="0.25">
      <c r="A214" s="38"/>
      <c r="D214" s="38"/>
      <c r="F214" s="38"/>
      <c r="I214" s="38"/>
      <c r="J214" s="38"/>
    </row>
    <row r="215" spans="1:10" x14ac:dyDescent="0.25">
      <c r="A215" s="38"/>
      <c r="D215" s="38"/>
      <c r="F215" s="38"/>
      <c r="I215" s="38"/>
      <c r="J215" s="38"/>
    </row>
    <row r="216" spans="1:10" x14ac:dyDescent="0.25">
      <c r="A216" s="38"/>
      <c r="D216" s="38"/>
      <c r="F216" s="38"/>
      <c r="I216" s="38"/>
      <c r="J216" s="38"/>
    </row>
    <row r="217" spans="1:10" x14ac:dyDescent="0.25">
      <c r="A217" s="38"/>
      <c r="D217" s="38"/>
      <c r="F217" s="38"/>
      <c r="I217" s="38"/>
      <c r="J217" s="38"/>
    </row>
    <row r="218" spans="1:10" x14ac:dyDescent="0.25">
      <c r="A218" s="38"/>
      <c r="D218" s="38"/>
      <c r="F218" s="38"/>
      <c r="I218" s="38"/>
      <c r="J218" s="38"/>
    </row>
    <row r="219" spans="1:10" x14ac:dyDescent="0.25">
      <c r="A219" s="38"/>
      <c r="D219" s="38"/>
      <c r="F219" s="38"/>
      <c r="I219" s="38"/>
      <c r="J219" s="38"/>
    </row>
    <row r="220" spans="1:10" x14ac:dyDescent="0.25">
      <c r="A220" s="38"/>
      <c r="D220" s="38"/>
      <c r="F220" s="38"/>
      <c r="I220" s="38"/>
      <c r="J220" s="38"/>
    </row>
    <row r="221" spans="1:10" x14ac:dyDescent="0.25">
      <c r="A221" s="38"/>
      <c r="D221" s="38"/>
      <c r="F221" s="38"/>
      <c r="I221" s="38"/>
      <c r="J221" s="38"/>
    </row>
    <row r="222" spans="1:10" x14ac:dyDescent="0.25">
      <c r="A222" s="38"/>
      <c r="D222" s="38"/>
      <c r="F222" s="38"/>
      <c r="I222" s="38"/>
      <c r="J222" s="38"/>
    </row>
    <row r="223" spans="1:10" x14ac:dyDescent="0.25">
      <c r="A223" s="38"/>
      <c r="D223" s="38"/>
      <c r="F223" s="38"/>
      <c r="I223" s="38"/>
      <c r="J223" s="38"/>
    </row>
    <row r="224" spans="1:10" x14ac:dyDescent="0.25">
      <c r="A224" s="38"/>
      <c r="D224" s="38"/>
      <c r="F224" s="38"/>
      <c r="I224" s="38"/>
      <c r="J224" s="38"/>
    </row>
    <row r="225" spans="1:10" x14ac:dyDescent="0.25">
      <c r="A225" s="38"/>
      <c r="D225" s="38"/>
      <c r="F225" s="38"/>
      <c r="I225" s="38"/>
      <c r="J225" s="38"/>
    </row>
    <row r="226" spans="1:10" x14ac:dyDescent="0.25">
      <c r="A226" s="38"/>
      <c r="D226" s="38"/>
      <c r="F226" s="38"/>
      <c r="I226" s="38"/>
      <c r="J226" s="38"/>
    </row>
    <row r="227" spans="1:10" x14ac:dyDescent="0.25">
      <c r="A227" s="38"/>
      <c r="D227" s="38"/>
      <c r="F227" s="38"/>
      <c r="I227" s="38"/>
      <c r="J227" s="38"/>
    </row>
    <row r="228" spans="1:10" x14ac:dyDescent="0.25">
      <c r="A228" s="38"/>
      <c r="D228" s="38"/>
      <c r="F228" s="38"/>
      <c r="I228" s="38"/>
      <c r="J228" s="38"/>
    </row>
    <row r="229" spans="1:10" x14ac:dyDescent="0.25">
      <c r="A229" s="38"/>
      <c r="D229" s="38"/>
      <c r="F229" s="38"/>
      <c r="I229" s="38"/>
      <c r="J229" s="38"/>
    </row>
    <row r="230" spans="1:10" x14ac:dyDescent="0.25">
      <c r="A230" s="38"/>
      <c r="D230" s="38"/>
      <c r="F230" s="38"/>
      <c r="I230" s="38"/>
      <c r="J230" s="38"/>
    </row>
    <row r="231" spans="1:10" x14ac:dyDescent="0.25">
      <c r="A231" s="38"/>
      <c r="D231" s="38"/>
      <c r="F231" s="38"/>
      <c r="I231" s="38"/>
      <c r="J231" s="38"/>
    </row>
    <row r="232" spans="1:10" x14ac:dyDescent="0.25">
      <c r="A232" s="38"/>
      <c r="D232" s="38"/>
      <c r="F232" s="38"/>
      <c r="I232" s="38"/>
      <c r="J232" s="38"/>
    </row>
    <row r="233" spans="1:10" x14ac:dyDescent="0.25">
      <c r="A233" s="38"/>
      <c r="D233" s="38"/>
      <c r="F233" s="38"/>
      <c r="I233" s="38"/>
      <c r="J233" s="38"/>
    </row>
    <row r="234" spans="1:10" x14ac:dyDescent="0.25">
      <c r="A234" s="38"/>
      <c r="D234" s="38"/>
      <c r="F234" s="38"/>
      <c r="I234" s="38"/>
      <c r="J234" s="38"/>
    </row>
    <row r="235" spans="1:10" x14ac:dyDescent="0.25">
      <c r="A235" s="38"/>
      <c r="D235" s="38"/>
      <c r="F235" s="38"/>
      <c r="I235" s="38"/>
      <c r="J235" s="38"/>
    </row>
    <row r="236" spans="1:10" x14ac:dyDescent="0.25">
      <c r="A236" s="38"/>
      <c r="D236" s="38"/>
      <c r="F236" s="38"/>
      <c r="I236" s="38"/>
      <c r="J236" s="38"/>
    </row>
    <row r="237" spans="1:10" x14ac:dyDescent="0.25">
      <c r="A237" s="38"/>
      <c r="D237" s="38"/>
      <c r="F237" s="38"/>
      <c r="I237" s="38"/>
      <c r="J237" s="38"/>
    </row>
    <row r="238" spans="1:10" x14ac:dyDescent="0.25">
      <c r="A238" s="38"/>
      <c r="D238" s="38"/>
      <c r="F238" s="38"/>
      <c r="I238" s="38"/>
      <c r="J238" s="38"/>
    </row>
    <row r="239" spans="1:10" x14ac:dyDescent="0.25">
      <c r="A239" s="38"/>
      <c r="D239" s="38"/>
      <c r="F239" s="38"/>
      <c r="I239" s="38"/>
      <c r="J239" s="38"/>
    </row>
    <row r="240" spans="1:10" x14ac:dyDescent="0.25">
      <c r="A240" s="38"/>
      <c r="D240" s="38"/>
      <c r="F240" s="38"/>
      <c r="I240" s="38"/>
      <c r="J240" s="38"/>
    </row>
    <row r="241" spans="1:10" x14ac:dyDescent="0.25">
      <c r="A241" s="38"/>
      <c r="D241" s="38"/>
      <c r="F241" s="38"/>
      <c r="I241" s="38"/>
      <c r="J241" s="38"/>
    </row>
    <row r="242" spans="1:10" x14ac:dyDescent="0.25">
      <c r="A242" s="38"/>
      <c r="D242" s="38"/>
      <c r="F242" s="38"/>
      <c r="I242" s="38"/>
      <c r="J242" s="38"/>
    </row>
    <row r="243" spans="1:10" x14ac:dyDescent="0.25">
      <c r="A243" s="38"/>
      <c r="D243" s="38"/>
      <c r="F243" s="38"/>
      <c r="I243" s="38"/>
      <c r="J243" s="38"/>
    </row>
    <row r="244" spans="1:10" x14ac:dyDescent="0.25">
      <c r="A244" s="38"/>
      <c r="D244" s="38"/>
      <c r="F244" s="38"/>
      <c r="I244" s="38"/>
      <c r="J244" s="38"/>
    </row>
    <row r="245" spans="1:10" x14ac:dyDescent="0.25">
      <c r="A245" s="38"/>
      <c r="D245" s="38"/>
      <c r="F245" s="38"/>
      <c r="I245" s="38"/>
      <c r="J245" s="38"/>
    </row>
    <row r="246" spans="1:10" x14ac:dyDescent="0.25">
      <c r="A246" s="38"/>
      <c r="D246" s="38"/>
      <c r="F246" s="38"/>
      <c r="I246" s="38"/>
      <c r="J246" s="38"/>
    </row>
    <row r="247" spans="1:10" x14ac:dyDescent="0.25">
      <c r="A247" s="38"/>
      <c r="D247" s="38"/>
      <c r="F247" s="38"/>
      <c r="I247" s="38"/>
      <c r="J247" s="38"/>
    </row>
    <row r="248" spans="1:10" x14ac:dyDescent="0.25">
      <c r="A248" s="38"/>
      <c r="D248" s="38"/>
      <c r="F248" s="38"/>
      <c r="I248" s="38"/>
      <c r="J248" s="38"/>
    </row>
    <row r="249" spans="1:10" x14ac:dyDescent="0.25">
      <c r="A249" s="38"/>
      <c r="D249" s="38"/>
      <c r="F249" s="38"/>
      <c r="I249" s="38"/>
      <c r="J249" s="38"/>
    </row>
    <row r="250" spans="1:10" x14ac:dyDescent="0.25">
      <c r="A250" s="38"/>
      <c r="D250" s="38"/>
      <c r="F250" s="38"/>
      <c r="I250" s="38"/>
      <c r="J250" s="38"/>
    </row>
    <row r="251" spans="1:10" x14ac:dyDescent="0.25">
      <c r="A251" s="38"/>
      <c r="D251" s="38"/>
      <c r="F251" s="38"/>
      <c r="I251" s="38"/>
      <c r="J251" s="38"/>
    </row>
    <row r="252" spans="1:10" x14ac:dyDescent="0.25">
      <c r="A252" s="38"/>
      <c r="D252" s="38"/>
      <c r="F252" s="38"/>
      <c r="I252" s="38"/>
      <c r="J252" s="38"/>
    </row>
    <row r="253" spans="1:10" x14ac:dyDescent="0.25">
      <c r="A253" s="38"/>
      <c r="D253" s="38"/>
      <c r="F253" s="38"/>
      <c r="I253" s="38"/>
      <c r="J253" s="38"/>
    </row>
    <row r="254" spans="1:10" x14ac:dyDescent="0.25">
      <c r="A254" s="38"/>
      <c r="D254" s="38"/>
      <c r="F254" s="38"/>
      <c r="I254" s="38"/>
      <c r="J254" s="38"/>
    </row>
    <row r="255" spans="1:10" x14ac:dyDescent="0.25">
      <c r="A255" s="38"/>
      <c r="D255" s="38"/>
      <c r="F255" s="38"/>
      <c r="I255" s="38"/>
      <c r="J255" s="38"/>
    </row>
    <row r="256" spans="1:10" x14ac:dyDescent="0.25">
      <c r="A256" s="38"/>
      <c r="D256" s="38"/>
      <c r="F256" s="38"/>
      <c r="I256" s="38"/>
      <c r="J256" s="38"/>
    </row>
    <row r="257" spans="1:10" x14ac:dyDescent="0.25">
      <c r="A257" s="38"/>
      <c r="D257" s="38"/>
      <c r="F257" s="38"/>
      <c r="I257" s="38"/>
      <c r="J257" s="38"/>
    </row>
    <row r="258" spans="1:10" x14ac:dyDescent="0.25">
      <c r="A258" s="38"/>
      <c r="D258" s="38"/>
      <c r="F258" s="38"/>
      <c r="I258" s="38"/>
      <c r="J258" s="38"/>
    </row>
    <row r="259" spans="1:10" x14ac:dyDescent="0.25">
      <c r="A259" s="38"/>
      <c r="D259" s="38"/>
      <c r="F259" s="38"/>
      <c r="I259" s="38"/>
      <c r="J259" s="38"/>
    </row>
    <row r="260" spans="1:10" x14ac:dyDescent="0.25">
      <c r="A260" s="38"/>
      <c r="D260" s="38"/>
      <c r="F260" s="38"/>
      <c r="I260" s="38"/>
      <c r="J260" s="38"/>
    </row>
    <row r="261" spans="1:10" x14ac:dyDescent="0.25">
      <c r="A261" s="38"/>
      <c r="D261" s="38"/>
      <c r="F261" s="38"/>
      <c r="I261" s="38"/>
      <c r="J261" s="38"/>
    </row>
    <row r="262" spans="1:10" x14ac:dyDescent="0.25">
      <c r="A262" s="38"/>
      <c r="D262" s="38"/>
      <c r="F262" s="38"/>
      <c r="I262" s="38"/>
      <c r="J262" s="38"/>
    </row>
    <row r="263" spans="1:10" x14ac:dyDescent="0.25">
      <c r="A263" s="38"/>
      <c r="D263" s="38"/>
      <c r="F263" s="38"/>
      <c r="I263" s="38"/>
      <c r="J263" s="38"/>
    </row>
    <row r="264" spans="1:10" x14ac:dyDescent="0.25">
      <c r="A264" s="38"/>
      <c r="D264" s="38"/>
      <c r="F264" s="38"/>
      <c r="I264" s="38"/>
      <c r="J264" s="38"/>
    </row>
    <row r="265" spans="1:10" x14ac:dyDescent="0.25">
      <c r="A265" s="38"/>
      <c r="D265" s="38"/>
      <c r="F265" s="38"/>
      <c r="I265" s="38"/>
      <c r="J265" s="38"/>
    </row>
    <row r="266" spans="1:10" x14ac:dyDescent="0.25">
      <c r="A266" s="38"/>
      <c r="D266" s="38"/>
      <c r="F266" s="38"/>
      <c r="I266" s="38"/>
      <c r="J266" s="38"/>
    </row>
    <row r="267" spans="1:10" x14ac:dyDescent="0.25">
      <c r="A267" s="38"/>
      <c r="D267" s="38"/>
      <c r="F267" s="38"/>
      <c r="I267" s="38"/>
      <c r="J267" s="38"/>
    </row>
    <row r="268" spans="1:10" x14ac:dyDescent="0.25">
      <c r="A268" s="38"/>
      <c r="D268" s="38"/>
      <c r="F268" s="38"/>
      <c r="I268" s="38"/>
      <c r="J268" s="38"/>
    </row>
    <row r="269" spans="1:10" x14ac:dyDescent="0.25">
      <c r="A269" s="38"/>
      <c r="D269" s="38"/>
      <c r="F269" s="38"/>
      <c r="I269" s="38"/>
      <c r="J269" s="38"/>
    </row>
    <row r="270" spans="1:10" x14ac:dyDescent="0.25">
      <c r="A270" s="38"/>
      <c r="D270" s="38"/>
      <c r="F270" s="38"/>
      <c r="I270" s="38"/>
      <c r="J270" s="38"/>
    </row>
    <row r="271" spans="1:10" x14ac:dyDescent="0.25">
      <c r="A271" s="38"/>
      <c r="D271" s="38"/>
      <c r="F271" s="38"/>
      <c r="I271" s="38"/>
      <c r="J271" s="38"/>
    </row>
    <row r="272" spans="1:10" x14ac:dyDescent="0.25">
      <c r="A272" s="38"/>
      <c r="D272" s="38"/>
      <c r="F272" s="38"/>
      <c r="I272" s="38"/>
      <c r="J272" s="38"/>
    </row>
    <row r="273" spans="1:10" x14ac:dyDescent="0.25">
      <c r="A273" s="38"/>
      <c r="D273" s="38"/>
      <c r="F273" s="38"/>
      <c r="I273" s="38"/>
      <c r="J273" s="38"/>
    </row>
    <row r="274" spans="1:10" x14ac:dyDescent="0.25">
      <c r="A274" s="38"/>
      <c r="D274" s="38"/>
      <c r="F274" s="38"/>
      <c r="I274" s="38"/>
      <c r="J274" s="38"/>
    </row>
    <row r="275" spans="1:10" x14ac:dyDescent="0.25">
      <c r="A275" s="38"/>
      <c r="D275" s="38"/>
      <c r="F275" s="38"/>
      <c r="I275" s="38"/>
      <c r="J275" s="38"/>
    </row>
    <row r="276" spans="1:10" x14ac:dyDescent="0.25">
      <c r="A276" s="38"/>
      <c r="D276" s="38"/>
      <c r="F276" s="38"/>
      <c r="I276" s="38"/>
      <c r="J276" s="38"/>
    </row>
    <row r="277" spans="1:10" x14ac:dyDescent="0.25">
      <c r="A277" s="38"/>
      <c r="D277" s="38"/>
      <c r="F277" s="38"/>
      <c r="I277" s="38"/>
      <c r="J277" s="38"/>
    </row>
    <row r="278" spans="1:10" x14ac:dyDescent="0.25">
      <c r="A278" s="38"/>
      <c r="D278" s="38"/>
      <c r="F278" s="38"/>
      <c r="I278" s="38"/>
      <c r="J278" s="38"/>
    </row>
    <row r="279" spans="1:10" x14ac:dyDescent="0.25">
      <c r="A279" s="38"/>
      <c r="D279" s="38"/>
      <c r="F279" s="38"/>
      <c r="I279" s="38"/>
      <c r="J279" s="38"/>
    </row>
    <row r="280" spans="1:10" x14ac:dyDescent="0.25">
      <c r="A280" s="38"/>
      <c r="D280" s="38"/>
      <c r="F280" s="38"/>
      <c r="I280" s="38"/>
      <c r="J280" s="38"/>
    </row>
    <row r="281" spans="1:10" x14ac:dyDescent="0.25">
      <c r="A281" s="38"/>
      <c r="D281" s="38"/>
      <c r="F281" s="38"/>
      <c r="I281" s="38"/>
      <c r="J281" s="38"/>
    </row>
    <row r="282" spans="1:10" x14ac:dyDescent="0.25">
      <c r="A282" s="38"/>
      <c r="D282" s="38"/>
      <c r="F282" s="38"/>
      <c r="I282" s="38"/>
      <c r="J282" s="38"/>
    </row>
    <row r="283" spans="1:10" x14ac:dyDescent="0.25">
      <c r="A283" s="38"/>
      <c r="D283" s="38"/>
      <c r="F283" s="38"/>
      <c r="I283" s="38"/>
      <c r="J283" s="38"/>
    </row>
    <row r="284" spans="1:10" x14ac:dyDescent="0.25">
      <c r="A284" s="38"/>
      <c r="D284" s="38"/>
      <c r="F284" s="38"/>
      <c r="I284" s="38"/>
      <c r="J284" s="38"/>
    </row>
    <row r="285" spans="1:10" x14ac:dyDescent="0.25">
      <c r="A285" s="38"/>
      <c r="D285" s="38"/>
      <c r="F285" s="38"/>
      <c r="I285" s="38"/>
      <c r="J285" s="38"/>
    </row>
    <row r="286" spans="1:10" x14ac:dyDescent="0.25">
      <c r="A286" s="38"/>
      <c r="D286" s="38"/>
      <c r="F286" s="38"/>
      <c r="I286" s="38"/>
      <c r="J286" s="38"/>
    </row>
    <row r="287" spans="1:10" x14ac:dyDescent="0.25">
      <c r="A287" s="38"/>
      <c r="D287" s="38"/>
      <c r="F287" s="38"/>
      <c r="I287" s="38"/>
      <c r="J287" s="38"/>
    </row>
    <row r="288" spans="1:10" x14ac:dyDescent="0.25">
      <c r="A288" s="38"/>
      <c r="D288" s="38"/>
      <c r="F288" s="38"/>
      <c r="I288" s="38"/>
      <c r="J288" s="38"/>
    </row>
    <row r="289" spans="1:10" x14ac:dyDescent="0.25">
      <c r="A289" s="38"/>
      <c r="D289" s="38"/>
      <c r="F289" s="38"/>
      <c r="I289" s="38"/>
      <c r="J289" s="38"/>
    </row>
    <row r="290" spans="1:10" x14ac:dyDescent="0.25">
      <c r="A290" s="38"/>
      <c r="D290" s="38"/>
      <c r="F290" s="38"/>
      <c r="I290" s="38"/>
      <c r="J290" s="38"/>
    </row>
    <row r="291" spans="1:10" x14ac:dyDescent="0.25">
      <c r="A291" s="38"/>
      <c r="D291" s="38"/>
      <c r="F291" s="38"/>
      <c r="I291" s="38"/>
      <c r="J291" s="38"/>
    </row>
    <row r="292" spans="1:10" x14ac:dyDescent="0.25">
      <c r="A292" s="38"/>
      <c r="D292" s="38"/>
      <c r="F292" s="38"/>
      <c r="I292" s="38"/>
      <c r="J292" s="38"/>
    </row>
    <row r="293" spans="1:10" x14ac:dyDescent="0.25">
      <c r="A293" s="38"/>
      <c r="D293" s="38"/>
      <c r="F293" s="38"/>
      <c r="I293" s="38"/>
      <c r="J293" s="38"/>
    </row>
    <row r="294" spans="1:10" x14ac:dyDescent="0.25">
      <c r="A294" s="38"/>
      <c r="D294" s="38"/>
      <c r="F294" s="38"/>
      <c r="I294" s="38"/>
      <c r="J294" s="38"/>
    </row>
    <row r="295" spans="1:10" x14ac:dyDescent="0.25">
      <c r="A295" s="38"/>
      <c r="D295" s="38"/>
      <c r="F295" s="38"/>
      <c r="I295" s="38"/>
      <c r="J295" s="38"/>
    </row>
    <row r="296" spans="1:10" x14ac:dyDescent="0.25">
      <c r="A296" s="38"/>
      <c r="D296" s="38"/>
      <c r="F296" s="38"/>
      <c r="I296" s="38"/>
      <c r="J296" s="38"/>
    </row>
    <row r="297" spans="1:10" x14ac:dyDescent="0.25">
      <c r="A297" s="38"/>
      <c r="D297" s="38"/>
      <c r="F297" s="38"/>
      <c r="I297" s="38"/>
      <c r="J297" s="38"/>
    </row>
    <row r="298" spans="1:10" x14ac:dyDescent="0.25">
      <c r="A298" s="38"/>
      <c r="D298" s="38"/>
      <c r="F298" s="38"/>
      <c r="I298" s="38"/>
      <c r="J298" s="38"/>
    </row>
    <row r="299" spans="1:10" x14ac:dyDescent="0.25">
      <c r="A299" s="38"/>
      <c r="D299" s="38"/>
      <c r="F299" s="38"/>
      <c r="I299" s="38"/>
      <c r="J299" s="38"/>
    </row>
    <row r="300" spans="1:10" x14ac:dyDescent="0.25">
      <c r="A300" s="38"/>
      <c r="D300" s="38"/>
      <c r="F300" s="38"/>
      <c r="I300" s="38"/>
      <c r="J300" s="38"/>
    </row>
    <row r="301" spans="1:10" x14ac:dyDescent="0.25">
      <c r="A301" s="38"/>
      <c r="D301" s="38"/>
      <c r="F301" s="38"/>
      <c r="I301" s="38"/>
      <c r="J301" s="38"/>
    </row>
    <row r="302" spans="1:10" x14ac:dyDescent="0.25">
      <c r="A302" s="38"/>
      <c r="D302" s="38"/>
      <c r="F302" s="38"/>
      <c r="I302" s="38"/>
      <c r="J302" s="38"/>
    </row>
    <row r="303" spans="1:10" x14ac:dyDescent="0.25">
      <c r="A303" s="38"/>
      <c r="D303" s="38"/>
      <c r="F303" s="38"/>
      <c r="I303" s="38"/>
      <c r="J303" s="38"/>
    </row>
    <row r="304" spans="1:10" x14ac:dyDescent="0.25">
      <c r="A304" s="38"/>
      <c r="D304" s="38"/>
      <c r="F304" s="38"/>
      <c r="I304" s="38"/>
      <c r="J304" s="38"/>
    </row>
    <row r="305" spans="1:10" x14ac:dyDescent="0.25">
      <c r="A305" s="38"/>
      <c r="D305" s="38"/>
      <c r="F305" s="38"/>
      <c r="I305" s="38"/>
      <c r="J305" s="38"/>
    </row>
    <row r="306" spans="1:10" x14ac:dyDescent="0.25">
      <c r="A306" s="38"/>
      <c r="D306" s="38"/>
      <c r="F306" s="38"/>
      <c r="I306" s="38"/>
      <c r="J306" s="38"/>
    </row>
    <row r="307" spans="1:10" x14ac:dyDescent="0.25">
      <c r="A307" s="38"/>
      <c r="D307" s="38"/>
      <c r="F307" s="38"/>
      <c r="I307" s="38"/>
      <c r="J307" s="38"/>
    </row>
    <row r="308" spans="1:10" x14ac:dyDescent="0.25">
      <c r="A308" s="38"/>
      <c r="D308" s="38"/>
      <c r="F308" s="38"/>
      <c r="I308" s="38"/>
      <c r="J308" s="38"/>
    </row>
    <row r="309" spans="1:10" x14ac:dyDescent="0.25">
      <c r="A309" s="38"/>
      <c r="D309" s="38"/>
      <c r="F309" s="38"/>
      <c r="I309" s="38"/>
      <c r="J309" s="38"/>
    </row>
    <row r="310" spans="1:10" x14ac:dyDescent="0.25">
      <c r="A310" s="38"/>
      <c r="D310" s="38"/>
      <c r="F310" s="38"/>
      <c r="I310" s="38"/>
      <c r="J310" s="38"/>
    </row>
    <row r="311" spans="1:10" x14ac:dyDescent="0.25">
      <c r="A311" s="38"/>
      <c r="D311" s="38"/>
      <c r="F311" s="38"/>
      <c r="I311" s="38"/>
      <c r="J311" s="38"/>
    </row>
    <row r="312" spans="1:10" x14ac:dyDescent="0.25">
      <c r="A312" s="38"/>
      <c r="D312" s="38"/>
      <c r="F312" s="38"/>
      <c r="I312" s="38"/>
      <c r="J312" s="38"/>
    </row>
    <row r="313" spans="1:10" x14ac:dyDescent="0.25">
      <c r="A313" s="38"/>
      <c r="D313" s="38"/>
      <c r="F313" s="38"/>
      <c r="I313" s="38"/>
      <c r="J313" s="38"/>
    </row>
    <row r="314" spans="1:10" x14ac:dyDescent="0.25">
      <c r="A314" s="38"/>
      <c r="D314" s="38"/>
      <c r="F314" s="38"/>
      <c r="I314" s="38"/>
      <c r="J314" s="38"/>
    </row>
    <row r="315" spans="1:10" x14ac:dyDescent="0.25">
      <c r="A315" s="38"/>
      <c r="D315" s="38"/>
      <c r="F315" s="38"/>
      <c r="I315" s="38"/>
      <c r="J315" s="38"/>
    </row>
    <row r="316" spans="1:10" x14ac:dyDescent="0.25">
      <c r="A316" s="38"/>
      <c r="D316" s="38"/>
      <c r="F316" s="38"/>
      <c r="I316" s="38"/>
      <c r="J316" s="38"/>
    </row>
    <row r="317" spans="1:10" x14ac:dyDescent="0.25">
      <c r="A317" s="38"/>
      <c r="D317" s="38"/>
      <c r="F317" s="38"/>
      <c r="I317" s="38"/>
      <c r="J317" s="38"/>
    </row>
    <row r="318" spans="1:10" x14ac:dyDescent="0.25">
      <c r="A318" s="38"/>
      <c r="D318" s="38"/>
      <c r="F318" s="38"/>
      <c r="I318" s="38"/>
      <c r="J318" s="38"/>
    </row>
    <row r="319" spans="1:10" x14ac:dyDescent="0.25">
      <c r="A319" s="38"/>
      <c r="D319" s="38"/>
      <c r="F319" s="38"/>
      <c r="I319" s="38"/>
      <c r="J319" s="38"/>
    </row>
    <row r="320" spans="1:10" x14ac:dyDescent="0.25">
      <c r="A320" s="38"/>
      <c r="D320" s="38"/>
      <c r="F320" s="38"/>
      <c r="I320" s="38"/>
      <c r="J320" s="38"/>
    </row>
    <row r="321" spans="1:10" x14ac:dyDescent="0.25">
      <c r="A321" s="38"/>
      <c r="D321" s="38"/>
      <c r="F321" s="38"/>
      <c r="I321" s="38"/>
      <c r="J321" s="38"/>
    </row>
    <row r="322" spans="1:10" x14ac:dyDescent="0.25">
      <c r="A322" s="38"/>
      <c r="D322" s="38"/>
      <c r="F322" s="38"/>
      <c r="I322" s="38"/>
      <c r="J322" s="38"/>
    </row>
    <row r="323" spans="1:10" x14ac:dyDescent="0.25">
      <c r="A323" s="38"/>
      <c r="D323" s="38"/>
      <c r="F323" s="38"/>
      <c r="I323" s="38"/>
      <c r="J323" s="38"/>
    </row>
    <row r="324" spans="1:10" x14ac:dyDescent="0.25">
      <c r="A324" s="38"/>
      <c r="D324" s="38"/>
      <c r="F324" s="38"/>
      <c r="I324" s="38"/>
      <c r="J324" s="38"/>
    </row>
    <row r="325" spans="1:10" x14ac:dyDescent="0.25">
      <c r="A325" s="38"/>
      <c r="D325" s="38"/>
      <c r="F325" s="38"/>
      <c r="I325" s="38"/>
      <c r="J325" s="38"/>
    </row>
    <row r="326" spans="1:10" x14ac:dyDescent="0.25">
      <c r="A326" s="38"/>
      <c r="D326" s="38"/>
      <c r="F326" s="38"/>
      <c r="I326" s="38"/>
      <c r="J326" s="38"/>
    </row>
    <row r="327" spans="1:10" x14ac:dyDescent="0.25">
      <c r="A327" s="38"/>
      <c r="D327" s="38"/>
      <c r="F327" s="38"/>
      <c r="I327" s="38"/>
      <c r="J327" s="38"/>
    </row>
    <row r="328" spans="1:10" x14ac:dyDescent="0.25">
      <c r="A328" s="38"/>
      <c r="D328" s="38"/>
      <c r="F328" s="38"/>
      <c r="I328" s="38"/>
      <c r="J328" s="38"/>
    </row>
    <row r="329" spans="1:10" x14ac:dyDescent="0.25">
      <c r="A329" s="38"/>
      <c r="D329" s="38"/>
      <c r="F329" s="38"/>
      <c r="I329" s="38"/>
      <c r="J329" s="38"/>
    </row>
    <row r="330" spans="1:10" x14ac:dyDescent="0.25">
      <c r="A330" s="38"/>
      <c r="D330" s="38"/>
      <c r="F330" s="38"/>
      <c r="I330" s="38"/>
      <c r="J330" s="38"/>
    </row>
    <row r="331" spans="1:10" x14ac:dyDescent="0.25">
      <c r="A331" s="38"/>
      <c r="D331" s="38"/>
      <c r="F331" s="38"/>
      <c r="I331" s="38"/>
      <c r="J331" s="38"/>
    </row>
    <row r="332" spans="1:10" x14ac:dyDescent="0.25">
      <c r="A332" s="38"/>
      <c r="D332" s="38"/>
      <c r="F332" s="38"/>
      <c r="I332" s="38"/>
      <c r="J332" s="38"/>
    </row>
    <row r="333" spans="1:10" x14ac:dyDescent="0.25">
      <c r="A333" s="38"/>
      <c r="D333" s="38"/>
      <c r="F333" s="38"/>
      <c r="I333" s="38"/>
      <c r="J333" s="38"/>
    </row>
    <row r="334" spans="1:10" x14ac:dyDescent="0.25">
      <c r="A334" s="38"/>
      <c r="D334" s="38"/>
      <c r="F334" s="38"/>
      <c r="I334" s="38"/>
      <c r="J334" s="38"/>
    </row>
    <row r="335" spans="1:10" x14ac:dyDescent="0.25">
      <c r="A335" s="38"/>
      <c r="D335" s="38"/>
      <c r="F335" s="38"/>
      <c r="I335" s="38"/>
      <c r="J335" s="38"/>
    </row>
    <row r="336" spans="1:10" x14ac:dyDescent="0.25">
      <c r="A336" s="38"/>
      <c r="D336" s="38"/>
      <c r="F336" s="38"/>
      <c r="I336" s="38"/>
      <c r="J336" s="38"/>
    </row>
    <row r="337" spans="1:10" x14ac:dyDescent="0.25">
      <c r="A337" s="38"/>
      <c r="D337" s="38"/>
      <c r="F337" s="38"/>
      <c r="I337" s="38"/>
      <c r="J337" s="38"/>
    </row>
    <row r="338" spans="1:10" x14ac:dyDescent="0.25">
      <c r="A338" s="38"/>
      <c r="D338" s="38"/>
      <c r="F338" s="38"/>
      <c r="I338" s="38"/>
      <c r="J338" s="38"/>
    </row>
    <row r="339" spans="1:10" x14ac:dyDescent="0.25">
      <c r="A339" s="38"/>
      <c r="D339" s="38"/>
      <c r="F339" s="38"/>
      <c r="I339" s="38"/>
      <c r="J339" s="38"/>
    </row>
    <row r="340" spans="1:10" x14ac:dyDescent="0.25">
      <c r="A340" s="38"/>
      <c r="D340" s="38"/>
      <c r="F340" s="38"/>
      <c r="I340" s="38"/>
      <c r="J340" s="38"/>
    </row>
    <row r="341" spans="1:10" x14ac:dyDescent="0.25">
      <c r="A341" s="38"/>
      <c r="D341" s="38"/>
      <c r="F341" s="38"/>
      <c r="I341" s="38"/>
      <c r="J341" s="38"/>
    </row>
    <row r="342" spans="1:10" x14ac:dyDescent="0.25">
      <c r="A342" s="38"/>
      <c r="D342" s="38"/>
      <c r="F342" s="38"/>
      <c r="I342" s="38"/>
      <c r="J342" s="38"/>
    </row>
    <row r="343" spans="1:10" x14ac:dyDescent="0.25">
      <c r="A343" s="38"/>
      <c r="D343" s="38"/>
      <c r="F343" s="38"/>
      <c r="I343" s="38"/>
      <c r="J343" s="38"/>
    </row>
    <row r="344" spans="1:10" x14ac:dyDescent="0.25">
      <c r="A344" s="38"/>
      <c r="D344" s="38"/>
      <c r="F344" s="38"/>
      <c r="I344" s="38"/>
      <c r="J344" s="38"/>
    </row>
    <row r="345" spans="1:10" x14ac:dyDescent="0.25">
      <c r="A345" s="38"/>
      <c r="D345" s="38"/>
      <c r="F345" s="38"/>
      <c r="I345" s="38"/>
      <c r="J345" s="38"/>
    </row>
    <row r="346" spans="1:10" x14ac:dyDescent="0.25">
      <c r="A346" s="38"/>
      <c r="D346" s="38"/>
      <c r="F346" s="38"/>
      <c r="I346" s="38"/>
      <c r="J346" s="38"/>
    </row>
    <row r="347" spans="1:10" x14ac:dyDescent="0.25">
      <c r="A347" s="38"/>
      <c r="D347" s="38"/>
      <c r="F347" s="38"/>
      <c r="I347" s="38"/>
      <c r="J347" s="38"/>
    </row>
    <row r="348" spans="1:10" x14ac:dyDescent="0.25">
      <c r="A348" s="38"/>
      <c r="D348" s="38"/>
      <c r="F348" s="38"/>
      <c r="I348" s="38"/>
      <c r="J348" s="38"/>
    </row>
    <row r="349" spans="1:10" x14ac:dyDescent="0.25">
      <c r="A349" s="38"/>
      <c r="D349" s="38"/>
      <c r="F349" s="38"/>
      <c r="I349" s="38"/>
      <c r="J349" s="38"/>
    </row>
    <row r="350" spans="1:10" x14ac:dyDescent="0.25">
      <c r="A350" s="38"/>
      <c r="D350" s="38"/>
      <c r="F350" s="38"/>
      <c r="I350" s="38"/>
      <c r="J350" s="38"/>
    </row>
    <row r="351" spans="1:10" x14ac:dyDescent="0.25">
      <c r="A351" s="38"/>
      <c r="D351" s="38"/>
      <c r="F351" s="38"/>
      <c r="I351" s="38"/>
      <c r="J351" s="38"/>
    </row>
    <row r="352" spans="1:10" x14ac:dyDescent="0.25">
      <c r="A352" s="38"/>
      <c r="D352" s="38"/>
      <c r="F352" s="38"/>
      <c r="I352" s="38"/>
      <c r="J352" s="38"/>
    </row>
    <row r="353" spans="1:10" x14ac:dyDescent="0.25">
      <c r="A353" s="38"/>
      <c r="D353" s="38"/>
      <c r="F353" s="38"/>
      <c r="I353" s="38"/>
      <c r="J353" s="38"/>
    </row>
    <row r="354" spans="1:10" x14ac:dyDescent="0.25">
      <c r="A354" s="38"/>
      <c r="D354" s="38"/>
      <c r="F354" s="38"/>
      <c r="I354" s="38"/>
      <c r="J354" s="38"/>
    </row>
    <row r="355" spans="1:10" x14ac:dyDescent="0.25">
      <c r="A355" s="38"/>
      <c r="D355" s="38"/>
      <c r="F355" s="38"/>
      <c r="I355" s="38"/>
      <c r="J355" s="38"/>
    </row>
    <row r="356" spans="1:10" x14ac:dyDescent="0.25">
      <c r="A356" s="38"/>
      <c r="D356" s="38"/>
      <c r="F356" s="38"/>
      <c r="I356" s="38"/>
      <c r="J356" s="38"/>
    </row>
    <row r="357" spans="1:10" x14ac:dyDescent="0.25">
      <c r="A357" s="38"/>
      <c r="D357" s="38"/>
      <c r="F357" s="38"/>
      <c r="I357" s="38"/>
      <c r="J357" s="38"/>
    </row>
    <row r="358" spans="1:10" x14ac:dyDescent="0.25">
      <c r="A358" s="38"/>
      <c r="D358" s="38"/>
      <c r="F358" s="38"/>
      <c r="I358" s="38"/>
      <c r="J358" s="38"/>
    </row>
    <row r="359" spans="1:10" x14ac:dyDescent="0.25">
      <c r="A359" s="38"/>
      <c r="D359" s="38"/>
      <c r="F359" s="38"/>
      <c r="I359" s="38"/>
      <c r="J359" s="38"/>
    </row>
    <row r="360" spans="1:10" x14ac:dyDescent="0.25">
      <c r="A360" s="38"/>
      <c r="D360" s="38"/>
      <c r="F360" s="38"/>
      <c r="I360" s="38"/>
      <c r="J360" s="38"/>
    </row>
    <row r="361" spans="1:10" x14ac:dyDescent="0.25">
      <c r="A361" s="38"/>
      <c r="D361" s="38"/>
      <c r="F361" s="38"/>
      <c r="I361" s="38"/>
      <c r="J361" s="38"/>
    </row>
    <row r="362" spans="1:10" x14ac:dyDescent="0.25">
      <c r="A362" s="38"/>
      <c r="D362" s="38"/>
      <c r="F362" s="38"/>
      <c r="I362" s="38"/>
      <c r="J362" s="38"/>
    </row>
    <row r="363" spans="1:10" x14ac:dyDescent="0.25">
      <c r="A363" s="38"/>
      <c r="D363" s="38"/>
      <c r="F363" s="38"/>
      <c r="I363" s="38"/>
      <c r="J363" s="38"/>
    </row>
    <row r="364" spans="1:10" x14ac:dyDescent="0.25">
      <c r="A364" s="38"/>
      <c r="D364" s="38"/>
      <c r="F364" s="38"/>
      <c r="I364" s="38"/>
      <c r="J364" s="38"/>
    </row>
    <row r="365" spans="1:10" x14ac:dyDescent="0.25">
      <c r="A365" s="38"/>
      <c r="D365" s="38"/>
      <c r="F365" s="38"/>
      <c r="I365" s="38"/>
      <c r="J365" s="38"/>
    </row>
    <row r="366" spans="1:10" x14ac:dyDescent="0.25">
      <c r="A366" s="38"/>
      <c r="D366" s="38"/>
      <c r="F366" s="38"/>
      <c r="I366" s="38"/>
      <c r="J366" s="38"/>
    </row>
    <row r="367" spans="1:10" x14ac:dyDescent="0.25">
      <c r="A367" s="38"/>
      <c r="D367" s="38"/>
      <c r="F367" s="38"/>
      <c r="I367" s="38"/>
      <c r="J367" s="38"/>
    </row>
    <row r="368" spans="1:10" x14ac:dyDescent="0.25">
      <c r="A368" s="38"/>
      <c r="D368" s="38"/>
      <c r="F368" s="38"/>
      <c r="I368" s="38"/>
      <c r="J368" s="38"/>
    </row>
    <row r="369" spans="1:10" x14ac:dyDescent="0.25">
      <c r="A369" s="38"/>
      <c r="D369" s="38"/>
      <c r="F369" s="38"/>
      <c r="I369" s="38"/>
      <c r="J369" s="38"/>
    </row>
    <row r="370" spans="1:10" x14ac:dyDescent="0.25">
      <c r="A370" s="38"/>
      <c r="D370" s="38"/>
      <c r="F370" s="38"/>
      <c r="I370" s="38"/>
      <c r="J370" s="38"/>
    </row>
    <row r="371" spans="1:10" x14ac:dyDescent="0.25">
      <c r="A371" s="38"/>
      <c r="D371" s="38"/>
      <c r="F371" s="38"/>
      <c r="I371" s="38"/>
      <c r="J371" s="38"/>
    </row>
    <row r="372" spans="1:10" x14ac:dyDescent="0.25">
      <c r="A372" s="38"/>
      <c r="D372" s="38"/>
      <c r="F372" s="38"/>
      <c r="I372" s="38"/>
      <c r="J372" s="38"/>
    </row>
    <row r="373" spans="1:10" x14ac:dyDescent="0.25">
      <c r="A373" s="38"/>
      <c r="D373" s="38"/>
      <c r="F373" s="38"/>
      <c r="I373" s="38"/>
      <c r="J373" s="38"/>
    </row>
    <row r="374" spans="1:10" x14ac:dyDescent="0.25">
      <c r="A374" s="38"/>
      <c r="D374" s="38"/>
      <c r="F374" s="38"/>
      <c r="I374" s="38"/>
      <c r="J374" s="38"/>
    </row>
    <row r="375" spans="1:10" x14ac:dyDescent="0.25">
      <c r="A375" s="38"/>
      <c r="D375" s="38"/>
      <c r="F375" s="38"/>
      <c r="I375" s="38"/>
      <c r="J375" s="38"/>
    </row>
    <row r="376" spans="1:10" x14ac:dyDescent="0.25">
      <c r="A376" s="38"/>
      <c r="D376" s="38"/>
      <c r="F376" s="38"/>
      <c r="I376" s="38"/>
      <c r="J376" s="38"/>
    </row>
    <row r="377" spans="1:10" x14ac:dyDescent="0.25">
      <c r="A377" s="38"/>
      <c r="D377" s="38"/>
      <c r="F377" s="38"/>
      <c r="I377" s="38"/>
      <c r="J377" s="38"/>
    </row>
    <row r="378" spans="1:10" x14ac:dyDescent="0.25">
      <c r="A378" s="38"/>
      <c r="D378" s="38"/>
      <c r="F378" s="38"/>
      <c r="I378" s="38"/>
      <c r="J378" s="38"/>
    </row>
    <row r="379" spans="1:10" x14ac:dyDescent="0.25">
      <c r="A379" s="38"/>
      <c r="D379" s="38"/>
      <c r="F379" s="38"/>
      <c r="I379" s="38"/>
      <c r="J379" s="38"/>
    </row>
    <row r="380" spans="1:10" x14ac:dyDescent="0.25">
      <c r="A380" s="38"/>
      <c r="D380" s="38"/>
      <c r="F380" s="38"/>
      <c r="I380" s="38"/>
      <c r="J380" s="38"/>
    </row>
    <row r="381" spans="1:10" x14ac:dyDescent="0.25">
      <c r="A381" s="38"/>
      <c r="D381" s="38"/>
      <c r="F381" s="38"/>
      <c r="I381" s="38"/>
      <c r="J381" s="38"/>
    </row>
    <row r="382" spans="1:10" x14ac:dyDescent="0.25">
      <c r="A382" s="38"/>
      <c r="D382" s="38"/>
      <c r="F382" s="38"/>
      <c r="I382" s="38"/>
      <c r="J382" s="38"/>
    </row>
    <row r="383" spans="1:10" x14ac:dyDescent="0.25">
      <c r="A383" s="38"/>
      <c r="D383" s="38"/>
      <c r="F383" s="38"/>
      <c r="I383" s="38"/>
      <c r="J383" s="38"/>
    </row>
    <row r="384" spans="1:10" x14ac:dyDescent="0.25">
      <c r="A384" s="38"/>
      <c r="D384" s="38"/>
      <c r="F384" s="38"/>
      <c r="I384" s="38"/>
      <c r="J384" s="38"/>
    </row>
    <row r="385" spans="1:10" x14ac:dyDescent="0.25">
      <c r="A385" s="38"/>
      <c r="D385" s="38"/>
      <c r="F385" s="38"/>
      <c r="I385" s="38"/>
      <c r="J385" s="38"/>
    </row>
    <row r="386" spans="1:10" x14ac:dyDescent="0.25">
      <c r="A386" s="38"/>
      <c r="D386" s="38"/>
      <c r="F386" s="38"/>
      <c r="I386" s="38"/>
      <c r="J386" s="38"/>
    </row>
    <row r="387" spans="1:10" x14ac:dyDescent="0.25">
      <c r="A387" s="38"/>
      <c r="D387" s="38"/>
      <c r="F387" s="38"/>
      <c r="I387" s="38"/>
      <c r="J387" s="38"/>
    </row>
    <row r="388" spans="1:10" x14ac:dyDescent="0.25">
      <c r="A388" s="38"/>
      <c r="D388" s="38"/>
      <c r="F388" s="38"/>
      <c r="I388" s="38"/>
      <c r="J388" s="38"/>
    </row>
    <row r="389" spans="1:10" x14ac:dyDescent="0.25">
      <c r="A389" s="38"/>
      <c r="D389" s="38"/>
      <c r="F389" s="38"/>
      <c r="I389" s="38"/>
      <c r="J389" s="38"/>
    </row>
    <row r="390" spans="1:10" x14ac:dyDescent="0.25">
      <c r="A390" s="38"/>
      <c r="D390" s="38"/>
      <c r="F390" s="38"/>
      <c r="I390" s="38"/>
      <c r="J390" s="38"/>
    </row>
    <row r="391" spans="1:10" x14ac:dyDescent="0.25">
      <c r="A391" s="38"/>
      <c r="D391" s="38"/>
      <c r="F391" s="38"/>
      <c r="I391" s="38"/>
      <c r="J391" s="38"/>
    </row>
    <row r="392" spans="1:10" x14ac:dyDescent="0.25">
      <c r="A392" s="38"/>
      <c r="D392" s="38"/>
      <c r="F392" s="38"/>
      <c r="I392" s="38"/>
      <c r="J392" s="38"/>
    </row>
    <row r="393" spans="1:10" x14ac:dyDescent="0.25">
      <c r="A393" s="38"/>
      <c r="D393" s="38"/>
      <c r="F393" s="38"/>
      <c r="I393" s="38"/>
      <c r="J393" s="38"/>
    </row>
    <row r="394" spans="1:10" x14ac:dyDescent="0.25">
      <c r="A394" s="38"/>
      <c r="D394" s="38"/>
      <c r="F394" s="38"/>
      <c r="I394" s="38"/>
      <c r="J394" s="38"/>
    </row>
    <row r="395" spans="1:10" x14ac:dyDescent="0.25">
      <c r="A395" s="38"/>
      <c r="D395" s="38"/>
      <c r="F395" s="38"/>
      <c r="I395" s="38"/>
      <c r="J395" s="38"/>
    </row>
    <row r="396" spans="1:10" x14ac:dyDescent="0.25">
      <c r="A396" s="38"/>
      <c r="D396" s="38"/>
      <c r="F396" s="38"/>
      <c r="I396" s="38"/>
      <c r="J396" s="38"/>
    </row>
    <row r="397" spans="1:10" x14ac:dyDescent="0.25">
      <c r="A397" s="38"/>
      <c r="D397" s="38"/>
      <c r="F397" s="38"/>
      <c r="I397" s="38"/>
      <c r="J397" s="38"/>
    </row>
    <row r="398" spans="1:10" x14ac:dyDescent="0.25">
      <c r="A398" s="38"/>
      <c r="D398" s="38"/>
      <c r="F398" s="38"/>
      <c r="I398" s="38"/>
      <c r="J398" s="38"/>
    </row>
    <row r="399" spans="1:10" x14ac:dyDescent="0.25">
      <c r="A399" s="38"/>
      <c r="D399" s="38"/>
      <c r="F399" s="38"/>
      <c r="I399" s="38"/>
      <c r="J399" s="38"/>
    </row>
    <row r="400" spans="1:10" x14ac:dyDescent="0.25">
      <c r="A400" s="38"/>
      <c r="D400" s="38"/>
      <c r="F400" s="38"/>
      <c r="I400" s="38"/>
      <c r="J400" s="38"/>
    </row>
    <row r="401" spans="1:10" x14ac:dyDescent="0.25">
      <c r="A401" s="38"/>
      <c r="D401" s="38"/>
      <c r="F401" s="38"/>
      <c r="I401" s="38"/>
      <c r="J401" s="38"/>
    </row>
    <row r="402" spans="1:10" x14ac:dyDescent="0.25">
      <c r="A402" s="38"/>
      <c r="D402" s="38"/>
      <c r="F402" s="38"/>
      <c r="I402" s="38"/>
      <c r="J402" s="38"/>
    </row>
    <row r="403" spans="1:10" x14ac:dyDescent="0.25">
      <c r="A403" s="38"/>
      <c r="D403" s="38"/>
      <c r="F403" s="38"/>
      <c r="I403" s="38"/>
      <c r="J403" s="38"/>
    </row>
    <row r="404" spans="1:10" x14ac:dyDescent="0.25">
      <c r="A404" s="38"/>
      <c r="D404" s="38"/>
      <c r="F404" s="38"/>
      <c r="I404" s="38"/>
      <c r="J404" s="38"/>
    </row>
    <row r="405" spans="1:10" x14ac:dyDescent="0.25">
      <c r="A405" s="38"/>
      <c r="D405" s="38"/>
      <c r="F405" s="38"/>
      <c r="I405" s="38"/>
      <c r="J405" s="38"/>
    </row>
    <row r="406" spans="1:10" x14ac:dyDescent="0.25">
      <c r="A406" s="38"/>
      <c r="D406" s="38"/>
      <c r="F406" s="38"/>
      <c r="I406" s="38"/>
      <c r="J406" s="38"/>
    </row>
    <row r="407" spans="1:10" x14ac:dyDescent="0.25">
      <c r="A407" s="38"/>
      <c r="D407" s="38"/>
      <c r="F407" s="38"/>
      <c r="I407" s="38"/>
      <c r="J407" s="38"/>
    </row>
    <row r="408" spans="1:10" x14ac:dyDescent="0.25">
      <c r="A408" s="38"/>
      <c r="D408" s="38"/>
      <c r="F408" s="38"/>
      <c r="I408" s="38"/>
      <c r="J408" s="38"/>
    </row>
    <row r="409" spans="1:10" x14ac:dyDescent="0.25">
      <c r="A409" s="38"/>
      <c r="D409" s="38"/>
      <c r="F409" s="38"/>
      <c r="I409" s="38"/>
      <c r="J409" s="38"/>
    </row>
    <row r="410" spans="1:10" x14ac:dyDescent="0.25">
      <c r="A410" s="38"/>
      <c r="D410" s="38"/>
      <c r="F410" s="38"/>
      <c r="I410" s="38"/>
      <c r="J410" s="38"/>
    </row>
    <row r="411" spans="1:10" x14ac:dyDescent="0.25">
      <c r="A411" s="38"/>
      <c r="D411" s="38"/>
      <c r="F411" s="38"/>
      <c r="I411" s="38"/>
      <c r="J411" s="38"/>
    </row>
    <row r="412" spans="1:10" x14ac:dyDescent="0.25">
      <c r="A412" s="38"/>
      <c r="D412" s="38"/>
      <c r="F412" s="38"/>
      <c r="I412" s="38"/>
      <c r="J412" s="38"/>
    </row>
    <row r="413" spans="1:10" x14ac:dyDescent="0.25">
      <c r="A413" s="38"/>
      <c r="D413" s="38"/>
      <c r="F413" s="38"/>
      <c r="I413" s="38"/>
      <c r="J413" s="38"/>
    </row>
    <row r="414" spans="1:10" x14ac:dyDescent="0.25">
      <c r="A414" s="38"/>
      <c r="D414" s="38"/>
      <c r="F414" s="38"/>
      <c r="I414" s="38"/>
      <c r="J414" s="38"/>
    </row>
    <row r="415" spans="1:10" x14ac:dyDescent="0.25">
      <c r="A415" s="38"/>
      <c r="D415" s="38"/>
      <c r="F415" s="38"/>
      <c r="I415" s="38"/>
      <c r="J415" s="38"/>
    </row>
    <row r="416" spans="1:10" x14ac:dyDescent="0.25">
      <c r="A416" s="38"/>
      <c r="D416" s="38"/>
      <c r="F416" s="38"/>
      <c r="I416" s="38"/>
      <c r="J416" s="38"/>
    </row>
    <row r="417" spans="1:10" x14ac:dyDescent="0.25">
      <c r="A417" s="38"/>
      <c r="D417" s="38"/>
      <c r="F417" s="38"/>
      <c r="I417" s="38"/>
      <c r="J417" s="38"/>
    </row>
    <row r="418" spans="1:10" x14ac:dyDescent="0.25">
      <c r="A418" s="38"/>
      <c r="D418" s="38"/>
      <c r="F418" s="38"/>
      <c r="I418" s="38"/>
      <c r="J418" s="38"/>
    </row>
    <row r="419" spans="1:10" x14ac:dyDescent="0.25">
      <c r="A419" s="38"/>
      <c r="D419" s="38"/>
      <c r="F419" s="38"/>
      <c r="I419" s="38"/>
      <c r="J419" s="38"/>
    </row>
    <row r="420" spans="1:10" x14ac:dyDescent="0.25">
      <c r="A420" s="38"/>
      <c r="D420" s="38"/>
      <c r="F420" s="38"/>
      <c r="I420" s="38"/>
      <c r="J420" s="38"/>
    </row>
    <row r="421" spans="1:10" x14ac:dyDescent="0.25">
      <c r="A421" s="38"/>
      <c r="D421" s="38"/>
      <c r="F421" s="38"/>
      <c r="I421" s="38"/>
      <c r="J421" s="38"/>
    </row>
    <row r="422" spans="1:10" x14ac:dyDescent="0.25">
      <c r="A422" s="38"/>
      <c r="D422" s="38"/>
      <c r="F422" s="38"/>
      <c r="I422" s="38"/>
      <c r="J422" s="38"/>
    </row>
    <row r="423" spans="1:10" x14ac:dyDescent="0.25">
      <c r="A423" s="38"/>
      <c r="D423" s="38"/>
      <c r="F423" s="38"/>
      <c r="I423" s="38"/>
      <c r="J423" s="38"/>
    </row>
    <row r="424" spans="1:10" x14ac:dyDescent="0.25">
      <c r="A424" s="38"/>
      <c r="D424" s="38"/>
      <c r="F424" s="38"/>
      <c r="I424" s="38"/>
      <c r="J424" s="38"/>
    </row>
    <row r="425" spans="1:10" x14ac:dyDescent="0.25">
      <c r="A425" s="38"/>
      <c r="D425" s="38"/>
      <c r="F425" s="38"/>
      <c r="I425" s="38"/>
      <c r="J425" s="38"/>
    </row>
    <row r="426" spans="1:10" x14ac:dyDescent="0.25">
      <c r="A426" s="38"/>
      <c r="D426" s="38"/>
      <c r="F426" s="38"/>
      <c r="I426" s="38"/>
      <c r="J426" s="38"/>
    </row>
    <row r="427" spans="1:10" x14ac:dyDescent="0.25">
      <c r="A427" s="38"/>
      <c r="D427" s="38"/>
      <c r="F427" s="38"/>
      <c r="I427" s="38"/>
      <c r="J427" s="38"/>
    </row>
    <row r="428" spans="1:10" x14ac:dyDescent="0.25">
      <c r="A428" s="38"/>
      <c r="D428" s="38"/>
      <c r="F428" s="38"/>
      <c r="I428" s="38"/>
      <c r="J428" s="38"/>
    </row>
    <row r="429" spans="1:10" x14ac:dyDescent="0.25">
      <c r="A429" s="38"/>
      <c r="D429" s="38"/>
      <c r="F429" s="38"/>
      <c r="I429" s="38"/>
      <c r="J429" s="38"/>
    </row>
    <row r="430" spans="1:10" x14ac:dyDescent="0.25">
      <c r="A430" s="38"/>
      <c r="D430" s="38"/>
      <c r="F430" s="38"/>
      <c r="I430" s="38"/>
      <c r="J430" s="38"/>
    </row>
    <row r="431" spans="1:10" x14ac:dyDescent="0.25">
      <c r="A431" s="38"/>
      <c r="D431" s="38"/>
      <c r="F431" s="38"/>
      <c r="I431" s="38"/>
      <c r="J431" s="38"/>
    </row>
    <row r="432" spans="1:10" x14ac:dyDescent="0.25">
      <c r="A432" s="38"/>
      <c r="D432" s="38"/>
      <c r="F432" s="38"/>
      <c r="I432" s="38"/>
      <c r="J432" s="38"/>
    </row>
    <row r="433" spans="1:10" x14ac:dyDescent="0.25">
      <c r="A433" s="38"/>
      <c r="D433" s="38"/>
      <c r="F433" s="38"/>
      <c r="I433" s="38"/>
      <c r="J433" s="38"/>
    </row>
    <row r="434" spans="1:10" x14ac:dyDescent="0.25">
      <c r="A434" s="38"/>
      <c r="D434" s="38"/>
      <c r="F434" s="38"/>
      <c r="I434" s="38"/>
      <c r="J434" s="38"/>
    </row>
    <row r="435" spans="1:10" x14ac:dyDescent="0.25">
      <c r="A435" s="38"/>
      <c r="D435" s="38"/>
      <c r="F435" s="38"/>
      <c r="I435" s="38"/>
      <c r="J435" s="38"/>
    </row>
    <row r="436" spans="1:10" x14ac:dyDescent="0.25">
      <c r="A436" s="38"/>
      <c r="D436" s="38"/>
      <c r="F436" s="38"/>
      <c r="I436" s="38"/>
      <c r="J436" s="38"/>
    </row>
    <row r="437" spans="1:10" x14ac:dyDescent="0.25">
      <c r="A437" s="38"/>
      <c r="D437" s="38"/>
      <c r="F437" s="38"/>
      <c r="I437" s="38"/>
      <c r="J437" s="38"/>
    </row>
    <row r="438" spans="1:10" x14ac:dyDescent="0.25">
      <c r="A438" s="38"/>
      <c r="D438" s="38"/>
      <c r="F438" s="38"/>
      <c r="I438" s="38"/>
      <c r="J438" s="38"/>
    </row>
    <row r="439" spans="1:10" x14ac:dyDescent="0.25">
      <c r="A439" s="38"/>
      <c r="D439" s="38"/>
      <c r="F439" s="38"/>
      <c r="I439" s="38"/>
      <c r="J439" s="38"/>
    </row>
    <row r="440" spans="1:10" x14ac:dyDescent="0.25">
      <c r="A440" s="38"/>
      <c r="D440" s="38"/>
      <c r="F440" s="38"/>
      <c r="I440" s="38"/>
      <c r="J440" s="38"/>
    </row>
    <row r="441" spans="1:10" x14ac:dyDescent="0.25">
      <c r="A441" s="38"/>
      <c r="D441" s="38"/>
      <c r="F441" s="38"/>
      <c r="I441" s="38"/>
      <c r="J441" s="38"/>
    </row>
    <row r="442" spans="1:10" x14ac:dyDescent="0.25">
      <c r="A442" s="38"/>
      <c r="D442" s="38"/>
      <c r="F442" s="38"/>
      <c r="I442" s="38"/>
      <c r="J442" s="38"/>
    </row>
    <row r="443" spans="1:10" x14ac:dyDescent="0.25">
      <c r="A443" s="38"/>
      <c r="D443" s="38"/>
      <c r="F443" s="38"/>
      <c r="I443" s="38"/>
      <c r="J443" s="38"/>
    </row>
    <row r="444" spans="1:10" x14ac:dyDescent="0.25">
      <c r="A444" s="38"/>
      <c r="D444" s="38"/>
      <c r="F444" s="38"/>
      <c r="I444" s="38"/>
      <c r="J444" s="38"/>
    </row>
    <row r="445" spans="1:10" x14ac:dyDescent="0.25">
      <c r="A445" s="38"/>
      <c r="D445" s="38"/>
      <c r="F445" s="38"/>
      <c r="I445" s="38"/>
      <c r="J445" s="38"/>
    </row>
    <row r="446" spans="1:10" x14ac:dyDescent="0.25">
      <c r="A446" s="38"/>
      <c r="D446" s="38"/>
      <c r="F446" s="38"/>
      <c r="I446" s="38"/>
      <c r="J446" s="38"/>
    </row>
    <row r="447" spans="1:10" x14ac:dyDescent="0.25">
      <c r="A447" s="38"/>
      <c r="D447" s="38"/>
      <c r="F447" s="38"/>
      <c r="I447" s="38"/>
      <c r="J447" s="38"/>
    </row>
    <row r="448" spans="1:10" x14ac:dyDescent="0.25">
      <c r="A448" s="38"/>
      <c r="D448" s="38"/>
      <c r="F448" s="38"/>
      <c r="I448" s="38"/>
      <c r="J448" s="38"/>
    </row>
    <row r="449" spans="1:10" x14ac:dyDescent="0.25">
      <c r="A449" s="38"/>
      <c r="D449" s="38"/>
      <c r="F449" s="38"/>
      <c r="I449" s="38"/>
      <c r="J449" s="38"/>
    </row>
    <row r="450" spans="1:10" x14ac:dyDescent="0.25">
      <c r="A450" s="38"/>
      <c r="D450" s="38"/>
      <c r="F450" s="38"/>
      <c r="I450" s="38"/>
      <c r="J450" s="38"/>
    </row>
    <row r="451" spans="1:10" x14ac:dyDescent="0.25">
      <c r="A451" s="38"/>
      <c r="D451" s="38"/>
      <c r="F451" s="38"/>
      <c r="I451" s="38"/>
      <c r="J451" s="38"/>
    </row>
    <row r="452" spans="1:10" x14ac:dyDescent="0.25">
      <c r="A452" s="38"/>
      <c r="D452" s="38"/>
      <c r="F452" s="38"/>
      <c r="I452" s="38"/>
      <c r="J452" s="38"/>
    </row>
    <row r="453" spans="1:10" x14ac:dyDescent="0.25">
      <c r="A453" s="38"/>
      <c r="D453" s="38"/>
      <c r="F453" s="38"/>
      <c r="I453" s="38"/>
      <c r="J453" s="38"/>
    </row>
    <row r="454" spans="1:10" x14ac:dyDescent="0.25">
      <c r="A454" s="38"/>
      <c r="D454" s="38"/>
      <c r="F454" s="38"/>
      <c r="I454" s="38"/>
      <c r="J454" s="38"/>
    </row>
    <row r="455" spans="1:10" x14ac:dyDescent="0.25">
      <c r="A455" s="38"/>
      <c r="D455" s="38"/>
      <c r="F455" s="38"/>
      <c r="I455" s="38"/>
      <c r="J455" s="38"/>
    </row>
    <row r="456" spans="1:10" x14ac:dyDescent="0.25">
      <c r="A456" s="38"/>
      <c r="D456" s="38"/>
      <c r="F456" s="38"/>
      <c r="I456" s="38"/>
      <c r="J456" s="38"/>
    </row>
    <row r="457" spans="1:10" x14ac:dyDescent="0.25">
      <c r="A457" s="38"/>
      <c r="D457" s="38"/>
      <c r="F457" s="38"/>
      <c r="I457" s="38"/>
      <c r="J457" s="38"/>
    </row>
    <row r="458" spans="1:10" x14ac:dyDescent="0.25">
      <c r="A458" s="38"/>
      <c r="D458" s="38"/>
      <c r="F458" s="38"/>
      <c r="I458" s="38"/>
      <c r="J458" s="38"/>
    </row>
    <row r="459" spans="1:10" x14ac:dyDescent="0.25">
      <c r="A459" s="38"/>
      <c r="D459" s="38"/>
      <c r="F459" s="38"/>
      <c r="I459" s="38"/>
      <c r="J459" s="38"/>
    </row>
    <row r="460" spans="1:10" x14ac:dyDescent="0.25">
      <c r="A460" s="38"/>
      <c r="D460" s="38"/>
      <c r="F460" s="38"/>
      <c r="I460" s="38"/>
      <c r="J460" s="38"/>
    </row>
    <row r="461" spans="1:10" x14ac:dyDescent="0.25">
      <c r="A461" s="38"/>
      <c r="D461" s="38"/>
      <c r="F461" s="38"/>
      <c r="I461" s="38"/>
      <c r="J461" s="38"/>
    </row>
    <row r="462" spans="1:10" x14ac:dyDescent="0.25">
      <c r="A462" s="38"/>
      <c r="D462" s="38"/>
      <c r="F462" s="38"/>
      <c r="I462" s="38"/>
      <c r="J462" s="38"/>
    </row>
    <row r="463" spans="1:10" x14ac:dyDescent="0.25">
      <c r="A463" s="38"/>
      <c r="D463" s="38"/>
      <c r="F463" s="38"/>
      <c r="I463" s="38"/>
      <c r="J463" s="38"/>
    </row>
    <row r="464" spans="1:10" x14ac:dyDescent="0.25">
      <c r="A464" s="38"/>
      <c r="D464" s="38"/>
      <c r="F464" s="38"/>
      <c r="I464" s="38"/>
      <c r="J464" s="38"/>
    </row>
    <row r="465" spans="1:10" x14ac:dyDescent="0.25">
      <c r="A465" s="38"/>
      <c r="D465" s="38"/>
      <c r="F465" s="38"/>
      <c r="I465" s="38"/>
      <c r="J465" s="38"/>
    </row>
    <row r="466" spans="1:10" x14ac:dyDescent="0.25">
      <c r="A466" s="38"/>
      <c r="D466" s="38"/>
      <c r="F466" s="38"/>
      <c r="I466" s="38"/>
      <c r="J466" s="38"/>
    </row>
    <row r="467" spans="1:10" x14ac:dyDescent="0.25">
      <c r="A467" s="38"/>
      <c r="D467" s="38"/>
      <c r="F467" s="38"/>
      <c r="I467" s="38"/>
      <c r="J467" s="38"/>
    </row>
    <row r="468" spans="1:10" x14ac:dyDescent="0.25">
      <c r="A468" s="38"/>
      <c r="D468" s="38"/>
      <c r="F468" s="38"/>
      <c r="I468" s="38"/>
      <c r="J468" s="38"/>
    </row>
    <row r="469" spans="1:10" x14ac:dyDescent="0.25">
      <c r="A469" s="38"/>
      <c r="D469" s="38"/>
      <c r="F469" s="38"/>
      <c r="I469" s="38"/>
      <c r="J469" s="38"/>
    </row>
    <row r="470" spans="1:10" x14ac:dyDescent="0.25">
      <c r="A470" s="38"/>
      <c r="D470" s="38"/>
      <c r="F470" s="38"/>
      <c r="I470" s="38"/>
      <c r="J470" s="38"/>
    </row>
    <row r="471" spans="1:10" x14ac:dyDescent="0.25">
      <c r="A471" s="38"/>
      <c r="D471" s="38"/>
      <c r="F471" s="38"/>
      <c r="I471" s="38"/>
      <c r="J471" s="38"/>
    </row>
    <row r="472" spans="1:10" x14ac:dyDescent="0.25">
      <c r="A472" s="38"/>
      <c r="D472" s="38"/>
      <c r="F472" s="38"/>
      <c r="I472" s="38"/>
      <c r="J472" s="38"/>
    </row>
    <row r="473" spans="1:10" x14ac:dyDescent="0.25">
      <c r="A473" s="38"/>
      <c r="D473" s="38"/>
      <c r="F473" s="38"/>
      <c r="I473" s="38"/>
      <c r="J473" s="38"/>
    </row>
    <row r="474" spans="1:10" x14ac:dyDescent="0.25">
      <c r="A474" s="38"/>
      <c r="D474" s="38"/>
      <c r="F474" s="38"/>
      <c r="I474" s="38"/>
      <c r="J474" s="38"/>
    </row>
    <row r="475" spans="1:10" x14ac:dyDescent="0.25">
      <c r="A475" s="38"/>
      <c r="D475" s="38"/>
      <c r="F475" s="38"/>
      <c r="I475" s="38"/>
      <c r="J475" s="38"/>
    </row>
    <row r="476" spans="1:10" x14ac:dyDescent="0.25">
      <c r="A476" s="38"/>
      <c r="D476" s="38"/>
      <c r="F476" s="38"/>
      <c r="I476" s="38"/>
      <c r="J476" s="38"/>
    </row>
    <row r="477" spans="1:10" x14ac:dyDescent="0.25">
      <c r="A477" s="38"/>
      <c r="D477" s="38"/>
      <c r="F477" s="38"/>
      <c r="I477" s="38"/>
      <c r="J477" s="38"/>
    </row>
    <row r="478" spans="1:10" x14ac:dyDescent="0.25">
      <c r="A478" s="38"/>
      <c r="D478" s="38"/>
      <c r="F478" s="38"/>
      <c r="I478" s="38"/>
      <c r="J478" s="38"/>
    </row>
    <row r="479" spans="1:10" x14ac:dyDescent="0.25">
      <c r="A479" s="38"/>
      <c r="D479" s="38"/>
      <c r="F479" s="38"/>
      <c r="I479" s="38"/>
      <c r="J479" s="38"/>
    </row>
    <row r="480" spans="1:10" x14ac:dyDescent="0.25">
      <c r="A480" s="38"/>
      <c r="D480" s="38"/>
      <c r="F480" s="38"/>
      <c r="I480" s="38"/>
      <c r="J480" s="38"/>
    </row>
    <row r="481" spans="1:10" x14ac:dyDescent="0.25">
      <c r="A481" s="38"/>
      <c r="D481" s="38"/>
      <c r="F481" s="38"/>
      <c r="I481" s="38"/>
      <c r="J481" s="38"/>
    </row>
    <row r="482" spans="1:10" x14ac:dyDescent="0.25">
      <c r="A482" s="38"/>
      <c r="D482" s="38"/>
      <c r="F482" s="38"/>
      <c r="I482" s="38"/>
      <c r="J482" s="38"/>
    </row>
    <row r="483" spans="1:10" x14ac:dyDescent="0.25">
      <c r="A483" s="38"/>
      <c r="D483" s="38"/>
      <c r="F483" s="38"/>
      <c r="I483" s="38"/>
      <c r="J483" s="38"/>
    </row>
    <row r="484" spans="1:10" x14ac:dyDescent="0.25">
      <c r="A484" s="38"/>
      <c r="D484" s="38"/>
      <c r="F484" s="38"/>
      <c r="I484" s="38"/>
      <c r="J484" s="38"/>
    </row>
    <row r="485" spans="1:10" x14ac:dyDescent="0.25">
      <c r="A485" s="38"/>
      <c r="D485" s="38"/>
      <c r="F485" s="38"/>
      <c r="I485" s="38"/>
      <c r="J485" s="38"/>
    </row>
    <row r="486" spans="1:10" x14ac:dyDescent="0.25">
      <c r="A486" s="38"/>
      <c r="D486" s="38"/>
      <c r="F486" s="38"/>
      <c r="I486" s="38"/>
      <c r="J486" s="38"/>
    </row>
    <row r="487" spans="1:10" x14ac:dyDescent="0.25">
      <c r="A487" s="38"/>
      <c r="D487" s="38"/>
      <c r="F487" s="38"/>
      <c r="I487" s="38"/>
      <c r="J487" s="38"/>
    </row>
    <row r="488" spans="1:10" x14ac:dyDescent="0.25">
      <c r="A488" s="38"/>
      <c r="D488" s="38"/>
      <c r="F488" s="38"/>
      <c r="I488" s="38"/>
      <c r="J488" s="38"/>
    </row>
    <row r="489" spans="1:10" x14ac:dyDescent="0.25">
      <c r="A489" s="38"/>
      <c r="D489" s="38"/>
      <c r="F489" s="38"/>
      <c r="I489" s="38"/>
      <c r="J489" s="38"/>
    </row>
    <row r="490" spans="1:10" x14ac:dyDescent="0.25">
      <c r="A490" s="38"/>
      <c r="D490" s="38"/>
      <c r="F490" s="38"/>
      <c r="I490" s="38"/>
      <c r="J490" s="38"/>
    </row>
    <row r="491" spans="1:10" x14ac:dyDescent="0.25">
      <c r="A491" s="38"/>
      <c r="D491" s="38"/>
      <c r="F491" s="38"/>
      <c r="I491" s="38"/>
      <c r="J491" s="38"/>
    </row>
    <row r="492" spans="1:10" x14ac:dyDescent="0.25">
      <c r="A492" s="38"/>
      <c r="D492" s="38"/>
      <c r="F492" s="38"/>
      <c r="I492" s="38"/>
      <c r="J492" s="38"/>
    </row>
    <row r="493" spans="1:10" x14ac:dyDescent="0.25">
      <c r="A493" s="38"/>
      <c r="D493" s="38"/>
      <c r="F493" s="38"/>
      <c r="I493" s="38"/>
      <c r="J493" s="38"/>
    </row>
    <row r="494" spans="1:10" x14ac:dyDescent="0.25">
      <c r="A494" s="38"/>
      <c r="D494" s="38"/>
      <c r="F494" s="38"/>
      <c r="I494" s="38"/>
      <c r="J494" s="38"/>
    </row>
    <row r="495" spans="1:10" x14ac:dyDescent="0.25">
      <c r="A495" s="38"/>
      <c r="D495" s="38"/>
      <c r="F495" s="38"/>
      <c r="I495" s="38"/>
      <c r="J495" s="38"/>
    </row>
    <row r="496" spans="1:10" x14ac:dyDescent="0.25">
      <c r="A496" s="38"/>
      <c r="D496" s="38"/>
      <c r="F496" s="38"/>
      <c r="I496" s="38"/>
      <c r="J496" s="38"/>
    </row>
    <row r="497" spans="1:10" x14ac:dyDescent="0.25">
      <c r="A497" s="38"/>
      <c r="D497" s="38"/>
      <c r="F497" s="38"/>
      <c r="I497" s="38"/>
      <c r="J497" s="38"/>
    </row>
    <row r="498" spans="1:10" x14ac:dyDescent="0.25">
      <c r="A498" s="38"/>
      <c r="D498" s="38"/>
      <c r="F498" s="38"/>
      <c r="I498" s="38"/>
      <c r="J498" s="38"/>
    </row>
    <row r="499" spans="1:10" x14ac:dyDescent="0.25">
      <c r="A499" s="38"/>
      <c r="D499" s="38"/>
      <c r="F499" s="38"/>
      <c r="I499" s="38"/>
      <c r="J499" s="38"/>
    </row>
    <row r="500" spans="1:10" x14ac:dyDescent="0.25">
      <c r="A500" s="38"/>
      <c r="D500" s="38"/>
      <c r="F500" s="38"/>
      <c r="I500" s="38"/>
      <c r="J500" s="38"/>
    </row>
    <row r="501" spans="1:10" x14ac:dyDescent="0.25">
      <c r="A501" s="38"/>
      <c r="D501" s="38"/>
      <c r="F501" s="38"/>
      <c r="I501" s="38"/>
      <c r="J501" s="38"/>
    </row>
    <row r="502" spans="1:10" x14ac:dyDescent="0.25">
      <c r="A502" s="38"/>
      <c r="D502" s="38"/>
      <c r="F502" s="38"/>
      <c r="I502" s="38"/>
      <c r="J502" s="38"/>
    </row>
    <row r="503" spans="1:10" x14ac:dyDescent="0.25">
      <c r="A503" s="38"/>
      <c r="D503" s="38"/>
      <c r="F503" s="38"/>
      <c r="I503" s="38"/>
      <c r="J503" s="38"/>
    </row>
    <row r="504" spans="1:10" x14ac:dyDescent="0.25">
      <c r="A504" s="38"/>
      <c r="D504" s="38"/>
      <c r="F504" s="38"/>
      <c r="I504" s="38"/>
      <c r="J504" s="38"/>
    </row>
    <row r="505" spans="1:10" x14ac:dyDescent="0.25">
      <c r="A505" s="38"/>
      <c r="D505" s="38"/>
      <c r="F505" s="38"/>
      <c r="I505" s="38"/>
      <c r="J505" s="38"/>
    </row>
    <row r="506" spans="1:10" x14ac:dyDescent="0.25">
      <c r="A506" s="38"/>
      <c r="D506" s="38"/>
      <c r="F506" s="38"/>
      <c r="I506" s="38"/>
      <c r="J506" s="38"/>
    </row>
    <row r="507" spans="1:10" x14ac:dyDescent="0.25">
      <c r="A507" s="38"/>
      <c r="D507" s="38"/>
      <c r="F507" s="38"/>
      <c r="I507" s="38"/>
      <c r="J507" s="38"/>
    </row>
    <row r="508" spans="1:10" x14ac:dyDescent="0.25">
      <c r="A508" s="38"/>
      <c r="D508" s="38"/>
      <c r="F508" s="38"/>
      <c r="I508" s="38"/>
      <c r="J508" s="38"/>
    </row>
    <row r="509" spans="1:10" x14ac:dyDescent="0.25">
      <c r="A509" s="38"/>
      <c r="D509" s="38"/>
      <c r="F509" s="38"/>
      <c r="I509" s="38"/>
      <c r="J509" s="38"/>
    </row>
    <row r="510" spans="1:10" x14ac:dyDescent="0.25">
      <c r="A510" s="38"/>
      <c r="D510" s="38"/>
      <c r="F510" s="38"/>
      <c r="I510" s="38"/>
      <c r="J510" s="38"/>
    </row>
    <row r="511" spans="1:10" x14ac:dyDescent="0.25">
      <c r="A511" s="38"/>
      <c r="D511" s="38"/>
      <c r="F511" s="38"/>
      <c r="I511" s="38"/>
      <c r="J511" s="38"/>
    </row>
    <row r="512" spans="1:10" x14ac:dyDescent="0.25">
      <c r="A512" s="38"/>
      <c r="D512" s="38"/>
      <c r="F512" s="38"/>
      <c r="I512" s="38"/>
      <c r="J512" s="38"/>
    </row>
    <row r="513" spans="1:10" x14ac:dyDescent="0.25">
      <c r="A513" s="38"/>
      <c r="D513" s="38"/>
      <c r="F513" s="38"/>
      <c r="I513" s="38"/>
      <c r="J513" s="38"/>
    </row>
    <row r="514" spans="1:10" x14ac:dyDescent="0.25">
      <c r="A514" s="38"/>
      <c r="D514" s="38"/>
      <c r="F514" s="38"/>
      <c r="I514" s="38"/>
      <c r="J514" s="38"/>
    </row>
    <row r="515" spans="1:10" x14ac:dyDescent="0.25">
      <c r="A515" s="38"/>
      <c r="D515" s="38"/>
      <c r="F515" s="38"/>
      <c r="I515" s="38"/>
      <c r="J515" s="38"/>
    </row>
    <row r="516" spans="1:10" x14ac:dyDescent="0.25">
      <c r="A516" s="38"/>
      <c r="D516" s="38"/>
      <c r="F516" s="38"/>
      <c r="I516" s="38"/>
      <c r="J516" s="38"/>
    </row>
    <row r="517" spans="1:10" x14ac:dyDescent="0.25">
      <c r="A517" s="38"/>
      <c r="D517" s="38"/>
      <c r="F517" s="38"/>
      <c r="I517" s="38"/>
      <c r="J517" s="38"/>
    </row>
    <row r="518" spans="1:10" x14ac:dyDescent="0.25">
      <c r="A518" s="38"/>
      <c r="D518" s="38"/>
      <c r="F518" s="38"/>
      <c r="I518" s="38"/>
      <c r="J518" s="38"/>
    </row>
    <row r="519" spans="1:10" x14ac:dyDescent="0.25">
      <c r="A519" s="38"/>
      <c r="D519" s="38"/>
      <c r="F519" s="38"/>
      <c r="I519" s="38"/>
      <c r="J519" s="38"/>
    </row>
    <row r="520" spans="1:10" x14ac:dyDescent="0.25">
      <c r="A520" s="38"/>
      <c r="D520" s="38"/>
      <c r="F520" s="38"/>
      <c r="I520" s="38"/>
      <c r="J520" s="38"/>
    </row>
    <row r="521" spans="1:10" x14ac:dyDescent="0.25">
      <c r="A521" s="38"/>
      <c r="D521" s="38"/>
      <c r="F521" s="38"/>
      <c r="I521" s="38"/>
      <c r="J521" s="38"/>
    </row>
    <row r="522" spans="1:10" x14ac:dyDescent="0.25">
      <c r="A522" s="38"/>
      <c r="D522" s="38"/>
      <c r="F522" s="38"/>
      <c r="I522" s="38"/>
      <c r="J522" s="38"/>
    </row>
    <row r="523" spans="1:10" x14ac:dyDescent="0.25">
      <c r="A523" s="38"/>
      <c r="D523" s="38"/>
      <c r="F523" s="38"/>
      <c r="I523" s="38"/>
      <c r="J523" s="38"/>
    </row>
    <row r="524" spans="1:10" x14ac:dyDescent="0.25">
      <c r="A524" s="38"/>
      <c r="D524" s="38"/>
      <c r="F524" s="38"/>
      <c r="I524" s="38"/>
      <c r="J524" s="38"/>
    </row>
    <row r="525" spans="1:10" x14ac:dyDescent="0.25">
      <c r="A525" s="38"/>
      <c r="D525" s="38"/>
      <c r="F525" s="38"/>
      <c r="I525" s="38"/>
      <c r="J525" s="38"/>
    </row>
    <row r="526" spans="1:10" x14ac:dyDescent="0.25">
      <c r="A526" s="38"/>
      <c r="D526" s="38"/>
      <c r="F526" s="38"/>
      <c r="I526" s="38"/>
      <c r="J526" s="38"/>
    </row>
    <row r="527" spans="1:10" x14ac:dyDescent="0.25">
      <c r="A527" s="38"/>
      <c r="D527" s="38"/>
      <c r="F527" s="38"/>
      <c r="I527" s="38"/>
      <c r="J527" s="38"/>
    </row>
    <row r="528" spans="1:10" x14ac:dyDescent="0.25">
      <c r="A528" s="38"/>
      <c r="D528" s="38"/>
      <c r="F528" s="38"/>
      <c r="I528" s="38"/>
      <c r="J528" s="38"/>
    </row>
    <row r="529" spans="1:10" x14ac:dyDescent="0.25">
      <c r="A529" s="38"/>
      <c r="D529" s="38"/>
      <c r="F529" s="38"/>
      <c r="I529" s="38"/>
      <c r="J529" s="38"/>
    </row>
    <row r="530" spans="1:10" x14ac:dyDescent="0.25">
      <c r="A530" s="38"/>
      <c r="D530" s="38"/>
      <c r="F530" s="38"/>
      <c r="I530" s="38"/>
      <c r="J530" s="38"/>
    </row>
    <row r="531" spans="1:10" x14ac:dyDescent="0.25">
      <c r="A531" s="38"/>
      <c r="D531" s="38"/>
      <c r="F531" s="38"/>
      <c r="I531" s="38"/>
      <c r="J531" s="38"/>
    </row>
    <row r="532" spans="1:10" x14ac:dyDescent="0.25">
      <c r="A532" s="38"/>
      <c r="D532" s="38"/>
      <c r="F532" s="38"/>
      <c r="I532" s="38"/>
      <c r="J532" s="38"/>
    </row>
    <row r="533" spans="1:10" x14ac:dyDescent="0.25">
      <c r="A533" s="38"/>
      <c r="D533" s="38"/>
      <c r="F533" s="38"/>
      <c r="I533" s="38"/>
      <c r="J533" s="38"/>
    </row>
    <row r="534" spans="1:10" x14ac:dyDescent="0.25">
      <c r="A534" s="38"/>
      <c r="D534" s="38"/>
      <c r="F534" s="38"/>
      <c r="I534" s="38"/>
      <c r="J534" s="38"/>
    </row>
    <row r="535" spans="1:10" x14ac:dyDescent="0.25">
      <c r="A535" s="38"/>
      <c r="D535" s="38"/>
      <c r="F535" s="38"/>
      <c r="I535" s="38"/>
      <c r="J535" s="38"/>
    </row>
    <row r="536" spans="1:10" x14ac:dyDescent="0.25">
      <c r="A536" s="38"/>
      <c r="D536" s="38"/>
      <c r="F536" s="38"/>
      <c r="I536" s="38"/>
      <c r="J536" s="38"/>
    </row>
    <row r="537" spans="1:10" x14ac:dyDescent="0.25">
      <c r="A537" s="38"/>
      <c r="D537" s="38"/>
      <c r="F537" s="38"/>
      <c r="I537" s="38"/>
      <c r="J537" s="38"/>
    </row>
    <row r="538" spans="1:10" x14ac:dyDescent="0.25">
      <c r="A538" s="38"/>
      <c r="D538" s="38"/>
      <c r="F538" s="38"/>
      <c r="I538" s="38"/>
      <c r="J538" s="38"/>
    </row>
    <row r="539" spans="1:10" x14ac:dyDescent="0.25">
      <c r="A539" s="38"/>
      <c r="D539" s="38"/>
      <c r="F539" s="38"/>
      <c r="I539" s="38"/>
      <c r="J539" s="38"/>
    </row>
    <row r="540" spans="1:10" x14ac:dyDescent="0.25">
      <c r="A540" s="38"/>
      <c r="D540" s="38"/>
      <c r="F540" s="38"/>
      <c r="I540" s="38"/>
      <c r="J540" s="38"/>
    </row>
    <row r="541" spans="1:10" x14ac:dyDescent="0.25">
      <c r="A541" s="38"/>
      <c r="D541" s="38"/>
      <c r="F541" s="38"/>
      <c r="I541" s="38"/>
      <c r="J541" s="38"/>
    </row>
    <row r="542" spans="1:10" x14ac:dyDescent="0.25">
      <c r="A542" s="38"/>
      <c r="D542" s="38"/>
      <c r="F542" s="38"/>
      <c r="I542" s="38"/>
      <c r="J542" s="38"/>
    </row>
    <row r="543" spans="1:10" x14ac:dyDescent="0.25">
      <c r="A543" s="38"/>
      <c r="D543" s="38"/>
      <c r="F543" s="38"/>
      <c r="I543" s="38"/>
      <c r="J543" s="38"/>
    </row>
    <row r="544" spans="1:10" x14ac:dyDescent="0.25">
      <c r="A544" s="38"/>
      <c r="D544" s="38"/>
      <c r="F544" s="38"/>
      <c r="I544" s="38"/>
      <c r="J544" s="38"/>
    </row>
    <row r="545" spans="1:10" x14ac:dyDescent="0.25">
      <c r="A545" s="38"/>
      <c r="D545" s="38"/>
      <c r="F545" s="38"/>
      <c r="I545" s="38"/>
      <c r="J545" s="38"/>
    </row>
    <row r="546" spans="1:10" x14ac:dyDescent="0.25">
      <c r="A546" s="38"/>
      <c r="D546" s="38"/>
      <c r="F546" s="38"/>
      <c r="I546" s="38"/>
      <c r="J546" s="38"/>
    </row>
    <row r="547" spans="1:10" x14ac:dyDescent="0.25">
      <c r="A547" s="38"/>
      <c r="D547" s="38"/>
      <c r="F547" s="38"/>
      <c r="I547" s="38"/>
      <c r="J547" s="38"/>
    </row>
    <row r="548" spans="1:10" x14ac:dyDescent="0.25">
      <c r="A548" s="38"/>
      <c r="D548" s="38"/>
      <c r="F548" s="38"/>
      <c r="I548" s="38"/>
      <c r="J548" s="38"/>
    </row>
    <row r="549" spans="1:10" x14ac:dyDescent="0.25">
      <c r="A549" s="38"/>
      <c r="D549" s="38"/>
      <c r="F549" s="38"/>
      <c r="I549" s="38"/>
      <c r="J549" s="38"/>
    </row>
    <row r="550" spans="1:10" x14ac:dyDescent="0.25">
      <c r="A550" s="38"/>
      <c r="D550" s="38"/>
      <c r="F550" s="38"/>
      <c r="I550" s="38"/>
      <c r="J550" s="38"/>
    </row>
    <row r="551" spans="1:10" x14ac:dyDescent="0.25">
      <c r="A551" s="38"/>
      <c r="D551" s="38"/>
      <c r="F551" s="38"/>
      <c r="I551" s="38"/>
      <c r="J551" s="38"/>
    </row>
    <row r="552" spans="1:10" x14ac:dyDescent="0.25">
      <c r="A552" s="38"/>
      <c r="D552" s="38"/>
      <c r="F552" s="38"/>
      <c r="I552" s="38"/>
      <c r="J552" s="38"/>
    </row>
    <row r="553" spans="1:10" x14ac:dyDescent="0.25">
      <c r="A553" s="38"/>
      <c r="D553" s="38"/>
      <c r="F553" s="38"/>
      <c r="I553" s="38"/>
      <c r="J553" s="38"/>
    </row>
    <row r="554" spans="1:10" x14ac:dyDescent="0.25">
      <c r="A554" s="38"/>
      <c r="D554" s="38"/>
      <c r="F554" s="38"/>
      <c r="I554" s="38"/>
      <c r="J554" s="38"/>
    </row>
    <row r="555" spans="1:10" x14ac:dyDescent="0.25">
      <c r="A555" s="38"/>
      <c r="D555" s="38"/>
      <c r="F555" s="38"/>
      <c r="I555" s="38"/>
      <c r="J555" s="38"/>
    </row>
    <row r="556" spans="1:10" x14ac:dyDescent="0.25">
      <c r="A556" s="38"/>
      <c r="D556" s="38"/>
      <c r="F556" s="38"/>
      <c r="I556" s="38"/>
      <c r="J556" s="38"/>
    </row>
    <row r="557" spans="1:10" x14ac:dyDescent="0.25">
      <c r="A557" s="38"/>
      <c r="D557" s="38"/>
      <c r="F557" s="38"/>
      <c r="I557" s="38"/>
      <c r="J557" s="38"/>
    </row>
    <row r="558" spans="1:10" x14ac:dyDescent="0.25">
      <c r="A558" s="38"/>
      <c r="D558" s="38"/>
      <c r="F558" s="38"/>
      <c r="I558" s="38"/>
      <c r="J558" s="38"/>
    </row>
    <row r="559" spans="1:10" x14ac:dyDescent="0.25">
      <c r="A559" s="38"/>
      <c r="D559" s="38"/>
      <c r="F559" s="38"/>
      <c r="I559" s="38"/>
      <c r="J559" s="38"/>
    </row>
    <row r="560" spans="1:10" x14ac:dyDescent="0.25">
      <c r="A560" s="38"/>
      <c r="D560" s="38"/>
      <c r="F560" s="38"/>
      <c r="I560" s="38"/>
      <c r="J560" s="38"/>
    </row>
    <row r="561" spans="1:10" x14ac:dyDescent="0.25">
      <c r="A561" s="38"/>
      <c r="D561" s="38"/>
      <c r="F561" s="38"/>
      <c r="I561" s="38"/>
      <c r="J561" s="38"/>
    </row>
    <row r="562" spans="1:10" x14ac:dyDescent="0.25">
      <c r="A562" s="38"/>
      <c r="D562" s="38"/>
      <c r="F562" s="38"/>
      <c r="I562" s="38"/>
      <c r="J562" s="38"/>
    </row>
    <row r="563" spans="1:10" x14ac:dyDescent="0.25">
      <c r="A563" s="38"/>
      <c r="D563" s="38"/>
      <c r="F563" s="38"/>
      <c r="I563" s="38"/>
      <c r="J563" s="38"/>
    </row>
    <row r="564" spans="1:10" x14ac:dyDescent="0.25">
      <c r="A564" s="38"/>
      <c r="D564" s="38"/>
      <c r="F564" s="38"/>
      <c r="I564" s="38"/>
      <c r="J564" s="38"/>
    </row>
    <row r="565" spans="1:10" x14ac:dyDescent="0.25">
      <c r="A565" s="38"/>
      <c r="D565" s="38"/>
      <c r="F565" s="38"/>
      <c r="I565" s="38"/>
      <c r="J565" s="38"/>
    </row>
    <row r="566" spans="1:10" x14ac:dyDescent="0.25">
      <c r="A566" s="38"/>
      <c r="D566" s="38"/>
      <c r="F566" s="38"/>
      <c r="I566" s="38"/>
      <c r="J566" s="38"/>
    </row>
    <row r="567" spans="1:10" x14ac:dyDescent="0.25">
      <c r="A567" s="38"/>
      <c r="D567" s="38"/>
      <c r="F567" s="38"/>
      <c r="I567" s="38"/>
      <c r="J567" s="38"/>
    </row>
    <row r="568" spans="1:10" x14ac:dyDescent="0.25">
      <c r="A568" s="38"/>
      <c r="D568" s="38"/>
      <c r="F568" s="38"/>
      <c r="I568" s="38"/>
      <c r="J568" s="38"/>
    </row>
    <row r="569" spans="1:10" x14ac:dyDescent="0.25">
      <c r="A569" s="38"/>
      <c r="D569" s="38"/>
      <c r="F569" s="38"/>
      <c r="I569" s="38"/>
      <c r="J569" s="38"/>
    </row>
    <row r="570" spans="1:10" x14ac:dyDescent="0.25">
      <c r="A570" s="38"/>
      <c r="D570" s="38"/>
      <c r="F570" s="38"/>
      <c r="I570" s="38"/>
      <c r="J570" s="38"/>
    </row>
    <row r="571" spans="1:10" x14ac:dyDescent="0.25">
      <c r="A571" s="38"/>
      <c r="D571" s="38"/>
      <c r="F571" s="38"/>
      <c r="I571" s="38"/>
      <c r="J571" s="38"/>
    </row>
    <row r="572" spans="1:10" x14ac:dyDescent="0.25">
      <c r="A572" s="38"/>
      <c r="D572" s="38"/>
      <c r="F572" s="38"/>
      <c r="I572" s="38"/>
      <c r="J572" s="38"/>
    </row>
    <row r="573" spans="1:10" x14ac:dyDescent="0.25">
      <c r="A573" s="38"/>
      <c r="D573" s="38"/>
      <c r="F573" s="38"/>
      <c r="I573" s="38"/>
      <c r="J573" s="38"/>
    </row>
    <row r="574" spans="1:10" x14ac:dyDescent="0.25">
      <c r="A574" s="38"/>
      <c r="D574" s="38"/>
      <c r="F574" s="38"/>
      <c r="I574" s="38"/>
      <c r="J574" s="38"/>
    </row>
    <row r="575" spans="1:10" x14ac:dyDescent="0.25">
      <c r="A575" s="38"/>
      <c r="D575" s="38"/>
      <c r="F575" s="38"/>
      <c r="I575" s="38"/>
      <c r="J575" s="38"/>
    </row>
    <row r="576" spans="1:10" x14ac:dyDescent="0.25">
      <c r="A576" s="38"/>
      <c r="D576" s="38"/>
      <c r="F576" s="38"/>
      <c r="I576" s="38"/>
      <c r="J576" s="38"/>
    </row>
    <row r="577" spans="1:10" x14ac:dyDescent="0.25">
      <c r="A577" s="38"/>
      <c r="D577" s="38"/>
      <c r="F577" s="38"/>
      <c r="I577" s="38"/>
      <c r="J577" s="38"/>
    </row>
    <row r="578" spans="1:10" x14ac:dyDescent="0.25">
      <c r="A578" s="38"/>
      <c r="D578" s="38"/>
      <c r="F578" s="38"/>
      <c r="I578" s="38"/>
      <c r="J578" s="38"/>
    </row>
    <row r="579" spans="1:10" x14ac:dyDescent="0.25">
      <c r="A579" s="38"/>
      <c r="D579" s="38"/>
      <c r="F579" s="38"/>
      <c r="I579" s="38"/>
      <c r="J579" s="38"/>
    </row>
    <row r="580" spans="1:10" x14ac:dyDescent="0.25">
      <c r="A580" s="38"/>
      <c r="D580" s="38"/>
      <c r="F580" s="38"/>
      <c r="I580" s="38"/>
      <c r="J580" s="38"/>
    </row>
    <row r="581" spans="1:10" x14ac:dyDescent="0.25">
      <c r="A581" s="38"/>
      <c r="D581" s="38"/>
      <c r="F581" s="38"/>
      <c r="I581" s="38"/>
      <c r="J581" s="38"/>
    </row>
    <row r="582" spans="1:10" x14ac:dyDescent="0.25">
      <c r="A582" s="38"/>
      <c r="D582" s="38"/>
      <c r="F582" s="38"/>
      <c r="I582" s="38"/>
      <c r="J582" s="38"/>
    </row>
    <row r="583" spans="1:10" x14ac:dyDescent="0.25">
      <c r="A583" s="38"/>
      <c r="D583" s="38"/>
      <c r="F583" s="38"/>
      <c r="I583" s="38"/>
      <c r="J583" s="38"/>
    </row>
    <row r="584" spans="1:10" x14ac:dyDescent="0.25">
      <c r="A584" s="38"/>
      <c r="D584" s="38"/>
      <c r="F584" s="38"/>
      <c r="I584" s="38"/>
      <c r="J584" s="38"/>
    </row>
    <row r="585" spans="1:10" x14ac:dyDescent="0.25">
      <c r="A585" s="38"/>
      <c r="D585" s="38"/>
      <c r="F585" s="38"/>
      <c r="I585" s="38"/>
      <c r="J585" s="38"/>
    </row>
    <row r="586" spans="1:10" x14ac:dyDescent="0.25">
      <c r="A586" s="38"/>
      <c r="D586" s="38"/>
      <c r="F586" s="38"/>
      <c r="I586" s="38"/>
      <c r="J586" s="38"/>
    </row>
    <row r="587" spans="1:10" x14ac:dyDescent="0.25">
      <c r="A587" s="38"/>
      <c r="D587" s="38"/>
      <c r="F587" s="38"/>
      <c r="I587" s="38"/>
      <c r="J587" s="38"/>
    </row>
    <row r="588" spans="1:10" x14ac:dyDescent="0.25">
      <c r="A588" s="38"/>
      <c r="D588" s="38"/>
      <c r="F588" s="38"/>
      <c r="I588" s="38"/>
      <c r="J588" s="38"/>
    </row>
    <row r="589" spans="1:10" x14ac:dyDescent="0.25">
      <c r="A589" s="38"/>
      <c r="D589" s="38"/>
      <c r="F589" s="38"/>
      <c r="I589" s="38"/>
      <c r="J589" s="38"/>
    </row>
    <row r="590" spans="1:10" x14ac:dyDescent="0.25">
      <c r="A590" s="38"/>
      <c r="D590" s="38"/>
      <c r="F590" s="38"/>
      <c r="I590" s="38"/>
      <c r="J590" s="38"/>
    </row>
    <row r="591" spans="1:10" x14ac:dyDescent="0.25">
      <c r="A591" s="38"/>
      <c r="D591" s="38"/>
      <c r="F591" s="38"/>
      <c r="I591" s="38"/>
      <c r="J591" s="38"/>
    </row>
    <row r="592" spans="1:10" x14ac:dyDescent="0.25">
      <c r="A592" s="38"/>
      <c r="D592" s="38"/>
      <c r="F592" s="38"/>
      <c r="I592" s="38"/>
      <c r="J592" s="38"/>
    </row>
    <row r="593" spans="1:10" x14ac:dyDescent="0.25">
      <c r="A593" s="38"/>
      <c r="D593" s="38"/>
      <c r="F593" s="38"/>
      <c r="I593" s="38"/>
      <c r="J593" s="38"/>
    </row>
    <row r="594" spans="1:10" x14ac:dyDescent="0.25">
      <c r="A594" s="38"/>
      <c r="D594" s="38"/>
      <c r="F594" s="38"/>
      <c r="I594" s="38"/>
      <c r="J594" s="38"/>
    </row>
    <row r="595" spans="1:10" x14ac:dyDescent="0.25">
      <c r="A595" s="38"/>
      <c r="D595" s="38"/>
      <c r="F595" s="38"/>
      <c r="I595" s="38"/>
      <c r="J595" s="38"/>
    </row>
    <row r="596" spans="1:10" x14ac:dyDescent="0.25">
      <c r="A596" s="38"/>
      <c r="D596" s="38"/>
      <c r="F596" s="38"/>
      <c r="I596" s="38"/>
      <c r="J596" s="38"/>
    </row>
    <row r="597" spans="1:10" x14ac:dyDescent="0.25">
      <c r="A597" s="38"/>
      <c r="D597" s="38"/>
      <c r="F597" s="38"/>
      <c r="I597" s="38"/>
      <c r="J597" s="38"/>
    </row>
    <row r="598" spans="1:10" x14ac:dyDescent="0.25">
      <c r="A598" s="38"/>
      <c r="D598" s="38"/>
      <c r="F598" s="38"/>
      <c r="I598" s="38"/>
      <c r="J598" s="38"/>
    </row>
    <row r="599" spans="1:10" x14ac:dyDescent="0.25">
      <c r="A599" s="38"/>
      <c r="D599" s="38"/>
      <c r="F599" s="38"/>
      <c r="I599" s="38"/>
      <c r="J599" s="38"/>
    </row>
    <row r="600" spans="1:10" x14ac:dyDescent="0.25">
      <c r="A600" s="38"/>
      <c r="D600" s="38"/>
      <c r="F600" s="38"/>
      <c r="I600" s="38"/>
      <c r="J600" s="38"/>
    </row>
    <row r="601" spans="1:10" x14ac:dyDescent="0.25">
      <c r="A601" s="38"/>
      <c r="D601" s="38"/>
      <c r="F601" s="38"/>
      <c r="I601" s="38"/>
      <c r="J601" s="38"/>
    </row>
    <row r="602" spans="1:10" x14ac:dyDescent="0.25">
      <c r="A602" s="38"/>
      <c r="D602" s="38"/>
      <c r="F602" s="38"/>
      <c r="I602" s="38"/>
      <c r="J602" s="38"/>
    </row>
    <row r="603" spans="1:10" x14ac:dyDescent="0.25">
      <c r="A603" s="38"/>
      <c r="D603" s="38"/>
      <c r="F603" s="38"/>
      <c r="I603" s="38"/>
      <c r="J603" s="38"/>
    </row>
    <row r="604" spans="1:10" x14ac:dyDescent="0.25">
      <c r="A604" s="38"/>
      <c r="D604" s="38"/>
      <c r="F604" s="38"/>
      <c r="I604" s="38"/>
      <c r="J604" s="38"/>
    </row>
    <row r="605" spans="1:10" x14ac:dyDescent="0.25">
      <c r="A605" s="38"/>
      <c r="D605" s="38"/>
      <c r="F605" s="38"/>
      <c r="I605" s="38"/>
      <c r="J605" s="38"/>
    </row>
    <row r="606" spans="1:10" x14ac:dyDescent="0.25">
      <c r="A606" s="38"/>
      <c r="D606" s="38"/>
      <c r="F606" s="38"/>
      <c r="I606" s="38"/>
      <c r="J606" s="38"/>
    </row>
    <row r="607" spans="1:10" x14ac:dyDescent="0.25">
      <c r="A607" s="38"/>
      <c r="D607" s="38"/>
      <c r="F607" s="38"/>
      <c r="I607" s="38"/>
      <c r="J607" s="38"/>
    </row>
    <row r="608" spans="1:10" x14ac:dyDescent="0.25">
      <c r="A608" s="38"/>
      <c r="D608" s="38"/>
      <c r="F608" s="38"/>
      <c r="I608" s="38"/>
      <c r="J608" s="38"/>
    </row>
    <row r="609" spans="1:10" x14ac:dyDescent="0.25">
      <c r="A609" s="38"/>
      <c r="D609" s="38"/>
      <c r="F609" s="38"/>
      <c r="I609" s="38"/>
      <c r="J609" s="38"/>
    </row>
    <row r="610" spans="1:10" x14ac:dyDescent="0.25">
      <c r="A610" s="38"/>
      <c r="D610" s="38"/>
      <c r="F610" s="38"/>
      <c r="I610" s="38"/>
      <c r="J610" s="38"/>
    </row>
    <row r="611" spans="1:10" x14ac:dyDescent="0.25">
      <c r="A611" s="38"/>
      <c r="D611" s="38"/>
      <c r="F611" s="38"/>
      <c r="I611" s="38"/>
      <c r="J611" s="38"/>
    </row>
    <row r="612" spans="1:10" x14ac:dyDescent="0.25">
      <c r="A612" s="38"/>
      <c r="D612" s="38"/>
      <c r="F612" s="38"/>
      <c r="I612" s="38"/>
      <c r="J612" s="38"/>
    </row>
    <row r="613" spans="1:10" x14ac:dyDescent="0.25">
      <c r="A613" s="38"/>
      <c r="D613" s="38"/>
      <c r="F613" s="38"/>
      <c r="I613" s="38"/>
      <c r="J613" s="38"/>
    </row>
    <row r="614" spans="1:10" x14ac:dyDescent="0.25">
      <c r="A614" s="38"/>
      <c r="D614" s="38"/>
      <c r="F614" s="38"/>
      <c r="I614" s="38"/>
      <c r="J614" s="38"/>
    </row>
    <row r="615" spans="1:10" x14ac:dyDescent="0.25">
      <c r="A615" s="38"/>
      <c r="D615" s="38"/>
      <c r="F615" s="38"/>
      <c r="I615" s="38"/>
      <c r="J615" s="38"/>
    </row>
    <row r="616" spans="1:10" x14ac:dyDescent="0.25">
      <c r="A616" s="38"/>
      <c r="D616" s="38"/>
      <c r="F616" s="38"/>
      <c r="I616" s="38"/>
      <c r="J616" s="38"/>
    </row>
    <row r="617" spans="1:10" x14ac:dyDescent="0.25">
      <c r="A617" s="38"/>
      <c r="D617" s="38"/>
      <c r="F617" s="38"/>
      <c r="I617" s="38"/>
      <c r="J617" s="38"/>
    </row>
    <row r="618" spans="1:10" x14ac:dyDescent="0.25">
      <c r="A618" s="38"/>
      <c r="D618" s="38"/>
      <c r="F618" s="38"/>
      <c r="I618" s="38"/>
      <c r="J618" s="38"/>
    </row>
    <row r="619" spans="1:10" x14ac:dyDescent="0.25">
      <c r="A619" s="38"/>
      <c r="D619" s="38"/>
      <c r="F619" s="38"/>
      <c r="I619" s="38"/>
      <c r="J619" s="38"/>
    </row>
    <row r="620" spans="1:10" x14ac:dyDescent="0.25">
      <c r="A620" s="38"/>
      <c r="D620" s="38"/>
      <c r="F620" s="38"/>
      <c r="I620" s="38"/>
      <c r="J620" s="38"/>
    </row>
    <row r="621" spans="1:10" x14ac:dyDescent="0.25">
      <c r="A621" s="38"/>
      <c r="D621" s="38"/>
      <c r="F621" s="38"/>
      <c r="I621" s="38"/>
      <c r="J621" s="38"/>
    </row>
    <row r="622" spans="1:10" x14ac:dyDescent="0.25">
      <c r="A622" s="38"/>
      <c r="D622" s="38"/>
      <c r="F622" s="38"/>
      <c r="I622" s="38"/>
      <c r="J622" s="38"/>
    </row>
    <row r="623" spans="1:10" x14ac:dyDescent="0.25">
      <c r="A623" s="38"/>
      <c r="D623" s="38"/>
      <c r="F623" s="38"/>
      <c r="I623" s="38"/>
      <c r="J623" s="38"/>
    </row>
    <row r="624" spans="1:10" x14ac:dyDescent="0.25">
      <c r="A624" s="38"/>
      <c r="D624" s="38"/>
      <c r="F624" s="38"/>
      <c r="I624" s="38"/>
      <c r="J624" s="38"/>
    </row>
    <row r="625" spans="1:10" x14ac:dyDescent="0.25">
      <c r="A625" s="38"/>
      <c r="D625" s="38"/>
      <c r="F625" s="38"/>
      <c r="I625" s="38"/>
      <c r="J625" s="38"/>
    </row>
    <row r="626" spans="1:10" x14ac:dyDescent="0.25">
      <c r="A626" s="38"/>
      <c r="D626" s="38"/>
      <c r="F626" s="38"/>
      <c r="I626" s="38"/>
      <c r="J626" s="38"/>
    </row>
    <row r="627" spans="1:10" x14ac:dyDescent="0.25">
      <c r="A627" s="38"/>
      <c r="D627" s="38"/>
      <c r="F627" s="38"/>
      <c r="I627" s="38"/>
      <c r="J627" s="38"/>
    </row>
    <row r="628" spans="1:10" x14ac:dyDescent="0.25">
      <c r="A628" s="38"/>
      <c r="D628" s="38"/>
      <c r="F628" s="38"/>
      <c r="I628" s="38"/>
      <c r="J628" s="38"/>
    </row>
    <row r="629" spans="1:10" x14ac:dyDescent="0.25">
      <c r="A629" s="38"/>
      <c r="D629" s="38"/>
      <c r="F629" s="38"/>
      <c r="I629" s="38"/>
      <c r="J629" s="38"/>
    </row>
    <row r="630" spans="1:10" x14ac:dyDescent="0.25">
      <c r="A630" s="38"/>
      <c r="D630" s="38"/>
      <c r="F630" s="38"/>
      <c r="I630" s="38"/>
      <c r="J630" s="38"/>
    </row>
    <row r="631" spans="1:10" x14ac:dyDescent="0.25">
      <c r="A631" s="38"/>
      <c r="D631" s="38"/>
      <c r="F631" s="38"/>
      <c r="I631" s="38"/>
      <c r="J631" s="38"/>
    </row>
    <row r="632" spans="1:10" x14ac:dyDescent="0.25">
      <c r="A632" s="38"/>
      <c r="D632" s="38"/>
      <c r="F632" s="38"/>
      <c r="I632" s="38"/>
      <c r="J632" s="38"/>
    </row>
    <row r="633" spans="1:10" x14ac:dyDescent="0.25">
      <c r="A633" s="38"/>
      <c r="D633" s="38"/>
      <c r="F633" s="38"/>
      <c r="I633" s="38"/>
      <c r="J633" s="38"/>
    </row>
    <row r="634" spans="1:10" x14ac:dyDescent="0.25">
      <c r="A634" s="38"/>
      <c r="D634" s="38"/>
      <c r="F634" s="38"/>
      <c r="I634" s="38"/>
      <c r="J634" s="38"/>
    </row>
    <row r="635" spans="1:10" x14ac:dyDescent="0.25">
      <c r="A635" s="38"/>
      <c r="D635" s="38"/>
      <c r="F635" s="38"/>
      <c r="I635" s="38"/>
      <c r="J635" s="38"/>
    </row>
    <row r="636" spans="1:10" x14ac:dyDescent="0.25">
      <c r="A636" s="38"/>
      <c r="D636" s="38"/>
      <c r="F636" s="38"/>
      <c r="I636" s="38"/>
      <c r="J636" s="38"/>
    </row>
    <row r="637" spans="1:10" x14ac:dyDescent="0.25">
      <c r="A637" s="38"/>
      <c r="D637" s="38"/>
      <c r="F637" s="38"/>
      <c r="I637" s="38"/>
      <c r="J637" s="38"/>
    </row>
    <row r="638" spans="1:10" x14ac:dyDescent="0.25">
      <c r="A638" s="38"/>
      <c r="D638" s="38"/>
      <c r="F638" s="38"/>
      <c r="I638" s="38"/>
      <c r="J638" s="38"/>
    </row>
    <row r="639" spans="1:10" x14ac:dyDescent="0.25">
      <c r="A639" s="38"/>
      <c r="D639" s="38"/>
      <c r="F639" s="38"/>
      <c r="I639" s="38"/>
      <c r="J639" s="38"/>
    </row>
    <row r="640" spans="1:10" x14ac:dyDescent="0.25">
      <c r="A640" s="38"/>
      <c r="D640" s="38"/>
      <c r="F640" s="38"/>
      <c r="I640" s="38"/>
      <c r="J640" s="38"/>
    </row>
    <row r="641" spans="1:10" x14ac:dyDescent="0.25">
      <c r="A641" s="38"/>
      <c r="D641" s="38"/>
      <c r="F641" s="38"/>
      <c r="I641" s="38"/>
      <c r="J641" s="38"/>
    </row>
    <row r="642" spans="1:10" x14ac:dyDescent="0.25">
      <c r="A642" s="38"/>
      <c r="D642" s="38"/>
      <c r="F642" s="38"/>
      <c r="I642" s="38"/>
      <c r="J642" s="38"/>
    </row>
    <row r="643" spans="1:10" x14ac:dyDescent="0.25">
      <c r="A643" s="38"/>
      <c r="D643" s="38"/>
      <c r="F643" s="38"/>
      <c r="I643" s="38"/>
      <c r="J643" s="38"/>
    </row>
    <row r="644" spans="1:10" x14ac:dyDescent="0.25">
      <c r="A644" s="38"/>
      <c r="D644" s="38"/>
      <c r="F644" s="38"/>
      <c r="I644" s="38"/>
      <c r="J644" s="38"/>
    </row>
    <row r="645" spans="1:10" x14ac:dyDescent="0.25">
      <c r="A645" s="38"/>
      <c r="D645" s="38"/>
      <c r="F645" s="38"/>
      <c r="I645" s="38"/>
      <c r="J645" s="38"/>
    </row>
    <row r="646" spans="1:10" x14ac:dyDescent="0.25">
      <c r="A646" s="38"/>
      <c r="D646" s="38"/>
      <c r="F646" s="38"/>
      <c r="I646" s="38"/>
      <c r="J646" s="38"/>
    </row>
    <row r="647" spans="1:10" x14ac:dyDescent="0.25">
      <c r="A647" s="38"/>
      <c r="D647" s="38"/>
      <c r="F647" s="38"/>
      <c r="I647" s="38"/>
      <c r="J647" s="38"/>
    </row>
    <row r="648" spans="1:10" x14ac:dyDescent="0.25">
      <c r="A648" s="38"/>
      <c r="D648" s="38"/>
      <c r="F648" s="38"/>
      <c r="I648" s="38"/>
      <c r="J648" s="38"/>
    </row>
    <row r="649" spans="1:10" x14ac:dyDescent="0.25">
      <c r="A649" s="38"/>
      <c r="D649" s="38"/>
      <c r="F649" s="38"/>
      <c r="I649" s="38"/>
      <c r="J649" s="38"/>
    </row>
    <row r="650" spans="1:10" x14ac:dyDescent="0.25">
      <c r="A650" s="38"/>
      <c r="D650" s="38"/>
      <c r="F650" s="38"/>
      <c r="I650" s="38"/>
      <c r="J650" s="38"/>
    </row>
    <row r="651" spans="1:10" x14ac:dyDescent="0.25">
      <c r="A651" s="38"/>
      <c r="D651" s="38"/>
      <c r="F651" s="38"/>
      <c r="I651" s="38"/>
      <c r="J651" s="38"/>
    </row>
    <row r="652" spans="1:10" x14ac:dyDescent="0.25">
      <c r="A652" s="38"/>
      <c r="D652" s="38"/>
      <c r="F652" s="38"/>
      <c r="I652" s="38"/>
      <c r="J652" s="38"/>
    </row>
    <row r="653" spans="1:10" x14ac:dyDescent="0.25">
      <c r="A653" s="38"/>
      <c r="D653" s="38"/>
      <c r="F653" s="38"/>
      <c r="I653" s="38"/>
      <c r="J653" s="38"/>
    </row>
    <row r="654" spans="1:10" x14ac:dyDescent="0.25">
      <c r="A654" s="38"/>
      <c r="D654" s="38"/>
      <c r="F654" s="38"/>
      <c r="I654" s="38"/>
      <c r="J654" s="38"/>
    </row>
    <row r="655" spans="1:10" x14ac:dyDescent="0.25">
      <c r="A655" s="38"/>
      <c r="D655" s="38"/>
      <c r="F655" s="38"/>
      <c r="I655" s="38"/>
      <c r="J655" s="38"/>
    </row>
    <row r="656" spans="1:10" x14ac:dyDescent="0.25">
      <c r="A656" s="38"/>
      <c r="D656" s="38"/>
      <c r="F656" s="38"/>
      <c r="I656" s="38"/>
      <c r="J656" s="38"/>
    </row>
    <row r="657" spans="1:10" x14ac:dyDescent="0.25">
      <c r="A657" s="38"/>
      <c r="D657" s="38"/>
      <c r="F657" s="38"/>
      <c r="I657" s="38"/>
      <c r="J657" s="38"/>
    </row>
    <row r="658" spans="1:10" x14ac:dyDescent="0.25">
      <c r="A658" s="38"/>
      <c r="D658" s="38"/>
      <c r="F658" s="38"/>
      <c r="I658" s="38"/>
      <c r="J658" s="38"/>
    </row>
    <row r="659" spans="1:10" x14ac:dyDescent="0.25">
      <c r="A659" s="38"/>
      <c r="D659" s="38"/>
      <c r="F659" s="38"/>
      <c r="I659" s="38"/>
      <c r="J659" s="38"/>
    </row>
    <row r="660" spans="1:10" x14ac:dyDescent="0.25">
      <c r="A660" s="38"/>
      <c r="D660" s="38"/>
      <c r="F660" s="38"/>
      <c r="I660" s="38"/>
      <c r="J660" s="38"/>
    </row>
    <row r="661" spans="1:10" x14ac:dyDescent="0.25">
      <c r="A661" s="38"/>
      <c r="D661" s="38"/>
      <c r="F661" s="38"/>
      <c r="I661" s="38"/>
      <c r="J661" s="38"/>
    </row>
    <row r="662" spans="1:10" x14ac:dyDescent="0.25">
      <c r="A662" s="38"/>
      <c r="D662" s="38"/>
      <c r="F662" s="38"/>
      <c r="I662" s="38"/>
      <c r="J662" s="38"/>
    </row>
    <row r="663" spans="1:10" x14ac:dyDescent="0.25">
      <c r="A663" s="38"/>
      <c r="D663" s="38"/>
      <c r="F663" s="38"/>
      <c r="I663" s="38"/>
      <c r="J663" s="38"/>
    </row>
    <row r="664" spans="1:10" x14ac:dyDescent="0.25">
      <c r="A664" s="38"/>
      <c r="D664" s="38"/>
      <c r="F664" s="38"/>
      <c r="I664" s="38"/>
      <c r="J664" s="38"/>
    </row>
    <row r="665" spans="1:10" x14ac:dyDescent="0.25">
      <c r="A665" s="38"/>
      <c r="D665" s="38"/>
      <c r="F665" s="38"/>
      <c r="I665" s="38"/>
      <c r="J665" s="38"/>
    </row>
    <row r="666" spans="1:10" x14ac:dyDescent="0.25">
      <c r="A666" s="38"/>
      <c r="D666" s="38"/>
      <c r="F666" s="38"/>
      <c r="I666" s="38"/>
      <c r="J666" s="38"/>
    </row>
    <row r="667" spans="1:10" x14ac:dyDescent="0.25">
      <c r="A667" s="38"/>
      <c r="D667" s="38"/>
      <c r="F667" s="38"/>
      <c r="I667" s="38"/>
      <c r="J667" s="38"/>
    </row>
    <row r="668" spans="1:10" x14ac:dyDescent="0.25">
      <c r="A668" s="38"/>
      <c r="D668" s="38"/>
      <c r="F668" s="38"/>
      <c r="I668" s="38"/>
      <c r="J668" s="38"/>
    </row>
    <row r="669" spans="1:10" x14ac:dyDescent="0.25">
      <c r="A669" s="38"/>
      <c r="D669" s="38"/>
      <c r="F669" s="38"/>
      <c r="I669" s="38"/>
      <c r="J669" s="38"/>
    </row>
    <row r="670" spans="1:10" x14ac:dyDescent="0.25">
      <c r="A670" s="38"/>
      <c r="D670" s="38"/>
      <c r="F670" s="38"/>
      <c r="I670" s="38"/>
      <c r="J670" s="38"/>
    </row>
    <row r="671" spans="1:10" x14ac:dyDescent="0.25">
      <c r="A671" s="38"/>
      <c r="D671" s="38"/>
      <c r="F671" s="38"/>
      <c r="I671" s="38"/>
      <c r="J671" s="38"/>
    </row>
    <row r="672" spans="1:10" x14ac:dyDescent="0.25">
      <c r="A672" s="38"/>
      <c r="D672" s="38"/>
      <c r="F672" s="38"/>
      <c r="I672" s="38"/>
      <c r="J672" s="38"/>
    </row>
    <row r="673" spans="1:10" x14ac:dyDescent="0.25">
      <c r="A673" s="38"/>
      <c r="D673" s="38"/>
      <c r="F673" s="38"/>
      <c r="I673" s="38"/>
      <c r="J673" s="38"/>
    </row>
    <row r="674" spans="1:10" x14ac:dyDescent="0.25">
      <c r="A674" s="38"/>
      <c r="D674" s="38"/>
      <c r="F674" s="38"/>
      <c r="I674" s="38"/>
      <c r="J674" s="38"/>
    </row>
    <row r="675" spans="1:10" x14ac:dyDescent="0.25">
      <c r="A675" s="38"/>
      <c r="D675" s="38"/>
      <c r="F675" s="38"/>
      <c r="I675" s="38"/>
      <c r="J675" s="38"/>
    </row>
    <row r="676" spans="1:10" x14ac:dyDescent="0.25">
      <c r="A676" s="38"/>
      <c r="D676" s="38"/>
      <c r="F676" s="38"/>
      <c r="I676" s="38"/>
      <c r="J676" s="38"/>
    </row>
    <row r="677" spans="1:10" x14ac:dyDescent="0.25">
      <c r="A677" s="38"/>
      <c r="D677" s="38"/>
      <c r="F677" s="38"/>
      <c r="I677" s="38"/>
      <c r="J677" s="38"/>
    </row>
    <row r="678" spans="1:10" x14ac:dyDescent="0.25">
      <c r="A678" s="38"/>
      <c r="D678" s="38"/>
      <c r="F678" s="38"/>
      <c r="I678" s="38"/>
      <c r="J678" s="38"/>
    </row>
    <row r="679" spans="1:10" x14ac:dyDescent="0.25">
      <c r="A679" s="38"/>
      <c r="D679" s="38"/>
      <c r="F679" s="38"/>
      <c r="I679" s="38"/>
      <c r="J679" s="38"/>
    </row>
    <row r="680" spans="1:10" x14ac:dyDescent="0.25">
      <c r="A680" s="38"/>
      <c r="D680" s="38"/>
      <c r="F680" s="38"/>
      <c r="I680" s="38"/>
      <c r="J680" s="38"/>
    </row>
    <row r="681" spans="1:10" x14ac:dyDescent="0.25">
      <c r="A681" s="38"/>
      <c r="D681" s="38"/>
      <c r="F681" s="38"/>
      <c r="I681" s="38"/>
      <c r="J681" s="38"/>
    </row>
    <row r="682" spans="1:10" x14ac:dyDescent="0.25">
      <c r="A682" s="38"/>
      <c r="D682" s="38"/>
      <c r="F682" s="38"/>
      <c r="I682" s="38"/>
      <c r="J682" s="38"/>
    </row>
    <row r="683" spans="1:10" x14ac:dyDescent="0.25">
      <c r="A683" s="38"/>
      <c r="D683" s="38"/>
      <c r="F683" s="38"/>
      <c r="I683" s="38"/>
      <c r="J683" s="38"/>
    </row>
    <row r="684" spans="1:10" x14ac:dyDescent="0.25">
      <c r="A684" s="38"/>
      <c r="D684" s="38"/>
      <c r="F684" s="38"/>
      <c r="I684" s="38"/>
      <c r="J684" s="38"/>
    </row>
    <row r="685" spans="1:10" x14ac:dyDescent="0.25">
      <c r="A685" s="38"/>
      <c r="D685" s="38"/>
      <c r="F685" s="38"/>
      <c r="I685" s="38"/>
      <c r="J685" s="38"/>
    </row>
    <row r="686" spans="1:10" x14ac:dyDescent="0.25">
      <c r="A686" s="38"/>
      <c r="D686" s="38"/>
      <c r="F686" s="38"/>
      <c r="I686" s="38"/>
      <c r="J686" s="38"/>
    </row>
    <row r="687" spans="1:10" x14ac:dyDescent="0.25">
      <c r="A687" s="38"/>
      <c r="D687" s="38"/>
      <c r="F687" s="38"/>
      <c r="I687" s="38"/>
      <c r="J687" s="38"/>
    </row>
    <row r="688" spans="1:10" x14ac:dyDescent="0.25">
      <c r="A688" s="38"/>
      <c r="D688" s="38"/>
      <c r="F688" s="38"/>
      <c r="I688" s="38"/>
      <c r="J688" s="38"/>
    </row>
    <row r="689" spans="1:10" x14ac:dyDescent="0.25">
      <c r="A689" s="38"/>
      <c r="D689" s="38"/>
      <c r="F689" s="38"/>
      <c r="I689" s="38"/>
      <c r="J689" s="38"/>
    </row>
    <row r="690" spans="1:10" x14ac:dyDescent="0.25">
      <c r="A690" s="38"/>
      <c r="D690" s="38"/>
      <c r="F690" s="38"/>
      <c r="I690" s="38"/>
      <c r="J690" s="38"/>
    </row>
    <row r="691" spans="1:10" x14ac:dyDescent="0.25">
      <c r="A691" s="38"/>
      <c r="D691" s="38"/>
      <c r="F691" s="38"/>
      <c r="I691" s="38"/>
      <c r="J691" s="38"/>
    </row>
    <row r="692" spans="1:10" x14ac:dyDescent="0.25">
      <c r="A692" s="38"/>
      <c r="D692" s="38"/>
      <c r="F692" s="38"/>
      <c r="I692" s="38"/>
      <c r="J692" s="38"/>
    </row>
    <row r="693" spans="1:10" x14ac:dyDescent="0.25">
      <c r="A693" s="38"/>
      <c r="D693" s="38"/>
      <c r="F693" s="38"/>
      <c r="I693" s="38"/>
      <c r="J693" s="38"/>
    </row>
    <row r="694" spans="1:10" x14ac:dyDescent="0.25">
      <c r="A694" s="38"/>
      <c r="D694" s="38"/>
      <c r="F694" s="38"/>
      <c r="I694" s="38"/>
      <c r="J694" s="38"/>
    </row>
    <row r="695" spans="1:10" x14ac:dyDescent="0.25">
      <c r="A695" s="38"/>
      <c r="D695" s="38"/>
      <c r="F695" s="38"/>
      <c r="I695" s="38"/>
      <c r="J695" s="38"/>
    </row>
    <row r="696" spans="1:10" x14ac:dyDescent="0.25">
      <c r="A696" s="38"/>
      <c r="D696" s="38"/>
      <c r="F696" s="38"/>
      <c r="I696" s="38"/>
      <c r="J696" s="38"/>
    </row>
    <row r="697" spans="1:10" x14ac:dyDescent="0.25">
      <c r="A697" s="38"/>
      <c r="D697" s="38"/>
      <c r="F697" s="38"/>
      <c r="I697" s="38"/>
      <c r="J697" s="38"/>
    </row>
    <row r="698" spans="1:10" x14ac:dyDescent="0.25">
      <c r="A698" s="38"/>
      <c r="D698" s="38"/>
      <c r="F698" s="38"/>
      <c r="I698" s="38"/>
      <c r="J698" s="38"/>
    </row>
    <row r="699" spans="1:10" x14ac:dyDescent="0.25">
      <c r="A699" s="38"/>
      <c r="D699" s="38"/>
      <c r="F699" s="38"/>
      <c r="I699" s="38"/>
      <c r="J699" s="38"/>
    </row>
    <row r="700" spans="1:10" x14ac:dyDescent="0.25">
      <c r="A700" s="38"/>
      <c r="D700" s="38"/>
      <c r="F700" s="38"/>
      <c r="I700" s="38"/>
      <c r="J700" s="38"/>
    </row>
    <row r="701" spans="1:10" x14ac:dyDescent="0.25">
      <c r="A701" s="38"/>
      <c r="D701" s="38"/>
      <c r="F701" s="38"/>
      <c r="I701" s="38"/>
      <c r="J701" s="38"/>
    </row>
    <row r="702" spans="1:10" x14ac:dyDescent="0.25">
      <c r="A702" s="38"/>
      <c r="D702" s="38"/>
      <c r="F702" s="38"/>
      <c r="I702" s="38"/>
      <c r="J702" s="38"/>
    </row>
    <row r="703" spans="1:10" x14ac:dyDescent="0.25">
      <c r="A703" s="38"/>
      <c r="D703" s="38"/>
      <c r="F703" s="38"/>
      <c r="I703" s="38"/>
      <c r="J703" s="38"/>
    </row>
    <row r="704" spans="1:10" x14ac:dyDescent="0.25">
      <c r="A704" s="38"/>
      <c r="D704" s="38"/>
      <c r="F704" s="38"/>
      <c r="I704" s="38"/>
      <c r="J704" s="38"/>
    </row>
    <row r="705" spans="1:10" x14ac:dyDescent="0.25">
      <c r="A705" s="38"/>
      <c r="D705" s="38"/>
      <c r="F705" s="38"/>
      <c r="I705" s="38"/>
      <c r="J705" s="38"/>
    </row>
    <row r="706" spans="1:10" x14ac:dyDescent="0.25">
      <c r="A706" s="38"/>
      <c r="D706" s="38"/>
      <c r="F706" s="38"/>
      <c r="I706" s="38"/>
      <c r="J706" s="38"/>
    </row>
    <row r="707" spans="1:10" x14ac:dyDescent="0.25">
      <c r="A707" s="38"/>
      <c r="D707" s="38"/>
      <c r="F707" s="38"/>
      <c r="I707" s="38"/>
      <c r="J707" s="38"/>
    </row>
    <row r="708" spans="1:10" x14ac:dyDescent="0.25">
      <c r="A708" s="38"/>
      <c r="D708" s="38"/>
      <c r="F708" s="38"/>
      <c r="I708" s="38"/>
      <c r="J708" s="38"/>
    </row>
    <row r="709" spans="1:10" x14ac:dyDescent="0.25">
      <c r="A709" s="38"/>
      <c r="D709" s="38"/>
      <c r="F709" s="38"/>
      <c r="I709" s="38"/>
      <c r="J709" s="38"/>
    </row>
    <row r="710" spans="1:10" x14ac:dyDescent="0.25">
      <c r="A710" s="38"/>
      <c r="D710" s="38"/>
      <c r="F710" s="38"/>
      <c r="I710" s="38"/>
      <c r="J710" s="38"/>
    </row>
    <row r="711" spans="1:10" x14ac:dyDescent="0.25">
      <c r="A711" s="38"/>
      <c r="D711" s="38"/>
      <c r="F711" s="38"/>
      <c r="I711" s="38"/>
      <c r="J711" s="38"/>
    </row>
    <row r="712" spans="1:10" x14ac:dyDescent="0.25">
      <c r="A712" s="38"/>
      <c r="D712" s="38"/>
      <c r="F712" s="38"/>
      <c r="I712" s="38"/>
      <c r="J712" s="38"/>
    </row>
    <row r="713" spans="1:10" x14ac:dyDescent="0.25">
      <c r="A713" s="38"/>
      <c r="D713" s="38"/>
      <c r="F713" s="38"/>
      <c r="I713" s="38"/>
      <c r="J713" s="38"/>
    </row>
    <row r="714" spans="1:10" x14ac:dyDescent="0.25">
      <c r="A714" s="38"/>
      <c r="D714" s="38"/>
      <c r="F714" s="38"/>
      <c r="I714" s="38"/>
      <c r="J714" s="38"/>
    </row>
    <row r="715" spans="1:10" x14ac:dyDescent="0.25">
      <c r="A715" s="38"/>
      <c r="D715" s="38"/>
      <c r="F715" s="38"/>
      <c r="I715" s="38"/>
      <c r="J715" s="38"/>
    </row>
    <row r="716" spans="1:10" x14ac:dyDescent="0.25">
      <c r="A716" s="38"/>
      <c r="D716" s="38"/>
      <c r="F716" s="38"/>
      <c r="I716" s="38"/>
      <c r="J716" s="38"/>
    </row>
    <row r="717" spans="1:10" x14ac:dyDescent="0.25">
      <c r="A717" s="38"/>
      <c r="D717" s="38"/>
      <c r="F717" s="38"/>
      <c r="I717" s="38"/>
      <c r="J717" s="38"/>
    </row>
    <row r="718" spans="1:10" x14ac:dyDescent="0.25">
      <c r="A718" s="38"/>
      <c r="D718" s="38"/>
      <c r="F718" s="38"/>
      <c r="I718" s="38"/>
      <c r="J718" s="38"/>
    </row>
    <row r="719" spans="1:10" x14ac:dyDescent="0.25">
      <c r="A719" s="38"/>
      <c r="D719" s="38"/>
      <c r="F719" s="38"/>
      <c r="I719" s="38"/>
      <c r="J719" s="38"/>
    </row>
    <row r="720" spans="1:10" x14ac:dyDescent="0.25">
      <c r="A720" s="38"/>
      <c r="D720" s="38"/>
      <c r="F720" s="38"/>
      <c r="I720" s="38"/>
      <c r="J720" s="38"/>
    </row>
    <row r="721" spans="1:10" x14ac:dyDescent="0.25">
      <c r="A721" s="38"/>
      <c r="D721" s="38"/>
      <c r="F721" s="38"/>
      <c r="I721" s="38"/>
      <c r="J721" s="38"/>
    </row>
    <row r="722" spans="1:10" x14ac:dyDescent="0.25">
      <c r="A722" s="38"/>
      <c r="D722" s="38"/>
      <c r="F722" s="38"/>
      <c r="I722" s="38"/>
      <c r="J722" s="38"/>
    </row>
    <row r="723" spans="1:10" x14ac:dyDescent="0.25">
      <c r="A723" s="38"/>
      <c r="D723" s="38"/>
      <c r="F723" s="38"/>
      <c r="I723" s="38"/>
      <c r="J723" s="38"/>
    </row>
    <row r="724" spans="1:10" x14ac:dyDescent="0.25">
      <c r="A724" s="38"/>
      <c r="D724" s="38"/>
      <c r="F724" s="38"/>
      <c r="I724" s="38"/>
      <c r="J724" s="38"/>
    </row>
    <row r="725" spans="1:10" x14ac:dyDescent="0.25">
      <c r="A725" s="38"/>
      <c r="D725" s="38"/>
      <c r="F725" s="38"/>
      <c r="I725" s="38"/>
      <c r="J725" s="38"/>
    </row>
    <row r="726" spans="1:10" x14ac:dyDescent="0.25">
      <c r="A726" s="38"/>
      <c r="D726" s="38"/>
      <c r="F726" s="38"/>
      <c r="I726" s="38"/>
      <c r="J726" s="38"/>
    </row>
    <row r="727" spans="1:10" x14ac:dyDescent="0.25">
      <c r="A727" s="38"/>
      <c r="D727" s="38"/>
      <c r="F727" s="38"/>
      <c r="I727" s="38"/>
      <c r="J727" s="38"/>
    </row>
    <row r="728" spans="1:10" x14ac:dyDescent="0.25">
      <c r="A728" s="38"/>
      <c r="D728" s="38"/>
      <c r="F728" s="38"/>
      <c r="I728" s="38"/>
      <c r="J728" s="38"/>
    </row>
    <row r="729" spans="1:10" x14ac:dyDescent="0.25">
      <c r="A729" s="38"/>
      <c r="D729" s="38"/>
      <c r="F729" s="38"/>
      <c r="I729" s="38"/>
      <c r="J729" s="38"/>
    </row>
    <row r="730" spans="1:10" x14ac:dyDescent="0.25">
      <c r="A730" s="38"/>
      <c r="D730" s="38"/>
      <c r="F730" s="38"/>
      <c r="I730" s="38"/>
      <c r="J730" s="38"/>
    </row>
    <row r="731" spans="1:10" x14ac:dyDescent="0.25">
      <c r="A731" s="38"/>
      <c r="D731" s="38"/>
      <c r="F731" s="38"/>
      <c r="I731" s="38"/>
      <c r="J731" s="38"/>
    </row>
    <row r="732" spans="1:10" x14ac:dyDescent="0.25">
      <c r="A732" s="38"/>
      <c r="D732" s="38"/>
      <c r="F732" s="38"/>
      <c r="I732" s="38"/>
      <c r="J732" s="38"/>
    </row>
    <row r="733" spans="1:10" x14ac:dyDescent="0.25">
      <c r="A733" s="38"/>
      <c r="D733" s="38"/>
      <c r="F733" s="38"/>
      <c r="I733" s="38"/>
      <c r="J733" s="38"/>
    </row>
    <row r="734" spans="1:10" x14ac:dyDescent="0.25">
      <c r="A734" s="38"/>
      <c r="D734" s="38"/>
      <c r="F734" s="38"/>
      <c r="I734" s="38"/>
      <c r="J734" s="38"/>
    </row>
    <row r="735" spans="1:10" x14ac:dyDescent="0.25">
      <c r="A735" s="38"/>
      <c r="D735" s="38"/>
      <c r="F735" s="38"/>
      <c r="I735" s="38"/>
      <c r="J735" s="38"/>
    </row>
    <row r="736" spans="1:10" x14ac:dyDescent="0.25">
      <c r="A736" s="38"/>
      <c r="D736" s="38"/>
      <c r="F736" s="38"/>
      <c r="I736" s="38"/>
      <c r="J736" s="38"/>
    </row>
    <row r="737" spans="1:10" x14ac:dyDescent="0.25">
      <c r="A737" s="38"/>
      <c r="D737" s="38"/>
      <c r="F737" s="38"/>
      <c r="I737" s="38"/>
      <c r="J737" s="38"/>
    </row>
    <row r="738" spans="1:10" x14ac:dyDescent="0.25">
      <c r="A738" s="38"/>
      <c r="D738" s="38"/>
      <c r="F738" s="38"/>
      <c r="I738" s="38"/>
      <c r="J738" s="38"/>
    </row>
    <row r="739" spans="1:10" x14ac:dyDescent="0.25">
      <c r="A739" s="38"/>
      <c r="D739" s="38"/>
      <c r="F739" s="38"/>
      <c r="I739" s="38"/>
      <c r="J739" s="38"/>
    </row>
    <row r="740" spans="1:10" x14ac:dyDescent="0.25">
      <c r="A740" s="38"/>
      <c r="D740" s="38"/>
      <c r="F740" s="38"/>
      <c r="I740" s="38"/>
      <c r="J740" s="38"/>
    </row>
    <row r="741" spans="1:10" x14ac:dyDescent="0.25">
      <c r="A741" s="38"/>
      <c r="D741" s="38"/>
      <c r="F741" s="38"/>
      <c r="I741" s="38"/>
      <c r="J741" s="38"/>
    </row>
    <row r="742" spans="1:10" x14ac:dyDescent="0.25">
      <c r="A742" s="38"/>
      <c r="D742" s="38"/>
      <c r="F742" s="38"/>
      <c r="I742" s="38"/>
      <c r="J742" s="38"/>
    </row>
    <row r="743" spans="1:10" x14ac:dyDescent="0.25">
      <c r="A743" s="38"/>
      <c r="D743" s="38"/>
      <c r="F743" s="38"/>
      <c r="I743" s="38"/>
      <c r="J743" s="38"/>
    </row>
    <row r="744" spans="1:10" x14ac:dyDescent="0.25">
      <c r="A744" s="38"/>
      <c r="D744" s="38"/>
      <c r="F744" s="38"/>
      <c r="I744" s="38"/>
      <c r="J744" s="38"/>
    </row>
    <row r="745" spans="1:10" x14ac:dyDescent="0.25">
      <c r="A745" s="38"/>
      <c r="D745" s="38"/>
      <c r="F745" s="38"/>
      <c r="I745" s="38"/>
      <c r="J745" s="38"/>
    </row>
    <row r="746" spans="1:10" x14ac:dyDescent="0.25">
      <c r="A746" s="38"/>
      <c r="D746" s="38"/>
      <c r="F746" s="38"/>
      <c r="I746" s="38"/>
      <c r="J746" s="38"/>
    </row>
    <row r="747" spans="1:10" x14ac:dyDescent="0.25">
      <c r="A747" s="38"/>
      <c r="D747" s="38"/>
      <c r="F747" s="38"/>
      <c r="I747" s="38"/>
      <c r="J747" s="38"/>
    </row>
    <row r="748" spans="1:10" x14ac:dyDescent="0.25">
      <c r="A748" s="38"/>
      <c r="D748" s="38"/>
      <c r="F748" s="38"/>
      <c r="I748" s="38"/>
      <c r="J748" s="38"/>
    </row>
    <row r="749" spans="1:10" x14ac:dyDescent="0.25">
      <c r="A749" s="38"/>
      <c r="D749" s="38"/>
      <c r="F749" s="38"/>
      <c r="I749" s="38"/>
      <c r="J749" s="38"/>
    </row>
    <row r="750" spans="1:10" x14ac:dyDescent="0.25">
      <c r="A750" s="38"/>
      <c r="D750" s="38"/>
      <c r="F750" s="38"/>
      <c r="I750" s="38"/>
      <c r="J750" s="38"/>
    </row>
    <row r="751" spans="1:10" x14ac:dyDescent="0.25">
      <c r="A751" s="38"/>
      <c r="D751" s="38"/>
      <c r="F751" s="38"/>
      <c r="I751" s="38"/>
      <c r="J751" s="38"/>
    </row>
    <row r="752" spans="1:10" x14ac:dyDescent="0.25">
      <c r="A752" s="38"/>
      <c r="D752" s="38"/>
      <c r="F752" s="38"/>
      <c r="I752" s="38"/>
      <c r="J752" s="38"/>
    </row>
    <row r="753" spans="1:10" x14ac:dyDescent="0.25">
      <c r="A753" s="38"/>
      <c r="D753" s="38"/>
      <c r="F753" s="38"/>
      <c r="I753" s="38"/>
      <c r="J753" s="38"/>
    </row>
    <row r="754" spans="1:10" x14ac:dyDescent="0.25">
      <c r="A754" s="38"/>
      <c r="D754" s="38"/>
      <c r="F754" s="38"/>
      <c r="I754" s="38"/>
      <c r="J754" s="38"/>
    </row>
    <row r="755" spans="1:10" x14ac:dyDescent="0.25">
      <c r="A755" s="38"/>
      <c r="D755" s="38"/>
      <c r="F755" s="38"/>
      <c r="I755" s="38"/>
      <c r="J755" s="38"/>
    </row>
    <row r="756" spans="1:10" x14ac:dyDescent="0.25">
      <c r="A756" s="38"/>
      <c r="D756" s="38"/>
      <c r="F756" s="38"/>
      <c r="I756" s="38"/>
      <c r="J756" s="38"/>
    </row>
    <row r="757" spans="1:10" x14ac:dyDescent="0.25">
      <c r="A757" s="38"/>
      <c r="D757" s="38"/>
      <c r="F757" s="38"/>
      <c r="I757" s="38"/>
      <c r="J757" s="38"/>
    </row>
    <row r="758" spans="1:10" x14ac:dyDescent="0.25">
      <c r="A758" s="38"/>
      <c r="D758" s="38"/>
      <c r="F758" s="38"/>
      <c r="I758" s="38"/>
      <c r="J758" s="38"/>
    </row>
    <row r="759" spans="1:10" x14ac:dyDescent="0.25">
      <c r="A759" s="38"/>
      <c r="D759" s="38"/>
      <c r="F759" s="38"/>
      <c r="I759" s="38"/>
      <c r="J759" s="38"/>
    </row>
    <row r="760" spans="1:10" x14ac:dyDescent="0.25">
      <c r="A760" s="38"/>
      <c r="D760" s="38"/>
      <c r="F760" s="38"/>
      <c r="I760" s="38"/>
      <c r="J760" s="38"/>
    </row>
    <row r="761" spans="1:10" x14ac:dyDescent="0.25">
      <c r="A761" s="38"/>
      <c r="D761" s="38"/>
      <c r="F761" s="38"/>
      <c r="I761" s="38"/>
      <c r="J761" s="38"/>
    </row>
    <row r="762" spans="1:10" x14ac:dyDescent="0.25">
      <c r="A762" s="38"/>
      <c r="D762" s="38"/>
      <c r="F762" s="38"/>
      <c r="I762" s="38"/>
      <c r="J762" s="38"/>
    </row>
    <row r="763" spans="1:10" x14ac:dyDescent="0.25">
      <c r="A763" s="38"/>
      <c r="D763" s="38"/>
      <c r="F763" s="38"/>
      <c r="I763" s="38"/>
      <c r="J763" s="38"/>
    </row>
    <row r="764" spans="1:10" x14ac:dyDescent="0.25">
      <c r="A764" s="38"/>
      <c r="D764" s="38"/>
      <c r="F764" s="38"/>
      <c r="I764" s="38"/>
      <c r="J764" s="38"/>
    </row>
    <row r="765" spans="1:10" x14ac:dyDescent="0.25">
      <c r="A765" s="38"/>
      <c r="D765" s="38"/>
      <c r="F765" s="38"/>
      <c r="I765" s="38"/>
      <c r="J765" s="38"/>
    </row>
    <row r="766" spans="1:10" x14ac:dyDescent="0.25">
      <c r="A766" s="38"/>
      <c r="D766" s="38"/>
      <c r="F766" s="38"/>
      <c r="I766" s="38"/>
      <c r="J766" s="38"/>
    </row>
    <row r="767" spans="1:10" x14ac:dyDescent="0.25">
      <c r="A767" s="38"/>
      <c r="D767" s="38"/>
      <c r="F767" s="38"/>
      <c r="I767" s="38"/>
      <c r="J767" s="38"/>
    </row>
    <row r="768" spans="1:10" x14ac:dyDescent="0.25">
      <c r="A768" s="38"/>
      <c r="D768" s="38"/>
      <c r="F768" s="38"/>
      <c r="I768" s="38"/>
      <c r="J768" s="38"/>
    </row>
    <row r="769" spans="1:10" x14ac:dyDescent="0.25">
      <c r="A769" s="38"/>
      <c r="D769" s="38"/>
      <c r="F769" s="38"/>
      <c r="I769" s="38"/>
      <c r="J769" s="38"/>
    </row>
    <row r="770" spans="1:10" x14ac:dyDescent="0.25">
      <c r="A770" s="38"/>
      <c r="D770" s="38"/>
      <c r="F770" s="38"/>
      <c r="I770" s="38"/>
      <c r="J770" s="38"/>
    </row>
    <row r="771" spans="1:10" x14ac:dyDescent="0.25">
      <c r="A771" s="38"/>
      <c r="D771" s="38"/>
      <c r="F771" s="38"/>
      <c r="I771" s="38"/>
      <c r="J771" s="38"/>
    </row>
    <row r="772" spans="1:10" x14ac:dyDescent="0.25">
      <c r="A772" s="38"/>
      <c r="D772" s="38"/>
      <c r="F772" s="38"/>
      <c r="I772" s="38"/>
      <c r="J772" s="38"/>
    </row>
    <row r="773" spans="1:10" x14ac:dyDescent="0.25">
      <c r="A773" s="38"/>
      <c r="D773" s="38"/>
      <c r="F773" s="38"/>
      <c r="I773" s="38"/>
      <c r="J773" s="38"/>
    </row>
    <row r="774" spans="1:10" x14ac:dyDescent="0.25">
      <c r="A774" s="38"/>
      <c r="D774" s="38"/>
      <c r="F774" s="38"/>
      <c r="I774" s="38"/>
      <c r="J774" s="38"/>
    </row>
    <row r="775" spans="1:10" x14ac:dyDescent="0.25">
      <c r="A775" s="38"/>
      <c r="D775" s="38"/>
      <c r="F775" s="38"/>
      <c r="I775" s="38"/>
      <c r="J775" s="38"/>
    </row>
    <row r="776" spans="1:10" x14ac:dyDescent="0.25">
      <c r="A776" s="38"/>
      <c r="D776" s="38"/>
      <c r="F776" s="38"/>
      <c r="I776" s="38"/>
      <c r="J776" s="38"/>
    </row>
    <row r="777" spans="1:10" x14ac:dyDescent="0.25">
      <c r="A777" s="38"/>
      <c r="D777" s="38"/>
      <c r="F777" s="38"/>
      <c r="I777" s="38"/>
      <c r="J777" s="38"/>
    </row>
    <row r="778" spans="1:10" x14ac:dyDescent="0.25">
      <c r="A778" s="38"/>
      <c r="D778" s="38"/>
      <c r="F778" s="38"/>
      <c r="I778" s="38"/>
      <c r="J778" s="38"/>
    </row>
    <row r="779" spans="1:10" x14ac:dyDescent="0.25">
      <c r="A779" s="38"/>
      <c r="D779" s="38"/>
      <c r="F779" s="38"/>
      <c r="I779" s="38"/>
      <c r="J779" s="38"/>
    </row>
    <row r="780" spans="1:10" x14ac:dyDescent="0.25">
      <c r="A780" s="38"/>
      <c r="D780" s="38"/>
      <c r="F780" s="38"/>
      <c r="I780" s="38"/>
      <c r="J780" s="38"/>
    </row>
    <row r="781" spans="1:10" x14ac:dyDescent="0.25">
      <c r="A781" s="38"/>
      <c r="D781" s="38"/>
      <c r="F781" s="38"/>
      <c r="I781" s="38"/>
      <c r="J781" s="38"/>
    </row>
    <row r="782" spans="1:10" x14ac:dyDescent="0.25">
      <c r="A782" s="38"/>
      <c r="D782" s="38"/>
      <c r="F782" s="38"/>
      <c r="I782" s="38"/>
      <c r="J782" s="38"/>
    </row>
    <row r="783" spans="1:10" x14ac:dyDescent="0.25">
      <c r="A783" s="38"/>
      <c r="D783" s="38"/>
      <c r="F783" s="38"/>
      <c r="I783" s="38"/>
      <c r="J783" s="38"/>
    </row>
    <row r="784" spans="1:10" x14ac:dyDescent="0.25">
      <c r="A784" s="38"/>
      <c r="D784" s="38"/>
      <c r="F784" s="38"/>
      <c r="I784" s="38"/>
      <c r="J784" s="38"/>
    </row>
    <row r="785" spans="1:10" x14ac:dyDescent="0.25">
      <c r="A785" s="38"/>
      <c r="D785" s="38"/>
      <c r="F785" s="38"/>
      <c r="I785" s="38"/>
      <c r="J785" s="38"/>
    </row>
    <row r="786" spans="1:10" x14ac:dyDescent="0.25">
      <c r="A786" s="38"/>
      <c r="D786" s="38"/>
      <c r="F786" s="38"/>
      <c r="I786" s="38"/>
      <c r="J786" s="38"/>
    </row>
    <row r="787" spans="1:10" x14ac:dyDescent="0.25">
      <c r="A787" s="38"/>
      <c r="D787" s="38"/>
      <c r="F787" s="38"/>
      <c r="I787" s="38"/>
      <c r="J787" s="38"/>
    </row>
    <row r="788" spans="1:10" x14ac:dyDescent="0.25">
      <c r="A788" s="38"/>
      <c r="D788" s="38"/>
      <c r="F788" s="38"/>
      <c r="I788" s="38"/>
      <c r="J788" s="38"/>
    </row>
    <row r="789" spans="1:10" x14ac:dyDescent="0.25">
      <c r="A789" s="38"/>
      <c r="D789" s="38"/>
      <c r="F789" s="38"/>
      <c r="I789" s="38"/>
      <c r="J789" s="38"/>
    </row>
    <row r="790" spans="1:10" x14ac:dyDescent="0.25">
      <c r="A790" s="38"/>
      <c r="D790" s="38"/>
      <c r="F790" s="38"/>
      <c r="I790" s="38"/>
      <c r="J790" s="38"/>
    </row>
    <row r="791" spans="1:10" x14ac:dyDescent="0.25">
      <c r="A791" s="38"/>
      <c r="D791" s="38"/>
      <c r="F791" s="38"/>
      <c r="I791" s="38"/>
      <c r="J791" s="38"/>
    </row>
    <row r="792" spans="1:10" x14ac:dyDescent="0.25">
      <c r="A792" s="38"/>
      <c r="D792" s="38"/>
      <c r="F792" s="38"/>
      <c r="I792" s="38"/>
      <c r="J792" s="38"/>
    </row>
    <row r="793" spans="1:10" x14ac:dyDescent="0.25">
      <c r="A793" s="38"/>
      <c r="D793" s="38"/>
      <c r="F793" s="38"/>
      <c r="I793" s="38"/>
      <c r="J793" s="38"/>
    </row>
    <row r="794" spans="1:10" x14ac:dyDescent="0.25">
      <c r="A794" s="38"/>
      <c r="D794" s="38"/>
      <c r="F794" s="38"/>
      <c r="I794" s="38"/>
      <c r="J794" s="38"/>
    </row>
    <row r="795" spans="1:10" x14ac:dyDescent="0.25">
      <c r="A795" s="38"/>
      <c r="D795" s="38"/>
      <c r="F795" s="38"/>
      <c r="I795" s="38"/>
      <c r="J795" s="38"/>
    </row>
    <row r="796" spans="1:10" x14ac:dyDescent="0.25">
      <c r="A796" s="38"/>
      <c r="D796" s="38"/>
      <c r="F796" s="38"/>
      <c r="I796" s="38"/>
      <c r="J796" s="38"/>
    </row>
    <row r="797" spans="1:10" x14ac:dyDescent="0.25">
      <c r="A797" s="38"/>
      <c r="D797" s="38"/>
      <c r="F797" s="38"/>
      <c r="I797" s="38"/>
      <c r="J797" s="38"/>
    </row>
    <row r="798" spans="1:10" x14ac:dyDescent="0.25">
      <c r="A798" s="38"/>
      <c r="D798" s="38"/>
      <c r="F798" s="38"/>
      <c r="I798" s="38"/>
      <c r="J798" s="38"/>
    </row>
    <row r="799" spans="1:10" x14ac:dyDescent="0.25">
      <c r="A799" s="38"/>
      <c r="D799" s="38"/>
      <c r="F799" s="38"/>
      <c r="I799" s="38"/>
      <c r="J799" s="38"/>
    </row>
    <row r="800" spans="1:10" x14ac:dyDescent="0.25">
      <c r="A800" s="38"/>
      <c r="D800" s="38"/>
      <c r="F800" s="38"/>
      <c r="I800" s="38"/>
      <c r="J800" s="38"/>
    </row>
    <row r="801" spans="1:10" x14ac:dyDescent="0.25">
      <c r="A801" s="38"/>
      <c r="D801" s="38"/>
      <c r="F801" s="38"/>
      <c r="I801" s="38"/>
      <c r="J801" s="38"/>
    </row>
    <row r="802" spans="1:10" x14ac:dyDescent="0.25">
      <c r="A802" s="38"/>
      <c r="D802" s="38"/>
      <c r="F802" s="38"/>
      <c r="I802" s="38"/>
      <c r="J802" s="38"/>
    </row>
    <row r="803" spans="1:10" x14ac:dyDescent="0.25">
      <c r="A803" s="38"/>
      <c r="D803" s="38"/>
      <c r="F803" s="38"/>
      <c r="I803" s="38"/>
      <c r="J803" s="38"/>
    </row>
    <row r="804" spans="1:10" x14ac:dyDescent="0.25">
      <c r="A804" s="38"/>
      <c r="D804" s="38"/>
      <c r="F804" s="38"/>
      <c r="I804" s="38"/>
      <c r="J804" s="38"/>
    </row>
    <row r="805" spans="1:10" x14ac:dyDescent="0.25">
      <c r="A805" s="38"/>
      <c r="D805" s="38"/>
      <c r="F805" s="38"/>
      <c r="I805" s="38"/>
      <c r="J805" s="38"/>
    </row>
    <row r="806" spans="1:10" x14ac:dyDescent="0.25">
      <c r="A806" s="38"/>
      <c r="D806" s="38"/>
      <c r="F806" s="38"/>
      <c r="I806" s="38"/>
      <c r="J806" s="38"/>
    </row>
    <row r="807" spans="1:10" x14ac:dyDescent="0.25">
      <c r="A807" s="38"/>
      <c r="D807" s="38"/>
      <c r="F807" s="38"/>
      <c r="I807" s="38"/>
      <c r="J807" s="38"/>
    </row>
    <row r="808" spans="1:10" x14ac:dyDescent="0.25">
      <c r="A808" s="38"/>
      <c r="D808" s="38"/>
      <c r="F808" s="38"/>
      <c r="I808" s="38"/>
      <c r="J808" s="38"/>
    </row>
    <row r="809" spans="1:10" x14ac:dyDescent="0.25">
      <c r="A809" s="38"/>
      <c r="D809" s="38"/>
      <c r="F809" s="38"/>
      <c r="I809" s="38"/>
      <c r="J809" s="38"/>
    </row>
    <row r="810" spans="1:10" x14ac:dyDescent="0.25">
      <c r="A810" s="38"/>
      <c r="D810" s="38"/>
      <c r="F810" s="38"/>
      <c r="I810" s="38"/>
      <c r="J810" s="38"/>
    </row>
    <row r="811" spans="1:10" x14ac:dyDescent="0.25">
      <c r="A811" s="38"/>
      <c r="D811" s="38"/>
      <c r="F811" s="38"/>
      <c r="I811" s="38"/>
      <c r="J811" s="38"/>
    </row>
    <row r="812" spans="1:10" x14ac:dyDescent="0.25">
      <c r="A812" s="38"/>
      <c r="D812" s="38"/>
      <c r="F812" s="38"/>
      <c r="I812" s="38"/>
      <c r="J812" s="38"/>
    </row>
    <row r="813" spans="1:10" x14ac:dyDescent="0.25">
      <c r="A813" s="38"/>
      <c r="D813" s="38"/>
      <c r="F813" s="38"/>
      <c r="I813" s="38"/>
      <c r="J813" s="38"/>
    </row>
    <row r="814" spans="1:10" x14ac:dyDescent="0.25">
      <c r="A814" s="38"/>
      <c r="D814" s="38"/>
      <c r="F814" s="38"/>
      <c r="I814" s="38"/>
      <c r="J814" s="38"/>
    </row>
    <row r="815" spans="1:10" x14ac:dyDescent="0.25">
      <c r="A815" s="38"/>
      <c r="D815" s="38"/>
      <c r="F815" s="38"/>
      <c r="I815" s="38"/>
      <c r="J815" s="38"/>
    </row>
    <row r="816" spans="1:10" x14ac:dyDescent="0.25">
      <c r="A816" s="38"/>
      <c r="D816" s="38"/>
      <c r="F816" s="38"/>
      <c r="I816" s="38"/>
      <c r="J816" s="38"/>
    </row>
    <row r="817" spans="1:10" x14ac:dyDescent="0.25">
      <c r="A817" s="38"/>
      <c r="D817" s="38"/>
      <c r="F817" s="38"/>
      <c r="I817" s="38"/>
      <c r="J817" s="38"/>
    </row>
    <row r="818" spans="1:10" x14ac:dyDescent="0.25">
      <c r="A818" s="38"/>
      <c r="D818" s="38"/>
      <c r="F818" s="38"/>
      <c r="I818" s="38"/>
      <c r="J818" s="38"/>
    </row>
    <row r="819" spans="1:10" x14ac:dyDescent="0.25">
      <c r="A819" s="38"/>
      <c r="D819" s="38"/>
      <c r="F819" s="38"/>
      <c r="I819" s="38"/>
      <c r="J819" s="38"/>
    </row>
    <row r="820" spans="1:10" x14ac:dyDescent="0.25">
      <c r="A820" s="38"/>
      <c r="D820" s="38"/>
      <c r="F820" s="38"/>
      <c r="I820" s="38"/>
      <c r="J820" s="38"/>
    </row>
    <row r="821" spans="1:10" x14ac:dyDescent="0.25">
      <c r="A821" s="38"/>
      <c r="D821" s="38"/>
      <c r="F821" s="38"/>
      <c r="I821" s="38"/>
      <c r="J821" s="38"/>
    </row>
    <row r="822" spans="1:10" x14ac:dyDescent="0.25">
      <c r="A822" s="38"/>
      <c r="D822" s="38"/>
      <c r="F822" s="38"/>
      <c r="I822" s="38"/>
      <c r="J822" s="38"/>
    </row>
    <row r="823" spans="1:10" x14ac:dyDescent="0.25">
      <c r="A823" s="38"/>
      <c r="D823" s="38"/>
      <c r="F823" s="38"/>
      <c r="I823" s="38"/>
      <c r="J823" s="38"/>
    </row>
    <row r="824" spans="1:10" x14ac:dyDescent="0.25">
      <c r="A824" s="38"/>
      <c r="D824" s="38"/>
      <c r="F824" s="38"/>
      <c r="I824" s="38"/>
      <c r="J824" s="38"/>
    </row>
    <row r="825" spans="1:10" x14ac:dyDescent="0.25">
      <c r="A825" s="38"/>
      <c r="D825" s="38"/>
      <c r="F825" s="38"/>
      <c r="I825" s="38"/>
      <c r="J825" s="38"/>
    </row>
    <row r="826" spans="1:10" x14ac:dyDescent="0.25">
      <c r="A826" s="38"/>
      <c r="D826" s="38"/>
      <c r="F826" s="38"/>
      <c r="I826" s="38"/>
      <c r="J826" s="38"/>
    </row>
    <row r="827" spans="1:10" x14ac:dyDescent="0.25">
      <c r="A827" s="38"/>
      <c r="D827" s="38"/>
      <c r="F827" s="38"/>
      <c r="I827" s="38"/>
      <c r="J827" s="38"/>
    </row>
    <row r="828" spans="1:10" x14ac:dyDescent="0.25">
      <c r="A828" s="38"/>
      <c r="D828" s="38"/>
      <c r="F828" s="38"/>
      <c r="I828" s="38"/>
      <c r="J828" s="38"/>
    </row>
    <row r="829" spans="1:10" x14ac:dyDescent="0.25">
      <c r="A829" s="38"/>
      <c r="D829" s="38"/>
      <c r="F829" s="38"/>
      <c r="I829" s="38"/>
      <c r="J829" s="38"/>
    </row>
    <row r="830" spans="1:10" x14ac:dyDescent="0.25">
      <c r="A830" s="38"/>
      <c r="D830" s="38"/>
      <c r="F830" s="38"/>
      <c r="I830" s="38"/>
      <c r="J830" s="38"/>
    </row>
    <row r="831" spans="1:10" x14ac:dyDescent="0.25">
      <c r="A831" s="38"/>
      <c r="D831" s="38"/>
      <c r="F831" s="38"/>
      <c r="I831" s="38"/>
      <c r="J831" s="38"/>
    </row>
    <row r="832" spans="1:10" x14ac:dyDescent="0.25">
      <c r="A832" s="38"/>
      <c r="D832" s="38"/>
      <c r="F832" s="38"/>
      <c r="I832" s="38"/>
      <c r="J832" s="38"/>
    </row>
    <row r="833" spans="1:10" x14ac:dyDescent="0.25">
      <c r="A833" s="38"/>
      <c r="D833" s="38"/>
      <c r="F833" s="38"/>
      <c r="I833" s="38"/>
      <c r="J833" s="38"/>
    </row>
    <row r="834" spans="1:10" x14ac:dyDescent="0.25">
      <c r="A834" s="38"/>
      <c r="D834" s="38"/>
      <c r="F834" s="38"/>
      <c r="I834" s="38"/>
      <c r="J834" s="38"/>
    </row>
    <row r="835" spans="1:10" x14ac:dyDescent="0.25">
      <c r="A835" s="38"/>
      <c r="D835" s="38"/>
      <c r="F835" s="38"/>
      <c r="I835" s="38"/>
      <c r="J835" s="38"/>
    </row>
    <row r="836" spans="1:10" x14ac:dyDescent="0.25">
      <c r="A836" s="38"/>
      <c r="D836" s="38"/>
      <c r="F836" s="38"/>
      <c r="I836" s="38"/>
      <c r="J836" s="38"/>
    </row>
    <row r="837" spans="1:10" x14ac:dyDescent="0.25">
      <c r="A837" s="38"/>
      <c r="D837" s="38"/>
      <c r="F837" s="38"/>
      <c r="I837" s="38"/>
      <c r="J837" s="38"/>
    </row>
    <row r="838" spans="1:10" x14ac:dyDescent="0.25">
      <c r="A838" s="38"/>
      <c r="D838" s="38"/>
      <c r="F838" s="38"/>
      <c r="I838" s="38"/>
      <c r="J838" s="38"/>
    </row>
    <row r="839" spans="1:10" x14ac:dyDescent="0.25">
      <c r="A839" s="38"/>
      <c r="D839" s="38"/>
      <c r="F839" s="38"/>
      <c r="I839" s="38"/>
      <c r="J839" s="38"/>
    </row>
    <row r="840" spans="1:10" x14ac:dyDescent="0.25">
      <c r="A840" s="38"/>
      <c r="D840" s="38"/>
      <c r="F840" s="38"/>
      <c r="I840" s="38"/>
      <c r="J840" s="38"/>
    </row>
    <row r="841" spans="1:10" x14ac:dyDescent="0.25">
      <c r="A841" s="38"/>
      <c r="D841" s="38"/>
      <c r="F841" s="38"/>
      <c r="I841" s="38"/>
      <c r="J841" s="38"/>
    </row>
    <row r="842" spans="1:10" x14ac:dyDescent="0.25">
      <c r="A842" s="38"/>
      <c r="D842" s="38"/>
      <c r="F842" s="38"/>
      <c r="I842" s="38"/>
      <c r="J842" s="38"/>
    </row>
    <row r="843" spans="1:10" x14ac:dyDescent="0.25">
      <c r="A843" s="38"/>
      <c r="D843" s="38"/>
      <c r="F843" s="38"/>
      <c r="I843" s="38"/>
      <c r="J843" s="38"/>
    </row>
    <row r="844" spans="1:10" x14ac:dyDescent="0.25">
      <c r="A844" s="38"/>
      <c r="D844" s="38"/>
      <c r="F844" s="38"/>
      <c r="I844" s="38"/>
      <c r="J844" s="38"/>
    </row>
    <row r="845" spans="1:10" x14ac:dyDescent="0.25">
      <c r="A845" s="38"/>
      <c r="D845" s="38"/>
      <c r="F845" s="38"/>
      <c r="I845" s="38"/>
      <c r="J845" s="38"/>
    </row>
    <row r="846" spans="1:10" x14ac:dyDescent="0.25">
      <c r="A846" s="38"/>
      <c r="D846" s="38"/>
      <c r="F846" s="38"/>
      <c r="I846" s="38"/>
      <c r="J846" s="38"/>
    </row>
    <row r="847" spans="1:10" x14ac:dyDescent="0.25">
      <c r="A847" s="38"/>
      <c r="D847" s="38"/>
      <c r="F847" s="38"/>
      <c r="I847" s="38"/>
      <c r="J847" s="38"/>
    </row>
    <row r="848" spans="1:10" x14ac:dyDescent="0.25">
      <c r="A848" s="38"/>
      <c r="D848" s="38"/>
      <c r="F848" s="38"/>
      <c r="I848" s="38"/>
      <c r="J848" s="38"/>
    </row>
    <row r="849" spans="1:10" x14ac:dyDescent="0.25">
      <c r="A849" s="38"/>
      <c r="D849" s="38"/>
      <c r="F849" s="38"/>
      <c r="I849" s="38"/>
      <c r="J849" s="38"/>
    </row>
    <row r="850" spans="1:10" x14ac:dyDescent="0.25">
      <c r="A850" s="38"/>
      <c r="D850" s="38"/>
      <c r="F850" s="38"/>
      <c r="I850" s="38"/>
      <c r="J850" s="38"/>
    </row>
    <row r="851" spans="1:10" x14ac:dyDescent="0.25">
      <c r="A851" s="38"/>
      <c r="D851" s="38"/>
      <c r="F851" s="38"/>
      <c r="I851" s="38"/>
      <c r="J851" s="38"/>
    </row>
    <row r="852" spans="1:10" x14ac:dyDescent="0.25">
      <c r="A852" s="38"/>
      <c r="D852" s="38"/>
      <c r="F852" s="38"/>
      <c r="I852" s="38"/>
      <c r="J852" s="38"/>
    </row>
    <row r="853" spans="1:10" x14ac:dyDescent="0.25">
      <c r="A853" s="38"/>
      <c r="D853" s="38"/>
      <c r="F853" s="38"/>
      <c r="I853" s="38"/>
      <c r="J853" s="38"/>
    </row>
    <row r="854" spans="1:10" x14ac:dyDescent="0.25">
      <c r="A854" s="38"/>
      <c r="D854" s="38"/>
      <c r="F854" s="38"/>
      <c r="I854" s="38"/>
      <c r="J854" s="38"/>
    </row>
    <row r="855" spans="1:10" x14ac:dyDescent="0.25">
      <c r="A855" s="38"/>
      <c r="D855" s="38"/>
      <c r="F855" s="38"/>
      <c r="I855" s="38"/>
      <c r="J855" s="38"/>
    </row>
    <row r="856" spans="1:10" x14ac:dyDescent="0.25">
      <c r="A856" s="38"/>
      <c r="D856" s="38"/>
      <c r="F856" s="38"/>
      <c r="I856" s="38"/>
      <c r="J856" s="38"/>
    </row>
    <row r="857" spans="1:10" x14ac:dyDescent="0.25">
      <c r="A857" s="38"/>
      <c r="D857" s="38"/>
      <c r="F857" s="38"/>
      <c r="I857" s="38"/>
      <c r="J857" s="38"/>
    </row>
    <row r="858" spans="1:10" x14ac:dyDescent="0.25">
      <c r="A858" s="38"/>
      <c r="D858" s="38"/>
      <c r="F858" s="38"/>
      <c r="I858" s="38"/>
      <c r="J858" s="38"/>
    </row>
    <row r="859" spans="1:10" x14ac:dyDescent="0.25">
      <c r="A859" s="38"/>
      <c r="D859" s="38"/>
      <c r="F859" s="38"/>
      <c r="I859" s="38"/>
      <c r="J859" s="38"/>
    </row>
    <row r="860" spans="1:10" x14ac:dyDescent="0.25">
      <c r="A860" s="38"/>
      <c r="D860" s="38"/>
      <c r="F860" s="38"/>
      <c r="I860" s="38"/>
      <c r="J860" s="38"/>
    </row>
    <row r="861" spans="1:10" x14ac:dyDescent="0.25">
      <c r="A861" s="38"/>
      <c r="D861" s="38"/>
      <c r="F861" s="38"/>
      <c r="I861" s="38"/>
      <c r="J861" s="38"/>
    </row>
    <row r="862" spans="1:10" x14ac:dyDescent="0.25">
      <c r="A862" s="38"/>
      <c r="D862" s="38"/>
      <c r="F862" s="38"/>
      <c r="I862" s="38"/>
      <c r="J862" s="38"/>
    </row>
    <row r="863" spans="1:10" x14ac:dyDescent="0.25">
      <c r="A863" s="38"/>
      <c r="D863" s="38"/>
      <c r="F863" s="38"/>
      <c r="I863" s="38"/>
      <c r="J863" s="38"/>
    </row>
    <row r="864" spans="1:10" x14ac:dyDescent="0.25">
      <c r="A864" s="38"/>
      <c r="D864" s="38"/>
      <c r="F864" s="38"/>
      <c r="I864" s="38"/>
      <c r="J864" s="38"/>
    </row>
    <row r="865" spans="1:10" x14ac:dyDescent="0.25">
      <c r="A865" s="38"/>
      <c r="D865" s="38"/>
      <c r="F865" s="38"/>
      <c r="I865" s="38"/>
      <c r="J865" s="38"/>
    </row>
    <row r="866" spans="1:10" x14ac:dyDescent="0.25">
      <c r="A866" s="38"/>
      <c r="D866" s="38"/>
      <c r="F866" s="38"/>
      <c r="I866" s="38"/>
      <c r="J866" s="38"/>
    </row>
    <row r="867" spans="1:10" x14ac:dyDescent="0.25">
      <c r="A867" s="38"/>
      <c r="D867" s="38"/>
      <c r="F867" s="38"/>
      <c r="I867" s="38"/>
      <c r="J867" s="38"/>
    </row>
    <row r="868" spans="1:10" x14ac:dyDescent="0.25">
      <c r="A868" s="38"/>
      <c r="D868" s="38"/>
      <c r="F868" s="38"/>
      <c r="I868" s="38"/>
      <c r="J868" s="38"/>
    </row>
    <row r="869" spans="1:10" x14ac:dyDescent="0.25">
      <c r="A869" s="38"/>
      <c r="D869" s="38"/>
      <c r="F869" s="38"/>
      <c r="I869" s="38"/>
      <c r="J869" s="38"/>
    </row>
    <row r="870" spans="1:10" x14ac:dyDescent="0.25">
      <c r="A870" s="38"/>
      <c r="D870" s="38"/>
      <c r="F870" s="38"/>
      <c r="I870" s="38"/>
      <c r="J870" s="38"/>
    </row>
    <row r="871" spans="1:10" x14ac:dyDescent="0.25">
      <c r="A871" s="38"/>
      <c r="D871" s="38"/>
      <c r="F871" s="38"/>
      <c r="I871" s="38"/>
      <c r="J871" s="38"/>
    </row>
    <row r="872" spans="1:10" x14ac:dyDescent="0.25">
      <c r="A872" s="38"/>
      <c r="D872" s="38"/>
      <c r="F872" s="38"/>
      <c r="I872" s="38"/>
      <c r="J872" s="38"/>
    </row>
    <row r="873" spans="1:10" x14ac:dyDescent="0.25">
      <c r="A873" s="38"/>
      <c r="D873" s="38"/>
      <c r="F873" s="38"/>
      <c r="I873" s="38"/>
      <c r="J873" s="38"/>
    </row>
    <row r="874" spans="1:10" x14ac:dyDescent="0.25">
      <c r="A874" s="38"/>
      <c r="D874" s="38"/>
      <c r="F874" s="38"/>
      <c r="I874" s="38"/>
      <c r="J874" s="38"/>
    </row>
    <row r="875" spans="1:10" x14ac:dyDescent="0.25">
      <c r="A875" s="38"/>
      <c r="D875" s="38"/>
      <c r="F875" s="38"/>
      <c r="I875" s="38"/>
      <c r="J875" s="38"/>
    </row>
    <row r="876" spans="1:10" x14ac:dyDescent="0.25">
      <c r="A876" s="38"/>
      <c r="D876" s="38"/>
      <c r="F876" s="38"/>
      <c r="I876" s="38"/>
      <c r="J876" s="38"/>
    </row>
    <row r="877" spans="1:10" x14ac:dyDescent="0.25">
      <c r="A877" s="38"/>
      <c r="D877" s="38"/>
      <c r="F877" s="38"/>
      <c r="I877" s="38"/>
      <c r="J877" s="38"/>
    </row>
    <row r="878" spans="1:10" x14ac:dyDescent="0.25">
      <c r="A878" s="38"/>
      <c r="D878" s="38"/>
      <c r="F878" s="38"/>
      <c r="I878" s="38"/>
      <c r="J878" s="38"/>
    </row>
    <row r="879" spans="1:10" x14ac:dyDescent="0.25">
      <c r="A879" s="38"/>
      <c r="D879" s="38"/>
      <c r="F879" s="38"/>
      <c r="I879" s="38"/>
      <c r="J879" s="38"/>
    </row>
    <row r="880" spans="1:10" x14ac:dyDescent="0.25">
      <c r="A880" s="38"/>
      <c r="D880" s="38"/>
      <c r="F880" s="38"/>
      <c r="I880" s="38"/>
      <c r="J880" s="38"/>
    </row>
    <row r="881" spans="1:10" x14ac:dyDescent="0.25">
      <c r="A881" s="38"/>
      <c r="D881" s="38"/>
      <c r="F881" s="38"/>
      <c r="I881" s="38"/>
      <c r="J881" s="38"/>
    </row>
    <row r="882" spans="1:10" x14ac:dyDescent="0.25">
      <c r="A882" s="38"/>
      <c r="D882" s="38"/>
      <c r="F882" s="38"/>
      <c r="I882" s="38"/>
      <c r="J882" s="38"/>
    </row>
    <row r="883" spans="1:10" x14ac:dyDescent="0.25">
      <c r="A883" s="38"/>
      <c r="D883" s="38"/>
      <c r="F883" s="38"/>
      <c r="I883" s="38"/>
      <c r="J883" s="38"/>
    </row>
    <row r="884" spans="1:10" x14ac:dyDescent="0.25">
      <c r="A884" s="38"/>
      <c r="D884" s="38"/>
      <c r="F884" s="38"/>
      <c r="I884" s="38"/>
      <c r="J884" s="38"/>
    </row>
    <row r="885" spans="1:10" x14ac:dyDescent="0.25">
      <c r="A885" s="38"/>
      <c r="D885" s="38"/>
      <c r="F885" s="38"/>
      <c r="I885" s="38"/>
      <c r="J885" s="38"/>
    </row>
    <row r="886" spans="1:10" x14ac:dyDescent="0.25">
      <c r="A886" s="38"/>
      <c r="D886" s="38"/>
      <c r="F886" s="38"/>
      <c r="I886" s="38"/>
      <c r="J886" s="38"/>
    </row>
    <row r="887" spans="1:10" x14ac:dyDescent="0.25">
      <c r="A887" s="38"/>
      <c r="D887" s="38"/>
      <c r="F887" s="38"/>
      <c r="I887" s="38"/>
      <c r="J887" s="38"/>
    </row>
    <row r="888" spans="1:10" x14ac:dyDescent="0.25">
      <c r="A888" s="38"/>
      <c r="D888" s="38"/>
      <c r="F888" s="38"/>
      <c r="I888" s="38"/>
      <c r="J888" s="38"/>
    </row>
    <row r="889" spans="1:10" x14ac:dyDescent="0.25">
      <c r="A889" s="38"/>
      <c r="D889" s="38"/>
      <c r="F889" s="38"/>
      <c r="I889" s="38"/>
      <c r="J889" s="38"/>
    </row>
    <row r="890" spans="1:10" x14ac:dyDescent="0.25">
      <c r="A890" s="38"/>
      <c r="D890" s="38"/>
      <c r="F890" s="38"/>
      <c r="I890" s="38"/>
      <c r="J890" s="38"/>
    </row>
    <row r="891" spans="1:10" x14ac:dyDescent="0.25">
      <c r="A891" s="38"/>
      <c r="D891" s="38"/>
      <c r="F891" s="38"/>
      <c r="I891" s="38"/>
      <c r="J891" s="38"/>
    </row>
    <row r="892" spans="1:10" x14ac:dyDescent="0.25">
      <c r="A892" s="38"/>
      <c r="D892" s="38"/>
      <c r="F892" s="38"/>
      <c r="I892" s="38"/>
      <c r="J892" s="38"/>
    </row>
    <row r="893" spans="1:10" x14ac:dyDescent="0.25">
      <c r="A893" s="38"/>
      <c r="D893" s="38"/>
      <c r="F893" s="38"/>
      <c r="I893" s="38"/>
      <c r="J893" s="38"/>
    </row>
    <row r="894" spans="1:10" x14ac:dyDescent="0.25">
      <c r="A894" s="38"/>
      <c r="D894" s="38"/>
      <c r="F894" s="38"/>
      <c r="I894" s="38"/>
      <c r="J894" s="38"/>
    </row>
    <row r="895" spans="1:10" x14ac:dyDescent="0.25">
      <c r="A895" s="38"/>
      <c r="D895" s="38"/>
      <c r="F895" s="38"/>
      <c r="I895" s="38"/>
      <c r="J895" s="38"/>
    </row>
    <row r="896" spans="1:10" x14ac:dyDescent="0.25">
      <c r="A896" s="38"/>
      <c r="D896" s="38"/>
      <c r="F896" s="38"/>
      <c r="I896" s="38"/>
      <c r="J896" s="38"/>
    </row>
    <row r="897" spans="1:10" x14ac:dyDescent="0.25">
      <c r="A897" s="38"/>
      <c r="D897" s="38"/>
      <c r="F897" s="38"/>
      <c r="I897" s="38"/>
      <c r="J897" s="38"/>
    </row>
    <row r="898" spans="1:10" x14ac:dyDescent="0.25">
      <c r="A898" s="38"/>
      <c r="D898" s="38"/>
      <c r="F898" s="38"/>
      <c r="I898" s="38"/>
      <c r="J898" s="38"/>
    </row>
    <row r="899" spans="1:10" x14ac:dyDescent="0.25">
      <c r="A899" s="38"/>
      <c r="D899" s="38"/>
      <c r="F899" s="38"/>
      <c r="I899" s="38"/>
      <c r="J899" s="38"/>
    </row>
    <row r="900" spans="1:10" x14ac:dyDescent="0.25">
      <c r="A900" s="38"/>
      <c r="D900" s="38"/>
      <c r="F900" s="38"/>
      <c r="I900" s="38"/>
      <c r="J900" s="38"/>
    </row>
    <row r="901" spans="1:10" x14ac:dyDescent="0.25">
      <c r="A901" s="38"/>
      <c r="D901" s="38"/>
      <c r="F901" s="38"/>
      <c r="I901" s="38"/>
      <c r="J901" s="38"/>
    </row>
    <row r="902" spans="1:10" x14ac:dyDescent="0.25">
      <c r="A902" s="38"/>
      <c r="D902" s="38"/>
      <c r="F902" s="38"/>
      <c r="I902" s="38"/>
      <c r="J902" s="38"/>
    </row>
    <row r="903" spans="1:10" x14ac:dyDescent="0.25">
      <c r="A903" s="38"/>
      <c r="D903" s="38"/>
      <c r="F903" s="38"/>
      <c r="I903" s="38"/>
      <c r="J903" s="38"/>
    </row>
    <row r="904" spans="1:10" x14ac:dyDescent="0.25">
      <c r="A904" s="38"/>
      <c r="D904" s="38"/>
      <c r="F904" s="38"/>
      <c r="I904" s="38"/>
      <c r="J904" s="38"/>
    </row>
    <row r="905" spans="1:10" x14ac:dyDescent="0.25">
      <c r="A905" s="38"/>
      <c r="D905" s="38"/>
      <c r="F905" s="38"/>
      <c r="I905" s="38"/>
      <c r="J905" s="38"/>
    </row>
    <row r="906" spans="1:10" x14ac:dyDescent="0.25">
      <c r="A906" s="38"/>
      <c r="D906" s="38"/>
      <c r="F906" s="38"/>
      <c r="I906" s="38"/>
      <c r="J906" s="38"/>
    </row>
    <row r="907" spans="1:10" x14ac:dyDescent="0.25">
      <c r="A907" s="38"/>
      <c r="D907" s="38"/>
      <c r="F907" s="38"/>
      <c r="I907" s="38"/>
      <c r="J907" s="38"/>
    </row>
    <row r="908" spans="1:10" x14ac:dyDescent="0.25">
      <c r="A908" s="38"/>
      <c r="D908" s="38"/>
      <c r="F908" s="38"/>
      <c r="I908" s="38"/>
      <c r="J908" s="38"/>
    </row>
    <row r="909" spans="1:10" x14ac:dyDescent="0.25">
      <c r="A909" s="38"/>
      <c r="D909" s="38"/>
      <c r="F909" s="38"/>
      <c r="I909" s="38"/>
      <c r="J909" s="38"/>
    </row>
    <row r="910" spans="1:10" x14ac:dyDescent="0.25">
      <c r="A910" s="38"/>
      <c r="D910" s="38"/>
      <c r="F910" s="38"/>
      <c r="I910" s="38"/>
      <c r="J910" s="38"/>
    </row>
    <row r="911" spans="1:10" x14ac:dyDescent="0.25">
      <c r="A911" s="38"/>
      <c r="D911" s="38"/>
      <c r="F911" s="38"/>
      <c r="I911" s="38"/>
      <c r="J911" s="38"/>
    </row>
    <row r="912" spans="1:10" x14ac:dyDescent="0.25">
      <c r="A912" s="38"/>
      <c r="D912" s="38"/>
      <c r="F912" s="38"/>
      <c r="I912" s="38"/>
      <c r="J912" s="38"/>
    </row>
    <row r="913" spans="1:10" x14ac:dyDescent="0.25">
      <c r="A913" s="38"/>
      <c r="D913" s="38"/>
      <c r="F913" s="38"/>
      <c r="I913" s="38"/>
      <c r="J913" s="38"/>
    </row>
    <row r="914" spans="1:10" x14ac:dyDescent="0.25">
      <c r="A914" s="38"/>
      <c r="D914" s="38"/>
      <c r="F914" s="38"/>
      <c r="I914" s="38"/>
      <c r="J914" s="38"/>
    </row>
    <row r="915" spans="1:10" x14ac:dyDescent="0.25">
      <c r="A915" s="38"/>
      <c r="D915" s="38"/>
      <c r="F915" s="38"/>
      <c r="I915" s="38"/>
      <c r="J915" s="38"/>
    </row>
    <row r="916" spans="1:10" x14ac:dyDescent="0.25">
      <c r="A916" s="38"/>
      <c r="D916" s="38"/>
      <c r="F916" s="38"/>
      <c r="I916" s="38"/>
      <c r="J916" s="38"/>
    </row>
    <row r="917" spans="1:10" x14ac:dyDescent="0.25">
      <c r="A917" s="38"/>
      <c r="D917" s="38"/>
      <c r="F917" s="38"/>
      <c r="I917" s="38"/>
      <c r="J917" s="38"/>
    </row>
    <row r="918" spans="1:10" x14ac:dyDescent="0.25">
      <c r="A918" s="38"/>
      <c r="D918" s="38"/>
      <c r="F918" s="38"/>
      <c r="I918" s="38"/>
      <c r="J918" s="38"/>
    </row>
    <row r="919" spans="1:10" x14ac:dyDescent="0.25">
      <c r="A919" s="38"/>
      <c r="D919" s="38"/>
      <c r="F919" s="38"/>
      <c r="I919" s="38"/>
      <c r="J919" s="38"/>
    </row>
    <row r="920" spans="1:10" x14ac:dyDescent="0.25">
      <c r="A920" s="38"/>
      <c r="D920" s="38"/>
      <c r="F920" s="38"/>
      <c r="I920" s="38"/>
      <c r="J920" s="38"/>
    </row>
    <row r="921" spans="1:10" x14ac:dyDescent="0.25">
      <c r="A921" s="38"/>
      <c r="D921" s="38"/>
      <c r="F921" s="38"/>
      <c r="I921" s="38"/>
      <c r="J921" s="38"/>
    </row>
    <row r="922" spans="1:10" x14ac:dyDescent="0.25">
      <c r="A922" s="38"/>
      <c r="D922" s="38"/>
      <c r="F922" s="38"/>
      <c r="I922" s="38"/>
      <c r="J922" s="38"/>
    </row>
    <row r="923" spans="1:10" x14ac:dyDescent="0.25">
      <c r="A923" s="38"/>
      <c r="D923" s="38"/>
      <c r="F923" s="38"/>
      <c r="I923" s="38"/>
      <c r="J923" s="38"/>
    </row>
    <row r="924" spans="1:10" x14ac:dyDescent="0.25">
      <c r="A924" s="38"/>
      <c r="D924" s="38"/>
      <c r="F924" s="38"/>
      <c r="I924" s="38"/>
      <c r="J924" s="38"/>
    </row>
    <row r="925" spans="1:10" x14ac:dyDescent="0.25">
      <c r="A925" s="38"/>
      <c r="D925" s="38"/>
      <c r="F925" s="38"/>
      <c r="I925" s="38"/>
      <c r="J925" s="38"/>
    </row>
    <row r="926" spans="1:10" x14ac:dyDescent="0.25">
      <c r="A926" s="38"/>
      <c r="D926" s="38"/>
      <c r="F926" s="38"/>
      <c r="I926" s="38"/>
      <c r="J926" s="38"/>
    </row>
    <row r="927" spans="1:10" x14ac:dyDescent="0.25">
      <c r="A927" s="38"/>
      <c r="D927" s="38"/>
      <c r="F927" s="38"/>
      <c r="I927" s="38"/>
      <c r="J927" s="38"/>
    </row>
    <row r="928" spans="1:10" x14ac:dyDescent="0.25">
      <c r="A928" s="38"/>
      <c r="D928" s="38"/>
      <c r="F928" s="38"/>
      <c r="I928" s="38"/>
      <c r="J928" s="38"/>
    </row>
    <row r="929" spans="1:10" x14ac:dyDescent="0.25">
      <c r="A929" s="38"/>
      <c r="D929" s="38"/>
      <c r="F929" s="38"/>
      <c r="I929" s="38"/>
      <c r="J929" s="38"/>
    </row>
    <row r="930" spans="1:10" x14ac:dyDescent="0.25">
      <c r="A930" s="38"/>
      <c r="D930" s="38"/>
      <c r="F930" s="38"/>
      <c r="I930" s="38"/>
      <c r="J930" s="38"/>
    </row>
    <row r="931" spans="1:10" x14ac:dyDescent="0.25">
      <c r="A931" s="38"/>
      <c r="D931" s="38"/>
      <c r="F931" s="38"/>
      <c r="I931" s="38"/>
      <c r="J931" s="38"/>
    </row>
    <row r="932" spans="1:10" x14ac:dyDescent="0.25">
      <c r="A932" s="38"/>
      <c r="D932" s="38"/>
      <c r="F932" s="38"/>
      <c r="I932" s="38"/>
      <c r="J932" s="38"/>
    </row>
    <row r="933" spans="1:10" x14ac:dyDescent="0.25">
      <c r="A933" s="38"/>
      <c r="D933" s="38"/>
      <c r="F933" s="38"/>
      <c r="I933" s="38"/>
      <c r="J933" s="38"/>
    </row>
    <row r="934" spans="1:10" x14ac:dyDescent="0.25">
      <c r="A934" s="38"/>
      <c r="D934" s="38"/>
      <c r="F934" s="38"/>
      <c r="I934" s="38"/>
      <c r="J934" s="38"/>
    </row>
    <row r="935" spans="1:10" x14ac:dyDescent="0.25">
      <c r="A935" s="38"/>
      <c r="D935" s="38"/>
      <c r="F935" s="38"/>
      <c r="I935" s="38"/>
      <c r="J935" s="38"/>
    </row>
    <row r="936" spans="1:10" x14ac:dyDescent="0.25">
      <c r="A936" s="38"/>
      <c r="D936" s="38"/>
      <c r="F936" s="38"/>
      <c r="I936" s="38"/>
      <c r="J936" s="38"/>
    </row>
    <row r="937" spans="1:10" x14ac:dyDescent="0.25">
      <c r="A937" s="38"/>
      <c r="D937" s="38"/>
      <c r="F937" s="38"/>
      <c r="I937" s="38"/>
      <c r="J937" s="38"/>
    </row>
    <row r="938" spans="1:10" x14ac:dyDescent="0.25">
      <c r="A938" s="38"/>
      <c r="D938" s="38"/>
      <c r="F938" s="38"/>
      <c r="I938" s="38"/>
      <c r="J938" s="38"/>
    </row>
    <row r="939" spans="1:10" x14ac:dyDescent="0.25">
      <c r="A939" s="38"/>
      <c r="D939" s="38"/>
      <c r="F939" s="38"/>
      <c r="I939" s="38"/>
      <c r="J939" s="38"/>
    </row>
    <row r="940" spans="1:10" x14ac:dyDescent="0.25">
      <c r="A940" s="38"/>
      <c r="D940" s="38"/>
      <c r="F940" s="38"/>
      <c r="I940" s="38"/>
      <c r="J940" s="38"/>
    </row>
    <row r="941" spans="1:10" x14ac:dyDescent="0.25">
      <c r="A941" s="38"/>
      <c r="D941" s="38"/>
      <c r="F941" s="38"/>
      <c r="I941" s="38"/>
      <c r="J941" s="38"/>
    </row>
    <row r="942" spans="1:10" x14ac:dyDescent="0.25">
      <c r="A942" s="38"/>
      <c r="D942" s="38"/>
      <c r="F942" s="38"/>
      <c r="I942" s="38"/>
      <c r="J942" s="38"/>
    </row>
    <row r="943" spans="1:10" x14ac:dyDescent="0.25">
      <c r="A943" s="38"/>
      <c r="D943" s="38"/>
      <c r="F943" s="38"/>
      <c r="I943" s="38"/>
      <c r="J943" s="38"/>
    </row>
    <row r="944" spans="1:10" x14ac:dyDescent="0.25">
      <c r="A944" s="38"/>
      <c r="D944" s="38"/>
      <c r="F944" s="38"/>
      <c r="I944" s="38"/>
      <c r="J944" s="38"/>
    </row>
    <row r="945" spans="1:10" x14ac:dyDescent="0.25">
      <c r="A945" s="38"/>
      <c r="D945" s="38"/>
      <c r="F945" s="38"/>
      <c r="I945" s="38"/>
      <c r="J945" s="38"/>
    </row>
    <row r="946" spans="1:10" x14ac:dyDescent="0.25">
      <c r="A946" s="38"/>
      <c r="D946" s="38"/>
      <c r="F946" s="38"/>
      <c r="I946" s="38"/>
      <c r="J946" s="38"/>
    </row>
    <row r="947" spans="1:10" x14ac:dyDescent="0.25">
      <c r="A947" s="38"/>
      <c r="D947" s="38"/>
      <c r="F947" s="38"/>
      <c r="I947" s="38"/>
      <c r="J947" s="38"/>
    </row>
    <row r="948" spans="1:10" x14ac:dyDescent="0.25">
      <c r="A948" s="38"/>
      <c r="D948" s="38"/>
      <c r="F948" s="38"/>
      <c r="I948" s="38"/>
      <c r="J948" s="38"/>
    </row>
    <row r="949" spans="1:10" x14ac:dyDescent="0.25">
      <c r="A949" s="38"/>
      <c r="D949" s="38"/>
      <c r="F949" s="38"/>
      <c r="I949" s="38"/>
      <c r="J949" s="38"/>
    </row>
    <row r="950" spans="1:10" x14ac:dyDescent="0.25">
      <c r="A950" s="38"/>
      <c r="D950" s="38"/>
      <c r="F950" s="38"/>
      <c r="I950" s="38"/>
      <c r="J950" s="38"/>
    </row>
    <row r="951" spans="1:10" x14ac:dyDescent="0.25">
      <c r="A951" s="38"/>
      <c r="D951" s="38"/>
      <c r="F951" s="38"/>
      <c r="I951" s="38"/>
      <c r="J951" s="38"/>
    </row>
    <row r="952" spans="1:10" x14ac:dyDescent="0.25">
      <c r="A952" s="38"/>
      <c r="D952" s="38"/>
      <c r="F952" s="38"/>
      <c r="I952" s="38"/>
      <c r="J952" s="38"/>
    </row>
    <row r="953" spans="1:10" x14ac:dyDescent="0.25">
      <c r="A953" s="38"/>
      <c r="D953" s="38"/>
      <c r="F953" s="38"/>
      <c r="I953" s="38"/>
      <c r="J953" s="38"/>
    </row>
    <row r="954" spans="1:10" x14ac:dyDescent="0.25">
      <c r="A954" s="38"/>
      <c r="D954" s="38"/>
      <c r="F954" s="38"/>
      <c r="I954" s="38"/>
      <c r="J954" s="38"/>
    </row>
    <row r="955" spans="1:10" x14ac:dyDescent="0.25">
      <c r="A955" s="38"/>
      <c r="D955" s="38"/>
      <c r="F955" s="38"/>
      <c r="I955" s="38"/>
      <c r="J955" s="38"/>
    </row>
    <row r="956" spans="1:10" x14ac:dyDescent="0.25">
      <c r="A956" s="38"/>
      <c r="D956" s="38"/>
      <c r="F956" s="38"/>
      <c r="I956" s="38"/>
      <c r="J956" s="38"/>
    </row>
    <row r="957" spans="1:10" x14ac:dyDescent="0.25">
      <c r="A957" s="38"/>
      <c r="D957" s="38"/>
      <c r="F957" s="38"/>
      <c r="I957" s="38"/>
      <c r="J957" s="38"/>
    </row>
    <row r="958" spans="1:10" x14ac:dyDescent="0.25">
      <c r="A958" s="38"/>
      <c r="D958" s="38"/>
      <c r="F958" s="38"/>
      <c r="I958" s="38"/>
      <c r="J958" s="38"/>
    </row>
    <row r="959" spans="1:10" x14ac:dyDescent="0.25">
      <c r="A959" s="38"/>
      <c r="D959" s="38"/>
      <c r="F959" s="38"/>
      <c r="I959" s="38"/>
      <c r="J959" s="38"/>
    </row>
    <row r="960" spans="1:10" x14ac:dyDescent="0.25">
      <c r="A960" s="38"/>
      <c r="D960" s="38"/>
      <c r="F960" s="38"/>
      <c r="I960" s="38"/>
      <c r="J960" s="38"/>
    </row>
    <row r="961" spans="1:10" x14ac:dyDescent="0.25">
      <c r="A961" s="38"/>
      <c r="D961" s="38"/>
      <c r="F961" s="38"/>
      <c r="I961" s="38"/>
      <c r="J961" s="38"/>
    </row>
    <row r="962" spans="1:10" x14ac:dyDescent="0.25">
      <c r="A962" s="38"/>
      <c r="D962" s="38"/>
      <c r="F962" s="38"/>
      <c r="I962" s="38"/>
      <c r="J962" s="38"/>
    </row>
    <row r="963" spans="1:10" x14ac:dyDescent="0.25">
      <c r="A963" s="38"/>
      <c r="D963" s="38"/>
      <c r="F963" s="38"/>
      <c r="I963" s="38"/>
      <c r="J963" s="38"/>
    </row>
    <row r="964" spans="1:10" x14ac:dyDescent="0.25">
      <c r="A964" s="38"/>
      <c r="D964" s="38"/>
      <c r="F964" s="38"/>
      <c r="I964" s="38"/>
      <c r="J964" s="38"/>
    </row>
    <row r="965" spans="1:10" x14ac:dyDescent="0.25">
      <c r="A965" s="38"/>
      <c r="D965" s="38"/>
      <c r="F965" s="38"/>
      <c r="I965" s="38"/>
      <c r="J965" s="38"/>
    </row>
    <row r="966" spans="1:10" x14ac:dyDescent="0.25">
      <c r="A966" s="38"/>
      <c r="D966" s="38"/>
      <c r="F966" s="38"/>
      <c r="I966" s="38"/>
      <c r="J966" s="38"/>
    </row>
    <row r="967" spans="1:10" x14ac:dyDescent="0.25">
      <c r="A967" s="38"/>
      <c r="D967" s="38"/>
      <c r="F967" s="38"/>
      <c r="I967" s="38"/>
      <c r="J967" s="38"/>
    </row>
    <row r="968" spans="1:10" x14ac:dyDescent="0.25">
      <c r="A968" s="38"/>
      <c r="D968" s="38"/>
      <c r="F968" s="38"/>
      <c r="I968" s="38"/>
      <c r="J968" s="38"/>
    </row>
    <row r="969" spans="1:10" x14ac:dyDescent="0.25">
      <c r="A969" s="38"/>
      <c r="D969" s="38"/>
      <c r="F969" s="38"/>
      <c r="I969" s="38"/>
      <c r="J969" s="38"/>
    </row>
    <row r="970" spans="1:10" x14ac:dyDescent="0.25">
      <c r="A970" s="38"/>
      <c r="D970" s="38"/>
      <c r="F970" s="38"/>
      <c r="I970" s="38"/>
      <c r="J970" s="38"/>
    </row>
    <row r="971" spans="1:10" x14ac:dyDescent="0.25">
      <c r="A971" s="38"/>
      <c r="D971" s="38"/>
      <c r="F971" s="38"/>
      <c r="I971" s="38"/>
      <c r="J971" s="38"/>
    </row>
    <row r="972" spans="1:10" x14ac:dyDescent="0.25">
      <c r="A972" s="38"/>
      <c r="D972" s="38"/>
      <c r="F972" s="38"/>
      <c r="I972" s="38"/>
      <c r="J972" s="38"/>
    </row>
    <row r="973" spans="1:10" x14ac:dyDescent="0.25">
      <c r="A973" s="38"/>
      <c r="D973" s="38"/>
      <c r="F973" s="38"/>
      <c r="I973" s="38"/>
      <c r="J973" s="38"/>
    </row>
    <row r="974" spans="1:10" x14ac:dyDescent="0.25">
      <c r="A974" s="38"/>
      <c r="D974" s="38"/>
      <c r="F974" s="38"/>
      <c r="I974" s="38"/>
      <c r="J974" s="38"/>
    </row>
    <row r="975" spans="1:10" x14ac:dyDescent="0.25">
      <c r="A975" s="38"/>
      <c r="D975" s="38"/>
      <c r="F975" s="38"/>
      <c r="I975" s="38"/>
      <c r="J975" s="38"/>
    </row>
    <row r="976" spans="1:10" x14ac:dyDescent="0.25">
      <c r="A976" s="38"/>
      <c r="D976" s="38"/>
      <c r="F976" s="38"/>
      <c r="I976" s="38"/>
      <c r="J976" s="38"/>
    </row>
    <row r="977" spans="1:10" x14ac:dyDescent="0.25">
      <c r="A977" s="38"/>
      <c r="D977" s="38"/>
      <c r="F977" s="38"/>
      <c r="I977" s="38"/>
      <c r="J977" s="38"/>
    </row>
    <row r="978" spans="1:10" x14ac:dyDescent="0.25">
      <c r="A978" s="38"/>
      <c r="D978" s="38"/>
      <c r="F978" s="38"/>
      <c r="I978" s="38"/>
      <c r="J978" s="38"/>
    </row>
    <row r="979" spans="1:10" x14ac:dyDescent="0.25">
      <c r="A979" s="38"/>
      <c r="D979" s="38"/>
      <c r="F979" s="38"/>
      <c r="I979" s="38"/>
      <c r="J979" s="38"/>
    </row>
    <row r="980" spans="1:10" x14ac:dyDescent="0.25">
      <c r="A980" s="38"/>
      <c r="D980" s="38"/>
      <c r="F980" s="38"/>
      <c r="I980" s="38"/>
      <c r="J980" s="38"/>
    </row>
    <row r="981" spans="1:10" x14ac:dyDescent="0.25">
      <c r="A981" s="38"/>
      <c r="D981" s="38"/>
      <c r="F981" s="38"/>
      <c r="I981" s="38"/>
      <c r="J981" s="38"/>
    </row>
    <row r="982" spans="1:10" x14ac:dyDescent="0.25">
      <c r="A982" s="38"/>
      <c r="D982" s="38"/>
      <c r="F982" s="38"/>
      <c r="I982" s="38"/>
      <c r="J982" s="38"/>
    </row>
    <row r="983" spans="1:10" x14ac:dyDescent="0.25">
      <c r="A983" s="38"/>
      <c r="D983" s="38"/>
      <c r="F983" s="38"/>
      <c r="I983" s="38"/>
      <c r="J983" s="38"/>
    </row>
    <row r="984" spans="1:10" x14ac:dyDescent="0.25">
      <c r="A984" s="38"/>
      <c r="D984" s="38"/>
      <c r="F984" s="38"/>
      <c r="I984" s="38"/>
      <c r="J984" s="38"/>
    </row>
    <row r="985" spans="1:10" x14ac:dyDescent="0.25">
      <c r="A985" s="38"/>
      <c r="D985" s="38"/>
      <c r="F985" s="38"/>
      <c r="I985" s="38"/>
      <c r="J985" s="38"/>
    </row>
    <row r="986" spans="1:10" x14ac:dyDescent="0.25">
      <c r="A986" s="38"/>
      <c r="D986" s="38"/>
      <c r="F986" s="38"/>
      <c r="I986" s="38"/>
      <c r="J986" s="38"/>
    </row>
    <row r="987" spans="1:10" x14ac:dyDescent="0.25">
      <c r="A987" s="38"/>
      <c r="D987" s="38"/>
      <c r="F987" s="38"/>
      <c r="I987" s="38"/>
      <c r="J987" s="38"/>
    </row>
    <row r="988" spans="1:10" x14ac:dyDescent="0.25">
      <c r="A988" s="38"/>
      <c r="D988" s="38"/>
      <c r="F988" s="38"/>
      <c r="I988" s="38"/>
      <c r="J988" s="38"/>
    </row>
    <row r="989" spans="1:10" x14ac:dyDescent="0.25">
      <c r="A989" s="38"/>
      <c r="D989" s="38"/>
      <c r="F989" s="38"/>
      <c r="I989" s="38"/>
      <c r="J989" s="38"/>
    </row>
    <row r="990" spans="1:10" x14ac:dyDescent="0.25">
      <c r="A990" s="38"/>
      <c r="D990" s="38"/>
      <c r="F990" s="38"/>
      <c r="I990" s="38"/>
      <c r="J990" s="38"/>
    </row>
    <row r="991" spans="1:10" x14ac:dyDescent="0.25">
      <c r="A991" s="38"/>
      <c r="D991" s="38"/>
      <c r="F991" s="38"/>
      <c r="I991" s="38"/>
      <c r="J991" s="38"/>
    </row>
    <row r="992" spans="1:10" x14ac:dyDescent="0.25">
      <c r="A992" s="38"/>
      <c r="D992" s="38"/>
      <c r="F992" s="38"/>
      <c r="I992" s="38"/>
      <c r="J992" s="38"/>
    </row>
    <row r="993" spans="1:10" x14ac:dyDescent="0.25">
      <c r="A993" s="38"/>
      <c r="D993" s="38"/>
      <c r="F993" s="38"/>
      <c r="I993" s="38"/>
      <c r="J993" s="38"/>
    </row>
    <row r="994" spans="1:10" x14ac:dyDescent="0.25">
      <c r="A994" s="38"/>
      <c r="D994" s="38"/>
      <c r="F994" s="38"/>
      <c r="I994" s="38"/>
      <c r="J994" s="38"/>
    </row>
    <row r="995" spans="1:10" x14ac:dyDescent="0.25">
      <c r="A995" s="38"/>
      <c r="D995" s="38"/>
      <c r="F995" s="38"/>
      <c r="I995" s="38"/>
      <c r="J995" s="38"/>
    </row>
    <row r="996" spans="1:10" x14ac:dyDescent="0.25">
      <c r="A996" s="38"/>
      <c r="D996" s="38"/>
      <c r="F996" s="38"/>
      <c r="I996" s="38"/>
      <c r="J996" s="38"/>
    </row>
    <row r="997" spans="1:10" x14ac:dyDescent="0.25">
      <c r="A997" s="38"/>
      <c r="D997" s="38"/>
      <c r="F997" s="38"/>
      <c r="I997" s="38"/>
      <c r="J997" s="38"/>
    </row>
    <row r="998" spans="1:10" x14ac:dyDescent="0.25">
      <c r="A998" s="38"/>
      <c r="D998" s="38"/>
      <c r="F998" s="38"/>
      <c r="I998" s="38"/>
      <c r="J998" s="38"/>
    </row>
    <row r="999" spans="1:10" x14ac:dyDescent="0.25">
      <c r="A999" s="38"/>
      <c r="D999" s="38"/>
      <c r="F999" s="38"/>
      <c r="I999" s="38"/>
      <c r="J999" s="38"/>
    </row>
    <row r="1000" spans="1:10" x14ac:dyDescent="0.25">
      <c r="A1000" s="38"/>
      <c r="D1000" s="38"/>
      <c r="F1000" s="38"/>
      <c r="I1000" s="38"/>
      <c r="J1000" s="38"/>
    </row>
    <row r="1001" spans="1:10" x14ac:dyDescent="0.25">
      <c r="A1001" s="38"/>
      <c r="D1001" s="38"/>
      <c r="F1001" s="38"/>
      <c r="I1001" s="38"/>
      <c r="J1001" s="38"/>
    </row>
    <row r="1002" spans="1:10" x14ac:dyDescent="0.25">
      <c r="A1002" s="38"/>
      <c r="D1002" s="38"/>
      <c r="F1002" s="38"/>
      <c r="I1002" s="38"/>
      <c r="J1002" s="38"/>
    </row>
    <row r="1003" spans="1:10" x14ac:dyDescent="0.25">
      <c r="A1003" s="38"/>
      <c r="D1003" s="38"/>
      <c r="F1003" s="38"/>
      <c r="I1003" s="38"/>
      <c r="J1003" s="38"/>
    </row>
    <row r="1004" spans="1:10" x14ac:dyDescent="0.25">
      <c r="A1004" s="38"/>
      <c r="D1004" s="38"/>
      <c r="F1004" s="38"/>
      <c r="I1004" s="38"/>
      <c r="J1004" s="3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C2DA79-D59E-423E-9200-9A99853EA6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Кат</vt:lpstr>
      <vt:lpstr>Импорт</vt:lpstr>
      <vt:lpstr>Наценка</vt:lpstr>
      <vt:lpstr>Выгр Кат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Алексей Тонких</dc:creator>
  <cp:lastModifiedBy>Snab TimeTurbo</cp:lastModifiedBy>
  <dcterms:created xsi:type="dcterms:W3CDTF">2023-09-22T05:02:39Z</dcterms:created>
  <dcterms:modified xsi:type="dcterms:W3CDTF">2024-07-01T12:11:11Z</dcterms:modified>
</cp:coreProperties>
</file>