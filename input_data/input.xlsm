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/>
  <workbookPr filterPrivacy="1"/>
  <xr:revisionPtr revIDLastSave="0" documentId="13_ncr:1_{F22A5D7C-297D-4F91-990D-8D70582897B7}" xr6:coauthVersionLast="47" xr6:coauthVersionMax="47" xr10:uidLastSave="{00000000-0000-0000-0000-000000000000}"/>
  <bookViews>
    <workbookView xWindow="28680" yWindow="-120" windowWidth="29040" windowHeight="15990" activeTab="3" xr2:uid="{00000000-000D-0000-FFFF-FFFF00000000}"/>
  </bookViews>
  <sheets>
    <sheet name="Кардан" sheetId="3" r:id="rId1"/>
    <sheet name="Кардан Выгр Кат" sheetId="1" r:id="rId2"/>
    <sheet name="Генераторы" sheetId="5" r:id="rId3"/>
    <sheet name="Генер Выгр Кат" sheetId="6" r:id="rId4"/>
    <sheet name="Парсинг" sheetId="4" r:id="rId5"/>
    <sheet name="ссылки" sheetId="7" r:id="rId6"/>
  </sheets>
  <definedNames>
    <definedName name="_xlnm._FilterDatabase" localSheetId="2" hidden="1">Генераторы!$A$2:$W$2</definedName>
    <definedName name="_xlnm._FilterDatabase" localSheetId="0" hidden="1">Кардан!$A$2:$T$21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6" i="3" l="1"/>
  <c r="J16" i="3" s="1"/>
  <c r="K9" i="3"/>
  <c r="J9" i="3" s="1"/>
  <c r="O12" i="5"/>
  <c r="O11" i="5"/>
  <c r="O10" i="5"/>
  <c r="O9" i="5"/>
  <c r="O8" i="5"/>
  <c r="O7" i="5"/>
  <c r="O6" i="5"/>
  <c r="O5" i="5"/>
  <c r="O4" i="5"/>
  <c r="O3" i="5"/>
  <c r="L12" i="5"/>
  <c r="L11" i="5"/>
  <c r="L10" i="5"/>
  <c r="L9" i="5"/>
  <c r="L8" i="5"/>
  <c r="L7" i="5"/>
  <c r="L6" i="5"/>
  <c r="L5" i="5"/>
  <c r="L4" i="5"/>
  <c r="L3" i="5"/>
  <c r="I12" i="5"/>
  <c r="I11" i="5"/>
  <c r="I9" i="5"/>
  <c r="I7" i="5"/>
  <c r="I5" i="5"/>
  <c r="I3" i="5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N4" i="1"/>
  <c r="N3" i="1"/>
  <c r="N2" i="1"/>
  <c r="B3" i="5"/>
  <c r="C3" i="5"/>
  <c r="D3" i="5"/>
  <c r="N2" i="6" s="1"/>
  <c r="E3" i="5"/>
  <c r="F3" i="5"/>
  <c r="G3" i="5"/>
  <c r="U3" i="5"/>
  <c r="V3" i="5" s="1"/>
  <c r="B4" i="5"/>
  <c r="C4" i="5"/>
  <c r="D4" i="5"/>
  <c r="N3" i="6" s="1"/>
  <c r="E4" i="5"/>
  <c r="F4" i="5"/>
  <c r="G4" i="5"/>
  <c r="U4" i="5"/>
  <c r="V4" i="5" s="1"/>
  <c r="B5" i="5"/>
  <c r="C5" i="5"/>
  <c r="D5" i="5"/>
  <c r="N4" i="6" s="1"/>
  <c r="E5" i="5"/>
  <c r="F5" i="5"/>
  <c r="G5" i="5"/>
  <c r="U5" i="5"/>
  <c r="V5" i="5" s="1"/>
  <c r="B6" i="5"/>
  <c r="C6" i="5"/>
  <c r="D6" i="5"/>
  <c r="N5" i="6" s="1"/>
  <c r="E6" i="5"/>
  <c r="F6" i="5"/>
  <c r="G6" i="5"/>
  <c r="U6" i="5"/>
  <c r="V6" i="5" s="1"/>
  <c r="B7" i="5"/>
  <c r="C7" i="5"/>
  <c r="D7" i="5"/>
  <c r="N6" i="6" s="1"/>
  <c r="E7" i="5"/>
  <c r="F7" i="5"/>
  <c r="G7" i="5"/>
  <c r="U7" i="5"/>
  <c r="V7" i="5" s="1"/>
  <c r="B8" i="5"/>
  <c r="C8" i="5"/>
  <c r="D8" i="5"/>
  <c r="N7" i="6" s="1"/>
  <c r="E8" i="5"/>
  <c r="F8" i="5"/>
  <c r="G8" i="5"/>
  <c r="U8" i="5"/>
  <c r="V8" i="5"/>
  <c r="B9" i="5"/>
  <c r="C9" i="5"/>
  <c r="D9" i="5"/>
  <c r="N8" i="6" s="1"/>
  <c r="E9" i="5"/>
  <c r="F9" i="5"/>
  <c r="U9" i="5" s="1"/>
  <c r="G9" i="5"/>
  <c r="B10" i="5"/>
  <c r="C10" i="5"/>
  <c r="D10" i="5"/>
  <c r="N9" i="6" s="1"/>
  <c r="E10" i="5"/>
  <c r="F10" i="5"/>
  <c r="G10" i="5"/>
  <c r="U10" i="5"/>
  <c r="V10" i="5" s="1"/>
  <c r="B11" i="5"/>
  <c r="C11" i="5"/>
  <c r="D11" i="5"/>
  <c r="N10" i="6" s="1"/>
  <c r="E11" i="5"/>
  <c r="F11" i="5"/>
  <c r="U11" i="5" s="1"/>
  <c r="V11" i="5" s="1"/>
  <c r="G11" i="5"/>
  <c r="B12" i="5"/>
  <c r="C12" i="5"/>
  <c r="D12" i="5"/>
  <c r="N11" i="6" s="1"/>
  <c r="E12" i="5"/>
  <c r="F12" i="5"/>
  <c r="G12" i="5"/>
  <c r="U12" i="5"/>
  <c r="V12" i="5" s="1"/>
  <c r="U15" i="5"/>
  <c r="K3" i="3"/>
  <c r="S17" i="3"/>
  <c r="S18" i="3"/>
  <c r="S20" i="3"/>
  <c r="S21" i="3"/>
  <c r="S11" i="3"/>
  <c r="S10" i="3"/>
  <c r="S9" i="3"/>
  <c r="S8" i="3"/>
  <c r="S7" i="3"/>
  <c r="S6" i="3"/>
  <c r="S3" i="3"/>
  <c r="P3" i="3"/>
  <c r="P7" i="3"/>
  <c r="P8" i="3"/>
  <c r="P9" i="3"/>
  <c r="P10" i="3"/>
  <c r="P12" i="3"/>
  <c r="P14" i="3"/>
  <c r="P15" i="3"/>
  <c r="P17" i="3"/>
  <c r="P18" i="3"/>
  <c r="P20" i="3"/>
  <c r="P21" i="3"/>
  <c r="M18" i="3"/>
  <c r="M16" i="3"/>
  <c r="M15" i="3"/>
  <c r="M14" i="3"/>
  <c r="M13" i="3"/>
  <c r="M12" i="3"/>
  <c r="M11" i="3"/>
  <c r="M10" i="3"/>
  <c r="M9" i="3"/>
  <c r="M8" i="3"/>
  <c r="M7" i="3"/>
  <c r="M6" i="3"/>
  <c r="M3" i="3"/>
  <c r="V9" i="5" l="1"/>
  <c r="X3" i="5"/>
  <c r="X10" i="5"/>
  <c r="W10" i="5"/>
  <c r="W3" i="5"/>
  <c r="X4" i="5"/>
  <c r="W4" i="5"/>
  <c r="W9" i="5"/>
  <c r="X9" i="5"/>
  <c r="W8" i="5"/>
  <c r="W7" i="5"/>
  <c r="X7" i="5"/>
  <c r="W11" i="5"/>
  <c r="X11" i="5"/>
  <c r="X5" i="5"/>
  <c r="W5" i="5"/>
  <c r="W12" i="5"/>
  <c r="X12" i="5"/>
  <c r="W6" i="5"/>
  <c r="X6" i="5"/>
  <c r="X8" i="5"/>
  <c r="I19" i="3"/>
  <c r="I5" i="3"/>
  <c r="I4" i="3"/>
  <c r="J3" i="3"/>
  <c r="K6" i="3"/>
  <c r="J6" i="3" s="1"/>
  <c r="K7" i="3"/>
  <c r="J7" i="3" s="1"/>
  <c r="K8" i="3"/>
  <c r="J8" i="3" s="1"/>
  <c r="K10" i="3"/>
  <c r="J10" i="3" s="1"/>
  <c r="K11" i="3"/>
  <c r="J11" i="3" s="1"/>
  <c r="K12" i="3"/>
  <c r="J12" i="3" s="1"/>
  <c r="K13" i="3"/>
  <c r="J13" i="3" s="1"/>
  <c r="K14" i="3"/>
  <c r="J14" i="3" s="1"/>
  <c r="K15" i="3"/>
  <c r="J15" i="3" s="1"/>
  <c r="K17" i="3"/>
  <c r="J17" i="3" s="1"/>
  <c r="K18" i="3"/>
  <c r="J18" i="3" s="1"/>
  <c r="K20" i="3"/>
  <c r="J20" i="3" s="1"/>
  <c r="K21" i="3"/>
  <c r="J21" i="3" s="1"/>
  <c r="H10" i="3"/>
  <c r="G10" i="3"/>
  <c r="B4" i="3"/>
  <c r="C4" i="3"/>
  <c r="D4" i="3"/>
  <c r="E4" i="3"/>
  <c r="B5" i="3"/>
  <c r="C5" i="3"/>
  <c r="D5" i="3"/>
  <c r="E5" i="3"/>
  <c r="B6" i="3"/>
  <c r="C6" i="3"/>
  <c r="D6" i="3"/>
  <c r="E6" i="3"/>
  <c r="B7" i="3"/>
  <c r="C7" i="3"/>
  <c r="D7" i="3"/>
  <c r="E7" i="3"/>
  <c r="B8" i="3"/>
  <c r="C8" i="3"/>
  <c r="D8" i="3"/>
  <c r="E8" i="3"/>
  <c r="B9" i="3"/>
  <c r="C9" i="3"/>
  <c r="D9" i="3"/>
  <c r="E9" i="3"/>
  <c r="B10" i="3"/>
  <c r="C10" i="3"/>
  <c r="D10" i="3"/>
  <c r="E10" i="3"/>
  <c r="B11" i="3"/>
  <c r="C11" i="3"/>
  <c r="D11" i="3"/>
  <c r="E11" i="3"/>
  <c r="B12" i="3"/>
  <c r="C12" i="3"/>
  <c r="D12" i="3"/>
  <c r="E12" i="3"/>
  <c r="B13" i="3"/>
  <c r="C13" i="3"/>
  <c r="D13" i="3"/>
  <c r="E13" i="3"/>
  <c r="B14" i="3"/>
  <c r="C14" i="3"/>
  <c r="D14" i="3"/>
  <c r="E14" i="3"/>
  <c r="B15" i="3"/>
  <c r="C15" i="3"/>
  <c r="D15" i="3"/>
  <c r="E15" i="3"/>
  <c r="B16" i="3"/>
  <c r="C16" i="3"/>
  <c r="D16" i="3"/>
  <c r="E16" i="3"/>
  <c r="B17" i="3"/>
  <c r="C17" i="3"/>
  <c r="D17" i="3"/>
  <c r="E17" i="3"/>
  <c r="B18" i="3"/>
  <c r="C18" i="3"/>
  <c r="D18" i="3"/>
  <c r="E18" i="3"/>
  <c r="B19" i="3"/>
  <c r="C19" i="3"/>
  <c r="D19" i="3"/>
  <c r="E19" i="3"/>
  <c r="B20" i="3"/>
  <c r="C20" i="3"/>
  <c r="D20" i="3"/>
  <c r="E20" i="3"/>
  <c r="B21" i="3"/>
  <c r="C21" i="3"/>
  <c r="D21" i="3"/>
  <c r="E21" i="3"/>
  <c r="G4" i="3"/>
  <c r="H4" i="3"/>
  <c r="G5" i="3"/>
  <c r="H5" i="3"/>
  <c r="G6" i="3"/>
  <c r="H6" i="3"/>
  <c r="G7" i="3"/>
  <c r="H7" i="3"/>
  <c r="G8" i="3"/>
  <c r="H8" i="3"/>
  <c r="G9" i="3"/>
  <c r="I9" i="3" s="1"/>
  <c r="H9" i="3"/>
  <c r="G11" i="3"/>
  <c r="H11" i="3"/>
  <c r="G12" i="3"/>
  <c r="H12" i="3"/>
  <c r="G13" i="3"/>
  <c r="H13" i="3"/>
  <c r="G14" i="3"/>
  <c r="H14" i="3"/>
  <c r="G15" i="3"/>
  <c r="H15" i="3"/>
  <c r="G16" i="3"/>
  <c r="I16" i="3" s="1"/>
  <c r="H16" i="3"/>
  <c r="G17" i="3"/>
  <c r="H17" i="3"/>
  <c r="G18" i="3"/>
  <c r="H18" i="3"/>
  <c r="G19" i="3"/>
  <c r="H19" i="3"/>
  <c r="G20" i="3"/>
  <c r="H20" i="3"/>
  <c r="G21" i="3"/>
  <c r="H21" i="3"/>
  <c r="H3" i="3"/>
  <c r="G3" i="3"/>
  <c r="E3" i="3"/>
  <c r="D3" i="3"/>
  <c r="B3" i="3"/>
  <c r="C3" i="3"/>
  <c r="I11" i="3" l="1"/>
  <c r="I8" i="3"/>
  <c r="I10" i="3"/>
  <c r="I7" i="3"/>
  <c r="I21" i="3"/>
  <c r="I6" i="3"/>
  <c r="I20" i="3"/>
  <c r="I3" i="3"/>
  <c r="I18" i="3"/>
  <c r="I17" i="3"/>
  <c r="I15" i="3"/>
  <c r="I14" i="3"/>
  <c r="I13" i="3"/>
  <c r="I1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K3" authorId="0" shapeId="0" xr:uid="{A00583C8-C828-459E-B970-6E9D3772C671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8185</t>
        </r>
      </text>
    </comment>
    <comment ref="N3" authorId="0" shapeId="0" xr:uid="{3BE33B79-3FD0-437A-AA65-3D7D9432A541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7675</t>
        </r>
      </text>
    </comment>
    <comment ref="Q3" authorId="0" shapeId="0" xr:uid="{7EF3CEEE-B1EC-463A-A1C5-BEFA2CDC8F7A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8131</t>
        </r>
      </text>
    </comment>
    <comment ref="T3" authorId="0" shapeId="0" xr:uid="{62EC3638-FC4B-4A0C-A47C-4B28AF9269F3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7941</t>
        </r>
      </text>
    </comment>
    <comment ref="K4" authorId="0" shapeId="0" xr:uid="{AD3B2794-479F-43A5-A694-7A96173BF0A1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8069</t>
        </r>
      </text>
    </comment>
    <comment ref="N4" authorId="0" shapeId="0" xr:uid="{180AA863-8EE9-4CBD-BADE-43D663B87A20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8225</t>
        </r>
      </text>
    </comment>
    <comment ref="Q4" authorId="0" shapeId="0" xr:uid="{D085A481-180A-4BB2-990C-9FA54EC7E925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8716</t>
        </r>
      </text>
    </comment>
    <comment ref="T4" authorId="0" shapeId="0" xr:uid="{C0FF3279-9907-46C6-80EA-AA97371A2C9A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7405</t>
        </r>
      </text>
    </comment>
    <comment ref="K5" authorId="0" shapeId="0" xr:uid="{0747B75F-CF37-494C-AE18-504801B2F5A0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9424</t>
        </r>
      </text>
    </comment>
    <comment ref="N5" authorId="0" shapeId="0" xr:uid="{15EE3BE1-B43E-4DE8-BF6C-5D4E501D39BE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8255</t>
        </r>
      </text>
    </comment>
    <comment ref="Q5" authorId="0" shapeId="0" xr:uid="{F1F86CCC-E9A2-40F7-96BC-1DD7FB21D0EB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8719</t>
        </r>
      </text>
    </comment>
    <comment ref="T5" authorId="0" shapeId="0" xr:uid="{6FB79C75-07DC-4F04-ACE9-D85E88DA3033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9462</t>
        </r>
      </text>
    </comment>
    <comment ref="K6" authorId="0" shapeId="0" xr:uid="{18DEABFC-D5AF-4889-96D8-783E0347B135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8859</t>
        </r>
      </text>
    </comment>
    <comment ref="N6" authorId="0" shapeId="0" xr:uid="{0BE3B39C-E99D-436D-865E-153FEA7A7C1F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9220</t>
        </r>
      </text>
    </comment>
    <comment ref="Q6" authorId="0" shapeId="0" xr:uid="{06121BF9-7150-49A9-B8DB-BA38D751D27E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9684</t>
        </r>
      </text>
    </comment>
    <comment ref="T6" authorId="0" shapeId="0" xr:uid="{DAB424D1-C147-4789-B91A-956550FF9104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9517</t>
        </r>
      </text>
    </comment>
    <comment ref="K7" authorId="0" shapeId="0" xr:uid="{0D39535C-4527-4DE7-BD13-1B0F08A58F55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8553</t>
        </r>
      </text>
    </comment>
    <comment ref="N7" authorId="0" shapeId="0" xr:uid="{1426A0F0-6A86-45CF-98EC-5B95B5DE63B8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8940</t>
        </r>
      </text>
    </comment>
    <comment ref="Q7" authorId="0" shapeId="0" xr:uid="{D271C6ED-9BEF-4923-A800-FF8C4EC60794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9317</t>
        </r>
      </text>
    </comment>
    <comment ref="T7" authorId="0" shapeId="0" xr:uid="{E33C6F9B-D2D9-44A0-899D-FF64AB0AE641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9097</t>
        </r>
      </text>
    </comment>
    <comment ref="N8" authorId="0" shapeId="0" xr:uid="{5DE076A2-6752-4AAC-8986-D0A6F02832F0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9270</t>
        </r>
      </text>
    </comment>
    <comment ref="Q8" authorId="0" shapeId="0" xr:uid="{A1A8CE81-AC0E-42AF-B36F-8BFAE1066ADC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9642</t>
        </r>
      </text>
    </comment>
    <comment ref="T8" authorId="0" shapeId="0" xr:uid="{4E5C8140-28BF-45D1-A889-0A8F71D6E3B3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10067</t>
        </r>
      </text>
    </comment>
    <comment ref="K9" authorId="0" shapeId="0" xr:uid="{6C771B28-FADA-4A3C-8A07-2F44F7E5EEDF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8635</t>
        </r>
      </text>
    </comment>
    <comment ref="N9" authorId="0" shapeId="0" xr:uid="{CBFEB1AA-2C64-4EA2-9AC9-D9F93C98301A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7635</t>
        </r>
      </text>
    </comment>
    <comment ref="Q9" authorId="0" shapeId="0" xr:uid="{F84315CD-9801-45C8-BBB8-59454861BAFF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7976</t>
        </r>
      </text>
    </comment>
    <comment ref="T9" authorId="0" shapeId="0" xr:uid="{C27F012B-5FC3-43C4-A89C-C01BDC115B57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6361</t>
        </r>
      </text>
    </comment>
    <comment ref="N10" authorId="0" shapeId="0" xr:uid="{F04EAE51-E34A-454F-805F-AF6EDBAA2CA8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8255</t>
        </r>
      </text>
    </comment>
    <comment ref="Q10" authorId="0" shapeId="0" xr:uid="{3A2DA925-A576-4CC5-9100-299352323DB6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8104</t>
        </r>
      </text>
    </comment>
    <comment ref="T10" authorId="0" shapeId="0" xr:uid="{6674537D-EFD7-406E-B355-97A7775C9E6C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9895</t>
        </r>
      </text>
    </comment>
    <comment ref="K11" authorId="0" shapeId="0" xr:uid="{7974FAB3-D496-4CCC-99AE-22081B6FFCB8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8095</t>
        </r>
      </text>
    </comment>
    <comment ref="N11" authorId="0" shapeId="0" xr:uid="{F377422F-F079-4C9E-867D-4170C8896604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7160</t>
        </r>
      </text>
    </comment>
    <comment ref="Q11" authorId="0" shapeId="0" xr:uid="{D0CA58AF-1793-4BE5-88E5-C5DC831C8A8D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7612</t>
        </r>
      </text>
    </comment>
    <comment ref="T11" authorId="0" shapeId="0" xr:uid="{51A17B60-A8E4-4335-BB73-9F06616786D0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6361</t>
        </r>
      </text>
    </comment>
    <comment ref="K12" authorId="0" shapeId="0" xr:uid="{F0E875B8-9189-44B5-8048-3B120214B8C1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9115</t>
        </r>
      </text>
    </comment>
    <comment ref="N12" authorId="0" shapeId="0" xr:uid="{5B6CB7DE-2EFD-4CC6-A374-AACAED2BC051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8060</t>
        </r>
      </text>
    </comment>
    <comment ref="Q12" authorId="0" shapeId="0" xr:uid="{0D513176-9230-4554-BE34-7A5ABF03415A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8524</t>
        </r>
      </text>
    </comment>
    <comment ref="T12" authorId="0" shapeId="0" xr:uid="{0C929F45-0E2C-4A19-9862-38B9CB35696B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7941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B24" authorId="0" shapeId="0" xr:uid="{DCF1AB80-07E3-49BF-A4A4-39BF01319785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8185</t>
        </r>
      </text>
    </comment>
    <comment ref="C24" authorId="0" shapeId="0" xr:uid="{8E79F48F-3565-4909-8C00-69DBD7231977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7675</t>
        </r>
      </text>
    </comment>
    <comment ref="D24" authorId="0" shapeId="0" xr:uid="{7FF7615A-7AF7-4A6F-B8D9-E7F85F5A3B42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8131</t>
        </r>
      </text>
    </comment>
    <comment ref="E24" authorId="0" shapeId="0" xr:uid="{52C2920F-3250-48A1-8BC8-78F4D8EA9B8D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7941</t>
        </r>
      </text>
    </comment>
    <comment ref="B25" authorId="0" shapeId="0" xr:uid="{21962520-3ED1-433E-A2A0-7BCC32469362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8069</t>
        </r>
      </text>
    </comment>
    <comment ref="C25" authorId="0" shapeId="0" xr:uid="{FC35EE99-A472-4DBC-B03D-5110C5AA9B84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8225</t>
        </r>
      </text>
    </comment>
    <comment ref="D25" authorId="0" shapeId="0" xr:uid="{269E50B5-1DD9-4613-8756-283B609D7895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8716</t>
        </r>
      </text>
    </comment>
    <comment ref="E25" authorId="0" shapeId="0" xr:uid="{BC054B9A-4E0F-4137-A4FD-289A1ADB3300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7405</t>
        </r>
      </text>
    </comment>
    <comment ref="B26" authorId="0" shapeId="0" xr:uid="{A64A8295-2BBE-4C93-9915-923231B31432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9424</t>
        </r>
      </text>
    </comment>
    <comment ref="C26" authorId="0" shapeId="0" xr:uid="{542FBF4C-2CF4-45F9-AF93-5C3EF0AC1E18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8255</t>
        </r>
      </text>
    </comment>
    <comment ref="D26" authorId="0" shapeId="0" xr:uid="{AD96FA18-9534-4DEB-AD8E-8CE1821CEE78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8719</t>
        </r>
      </text>
    </comment>
    <comment ref="E26" authorId="0" shapeId="0" xr:uid="{C1672978-C200-4AC3-9B70-D5C5C78D8C74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9462</t>
        </r>
      </text>
    </comment>
    <comment ref="B27" authorId="0" shapeId="0" xr:uid="{C799032D-0945-4C93-8B78-B8D2CE75BFDD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8859</t>
        </r>
      </text>
    </comment>
    <comment ref="C27" authorId="0" shapeId="0" xr:uid="{8BEDEF8D-1C46-4F21-8D74-341989A56146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9220</t>
        </r>
      </text>
    </comment>
    <comment ref="D27" authorId="0" shapeId="0" xr:uid="{3068592C-0199-4503-B597-05E36B892918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9684</t>
        </r>
      </text>
    </comment>
    <comment ref="E27" authorId="0" shapeId="0" xr:uid="{1EE4D610-5924-4F22-93DA-92CEF47E7F23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9517</t>
        </r>
      </text>
    </comment>
    <comment ref="B28" authorId="0" shapeId="0" xr:uid="{05DFD08B-EEE4-4E9C-88D9-7C59335DACFC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8553</t>
        </r>
      </text>
    </comment>
    <comment ref="C28" authorId="0" shapeId="0" xr:uid="{83A19F3E-6E0D-4AB1-B2AC-174D87A4F164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8940</t>
        </r>
      </text>
    </comment>
    <comment ref="D28" authorId="0" shapeId="0" xr:uid="{FD1B10A9-0558-4056-8278-2B527C7FEB40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9317</t>
        </r>
      </text>
    </comment>
    <comment ref="E28" authorId="0" shapeId="0" xr:uid="{75FACCB4-2C7E-450B-8B73-6630DFAC1FA0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9097</t>
        </r>
      </text>
    </comment>
    <comment ref="C29" authorId="0" shapeId="0" xr:uid="{E07E244F-36BE-406F-AC91-BD9671805F33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9270</t>
        </r>
      </text>
    </comment>
    <comment ref="D29" authorId="0" shapeId="0" xr:uid="{AE4643B4-1FBC-4161-ADF0-EFB858E50467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9642</t>
        </r>
      </text>
    </comment>
    <comment ref="E29" authorId="0" shapeId="0" xr:uid="{465634BA-F110-4D4D-A96E-32D0862DCBBD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10067</t>
        </r>
      </text>
    </comment>
    <comment ref="B30" authorId="0" shapeId="0" xr:uid="{4D1B15DD-8762-485A-B7D5-4255101E4036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8635</t>
        </r>
      </text>
    </comment>
    <comment ref="C30" authorId="0" shapeId="0" xr:uid="{8814C246-9494-4D28-83D9-20AD48BAD8C5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7635</t>
        </r>
      </text>
    </comment>
    <comment ref="D30" authorId="0" shapeId="0" xr:uid="{6BDE0038-2383-49E6-83AD-DC929237AB25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7976</t>
        </r>
      </text>
    </comment>
    <comment ref="E30" authorId="0" shapeId="0" xr:uid="{905839B9-F623-48CC-B320-801C18BE00C9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6361</t>
        </r>
      </text>
    </comment>
    <comment ref="C31" authorId="0" shapeId="0" xr:uid="{F20E0EDD-E2C1-4A6F-B9AB-3F45820663D7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8255</t>
        </r>
      </text>
    </comment>
    <comment ref="D31" authorId="0" shapeId="0" xr:uid="{30B07A98-2007-4520-B168-589E4AFCF6B9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8104</t>
        </r>
      </text>
    </comment>
    <comment ref="E31" authorId="0" shapeId="0" xr:uid="{2CC467DB-EE5D-4757-977F-481542E16043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9895</t>
        </r>
      </text>
    </comment>
    <comment ref="B32" authorId="0" shapeId="0" xr:uid="{8B2A99D4-1D96-417C-AE4D-A25E918CF467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8095</t>
        </r>
      </text>
    </comment>
    <comment ref="C32" authorId="0" shapeId="0" xr:uid="{CFE82E33-75F3-42C7-8859-0BAA8AEA65BB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7160</t>
        </r>
      </text>
    </comment>
    <comment ref="D32" authorId="0" shapeId="0" xr:uid="{6D1AFCD6-AC0D-4984-84B8-55E289350927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7612</t>
        </r>
      </text>
    </comment>
    <comment ref="E32" authorId="0" shapeId="0" xr:uid="{329A866A-72C6-48AE-9FF4-D31545C1E65D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6361</t>
        </r>
      </text>
    </comment>
    <comment ref="B33" authorId="0" shapeId="0" xr:uid="{7CB55838-EB1E-44DA-88BE-B578F03365D7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9115</t>
        </r>
      </text>
    </comment>
    <comment ref="C33" authorId="0" shapeId="0" xr:uid="{DED1232A-DBF6-4A39-8AA1-552E8176557C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8060</t>
        </r>
      </text>
    </comment>
    <comment ref="D33" authorId="0" shapeId="0" xr:uid="{D7C9C6D8-9397-4A06-89C3-293577D15752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8524</t>
        </r>
      </text>
    </comment>
    <comment ref="E33" authorId="0" shapeId="0" xr:uid="{F546AFD1-EB29-4E5E-BD0F-7477189399F1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7941</t>
        </r>
      </text>
    </comment>
  </commentList>
</comments>
</file>

<file path=xl/sharedStrings.xml><?xml version="1.0" encoding="utf-8"?>
<sst xmlns="http://schemas.openxmlformats.org/spreadsheetml/2006/main" count="553" uniqueCount="231">
  <si>
    <t>ID</t>
  </si>
  <si>
    <t>Код</t>
  </si>
  <si>
    <t>Наименование элемента</t>
  </si>
  <si>
    <t>Y / N</t>
  </si>
  <si>
    <t>Каталожный номер</t>
  </si>
  <si>
    <t>Артикул поставщика</t>
  </si>
  <si>
    <t>Поставщик</t>
  </si>
  <si>
    <t>Закуп</t>
  </si>
  <si>
    <t>Розница</t>
  </si>
  <si>
    <t>Ссылка на конкурентов</t>
  </si>
  <si>
    <t>Кол-во</t>
  </si>
  <si>
    <t>Под заказ</t>
  </si>
  <si>
    <t>Вал карданный "Кардан" в сборе для ВАЗ 2101-2107</t>
  </si>
  <si>
    <t>Y</t>
  </si>
  <si>
    <t>21050220001202</t>
  </si>
  <si>
    <t>стандарт</t>
  </si>
  <si>
    <t>1</t>
  </si>
  <si>
    <t>Вал карданный "Кардан" в сборе для ВИС 2345</t>
  </si>
  <si>
    <t>21050220001280</t>
  </si>
  <si>
    <t>Вал карданный "КАРДАН" в сборе на ШРУС для ВАЗ 2101-2107</t>
  </si>
  <si>
    <t>21050220001201</t>
  </si>
  <si>
    <t>Вал карданный "КАРДАН" задний в сборе со ШРУСом для Лада Нива 4x4</t>
  </si>
  <si>
    <t>21310220101020</t>
  </si>
  <si>
    <t>21310220101010</t>
  </si>
  <si>
    <t>Вал карданный "Кардан" задний с ШРУСами для Лада (Нива 4x4, Нива 4x4 Урбан), Шевроле Нива</t>
  </si>
  <si>
    <t>21214220101200</t>
  </si>
  <si>
    <t>21214-2201012-00</t>
  </si>
  <si>
    <t>https://motorring.ru/product/933</t>
  </si>
  <si>
    <t>Вал карданный "КАРДАН" задний, на крестовине для Лада Нива 4х4</t>
  </si>
  <si>
    <t>21214220101210</t>
  </si>
  <si>
    <t>21214-2201012-10</t>
  </si>
  <si>
    <t>https://motorring.ru/product/10313-val-kardannyy-zadniy-2121-214-krestovine-lada-4h4-niva</t>
  </si>
  <si>
    <t>Вал карданный "КАРДАН" передний с ШРУСами для Лада Нива 4х4, Шевроле Нива</t>
  </si>
  <si>
    <t>21214220301200</t>
  </si>
  <si>
    <t>21214-2203012-00</t>
  </si>
  <si>
    <t>https://motorring.ru/product/929</t>
  </si>
  <si>
    <t>Вал карданный "Кардан" передний, на крестовине для Лада Нива 4х4</t>
  </si>
  <si>
    <t>21214220301210</t>
  </si>
  <si>
    <t>21214-2203012-10</t>
  </si>
  <si>
    <t>https://motorring.ru/product/10314-kardannyy-val-peredniy-krestovine-syzrany-lada-niva</t>
  </si>
  <si>
    <t>Вал карданный в сборе на крестовине "Кардан"  для ВАЗ 2101-2107</t>
  </si>
  <si>
    <t>21050220001200</t>
  </si>
  <si>
    <t>Карданный вал "КАРДАН" задний (с гофрой) для Лада Нива 4х4</t>
  </si>
  <si>
    <t>21214220101211</t>
  </si>
  <si>
    <t>Карданный вал "КАРДАН" задний (с гофрой) для Шевроле Нива</t>
  </si>
  <si>
    <t>21230220101211</t>
  </si>
  <si>
    <t>Карданный вал "КАРДАН" передний (с гофрой) для Лада Нива 4х4</t>
  </si>
  <si>
    <t>21214220301211</t>
  </si>
  <si>
    <t>Карданный вал промежуточный "ЗАО Кардан" для Шевроле Нива</t>
  </si>
  <si>
    <t>21230220201003</t>
  </si>
  <si>
    <t>Крестовина карданного вала "КАРДАН" без штуцера для ВАЗ Лада Нива 4х4, Шевроле Нива</t>
  </si>
  <si>
    <t>21211220202501</t>
  </si>
  <si>
    <t>Крестовина карданного вала "КАРДАН" для ВАЗ Лада Нива 4х4, Шевроле Нива</t>
  </si>
  <si>
    <t>21211220202500</t>
  </si>
  <si>
    <t>21211-2202025-00</t>
  </si>
  <si>
    <t>Крестовина карданного вала Ваз 2101-2107 "КАРДАН"</t>
  </si>
  <si>
    <t>21050220202500</t>
  </si>
  <si>
    <t>2105-2202025-00</t>
  </si>
  <si>
    <t>https://motorring.ru/product/924-krestovina-kardannogo-vala-sbore-vaz-2101-2107</t>
  </si>
  <si>
    <t>Пыльник ШРУСа карданного вала "КАРДАН" для Лада Нива 4х4</t>
  </si>
  <si>
    <t>21214220116800</t>
  </si>
  <si>
    <t>Распродажа Вал карданный "КАРДАН" задний в сборе со ШРУСом для Лада Нива 4x4</t>
  </si>
  <si>
    <t>21310220101000</t>
  </si>
  <si>
    <t>РС2</t>
  </si>
  <si>
    <t>4</t>
  </si>
  <si>
    <t>Распродажа Вал карданный "КАРДАН" задний, на крестовине для Лада Нива 4х4</t>
  </si>
  <si>
    <t>Распродажа Крестовина карданного вала "КАРДАН" для ВАЗ 2101-2107</t>
  </si>
  <si>
    <t>РС3</t>
  </si>
  <si>
    <t>Ремкомплект (ШРУС) карданного вала "КАРДАН" для Лада Нива 4х4</t>
  </si>
  <si>
    <t>21214220116000</t>
  </si>
  <si>
    <t>Фланец эластичной муфты "КАРДАН" передний для ВАЗ 2101-2107</t>
  </si>
  <si>
    <t>21010220202300</t>
  </si>
  <si>
    <t>Наименование</t>
  </si>
  <si>
    <t>Кат. Номер</t>
  </si>
  <si>
    <t>MR</t>
  </si>
  <si>
    <t>https://motorring.ru/product/40055-val-kardannyy-usilenniy-sbore-vaz-2104-2105-2107</t>
  </si>
  <si>
    <t>https://motorring.ru/product/17238-val-kardannyy-sbore-shrus-lada-niva-4h4-5-dverey</t>
  </si>
  <si>
    <t>https://motorring.ru/product/921-val-kardannyy-sbore-vaz-2104-2105-2107</t>
  </si>
  <si>
    <t>https://motorring.ru/product/40057-val-kardannyy-zadniy-2121-214-gofra-lada-4h4-niva</t>
  </si>
  <si>
    <t>https://motorring.ru/product/17240-val-kardannyy-zadniy-zaschitnoy-gofroy-kardan-shevrole-niva</t>
  </si>
  <si>
    <t>https://motorring.ru/product/17239-val-kardannyy-peredniy-zaschitnoy-gofroy-kardan-lada-niva</t>
  </si>
  <si>
    <t>https://motorring.ru/product/17743-val-kardannyy-promeghutochnyy-shevrole-niva</t>
  </si>
  <si>
    <t>https://motorring.ru/product/18103-krestovina-sbore-bez-shtucera-lada-niva-21214-2131-nadeghda</t>
  </si>
  <si>
    <t>https://33sport.ru/catalog/transmissiya/krestoviny-_kardannye_valy_vaz/val_kardannyy_2105-2200012-02_-usilennyy-_kardan/</t>
  </si>
  <si>
    <t>https://33sport.ru/catalog/4kh4_off_road_niva/kardannyy_val_niva/val_kardannyy_zadniy_21214_so_shrusom_zao_kardan/</t>
  </si>
  <si>
    <t>https://33sport.ru/catalog/4kh4_off_road_niva/kardannyy_val_niva/val_kardannyy_zadniy_2121_214_na_krestovine_zao_kardan/</t>
  </si>
  <si>
    <t>https://33sport.ru/catalog/4kh4_off_road_niva/kardannyy_val_niva/val_kardannyy_peredniy_21214_so_shrusom_zao_kardan/</t>
  </si>
  <si>
    <t>https://33sport.ru/catalog/4kh4_off_road_niva/kardannyy_val_niva/val_kardannyy_peredniy_2121_214_na_krestovine_zao_kardan/</t>
  </si>
  <si>
    <t>https://33sport.ru/catalog/transmissiya/krestoviny-_kardannye_valy_vaz/val_kardannyy_privoda_zadnego_mosta_-gofra-_21214-2201012-11_kardan/</t>
  </si>
  <si>
    <t>https://33sport.ru/catalog/transmissiya/krestoviny-_kardannye_valy_vaz/val_kardannyy_privoda_perednego_mosta_21214-2203012-11_kardan/</t>
  </si>
  <si>
    <t>https://33sport.ru/catalog/transmissiya/krestoviny-_kardannye_valy_vaz/val_kardannyy_promezhutochnyy_v_sbore_vaz_2123-2202010-03_original_kardan/</t>
  </si>
  <si>
    <t>https://33sport.ru/catalog/transmissiya/krestoviny-_kardannye_valy_vaz/rem-komplekt-dlya-kardana-na-shrusakh-vaz-21214-2123-kardan-21214-2201160-00-/</t>
  </si>
  <si>
    <t>https://33sport.ru/catalog/transmissiya/komplektuyushchie_kpp_vaz/flanets_elastichnoy_mufty_vaz_2101-2202023-00_kardan/</t>
  </si>
  <si>
    <t>https://33sport.ru/catalog/transmissiya/krestoviny-_kardannye_valy_vaz/krestovina_ao_-kardan-kardannogo_vala_v_sbore_vaz_2105-2202025/</t>
  </si>
  <si>
    <t>https://33sport.ru/catalog/transmissiya/krestoviny-_kardannye_valy_vaz/krestovina-zao-kardan-kardannogo-vala-v-sbore-niva-21211-2202026-00/</t>
  </si>
  <si>
    <t>33s</t>
  </si>
  <si>
    <t>https://www.avtoall.ru/val_kardannyiy_vaz_2101_2107_zao_kardan-240418/</t>
  </si>
  <si>
    <t>https://www.avtoall.ru/val_kardannyiy_vaz_2120_2131_v_sbore__shrus__zao_kardan-249845/</t>
  </si>
  <si>
    <t>https://www.avtoall.ru/val_kardannyiy_vaz_21214_zadniiy_2123_n_o__shrus__kardan_zao-090798/</t>
  </si>
  <si>
    <t>https://www.avtoall.ru/val_kardannyiy_vaz_2121_214_zadniiy_zao__kardan_-000531/</t>
  </si>
  <si>
    <t>https://www.avtoall.ru/val_kardannyiy_vaz_21214_peredniiy_n_o__shrus__kardan_zao-090986/</t>
  </si>
  <si>
    <t>https://www.avtoall.ru/val_kardannyiy_vaz_2121_214_peredniiy_zao__kardan_-000532/</t>
  </si>
  <si>
    <t>https://www.avtoall.ru/krestovina_vaz_21213_vala_kardannogo_zao_kardan-137160/</t>
  </si>
  <si>
    <t>https://www.avtoall.ru/krestovina_vaz_2101_07_vala_kardannogo_zao_kardan-011497/</t>
  </si>
  <si>
    <t>https://www.avtoall.ru/shrus_vaz_21214_2123_vala_kardannogo_v_sbore_kardan_zao-090995/</t>
  </si>
  <si>
    <t>https://www.avtoall.ru/flanec_vaz_2101_lastichnoiy_mufty_k_kardannomu_valu_kardan_zao-003606/</t>
  </si>
  <si>
    <t>AvtoALL</t>
  </si>
  <si>
    <t>Вал карданный привода заднего моста (Гофра) 21214-2201012-11 КАРДАН</t>
  </si>
  <si>
    <t>Вал карданный задний 2121-214 на крестовине. АО КАРДАН 21214-2201012-10</t>
  </si>
  <si>
    <t>Крестовина АО "Кардан" карданного вала в сборе ВАЗ 2105-2202025</t>
  </si>
  <si>
    <t>Вал карданный с усиленными крестовинами в сборе для ВАЗ 2101-2107</t>
  </si>
  <si>
    <t>Крестовина ВАЗ-21213 вала карданного ЗАО Кардан</t>
  </si>
  <si>
    <t>Фланец эластичной муфты ВАЗ 2101-2202023-00 КАРДАН</t>
  </si>
  <si>
    <t>Вал карданный передний (короткий) КАРДАН на ШРУСах для Лада 4х4, Нива Легенд</t>
  </si>
  <si>
    <t>Вал карданный задний с защитной гофрой КАРДАН для Лада 4х4, Нива Легенд, Шевроле/Лада Нива, Нива Тревел</t>
  </si>
  <si>
    <t>Вал карданный в сборе для ВАЗ 2101-2107</t>
  </si>
  <si>
    <t xml:space="preserve">Крестовина КАРДАН в сборе без штуцера для Лада 4х4 (Нива), Надежда, Шевроле Нива </t>
  </si>
  <si>
    <t>Вал карданный передний (короткий) КАРДАН с защитной гофрой для Лада 4х4, Нива Легенд</t>
  </si>
  <si>
    <t>Вал карданный ВАЗ-21214 задний,2123 Н/О (ШРУС) КАРДАН ЗАО</t>
  </si>
  <si>
    <t>Вал карданный задний 21214 со ШРУСом. АО "КАРДАН" г.Сызрань. 21214-2201012-00</t>
  </si>
  <si>
    <t>Вал карданный привода переднего моста с гофрой 21214-2203012-11 КАРДАН</t>
  </si>
  <si>
    <t>Фланец ВАЗ-2101 эластичной муфты к карданному валу КАРДАН ЗАО</t>
  </si>
  <si>
    <t>Вал карданный задний КАРДАН на ШРУСах в сборе для 5-дверных Лада 4х4, Нива Легенд</t>
  </si>
  <si>
    <t>Вал карданный промежуточный в сборе ВАЗ 2123-2202010-03 ОРИГИНАЛ КАРДАН</t>
  </si>
  <si>
    <t>Карданный вал передний (короткий) КАРДАН на крестовине для Лада 4х4, Нива Легенд</t>
  </si>
  <si>
    <t>Крестовина ВАЗ-2101-07 вала карданного ЗАО Кардан</t>
  </si>
  <si>
    <t>Вал карданный ВАЗ-2101-2107 ЗАО КАРДАН</t>
  </si>
  <si>
    <t>Ремонтный комплект для кардана на шрусах ВАЗ-21214, 2123 (КАРДАН ) 21214-2201160-00</t>
  </si>
  <si>
    <t>ШРУС ВАЗ-21214,2123 вала карданного в сборе КАРДАН ЗАО</t>
  </si>
  <si>
    <t>Вал карданный 21214 (длинный) КАРДАН на ШРУСах для Лада 4х4, Нива Легенд, Нива Тревел, Шевроле Нива</t>
  </si>
  <si>
    <t>Вал карданный ВАЗ-2120,2131 в сборе (ШРУС) ЗАО КАРДАН</t>
  </si>
  <si>
    <t>Вал карданный передний 21214 со ШРУСом. АО "КАРДАН" г.Сызрань. 21214-2203012-00</t>
  </si>
  <si>
    <t>Промежуточный карданный вал КАРДАН для Шевроле Нива, Лада Нива Тревел</t>
  </si>
  <si>
    <t>Вал карданный ВАЗ-2121-214 передний ЗАО "Кардан"</t>
  </si>
  <si>
    <t>Вал карданный 2105-2200012-02 (усиленный) КАРДАН</t>
  </si>
  <si>
    <t>Крестовина АО "Кардан" карданного вала в сборе НИВА (21211220202500)</t>
  </si>
  <si>
    <t>Вал карданный передний 2121-214 на крестовине. АО КАРДАН 21214-2203012-10</t>
  </si>
  <si>
    <t>Вал карданный 21214 (длинный) КАРДАН с гофрой для Лада 4х4, Нива Легенд, Нива Тревел, Шевроле Нива</t>
  </si>
  <si>
    <t>Вал карданный ВАЗ-21214 передний Н/О (ШРУС) КАРДАН ЗАО</t>
  </si>
  <si>
    <t>Вал карданный ВАЗ-2121-214 задний ЗАО "Кардан"</t>
  </si>
  <si>
    <t>Вал карданный 21214 (длинный) КАРДАН на крестовине для Лада 4х4, Нива Легенд, Нива Тревел, Шевроле Нива</t>
  </si>
  <si>
    <t>Крестовина карданного вала КАРДАН в сборе для ВАЗ 2101-2107, Лада 4х4 (Нива)</t>
  </si>
  <si>
    <t>https://www.ozon.ru/product/generator-1117-1119-90a-avtovaz-firm-upak-11190370101003-562561608/</t>
  </si>
  <si>
    <t>https://autodemic.ru/product/generator-lada-kalina-90-a</t>
  </si>
  <si>
    <t>https://original-detal.ru/catalog/elektrooborudovanie/elektrooborudovanie_dvigatelya/generatory/generatory_1/vaz_1118_2190_2170/440175/</t>
  </si>
  <si>
    <t>https://www.avtoall.ru/generator_vaz_1118_1119_2112_2170_2190_14v_90a_avtovaz-152723/</t>
  </si>
  <si>
    <t>https://www.ozon.ru/product/lada-generator-lada-21120370101008-art-21120370101008-753680143/?asb=8SZ7pCRogFf8ykvbVeofl4xjTotlkFJYDA8Q3%252BciItc%253D&amp;asb2=XFmv55sTGt7dpibFQ8rObNKS7m_YSbeU8Q-6eL1YcUfj6iw8x5LyDiCp3syN1LVCsPq-JildrFrZu_iFgtNsXg&amp;avtc=1&amp;avte=2&amp;avts=1719555412&amp;keywords=%D0%93%D0%B5%D0%BD%D0%B5%D1%80%D0%B0%D1%82%D0%BE%D1%80+%D0%B2+%D1%81%D0%B1%D0%BE%D1%80%D0%B5+21120370101008</t>
  </si>
  <si>
    <t>https://autodemic.ru/product/generator-vaz-2113-2115-lada-priora-90-a</t>
  </si>
  <si>
    <t>https://original-detal.ru/catalog/elektrooborudovanie/elektrooborudovanie_dvigatelya/generatory/generatory_1/vaz_2108_15_2110_12/440177/</t>
  </si>
  <si>
    <t>https://www.avtoall.ru/generator_vaz_2108_2115_2170_shkiv_poliklinovoiy_14v_90a_avtovaz-670867/</t>
  </si>
  <si>
    <t>https://www.ozon.ru/product/lab13-generator-v-sbore-art-21230370101082-915425830/</t>
  </si>
  <si>
    <t>https://autodemic.ru/product/generator-chevrolet-niva-80-a-2</t>
  </si>
  <si>
    <t>https://original-detal.ru/catalog/elektrooborudovanie/elektrooborudovanie_dvigatelya/generatory/generatory_1/chevrolet_niva_vaz_2123/183521/</t>
  </si>
  <si>
    <t>https://www.ozon.ru/product/generator-lada-21214-80-90a-3701010-03-21214370101003-647780649/</t>
  </si>
  <si>
    <t>https://autodemic.ru/product/generator-lada-4x4-80-a-do-2003-gv</t>
  </si>
  <si>
    <t>https://original-detal.ru/catalog/elektrooborudovanie/elektrooborudovanie_dvigatelya/generatory/generatory_1/vaz_2101_07_2121_21214_1/183520/</t>
  </si>
  <si>
    <t>https://www.avtoall.ru/generator_vaz_21214__19___injektor_14v_80a_avtovaz-171140/</t>
  </si>
  <si>
    <t>https://www.ozon.ru/product/lada-generator-v-sbore-art-21230370101084-1-sht-1256260493/</t>
  </si>
  <si>
    <t>https://autodemic.ru/product/generator-chevrolet-niva-120-a</t>
  </si>
  <si>
    <t>https://original-detal.ru/catalog/elektrooborudovanie/elektrooborudovanie_dvigatelya/generatory/generatory_1/chevrolet_niva_vaz_2123/204431/</t>
  </si>
  <si>
    <t>https://www.ozon.ru/product/generator-vaz-2108-2109-21099-2110-2111-2112-2113-2114-2115-2170-120a-original-188797423/</t>
  </si>
  <si>
    <t>https://autodemic.ru/product/generator-vaz-2108-2115-lada-priora-120-a</t>
  </si>
  <si>
    <t>https://original-detal.ru/catalog/elektrooborudovanie/elektrooborudovanie_dvigatelya/generatory/generatory_1/vaz_2108_15_2110_12/439439/</t>
  </si>
  <si>
    <t>https://standart-detail.ru/products/generator-vaz-2108-09-vaz-2113-15-2110-12-vaz-2170-priora-120-a-21120370101084</t>
  </si>
  <si>
    <t>https://www.ozon.ru/product/generator-2170-125a-21700370101082-1-sht-495894641/</t>
  </si>
  <si>
    <t>https://autodemic.ru/product/generator-lada-priora-kalina-granta-115-a</t>
  </si>
  <si>
    <t>https://original-detal.ru/catalog/elektrooborudovanie/elektrooborudovanie_dvigatelya/generatory/generatory_1/vaz_1118_2190_2170/439171/</t>
  </si>
  <si>
    <t>https://bi-bi.ru/product/e0000036951</t>
  </si>
  <si>
    <t>https://www.ozon.ru/product/generator-2123-100a-ao-vaz-firm-upak-21230370101083-1317361536/</t>
  </si>
  <si>
    <t>https://autodemic.ru/product/generator-chevrolet-niva-100-a-s-092003gv</t>
  </si>
  <si>
    <t>https://xn--80aal0a.xn--80asehdb/shop/niva-chevrolet/electrical-equipment-niva-chevrolet/33766-generator-pramo-jelektro-110a-dlja-lada-niva-travel-chevrolet.html</t>
  </si>
  <si>
    <t>https://www.ozon.ru/product/generator-lada-21214-100a-3701010-83-21214370101083-647783721/</t>
  </si>
  <si>
    <t>https://autodemic.ru/product/generator-v-sbore-lada-4x4</t>
  </si>
  <si>
    <t>https://original-detal.ru/catalog/elektrooborudovanie/elektrooborudovanie_dvigatelya/generatory/generatory_1/vaz_2101_07_2121_21214_1/439515/</t>
  </si>
  <si>
    <t>https://bi-bi.ru/product/e0000036360</t>
  </si>
  <si>
    <t>https://www.ozon.ru/product/generator-vaz-2108-2109-21099-2110-2111-2112-2113-2114-2115-2170-100a-original-188797422/</t>
  </si>
  <si>
    <t>https://autodemic.ru/product/generator-vaz-2108-2115-lada-priora-100-a</t>
  </si>
  <si>
    <t>https://original-detal.ru/catalog/elektrooborudovanie/elektrooborudovanie_dvigatelya/generatory/generatory_1/vaz_1118_2190_2170/183557/</t>
  </si>
  <si>
    <t>https://standart-detail.ru/products/generator-vaz-2108-09-vaz-2113-15-vaz-2110-12-vaz-2170-priora-100-a-21120370101083</t>
  </si>
  <si>
    <t>Ст Р</t>
  </si>
  <si>
    <t>Ст З</t>
  </si>
  <si>
    <t>https://original-detal.ru/catalog/elektrooborudovanie/elektrooborudovanie_dvigatelya/generatory/generatory_1/vaz_1118_2190_2170/440175/;https://www.avtoall.ru/generator_vaz_1118_1119_2112_2170_2190_14v_90a_avtovaz-152723/</t>
  </si>
  <si>
    <t>11190370101003</t>
  </si>
  <si>
    <t>Генератор "АвтоВАЗ" 90А для Лада Калина</t>
  </si>
  <si>
    <t>21120370101008</t>
  </si>
  <si>
    <t>Генератор "АвтоВАЗ" 90А для ВАЗ 2108-21099, 2110-2112, 2113-2115, Лада Приора</t>
  </si>
  <si>
    <t>21230370101082</t>
  </si>
  <si>
    <t>Генератор "АвтоВАЗ" 80А для Шевроле Нива (с 2003 г. в.)</t>
  </si>
  <si>
    <t>https://www.avtoall.ru/generator_vaz_21214__19___injektor_14v_80a_avtovaz-171140/;https://original-detal.ru/catalog/elektrooborudovanie/elektrooborudovanie_dvigatelya/generatory/generatory_1/vaz_2101_07_2121_21214_1/183520/;https://bi-bi.ru/product/e0000035683</t>
  </si>
  <si>
    <t>21214370101003</t>
  </si>
  <si>
    <t>Генератор "АвтоВАЗ" 21214 80А для ВАЗ 2104-2107, Лада Нива 4х4, Шевроле Нива (до 2003 г. в.)</t>
  </si>
  <si>
    <t>21230370101084</t>
  </si>
  <si>
    <t>Генератор "АвтоВАЗ" 130А для Шевроле Нива</t>
  </si>
  <si>
    <t>21120370101084</t>
  </si>
  <si>
    <t>Генератор "АвтоВАЗ" 130А для ВАЗ (2108-21099, 2110-2112, 2113-2115), Лада Приора</t>
  </si>
  <si>
    <t>21700370101082</t>
  </si>
  <si>
    <t>Генератор "АвтоВАЗ" 125А для Лада Приора, Гранта, Гранта FL, Калина 2</t>
  </si>
  <si>
    <t>21230370101083</t>
  </si>
  <si>
    <t>Генератор "АвтоВАЗ" 110А для Шевроле Нива</t>
  </si>
  <si>
    <t>21214370101083</t>
  </si>
  <si>
    <t>Генератор "АвтоВАЗ" 110А для ВАЗ 2101-2107, Лада Нива 4х4</t>
  </si>
  <si>
    <t>21120370101083</t>
  </si>
  <si>
    <t>Генератор "АвтоВАЗ" 110А для ВАЗ (2108-21099, 2110-2112, 2113-2115), Лада Приора</t>
  </si>
  <si>
    <t>Ряд</t>
  </si>
  <si>
    <t>Генератор ВАЗ-1118,1119,2112,2170,2190 14В 90А АвтоВАЗ</t>
  </si>
  <si>
    <t>Генератор ВАЗ-21214 (19-) инжектор 14В 80А АвтоВАЗ</t>
  </si>
  <si>
    <t>Генератор ВАЗ-2108-2115,2170 шкив поликлиновой 14В 90А АвтоВАЗ</t>
  </si>
  <si>
    <t>Генератор 100А ВАЗ 2108-21099, 2113-2115, 2110-2112, Приора (инжектор) LADA 21120-3701010-83</t>
  </si>
  <si>
    <t>Генератор ВАЗ-2108-2110-2115 (инж.дв.) (90 А) (фирм. упак. LADA) 21120-3701010-08</t>
  </si>
  <si>
    <t>Генератор ВАЗ-2108 … -2112, LADA Samara и Priora (120 А)</t>
  </si>
  <si>
    <t>Генератор ВАЗ-21214 (100А) (фирм. упак. LADA) 21214-3701010-83</t>
  </si>
  <si>
    <t>Генератор LADA Samara и Priora (90 А)</t>
  </si>
  <si>
    <t>Генератор ВАЗ-2123 Шевроле Нива (с 09.2003г.в.) (14В/100А) (фирм. упак. LADA) 21230-3701010-83</t>
  </si>
  <si>
    <t>Генератор LADA 4x4, ВАЗ-2104 … -2107 (до 2003 г.в.) 80 А</t>
  </si>
  <si>
    <t>Генератор ВАЗ-2108-2110-2115 (120А) (фирм. упак. LADA) 21120-3701010-84</t>
  </si>
  <si>
    <t>Генератор LADA Kalina I (90 А)</t>
  </si>
  <si>
    <t>Генератор ВАЗ-1118, 2170, 2190 (фирм. упак. LADA) 21700-3701010-82</t>
  </si>
  <si>
    <t>Генератор 14В, 130А ВАЗ-2108-09, ВАЗ 2113-15, 2110-12, Приора ELTRA 5102.3771-30</t>
  </si>
  <si>
    <t>Генератор ВАЗ-2108 … -2112, LADA Samara и Priora (100 А)</t>
  </si>
  <si>
    <t>Генератор ВАЗ-2101 …-2107 и LADA 4x4</t>
  </si>
  <si>
    <t>Генератор Chevrolet NIVA (80 А)</t>
  </si>
  <si>
    <t>Генератор Chevrolet NIVA (120 А)</t>
  </si>
  <si>
    <t>Генератор Chevrolet NIVA (с 09.2003 г.в.) 100 А</t>
  </si>
  <si>
    <t>Генератор LADA Priora, Kalina II и Granta (115 А)</t>
  </si>
  <si>
    <t>Генератор ВАЗ-2123 Шевроле-Нива (120А) (фирм. упак. LADA) 21230-3701010-84</t>
  </si>
  <si>
    <t>Генератор ВАЗ-21214,2123 (80 А) (до 2003 г.) (фирм. упак. LADA) 21214-3701010-03</t>
  </si>
  <si>
    <t>Генератор ВАЗ-2108-2110-2115,2170 (инж.дв.) (100 А) (фирм. упак. LADA) 21120-3701010-83</t>
  </si>
  <si>
    <t>Генератор ВАЗ-1118-19 (90 А) (фирм. упак. LADA) 11190-3701010-03</t>
  </si>
  <si>
    <t>Генератор "Прамо-Электро (110А) для Lada Niva Travel, Chevrolet (оригинал)</t>
  </si>
  <si>
    <t>0</t>
  </si>
  <si>
    <t>Мин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</si>
</sst>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1"/>
      <charset val="204"/>
    </font>
    <font>
      <b/>
      <sz val="11"/>
      <color theme="1"/>
      <name val="Calibri"/>
      <family val="1"/>
      <charset val="204"/>
    </font>
    <font>
      <b/>
      <sz val="11"/>
      <color theme="1"/>
      <name val="Calibri"/>
      <family val="2"/>
      <charset val="204"/>
      <scheme val="minor"/>
    </font>
    <font>
      <sz val="10"/>
      <color rgb="FFC00000"/>
      <name val="Calibri"/>
      <family val="2"/>
      <charset val="204"/>
    </font>
    <font>
      <sz val="10"/>
      <color rgb="FF7030A0"/>
      <name val="Calibri"/>
      <family val="2"/>
      <charset val="204"/>
    </font>
    <font>
      <sz val="10"/>
      <color theme="5" tint="-0.24994659260841701"/>
      <name val="Calibri"/>
      <family val="2"/>
      <charset val="204"/>
    </font>
    <font>
      <sz val="10"/>
      <color theme="0"/>
      <name val="Calibri"/>
      <family val="2"/>
      <charset val="204"/>
    </font>
    <font>
      <sz val="10"/>
      <name val="Calibri"/>
      <family val="2"/>
      <charset val="204"/>
    </font>
    <font>
      <sz val="11"/>
      <name val="Calibri"/>
      <family val="2"/>
      <charset val="204"/>
    </font>
    <font>
      <sz val="11"/>
      <color rgb="FF9C5700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EB9C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 style="double">
        <color rgb="FFFF0000"/>
      </right>
      <top/>
      <bottom style="double">
        <color rgb="FFFF0000"/>
      </bottom>
      <diagonal/>
    </border>
    <border>
      <left/>
      <right style="double">
        <color rgb="FF7030A0"/>
      </right>
      <top/>
      <bottom style="double">
        <color rgb="FF7030A0"/>
      </bottom>
      <diagonal/>
    </border>
    <border>
      <left/>
      <right style="double">
        <color theme="5" tint="-0.24994659260841701"/>
      </right>
      <top/>
      <bottom style="double">
        <color theme="5" tint="-0.24994659260841701"/>
      </bottom>
      <diagonal/>
    </border>
    <border diagonalUp="1" diagonalDown="1">
      <left/>
      <right/>
      <top/>
      <bottom/>
      <diagonal style="double">
        <color rgb="FFC00000"/>
      </diagonal>
    </border>
    <border>
      <left/>
      <right style="double">
        <color theme="0"/>
      </right>
      <top/>
      <bottom style="double">
        <color theme="0"/>
      </bottom>
      <diagonal/>
    </border>
    <border>
      <left/>
      <right/>
      <top/>
      <bottom style="double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rgb="FF7030A0"/>
      </right>
      <top/>
      <bottom/>
      <diagonal/>
    </border>
    <border>
      <left/>
      <right style="double">
        <color theme="5" tint="-0.24994659260841701"/>
      </right>
      <top/>
      <bottom/>
      <diagonal/>
    </border>
  </borders>
  <cellStyleXfs count="15">
    <xf numFmtId="0" fontId="0" fillId="0" borderId="0"/>
    <xf numFmtId="9" fontId="1" fillId="0" borderId="0" applyFont="0" applyFill="0" applyBorder="0" applyAlignment="0" applyProtection="0"/>
    <xf numFmtId="0" fontId="10" fillId="7" borderId="5" applyNumberFormat="0" applyBorder="0" applyAlignment="0" applyProtection="0"/>
    <xf numFmtId="0" fontId="10" fillId="2" borderId="6" applyNumberFormat="0" applyBorder="0" applyAlignment="0" applyProtection="0"/>
    <xf numFmtId="0" fontId="10" fillId="8" borderId="7" applyNumberFormat="0" applyBorder="0" applyAlignment="0" applyProtection="0"/>
    <xf numFmtId="0" fontId="10" fillId="9" borderId="4" applyNumberFormat="0" applyBorder="0" applyAlignment="0" applyProtection="0"/>
    <xf numFmtId="0" fontId="5" fillId="0" borderId="8" applyNumberFormat="0" applyAlignment="0" applyProtection="0"/>
    <xf numFmtId="0" fontId="6" fillId="0" borderId="9" applyNumberFormat="0" applyAlignment="0" applyProtection="0"/>
    <xf numFmtId="0" fontId="7" fillId="0" borderId="10" applyNumberFormat="0" applyAlignment="0" applyProtection="0"/>
    <xf numFmtId="0" fontId="5" fillId="4" borderId="11" applyNumberFormat="0" applyProtection="0">
      <alignment horizontal="center" vertical="center"/>
    </xf>
    <xf numFmtId="0" fontId="8" fillId="5" borderId="12" applyNumberFormat="0" applyAlignment="0" applyProtection="0"/>
    <xf numFmtId="0" fontId="9" fillId="6" borderId="0" applyNumberFormat="0" applyBorder="0" applyAlignment="0" applyProtection="0"/>
    <xf numFmtId="0" fontId="1" fillId="0" borderId="0"/>
    <xf numFmtId="0" fontId="11" fillId="10" borderId="0" applyNumberFormat="0" applyBorder="0" applyAlignment="0" applyProtection="0"/>
    <xf numFmtId="0" fontId="12" fillId="0" borderId="0" applyNumberFormat="0" applyFill="0" applyBorder="0" applyAlignment="0" applyProtection="0"/>
  </cellStyleXfs>
  <cellXfs count="60">
    <xf numFmtId="0" fontId="1" fillId="0" borderId="0" xfId="0" applyFont="1" applyAlignment="1" applyProtection="1">
      <alignment horizontal="left" vertical="top" wrapText="1"/>
    </xf>
    <xf numFmtId="0" fontId="2" fillId="0" borderId="0" xfId="0" applyFont="1" applyAlignment="1" applyProtection="1">
      <alignment horizontal="left" vertical="top" wrapText="1"/>
    </xf>
    <xf numFmtId="0" fontId="3" fillId="0" borderId="1" xfId="0" applyFont="1" applyBorder="1" applyAlignment="1" applyProtection="1">
      <alignment horizontal="left" vertical="top" wrapText="1"/>
    </xf>
    <xf numFmtId="1" fontId="0" fillId="0" borderId="2" xfId="0" applyNumberFormat="1" applyBorder="1" applyAlignment="1" applyProtection="1">
      <alignment horizontal="left" vertical="top" wrapText="1"/>
    </xf>
    <xf numFmtId="0" fontId="0" fillId="0" borderId="3" xfId="0" applyBorder="1" applyAlignment="1" applyProtection="1">
      <alignment horizontal="left" vertical="top" wrapText="1"/>
    </xf>
    <xf numFmtId="0" fontId="0" fillId="0" borderId="0" xfId="0" applyAlignment="1">
      <alignment horizontal="left" wrapText="1"/>
    </xf>
    <xf numFmtId="0" fontId="0" fillId="0" borderId="0" xfId="0" applyAlignment="1">
      <alignment horizontal="left"/>
    </xf>
    <xf numFmtId="0" fontId="2" fillId="3" borderId="4" xfId="0" applyFont="1" applyFill="1" applyBorder="1" applyAlignment="1">
      <alignment horizontal="left" vertical="top" wrapText="1"/>
    </xf>
    <xf numFmtId="0" fontId="0" fillId="0" borderId="4" xfId="0" applyBorder="1" applyAlignment="1">
      <alignment horizontal="left"/>
    </xf>
    <xf numFmtId="0" fontId="0" fillId="0" borderId="4" xfId="0" applyBorder="1" applyAlignment="1">
      <alignment horizontal="left" wrapText="1"/>
    </xf>
    <xf numFmtId="0" fontId="2" fillId="0" borderId="1" xfId="0" applyFont="1" applyBorder="1" applyAlignment="1" applyProtection="1">
      <alignment horizontal="left" vertical="top" wrapText="1"/>
    </xf>
    <xf numFmtId="0" fontId="5" fillId="0" borderId="8" xfId="6" applyAlignment="1">
      <alignment horizontal="left"/>
    </xf>
    <xf numFmtId="0" fontId="1" fillId="0" borderId="4" xfId="0" applyFont="1" applyBorder="1" applyAlignment="1" applyProtection="1">
      <alignment horizontal="left" vertical="top" wrapText="1"/>
    </xf>
    <xf numFmtId="0" fontId="4" fillId="2" borderId="4" xfId="0" applyFont="1" applyFill="1" applyBorder="1" applyAlignment="1">
      <alignment horizontal="left"/>
    </xf>
    <xf numFmtId="9" fontId="0" fillId="0" borderId="4" xfId="1" applyFont="1" applyBorder="1" applyAlignment="1">
      <alignment horizontal="left"/>
    </xf>
    <xf numFmtId="0" fontId="2" fillId="0" borderId="4" xfId="0" applyFont="1" applyBorder="1" applyAlignment="1" applyProtection="1">
      <alignment horizontal="left" vertical="top" wrapText="1"/>
    </xf>
    <xf numFmtId="0" fontId="6" fillId="0" borderId="9" xfId="7" applyAlignment="1" applyProtection="1">
      <alignment horizontal="left" vertical="top" wrapText="1"/>
    </xf>
    <xf numFmtId="0" fontId="7" fillId="0" borderId="10" xfId="8" applyAlignment="1" applyProtection="1">
      <alignment horizontal="left" vertical="top" wrapText="1"/>
    </xf>
    <xf numFmtId="0" fontId="1" fillId="0" borderId="0" xfId="0" applyFont="1" applyAlignment="1" applyProtection="1">
      <alignment horizontal="left" vertical="top" wrapText="1"/>
    </xf>
    <xf numFmtId="0" fontId="2" fillId="0" borderId="4" xfId="0" applyFont="1" applyBorder="1" applyAlignment="1" applyProtection="1">
      <alignment horizontal="left" vertical="top" wrapText="1"/>
    </xf>
    <xf numFmtId="0" fontId="5" fillId="0" borderId="13" xfId="6" applyBorder="1" applyAlignment="1">
      <alignment horizontal="left"/>
    </xf>
    <xf numFmtId="0" fontId="0" fillId="0" borderId="14" xfId="0" applyBorder="1" applyAlignment="1" applyProtection="1">
      <alignment horizontal="left" vertical="top" wrapText="1"/>
    </xf>
    <xf numFmtId="0" fontId="0" fillId="0" borderId="15" xfId="0" applyBorder="1" applyAlignment="1">
      <alignment horizontal="left"/>
    </xf>
    <xf numFmtId="0" fontId="11" fillId="10" borderId="4" xfId="13" applyBorder="1" applyAlignment="1">
      <alignment horizontal="left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horizontal="left" vertical="top"/>
    </xf>
    <xf numFmtId="1" fontId="1" fillId="0" borderId="0" xfId="0" applyNumberFormat="1" applyFont="1" applyAlignment="1">
      <alignment horizontal="left" vertical="top" wrapText="1"/>
    </xf>
    <xf numFmtId="0" fontId="1" fillId="2" borderId="0" xfId="0" applyFont="1" applyFill="1" applyAlignment="1">
      <alignment horizontal="left" vertical="top" wrapText="1"/>
    </xf>
    <xf numFmtId="9" fontId="1" fillId="0" borderId="0" xfId="1" applyFont="1" applyAlignment="1" applyProtection="1">
      <alignment horizontal="left" vertical="top" wrapText="1"/>
    </xf>
    <xf numFmtId="0" fontId="12" fillId="0" borderId="0" xfId="14" applyAlignment="1" applyProtection="1">
      <alignment horizontal="left"/>
    </xf>
    <xf numFmtId="0" fontId="0" fillId="0" borderId="0" xfId="0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1" fontId="0" fillId="0" borderId="4" xfId="0" applyNumberFormat="1" applyBorder="1" applyAlignment="1">
      <alignment horizontal="left"/>
    </xf>
    <xf numFmtId="1" fontId="0" fillId="0" borderId="4" xfId="0" applyNumberFormat="1" applyBorder="1" applyAlignment="1">
      <alignment horizontal="left" vertical="top" wrapText="1"/>
    </xf>
    <xf numFmtId="0" fontId="1" fillId="0" borderId="0" xfId="0" applyFont="1" applyAlignment="1">
      <alignment horizontal="left"/>
    </xf>
    <xf numFmtId="0" fontId="12" fillId="0" borderId="0" xfId="14" applyFill="1" applyAlignment="1"/>
    <xf numFmtId="0" fontId="2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/>
    </xf>
    <xf numFmtId="0" fontId="2" fillId="0" borderId="4" xfId="0" applyFont="1" applyBorder="1" applyAlignment="1">
      <alignment horizontal="left" vertical="top" wrapText="1"/>
    </xf>
    <xf numFmtId="1" fontId="2" fillId="3" borderId="4" xfId="0" applyNumberFormat="1" applyFont="1" applyFill="1" applyBorder="1" applyAlignment="1">
      <alignment horizontal="left" vertical="top" wrapText="1"/>
    </xf>
    <xf numFmtId="1" fontId="0" fillId="0" borderId="0" xfId="0" applyNumberFormat="1" applyAlignment="1">
      <alignment horizontal="left"/>
    </xf>
    <xf numFmtId="0" fontId="0" fillId="0" borderId="16" xfId="0" applyBorder="1" applyAlignment="1">
      <alignment horizontal="left"/>
    </xf>
    <xf numFmtId="0" fontId="1" fillId="0" borderId="0" xfId="0" applyFont="1" applyAlignment="1" applyProtection="1">
      <alignment horizontal="left" vertical="top" wrapText="1"/>
    </xf>
    <xf numFmtId="0" fontId="0" fillId="0" borderId="16" xfId="0" applyBorder="1" applyAlignment="1" applyProtection="1">
      <alignment horizontal="left" vertical="top" wrapText="1"/>
    </xf>
    <xf numFmtId="0" fontId="6" fillId="0" borderId="17" xfId="7" applyBorder="1" applyAlignment="1" applyProtection="1">
      <alignment horizontal="left" vertical="top" wrapText="1"/>
    </xf>
    <xf numFmtId="0" fontId="11" fillId="10" borderId="16" xfId="13" applyBorder="1" applyAlignment="1">
      <alignment horizontal="left"/>
    </xf>
    <xf numFmtId="0" fontId="1" fillId="0" borderId="16" xfId="0" applyFont="1" applyBorder="1" applyAlignment="1" applyProtection="1">
      <alignment horizontal="left" vertical="top" wrapText="1"/>
    </xf>
    <xf numFmtId="0" fontId="7" fillId="0" borderId="18" xfId="8" applyBorder="1" applyAlignment="1" applyProtection="1">
      <alignment horizontal="left" vertical="top" wrapText="1"/>
    </xf>
    <xf numFmtId="0" fontId="2" fillId="0" borderId="0" xfId="0" applyFont="1" applyBorder="1" applyAlignment="1">
      <alignment horizontal="left" vertical="top" wrapText="1"/>
    </xf>
    <xf numFmtId="0" fontId="1" fillId="0" borderId="0" xfId="0" applyFont="1" applyAlignment="1" applyProtection="1">
      <alignment horizontal="left" vertical="top" wrapText="1"/>
    </xf>
    <xf numFmtId="0" fontId="2" fillId="0" borderId="4" xfId="0" applyFont="1" applyBorder="1" applyAlignment="1" applyProtection="1">
      <alignment horizontal="left" vertical="top" wrapText="1"/>
    </xf>
    <xf numFmtId="0" fontId="0" fillId="0" borderId="0" xfId="0"/>
    <xf numFmtId="0" fontId="2" fillId="0" borderId="4" xfId="0" applyFont="1" applyBorder="1" applyAlignment="1" applyProtection="1">
      <alignment horizontal="left" vertical="top" wrapText="1"/>
    </xf>
    <xf numFmtId="1" fontId="0" fillId="0" borderId="4" xfId="0" applyNumberFormat="1" applyBorder="1" applyAlignment="1" applyProtection="1">
      <alignment horizontal="left" vertical="top" wrapText="1"/>
    </xf>
    <xf numFmtId="0" fontId="0" fillId="0" borderId="4" xfId="0" applyBorder="1" applyAlignment="1" applyProtection="1">
      <alignment horizontal="left" vertical="top" wrapText="1"/>
    </xf>
    <xf numFmtId="1" fontId="2" fillId="2" borderId="4" xfId="0" applyNumberFormat="1" applyFont="1" applyFill="1" applyBorder="1" applyAlignment="1" applyProtection="1">
      <alignment horizontal="left" vertical="top" wrapText="1"/>
    </xf>
    <xf numFmtId="0" fontId="2" fillId="0" borderId="4" xfId="0" applyFont="1" applyBorder="1" applyAlignment="1" applyProtection="1">
      <alignment horizontal="left" vertical="top" wrapText="1"/>
    </xf>
    <xf numFmtId="1" fontId="0" fillId="0" borderId="4" xfId="0" applyNumberFormat="1" applyBorder="1" applyAlignment="1" applyProtection="1">
      <alignment horizontal="left" vertical="top" wrapText="1"/>
    </xf>
    <xf numFmtId="0" fontId="0" fillId="0" borderId="4" xfId="0" applyBorder="1" applyAlignment="1" applyProtection="1">
      <alignment horizontal="left" vertical="top" wrapText="1"/>
    </xf>
    <xf numFmtId="1" fontId="2" fillId="2" borderId="4" xfId="0" applyNumberFormat="1" applyFont="1" applyFill="1" applyBorder="1" applyAlignment="1" applyProtection="1">
      <alignment horizontal="left" vertical="top" wrapText="1"/>
    </xf>
  </cellXfs>
  <cellStyles count="15">
    <cellStyle name="Акцент1" xfId="6" builtinId="29" customBuiltin="1"/>
    <cellStyle name="Акцент2" xfId="7" builtinId="33" customBuiltin="1"/>
    <cellStyle name="Акцент3" xfId="8" builtinId="37" customBuiltin="1"/>
    <cellStyle name="Акцент4" xfId="9" builtinId="41" customBuiltin="1"/>
    <cellStyle name="Акцент5" xfId="10" builtinId="45" customBuiltin="1"/>
    <cellStyle name="Акцент6" xfId="11" builtinId="49" customBuiltin="1"/>
    <cellStyle name="Гиперссылка" xfId="14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Нейтральный" xfId="13" builtinId="28"/>
    <cellStyle name="Обычный" xfId="0" builtinId="0"/>
    <cellStyle name="Обычный 6" xfId="12" xr:uid="{D3D60211-D40A-4F10-A3EE-7D3931BECEDB}"/>
    <cellStyle name="Процентный" xfId="1" builtinId="5"/>
  </cellStyles>
  <dxfs count="7">
    <dxf>
      <fill>
        <patternFill patternType="lightDown">
          <f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Down">
          <fgColor rgb="FFFF0000"/>
        </patternFill>
      </fill>
    </dxf>
    <dxf>
      <font>
        <b/>
        <i val="0"/>
        <color auto="1"/>
      </font>
      <fill>
        <patternFill patternType="lightDown">
          <fgColor rgb="FFFF0000"/>
          <bgColor auto="1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s://original-detal.ru/catalog/elektrooborudovanie/elektrooborudovanie_dvigatelya/generatory/generatory_1/vaz_2108_15_2110_12/439439/" TargetMode="External"/><Relationship Id="rId18" Type="http://schemas.openxmlformats.org/officeDocument/2006/relationships/hyperlink" Target="https://original-detal.ru/catalog/elektrooborudovanie/elektrooborudovanie_dvigatelya/generatory/generatory_1/vaz_1118_2190_2170/440175/" TargetMode="External"/><Relationship Id="rId26" Type="http://schemas.openxmlformats.org/officeDocument/2006/relationships/hyperlink" Target="https://autodemic.ru/product/generator-chevrolet-niva-80-a-2" TargetMode="External"/><Relationship Id="rId39" Type="http://schemas.openxmlformats.org/officeDocument/2006/relationships/printerSettings" Target="../printerSettings/printerSettings1.bin"/><Relationship Id="rId21" Type="http://schemas.openxmlformats.org/officeDocument/2006/relationships/hyperlink" Target="https://autodemic.ru/product/generator-chevrolet-niva-100-a-s-092003gv" TargetMode="External"/><Relationship Id="rId34" Type="http://schemas.openxmlformats.org/officeDocument/2006/relationships/hyperlink" Target="https://www.ozon.ru/product/lada-generator-v-sbore-art-21230370101084-1-sht-1256260493/" TargetMode="External"/><Relationship Id="rId7" Type="http://schemas.openxmlformats.org/officeDocument/2006/relationships/hyperlink" Target="https://www.avtoall.ru/generator_vaz_2108_2115_2170_shkiv_poliklinovoiy_14v_90a_avtovaz-670867/" TargetMode="External"/><Relationship Id="rId2" Type="http://schemas.openxmlformats.org/officeDocument/2006/relationships/hyperlink" Target="https://bi-bi.ru/product/e0000036360" TargetMode="External"/><Relationship Id="rId16" Type="http://schemas.openxmlformats.org/officeDocument/2006/relationships/hyperlink" Target="https://original-detal.ru/catalog/elektrooborudovanie/elektrooborudovanie_dvigatelya/generatory/generatory_1/chevrolet_niva_vaz_2123/183521/" TargetMode="External"/><Relationship Id="rId20" Type="http://schemas.openxmlformats.org/officeDocument/2006/relationships/hyperlink" Target="https://autodemic.ru/product/generator-v-sbore-lada-4x4" TargetMode="External"/><Relationship Id="rId29" Type="http://schemas.openxmlformats.org/officeDocument/2006/relationships/hyperlink" Target="https://www.ozon.ru/product/generator-vaz-2108-2109-21099-2110-2111-2112-2113-2114-2115-2170-100a-original-188797422/" TargetMode="External"/><Relationship Id="rId41" Type="http://schemas.openxmlformats.org/officeDocument/2006/relationships/comments" Target="../comments1.xml"/><Relationship Id="rId1" Type="http://schemas.openxmlformats.org/officeDocument/2006/relationships/hyperlink" Target="https://standart-detail.ru/products/generator-vaz-2108-09-vaz-2113-15-vaz-2110-12-vaz-2170-priora-100-a-21120370101083" TargetMode="External"/><Relationship Id="rId6" Type="http://schemas.openxmlformats.org/officeDocument/2006/relationships/hyperlink" Target="https://www.avtoall.ru/generator_vaz_21214__19___injektor_14v_80a_avtovaz-171140/" TargetMode="External"/><Relationship Id="rId11" Type="http://schemas.openxmlformats.org/officeDocument/2006/relationships/hyperlink" Target="https://original-detal.ru/catalog/elektrooborudovanie/elektrooborudovanie_dvigatelya/generatory/generatory_1/chevrolet_niva_vaz_2123/183521/" TargetMode="External"/><Relationship Id="rId24" Type="http://schemas.openxmlformats.org/officeDocument/2006/relationships/hyperlink" Target="https://autodemic.ru/product/generator-chevrolet-niva-120-a" TargetMode="External"/><Relationship Id="rId32" Type="http://schemas.openxmlformats.org/officeDocument/2006/relationships/hyperlink" Target="https://www.ozon.ru/product/generator-2170-125a-21700370101082-1-sht-495894641/" TargetMode="External"/><Relationship Id="rId37" Type="http://schemas.openxmlformats.org/officeDocument/2006/relationships/hyperlink" Target="https://www.ozon.ru/product/lada-generator-lada-21120370101008-art-21120370101008-753680143/?asb=8SZ7pCRogFf8ykvbVeofl4xjTotlkFJYDA8Q3%252BciItc%253D&amp;asb2=XFmv55sTGt7dpibFQ8rObNKS7m_YSbeU8Q-6eL1YcUfj6iw8x5LyDiCp3syN1LVCsPq-JildrFrZu_iFgtNsXg&amp;avtc=1&amp;avte=2&amp;avts=1719555412&amp;keywords=%D0%93%D0%B5%D0%BD%D0%B5%D1%80%D0%B0%D1%82%D0%BE%D1%80+%D0%B2+%D1%81%D0%B1%D0%BE%D1%80%D0%B5+21120370101008" TargetMode="External"/><Relationship Id="rId40" Type="http://schemas.openxmlformats.org/officeDocument/2006/relationships/vmlDrawing" Target="../drawings/vmlDrawing1.vml"/><Relationship Id="rId5" Type="http://schemas.openxmlformats.org/officeDocument/2006/relationships/hyperlink" Target="https://standart-detail.ru/products/generator-vaz-2108-09-vaz-2113-15-2110-12-vaz-2170-priora-120-a-21120370101084" TargetMode="External"/><Relationship Id="rId15" Type="http://schemas.openxmlformats.org/officeDocument/2006/relationships/hyperlink" Target="https://original-detal.ru/catalog/elektrooborudovanie/elektrooborudovanie_dvigatelya/generatory/generatory_1/vaz_2101_07_2121_21214_1/183520/" TargetMode="External"/><Relationship Id="rId23" Type="http://schemas.openxmlformats.org/officeDocument/2006/relationships/hyperlink" Target="https://autodemic.ru/product/generator-vaz-2108-2115-lada-priora-120-a" TargetMode="External"/><Relationship Id="rId28" Type="http://schemas.openxmlformats.org/officeDocument/2006/relationships/hyperlink" Target="https://autodemic.ru/product/generator-lada-kalina-90-a" TargetMode="External"/><Relationship Id="rId36" Type="http://schemas.openxmlformats.org/officeDocument/2006/relationships/hyperlink" Target="https://www.ozon.ru/product/lab13-generator-v-sbore-art-21230370101082-915425830/" TargetMode="External"/><Relationship Id="rId10" Type="http://schemas.openxmlformats.org/officeDocument/2006/relationships/hyperlink" Target="https://original-detal.ru/catalog/elektrooborudovanie/elektrooborudovanie_dvigatelya/generatory/generatory_1/vaz_2101_07_2121_21214_1/439515/" TargetMode="External"/><Relationship Id="rId19" Type="http://schemas.openxmlformats.org/officeDocument/2006/relationships/hyperlink" Target="https://autodemic.ru/product/generator-vaz-2108-2115-lada-priora-100-a" TargetMode="External"/><Relationship Id="rId31" Type="http://schemas.openxmlformats.org/officeDocument/2006/relationships/hyperlink" Target="https://www.ozon.ru/product/generator-2123-100a-ao-vaz-firm-upak-21230370101083-1317361536/" TargetMode="External"/><Relationship Id="rId4" Type="http://schemas.openxmlformats.org/officeDocument/2006/relationships/hyperlink" Target="https://bi-bi.ru/product/e0000036951" TargetMode="External"/><Relationship Id="rId9" Type="http://schemas.openxmlformats.org/officeDocument/2006/relationships/hyperlink" Target="https://original-detal.ru/catalog/elektrooborudovanie/elektrooborudovanie_dvigatelya/generatory/generatory_1/vaz_1118_2190_2170/183557/" TargetMode="External"/><Relationship Id="rId14" Type="http://schemas.openxmlformats.org/officeDocument/2006/relationships/hyperlink" Target="https://original-detal.ru/catalog/elektrooborudovanie/elektrooborudovanie_dvigatelya/generatory/generatory_1/chevrolet_niva_vaz_2123/204431/" TargetMode="External"/><Relationship Id="rId22" Type="http://schemas.openxmlformats.org/officeDocument/2006/relationships/hyperlink" Target="https://autodemic.ru/product/generator-lada-priora-kalina-granta-115-a" TargetMode="External"/><Relationship Id="rId27" Type="http://schemas.openxmlformats.org/officeDocument/2006/relationships/hyperlink" Target="https://autodemic.ru/product/generator-vaz-2113-2115-lada-priora-90-a" TargetMode="External"/><Relationship Id="rId30" Type="http://schemas.openxmlformats.org/officeDocument/2006/relationships/hyperlink" Target="https://www.ozon.ru/product/generator-lada-21214-100a-3701010-83-21214370101083-647783721/" TargetMode="External"/><Relationship Id="rId35" Type="http://schemas.openxmlformats.org/officeDocument/2006/relationships/hyperlink" Target="https://www.ozon.ru/product/generator-lada-21214-80-90a-3701010-03-21214370101003-647780649/" TargetMode="External"/><Relationship Id="rId8" Type="http://schemas.openxmlformats.org/officeDocument/2006/relationships/hyperlink" Target="https://www.avtoall.ru/generator_vaz_1118_1119_2112_2170_2190_14v_90a_avtovaz-152723/" TargetMode="External"/><Relationship Id="rId3" Type="http://schemas.openxmlformats.org/officeDocument/2006/relationships/hyperlink" Target="https://&#1083;&#1072;&#1076;&#1072;.&#1086;&#1085;&#1083;&#1072;&#1081;&#1085;/shop/niva-chevrolet/electrical-equipment-niva-chevrolet/33766-generator-pramo-jelektro-110a-dlja-lada-niva-travel-chevrolet.html" TargetMode="External"/><Relationship Id="rId12" Type="http://schemas.openxmlformats.org/officeDocument/2006/relationships/hyperlink" Target="https://original-detal.ru/catalog/elektrooborudovanie/elektrooborudovanie_dvigatelya/generatory/generatory_1/vaz_1118_2190_2170/439171/" TargetMode="External"/><Relationship Id="rId17" Type="http://schemas.openxmlformats.org/officeDocument/2006/relationships/hyperlink" Target="https://original-detal.ru/catalog/elektrooborudovanie/elektrooborudovanie_dvigatelya/generatory/generatory_1/vaz_2108_15_2110_12/440177/" TargetMode="External"/><Relationship Id="rId25" Type="http://schemas.openxmlformats.org/officeDocument/2006/relationships/hyperlink" Target="https://autodemic.ru/product/generator-lada-4x4-80-a-do-2003-gv" TargetMode="External"/><Relationship Id="rId33" Type="http://schemas.openxmlformats.org/officeDocument/2006/relationships/hyperlink" Target="https://www.ozon.ru/product/generator-vaz-2108-2109-21099-2110-2111-2112-2113-2114-2115-2170-120a-original-188797423/" TargetMode="External"/><Relationship Id="rId38" Type="http://schemas.openxmlformats.org/officeDocument/2006/relationships/hyperlink" Target="https://www.ozon.ru/product/generator-1117-1119-90a-avtovaz-firm-upak-11190370101003-562561608/" TargetMode="Externa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hyperlink" Target="https://original-detal.ru/catalog/elektrooborudovanie/elektrooborudovanie_dvigatelya/generatory/generatory_1/vaz_2108_15_2110_12/439439/" TargetMode="External"/><Relationship Id="rId18" Type="http://schemas.openxmlformats.org/officeDocument/2006/relationships/hyperlink" Target="https://original-detal.ru/catalog/elektrooborudovanie/elektrooborudovanie_dvigatelya/generatory/generatory_1/vaz_1118_2190_2170/440175/" TargetMode="External"/><Relationship Id="rId26" Type="http://schemas.openxmlformats.org/officeDocument/2006/relationships/hyperlink" Target="https://autodemic.ru/product/generator-chevrolet-niva-80-a-2" TargetMode="External"/><Relationship Id="rId39" Type="http://schemas.openxmlformats.org/officeDocument/2006/relationships/vmlDrawing" Target="../drawings/vmlDrawing2.vml"/><Relationship Id="rId21" Type="http://schemas.openxmlformats.org/officeDocument/2006/relationships/hyperlink" Target="https://autodemic.ru/product/generator-chevrolet-niva-100-a-s-092003gv" TargetMode="External"/><Relationship Id="rId34" Type="http://schemas.openxmlformats.org/officeDocument/2006/relationships/hyperlink" Target="https://www.ozon.ru/product/lada-generator-v-sbore-art-21230370101084-1-sht-1256260493/" TargetMode="External"/><Relationship Id="rId7" Type="http://schemas.openxmlformats.org/officeDocument/2006/relationships/hyperlink" Target="https://www.avtoall.ru/generator_vaz_2108_2115_2170_shkiv_poliklinovoiy_14v_90a_avtovaz-670867/" TargetMode="External"/><Relationship Id="rId12" Type="http://schemas.openxmlformats.org/officeDocument/2006/relationships/hyperlink" Target="https://original-detal.ru/catalog/elektrooborudovanie/elektrooborudovanie_dvigatelya/generatory/generatory_1/vaz_1118_2190_2170/439171/" TargetMode="External"/><Relationship Id="rId17" Type="http://schemas.openxmlformats.org/officeDocument/2006/relationships/hyperlink" Target="https://original-detal.ru/catalog/elektrooborudovanie/elektrooborudovanie_dvigatelya/generatory/generatory_1/vaz_2108_15_2110_12/440177/" TargetMode="External"/><Relationship Id="rId25" Type="http://schemas.openxmlformats.org/officeDocument/2006/relationships/hyperlink" Target="https://autodemic.ru/product/generator-lada-4x4-80-a-do-2003-gv" TargetMode="External"/><Relationship Id="rId33" Type="http://schemas.openxmlformats.org/officeDocument/2006/relationships/hyperlink" Target="https://www.ozon.ru/product/generator-vaz-2108-2109-21099-2110-2111-2112-2113-2114-2115-2170-120a-original-188797423/" TargetMode="External"/><Relationship Id="rId38" Type="http://schemas.openxmlformats.org/officeDocument/2006/relationships/hyperlink" Target="https://www.ozon.ru/product/generator-1117-1119-90a-avtovaz-firm-upak-11190370101003-562561608/" TargetMode="External"/><Relationship Id="rId2" Type="http://schemas.openxmlformats.org/officeDocument/2006/relationships/hyperlink" Target="https://bi-bi.ru/product/e0000036360" TargetMode="External"/><Relationship Id="rId16" Type="http://schemas.openxmlformats.org/officeDocument/2006/relationships/hyperlink" Target="https://original-detal.ru/catalog/elektrooborudovanie/elektrooborudovanie_dvigatelya/generatory/generatory_1/chevrolet_niva_vaz_2123/183521/" TargetMode="External"/><Relationship Id="rId20" Type="http://schemas.openxmlformats.org/officeDocument/2006/relationships/hyperlink" Target="https://autodemic.ru/product/generator-v-sbore-lada-4x4" TargetMode="External"/><Relationship Id="rId29" Type="http://schemas.openxmlformats.org/officeDocument/2006/relationships/hyperlink" Target="https://www.ozon.ru/product/generator-vaz-2108-2109-21099-2110-2111-2112-2113-2114-2115-2170-100a-original-188797422/" TargetMode="External"/><Relationship Id="rId1" Type="http://schemas.openxmlformats.org/officeDocument/2006/relationships/hyperlink" Target="https://standart-detail.ru/products/generator-vaz-2108-09-vaz-2113-15-vaz-2110-12-vaz-2170-priora-100-a-21120370101083" TargetMode="External"/><Relationship Id="rId6" Type="http://schemas.openxmlformats.org/officeDocument/2006/relationships/hyperlink" Target="https://www.avtoall.ru/generator_vaz_21214__19___injektor_14v_80a_avtovaz-171140/" TargetMode="External"/><Relationship Id="rId11" Type="http://schemas.openxmlformats.org/officeDocument/2006/relationships/hyperlink" Target="https://original-detal.ru/catalog/elektrooborudovanie/elektrooborudovanie_dvigatelya/generatory/generatory_1/chevrolet_niva_vaz_2123/183521/" TargetMode="External"/><Relationship Id="rId24" Type="http://schemas.openxmlformats.org/officeDocument/2006/relationships/hyperlink" Target="https://autodemic.ru/product/generator-chevrolet-niva-120-a" TargetMode="External"/><Relationship Id="rId32" Type="http://schemas.openxmlformats.org/officeDocument/2006/relationships/hyperlink" Target="https://www.ozon.ru/product/generator-2170-125a-21700370101082-1-sht-495894641/" TargetMode="External"/><Relationship Id="rId37" Type="http://schemas.openxmlformats.org/officeDocument/2006/relationships/hyperlink" Target="https://www.ozon.ru/product/lada-generator-lada-21120370101008-art-21120370101008-753680143/?asb=8SZ7pCRogFf8ykvbVeofl4xjTotlkFJYDA8Q3%252BciItc%253D&amp;asb2=XFmv55sTGt7dpibFQ8rObNKS7m_YSbeU8Q-6eL1YcUfj6iw8x5LyDiCp3syN1LVCsPq-JildrFrZu_iFgtNsXg&amp;avtc=1&amp;avte=2&amp;avts=1719555412&amp;keywords=%D0%93%D0%B5%D0%BD%D0%B5%D1%80%D0%B0%D1%82%D0%BE%D1%80+%D0%B2+%D1%81%D0%B1%D0%BE%D1%80%D0%B5+21120370101008" TargetMode="External"/><Relationship Id="rId40" Type="http://schemas.openxmlformats.org/officeDocument/2006/relationships/comments" Target="../comments2.xml"/><Relationship Id="rId5" Type="http://schemas.openxmlformats.org/officeDocument/2006/relationships/hyperlink" Target="https://standart-detail.ru/products/generator-vaz-2108-09-vaz-2113-15-2110-12-vaz-2170-priora-120-a-21120370101084" TargetMode="External"/><Relationship Id="rId15" Type="http://schemas.openxmlformats.org/officeDocument/2006/relationships/hyperlink" Target="https://original-detal.ru/catalog/elektrooborudovanie/elektrooborudovanie_dvigatelya/generatory/generatory_1/vaz_2101_07_2121_21214_1/183520/" TargetMode="External"/><Relationship Id="rId23" Type="http://schemas.openxmlformats.org/officeDocument/2006/relationships/hyperlink" Target="https://autodemic.ru/product/generator-vaz-2108-2115-lada-priora-120-a" TargetMode="External"/><Relationship Id="rId28" Type="http://schemas.openxmlformats.org/officeDocument/2006/relationships/hyperlink" Target="https://autodemic.ru/product/generator-lada-kalina-90-a" TargetMode="External"/><Relationship Id="rId36" Type="http://schemas.openxmlformats.org/officeDocument/2006/relationships/hyperlink" Target="https://www.ozon.ru/product/lab13-generator-v-sbore-art-21230370101082-915425830/" TargetMode="External"/><Relationship Id="rId10" Type="http://schemas.openxmlformats.org/officeDocument/2006/relationships/hyperlink" Target="https://original-detal.ru/catalog/elektrooborudovanie/elektrooborudovanie_dvigatelya/generatory/generatory_1/vaz_2101_07_2121_21214_1/439515/" TargetMode="External"/><Relationship Id="rId19" Type="http://schemas.openxmlformats.org/officeDocument/2006/relationships/hyperlink" Target="https://autodemic.ru/product/generator-vaz-2108-2115-lada-priora-100-a" TargetMode="External"/><Relationship Id="rId31" Type="http://schemas.openxmlformats.org/officeDocument/2006/relationships/hyperlink" Target="https://www.ozon.ru/product/generator-2123-100a-ao-vaz-firm-upak-21230370101083-1317361536/" TargetMode="External"/><Relationship Id="rId4" Type="http://schemas.openxmlformats.org/officeDocument/2006/relationships/hyperlink" Target="https://bi-bi.ru/product/e0000036951" TargetMode="External"/><Relationship Id="rId9" Type="http://schemas.openxmlformats.org/officeDocument/2006/relationships/hyperlink" Target="https://original-detal.ru/catalog/elektrooborudovanie/elektrooborudovanie_dvigatelya/generatory/generatory_1/vaz_1118_2190_2170/183557/" TargetMode="External"/><Relationship Id="rId14" Type="http://schemas.openxmlformats.org/officeDocument/2006/relationships/hyperlink" Target="https://original-detal.ru/catalog/elektrooborudovanie/elektrooborudovanie_dvigatelya/generatory/generatory_1/chevrolet_niva_vaz_2123/204431/" TargetMode="External"/><Relationship Id="rId22" Type="http://schemas.openxmlformats.org/officeDocument/2006/relationships/hyperlink" Target="https://autodemic.ru/product/generator-lada-priora-kalina-granta-115-a" TargetMode="External"/><Relationship Id="rId27" Type="http://schemas.openxmlformats.org/officeDocument/2006/relationships/hyperlink" Target="https://autodemic.ru/product/generator-vaz-2113-2115-lada-priora-90-a" TargetMode="External"/><Relationship Id="rId30" Type="http://schemas.openxmlformats.org/officeDocument/2006/relationships/hyperlink" Target="https://www.ozon.ru/product/generator-lada-21214-100a-3701010-83-21214370101083-647783721/" TargetMode="External"/><Relationship Id="rId35" Type="http://schemas.openxmlformats.org/officeDocument/2006/relationships/hyperlink" Target="https://www.ozon.ru/product/generator-lada-21214-80-90a-3701010-03-21214370101003-647780649/" TargetMode="External"/><Relationship Id="rId8" Type="http://schemas.openxmlformats.org/officeDocument/2006/relationships/hyperlink" Target="https://www.avtoall.ru/generator_vaz_1118_1119_2112_2170_2190_14v_90a_avtovaz-152723/" TargetMode="External"/><Relationship Id="rId3" Type="http://schemas.openxmlformats.org/officeDocument/2006/relationships/hyperlink" Target="https://&#1083;&#1072;&#1076;&#1072;.&#1086;&#1085;&#1083;&#1072;&#1081;&#1085;/shop/niva-chevrolet/electrical-equipment-niva-chevrolet/33766-generator-pramo-jelektro-110a-dlja-lada-niva-travel-chevrolet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FEF25-E7AD-4668-B116-2807476FA40D}">
  <sheetPr filterMode="1">
    <outlinePr summaryBelow="0"/>
  </sheetPr>
  <dimension ref="A1:T21"/>
  <sheetViews>
    <sheetView showRuler="0" zoomScaleNormal="100" workbookViewId="0">
      <pane ySplit="2" topLeftCell="A3" activePane="bottomLeft" state="frozen"/>
      <selection pane="bottomLeft" activeCell="B21" sqref="B21"/>
    </sheetView>
  </sheetViews>
  <sheetFormatPr defaultRowHeight="15" x14ac:dyDescent="0.25"/>
  <cols>
    <col min="1" max="2" width="7" bestFit="1" customWidth="1"/>
    <col min="3" max="3" width="33.28515625" customWidth="1"/>
    <col min="4" max="4" width="2" bestFit="1" customWidth="1"/>
    <col min="5" max="5" width="15.140625" bestFit="1" customWidth="1"/>
    <col min="6" max="6" width="11.140625" bestFit="1" customWidth="1"/>
    <col min="7" max="8" width="6" bestFit="1" customWidth="1"/>
    <col min="9" max="9" width="4.5703125" bestFit="1" customWidth="1"/>
    <col min="10" max="10" width="6" bestFit="1" customWidth="1"/>
    <col min="11" max="11" width="7.42578125" bestFit="1" customWidth="1"/>
    <col min="12" max="12" width="6.28515625" bestFit="1" customWidth="1"/>
    <col min="13" max="13" width="6.28515625" style="18" customWidth="1"/>
    <col min="14" max="14" width="31.5703125" customWidth="1"/>
    <col min="15" max="15" width="6.140625" bestFit="1" customWidth="1"/>
    <col min="16" max="16" width="6.140625" style="18" customWidth="1"/>
    <col min="17" max="17" width="36" customWidth="1"/>
    <col min="18" max="18" width="10.42578125" bestFit="1" customWidth="1"/>
    <col min="19" max="19" width="10.42578125" style="18" customWidth="1"/>
    <col min="20" max="20" width="35.140625" customWidth="1"/>
  </cols>
  <sheetData>
    <row r="1" spans="1:20" x14ac:dyDescent="0.25">
      <c r="B1" s="5">
        <v>2</v>
      </c>
      <c r="C1" s="5">
        <v>3</v>
      </c>
      <c r="D1" s="6">
        <v>4</v>
      </c>
      <c r="E1" s="6">
        <v>5</v>
      </c>
      <c r="G1" s="6">
        <v>8</v>
      </c>
      <c r="H1" s="6">
        <v>9</v>
      </c>
      <c r="I1" s="6"/>
      <c r="J1" s="6"/>
      <c r="K1" s="6"/>
      <c r="L1" s="6"/>
      <c r="M1" s="6"/>
    </row>
    <row r="2" spans="1:20" s="1" customFormat="1" x14ac:dyDescent="0.25">
      <c r="A2" s="2" t="s">
        <v>0</v>
      </c>
      <c r="B2" s="7" t="s">
        <v>1</v>
      </c>
      <c r="C2" s="7" t="s">
        <v>72</v>
      </c>
      <c r="D2" s="7"/>
      <c r="E2" s="7" t="s">
        <v>73</v>
      </c>
      <c r="F2" s="2" t="s">
        <v>6</v>
      </c>
      <c r="G2" s="7"/>
      <c r="H2" s="7"/>
      <c r="I2" s="7"/>
      <c r="J2" s="7"/>
      <c r="K2" s="7" t="s">
        <v>230</v>
      </c>
      <c r="L2" s="10" t="s">
        <v>74</v>
      </c>
      <c r="M2" s="19"/>
      <c r="N2" s="10" t="s">
        <v>74</v>
      </c>
      <c r="O2" s="10" t="s">
        <v>95</v>
      </c>
      <c r="P2" s="19"/>
      <c r="Q2" s="10" t="s">
        <v>95</v>
      </c>
      <c r="R2" s="15" t="s">
        <v>106</v>
      </c>
      <c r="S2" s="19"/>
      <c r="T2" s="15" t="s">
        <v>106</v>
      </c>
    </row>
    <row r="3" spans="1:20" ht="60.75" hidden="1" thickBot="1" x14ac:dyDescent="0.3">
      <c r="A3" s="33">
        <v>376516</v>
      </c>
      <c r="B3" s="8">
        <f>VLOOKUP($A3,'Кардан Выгр Кат'!$A:$R,B$1,0)</f>
        <v>376516</v>
      </c>
      <c r="C3" s="9" t="str">
        <f>VLOOKUP($A3,'Кардан Выгр Кат'!$A:$R,C$1,0)</f>
        <v>Вал карданный "Кардан" в сборе для ВАЗ 2101-2107</v>
      </c>
      <c r="D3" s="8" t="str">
        <f>VLOOKUP($A3,'Кардан Выгр Кат'!$A:$R,D$1,0)</f>
        <v>Y</v>
      </c>
      <c r="E3" s="8" t="str">
        <f>VLOOKUP($A3,'Кардан Выгр Кат'!$A:$R,E$1,0)</f>
        <v>21050220001202</v>
      </c>
      <c r="F3" s="4" t="s">
        <v>15</v>
      </c>
      <c r="G3" s="13">
        <f>VLOOKUP($A3,'Кардан Выгр Кат'!$A:$R,G$1,0)</f>
        <v>12415</v>
      </c>
      <c r="H3" s="8">
        <f>VLOOKUP($A3,'Кардан Выгр Кат'!$A:$R,H$1,0)</f>
        <v>16190</v>
      </c>
      <c r="I3" s="14">
        <f>IF(J3&lt;&gt;"",J3/G3-1,"")</f>
        <v>0.12686266612968189</v>
      </c>
      <c r="J3" s="13">
        <f>ROUNDUP(K3,-2)-10</f>
        <v>13990</v>
      </c>
      <c r="K3" s="8">
        <f>MIN(L3,O3,R3)</f>
        <v>13990</v>
      </c>
      <c r="L3" s="20">
        <v>13990</v>
      </c>
      <c r="M3" s="23">
        <f>VLOOKUP(N3,Парсинг!$A:$C,3,0)</f>
        <v>13990</v>
      </c>
      <c r="N3" s="21" t="s">
        <v>75</v>
      </c>
      <c r="O3" s="16">
        <v>16990</v>
      </c>
      <c r="P3" s="23">
        <f>VLOOKUP(Q3,Парсинг!$A:$C,3,0)</f>
        <v>16990</v>
      </c>
      <c r="Q3" s="12" t="s">
        <v>83</v>
      </c>
      <c r="R3" s="17">
        <v>14750</v>
      </c>
      <c r="S3" s="23">
        <f>VLOOKUP(T3,Парсинг!$A:$C,3,0)</f>
        <v>14750</v>
      </c>
      <c r="T3" s="12" t="s">
        <v>96</v>
      </c>
    </row>
    <row r="4" spans="1:20" ht="30" hidden="1" x14ac:dyDescent="0.25">
      <c r="A4" s="3">
        <v>376530</v>
      </c>
      <c r="B4" s="8">
        <f>VLOOKUP($A4,'Кардан Выгр Кат'!$A:$R,B$1,0)</f>
        <v>376530</v>
      </c>
      <c r="C4" s="9" t="str">
        <f>VLOOKUP($A4,'Кардан Выгр Кат'!$A:$R,C$1,0)</f>
        <v>Вал карданный "Кардан" в сборе для ВИС 2345</v>
      </c>
      <c r="D4" s="8" t="str">
        <f>VLOOKUP($A4,'Кардан Выгр Кат'!$A:$R,D$1,0)</f>
        <v>Y</v>
      </c>
      <c r="E4" s="8" t="str">
        <f>VLOOKUP($A4,'Кардан Выгр Кат'!$A:$R,E$1,0)</f>
        <v>21050220001280</v>
      </c>
      <c r="F4" s="4" t="s">
        <v>15</v>
      </c>
      <c r="G4" s="13">
        <f>VLOOKUP($A4,'Кардан Выгр Кат'!$A:$R,G$1,0)</f>
        <v>11151</v>
      </c>
      <c r="H4" s="8">
        <f>VLOOKUP($A4,'Кардан Выгр Кат'!$A:$R,H$1,0)</f>
        <v>14490</v>
      </c>
      <c r="I4" s="14" t="str">
        <f t="shared" ref="I4:I21" si="0">IF(J4&lt;&gt;"",J4/G4-1,"")</f>
        <v/>
      </c>
      <c r="J4" s="8"/>
      <c r="K4" s="8"/>
      <c r="L4" s="8"/>
      <c r="M4" s="22"/>
      <c r="N4" s="4"/>
      <c r="O4" s="12"/>
      <c r="P4" s="12"/>
      <c r="Q4" s="12"/>
      <c r="R4" s="12"/>
      <c r="S4" s="12"/>
      <c r="T4" s="12"/>
    </row>
    <row r="5" spans="1:20" ht="30" hidden="1" x14ac:dyDescent="0.25">
      <c r="A5" s="3">
        <v>139011</v>
      </c>
      <c r="B5" s="8">
        <f>VLOOKUP($A5,'Кардан Выгр Кат'!$A:$R,B$1,0)</f>
        <v>38326</v>
      </c>
      <c r="C5" s="9" t="str">
        <f>VLOOKUP($A5,'Кардан Выгр Кат'!$A:$R,C$1,0)</f>
        <v>Вал карданный "КАРДАН" в сборе на ШРУС для ВАЗ 2101-2107</v>
      </c>
      <c r="D5" s="8" t="str">
        <f>VLOOKUP($A5,'Кардан Выгр Кат'!$A:$R,D$1,0)</f>
        <v>Y</v>
      </c>
      <c r="E5" s="8" t="str">
        <f>VLOOKUP($A5,'Кардан Выгр Кат'!$A:$R,E$1,0)</f>
        <v>21050220001201</v>
      </c>
      <c r="F5" s="4" t="s">
        <v>15</v>
      </c>
      <c r="G5" s="13">
        <f>VLOOKUP($A5,'Кардан Выгр Кат'!$A:$R,G$1,0)</f>
        <v>16668</v>
      </c>
      <c r="H5" s="8">
        <f>VLOOKUP($A5,'Кардан Выгр Кат'!$A:$R,H$1,0)</f>
        <v>21690</v>
      </c>
      <c r="I5" s="14" t="str">
        <f t="shared" si="0"/>
        <v/>
      </c>
      <c r="J5" s="8"/>
      <c r="K5" s="8"/>
      <c r="L5" s="8"/>
      <c r="M5" s="8"/>
      <c r="N5" s="4"/>
      <c r="O5" s="12"/>
      <c r="P5" s="12"/>
      <c r="Q5" s="12"/>
      <c r="R5" s="12"/>
      <c r="S5" s="12"/>
      <c r="T5" s="12"/>
    </row>
    <row r="6" spans="1:20" ht="45.75" hidden="1" thickBot="1" x14ac:dyDescent="0.3">
      <c r="A6" s="3">
        <v>139012</v>
      </c>
      <c r="B6" s="8">
        <f>VLOOKUP($A6,'Кардан Выгр Кат'!$A:$R,B$1,0)</f>
        <v>31352</v>
      </c>
      <c r="C6" s="9" t="str">
        <f>VLOOKUP($A6,'Кардан Выгр Кат'!$A:$R,C$1,0)</f>
        <v>Вал карданный "КАРДАН" задний в сборе со ШРУСом для Лада Нива 4x4</v>
      </c>
      <c r="D6" s="8" t="str">
        <f>VLOOKUP($A6,'Кардан Выгр Кат'!$A:$R,D$1,0)</f>
        <v>Y</v>
      </c>
      <c r="E6" s="8" t="str">
        <f>VLOOKUP($A6,'Кардан Выгр Кат'!$A:$R,E$1,0)</f>
        <v>21310220101020</v>
      </c>
      <c r="F6" s="4" t="s">
        <v>15</v>
      </c>
      <c r="G6" s="13">
        <f>VLOOKUP($A6,'Кардан Выгр Кат'!$A:$R,G$1,0)</f>
        <v>17523</v>
      </c>
      <c r="H6" s="8">
        <f>VLOOKUP($A6,'Кардан Выгр Кат'!$A:$R,H$1,0)</f>
        <v>24990</v>
      </c>
      <c r="I6" s="14">
        <f t="shared" si="0"/>
        <v>0.42612566341379909</v>
      </c>
      <c r="J6" s="13">
        <f t="shared" ref="J6:J18" si="1">ROUNDUP(K6,-2)-10</f>
        <v>24990</v>
      </c>
      <c r="K6" s="8">
        <f>MIN(L6,O6,R6)</f>
        <v>24990</v>
      </c>
      <c r="L6" s="11">
        <v>24990</v>
      </c>
      <c r="M6" s="23">
        <f>VLOOKUP(N6,Парсинг!$A:$C,3,0)</f>
        <v>24990</v>
      </c>
      <c r="N6" s="4" t="s">
        <v>76</v>
      </c>
      <c r="O6" s="12"/>
      <c r="P6" s="12"/>
      <c r="Q6" s="12"/>
      <c r="R6" s="17">
        <v>25975</v>
      </c>
      <c r="S6" s="23">
        <f>VLOOKUP(T6,Парсинг!$A:$C,3,0)</f>
        <v>25975</v>
      </c>
      <c r="T6" s="12" t="s">
        <v>97</v>
      </c>
    </row>
    <row r="7" spans="1:20" ht="60.75" hidden="1" thickBot="1" x14ac:dyDescent="0.3">
      <c r="A7" s="3">
        <v>139013</v>
      </c>
      <c r="B7" s="8">
        <f>VLOOKUP($A7,'Кардан Выгр Кат'!$A:$R,B$1,0)</f>
        <v>21781</v>
      </c>
      <c r="C7" s="9" t="str">
        <f>VLOOKUP($A7,'Кардан Выгр Кат'!$A:$R,C$1,0)</f>
        <v>Вал карданный "Кардан" задний с ШРУСами для Лада (Нива 4x4, Нива 4x4 Урбан), Шевроле Нива</v>
      </c>
      <c r="D7" s="8" t="str">
        <f>VLOOKUP($A7,'Кардан Выгр Кат'!$A:$R,D$1,0)</f>
        <v>Y</v>
      </c>
      <c r="E7" s="8" t="str">
        <f>VLOOKUP($A7,'Кардан Выгр Кат'!$A:$R,E$1,0)</f>
        <v>21214220101200</v>
      </c>
      <c r="F7" s="4" t="s">
        <v>15</v>
      </c>
      <c r="G7" s="13">
        <f>VLOOKUP($A7,'Кардан Выгр Кат'!$A:$R,G$1,0)</f>
        <v>12185</v>
      </c>
      <c r="H7" s="8">
        <f>VLOOKUP($A7,'Кардан Выгр Кат'!$A:$R,H$1,0)</f>
        <v>15890</v>
      </c>
      <c r="I7" s="14">
        <f t="shared" si="0"/>
        <v>5.7858022158391531E-2</v>
      </c>
      <c r="J7" s="13">
        <f t="shared" si="1"/>
        <v>12890</v>
      </c>
      <c r="K7" s="8">
        <f>MIN(L7,O7,R7)</f>
        <v>12840</v>
      </c>
      <c r="L7" s="11">
        <v>13890</v>
      </c>
      <c r="M7" s="23">
        <f>VLOOKUP(N7,Парсинг!$A:$C,3,0)</f>
        <v>13890</v>
      </c>
      <c r="N7" s="4" t="s">
        <v>27</v>
      </c>
      <c r="O7" s="16">
        <v>12840</v>
      </c>
      <c r="P7" s="23">
        <f>VLOOKUP(Q7,Парсинг!$A:$C,3,0)</f>
        <v>12840</v>
      </c>
      <c r="Q7" s="12" t="s">
        <v>84</v>
      </c>
      <c r="R7" s="17">
        <v>16510</v>
      </c>
      <c r="S7" s="23">
        <f>VLOOKUP(T7,Парсинг!$A:$C,3,0)</f>
        <v>16510</v>
      </c>
      <c r="T7" s="12" t="s">
        <v>98</v>
      </c>
    </row>
    <row r="8" spans="1:20" ht="60.75" thickBot="1" x14ac:dyDescent="0.3">
      <c r="A8" s="3">
        <v>139014</v>
      </c>
      <c r="B8" s="8">
        <f>VLOOKUP($A8,'Кардан Выгр Кат'!$A:$R,B$1,0)</f>
        <v>13011</v>
      </c>
      <c r="C8" s="9" t="str">
        <f>VLOOKUP($A8,'Кардан Выгр Кат'!$A:$R,C$1,0)</f>
        <v>Вал карданный "КАРДАН" задний, на крестовине для Лада Нива 4х4</v>
      </c>
      <c r="D8" s="8" t="str">
        <f>VLOOKUP($A8,'Кардан Выгр Кат'!$A:$R,D$1,0)</f>
        <v>Y</v>
      </c>
      <c r="E8" s="8" t="str">
        <f>VLOOKUP($A8,'Кардан Выгр Кат'!$A:$R,E$1,0)</f>
        <v>21214220101210</v>
      </c>
      <c r="F8" s="4" t="s">
        <v>15</v>
      </c>
      <c r="G8" s="13">
        <f>VLOOKUP($A8,'Кардан Выгр Кат'!$A:$R,G$1,0)</f>
        <v>8277</v>
      </c>
      <c r="H8" s="8">
        <f>VLOOKUP($A8,'Кардан Выгр Кат'!$A:$R,H$1,0)</f>
        <v>11190</v>
      </c>
      <c r="I8" s="14">
        <f t="shared" si="0"/>
        <v>0.25528573154524592</v>
      </c>
      <c r="J8" s="13">
        <f t="shared" si="1"/>
        <v>10390</v>
      </c>
      <c r="K8" s="8">
        <f>MIN(L8,O8,R8)</f>
        <v>10400</v>
      </c>
      <c r="L8" s="11">
        <v>10990</v>
      </c>
      <c r="M8" s="23">
        <f>VLOOKUP(N8,Парсинг!$A:$C,3,0)</f>
        <v>10990</v>
      </c>
      <c r="N8" s="4" t="s">
        <v>31</v>
      </c>
      <c r="O8" s="16">
        <v>10400</v>
      </c>
      <c r="P8" s="23">
        <f>VLOOKUP(Q8,Парсинг!$A:$C,3,0)</f>
        <v>10400</v>
      </c>
      <c r="Q8" s="12" t="s">
        <v>85</v>
      </c>
      <c r="R8" s="17">
        <v>12450</v>
      </c>
      <c r="S8" s="23">
        <f>VLOOKUP(T8,Парсинг!$A:$C,3,0)</f>
        <v>12450</v>
      </c>
      <c r="T8" s="12" t="s">
        <v>99</v>
      </c>
    </row>
    <row r="9" spans="1:20" ht="61.5" hidden="1" thickTop="1" thickBot="1" x14ac:dyDescent="0.3">
      <c r="A9" s="3">
        <v>139015</v>
      </c>
      <c r="B9" s="8">
        <f>VLOOKUP($A9,'Кардан Выгр Кат'!$A:$R,B$1,0)</f>
        <v>21780</v>
      </c>
      <c r="C9" s="9" t="str">
        <f>VLOOKUP($A9,'Кардан Выгр Кат'!$A:$R,C$1,0)</f>
        <v>Вал карданный "КАРДАН" передний с ШРУСами для Лада Нива 4х4, Шевроле Нива</v>
      </c>
      <c r="D9" s="8" t="str">
        <f>VLOOKUP($A9,'Кардан Выгр Кат'!$A:$R,D$1,0)</f>
        <v>Y</v>
      </c>
      <c r="E9" s="8" t="str">
        <f>VLOOKUP($A9,'Кардан Выгр Кат'!$A:$R,E$1,0)</f>
        <v>21214220301200</v>
      </c>
      <c r="F9" s="4" t="s">
        <v>15</v>
      </c>
      <c r="G9" s="13">
        <f>VLOOKUP($A9,'Кардан Выгр Кат'!$A:$R,G$1,0)</f>
        <v>11077</v>
      </c>
      <c r="H9" s="8">
        <f>VLOOKUP($A9,'Кардан Выгр Кат'!$A:$R,H$1,0)</f>
        <v>14490</v>
      </c>
      <c r="I9" s="14">
        <f t="shared" si="0"/>
        <v>-5.2992687550780904E-2</v>
      </c>
      <c r="J9" s="13">
        <f t="shared" si="1"/>
        <v>10490</v>
      </c>
      <c r="K9" s="8">
        <f>MIN(L9,O9,R9)</f>
        <v>10490</v>
      </c>
      <c r="L9" s="11">
        <v>10490</v>
      </c>
      <c r="M9" s="23">
        <f>VLOOKUP(N9,Парсинг!$A:$C,3,0)</f>
        <v>10490</v>
      </c>
      <c r="N9" s="4" t="s">
        <v>35</v>
      </c>
      <c r="O9" s="16">
        <v>12480</v>
      </c>
      <c r="P9" s="23">
        <f>VLOOKUP(Q9,Парсинг!$A:$C,3,0)</f>
        <v>12480</v>
      </c>
      <c r="Q9" s="12" t="s">
        <v>86</v>
      </c>
      <c r="R9" s="17">
        <v>15910</v>
      </c>
      <c r="S9" s="23">
        <f>VLOOKUP(T9,Парсинг!$A:$C,3,0)</f>
        <v>15910</v>
      </c>
      <c r="T9" s="12" t="s">
        <v>100</v>
      </c>
    </row>
    <row r="10" spans="1:20" ht="61.5" hidden="1" thickTop="1" thickBot="1" x14ac:dyDescent="0.3">
      <c r="A10" s="3">
        <v>139016</v>
      </c>
      <c r="B10" s="8">
        <f>VLOOKUP($A10,'Кардан Выгр Кат'!$A:$R,B$1,0)</f>
        <v>13012</v>
      </c>
      <c r="C10" s="9" t="str">
        <f>VLOOKUP($A10,'Кардан Выгр Кат'!$A:$R,C$1,0)</f>
        <v>Вал карданный "Кардан" передний, на крестовине для Лада Нива 4х4</v>
      </c>
      <c r="D10" s="8" t="str">
        <f>VLOOKUP($A10,'Кардан Выгр Кат'!$A:$R,D$1,0)</f>
        <v>Y</v>
      </c>
      <c r="E10" s="8" t="str">
        <f>VLOOKUP($A10,'Кардан Выгр Кат'!$A:$R,E$1,0)</f>
        <v>21214220301210</v>
      </c>
      <c r="F10" s="4" t="s">
        <v>15</v>
      </c>
      <c r="G10" s="13">
        <f>VLOOKUP($A10,'Кардан Выгр Кат'!$A:$R,G$1,0)</f>
        <v>9944</v>
      </c>
      <c r="H10" s="8">
        <f>VLOOKUP($A10,'Кардан Выгр Кат'!$A:$R,H$1,0)</f>
        <v>13490</v>
      </c>
      <c r="I10" s="14">
        <f t="shared" si="0"/>
        <v>2.4738535800482797E-2</v>
      </c>
      <c r="J10" s="13">
        <f t="shared" si="1"/>
        <v>10190</v>
      </c>
      <c r="K10" s="8">
        <f t="shared" ref="K10:K15" si="2">MIN(L10,O10,R10)</f>
        <v>10150</v>
      </c>
      <c r="L10" s="11">
        <v>14290</v>
      </c>
      <c r="M10" s="23">
        <f>VLOOKUP(N10,Парсинг!$A:$C,3,0)</f>
        <v>14290</v>
      </c>
      <c r="N10" s="4" t="s">
        <v>39</v>
      </c>
      <c r="O10" s="16">
        <v>10150</v>
      </c>
      <c r="P10" s="23">
        <f>VLOOKUP(Q10,Парсинг!$A:$C,3,0)</f>
        <v>10150</v>
      </c>
      <c r="Q10" s="12" t="s">
        <v>87</v>
      </c>
      <c r="R10" s="17">
        <v>11110</v>
      </c>
      <c r="S10" s="23">
        <f>VLOOKUP(T10,Парсинг!$A:$C,3,0)</f>
        <v>11110</v>
      </c>
      <c r="T10" s="12" t="s">
        <v>101</v>
      </c>
    </row>
    <row r="11" spans="1:20" ht="46.5" hidden="1" thickTop="1" thickBot="1" x14ac:dyDescent="0.3">
      <c r="A11" s="3">
        <v>139029</v>
      </c>
      <c r="B11" s="8">
        <f>VLOOKUP($A11,'Кардан Выгр Кат'!$A:$R,B$1,0)</f>
        <v>43972</v>
      </c>
      <c r="C11" s="9" t="str">
        <f>VLOOKUP($A11,'Кардан Выгр Кат'!$A:$R,C$1,0)</f>
        <v>Вал карданный в сборе на крестовине "Кардан"  для ВАЗ 2101-2107</v>
      </c>
      <c r="D11" s="8" t="str">
        <f>VLOOKUP($A11,'Кардан Выгр Кат'!$A:$R,D$1,0)</f>
        <v>Y</v>
      </c>
      <c r="E11" s="8" t="str">
        <f>VLOOKUP($A11,'Кардан Выгр Кат'!$A:$R,E$1,0)</f>
        <v>21050220001200</v>
      </c>
      <c r="F11" s="4" t="s">
        <v>15</v>
      </c>
      <c r="G11" s="13">
        <f>VLOOKUP($A11,'Кардан Выгр Кат'!$A:$R,G$1,0)</f>
        <v>9584</v>
      </c>
      <c r="H11" s="8">
        <f>VLOOKUP($A11,'Кардан Выгр Кат'!$A:$R,H$1,0)</f>
        <v>12790</v>
      </c>
      <c r="I11" s="14">
        <f t="shared" si="0"/>
        <v>0.33451585976627718</v>
      </c>
      <c r="J11" s="13">
        <f t="shared" si="1"/>
        <v>12790</v>
      </c>
      <c r="K11" s="8">
        <f t="shared" si="2"/>
        <v>12790</v>
      </c>
      <c r="L11" s="11">
        <v>12790</v>
      </c>
      <c r="M11" s="23">
        <f>VLOOKUP(N11,Парсинг!$A:$C,3,0)</f>
        <v>12790</v>
      </c>
      <c r="N11" s="4" t="s">
        <v>77</v>
      </c>
      <c r="O11" s="12"/>
      <c r="P11" s="12"/>
      <c r="Q11" s="12"/>
      <c r="R11" s="17">
        <v>14750</v>
      </c>
      <c r="S11" s="23">
        <f>VLOOKUP(T11,Парсинг!$A:$C,3,0)</f>
        <v>14750</v>
      </c>
      <c r="T11" s="12" t="s">
        <v>96</v>
      </c>
    </row>
    <row r="12" spans="1:20" ht="76.5" hidden="1" thickTop="1" thickBot="1" x14ac:dyDescent="0.3">
      <c r="A12" s="3">
        <v>376875</v>
      </c>
      <c r="B12" s="8">
        <f>VLOOKUP($A12,'Кардан Выгр Кат'!$A:$R,B$1,0)</f>
        <v>376875</v>
      </c>
      <c r="C12" s="9" t="str">
        <f>VLOOKUP($A12,'Кардан Выгр Кат'!$A:$R,C$1,0)</f>
        <v>Карданный вал "КАРДАН" задний (с гофрой) для Лада Нива 4х4</v>
      </c>
      <c r="D12" s="8" t="str">
        <f>VLOOKUP($A12,'Кардан Выгр Кат'!$A:$R,D$1,0)</f>
        <v>Y</v>
      </c>
      <c r="E12" s="8" t="str">
        <f>VLOOKUP($A12,'Кардан Выгр Кат'!$A:$R,E$1,0)</f>
        <v>21214220101211</v>
      </c>
      <c r="F12" s="4" t="s">
        <v>15</v>
      </c>
      <c r="G12" s="13">
        <f>VLOOKUP($A12,'Кардан Выгр Кат'!$A:$R,G$1,0)</f>
        <v>8549</v>
      </c>
      <c r="H12" s="8">
        <f>VLOOKUP($A12,'Кардан Выгр Кат'!$A:$R,H$1,0)</f>
        <v>10790</v>
      </c>
      <c r="I12" s="14">
        <f t="shared" si="0"/>
        <v>0.26213592233009719</v>
      </c>
      <c r="J12" s="13">
        <f t="shared" si="1"/>
        <v>10790</v>
      </c>
      <c r="K12" s="8">
        <f t="shared" si="2"/>
        <v>10790</v>
      </c>
      <c r="L12" s="11">
        <v>10790</v>
      </c>
      <c r="M12" s="23">
        <f>VLOOKUP(N12,Парсинг!$A:$C,3,0)</f>
        <v>10790</v>
      </c>
      <c r="N12" s="4" t="s">
        <v>78</v>
      </c>
      <c r="O12" s="16">
        <v>12350</v>
      </c>
      <c r="P12" s="23">
        <f>VLOOKUP(Q12,Парсинг!$A:$C,3,0)</f>
        <v>12350</v>
      </c>
      <c r="Q12" s="12" t="s">
        <v>88</v>
      </c>
      <c r="R12" s="12"/>
      <c r="S12" s="12"/>
      <c r="T12" s="12"/>
    </row>
    <row r="13" spans="1:20" ht="61.5" hidden="1" thickTop="1" thickBot="1" x14ac:dyDescent="0.3">
      <c r="A13" s="3">
        <v>376876</v>
      </c>
      <c r="B13" s="8">
        <f>VLOOKUP($A13,'Кардан Выгр Кат'!$A:$R,B$1,0)</f>
        <v>376876</v>
      </c>
      <c r="C13" s="9" t="str">
        <f>VLOOKUP($A13,'Кардан Выгр Кат'!$A:$R,C$1,0)</f>
        <v>Карданный вал "КАРДАН" задний (с гофрой) для Шевроле Нива</v>
      </c>
      <c r="D13" s="8" t="str">
        <f>VLOOKUP($A13,'Кардан Выгр Кат'!$A:$R,D$1,0)</f>
        <v>Y</v>
      </c>
      <c r="E13" s="8" t="str">
        <f>VLOOKUP($A13,'Кардан Выгр Кат'!$A:$R,E$1,0)</f>
        <v>21230220101211</v>
      </c>
      <c r="F13" s="4" t="s">
        <v>15</v>
      </c>
      <c r="G13" s="13">
        <f>VLOOKUP($A13,'Кардан Выгр Кат'!$A:$R,G$1,0)</f>
        <v>9025</v>
      </c>
      <c r="H13" s="8">
        <f>VLOOKUP($A13,'Кардан Выгр Кат'!$A:$R,H$1,0)</f>
        <v>12190</v>
      </c>
      <c r="I13" s="14">
        <f t="shared" si="0"/>
        <v>0.18448753462603884</v>
      </c>
      <c r="J13" s="13">
        <f t="shared" si="1"/>
        <v>10690</v>
      </c>
      <c r="K13" s="8">
        <f t="shared" si="2"/>
        <v>10690</v>
      </c>
      <c r="L13" s="11">
        <v>10690</v>
      </c>
      <c r="M13" s="23">
        <f>VLOOKUP(N13,Парсинг!$A:$C,3,0)</f>
        <v>10690</v>
      </c>
      <c r="N13" s="4" t="s">
        <v>79</v>
      </c>
      <c r="O13" s="12"/>
      <c r="P13" s="12"/>
      <c r="Q13" s="12"/>
      <c r="R13" s="12"/>
      <c r="S13" s="12"/>
      <c r="T13" s="12"/>
    </row>
    <row r="14" spans="1:20" ht="76.5" hidden="1" thickTop="1" thickBot="1" x14ac:dyDescent="0.3">
      <c r="A14" s="3">
        <v>376815</v>
      </c>
      <c r="B14" s="8">
        <f>VLOOKUP($A14,'Кардан Выгр Кат'!$A:$R,B$1,0)</f>
        <v>376815</v>
      </c>
      <c r="C14" s="9" t="str">
        <f>VLOOKUP($A14,'Кардан Выгр Кат'!$A:$R,C$1,0)</f>
        <v>Карданный вал "КАРДАН" передний (с гофрой) для Лада Нива 4х4</v>
      </c>
      <c r="D14" s="8" t="str">
        <f>VLOOKUP($A14,'Кардан Выгр Кат'!$A:$R,D$1,0)</f>
        <v>Y</v>
      </c>
      <c r="E14" s="8" t="str">
        <f>VLOOKUP($A14,'Кардан Выгр Кат'!$A:$R,E$1,0)</f>
        <v>21214220301211</v>
      </c>
      <c r="F14" s="4" t="s">
        <v>15</v>
      </c>
      <c r="G14" s="13">
        <f>VLOOKUP($A14,'Кардан Выгр Кат'!$A:$R,G$1,0)</f>
        <v>8549</v>
      </c>
      <c r="H14" s="8">
        <f>VLOOKUP($A14,'Кардан Выгр Кат'!$A:$R,H$1,0)</f>
        <v>10890</v>
      </c>
      <c r="I14" s="14">
        <f t="shared" si="0"/>
        <v>0.27383319686513041</v>
      </c>
      <c r="J14" s="13">
        <f t="shared" si="1"/>
        <v>10890</v>
      </c>
      <c r="K14" s="8">
        <f t="shared" si="2"/>
        <v>10890</v>
      </c>
      <c r="L14" s="11">
        <v>10890</v>
      </c>
      <c r="M14" s="23">
        <f>VLOOKUP(N14,Парсинг!$A:$C,3,0)</f>
        <v>10890</v>
      </c>
      <c r="N14" s="4" t="s">
        <v>80</v>
      </c>
      <c r="O14" s="16">
        <v>12350</v>
      </c>
      <c r="P14" s="23">
        <f>VLOOKUP(Q14,Парсинг!$A:$C,3,0)</f>
        <v>12350</v>
      </c>
      <c r="Q14" s="12" t="s">
        <v>89</v>
      </c>
      <c r="R14" s="12"/>
      <c r="S14" s="12"/>
      <c r="T14" s="12"/>
    </row>
    <row r="15" spans="1:20" ht="76.5" hidden="1" thickTop="1" thickBot="1" x14ac:dyDescent="0.3">
      <c r="A15" s="3">
        <v>155722</v>
      </c>
      <c r="B15" s="8">
        <f>VLOOKUP($A15,'Кардан Выгр Кат'!$A:$R,B$1,0)</f>
        <v>21863</v>
      </c>
      <c r="C15" s="9" t="str">
        <f>VLOOKUP($A15,'Кардан Выгр Кат'!$A:$R,C$1,0)</f>
        <v>Карданный вал промежуточный "ЗАО Кардан" для Шевроле Нива</v>
      </c>
      <c r="D15" s="8" t="str">
        <f>VLOOKUP($A15,'Кардан Выгр Кат'!$A:$R,D$1,0)</f>
        <v>Y</v>
      </c>
      <c r="E15" s="8" t="str">
        <f>VLOOKUP($A15,'Кардан Выгр Кат'!$A:$R,E$1,0)</f>
        <v>21230220201003</v>
      </c>
      <c r="F15" s="4" t="s">
        <v>15</v>
      </c>
      <c r="G15" s="13">
        <f>VLOOKUP($A15,'Кардан Выгр Кат'!$A:$R,G$1,0)</f>
        <v>8294</v>
      </c>
      <c r="H15" s="8">
        <f>VLOOKUP($A15,'Кардан Выгр Кат'!$A:$R,H$1,0)</f>
        <v>10890</v>
      </c>
      <c r="I15" s="14">
        <f t="shared" si="0"/>
        <v>0.31299734748010599</v>
      </c>
      <c r="J15" s="13">
        <f t="shared" si="1"/>
        <v>10890</v>
      </c>
      <c r="K15" s="8">
        <f t="shared" si="2"/>
        <v>10890</v>
      </c>
      <c r="L15" s="11">
        <v>10890</v>
      </c>
      <c r="M15" s="23">
        <f>VLOOKUP(N15,Парсинг!$A:$C,3,0)</f>
        <v>10890</v>
      </c>
      <c r="N15" s="4" t="s">
        <v>81</v>
      </c>
      <c r="O15" s="16">
        <v>12900</v>
      </c>
      <c r="P15" s="23">
        <f>VLOOKUP(Q15,Парсинг!$A:$C,3,0)</f>
        <v>12900</v>
      </c>
      <c r="Q15" s="12" t="s">
        <v>90</v>
      </c>
      <c r="R15" s="12"/>
      <c r="S15" s="12"/>
      <c r="T15" s="12"/>
    </row>
    <row r="16" spans="1:20" ht="46.5" hidden="1" thickTop="1" thickBot="1" x14ac:dyDescent="0.3">
      <c r="A16" s="3">
        <v>376810</v>
      </c>
      <c r="B16" s="8">
        <f>VLOOKUP($A16,'Кардан Выгр Кат'!$A:$R,B$1,0)</f>
        <v>376810</v>
      </c>
      <c r="C16" s="9" t="str">
        <f>VLOOKUP($A16,'Кардан Выгр Кат'!$A:$R,C$1,0)</f>
        <v>Крестовина карданного вала "КАРДАН" без штуцера для ВАЗ Лада Нива 4х4, Шевроле Нива</v>
      </c>
      <c r="D16" s="8" t="str">
        <f>VLOOKUP($A16,'Кардан Выгр Кат'!$A:$R,D$1,0)</f>
        <v>Y</v>
      </c>
      <c r="E16" s="8" t="str">
        <f>VLOOKUP($A16,'Кардан Выгр Кат'!$A:$R,E$1,0)</f>
        <v>21211220202501</v>
      </c>
      <c r="F16" s="4" t="s">
        <v>15</v>
      </c>
      <c r="G16" s="13">
        <f>VLOOKUP($A16,'Кардан Выгр Кат'!$A:$R,G$1,0)</f>
        <v>826</v>
      </c>
      <c r="H16" s="8">
        <f>VLOOKUP($A16,'Кардан Выгр Кат'!$A:$R,H$1,0)</f>
        <v>1290</v>
      </c>
      <c r="I16" s="14">
        <f t="shared" si="0"/>
        <v>-4.3583535108958849E-2</v>
      </c>
      <c r="J16" s="13">
        <f t="shared" ref="J16" si="3">ROUNDUP(K16,-2)-10</f>
        <v>790</v>
      </c>
      <c r="K16" s="8">
        <f t="shared" ref="K16" si="4">MIN(L16,O16,R16)</f>
        <v>749</v>
      </c>
      <c r="L16" s="11">
        <v>749</v>
      </c>
      <c r="M16" s="23">
        <f>VLOOKUP(N16,Парсинг!$A:$C,3,0)</f>
        <v>749</v>
      </c>
      <c r="N16" s="4" t="s">
        <v>82</v>
      </c>
      <c r="O16" s="12"/>
      <c r="P16" s="12"/>
      <c r="Q16" s="12"/>
      <c r="R16" s="12"/>
      <c r="S16" s="12"/>
      <c r="T16" s="12"/>
    </row>
    <row r="17" spans="1:20" ht="76.5" thickTop="1" thickBot="1" x14ac:dyDescent="0.3">
      <c r="A17" s="3">
        <v>160520</v>
      </c>
      <c r="B17" s="8">
        <f>VLOOKUP($A17,'Кардан Выгр Кат'!$A:$R,B$1,0)</f>
        <v>4373</v>
      </c>
      <c r="C17" s="9" t="str">
        <f>VLOOKUP($A17,'Кардан Выгр Кат'!$A:$R,C$1,0)</f>
        <v>Крестовина карданного вала "КАРДАН" для ВАЗ Лада Нива 4х4, Шевроле Нива</v>
      </c>
      <c r="D17" s="8" t="str">
        <f>VLOOKUP($A17,'Кардан Выгр Кат'!$A:$R,D$1,0)</f>
        <v>Y</v>
      </c>
      <c r="E17" s="8" t="str">
        <f>VLOOKUP($A17,'Кардан Выгр Кат'!$A:$R,E$1,0)</f>
        <v>21211220202500</v>
      </c>
      <c r="F17" s="4" t="s">
        <v>15</v>
      </c>
      <c r="G17" s="13">
        <f>VLOOKUP($A17,'Кардан Выгр Кат'!$A:$R,G$1,0)</f>
        <v>805</v>
      </c>
      <c r="H17" s="8">
        <f>VLOOKUP($A17,'Кардан Выгр Кат'!$A:$R,H$1,0)</f>
        <v>1290</v>
      </c>
      <c r="I17" s="14">
        <f t="shared" si="0"/>
        <v>0.35403726708074523</v>
      </c>
      <c r="J17" s="13">
        <f t="shared" si="1"/>
        <v>1090</v>
      </c>
      <c r="K17" s="8">
        <f>MIN(L17,O17,R17)</f>
        <v>1015</v>
      </c>
      <c r="L17" s="8"/>
      <c r="M17" s="8"/>
      <c r="N17" s="4"/>
      <c r="O17" s="16">
        <v>1015</v>
      </c>
      <c r="P17" s="23">
        <f>VLOOKUP(Q17,Парсинг!$A:$C,3,0)</f>
        <v>1015</v>
      </c>
      <c r="Q17" s="12" t="s">
        <v>94</v>
      </c>
      <c r="R17" s="17">
        <v>1720</v>
      </c>
      <c r="S17" s="23">
        <f>VLOOKUP(T17,Парсинг!$A:$C,3,0)</f>
        <v>1720</v>
      </c>
      <c r="T17" s="12" t="s">
        <v>102</v>
      </c>
    </row>
    <row r="18" spans="1:20" ht="91.5" thickTop="1" thickBot="1" x14ac:dyDescent="0.3">
      <c r="A18" s="3">
        <v>160519</v>
      </c>
      <c r="B18" s="8">
        <f>VLOOKUP($A18,'Кардан Выгр Кат'!$A:$R,B$1,0)</f>
        <v>4372</v>
      </c>
      <c r="C18" s="9" t="str">
        <f>VLOOKUP($A18,'Кардан Выгр Кат'!$A:$R,C$1,0)</f>
        <v>Крестовина карданного вала Ваз 2101-2107 "КАРДАН"</v>
      </c>
      <c r="D18" s="8" t="str">
        <f>VLOOKUP($A18,'Кардан Выгр Кат'!$A:$R,D$1,0)</f>
        <v>Y</v>
      </c>
      <c r="E18" s="8" t="str">
        <f>VLOOKUP($A18,'Кардан Выгр Кат'!$A:$R,E$1,0)</f>
        <v>21050220202500</v>
      </c>
      <c r="F18" s="4" t="s">
        <v>15</v>
      </c>
      <c r="G18" s="13">
        <f>VLOOKUP($A18,'Кардан Выгр Кат'!$A:$R,G$1,0)</f>
        <v>554</v>
      </c>
      <c r="H18" s="8">
        <f>VLOOKUP($A18,'Кардан Выгр Кат'!$A:$R,H$1,0)</f>
        <v>859</v>
      </c>
      <c r="I18" s="14">
        <f t="shared" si="0"/>
        <v>0.42599277978339356</v>
      </c>
      <c r="J18" s="13">
        <f t="shared" si="1"/>
        <v>790</v>
      </c>
      <c r="K18" s="8">
        <f>MIN(L18,O18,R18)</f>
        <v>728</v>
      </c>
      <c r="L18" s="11">
        <v>890</v>
      </c>
      <c r="M18" s="23">
        <f>VLOOKUP(N18,Парсинг!$A:$C,3,0)</f>
        <v>890</v>
      </c>
      <c r="N18" s="4" t="s">
        <v>58</v>
      </c>
      <c r="O18" s="16">
        <v>728</v>
      </c>
      <c r="P18" s="23">
        <f>VLOOKUP(Q18,Парсинг!$A:$C,3,0)</f>
        <v>728</v>
      </c>
      <c r="Q18" s="12" t="s">
        <v>93</v>
      </c>
      <c r="R18" s="17">
        <v>940</v>
      </c>
      <c r="S18" s="23">
        <f>VLOOKUP(T18,Парсинг!$A:$C,3,0)</f>
        <v>940</v>
      </c>
      <c r="T18" s="12" t="s">
        <v>103</v>
      </c>
    </row>
    <row r="19" spans="1:20" ht="30.75" hidden="1" thickTop="1" x14ac:dyDescent="0.25">
      <c r="A19" s="3">
        <v>376871</v>
      </c>
      <c r="B19" s="8">
        <f>VLOOKUP($A19,'Кардан Выгр Кат'!$A:$R,B$1,0)</f>
        <v>376871</v>
      </c>
      <c r="C19" s="9" t="str">
        <f>VLOOKUP($A19,'Кардан Выгр Кат'!$A:$R,C$1,0)</f>
        <v>Пыльник ШРУСа карданного вала "КАРДАН" для Лада Нива 4х4</v>
      </c>
      <c r="D19" s="8" t="str">
        <f>VLOOKUP($A19,'Кардан Выгр Кат'!$A:$R,D$1,0)</f>
        <v>Y</v>
      </c>
      <c r="E19" s="8" t="str">
        <f>VLOOKUP($A19,'Кардан Выгр Кат'!$A:$R,E$1,0)</f>
        <v>21214220116800</v>
      </c>
      <c r="F19" s="4" t="s">
        <v>15</v>
      </c>
      <c r="G19" s="13">
        <f>VLOOKUP($A19,'Кардан Выгр Кат'!$A:$R,G$1,0)</f>
        <v>398</v>
      </c>
      <c r="H19" s="8">
        <f>VLOOKUP($A19,'Кардан Выгр Кат'!$A:$R,H$1,0)</f>
        <v>639</v>
      </c>
      <c r="I19" s="14" t="str">
        <f t="shared" si="0"/>
        <v/>
      </c>
      <c r="J19" s="8"/>
      <c r="K19" s="8"/>
      <c r="L19" s="8"/>
      <c r="M19" s="8"/>
      <c r="N19" s="4"/>
      <c r="O19" s="12"/>
      <c r="P19" s="12"/>
      <c r="Q19" s="12"/>
      <c r="R19" s="12"/>
      <c r="S19" s="12"/>
      <c r="T19" s="12"/>
    </row>
    <row r="20" spans="1:20" ht="76.5" hidden="1" thickTop="1" thickBot="1" x14ac:dyDescent="0.3">
      <c r="A20" s="3">
        <v>376869</v>
      </c>
      <c r="B20" s="8">
        <f>VLOOKUP($A20,'Кардан Выгр Кат'!$A:$R,B$1,0)</f>
        <v>376869</v>
      </c>
      <c r="C20" s="9" t="str">
        <f>VLOOKUP($A20,'Кардан Выгр Кат'!$A:$R,C$1,0)</f>
        <v>Ремкомплект (ШРУС) карданного вала "КАРДАН" для Лада Нива 4х4</v>
      </c>
      <c r="D20" s="8" t="str">
        <f>VLOOKUP($A20,'Кардан Выгр Кат'!$A:$R,D$1,0)</f>
        <v>Y</v>
      </c>
      <c r="E20" s="8" t="str">
        <f>VLOOKUP($A20,'Кардан Выгр Кат'!$A:$R,E$1,0)</f>
        <v>21214220116000</v>
      </c>
      <c r="F20" s="4" t="s">
        <v>15</v>
      </c>
      <c r="G20" s="13">
        <f>VLOOKUP($A20,'Кардан Выгр Кат'!$A:$R,G$1,0)</f>
        <v>5748</v>
      </c>
      <c r="H20" s="8">
        <f>VLOOKUP($A20,'Кардан Выгр Кат'!$A:$R,H$1,0)</f>
        <v>7790</v>
      </c>
      <c r="I20" s="14">
        <f t="shared" si="0"/>
        <v>0.12908837856645783</v>
      </c>
      <c r="J20" s="13">
        <f>ROUNDUP(K20,-2)-10</f>
        <v>6490</v>
      </c>
      <c r="K20" s="8">
        <f>MIN(L20,O20,R20)</f>
        <v>6500</v>
      </c>
      <c r="L20" s="8"/>
      <c r="M20" s="8"/>
      <c r="N20" s="4"/>
      <c r="O20" s="16">
        <v>6500</v>
      </c>
      <c r="P20" s="23">
        <f>VLOOKUP(Q20,Парсинг!$A:$C,3,0)</f>
        <v>6500</v>
      </c>
      <c r="Q20" s="12" t="s">
        <v>91</v>
      </c>
      <c r="R20" s="17">
        <v>8350</v>
      </c>
      <c r="S20" s="23">
        <f>VLOOKUP(T20,Парсинг!$A:$C,3,0)</f>
        <v>8350</v>
      </c>
      <c r="T20" s="12" t="s">
        <v>104</v>
      </c>
    </row>
    <row r="21" spans="1:20" ht="60.75" thickTop="1" x14ac:dyDescent="0.25">
      <c r="A21" s="3">
        <v>376807</v>
      </c>
      <c r="B21" s="8">
        <f>VLOOKUP($A21,'Кардан Выгр Кат'!$A:$R,B$1,0)</f>
        <v>376807</v>
      </c>
      <c r="C21" s="9" t="str">
        <f>VLOOKUP($A21,'Кардан Выгр Кат'!$A:$R,C$1,0)</f>
        <v>Фланец эластичной муфты "КАРДАН" передний для ВАЗ 2101-2107</v>
      </c>
      <c r="D21" s="8" t="str">
        <f>VLOOKUP($A21,'Кардан Выгр Кат'!$A:$R,D$1,0)</f>
        <v>Y</v>
      </c>
      <c r="E21" s="8" t="str">
        <f>VLOOKUP($A21,'Кардан Выгр Кат'!$A:$R,E$1,0)</f>
        <v>21010220202300</v>
      </c>
      <c r="F21" s="4" t="s">
        <v>15</v>
      </c>
      <c r="G21" s="13">
        <f>VLOOKUP($A21,'Кардан Выгр Кат'!$A:$R,G$1,0)</f>
        <v>920</v>
      </c>
      <c r="H21" s="8">
        <f>VLOOKUP($A21,'Кардан Выгр Кат'!$A:$R,H$1,0)</f>
        <v>1490</v>
      </c>
      <c r="I21" s="14">
        <f t="shared" si="0"/>
        <v>0.40217391304347827</v>
      </c>
      <c r="J21" s="13">
        <f>ROUNDUP(K21,-2)-10</f>
        <v>1290</v>
      </c>
      <c r="K21" s="8">
        <f>MIN(L21,O21,R21)</f>
        <v>1260</v>
      </c>
      <c r="L21" s="41"/>
      <c r="M21" s="41"/>
      <c r="N21" s="43"/>
      <c r="O21" s="44">
        <v>1260</v>
      </c>
      <c r="P21" s="45">
        <f>VLOOKUP(Q21,Парсинг!$A:$C,3,0)</f>
        <v>1260</v>
      </c>
      <c r="Q21" s="46" t="s">
        <v>92</v>
      </c>
      <c r="R21" s="47">
        <v>1470</v>
      </c>
      <c r="S21" s="45">
        <f>VLOOKUP(T21,Парсинг!$A:$C,3,0)</f>
        <v>1470</v>
      </c>
      <c r="T21" s="46" t="s">
        <v>105</v>
      </c>
    </row>
  </sheetData>
  <sheetProtection formatCells="0" formatColumns="0" formatRows="0" insertColumns="0" insertRows="0" insertHyperlinks="0" deleteColumns="0" deleteRows="0" sort="0" autoFilter="0" pivotTables="0"/>
  <autoFilter ref="A2:T21" xr:uid="{B57FEF25-E7AD-4668-B116-2807476FA40D}">
    <filterColumn colId="0">
      <colorFilter dxfId="6"/>
    </filterColumn>
    <filterColumn colId="8">
      <filters>
        <filter val="26%"/>
        <filter val="35%"/>
        <filter val="40%"/>
        <filter val="43%"/>
      </filters>
    </filterColumn>
    <filterColumn colId="9">
      <customFilters>
        <customFilter operator="notEqual" val=" "/>
      </customFilters>
    </filterColumn>
  </autoFilter>
  <conditionalFormatting sqref="L3:L21 O3:O21 R3:R21">
    <cfRule type="expression" dxfId="5" priority="3">
      <formula>NOT(EXACT(L3,M3))</formula>
    </cfRule>
  </conditionalFormatting>
  <conditionalFormatting sqref="A3:A21">
    <cfRule type="expression" dxfId="4" priority="2">
      <formula>EXACT(H3,J3)</formula>
    </cfRule>
  </conditionalFormatting>
  <conditionalFormatting sqref="I3:I21">
    <cfRule type="cellIs" dxfId="3" priority="1" operator="lessThan">
      <formula>0.2</formula>
    </cfRule>
  </conditionalFormatting>
  <pageMargins left="0.7" right="0.7" top="0.75" bottom="0.75" header="0.3" footer="0.3"/>
  <pageSetup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outlinePr summaryBelow="0"/>
  </sheetPr>
  <dimension ref="A1:N23"/>
  <sheetViews>
    <sheetView showRuler="0" zoomScaleNormal="100" workbookViewId="0">
      <pane ySplit="1" topLeftCell="A8" activePane="bottomLeft" state="frozen"/>
      <selection pane="bottomLeft" activeCell="C8" sqref="C8"/>
    </sheetView>
  </sheetViews>
  <sheetFormatPr defaultRowHeight="15" x14ac:dyDescent="0.25"/>
  <cols>
    <col min="1" max="2" width="7.7109375" customWidth="1"/>
    <col min="3" max="3" width="33.28515625" customWidth="1"/>
    <col min="4" max="4" width="3.28515625" customWidth="1"/>
    <col min="5" max="6" width="22.28515625" customWidth="1"/>
    <col min="7" max="7" width="8.85546875" customWidth="1"/>
    <col min="8" max="9" width="7.7109375" customWidth="1"/>
    <col min="10" max="10" width="22.28515625" customWidth="1"/>
    <col min="11" max="13" width="5.5703125" customWidth="1"/>
  </cols>
  <sheetData>
    <row r="1" spans="1:14" s="1" customFormat="1" ht="45" x14ac:dyDescent="0.25">
      <c r="A1" s="52" t="s">
        <v>0</v>
      </c>
      <c r="B1" s="52" t="s">
        <v>1</v>
      </c>
      <c r="C1" s="52" t="s">
        <v>2</v>
      </c>
      <c r="D1" s="52" t="s">
        <v>3</v>
      </c>
      <c r="E1" s="52" t="s">
        <v>4</v>
      </c>
      <c r="F1" s="52" t="s">
        <v>5</v>
      </c>
      <c r="G1" s="52" t="s">
        <v>6</v>
      </c>
      <c r="H1" s="52" t="s">
        <v>7</v>
      </c>
      <c r="I1" s="52" t="s">
        <v>8</v>
      </c>
      <c r="J1" s="52" t="s">
        <v>9</v>
      </c>
      <c r="K1" s="52" t="s">
        <v>10</v>
      </c>
      <c r="L1" s="52" t="s">
        <v>203</v>
      </c>
      <c r="M1" s="52" t="s">
        <v>11</v>
      </c>
    </row>
    <row r="2" spans="1:14" ht="75" x14ac:dyDescent="0.25">
      <c r="A2" s="53">
        <v>376516</v>
      </c>
      <c r="B2" s="53">
        <v>376516</v>
      </c>
      <c r="C2" s="54" t="s">
        <v>12</v>
      </c>
      <c r="D2" s="54" t="s">
        <v>13</v>
      </c>
      <c r="E2" s="54" t="s">
        <v>14</v>
      </c>
      <c r="F2" s="54"/>
      <c r="G2" s="54" t="s">
        <v>15</v>
      </c>
      <c r="H2" s="55">
        <v>12415</v>
      </c>
      <c r="I2" s="55">
        <v>16190</v>
      </c>
      <c r="J2" s="54" t="s">
        <v>75</v>
      </c>
      <c r="K2" s="54" t="s">
        <v>16</v>
      </c>
      <c r="L2" s="54"/>
      <c r="M2" s="54"/>
      <c r="N2">
        <f>VLOOKUP(A2,Кардан!A:A,1,0)</f>
        <v>376516</v>
      </c>
    </row>
    <row r="3" spans="1:14" ht="30" x14ac:dyDescent="0.25">
      <c r="A3" s="53">
        <v>376530</v>
      </c>
      <c r="B3" s="53">
        <v>376530</v>
      </c>
      <c r="C3" s="54" t="s">
        <v>17</v>
      </c>
      <c r="D3" s="54" t="s">
        <v>13</v>
      </c>
      <c r="E3" s="54" t="s">
        <v>18</v>
      </c>
      <c r="F3" s="54"/>
      <c r="G3" s="54" t="s">
        <v>15</v>
      </c>
      <c r="H3" s="55">
        <v>11151</v>
      </c>
      <c r="I3" s="55">
        <v>14490</v>
      </c>
      <c r="J3" s="54"/>
      <c r="K3" s="54" t="s">
        <v>16</v>
      </c>
      <c r="L3" s="54"/>
      <c r="M3" s="54"/>
      <c r="N3" s="42">
        <f>VLOOKUP(A3,Кардан!A:A,1,0)</f>
        <v>376530</v>
      </c>
    </row>
    <row r="4" spans="1:14" ht="30" x14ac:dyDescent="0.25">
      <c r="A4" s="53">
        <v>139011</v>
      </c>
      <c r="B4" s="53">
        <v>38326</v>
      </c>
      <c r="C4" s="54" t="s">
        <v>19</v>
      </c>
      <c r="D4" s="54" t="s">
        <v>13</v>
      </c>
      <c r="E4" s="54" t="s">
        <v>20</v>
      </c>
      <c r="F4" s="54" t="s">
        <v>20</v>
      </c>
      <c r="G4" s="54" t="s">
        <v>15</v>
      </c>
      <c r="H4" s="55">
        <v>16668</v>
      </c>
      <c r="I4" s="55">
        <v>21690</v>
      </c>
      <c r="J4" s="54"/>
      <c r="K4" s="54" t="s">
        <v>16</v>
      </c>
      <c r="L4" s="54"/>
      <c r="M4" s="54"/>
      <c r="N4" s="42">
        <f>VLOOKUP(A4,Кардан!A:A,1,0)</f>
        <v>139011</v>
      </c>
    </row>
    <row r="5" spans="1:14" ht="45" x14ac:dyDescent="0.25">
      <c r="A5" s="53">
        <v>139012</v>
      </c>
      <c r="B5" s="53">
        <v>31352</v>
      </c>
      <c r="C5" s="54" t="s">
        <v>21</v>
      </c>
      <c r="D5" s="54" t="s">
        <v>13</v>
      </c>
      <c r="E5" s="54" t="s">
        <v>22</v>
      </c>
      <c r="F5" s="54" t="s">
        <v>23</v>
      </c>
      <c r="G5" s="54" t="s">
        <v>15</v>
      </c>
      <c r="H5" s="55">
        <v>17523</v>
      </c>
      <c r="I5" s="55">
        <v>24990</v>
      </c>
      <c r="J5" s="54"/>
      <c r="K5" s="54" t="s">
        <v>16</v>
      </c>
      <c r="L5" s="54"/>
      <c r="M5" s="54"/>
      <c r="N5" s="42">
        <f>VLOOKUP(A5,Кардан!A:A,1,0)</f>
        <v>139012</v>
      </c>
    </row>
    <row r="6" spans="1:14" ht="45" x14ac:dyDescent="0.25">
      <c r="A6" s="53">
        <v>139013</v>
      </c>
      <c r="B6" s="53">
        <v>21781</v>
      </c>
      <c r="C6" s="54" t="s">
        <v>24</v>
      </c>
      <c r="D6" s="54" t="s">
        <v>13</v>
      </c>
      <c r="E6" s="54" t="s">
        <v>25</v>
      </c>
      <c r="F6" s="54" t="s">
        <v>26</v>
      </c>
      <c r="G6" s="54" t="s">
        <v>15</v>
      </c>
      <c r="H6" s="55">
        <v>12185</v>
      </c>
      <c r="I6" s="55">
        <v>15890</v>
      </c>
      <c r="J6" s="54" t="s">
        <v>27</v>
      </c>
      <c r="K6" s="54" t="s">
        <v>16</v>
      </c>
      <c r="L6" s="54"/>
      <c r="M6" s="54"/>
      <c r="N6" s="42">
        <f>VLOOKUP(A6,Кардан!A:A,1,0)</f>
        <v>139013</v>
      </c>
    </row>
    <row r="7" spans="1:14" ht="75" x14ac:dyDescent="0.25">
      <c r="A7" s="53">
        <v>139014</v>
      </c>
      <c r="B7" s="53">
        <v>13011</v>
      </c>
      <c r="C7" s="54" t="s">
        <v>28</v>
      </c>
      <c r="D7" s="54" t="s">
        <v>13</v>
      </c>
      <c r="E7" s="54" t="s">
        <v>29</v>
      </c>
      <c r="F7" s="54" t="s">
        <v>30</v>
      </c>
      <c r="G7" s="54" t="s">
        <v>15</v>
      </c>
      <c r="H7" s="55">
        <v>8277</v>
      </c>
      <c r="I7" s="55">
        <v>11190</v>
      </c>
      <c r="J7" s="54" t="s">
        <v>31</v>
      </c>
      <c r="K7" s="54" t="s">
        <v>16</v>
      </c>
      <c r="L7" s="54"/>
      <c r="M7" s="54"/>
      <c r="N7" s="42">
        <f>VLOOKUP(A7,Кардан!A:A,1,0)</f>
        <v>139014</v>
      </c>
    </row>
    <row r="8" spans="1:14" ht="45" x14ac:dyDescent="0.25">
      <c r="A8" s="53">
        <v>139015</v>
      </c>
      <c r="B8" s="53">
        <v>21780</v>
      </c>
      <c r="C8" s="54" t="s">
        <v>32</v>
      </c>
      <c r="D8" s="54" t="s">
        <v>13</v>
      </c>
      <c r="E8" s="54" t="s">
        <v>33</v>
      </c>
      <c r="F8" s="54" t="s">
        <v>34</v>
      </c>
      <c r="G8" s="54" t="s">
        <v>15</v>
      </c>
      <c r="H8" s="55">
        <v>11077</v>
      </c>
      <c r="I8" s="55">
        <v>14490</v>
      </c>
      <c r="J8" s="54" t="s">
        <v>35</v>
      </c>
      <c r="K8" s="54" t="s">
        <v>16</v>
      </c>
      <c r="L8" s="54"/>
      <c r="M8" s="54"/>
      <c r="N8" s="42">
        <f>VLOOKUP(A8,Кардан!A:A,1,0)</f>
        <v>139015</v>
      </c>
    </row>
    <row r="9" spans="1:14" ht="75" x14ac:dyDescent="0.25">
      <c r="A9" s="53">
        <v>139016</v>
      </c>
      <c r="B9" s="53">
        <v>13012</v>
      </c>
      <c r="C9" s="54" t="s">
        <v>36</v>
      </c>
      <c r="D9" s="54" t="s">
        <v>13</v>
      </c>
      <c r="E9" s="54" t="s">
        <v>37</v>
      </c>
      <c r="F9" s="54" t="s">
        <v>38</v>
      </c>
      <c r="G9" s="54" t="s">
        <v>15</v>
      </c>
      <c r="H9" s="55">
        <v>9944</v>
      </c>
      <c r="I9" s="55">
        <v>13490</v>
      </c>
      <c r="J9" s="54" t="s">
        <v>39</v>
      </c>
      <c r="K9" s="54" t="s">
        <v>16</v>
      </c>
      <c r="L9" s="54"/>
      <c r="M9" s="54"/>
      <c r="N9" s="42">
        <f>VLOOKUP(A9,Кардан!A:A,1,0)</f>
        <v>139016</v>
      </c>
    </row>
    <row r="10" spans="1:14" ht="45" x14ac:dyDescent="0.25">
      <c r="A10" s="53">
        <v>139029</v>
      </c>
      <c r="B10" s="53">
        <v>43972</v>
      </c>
      <c r="C10" s="54" t="s">
        <v>40</v>
      </c>
      <c r="D10" s="54" t="s">
        <v>13</v>
      </c>
      <c r="E10" s="54" t="s">
        <v>41</v>
      </c>
      <c r="F10" s="54" t="s">
        <v>41</v>
      </c>
      <c r="G10" s="54" t="s">
        <v>15</v>
      </c>
      <c r="H10" s="55">
        <v>9584</v>
      </c>
      <c r="I10" s="55">
        <v>12790</v>
      </c>
      <c r="J10" s="54"/>
      <c r="K10" s="54" t="s">
        <v>16</v>
      </c>
      <c r="L10" s="54"/>
      <c r="M10" s="54"/>
      <c r="N10" s="42">
        <f>VLOOKUP(A10,Кардан!A:A,1,0)</f>
        <v>139029</v>
      </c>
    </row>
    <row r="11" spans="1:14" ht="30" x14ac:dyDescent="0.25">
      <c r="A11" s="53">
        <v>376875</v>
      </c>
      <c r="B11" s="53">
        <v>376875</v>
      </c>
      <c r="C11" s="54" t="s">
        <v>42</v>
      </c>
      <c r="D11" s="54" t="s">
        <v>13</v>
      </c>
      <c r="E11" s="54" t="s">
        <v>43</v>
      </c>
      <c r="F11" s="54"/>
      <c r="G11" s="54" t="s">
        <v>15</v>
      </c>
      <c r="H11" s="55">
        <v>8549</v>
      </c>
      <c r="I11" s="55">
        <v>10790</v>
      </c>
      <c r="J11" s="54"/>
      <c r="K11" s="54" t="s">
        <v>16</v>
      </c>
      <c r="L11" s="54"/>
      <c r="M11" s="54"/>
      <c r="N11" s="42">
        <f>VLOOKUP(A11,Кардан!A:A,1,0)</f>
        <v>376875</v>
      </c>
    </row>
    <row r="12" spans="1:14" ht="30" x14ac:dyDescent="0.25">
      <c r="A12" s="53">
        <v>376876</v>
      </c>
      <c r="B12" s="53">
        <v>376876</v>
      </c>
      <c r="C12" s="54" t="s">
        <v>44</v>
      </c>
      <c r="D12" s="54" t="s">
        <v>13</v>
      </c>
      <c r="E12" s="54" t="s">
        <v>45</v>
      </c>
      <c r="F12" s="54"/>
      <c r="G12" s="54" t="s">
        <v>15</v>
      </c>
      <c r="H12" s="55">
        <v>9025</v>
      </c>
      <c r="I12" s="55">
        <v>12190</v>
      </c>
      <c r="J12" s="54"/>
      <c r="K12" s="54" t="s">
        <v>16</v>
      </c>
      <c r="L12" s="54"/>
      <c r="M12" s="54"/>
      <c r="N12" s="42">
        <f>VLOOKUP(A12,Кардан!A:A,1,0)</f>
        <v>376876</v>
      </c>
    </row>
    <row r="13" spans="1:14" ht="45" x14ac:dyDescent="0.25">
      <c r="A13" s="53">
        <v>376815</v>
      </c>
      <c r="B13" s="53">
        <v>376815</v>
      </c>
      <c r="C13" s="54" t="s">
        <v>46</v>
      </c>
      <c r="D13" s="54" t="s">
        <v>13</v>
      </c>
      <c r="E13" s="54" t="s">
        <v>47</v>
      </c>
      <c r="F13" s="54"/>
      <c r="G13" s="54" t="s">
        <v>15</v>
      </c>
      <c r="H13" s="55">
        <v>8549</v>
      </c>
      <c r="I13" s="55">
        <v>10890</v>
      </c>
      <c r="J13" s="54"/>
      <c r="K13" s="54" t="s">
        <v>16</v>
      </c>
      <c r="L13" s="54"/>
      <c r="M13" s="54"/>
      <c r="N13" s="42">
        <f>VLOOKUP(A13,Кардан!A:A,1,0)</f>
        <v>376815</v>
      </c>
    </row>
    <row r="14" spans="1:14" ht="30" x14ac:dyDescent="0.25">
      <c r="A14" s="53">
        <v>155722</v>
      </c>
      <c r="B14" s="53">
        <v>21863</v>
      </c>
      <c r="C14" s="54" t="s">
        <v>48</v>
      </c>
      <c r="D14" s="54" t="s">
        <v>13</v>
      </c>
      <c r="E14" s="54" t="s">
        <v>49</v>
      </c>
      <c r="F14" s="54" t="s">
        <v>49</v>
      </c>
      <c r="G14" s="54" t="s">
        <v>15</v>
      </c>
      <c r="H14" s="55">
        <v>8294</v>
      </c>
      <c r="I14" s="55">
        <v>10890</v>
      </c>
      <c r="J14" s="54"/>
      <c r="K14" s="54" t="s">
        <v>16</v>
      </c>
      <c r="L14" s="54"/>
      <c r="M14" s="54"/>
      <c r="N14" s="42">
        <f>VLOOKUP(A14,Кардан!A:A,1,0)</f>
        <v>155722</v>
      </c>
    </row>
    <row r="15" spans="1:14" ht="45" x14ac:dyDescent="0.25">
      <c r="A15" s="53">
        <v>376810</v>
      </c>
      <c r="B15" s="53">
        <v>376810</v>
      </c>
      <c r="C15" s="54" t="s">
        <v>50</v>
      </c>
      <c r="D15" s="54" t="s">
        <v>13</v>
      </c>
      <c r="E15" s="54" t="s">
        <v>51</v>
      </c>
      <c r="F15" s="54"/>
      <c r="G15" s="54" t="s">
        <v>15</v>
      </c>
      <c r="H15" s="55">
        <v>826</v>
      </c>
      <c r="I15" s="55">
        <v>1290</v>
      </c>
      <c r="J15" s="54"/>
      <c r="K15" s="54" t="s">
        <v>16</v>
      </c>
      <c r="L15" s="54"/>
      <c r="M15" s="54"/>
      <c r="N15" s="42">
        <f>VLOOKUP(A15,Кардан!A:A,1,0)</f>
        <v>376810</v>
      </c>
    </row>
    <row r="16" spans="1:14" ht="45" x14ac:dyDescent="0.25">
      <c r="A16" s="53">
        <v>160520</v>
      </c>
      <c r="B16" s="53">
        <v>4373</v>
      </c>
      <c r="C16" s="54" t="s">
        <v>52</v>
      </c>
      <c r="D16" s="54" t="s">
        <v>13</v>
      </c>
      <c r="E16" s="54" t="s">
        <v>53</v>
      </c>
      <c r="F16" s="54" t="s">
        <v>54</v>
      </c>
      <c r="G16" s="54" t="s">
        <v>15</v>
      </c>
      <c r="H16" s="55">
        <v>805</v>
      </c>
      <c r="I16" s="55">
        <v>1290</v>
      </c>
      <c r="J16" s="54"/>
      <c r="K16" s="54" t="s">
        <v>16</v>
      </c>
      <c r="L16" s="54"/>
      <c r="M16" s="54"/>
      <c r="N16" s="42">
        <f>VLOOKUP(A16,Кардан!A:A,1,0)</f>
        <v>160520</v>
      </c>
    </row>
    <row r="17" spans="1:14" ht="60" x14ac:dyDescent="0.25">
      <c r="A17" s="53">
        <v>160519</v>
      </c>
      <c r="B17" s="53">
        <v>4372</v>
      </c>
      <c r="C17" s="54" t="s">
        <v>55</v>
      </c>
      <c r="D17" s="54" t="s">
        <v>13</v>
      </c>
      <c r="E17" s="54" t="s">
        <v>56</v>
      </c>
      <c r="F17" s="54" t="s">
        <v>57</v>
      </c>
      <c r="G17" s="54" t="s">
        <v>15</v>
      </c>
      <c r="H17" s="55">
        <v>554</v>
      </c>
      <c r="I17" s="55">
        <v>859</v>
      </c>
      <c r="J17" s="54" t="s">
        <v>58</v>
      </c>
      <c r="K17" s="54" t="s">
        <v>16</v>
      </c>
      <c r="L17" s="54"/>
      <c r="M17" s="54"/>
      <c r="N17" s="42">
        <f>VLOOKUP(A17,Кардан!A:A,1,0)</f>
        <v>160519</v>
      </c>
    </row>
    <row r="18" spans="1:14" ht="30" x14ac:dyDescent="0.25">
      <c r="A18" s="53">
        <v>376871</v>
      </c>
      <c r="B18" s="53">
        <v>376871</v>
      </c>
      <c r="C18" s="54" t="s">
        <v>59</v>
      </c>
      <c r="D18" s="54" t="s">
        <v>13</v>
      </c>
      <c r="E18" s="54" t="s">
        <v>60</v>
      </c>
      <c r="F18" s="54"/>
      <c r="G18" s="54" t="s">
        <v>15</v>
      </c>
      <c r="H18" s="55">
        <v>398</v>
      </c>
      <c r="I18" s="55">
        <v>639</v>
      </c>
      <c r="J18" s="54"/>
      <c r="K18" s="54" t="s">
        <v>16</v>
      </c>
      <c r="L18" s="54"/>
      <c r="M18" s="54"/>
      <c r="N18" s="42">
        <f>VLOOKUP(A18,Кардан!A:A,1,0)</f>
        <v>376871</v>
      </c>
    </row>
    <row r="19" spans="1:14" ht="45" x14ac:dyDescent="0.25">
      <c r="A19" s="53">
        <v>373766</v>
      </c>
      <c r="B19" s="53">
        <v>31352</v>
      </c>
      <c r="C19" s="54" t="s">
        <v>61</v>
      </c>
      <c r="D19" s="54" t="s">
        <v>13</v>
      </c>
      <c r="E19" s="54" t="s">
        <v>62</v>
      </c>
      <c r="F19" s="54" t="s">
        <v>23</v>
      </c>
      <c r="G19" s="54" t="s">
        <v>63</v>
      </c>
      <c r="H19" s="55">
        <v>17523</v>
      </c>
      <c r="I19" s="55">
        <v>22990</v>
      </c>
      <c r="J19" s="54"/>
      <c r="K19" s="54" t="s">
        <v>16</v>
      </c>
      <c r="L19" s="54" t="s">
        <v>64</v>
      </c>
      <c r="M19" s="54"/>
      <c r="N19" s="42" t="e">
        <f>VLOOKUP(A19,Кардан!A:A,1,0)</f>
        <v>#N/A</v>
      </c>
    </row>
    <row r="20" spans="1:14" ht="75" x14ac:dyDescent="0.25">
      <c r="A20" s="53">
        <v>354239</v>
      </c>
      <c r="B20" s="53">
        <v>13011</v>
      </c>
      <c r="C20" s="54" t="s">
        <v>65</v>
      </c>
      <c r="D20" s="54" t="s">
        <v>13</v>
      </c>
      <c r="E20" s="54" t="s">
        <v>29</v>
      </c>
      <c r="F20" s="54" t="s">
        <v>30</v>
      </c>
      <c r="G20" s="54" t="s">
        <v>63</v>
      </c>
      <c r="H20" s="55">
        <v>8474</v>
      </c>
      <c r="I20" s="55">
        <v>11790</v>
      </c>
      <c r="J20" s="54" t="s">
        <v>31</v>
      </c>
      <c r="K20" s="54" t="s">
        <v>16</v>
      </c>
      <c r="L20" s="54" t="s">
        <v>64</v>
      </c>
      <c r="M20" s="54"/>
      <c r="N20" s="42" t="e">
        <f>VLOOKUP(A20,Кардан!A:A,1,0)</f>
        <v>#N/A</v>
      </c>
    </row>
    <row r="21" spans="1:14" ht="60" x14ac:dyDescent="0.25">
      <c r="A21" s="53">
        <v>354492</v>
      </c>
      <c r="B21" s="53">
        <v>4372</v>
      </c>
      <c r="C21" s="54" t="s">
        <v>66</v>
      </c>
      <c r="D21" s="54" t="s">
        <v>13</v>
      </c>
      <c r="E21" s="54" t="s">
        <v>56</v>
      </c>
      <c r="F21" s="54" t="s">
        <v>57</v>
      </c>
      <c r="G21" s="54" t="s">
        <v>67</v>
      </c>
      <c r="H21" s="55">
        <v>509</v>
      </c>
      <c r="I21" s="55">
        <v>819</v>
      </c>
      <c r="J21" s="54" t="s">
        <v>58</v>
      </c>
      <c r="K21" s="54" t="s">
        <v>229</v>
      </c>
      <c r="L21" s="54"/>
      <c r="M21" s="54"/>
      <c r="N21" s="42" t="e">
        <f>VLOOKUP(A21,Кардан!A:A,1,0)</f>
        <v>#N/A</v>
      </c>
    </row>
    <row r="22" spans="1:14" ht="30" x14ac:dyDescent="0.25">
      <c r="A22" s="53">
        <v>376869</v>
      </c>
      <c r="B22" s="53">
        <v>376869</v>
      </c>
      <c r="C22" s="54" t="s">
        <v>68</v>
      </c>
      <c r="D22" s="54" t="s">
        <v>13</v>
      </c>
      <c r="E22" s="54" t="s">
        <v>69</v>
      </c>
      <c r="F22" s="54"/>
      <c r="G22" s="54" t="s">
        <v>15</v>
      </c>
      <c r="H22" s="55">
        <v>5748</v>
      </c>
      <c r="I22" s="55">
        <v>7790</v>
      </c>
      <c r="J22" s="54"/>
      <c r="K22" s="54" t="s">
        <v>16</v>
      </c>
      <c r="L22" s="54"/>
      <c r="M22" s="54"/>
      <c r="N22" s="42">
        <f>VLOOKUP(A22,Кардан!A:A,1,0)</f>
        <v>376869</v>
      </c>
    </row>
    <row r="23" spans="1:14" ht="45" x14ac:dyDescent="0.25">
      <c r="A23" s="53">
        <v>376807</v>
      </c>
      <c r="B23" s="53">
        <v>376807</v>
      </c>
      <c r="C23" s="54" t="s">
        <v>70</v>
      </c>
      <c r="D23" s="54" t="s">
        <v>13</v>
      </c>
      <c r="E23" s="54" t="s">
        <v>71</v>
      </c>
      <c r="F23" s="54"/>
      <c r="G23" s="54" t="s">
        <v>15</v>
      </c>
      <c r="H23" s="55">
        <v>920</v>
      </c>
      <c r="I23" s="55">
        <v>1490</v>
      </c>
      <c r="J23" s="54"/>
      <c r="K23" s="54" t="s">
        <v>16</v>
      </c>
      <c r="L23" s="54"/>
      <c r="M23" s="54"/>
      <c r="N23" s="42">
        <f>VLOOKUP(A23,Кардан!A:A,1,0)</f>
        <v>376807</v>
      </c>
    </row>
  </sheetData>
  <sheetProtection formatCells="0" formatColumns="0" formatRows="0" insertColumns="0" insertRows="0" insertHyperlinks="0" deleteColumns="0" deleteRows="0" sort="0" autoFilter="0" pivotTables="0"/>
  <autoFilter ref="A1:M1" xr:uid="{00000000-0009-0000-0000-000000000000}"/>
  <pageMargins left="0.7" right="0.7" top="0.75" bottom="0.75" header="0.3" footer="0.3"/>
  <pageSetup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C6D72-7CE3-4D65-9FAA-05AD2CE4F1E2}">
  <sheetPr>
    <outlinePr summaryBelow="0"/>
  </sheetPr>
  <dimension ref="A1:X15"/>
  <sheetViews>
    <sheetView showRuler="0" zoomScaleNormal="100" workbookViewId="0">
      <pane ySplit="2" topLeftCell="A3" activePane="bottomLeft" state="frozen"/>
      <selection activeCell="R1" activeCellId="1" sqref="A1:A1048576 R1:R1048576"/>
      <selection pane="bottomLeft" activeCell="V1" activeCellId="1" sqref="A1:A1048576 V1:V1048576"/>
    </sheetView>
  </sheetViews>
  <sheetFormatPr defaultRowHeight="15" x14ac:dyDescent="0.25"/>
  <cols>
    <col min="1" max="2" width="7" style="24" bestFit="1" customWidth="1"/>
    <col min="3" max="3" width="32.42578125" style="24" bestFit="1" customWidth="1"/>
    <col min="4" max="4" width="4.7109375" style="24" bestFit="1" customWidth="1"/>
    <col min="5" max="5" width="15.140625" style="24" bestFit="1" customWidth="1"/>
    <col min="6" max="6" width="6.7109375" style="26" bestFit="1" customWidth="1"/>
    <col min="7" max="7" width="6.85546875" style="26" bestFit="1" customWidth="1"/>
    <col min="8" max="8" width="7.42578125" style="24" bestFit="1" customWidth="1"/>
    <col min="9" max="9" width="6" style="24" bestFit="1" customWidth="1"/>
    <col min="10" max="10" width="7.42578125" style="24" customWidth="1"/>
    <col min="11" max="11" width="24.140625" style="25" customWidth="1"/>
    <col min="12" max="12" width="5.5703125" style="25" bestFit="1" customWidth="1"/>
    <col min="13" max="13" width="7.42578125" style="24" customWidth="1"/>
    <col min="14" max="14" width="24.140625" style="25" customWidth="1"/>
    <col min="15" max="15" width="5.5703125" style="25" bestFit="1" customWidth="1"/>
    <col min="16" max="16" width="7.42578125" style="24" customWidth="1"/>
    <col min="17" max="17" width="24.140625" style="25" customWidth="1"/>
    <col min="18" max="18" width="7.42578125" style="25" bestFit="1" customWidth="1"/>
    <col min="19" max="19" width="7.42578125" style="24" customWidth="1"/>
    <col min="20" max="20" width="24.140625" style="25" customWidth="1"/>
    <col min="21" max="22" width="9.140625" style="24"/>
    <col min="23" max="23" width="11.5703125" style="24" bestFit="1" customWidth="1"/>
    <col min="24" max="16384" width="9.140625" style="24"/>
  </cols>
  <sheetData>
    <row r="1" spans="1:24" x14ac:dyDescent="0.25">
      <c r="B1" s="5">
        <v>2</v>
      </c>
      <c r="C1" s="5">
        <v>3</v>
      </c>
      <c r="D1" s="6">
        <v>4</v>
      </c>
      <c r="E1" s="6">
        <v>5</v>
      </c>
      <c r="F1" s="40">
        <v>8</v>
      </c>
      <c r="G1" s="40">
        <v>9</v>
      </c>
    </row>
    <row r="2" spans="1:24" s="36" customFormat="1" x14ac:dyDescent="0.25">
      <c r="A2" s="38" t="s">
        <v>0</v>
      </c>
      <c r="B2" s="7" t="s">
        <v>1</v>
      </c>
      <c r="C2" s="7" t="s">
        <v>72</v>
      </c>
      <c r="D2" s="7"/>
      <c r="E2" s="7" t="s">
        <v>73</v>
      </c>
      <c r="F2" s="39" t="s">
        <v>180</v>
      </c>
      <c r="G2" s="39" t="s">
        <v>179</v>
      </c>
      <c r="H2" s="38" t="s">
        <v>10</v>
      </c>
      <c r="I2" s="48"/>
      <c r="J2" s="36">
        <v>1</v>
      </c>
      <c r="K2" s="37" t="s">
        <v>9</v>
      </c>
      <c r="L2" s="37"/>
      <c r="M2" s="36">
        <v>2</v>
      </c>
      <c r="N2" s="37" t="s">
        <v>9</v>
      </c>
      <c r="O2" s="37"/>
      <c r="P2" s="36">
        <v>3</v>
      </c>
      <c r="Q2" s="37" t="s">
        <v>9</v>
      </c>
      <c r="R2" s="37"/>
      <c r="S2" s="36">
        <v>4</v>
      </c>
      <c r="T2" s="37" t="s">
        <v>9</v>
      </c>
    </row>
    <row r="3" spans="1:24" ht="45" x14ac:dyDescent="0.25">
      <c r="A3" s="33">
        <v>379943</v>
      </c>
      <c r="B3" s="8">
        <f>VLOOKUP($A3,'Генер Выгр Кат'!$A:$R,B$1,0)</f>
        <v>379943</v>
      </c>
      <c r="C3" s="9" t="str">
        <f>VLOOKUP($A3,'Генер Выгр Кат'!$A:$R,C$1,0)</f>
        <v>Генератор "АвтоВАЗ" 110А для ВАЗ (2108-21099, 2110-2112, 2113-2115), Лада Приора</v>
      </c>
      <c r="D3" s="8" t="str">
        <f>VLOOKUP($A3,'Генер Выгр Кат'!$A:$R,D$1,0)</f>
        <v>Y</v>
      </c>
      <c r="E3" s="8" t="str">
        <f>VLOOKUP($A3,'Генер Выгр Кат'!$A:$R,E$1,0)</f>
        <v>21120370101083</v>
      </c>
      <c r="F3" s="32">
        <f>VLOOKUP($A3,'Генер Выгр Кат'!$A:$R,F$1,0)</f>
        <v>5588</v>
      </c>
      <c r="G3" s="32">
        <f>VLOOKUP($A3,'Генер Выгр Кат'!$A:$R,G$1,0)</f>
        <v>7590</v>
      </c>
      <c r="H3" s="31" t="s">
        <v>16</v>
      </c>
      <c r="I3" s="23">
        <f>VLOOKUP(K3,Парсинг!$A:$C,3,0)</f>
        <v>8185</v>
      </c>
      <c r="J3" s="30">
        <v>8185</v>
      </c>
      <c r="K3" s="29" t="s">
        <v>178</v>
      </c>
      <c r="L3" s="23">
        <f>VLOOKUP(N3,Парсинг!$A:$C,3,0)</f>
        <v>7675</v>
      </c>
      <c r="M3" s="30">
        <v>7675</v>
      </c>
      <c r="N3" s="29" t="s">
        <v>177</v>
      </c>
      <c r="O3" s="23">
        <f>VLOOKUP(Q3,Парсинг!$A:$C,3,0)</f>
        <v>8131</v>
      </c>
      <c r="P3" s="30">
        <v>8131</v>
      </c>
      <c r="Q3" s="29" t="s">
        <v>176</v>
      </c>
      <c r="R3" s="30"/>
      <c r="S3" s="30">
        <v>7190</v>
      </c>
      <c r="T3" s="35" t="s">
        <v>175</v>
      </c>
      <c r="U3" s="24">
        <f t="shared" ref="U3:U8" si="0">MIN(J3,M3,P3,S3)</f>
        <v>7190</v>
      </c>
      <c r="V3" s="27">
        <f t="shared" ref="V3:V12" si="1">ROUNDUP(U3,-2)-10</f>
        <v>7190</v>
      </c>
      <c r="W3" s="28">
        <f t="shared" ref="W3:W12" si="2">V3/F3-1</f>
        <v>0.28668575518969219</v>
      </c>
      <c r="X3" s="26">
        <f t="shared" ref="X3:X12" si="3">V3-G3</f>
        <v>-400</v>
      </c>
    </row>
    <row r="4" spans="1:24" ht="30" x14ac:dyDescent="0.25">
      <c r="A4" s="33">
        <v>380013</v>
      </c>
      <c r="B4" s="8">
        <f>VLOOKUP($A4,'Генер Выгр Кат'!$A:$R,B$1,0)</f>
        <v>380013</v>
      </c>
      <c r="C4" s="9" t="str">
        <f>VLOOKUP($A4,'Генер Выгр Кат'!$A:$R,C$1,0)</f>
        <v>Генератор "АвтоВАЗ" 110А для ВАЗ 2101-2107, Лада Нива 4х4</v>
      </c>
      <c r="D4" s="8" t="str">
        <f>VLOOKUP($A4,'Генер Выгр Кат'!$A:$R,D$1,0)</f>
        <v>Y</v>
      </c>
      <c r="E4" s="8" t="str">
        <f>VLOOKUP($A4,'Генер Выгр Кат'!$A:$R,E$1,0)</f>
        <v>21214370101083</v>
      </c>
      <c r="F4" s="32">
        <f>VLOOKUP($A4,'Генер Выгр Кат'!$A:$R,F$1,0)</f>
        <v>6011</v>
      </c>
      <c r="G4" s="32">
        <f>VLOOKUP($A4,'Генер Выгр Кат'!$A:$R,G$1,0)</f>
        <v>8190</v>
      </c>
      <c r="H4" s="31" t="s">
        <v>16</v>
      </c>
      <c r="I4" s="30"/>
      <c r="J4" s="30">
        <v>8069</v>
      </c>
      <c r="K4" s="29" t="s">
        <v>174</v>
      </c>
      <c r="L4" s="23">
        <f>VLOOKUP(N4,Парсинг!$A:$C,3,0)</f>
        <v>8255</v>
      </c>
      <c r="M4" s="30">
        <v>8255</v>
      </c>
      <c r="N4" s="29" t="s">
        <v>173</v>
      </c>
      <c r="O4" s="23">
        <f>VLOOKUP(Q4,Парсинг!$A:$C,3,0)</f>
        <v>8716</v>
      </c>
      <c r="P4" s="30">
        <v>8716</v>
      </c>
      <c r="Q4" s="29" t="s">
        <v>172</v>
      </c>
      <c r="R4" s="30"/>
      <c r="S4" s="30">
        <v>7437</v>
      </c>
      <c r="T4" s="29" t="s">
        <v>171</v>
      </c>
      <c r="U4" s="24">
        <f t="shared" si="0"/>
        <v>7437</v>
      </c>
      <c r="V4" s="27">
        <f t="shared" si="1"/>
        <v>7490</v>
      </c>
      <c r="W4" s="28">
        <f t="shared" si="2"/>
        <v>0.24604891033105969</v>
      </c>
      <c r="X4" s="26">
        <f t="shared" si="3"/>
        <v>-700</v>
      </c>
    </row>
    <row r="5" spans="1:24" ht="30" x14ac:dyDescent="0.25">
      <c r="A5" s="33">
        <v>379961</v>
      </c>
      <c r="B5" s="8">
        <f>VLOOKUP($A5,'Генер Выгр Кат'!$A:$R,B$1,0)</f>
        <v>379961</v>
      </c>
      <c r="C5" s="9" t="str">
        <f>VLOOKUP($A5,'Генер Выгр Кат'!$A:$R,C$1,0)</f>
        <v>Генератор "АвтоВАЗ" 110А для Шевроле Нива</v>
      </c>
      <c r="D5" s="8" t="str">
        <f>VLOOKUP($A5,'Генер Выгр Кат'!$A:$R,D$1,0)</f>
        <v>Y</v>
      </c>
      <c r="E5" s="8" t="str">
        <f>VLOOKUP($A5,'Генер Выгр Кат'!$A:$R,E$1,0)</f>
        <v>21230370101083</v>
      </c>
      <c r="F5" s="32">
        <f>VLOOKUP($A5,'Генер Выгр Кат'!$A:$R,F$1,0)</f>
        <v>5951</v>
      </c>
      <c r="G5" s="32">
        <f>VLOOKUP($A5,'Генер Выгр Кат'!$A:$R,G$1,0)</f>
        <v>8090</v>
      </c>
      <c r="H5" s="31" t="s">
        <v>16</v>
      </c>
      <c r="I5" s="23">
        <f>VLOOKUP(K5,Парсинг!$A:$C,3,0)</f>
        <v>10257</v>
      </c>
      <c r="J5" s="30">
        <v>9424</v>
      </c>
      <c r="K5" s="29" t="s">
        <v>170</v>
      </c>
      <c r="L5" s="23">
        <f>VLOOKUP(N5,Парсинг!$A:$C,3,0)</f>
        <v>8255</v>
      </c>
      <c r="M5" s="30">
        <v>8255</v>
      </c>
      <c r="N5" s="29" t="s">
        <v>152</v>
      </c>
      <c r="O5" s="23">
        <f>VLOOKUP(Q5,Парсинг!$A:$C,3,0)</f>
        <v>8719</v>
      </c>
      <c r="P5" s="30">
        <v>8719</v>
      </c>
      <c r="Q5" s="29" t="s">
        <v>169</v>
      </c>
      <c r="R5" s="30"/>
      <c r="S5" s="30">
        <v>9452</v>
      </c>
      <c r="T5" s="29" t="s">
        <v>168</v>
      </c>
      <c r="U5" s="24">
        <f t="shared" si="0"/>
        <v>8255</v>
      </c>
      <c r="V5" s="27">
        <f t="shared" si="1"/>
        <v>8290</v>
      </c>
      <c r="W5" s="28">
        <f t="shared" si="2"/>
        <v>0.39304318601915655</v>
      </c>
      <c r="X5" s="26">
        <f t="shared" si="3"/>
        <v>200</v>
      </c>
    </row>
    <row r="6" spans="1:24" ht="45" x14ac:dyDescent="0.25">
      <c r="A6" s="33">
        <v>355457</v>
      </c>
      <c r="B6" s="8">
        <f>VLOOKUP($A6,'Генер Выгр Кат'!$A:$R,B$1,0)</f>
        <v>355457</v>
      </c>
      <c r="C6" s="9" t="str">
        <f>VLOOKUP($A6,'Генер Выгр Кат'!$A:$R,C$1,0)</f>
        <v>Генератор "АвтоВАЗ" 125А для Лада Приора, Гранта, Гранта FL, Калина 2</v>
      </c>
      <c r="D6" s="8" t="str">
        <f>VLOOKUP($A6,'Генер Выгр Кат'!$A:$R,D$1,0)</f>
        <v>Y</v>
      </c>
      <c r="E6" s="8" t="str">
        <f>VLOOKUP($A6,'Генер Выгр Кат'!$A:$R,E$1,0)</f>
        <v>21700370101082</v>
      </c>
      <c r="F6" s="32">
        <f>VLOOKUP($A6,'Генер Выгр Кат'!$A:$R,F$1,0)</f>
        <v>6933</v>
      </c>
      <c r="G6" s="32">
        <f>VLOOKUP($A6,'Генер Выгр Кат'!$A:$R,G$1,0)</f>
        <v>9390</v>
      </c>
      <c r="H6" s="31" t="s">
        <v>16</v>
      </c>
      <c r="I6" s="30"/>
      <c r="J6" s="30">
        <v>8859</v>
      </c>
      <c r="K6" s="29" t="s">
        <v>167</v>
      </c>
      <c r="L6" s="23">
        <f>VLOOKUP(N6,Парсинг!$A:$C,3,0)</f>
        <v>9220</v>
      </c>
      <c r="M6" s="30">
        <v>9220</v>
      </c>
      <c r="N6" s="29" t="s">
        <v>166</v>
      </c>
      <c r="O6" s="23">
        <f>VLOOKUP(Q6,Парсинг!$A:$C,3,0)</f>
        <v>9684</v>
      </c>
      <c r="P6" s="30">
        <v>9684</v>
      </c>
      <c r="Q6" s="29" t="s">
        <v>165</v>
      </c>
      <c r="R6" s="30"/>
      <c r="S6" s="30">
        <v>9665</v>
      </c>
      <c r="T6" s="29" t="s">
        <v>164</v>
      </c>
      <c r="U6" s="24">
        <f t="shared" si="0"/>
        <v>8859</v>
      </c>
      <c r="V6" s="27">
        <f t="shared" si="1"/>
        <v>8890</v>
      </c>
      <c r="W6" s="28">
        <f t="shared" si="2"/>
        <v>0.2822731862108756</v>
      </c>
      <c r="X6" s="26">
        <f t="shared" si="3"/>
        <v>-500</v>
      </c>
    </row>
    <row r="7" spans="1:24" ht="45" x14ac:dyDescent="0.25">
      <c r="A7" s="33">
        <v>379960</v>
      </c>
      <c r="B7" s="8">
        <f>VLOOKUP($A7,'Генер Выгр Кат'!$A:$R,B$1,0)</f>
        <v>379960</v>
      </c>
      <c r="C7" s="9" t="str">
        <f>VLOOKUP($A7,'Генер Выгр Кат'!$A:$R,C$1,0)</f>
        <v>Генератор "АвтоВАЗ" 130А для ВАЗ (2108-21099, 2110-2112, 2113-2115), Лада Приора</v>
      </c>
      <c r="D7" s="8" t="str">
        <f>VLOOKUP($A7,'Генер Выгр Кат'!$A:$R,D$1,0)</f>
        <v>Y</v>
      </c>
      <c r="E7" s="8" t="str">
        <f>VLOOKUP($A7,'Генер Выгр Кат'!$A:$R,E$1,0)</f>
        <v>21120370101084</v>
      </c>
      <c r="F7" s="32">
        <f>VLOOKUP($A7,'Генер Выгр Кат'!$A:$R,F$1,0)</f>
        <v>6446</v>
      </c>
      <c r="G7" s="32">
        <f>VLOOKUP($A7,'Генер Выгр Кат'!$A:$R,G$1,0)</f>
        <v>8790</v>
      </c>
      <c r="H7" s="31" t="s">
        <v>16</v>
      </c>
      <c r="I7" s="23">
        <f>VLOOKUP(K7,Парсинг!$A:$C,3,0)</f>
        <v>8553</v>
      </c>
      <c r="J7" s="30">
        <v>8853</v>
      </c>
      <c r="K7" s="29" t="s">
        <v>163</v>
      </c>
      <c r="L7" s="23">
        <f>VLOOKUP(N7,Парсинг!$A:$C,3,0)</f>
        <v>8940</v>
      </c>
      <c r="M7" s="30">
        <v>8940</v>
      </c>
      <c r="N7" s="29" t="s">
        <v>162</v>
      </c>
      <c r="O7" s="23">
        <f>VLOOKUP(Q7,Парсинг!$A:$C,3,0)</f>
        <v>9317</v>
      </c>
      <c r="P7" s="30">
        <v>9317</v>
      </c>
      <c r="Q7" s="29" t="s">
        <v>161</v>
      </c>
      <c r="R7" s="30"/>
      <c r="S7" s="30">
        <v>8393</v>
      </c>
      <c r="T7" s="29" t="s">
        <v>160</v>
      </c>
      <c r="U7" s="24">
        <f t="shared" si="0"/>
        <v>8393</v>
      </c>
      <c r="V7" s="27">
        <f t="shared" si="1"/>
        <v>8390</v>
      </c>
      <c r="W7" s="28">
        <f t="shared" si="2"/>
        <v>0.30158237666770082</v>
      </c>
      <c r="X7" s="26">
        <f t="shared" si="3"/>
        <v>-400</v>
      </c>
    </row>
    <row r="8" spans="1:24" ht="30" x14ac:dyDescent="0.25">
      <c r="A8" s="33">
        <v>380012</v>
      </c>
      <c r="B8" s="8">
        <f>VLOOKUP($A8,'Генер Выгр Кат'!$A:$R,B$1,0)</f>
        <v>380012</v>
      </c>
      <c r="C8" s="9" t="str">
        <f>VLOOKUP($A8,'Генер Выгр Кат'!$A:$R,C$1,0)</f>
        <v>Генератор "АвтоВАЗ" 130А для Шевроле Нива</v>
      </c>
      <c r="D8" s="8" t="str">
        <f>VLOOKUP($A8,'Генер Выгр Кат'!$A:$R,D$1,0)</f>
        <v>Y</v>
      </c>
      <c r="E8" s="8" t="str">
        <f>VLOOKUP($A8,'Генер Выгр Кат'!$A:$R,E$1,0)</f>
        <v>21230370101084</v>
      </c>
      <c r="F8" s="32">
        <f>VLOOKUP($A8,'Генер Выгр Кат'!$A:$R,F$1,0)</f>
        <v>6901</v>
      </c>
      <c r="G8" s="32">
        <f>VLOOKUP($A8,'Генер Выгр Кат'!$A:$R,G$1,0)</f>
        <v>9390</v>
      </c>
      <c r="H8" s="31" t="s">
        <v>16</v>
      </c>
      <c r="I8" s="30"/>
      <c r="J8" s="30"/>
      <c r="K8" s="34"/>
      <c r="L8" s="23">
        <f>VLOOKUP(N8,Парсинг!$A:$C,3,0)</f>
        <v>9270</v>
      </c>
      <c r="M8" s="30">
        <v>9270</v>
      </c>
      <c r="N8" s="29" t="s">
        <v>159</v>
      </c>
      <c r="O8" s="23">
        <f>VLOOKUP(Q8,Парсинг!$A:$C,3,0)</f>
        <v>9642</v>
      </c>
      <c r="P8" s="30">
        <v>9642</v>
      </c>
      <c r="Q8" s="29" t="s">
        <v>158</v>
      </c>
      <c r="R8" s="30"/>
      <c r="S8" s="30">
        <v>13398</v>
      </c>
      <c r="T8" s="29" t="s">
        <v>157</v>
      </c>
      <c r="U8" s="24">
        <f t="shared" si="0"/>
        <v>9270</v>
      </c>
      <c r="V8" s="27">
        <f t="shared" si="1"/>
        <v>9290</v>
      </c>
      <c r="W8" s="28">
        <f t="shared" si="2"/>
        <v>0.34618171279524712</v>
      </c>
      <c r="X8" s="26">
        <f t="shared" si="3"/>
        <v>-100</v>
      </c>
    </row>
    <row r="9" spans="1:24" ht="45" x14ac:dyDescent="0.25">
      <c r="A9" s="33">
        <v>355437</v>
      </c>
      <c r="B9" s="8">
        <f>VLOOKUP($A9,'Генер Выгр Кат'!$A:$R,B$1,0)</f>
        <v>355437</v>
      </c>
      <c r="C9" s="9" t="str">
        <f>VLOOKUP($A9,'Генер Выгр Кат'!$A:$R,C$1,0)</f>
        <v>Генератор "АвтоВАЗ" 21214 80А для ВАЗ 2104-2107, Лада Нива 4х4, Шевроле Нива (до 2003 г. в.)</v>
      </c>
      <c r="D9" s="8" t="str">
        <f>VLOOKUP($A9,'Генер Выгр Кат'!$A:$R,D$1,0)</f>
        <v>Y</v>
      </c>
      <c r="E9" s="8" t="str">
        <f>VLOOKUP($A9,'Генер Выгр Кат'!$A:$R,E$1,0)</f>
        <v>21214370101003</v>
      </c>
      <c r="F9" s="32">
        <f>VLOOKUP($A9,'Генер Выгр Кат'!$A:$R,F$1,0)</f>
        <v>5684</v>
      </c>
      <c r="G9" s="32">
        <f>VLOOKUP($A9,'Генер Выгр Кат'!$A:$R,G$1,0)</f>
        <v>7690</v>
      </c>
      <c r="H9" s="31" t="s">
        <v>16</v>
      </c>
      <c r="I9" s="23">
        <f>VLOOKUP(K9,Парсинг!$A:$C,3,0)</f>
        <v>8635</v>
      </c>
      <c r="J9" s="30">
        <v>8635</v>
      </c>
      <c r="K9" s="29" t="s">
        <v>156</v>
      </c>
      <c r="L9" s="23">
        <f>VLOOKUP(N9,Парсинг!$A:$C,3,0)</f>
        <v>7635</v>
      </c>
      <c r="M9" s="30">
        <v>7635</v>
      </c>
      <c r="N9" s="29" t="s">
        <v>155</v>
      </c>
      <c r="O9" s="23">
        <f>VLOOKUP(Q9,Парсинг!$A:$C,3,0)</f>
        <v>7976</v>
      </c>
      <c r="P9" s="30">
        <v>7976</v>
      </c>
      <c r="Q9" s="29" t="s">
        <v>154</v>
      </c>
      <c r="R9" s="30"/>
      <c r="S9" s="30">
        <v>6383</v>
      </c>
      <c r="T9" s="29" t="s">
        <v>153</v>
      </c>
      <c r="U9" s="27">
        <f>F9*1.24</f>
        <v>7048.16</v>
      </c>
      <c r="V9" s="27">
        <f t="shared" si="1"/>
        <v>7090</v>
      </c>
      <c r="W9" s="28">
        <f t="shared" si="2"/>
        <v>0.24736101337086569</v>
      </c>
      <c r="X9" s="26">
        <f t="shared" si="3"/>
        <v>-600</v>
      </c>
    </row>
    <row r="10" spans="1:24" ht="30" x14ac:dyDescent="0.25">
      <c r="A10" s="33">
        <v>355436</v>
      </c>
      <c r="B10" s="8">
        <f>VLOOKUP($A10,'Генер Выгр Кат'!$A:$R,B$1,0)</f>
        <v>355436</v>
      </c>
      <c r="C10" s="9" t="str">
        <f>VLOOKUP($A10,'Генер Выгр Кат'!$A:$R,C$1,0)</f>
        <v>Генератор "АвтоВАЗ" 80А для Шевроле Нива (с 2003 г. в.)</v>
      </c>
      <c r="D10" s="8" t="str">
        <f>VLOOKUP($A10,'Генер Выгр Кат'!$A:$R,D$1,0)</f>
        <v>Y</v>
      </c>
      <c r="E10" s="8" t="str">
        <f>VLOOKUP($A10,'Генер Выгр Кат'!$A:$R,E$1,0)</f>
        <v>21230370101082</v>
      </c>
      <c r="F10" s="32">
        <f>VLOOKUP($A10,'Генер Выгр Кат'!$A:$R,F$1,0)</f>
        <v>5730</v>
      </c>
      <c r="G10" s="32">
        <f>VLOOKUP($A10,'Генер Выгр Кат'!$A:$R,G$1,0)</f>
        <v>7790</v>
      </c>
      <c r="H10" s="31" t="s">
        <v>16</v>
      </c>
      <c r="I10" s="30"/>
      <c r="J10" s="30"/>
      <c r="K10" s="34"/>
      <c r="L10" s="23">
        <f>VLOOKUP(N10,Парсинг!$A:$C,3,0)</f>
        <v>8255</v>
      </c>
      <c r="M10" s="30">
        <v>8255</v>
      </c>
      <c r="N10" s="29" t="s">
        <v>152</v>
      </c>
      <c r="O10" s="23">
        <f>VLOOKUP(Q10,Парсинг!$A:$C,3,0)</f>
        <v>8104</v>
      </c>
      <c r="P10" s="30">
        <v>8104</v>
      </c>
      <c r="Q10" s="29" t="s">
        <v>151</v>
      </c>
      <c r="R10" s="30"/>
      <c r="S10" s="30">
        <v>9842</v>
      </c>
      <c r="T10" s="29" t="s">
        <v>150</v>
      </c>
      <c r="U10" s="24">
        <f>MIN(J10,M10,P10,S10)</f>
        <v>8104</v>
      </c>
      <c r="V10" s="27">
        <f t="shared" si="1"/>
        <v>8190</v>
      </c>
      <c r="W10" s="28">
        <f t="shared" si="2"/>
        <v>0.42931937172774859</v>
      </c>
      <c r="X10" s="26">
        <f t="shared" si="3"/>
        <v>400</v>
      </c>
    </row>
    <row r="11" spans="1:24" ht="45" x14ac:dyDescent="0.25">
      <c r="A11" s="33">
        <v>355461</v>
      </c>
      <c r="B11" s="8">
        <f>VLOOKUP($A11,'Генер Выгр Кат'!$A:$R,B$1,0)</f>
        <v>355461</v>
      </c>
      <c r="C11" s="9" t="str">
        <f>VLOOKUP($A11,'Генер Выгр Кат'!$A:$R,C$1,0)</f>
        <v>Генератор "АвтоВАЗ" 90А для ВАЗ 2108-21099, 2110-2112, 2113-2115, Лада Приора</v>
      </c>
      <c r="D11" s="8" t="str">
        <f>VLOOKUP($A11,'Генер Выгр Кат'!$A:$R,D$1,0)</f>
        <v>Y</v>
      </c>
      <c r="E11" s="8" t="str">
        <f>VLOOKUP($A11,'Генер Выгр Кат'!$A:$R,E$1,0)</f>
        <v>21120370101008</v>
      </c>
      <c r="F11" s="32">
        <f>VLOOKUP($A11,'Генер Выгр Кат'!$A:$R,F$1,0)</f>
        <v>5216</v>
      </c>
      <c r="G11" s="32">
        <f>VLOOKUP($A11,'Генер Выгр Кат'!$A:$R,G$1,0)</f>
        <v>7090</v>
      </c>
      <c r="H11" s="31" t="s">
        <v>16</v>
      </c>
      <c r="I11" s="23">
        <f>VLOOKUP(K11,Парсинг!$A:$C,3,0)</f>
        <v>8095</v>
      </c>
      <c r="J11" s="30">
        <v>8095</v>
      </c>
      <c r="K11" s="29" t="s">
        <v>149</v>
      </c>
      <c r="L11" s="23">
        <f>VLOOKUP(N11,Парсинг!$A:$C,3,0)</f>
        <v>7160</v>
      </c>
      <c r="M11" s="30">
        <v>7160</v>
      </c>
      <c r="N11" s="29" t="s">
        <v>148</v>
      </c>
      <c r="O11" s="23">
        <f>VLOOKUP(Q11,Парсинг!$A:$C,3,0)</f>
        <v>7612</v>
      </c>
      <c r="P11" s="30">
        <v>7612</v>
      </c>
      <c r="Q11" s="29" t="s">
        <v>147</v>
      </c>
      <c r="R11" s="30"/>
      <c r="S11" s="30">
        <v>6318</v>
      </c>
      <c r="T11" s="29" t="s">
        <v>146</v>
      </c>
      <c r="U11" s="27">
        <f>F11*1.24</f>
        <v>6467.84</v>
      </c>
      <c r="V11" s="27">
        <f t="shared" si="1"/>
        <v>6490</v>
      </c>
      <c r="W11" s="28">
        <f t="shared" si="2"/>
        <v>0.24424846625766872</v>
      </c>
      <c r="X11" s="26">
        <f t="shared" si="3"/>
        <v>-600</v>
      </c>
    </row>
    <row r="12" spans="1:24" ht="30" x14ac:dyDescent="0.25">
      <c r="A12" s="33">
        <v>355463</v>
      </c>
      <c r="B12" s="8">
        <f>VLOOKUP($A12,'Генер Выгр Кат'!$A:$R,B$1,0)</f>
        <v>355463</v>
      </c>
      <c r="C12" s="9" t="str">
        <f>VLOOKUP($A12,'Генер Выгр Кат'!$A:$R,C$1,0)</f>
        <v>Генератор "АвтоВАЗ" 90А для Лада Калина</v>
      </c>
      <c r="D12" s="8" t="str">
        <f>VLOOKUP($A12,'Генер Выгр Кат'!$A:$R,D$1,0)</f>
        <v>Y</v>
      </c>
      <c r="E12" s="8" t="str">
        <f>VLOOKUP($A12,'Генер Выгр Кат'!$A:$R,E$1,0)</f>
        <v>11190370101003</v>
      </c>
      <c r="F12" s="32">
        <f>VLOOKUP($A12,'Генер Выгр Кат'!$A:$R,F$1,0)</f>
        <v>5811</v>
      </c>
      <c r="G12" s="32">
        <f>VLOOKUP($A12,'Генер Выгр Кат'!$A:$R,G$1,0)</f>
        <v>7890</v>
      </c>
      <c r="H12" s="31" t="s">
        <v>16</v>
      </c>
      <c r="I12" s="23">
        <f>VLOOKUP(K12,Парсинг!$A:$C,3,0)</f>
        <v>9115</v>
      </c>
      <c r="J12" s="30">
        <v>9115</v>
      </c>
      <c r="K12" s="29" t="s">
        <v>145</v>
      </c>
      <c r="L12" s="23">
        <f>VLOOKUP(N12,Парсинг!$A:$C,3,0)</f>
        <v>8060</v>
      </c>
      <c r="M12" s="30">
        <v>8060</v>
      </c>
      <c r="N12" s="29" t="s">
        <v>144</v>
      </c>
      <c r="O12" s="23">
        <f>VLOOKUP(Q12,Парсинг!$A:$C,3,0)</f>
        <v>8524</v>
      </c>
      <c r="P12" s="30">
        <v>8524</v>
      </c>
      <c r="Q12" s="29" t="s">
        <v>143</v>
      </c>
      <c r="R12" s="30"/>
      <c r="S12" s="30">
        <v>8305</v>
      </c>
      <c r="T12" s="29" t="s">
        <v>142</v>
      </c>
      <c r="U12" s="24">
        <f>MIN(J12,M12,P12,S12)</f>
        <v>8060</v>
      </c>
      <c r="V12" s="27">
        <f t="shared" si="1"/>
        <v>8090</v>
      </c>
      <c r="W12" s="28">
        <f t="shared" si="2"/>
        <v>0.39218723111340559</v>
      </c>
      <c r="X12" s="26">
        <f t="shared" si="3"/>
        <v>200</v>
      </c>
    </row>
    <row r="15" spans="1:24" x14ac:dyDescent="0.25">
      <c r="U15" s="27">
        <f>F15*1.24</f>
        <v>0</v>
      </c>
    </row>
  </sheetData>
  <sheetProtection formatCells="0" formatColumns="0" formatRows="0" insertColumns="0" insertRows="0" insertHyperlinks="0" deleteColumns="0" deleteRows="0" sort="0" autoFilter="0" pivotTables="0"/>
  <autoFilter ref="A2:W2" xr:uid="{00000000-0001-0000-0000-000000000000}"/>
  <conditionalFormatting sqref="W3:W12">
    <cfRule type="cellIs" dxfId="2" priority="3" operator="lessThan">
      <formula>0.2</formula>
    </cfRule>
  </conditionalFormatting>
  <conditionalFormatting sqref="J3:J12 M3:M12 P3:P12 S3:S12">
    <cfRule type="expression" dxfId="1" priority="2">
      <formula>"j3&lt;&gt;i3"</formula>
    </cfRule>
  </conditionalFormatting>
  <conditionalFormatting sqref="A3:A12">
    <cfRule type="expression" dxfId="0" priority="1">
      <formula>EXACT(G3,V3)</formula>
    </cfRule>
  </conditionalFormatting>
  <hyperlinks>
    <hyperlink ref="K3" r:id="rId1" xr:uid="{53E08B34-C55D-4CFF-9A91-1F64C0CD703D}"/>
    <hyperlink ref="K4" r:id="rId2" xr:uid="{7379D28E-DF24-4798-8B85-BC9BD65CB9B3}"/>
    <hyperlink ref="K5" r:id="rId3" xr:uid="{7328B06A-7260-4529-B5D2-3604F144C926}"/>
    <hyperlink ref="K6" r:id="rId4" xr:uid="{203D27A9-148D-4980-BA65-378A0E2A4729}"/>
    <hyperlink ref="K7" r:id="rId5" xr:uid="{C05E4ED0-BDC0-4B65-860D-E44BB4098212}"/>
    <hyperlink ref="K9" r:id="rId6" xr:uid="{CFE276D0-0EF9-48BE-8D39-C80EF4274FB1}"/>
    <hyperlink ref="K11" r:id="rId7" xr:uid="{4F42A3D6-D5B9-4E9A-B220-ECA272D643EA}"/>
    <hyperlink ref="K12" r:id="rId8" xr:uid="{E45C634A-E42A-4D42-9604-9241CD0FEA78}"/>
    <hyperlink ref="N3" r:id="rId9" xr:uid="{0A559790-C81E-484B-BD91-0C0BEFAEDEAD}"/>
    <hyperlink ref="N4" r:id="rId10" xr:uid="{80C54388-2D86-4139-A38D-91A39ACF60D8}"/>
    <hyperlink ref="N5" r:id="rId11" xr:uid="{9B0057F0-46A3-44E2-8285-3BE19B0EBCC1}"/>
    <hyperlink ref="N6" r:id="rId12" xr:uid="{7BF5CE7B-6F6F-4BA8-A884-9B43D5120438}"/>
    <hyperlink ref="N7" r:id="rId13" xr:uid="{77B9EA09-AD22-4CBF-88B8-A54D1617F1B6}"/>
    <hyperlink ref="N8" r:id="rId14" xr:uid="{B35AAAFC-BFAC-4ADB-BF41-92C275044BAF}"/>
    <hyperlink ref="N9" r:id="rId15" xr:uid="{ED941526-54A5-411C-B703-F8D85FC54878}"/>
    <hyperlink ref="N10" r:id="rId16" xr:uid="{1B7AD053-7BE0-4744-AF74-F5B295917AE0}"/>
    <hyperlink ref="N11" r:id="rId17" xr:uid="{3D15B4A4-F74A-4815-9268-C0009FD9512A}"/>
    <hyperlink ref="N12" r:id="rId18" xr:uid="{E6722FFF-D3D2-4DD3-9F2A-F17718E09E78}"/>
    <hyperlink ref="Q3" r:id="rId19" xr:uid="{57CD5E4F-B35A-4549-B05F-51F175944F6F}"/>
    <hyperlink ref="Q4" r:id="rId20" xr:uid="{5785DB0E-1679-4FD6-B98C-01A2DA887D01}"/>
    <hyperlink ref="Q5" r:id="rId21" xr:uid="{83102A50-76D9-461C-8585-3EDBB583E6D3}"/>
    <hyperlink ref="Q6" r:id="rId22" xr:uid="{CA481AAF-822C-4E31-868C-FD2221CC40B6}"/>
    <hyperlink ref="Q7" r:id="rId23" xr:uid="{905AD59E-1CE3-4F66-A9FB-B50ACE509236}"/>
    <hyperlink ref="Q8" r:id="rId24" xr:uid="{CBF7C8A8-6441-4686-B504-2A75C29B540E}"/>
    <hyperlink ref="Q9" r:id="rId25" xr:uid="{D630E94F-72C2-4A35-A1BB-0B4A809D3247}"/>
    <hyperlink ref="Q10" r:id="rId26" xr:uid="{FBDFBB35-11AC-4774-BF3F-518F623AF910}"/>
    <hyperlink ref="Q11" r:id="rId27" xr:uid="{1854A522-FB2E-4C48-9CA4-7B9B0838FFB5}"/>
    <hyperlink ref="Q12" r:id="rId28" xr:uid="{2D61F750-B1FF-476B-878F-CDAA292423A9}"/>
    <hyperlink ref="T3" r:id="rId29" xr:uid="{A4065917-684B-466D-9AA4-35ABE38096C2}"/>
    <hyperlink ref="T4" r:id="rId30" xr:uid="{232900AD-4660-4379-A39D-E11AC27205EF}"/>
    <hyperlink ref="T5" r:id="rId31" xr:uid="{F024BB83-1C3B-45BB-B0D9-7173D65A4E0C}"/>
    <hyperlink ref="T6" r:id="rId32" xr:uid="{FDE522F9-C93E-4BC6-8159-54AF5658BA97}"/>
    <hyperlink ref="T7" r:id="rId33" xr:uid="{D962318B-BF2B-42B3-B83D-4BF5FE9A403D}"/>
    <hyperlink ref="T8" r:id="rId34" xr:uid="{204922E7-AF65-4868-98C8-9F957ED1EAC9}"/>
    <hyperlink ref="T9" r:id="rId35" xr:uid="{9B1A13F5-0025-4472-8598-48FC8601545B}"/>
    <hyperlink ref="T10" r:id="rId36" xr:uid="{4B17DFBD-A74B-437D-B77F-4287883D09C6}"/>
    <hyperlink ref="T11" r:id="rId37" display="https://www.ozon.ru/product/lada-generator-lada-21120370101008-art-21120370101008-753680143/?asb=8SZ7pCRogFf8ykvbVeofl4xjTotlkFJYDA8Q3%252BciItc%253D&amp;asb2=XFmv55sTGt7dpibFQ8rObNKS7m_YSbeU8Q-6eL1YcUfj6iw8x5LyDiCp3syN1LVCsPq-JildrFrZu_iFgtNsXg&amp;avtc=1&amp;avte=2&amp;avts=1719555412&amp;keywords=%D0%93%D0%B5%D0%BD%D0%B5%D1%80%D0%B0%D1%82%D0%BE%D1%80+%D0%B2+%D1%81%D0%B1%D0%BE%D1%80%D0%B5+21120370101008" xr:uid="{84155BFA-05A8-4368-B405-6EAAF3E80A9D}"/>
    <hyperlink ref="T12" r:id="rId38" xr:uid="{D318408E-A012-4CD0-8C8F-9F255DF8F0E3}"/>
  </hyperlinks>
  <pageMargins left="0.7" right="0.7" top="0.75" bottom="0.75" header="0.3" footer="0.3"/>
  <pageSetup orientation="portrait" r:id="rId39"/>
  <headerFooter alignWithMargins="0"/>
  <legacyDrawing r:id="rId4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D987C-79E4-41DC-994A-B7BCE9D30C37}">
  <sheetPr>
    <outlinePr summaryBelow="0"/>
  </sheetPr>
  <dimension ref="A1:N11"/>
  <sheetViews>
    <sheetView tabSelected="1" showRuler="0" zoomScaleNormal="100" workbookViewId="0">
      <pane ySplit="1" topLeftCell="A2" activePane="bottomLeft" state="frozen"/>
      <selection activeCell="R1" activeCellId="1" sqref="A1:A1048576 R1:R1048576"/>
      <selection pane="bottomLeft" activeCell="C8" sqref="C8"/>
    </sheetView>
  </sheetViews>
  <sheetFormatPr defaultRowHeight="15" x14ac:dyDescent="0.25"/>
  <cols>
    <col min="1" max="2" width="7" style="24" bestFit="1" customWidth="1"/>
    <col min="3" max="3" width="32.42578125" style="24" bestFit="1" customWidth="1"/>
    <col min="4" max="4" width="4.7109375" style="24" bestFit="1" customWidth="1"/>
    <col min="5" max="5" width="21.85546875" style="24" bestFit="1" customWidth="1"/>
    <col min="6" max="6" width="22.42578125" style="24" bestFit="1" customWidth="1"/>
    <col min="7" max="7" width="11.140625" style="24" bestFit="1" customWidth="1"/>
    <col min="8" max="8" width="8.42578125" style="24" bestFit="1" customWidth="1"/>
    <col min="9" max="9" width="9.85546875" style="24" bestFit="1" customWidth="1"/>
    <col min="10" max="10" width="61.85546875" style="24" customWidth="1"/>
    <col min="11" max="11" width="7.42578125" style="24" bestFit="1" customWidth="1"/>
    <col min="12" max="12" width="7.5703125" style="24" bestFit="1" customWidth="1"/>
    <col min="13" max="13" width="7.140625" style="24" bestFit="1" customWidth="1"/>
    <col min="14" max="14" width="2" style="24" bestFit="1" customWidth="1"/>
    <col min="15" max="16384" width="9.140625" style="24"/>
  </cols>
  <sheetData>
    <row r="1" spans="1:14" s="36" customFormat="1" ht="30" x14ac:dyDescent="0.25">
      <c r="A1" s="56" t="s">
        <v>0</v>
      </c>
      <c r="B1" s="56" t="s">
        <v>1</v>
      </c>
      <c r="C1" s="56" t="s">
        <v>2</v>
      </c>
      <c r="D1" s="56" t="s">
        <v>3</v>
      </c>
      <c r="E1" s="56" t="s">
        <v>4</v>
      </c>
      <c r="F1" s="56" t="s">
        <v>5</v>
      </c>
      <c r="G1" s="56" t="s">
        <v>6</v>
      </c>
      <c r="H1" s="56" t="s">
        <v>7</v>
      </c>
      <c r="I1" s="56" t="s">
        <v>8</v>
      </c>
      <c r="J1" s="56" t="s">
        <v>9</v>
      </c>
      <c r="K1" s="56" t="s">
        <v>10</v>
      </c>
      <c r="L1" s="56" t="s">
        <v>203</v>
      </c>
      <c r="M1" s="56" t="s">
        <v>11</v>
      </c>
    </row>
    <row r="2" spans="1:14" ht="45" x14ac:dyDescent="0.25">
      <c r="A2" s="57">
        <v>379943</v>
      </c>
      <c r="B2" s="57">
        <v>379943</v>
      </c>
      <c r="C2" s="58" t="s">
        <v>202</v>
      </c>
      <c r="D2" s="58" t="s">
        <v>13</v>
      </c>
      <c r="E2" s="58" t="s">
        <v>201</v>
      </c>
      <c r="F2" s="58"/>
      <c r="G2" s="58" t="s">
        <v>15</v>
      </c>
      <c r="H2" s="59">
        <v>5588</v>
      </c>
      <c r="I2" s="59">
        <v>7590</v>
      </c>
      <c r="J2" s="58"/>
      <c r="K2" s="58" t="s">
        <v>16</v>
      </c>
      <c r="L2" s="58"/>
      <c r="M2" s="58"/>
      <c r="N2" s="24" t="str">
        <f>VLOOKUP(A2,Генераторы!A:D,4,0)</f>
        <v>Y</v>
      </c>
    </row>
    <row r="3" spans="1:14" ht="30" x14ac:dyDescent="0.25">
      <c r="A3" s="57">
        <v>380013</v>
      </c>
      <c r="B3" s="57">
        <v>380013</v>
      </c>
      <c r="C3" s="58" t="s">
        <v>200</v>
      </c>
      <c r="D3" s="58" t="s">
        <v>13</v>
      </c>
      <c r="E3" s="58" t="s">
        <v>199</v>
      </c>
      <c r="F3" s="58"/>
      <c r="G3" s="58" t="s">
        <v>15</v>
      </c>
      <c r="H3" s="59">
        <v>6011</v>
      </c>
      <c r="I3" s="59">
        <v>8190</v>
      </c>
      <c r="J3" s="58"/>
      <c r="K3" s="58" t="s">
        <v>16</v>
      </c>
      <c r="L3" s="58"/>
      <c r="M3" s="58"/>
      <c r="N3" s="24" t="str">
        <f>VLOOKUP(A3,Генераторы!A:D,4,0)</f>
        <v>Y</v>
      </c>
    </row>
    <row r="4" spans="1:14" ht="30" x14ac:dyDescent="0.25">
      <c r="A4" s="57">
        <v>379961</v>
      </c>
      <c r="B4" s="57">
        <v>379961</v>
      </c>
      <c r="C4" s="58" t="s">
        <v>198</v>
      </c>
      <c r="D4" s="58" t="s">
        <v>13</v>
      </c>
      <c r="E4" s="58" t="s">
        <v>197</v>
      </c>
      <c r="F4" s="58"/>
      <c r="G4" s="58" t="s">
        <v>15</v>
      </c>
      <c r="H4" s="59">
        <v>5951</v>
      </c>
      <c r="I4" s="59">
        <v>8090</v>
      </c>
      <c r="J4" s="58"/>
      <c r="K4" s="58" t="s">
        <v>16</v>
      </c>
      <c r="L4" s="58"/>
      <c r="M4" s="58"/>
      <c r="N4" s="24" t="str">
        <f>VLOOKUP(A4,Генераторы!A:D,4,0)</f>
        <v>Y</v>
      </c>
    </row>
    <row r="5" spans="1:14" ht="45" x14ac:dyDescent="0.25">
      <c r="A5" s="57">
        <v>355457</v>
      </c>
      <c r="B5" s="57">
        <v>355457</v>
      </c>
      <c r="C5" s="58" t="s">
        <v>196</v>
      </c>
      <c r="D5" s="58" t="s">
        <v>13</v>
      </c>
      <c r="E5" s="58" t="s">
        <v>195</v>
      </c>
      <c r="F5" s="58"/>
      <c r="G5" s="58" t="s">
        <v>15</v>
      </c>
      <c r="H5" s="59">
        <v>6933</v>
      </c>
      <c r="I5" s="59">
        <v>9390</v>
      </c>
      <c r="J5" s="58" t="s">
        <v>166</v>
      </c>
      <c r="K5" s="58" t="s">
        <v>16</v>
      </c>
      <c r="L5" s="58"/>
      <c r="M5" s="58"/>
      <c r="N5" s="24" t="str">
        <f>VLOOKUP(A5,Генераторы!A:D,4,0)</f>
        <v>Y</v>
      </c>
    </row>
    <row r="6" spans="1:14" ht="45" x14ac:dyDescent="0.25">
      <c r="A6" s="57">
        <v>379960</v>
      </c>
      <c r="B6" s="57">
        <v>379960</v>
      </c>
      <c r="C6" s="58" t="s">
        <v>194</v>
      </c>
      <c r="D6" s="58" t="s">
        <v>13</v>
      </c>
      <c r="E6" s="58" t="s">
        <v>193</v>
      </c>
      <c r="F6" s="58"/>
      <c r="G6" s="58" t="s">
        <v>15</v>
      </c>
      <c r="H6" s="59">
        <v>6446</v>
      </c>
      <c r="I6" s="59">
        <v>8790</v>
      </c>
      <c r="J6" s="58"/>
      <c r="K6" s="58" t="s">
        <v>16</v>
      </c>
      <c r="L6" s="58"/>
      <c r="M6" s="58"/>
      <c r="N6" s="24" t="str">
        <f>VLOOKUP(A6,Генераторы!A:D,4,0)</f>
        <v>Y</v>
      </c>
    </row>
    <row r="7" spans="1:14" ht="30" x14ac:dyDescent="0.25">
      <c r="A7" s="57">
        <v>380012</v>
      </c>
      <c r="B7" s="57">
        <v>380012</v>
      </c>
      <c r="C7" s="58" t="s">
        <v>192</v>
      </c>
      <c r="D7" s="58" t="s">
        <v>13</v>
      </c>
      <c r="E7" s="58" t="s">
        <v>191</v>
      </c>
      <c r="F7" s="58"/>
      <c r="G7" s="58" t="s">
        <v>15</v>
      </c>
      <c r="H7" s="59">
        <v>6901</v>
      </c>
      <c r="I7" s="59">
        <v>9390</v>
      </c>
      <c r="J7" s="58"/>
      <c r="K7" s="58" t="s">
        <v>16</v>
      </c>
      <c r="L7" s="58"/>
      <c r="M7" s="58"/>
      <c r="N7" s="24" t="str">
        <f>VLOOKUP(A7,Генераторы!A:D,4,0)</f>
        <v>Y</v>
      </c>
    </row>
    <row r="8" spans="1:14" ht="75" x14ac:dyDescent="0.25">
      <c r="A8" s="57">
        <v>355437</v>
      </c>
      <c r="B8" s="57">
        <v>355437</v>
      </c>
      <c r="C8" s="58" t="s">
        <v>190</v>
      </c>
      <c r="D8" s="58" t="s">
        <v>13</v>
      </c>
      <c r="E8" s="58" t="s">
        <v>189</v>
      </c>
      <c r="F8" s="58"/>
      <c r="G8" s="58" t="s">
        <v>15</v>
      </c>
      <c r="H8" s="59">
        <v>5684</v>
      </c>
      <c r="I8" s="59">
        <v>7690</v>
      </c>
      <c r="J8" s="58" t="s">
        <v>188</v>
      </c>
      <c r="K8" s="58" t="s">
        <v>16</v>
      </c>
      <c r="L8" s="58"/>
      <c r="M8" s="58"/>
      <c r="N8" s="24" t="str">
        <f>VLOOKUP(A8,Генераторы!A:D,4,0)</f>
        <v>Y</v>
      </c>
    </row>
    <row r="9" spans="1:14" ht="45" x14ac:dyDescent="0.25">
      <c r="A9" s="57">
        <v>355436</v>
      </c>
      <c r="B9" s="57">
        <v>355436</v>
      </c>
      <c r="C9" s="58" t="s">
        <v>187</v>
      </c>
      <c r="D9" s="58" t="s">
        <v>13</v>
      </c>
      <c r="E9" s="58" t="s">
        <v>186</v>
      </c>
      <c r="F9" s="58"/>
      <c r="G9" s="58" t="s">
        <v>15</v>
      </c>
      <c r="H9" s="59">
        <v>5730</v>
      </c>
      <c r="I9" s="59">
        <v>7790</v>
      </c>
      <c r="J9" s="58" t="s">
        <v>152</v>
      </c>
      <c r="K9" s="58" t="s">
        <v>16</v>
      </c>
      <c r="L9" s="58"/>
      <c r="M9" s="58"/>
      <c r="N9" s="24" t="str">
        <f>VLOOKUP(A9,Генераторы!A:D,4,0)</f>
        <v>Y</v>
      </c>
    </row>
    <row r="10" spans="1:14" ht="45" x14ac:dyDescent="0.25">
      <c r="A10" s="57">
        <v>355461</v>
      </c>
      <c r="B10" s="57">
        <v>355461</v>
      </c>
      <c r="C10" s="58" t="s">
        <v>185</v>
      </c>
      <c r="D10" s="58" t="s">
        <v>13</v>
      </c>
      <c r="E10" s="58" t="s">
        <v>184</v>
      </c>
      <c r="F10" s="58"/>
      <c r="G10" s="58" t="s">
        <v>15</v>
      </c>
      <c r="H10" s="59">
        <v>5216</v>
      </c>
      <c r="I10" s="59">
        <v>7090</v>
      </c>
      <c r="J10" s="58" t="s">
        <v>149</v>
      </c>
      <c r="K10" s="58" t="s">
        <v>16</v>
      </c>
      <c r="L10" s="58"/>
      <c r="M10" s="58"/>
      <c r="N10" s="24" t="str">
        <f>VLOOKUP(A10,Генераторы!A:D,4,0)</f>
        <v>Y</v>
      </c>
    </row>
    <row r="11" spans="1:14" ht="75" x14ac:dyDescent="0.25">
      <c r="A11" s="57">
        <v>355463</v>
      </c>
      <c r="B11" s="57">
        <v>355463</v>
      </c>
      <c r="C11" s="58" t="s">
        <v>183</v>
      </c>
      <c r="D11" s="58" t="s">
        <v>13</v>
      </c>
      <c r="E11" s="58" t="s">
        <v>182</v>
      </c>
      <c r="F11" s="58"/>
      <c r="G11" s="58" t="s">
        <v>15</v>
      </c>
      <c r="H11" s="59">
        <v>5811</v>
      </c>
      <c r="I11" s="59">
        <v>7890</v>
      </c>
      <c r="J11" s="58" t="s">
        <v>181</v>
      </c>
      <c r="K11" s="58" t="s">
        <v>16</v>
      </c>
      <c r="L11" s="58"/>
      <c r="M11" s="58"/>
      <c r="N11" s="24" t="str">
        <f>VLOOKUP(A11,Генераторы!A:D,4,0)</f>
        <v>Y</v>
      </c>
    </row>
  </sheetData>
  <sheetProtection formatCells="0" formatColumns="0" formatRows="0" insertColumns="0" insertRows="0" insertHyperlinks="0" deleteColumns="0" deleteRows="0" sort="0" autoFilter="0" pivotTables="0"/>
  <autoFilter ref="A1:M1" xr:uid="{00000000-0009-0000-0000-000000000000}"/>
  <pageMargins left="0.7" right="0.7" top="0.75" bottom="0.75" header="0.3" footer="0.3"/>
  <pageSetup orientation="portrait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3FF9B-7A6A-45EE-9419-2C345F2E581A}">
  <dimension ref="A1:C70"/>
  <sheetViews>
    <sheetView topLeftCell="A61" workbookViewId="0">
      <selection activeCell="A74" sqref="A74"/>
    </sheetView>
  </sheetViews>
  <sheetFormatPr defaultRowHeight="15" x14ac:dyDescent="0.25"/>
  <cols>
    <col min="1" max="1" width="64.5703125" customWidth="1"/>
  </cols>
  <sheetData>
    <row r="1" spans="1:3" x14ac:dyDescent="0.25">
      <c r="A1" s="51" t="s">
        <v>78</v>
      </c>
      <c r="B1" s="51" t="s">
        <v>137</v>
      </c>
      <c r="C1" s="51">
        <v>10790</v>
      </c>
    </row>
    <row r="2" spans="1:3" x14ac:dyDescent="0.25">
      <c r="A2" s="51" t="s">
        <v>81</v>
      </c>
      <c r="B2" s="51" t="s">
        <v>132</v>
      </c>
      <c r="C2" s="51">
        <v>10890</v>
      </c>
    </row>
    <row r="3" spans="1:3" x14ac:dyDescent="0.25">
      <c r="A3" s="51" t="s">
        <v>101</v>
      </c>
      <c r="B3" s="51" t="s">
        <v>133</v>
      </c>
      <c r="C3" s="51">
        <v>11110</v>
      </c>
    </row>
    <row r="4" spans="1:3" x14ac:dyDescent="0.25">
      <c r="A4" s="51" t="s">
        <v>102</v>
      </c>
      <c r="B4" s="51" t="s">
        <v>111</v>
      </c>
      <c r="C4" s="51">
        <v>1720</v>
      </c>
    </row>
    <row r="5" spans="1:3" x14ac:dyDescent="0.25">
      <c r="A5" s="51" t="s">
        <v>154</v>
      </c>
      <c r="B5" s="51" t="s">
        <v>213</v>
      </c>
      <c r="C5" s="51">
        <v>7976</v>
      </c>
    </row>
    <row r="6" spans="1:3" x14ac:dyDescent="0.25">
      <c r="A6" s="51" t="s">
        <v>39</v>
      </c>
      <c r="B6" s="51" t="s">
        <v>124</v>
      </c>
      <c r="C6" s="51">
        <v>14290</v>
      </c>
    </row>
    <row r="7" spans="1:3" x14ac:dyDescent="0.25">
      <c r="A7" s="51" t="s">
        <v>86</v>
      </c>
      <c r="B7" s="51" t="s">
        <v>131</v>
      </c>
      <c r="C7" s="51">
        <v>12480</v>
      </c>
    </row>
    <row r="8" spans="1:3" x14ac:dyDescent="0.25">
      <c r="A8" s="51" t="s">
        <v>173</v>
      </c>
      <c r="B8" s="51" t="s">
        <v>210</v>
      </c>
      <c r="C8" s="51">
        <v>8255</v>
      </c>
    </row>
    <row r="9" spans="1:3" x14ac:dyDescent="0.25">
      <c r="A9" s="51" t="s">
        <v>168</v>
      </c>
      <c r="B9" s="51"/>
      <c r="C9" s="51"/>
    </row>
    <row r="10" spans="1:3" x14ac:dyDescent="0.25">
      <c r="A10" s="51" t="s">
        <v>149</v>
      </c>
      <c r="B10" s="51" t="s">
        <v>206</v>
      </c>
      <c r="C10" s="51">
        <v>8095</v>
      </c>
    </row>
    <row r="11" spans="1:3" x14ac:dyDescent="0.25">
      <c r="A11" s="51" t="s">
        <v>89</v>
      </c>
      <c r="B11" s="51" t="s">
        <v>120</v>
      </c>
      <c r="C11" s="51">
        <v>12350</v>
      </c>
    </row>
    <row r="12" spans="1:3" x14ac:dyDescent="0.25">
      <c r="A12" s="51" t="s">
        <v>27</v>
      </c>
      <c r="B12" s="51" t="s">
        <v>129</v>
      </c>
      <c r="C12" s="51">
        <v>13890</v>
      </c>
    </row>
    <row r="13" spans="1:3" x14ac:dyDescent="0.25">
      <c r="A13" s="51" t="s">
        <v>94</v>
      </c>
      <c r="B13" s="51" t="s">
        <v>135</v>
      </c>
      <c r="C13" s="51">
        <v>1015</v>
      </c>
    </row>
    <row r="14" spans="1:3" x14ac:dyDescent="0.25">
      <c r="A14" s="51" t="s">
        <v>147</v>
      </c>
      <c r="B14" s="51" t="s">
        <v>211</v>
      </c>
      <c r="C14" s="51">
        <v>7612</v>
      </c>
    </row>
    <row r="15" spans="1:3" x14ac:dyDescent="0.25">
      <c r="A15" s="51" t="s">
        <v>104</v>
      </c>
      <c r="B15" s="51" t="s">
        <v>128</v>
      </c>
      <c r="C15" s="51">
        <v>8350</v>
      </c>
    </row>
    <row r="16" spans="1:3" x14ac:dyDescent="0.25">
      <c r="A16" s="51" t="s">
        <v>155</v>
      </c>
      <c r="B16" s="51" t="s">
        <v>225</v>
      </c>
      <c r="C16" s="51">
        <v>7635</v>
      </c>
    </row>
    <row r="17" spans="1:3" x14ac:dyDescent="0.25">
      <c r="A17" s="51" t="s">
        <v>35</v>
      </c>
      <c r="B17" s="51" t="s">
        <v>113</v>
      </c>
      <c r="C17" s="51">
        <v>10490</v>
      </c>
    </row>
    <row r="18" spans="1:3" x14ac:dyDescent="0.25">
      <c r="A18" s="51" t="s">
        <v>85</v>
      </c>
      <c r="B18" s="51" t="s">
        <v>108</v>
      </c>
      <c r="C18" s="51">
        <v>10400</v>
      </c>
    </row>
    <row r="19" spans="1:3" x14ac:dyDescent="0.25">
      <c r="A19" s="51" t="s">
        <v>161</v>
      </c>
      <c r="B19" s="51" t="s">
        <v>209</v>
      </c>
      <c r="C19" s="51">
        <v>9317</v>
      </c>
    </row>
    <row r="20" spans="1:3" x14ac:dyDescent="0.25">
      <c r="A20" s="51" t="s">
        <v>175</v>
      </c>
      <c r="B20" s="51"/>
      <c r="C20" s="51"/>
    </row>
    <row r="21" spans="1:3" x14ac:dyDescent="0.25">
      <c r="A21" s="51" t="s">
        <v>93</v>
      </c>
      <c r="B21" s="51" t="s">
        <v>109</v>
      </c>
      <c r="C21" s="51">
        <v>728</v>
      </c>
    </row>
    <row r="22" spans="1:3" x14ac:dyDescent="0.25">
      <c r="A22" s="51" t="s">
        <v>145</v>
      </c>
      <c r="B22" s="51" t="s">
        <v>204</v>
      </c>
      <c r="C22" s="51">
        <v>9115</v>
      </c>
    </row>
    <row r="23" spans="1:3" x14ac:dyDescent="0.25">
      <c r="A23" s="51" t="s">
        <v>90</v>
      </c>
      <c r="B23" s="51" t="s">
        <v>123</v>
      </c>
      <c r="C23" s="51">
        <v>12900</v>
      </c>
    </row>
    <row r="24" spans="1:3" x14ac:dyDescent="0.25">
      <c r="A24" s="51" t="s">
        <v>152</v>
      </c>
      <c r="B24" s="51" t="s">
        <v>212</v>
      </c>
      <c r="C24" s="51">
        <v>8255</v>
      </c>
    </row>
    <row r="25" spans="1:3" x14ac:dyDescent="0.25">
      <c r="A25" s="51" t="s">
        <v>96</v>
      </c>
      <c r="B25" s="51" t="s">
        <v>126</v>
      </c>
      <c r="C25" s="51">
        <v>14750</v>
      </c>
    </row>
    <row r="26" spans="1:3" x14ac:dyDescent="0.25">
      <c r="A26" s="51" t="s">
        <v>77</v>
      </c>
      <c r="B26" s="51" t="s">
        <v>115</v>
      </c>
      <c r="C26" s="51">
        <v>12790</v>
      </c>
    </row>
    <row r="27" spans="1:3" x14ac:dyDescent="0.25">
      <c r="A27" s="51" t="s">
        <v>165</v>
      </c>
      <c r="B27" s="51" t="s">
        <v>223</v>
      </c>
      <c r="C27" s="51">
        <v>9684</v>
      </c>
    </row>
    <row r="28" spans="1:3" x14ac:dyDescent="0.25">
      <c r="A28" s="51" t="s">
        <v>153</v>
      </c>
      <c r="B28" s="51"/>
      <c r="C28" s="51"/>
    </row>
    <row r="29" spans="1:3" x14ac:dyDescent="0.25">
      <c r="A29" s="51" t="s">
        <v>150</v>
      </c>
      <c r="B29" s="51"/>
      <c r="C29" s="51"/>
    </row>
    <row r="30" spans="1:3" x14ac:dyDescent="0.25">
      <c r="A30" s="51" t="s">
        <v>142</v>
      </c>
      <c r="B30" s="51"/>
      <c r="C30" s="51"/>
    </row>
    <row r="31" spans="1:3" x14ac:dyDescent="0.25">
      <c r="A31" s="51" t="s">
        <v>58</v>
      </c>
      <c r="B31" s="51" t="s">
        <v>141</v>
      </c>
      <c r="C31" s="51">
        <v>890</v>
      </c>
    </row>
    <row r="32" spans="1:3" x14ac:dyDescent="0.25">
      <c r="A32" s="51" t="s">
        <v>158</v>
      </c>
      <c r="B32" s="51" t="s">
        <v>221</v>
      </c>
      <c r="C32" s="51">
        <v>9642</v>
      </c>
    </row>
    <row r="33" spans="1:3" x14ac:dyDescent="0.25">
      <c r="A33" s="51" t="s">
        <v>177</v>
      </c>
      <c r="B33" s="51" t="s">
        <v>226</v>
      </c>
      <c r="C33" s="51">
        <v>7675</v>
      </c>
    </row>
    <row r="34" spans="1:3" x14ac:dyDescent="0.25">
      <c r="A34" s="51" t="s">
        <v>170</v>
      </c>
      <c r="B34" s="51" t="s">
        <v>228</v>
      </c>
      <c r="C34" s="51">
        <v>10257</v>
      </c>
    </row>
    <row r="35" spans="1:3" x14ac:dyDescent="0.25">
      <c r="A35" s="51" t="s">
        <v>76</v>
      </c>
      <c r="B35" s="51" t="s">
        <v>122</v>
      </c>
      <c r="C35" s="51">
        <v>24990</v>
      </c>
    </row>
    <row r="36" spans="1:3" x14ac:dyDescent="0.25">
      <c r="A36" s="51" t="s">
        <v>103</v>
      </c>
      <c r="B36" s="51" t="s">
        <v>125</v>
      </c>
      <c r="C36" s="51">
        <v>940</v>
      </c>
    </row>
    <row r="37" spans="1:3" x14ac:dyDescent="0.25">
      <c r="A37" s="51" t="s">
        <v>82</v>
      </c>
      <c r="B37" s="51" t="s">
        <v>116</v>
      </c>
      <c r="C37" s="51">
        <v>749</v>
      </c>
    </row>
    <row r="38" spans="1:3" x14ac:dyDescent="0.25">
      <c r="A38" s="51" t="s">
        <v>88</v>
      </c>
      <c r="B38" s="51" t="s">
        <v>107</v>
      </c>
      <c r="C38" s="51">
        <v>12350</v>
      </c>
    </row>
    <row r="39" spans="1:3" x14ac:dyDescent="0.25">
      <c r="A39" s="51" t="s">
        <v>162</v>
      </c>
      <c r="B39" s="51" t="s">
        <v>214</v>
      </c>
      <c r="C39" s="51">
        <v>8940</v>
      </c>
    </row>
    <row r="40" spans="1:3" x14ac:dyDescent="0.25">
      <c r="A40" s="51" t="s">
        <v>176</v>
      </c>
      <c r="B40" s="51" t="s">
        <v>218</v>
      </c>
      <c r="C40" s="51">
        <v>8131</v>
      </c>
    </row>
    <row r="41" spans="1:3" x14ac:dyDescent="0.25">
      <c r="A41" s="51" t="s">
        <v>144</v>
      </c>
      <c r="B41" s="51" t="s">
        <v>227</v>
      </c>
      <c r="C41" s="51">
        <v>8060</v>
      </c>
    </row>
    <row r="42" spans="1:3" x14ac:dyDescent="0.25">
      <c r="A42" s="51" t="s">
        <v>92</v>
      </c>
      <c r="B42" s="51" t="s">
        <v>112</v>
      </c>
      <c r="C42" s="51">
        <v>1260</v>
      </c>
    </row>
    <row r="43" spans="1:3" x14ac:dyDescent="0.25">
      <c r="A43" s="51" t="s">
        <v>105</v>
      </c>
      <c r="B43" s="51" t="s">
        <v>121</v>
      </c>
      <c r="C43" s="51">
        <v>1470</v>
      </c>
    </row>
    <row r="44" spans="1:3" x14ac:dyDescent="0.25">
      <c r="A44" s="51" t="s">
        <v>164</v>
      </c>
      <c r="B44" s="51"/>
      <c r="C44" s="51"/>
    </row>
    <row r="45" spans="1:3" x14ac:dyDescent="0.25">
      <c r="A45" s="51" t="s">
        <v>156</v>
      </c>
      <c r="B45" s="51" t="s">
        <v>205</v>
      </c>
      <c r="C45" s="51">
        <v>8635</v>
      </c>
    </row>
    <row r="46" spans="1:3" x14ac:dyDescent="0.25">
      <c r="A46" s="51" t="s">
        <v>75</v>
      </c>
      <c r="B46" s="51" t="s">
        <v>110</v>
      </c>
      <c r="C46" s="51">
        <v>13990</v>
      </c>
    </row>
    <row r="47" spans="1:3" x14ac:dyDescent="0.25">
      <c r="A47" s="51" t="s">
        <v>91</v>
      </c>
      <c r="B47" s="51" t="s">
        <v>127</v>
      </c>
      <c r="C47" s="51">
        <v>6500</v>
      </c>
    </row>
    <row r="48" spans="1:3" x14ac:dyDescent="0.25">
      <c r="A48" s="51" t="s">
        <v>166</v>
      </c>
      <c r="B48" s="51" t="s">
        <v>216</v>
      </c>
      <c r="C48" s="51">
        <v>9220</v>
      </c>
    </row>
    <row r="49" spans="1:3" x14ac:dyDescent="0.25">
      <c r="A49" s="51" t="s">
        <v>31</v>
      </c>
      <c r="B49" s="51" t="s">
        <v>140</v>
      </c>
      <c r="C49" s="51">
        <v>10990</v>
      </c>
    </row>
    <row r="50" spans="1:3" x14ac:dyDescent="0.25">
      <c r="A50" s="51" t="s">
        <v>79</v>
      </c>
      <c r="B50" s="51" t="s">
        <v>114</v>
      </c>
      <c r="C50" s="51">
        <v>10690</v>
      </c>
    </row>
    <row r="51" spans="1:3" x14ac:dyDescent="0.25">
      <c r="A51" s="51" t="s">
        <v>80</v>
      </c>
      <c r="B51" s="51" t="s">
        <v>117</v>
      </c>
      <c r="C51" s="51">
        <v>10890</v>
      </c>
    </row>
    <row r="52" spans="1:3" x14ac:dyDescent="0.25">
      <c r="A52" s="51" t="s">
        <v>84</v>
      </c>
      <c r="B52" s="51" t="s">
        <v>119</v>
      </c>
      <c r="C52" s="51">
        <v>12840</v>
      </c>
    </row>
    <row r="53" spans="1:3" x14ac:dyDescent="0.25">
      <c r="A53" s="51" t="s">
        <v>99</v>
      </c>
      <c r="B53" s="51" t="s">
        <v>139</v>
      </c>
      <c r="C53" s="51">
        <v>12450</v>
      </c>
    </row>
    <row r="54" spans="1:3" x14ac:dyDescent="0.25">
      <c r="A54" s="51" t="s">
        <v>159</v>
      </c>
      <c r="B54" s="51" t="s">
        <v>224</v>
      </c>
      <c r="C54" s="51">
        <v>9270</v>
      </c>
    </row>
    <row r="55" spans="1:3" x14ac:dyDescent="0.25">
      <c r="A55" s="51" t="s">
        <v>163</v>
      </c>
      <c r="B55" s="51" t="s">
        <v>217</v>
      </c>
      <c r="C55" s="51">
        <v>8553</v>
      </c>
    </row>
    <row r="56" spans="1:3" x14ac:dyDescent="0.25">
      <c r="A56" s="51" t="s">
        <v>100</v>
      </c>
      <c r="B56" s="51" t="s">
        <v>138</v>
      </c>
      <c r="C56" s="51">
        <v>15910</v>
      </c>
    </row>
    <row r="57" spans="1:3" x14ac:dyDescent="0.25">
      <c r="A57" s="51" t="s">
        <v>87</v>
      </c>
      <c r="B57" s="51" t="s">
        <v>136</v>
      </c>
      <c r="C57" s="51">
        <v>10150</v>
      </c>
    </row>
    <row r="58" spans="1:3" x14ac:dyDescent="0.25">
      <c r="A58" s="51" t="s">
        <v>157</v>
      </c>
      <c r="B58" s="51"/>
      <c r="C58" s="51"/>
    </row>
    <row r="59" spans="1:3" x14ac:dyDescent="0.25">
      <c r="A59" s="51" t="s">
        <v>151</v>
      </c>
      <c r="B59" s="51" t="s">
        <v>220</v>
      </c>
      <c r="C59" s="51">
        <v>8104</v>
      </c>
    </row>
    <row r="60" spans="1:3" x14ac:dyDescent="0.25">
      <c r="A60" s="51" t="s">
        <v>83</v>
      </c>
      <c r="B60" s="51" t="s">
        <v>134</v>
      </c>
      <c r="C60" s="51">
        <v>16990</v>
      </c>
    </row>
    <row r="61" spans="1:3" x14ac:dyDescent="0.25">
      <c r="A61" s="51" t="s">
        <v>171</v>
      </c>
      <c r="B61" s="51"/>
      <c r="C61" s="51"/>
    </row>
    <row r="62" spans="1:3" x14ac:dyDescent="0.25">
      <c r="A62" s="51" t="s">
        <v>146</v>
      </c>
      <c r="B62" s="51"/>
      <c r="C62" s="51"/>
    </row>
    <row r="63" spans="1:3" x14ac:dyDescent="0.25">
      <c r="A63" s="51" t="s">
        <v>148</v>
      </c>
      <c r="B63" s="51" t="s">
        <v>208</v>
      </c>
      <c r="C63" s="51">
        <v>7160</v>
      </c>
    </row>
    <row r="64" spans="1:3" x14ac:dyDescent="0.25">
      <c r="A64" s="51" t="s">
        <v>143</v>
      </c>
      <c r="B64" s="51" t="s">
        <v>215</v>
      </c>
      <c r="C64" s="51">
        <v>8524</v>
      </c>
    </row>
    <row r="65" spans="1:3" x14ac:dyDescent="0.25">
      <c r="A65" s="51" t="s">
        <v>98</v>
      </c>
      <c r="B65" s="51" t="s">
        <v>118</v>
      </c>
      <c r="C65" s="51">
        <v>16510</v>
      </c>
    </row>
    <row r="66" spans="1:3" x14ac:dyDescent="0.25">
      <c r="A66" s="51" t="s">
        <v>172</v>
      </c>
      <c r="B66" s="51" t="s">
        <v>219</v>
      </c>
      <c r="C66" s="51">
        <v>8716</v>
      </c>
    </row>
    <row r="67" spans="1:3" x14ac:dyDescent="0.25">
      <c r="A67" s="51" t="s">
        <v>169</v>
      </c>
      <c r="B67" s="51" t="s">
        <v>222</v>
      </c>
      <c r="C67" s="51">
        <v>8719</v>
      </c>
    </row>
    <row r="68" spans="1:3" x14ac:dyDescent="0.25">
      <c r="A68" s="51" t="s">
        <v>178</v>
      </c>
      <c r="B68" s="51" t="s">
        <v>207</v>
      </c>
      <c r="C68" s="51">
        <v>8185</v>
      </c>
    </row>
    <row r="69" spans="1:3" x14ac:dyDescent="0.25">
      <c r="A69" s="51" t="s">
        <v>97</v>
      </c>
      <c r="B69" s="51" t="s">
        <v>130</v>
      </c>
      <c r="C69" s="51">
        <v>25975</v>
      </c>
    </row>
    <row r="70" spans="1:3" x14ac:dyDescent="0.25">
      <c r="A70" s="51" t="s">
        <v>160</v>
      </c>
      <c r="B70" s="51"/>
      <c r="C70" s="5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4E8D6-2BD1-4EF1-B8C5-847A2DB82340}">
  <dimension ref="A2:E33"/>
  <sheetViews>
    <sheetView topLeftCell="A22" workbookViewId="0">
      <selection activeCell="C44" sqref="C44"/>
    </sheetView>
  </sheetViews>
  <sheetFormatPr defaultRowHeight="15" x14ac:dyDescent="0.25"/>
  <cols>
    <col min="1" max="1" width="7" style="49" bestFit="1" customWidth="1"/>
    <col min="2" max="2" width="41.7109375" style="49" bestFit="1" customWidth="1"/>
    <col min="3" max="3" width="44" style="49" customWidth="1"/>
    <col min="4" max="4" width="42.5703125" style="49" customWidth="1"/>
  </cols>
  <sheetData>
    <row r="2" spans="1:4" x14ac:dyDescent="0.25">
      <c r="A2" s="2" t="s">
        <v>0</v>
      </c>
      <c r="B2" s="10" t="s">
        <v>74</v>
      </c>
      <c r="C2" s="10" t="s">
        <v>95</v>
      </c>
      <c r="D2" s="50" t="s">
        <v>106</v>
      </c>
    </row>
    <row r="3" spans="1:4" ht="45" x14ac:dyDescent="0.25">
      <c r="A3" s="3">
        <v>376516</v>
      </c>
      <c r="B3" s="21" t="s">
        <v>75</v>
      </c>
      <c r="C3" s="12" t="s">
        <v>83</v>
      </c>
      <c r="D3" s="12" t="s">
        <v>96</v>
      </c>
    </row>
    <row r="4" spans="1:4" x14ac:dyDescent="0.25">
      <c r="A4" s="3">
        <v>376530</v>
      </c>
      <c r="B4" s="4"/>
      <c r="C4" s="12"/>
      <c r="D4" s="12"/>
    </row>
    <row r="5" spans="1:4" x14ac:dyDescent="0.25">
      <c r="A5" s="3">
        <v>139011</v>
      </c>
      <c r="B5" s="4"/>
      <c r="C5" s="12"/>
      <c r="D5" s="12"/>
    </row>
    <row r="6" spans="1:4" ht="45" x14ac:dyDescent="0.25">
      <c r="A6" s="3">
        <v>139012</v>
      </c>
      <c r="B6" s="4" t="s">
        <v>76</v>
      </c>
      <c r="C6" s="12"/>
      <c r="D6" s="12" t="s">
        <v>97</v>
      </c>
    </row>
    <row r="7" spans="1:4" ht="45" x14ac:dyDescent="0.25">
      <c r="A7" s="3">
        <v>139013</v>
      </c>
      <c r="B7" s="4" t="s">
        <v>27</v>
      </c>
      <c r="C7" s="12" t="s">
        <v>84</v>
      </c>
      <c r="D7" s="12" t="s">
        <v>98</v>
      </c>
    </row>
    <row r="8" spans="1:4" ht="45" x14ac:dyDescent="0.25">
      <c r="A8" s="3">
        <v>139014</v>
      </c>
      <c r="B8" s="4" t="s">
        <v>31</v>
      </c>
      <c r="C8" s="12" t="s">
        <v>85</v>
      </c>
      <c r="D8" s="12" t="s">
        <v>99</v>
      </c>
    </row>
    <row r="9" spans="1:4" ht="45" x14ac:dyDescent="0.25">
      <c r="A9" s="3">
        <v>139015</v>
      </c>
      <c r="B9" s="4" t="s">
        <v>35</v>
      </c>
      <c r="C9" s="12" t="s">
        <v>86</v>
      </c>
      <c r="D9" s="12" t="s">
        <v>100</v>
      </c>
    </row>
    <row r="10" spans="1:4" ht="45" x14ac:dyDescent="0.25">
      <c r="A10" s="3">
        <v>139016</v>
      </c>
      <c r="B10" s="4" t="s">
        <v>39</v>
      </c>
      <c r="C10" s="12" t="s">
        <v>87</v>
      </c>
      <c r="D10" s="12" t="s">
        <v>101</v>
      </c>
    </row>
    <row r="11" spans="1:4" ht="30" x14ac:dyDescent="0.25">
      <c r="A11" s="3">
        <v>139029</v>
      </c>
      <c r="B11" s="4" t="s">
        <v>77</v>
      </c>
      <c r="C11" s="12"/>
      <c r="D11" s="12" t="s">
        <v>96</v>
      </c>
    </row>
    <row r="12" spans="1:4" ht="75" x14ac:dyDescent="0.25">
      <c r="A12" s="3">
        <v>376875</v>
      </c>
      <c r="B12" s="4" t="s">
        <v>78</v>
      </c>
      <c r="C12" s="12" t="s">
        <v>88</v>
      </c>
      <c r="D12" s="12"/>
    </row>
    <row r="13" spans="1:4" ht="45" x14ac:dyDescent="0.25">
      <c r="A13" s="3">
        <v>376876</v>
      </c>
      <c r="B13" s="4" t="s">
        <v>79</v>
      </c>
      <c r="C13" s="12"/>
      <c r="D13" s="12"/>
    </row>
    <row r="14" spans="1:4" ht="60" x14ac:dyDescent="0.25">
      <c r="A14" s="3">
        <v>376815</v>
      </c>
      <c r="B14" s="4" t="s">
        <v>80</v>
      </c>
      <c r="C14" s="12" t="s">
        <v>89</v>
      </c>
      <c r="D14" s="12"/>
    </row>
    <row r="15" spans="1:4" ht="75" x14ac:dyDescent="0.25">
      <c r="A15" s="3">
        <v>155722</v>
      </c>
      <c r="B15" s="4" t="s">
        <v>81</v>
      </c>
      <c r="C15" s="12" t="s">
        <v>90</v>
      </c>
      <c r="D15" s="12"/>
    </row>
    <row r="16" spans="1:4" ht="45" x14ac:dyDescent="0.25">
      <c r="A16" s="3">
        <v>376810</v>
      </c>
      <c r="B16" s="4" t="s">
        <v>82</v>
      </c>
      <c r="C16" s="12"/>
      <c r="D16" s="12"/>
    </row>
    <row r="17" spans="1:5" ht="60" x14ac:dyDescent="0.25">
      <c r="A17" s="3">
        <v>160520</v>
      </c>
      <c r="B17" s="4"/>
      <c r="C17" s="12" t="s">
        <v>94</v>
      </c>
      <c r="D17" s="12" t="s">
        <v>102</v>
      </c>
    </row>
    <row r="18" spans="1:5" ht="60" x14ac:dyDescent="0.25">
      <c r="A18" s="3">
        <v>160519</v>
      </c>
      <c r="B18" s="4" t="s">
        <v>58</v>
      </c>
      <c r="C18" s="12" t="s">
        <v>93</v>
      </c>
      <c r="D18" s="12" t="s">
        <v>103</v>
      </c>
    </row>
    <row r="19" spans="1:5" x14ac:dyDescent="0.25">
      <c r="A19" s="3">
        <v>376871</v>
      </c>
      <c r="B19" s="4"/>
      <c r="C19" s="12"/>
      <c r="D19" s="12"/>
    </row>
    <row r="20" spans="1:5" ht="60" x14ac:dyDescent="0.25">
      <c r="A20" s="3">
        <v>376869</v>
      </c>
      <c r="B20" s="4"/>
      <c r="C20" s="12" t="s">
        <v>91</v>
      </c>
      <c r="D20" s="12" t="s">
        <v>104</v>
      </c>
    </row>
    <row r="21" spans="1:5" ht="45" x14ac:dyDescent="0.25">
      <c r="A21" s="3">
        <v>376807</v>
      </c>
      <c r="B21" s="43"/>
      <c r="C21" s="46" t="s">
        <v>92</v>
      </c>
      <c r="D21" s="46" t="s">
        <v>105</v>
      </c>
    </row>
    <row r="23" spans="1:5" x14ac:dyDescent="0.25">
      <c r="A23" s="38" t="s">
        <v>0</v>
      </c>
      <c r="B23" s="37" t="s">
        <v>9</v>
      </c>
      <c r="C23" s="37" t="s">
        <v>9</v>
      </c>
      <c r="D23" s="37" t="s">
        <v>9</v>
      </c>
      <c r="E23" s="37" t="s">
        <v>9</v>
      </c>
    </row>
    <row r="24" spans="1:5" x14ac:dyDescent="0.25">
      <c r="A24" s="33">
        <v>379943</v>
      </c>
      <c r="B24" s="29" t="s">
        <v>178</v>
      </c>
      <c r="C24" s="29" t="s">
        <v>177</v>
      </c>
      <c r="D24" s="29" t="s">
        <v>176</v>
      </c>
      <c r="E24" s="35" t="s">
        <v>175</v>
      </c>
    </row>
    <row r="25" spans="1:5" x14ac:dyDescent="0.25">
      <c r="A25" s="33">
        <v>380013</v>
      </c>
      <c r="B25" s="29" t="s">
        <v>174</v>
      </c>
      <c r="C25" s="29" t="s">
        <v>173</v>
      </c>
      <c r="D25" s="29" t="s">
        <v>172</v>
      </c>
      <c r="E25" s="29" t="s">
        <v>171</v>
      </c>
    </row>
    <row r="26" spans="1:5" x14ac:dyDescent="0.25">
      <c r="A26" s="33">
        <v>379961</v>
      </c>
      <c r="B26" s="29" t="s">
        <v>170</v>
      </c>
      <c r="C26" s="29" t="s">
        <v>152</v>
      </c>
      <c r="D26" s="29" t="s">
        <v>169</v>
      </c>
      <c r="E26" s="29" t="s">
        <v>168</v>
      </c>
    </row>
    <row r="27" spans="1:5" x14ac:dyDescent="0.25">
      <c r="A27" s="33">
        <v>355457</v>
      </c>
      <c r="B27" s="29" t="s">
        <v>167</v>
      </c>
      <c r="C27" s="29" t="s">
        <v>166</v>
      </c>
      <c r="D27" s="29" t="s">
        <v>165</v>
      </c>
      <c r="E27" s="29" t="s">
        <v>164</v>
      </c>
    </row>
    <row r="28" spans="1:5" x14ac:dyDescent="0.25">
      <c r="A28" s="33">
        <v>379960</v>
      </c>
      <c r="B28" s="29" t="s">
        <v>163</v>
      </c>
      <c r="C28" s="29" t="s">
        <v>162</v>
      </c>
      <c r="D28" s="29" t="s">
        <v>161</v>
      </c>
      <c r="E28" s="29" t="s">
        <v>160</v>
      </c>
    </row>
    <row r="29" spans="1:5" x14ac:dyDescent="0.25">
      <c r="A29" s="33">
        <v>380012</v>
      </c>
      <c r="B29" s="34"/>
      <c r="C29" s="29" t="s">
        <v>159</v>
      </c>
      <c r="D29" s="29" t="s">
        <v>158</v>
      </c>
      <c r="E29" s="29" t="s">
        <v>157</v>
      </c>
    </row>
    <row r="30" spans="1:5" x14ac:dyDescent="0.25">
      <c r="A30" s="33">
        <v>355437</v>
      </c>
      <c r="B30" s="29" t="s">
        <v>156</v>
      </c>
      <c r="C30" s="29" t="s">
        <v>155</v>
      </c>
      <c r="D30" s="29" t="s">
        <v>154</v>
      </c>
      <c r="E30" s="29" t="s">
        <v>153</v>
      </c>
    </row>
    <row r="31" spans="1:5" x14ac:dyDescent="0.25">
      <c r="A31" s="33">
        <v>355436</v>
      </c>
      <c r="B31" s="34"/>
      <c r="C31" s="29" t="s">
        <v>152</v>
      </c>
      <c r="D31" s="29" t="s">
        <v>151</v>
      </c>
      <c r="E31" s="29" t="s">
        <v>150</v>
      </c>
    </row>
    <row r="32" spans="1:5" x14ac:dyDescent="0.25">
      <c r="A32" s="33">
        <v>355461</v>
      </c>
      <c r="B32" s="29" t="s">
        <v>149</v>
      </c>
      <c r="C32" s="29" t="s">
        <v>148</v>
      </c>
      <c r="D32" s="29" t="s">
        <v>147</v>
      </c>
      <c r="E32" s="29" t="s">
        <v>146</v>
      </c>
    </row>
    <row r="33" spans="1:5" x14ac:dyDescent="0.25">
      <c r="A33" s="33">
        <v>355463</v>
      </c>
      <c r="B33" s="29" t="s">
        <v>145</v>
      </c>
      <c r="C33" s="29" t="s">
        <v>144</v>
      </c>
      <c r="D33" s="29" t="s">
        <v>143</v>
      </c>
      <c r="E33" s="29" t="s">
        <v>142</v>
      </c>
    </row>
  </sheetData>
  <hyperlinks>
    <hyperlink ref="B24" r:id="rId1" xr:uid="{058B2621-3F9F-4F2D-A1D7-D68E40E26A2E}"/>
    <hyperlink ref="B25" r:id="rId2" xr:uid="{91020E5E-C7B8-4E1C-B356-BEAE6FCFB3A1}"/>
    <hyperlink ref="B26" r:id="rId3" xr:uid="{8221EA28-4BFF-4C97-B2E4-D23D2B413C49}"/>
    <hyperlink ref="B27" r:id="rId4" xr:uid="{2E393A6B-9E8E-4431-8B6A-6A2141784D9C}"/>
    <hyperlink ref="B28" r:id="rId5" xr:uid="{8C41576C-CD61-4490-9E10-FBBCF5EAAA35}"/>
    <hyperlink ref="B30" r:id="rId6" xr:uid="{A617F1F0-3A56-4092-8281-38F261680B31}"/>
    <hyperlink ref="B32" r:id="rId7" xr:uid="{8E60F6C0-3DF0-4D36-95FF-A038313FA430}"/>
    <hyperlink ref="B33" r:id="rId8" xr:uid="{3E687749-8653-4936-B587-E85E193E3549}"/>
    <hyperlink ref="C24" r:id="rId9" xr:uid="{DE505BAC-73C3-45D4-8FE2-6C56ED28D2CD}"/>
    <hyperlink ref="C25" r:id="rId10" xr:uid="{969F5AEF-0134-48C1-B37F-6D9345F275ED}"/>
    <hyperlink ref="C26" r:id="rId11" xr:uid="{2CDB1393-D206-4C81-B546-A96AC870E890}"/>
    <hyperlink ref="C27" r:id="rId12" xr:uid="{9D815FF6-8532-4084-8089-04A81E998ADE}"/>
    <hyperlink ref="C28" r:id="rId13" xr:uid="{BF8DB5CF-F46B-4283-A577-90B2D444B24A}"/>
    <hyperlink ref="C29" r:id="rId14" xr:uid="{15906CBE-4068-4755-A79B-08BB4432809A}"/>
    <hyperlink ref="C30" r:id="rId15" xr:uid="{ED344865-DC82-4768-ABB1-FADF6EE2EB2E}"/>
    <hyperlink ref="C31" r:id="rId16" xr:uid="{29ED76BC-7DF8-4DB3-B705-303EE6F8FEE8}"/>
    <hyperlink ref="C32" r:id="rId17" xr:uid="{156FD1C0-C1F0-4765-8EC8-40C84B6E66BD}"/>
    <hyperlink ref="C33" r:id="rId18" xr:uid="{04A622E4-5009-4645-AF32-A95132E11ABC}"/>
    <hyperlink ref="D24" r:id="rId19" xr:uid="{C4CA712A-1420-44B0-9006-5429201B26D0}"/>
    <hyperlink ref="D25" r:id="rId20" xr:uid="{338051E7-8725-4384-ADA7-A45B372AE811}"/>
    <hyperlink ref="D26" r:id="rId21" xr:uid="{3006E606-839C-49F3-B6AC-D25FDF4505DA}"/>
    <hyperlink ref="D27" r:id="rId22" xr:uid="{C2F13EFE-A3C9-49F7-84D3-E1440137730B}"/>
    <hyperlink ref="D28" r:id="rId23" xr:uid="{53EC7730-E1FC-4156-AC1A-D8A31BFBE8DA}"/>
    <hyperlink ref="D29" r:id="rId24" xr:uid="{165CBE66-19D8-4FCD-82C9-BFA80BA1614D}"/>
    <hyperlink ref="D30" r:id="rId25" xr:uid="{8C90B19F-EF52-4EFC-8983-AA8B0E8E1B38}"/>
    <hyperlink ref="D31" r:id="rId26" xr:uid="{2CBA14E9-5CB0-4F24-A117-910C7413338A}"/>
    <hyperlink ref="D32" r:id="rId27" xr:uid="{374204BF-54AF-4FA5-B2F6-EE353A8893EF}"/>
    <hyperlink ref="D33" r:id="rId28" xr:uid="{458D6C3D-157C-4E4E-95B6-DB873DD0B3B8}"/>
    <hyperlink ref="E24" r:id="rId29" xr:uid="{5528ED25-D342-4D12-A349-5B628AC2FAE2}"/>
    <hyperlink ref="E25" r:id="rId30" xr:uid="{024AD4B4-99E5-4415-A406-0A05B9B02047}"/>
    <hyperlink ref="E26" r:id="rId31" xr:uid="{8AAAF746-A193-476E-B5FB-4AF999CEC114}"/>
    <hyperlink ref="E27" r:id="rId32" xr:uid="{4F734E96-58B6-4547-8FE5-1459ADF557E1}"/>
    <hyperlink ref="E28" r:id="rId33" xr:uid="{26F4D865-7D7A-4B95-B4CC-95074E34CBF2}"/>
    <hyperlink ref="E29" r:id="rId34" xr:uid="{0807D6DB-82BA-4673-AC71-58B3F8F1CFE1}"/>
    <hyperlink ref="E30" r:id="rId35" xr:uid="{A951DA9C-417B-48AA-8B5B-84949DFFEBA0}"/>
    <hyperlink ref="E31" r:id="rId36" xr:uid="{526BD971-4A4C-44ED-8FF2-D64D7D818913}"/>
    <hyperlink ref="E32" r:id="rId37" display="https://www.ozon.ru/product/lada-generator-lada-21120370101008-art-21120370101008-753680143/?asb=8SZ7pCRogFf8ykvbVeofl4xjTotlkFJYDA8Q3%252BciItc%253D&amp;asb2=XFmv55sTGt7dpibFQ8rObNKS7m_YSbeU8Q-6eL1YcUfj6iw8x5LyDiCp3syN1LVCsPq-JildrFrZu_iFgtNsXg&amp;avtc=1&amp;avte=2&amp;avts=1719555412&amp;keywords=%D0%93%D0%B5%D0%BD%D0%B5%D1%80%D0%B0%D1%82%D0%BE%D1%80+%D0%B2+%D1%81%D0%B1%D0%BE%D1%80%D0%B5+21120370101008" xr:uid="{6F6279F2-DC02-46D2-BA5A-2EF000C5510D}"/>
    <hyperlink ref="E33" r:id="rId38" xr:uid="{ED3393A8-C061-4F9F-A2F9-14E5E797C22E}"/>
  </hyperlinks>
  <pageMargins left="0.7" right="0.7" top="0.75" bottom="0.75" header="0.3" footer="0.3"/>
  <legacyDrawing r:id="rId39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Кардан</vt:lpstr>
      <vt:lpstr>Кардан Выгр Кат</vt:lpstr>
      <vt:lpstr>Генераторы</vt:lpstr>
      <vt:lpstr>Генер Выгр Кат</vt:lpstr>
      <vt:lpstr>Парсинг</vt:lpstr>
      <vt:lpstr>ссылки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2024-07-02T15:05:58Z</dcterms:created>
  <dcterms:modified xsi:type="dcterms:W3CDTF">2024-07-22T06:07:18Z</dcterms:modified>
</cp:coreProperties>
</file>