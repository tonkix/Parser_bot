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00000000-0000-0000-0000-0000000000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A607C708-EA9E-4349-9EF2-AA583B969A2F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Кат" sheetId="2" r:id="rId1"/>
    <sheet name="Торг" sheetId="3" r:id="rId2"/>
    <sheet name="Наценка" sheetId="10" r:id="rId3"/>
    <sheet name="Выгр Кат" sheetId="9" r:id="rId4"/>
    <sheet name="Выгр Торг" sheetId="8" r:id="rId5"/>
    <sheet name="Ссылки" sheetId="11" r:id="rId6"/>
    <sheet name="Из ГУГЛа" sheetId="12" r:id="rId7"/>
  </sheets>
  <definedNames>
    <definedName name="_xlnm._FilterDatabase" localSheetId="3" hidden="1">'Выгр Кат'!$A$1:$O$20</definedName>
    <definedName name="_xlnm._FilterDatabase" localSheetId="4" hidden="1">'Выгр Торг'!$A$1:$Q$105</definedName>
    <definedName name="_xlnm._FilterDatabase" localSheetId="0">Кат!$A$2:$AC$21</definedName>
    <definedName name="_xlnm._FilterDatabase" localSheetId="1" hidden="1">Торг!$A$2:$T$106</definedName>
    <definedName name="ExternalData_1" localSheetId="6" hidden="1">'Из ГУГЛа'!$A$1:$T$128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4" i="3" l="1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3" i="3"/>
  <c r="U3" i="3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Y6" i="2"/>
  <c r="Y5" i="2"/>
  <c r="Y4" i="2"/>
  <c r="Y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3" i="2"/>
  <c r="P2" i="8"/>
  <c r="P3" i="8"/>
  <c r="P4" i="8"/>
  <c r="P5" i="8"/>
  <c r="P6" i="8"/>
  <c r="P7" i="8"/>
  <c r="P8" i="8"/>
  <c r="P9" i="8"/>
  <c r="P10" i="8"/>
  <c r="P11" i="8"/>
  <c r="P12" i="8"/>
  <c r="P13" i="8"/>
  <c r="P14" i="8"/>
  <c r="P15" i="8"/>
  <c r="P16" i="8"/>
  <c r="P17" i="8"/>
  <c r="P18" i="8"/>
  <c r="P19" i="8"/>
  <c r="P20" i="8"/>
  <c r="P21" i="8"/>
  <c r="P22" i="8"/>
  <c r="P23" i="8"/>
  <c r="P24" i="8"/>
  <c r="P25" i="8"/>
  <c r="P26" i="8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P64" i="8"/>
  <c r="P65" i="8"/>
  <c r="P66" i="8"/>
  <c r="P67" i="8"/>
  <c r="P68" i="8"/>
  <c r="P69" i="8"/>
  <c r="P70" i="8"/>
  <c r="P71" i="8"/>
  <c r="P72" i="8"/>
  <c r="P73" i="8"/>
  <c r="P74" i="8"/>
  <c r="P75" i="8"/>
  <c r="P76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P91" i="8"/>
  <c r="P92" i="8"/>
  <c r="P93" i="8"/>
  <c r="P94" i="8"/>
  <c r="P95" i="8"/>
  <c r="P96" i="8"/>
  <c r="P97" i="8"/>
  <c r="P98" i="8"/>
  <c r="P99" i="8"/>
  <c r="P100" i="8"/>
  <c r="P101" i="8"/>
  <c r="P102" i="8"/>
  <c r="P103" i="8"/>
  <c r="P104" i="8"/>
  <c r="P105" i="8"/>
  <c r="I8" i="2"/>
  <c r="I6" i="2"/>
  <c r="I14" i="2"/>
  <c r="I13" i="2"/>
  <c r="I28" i="2"/>
  <c r="I33" i="2"/>
  <c r="I32" i="2"/>
  <c r="I31" i="2"/>
  <c r="I30" i="2"/>
  <c r="I29" i="2"/>
  <c r="I27" i="2"/>
  <c r="I26" i="2"/>
  <c r="J118" i="3"/>
  <c r="J117" i="3"/>
  <c r="J116" i="3"/>
  <c r="J115" i="3"/>
  <c r="J114" i="3"/>
  <c r="J113" i="3"/>
  <c r="J112" i="3"/>
  <c r="J111" i="3"/>
  <c r="J110" i="3"/>
  <c r="Q3" i="8"/>
  <c r="Q4" i="8"/>
  <c r="Q5" i="8"/>
  <c r="Q6" i="8"/>
  <c r="Q7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2" i="8"/>
  <c r="N3" i="9"/>
  <c r="O3" i="9"/>
  <c r="N4" i="9"/>
  <c r="O4" i="9"/>
  <c r="N5" i="9"/>
  <c r="O5" i="9"/>
  <c r="N6" i="9"/>
  <c r="O6" i="9"/>
  <c r="N7" i="9"/>
  <c r="O7" i="9"/>
  <c r="N8" i="9"/>
  <c r="O8" i="9"/>
  <c r="N9" i="9"/>
  <c r="O9" i="9"/>
  <c r="N10" i="9"/>
  <c r="O10" i="9"/>
  <c r="N11" i="9"/>
  <c r="O11" i="9"/>
  <c r="N12" i="9"/>
  <c r="O12" i="9"/>
  <c r="N13" i="9"/>
  <c r="O13" i="9"/>
  <c r="N14" i="9"/>
  <c r="O14" i="9"/>
  <c r="N15" i="9"/>
  <c r="O15" i="9"/>
  <c r="N16" i="9"/>
  <c r="O16" i="9"/>
  <c r="N17" i="9"/>
  <c r="O17" i="9"/>
  <c r="N18" i="9"/>
  <c r="O18" i="9"/>
  <c r="N19" i="9"/>
  <c r="O19" i="9"/>
  <c r="N20" i="9"/>
  <c r="O20" i="9"/>
  <c r="O2" i="9"/>
  <c r="S5" i="2"/>
  <c r="S16" i="2"/>
  <c r="I16" i="2" s="1"/>
  <c r="S21" i="2"/>
  <c r="I21" i="2" s="1"/>
  <c r="T40" i="3"/>
  <c r="T39" i="3"/>
  <c r="T38" i="3"/>
  <c r="T37" i="3"/>
  <c r="T36" i="3"/>
  <c r="T35" i="3"/>
  <c r="T34" i="3"/>
  <c r="T33" i="3"/>
  <c r="T32" i="3"/>
  <c r="T31" i="3"/>
  <c r="T30" i="3"/>
  <c r="T29" i="3"/>
  <c r="T28" i="3"/>
  <c r="T27" i="3"/>
  <c r="T26" i="3"/>
  <c r="T25" i="3"/>
  <c r="T24" i="3"/>
  <c r="T23" i="3"/>
  <c r="T22" i="3"/>
  <c r="T21" i="3"/>
  <c r="T20" i="3"/>
  <c r="T19" i="3"/>
  <c r="T18" i="3"/>
  <c r="T17" i="3"/>
  <c r="T16" i="3"/>
  <c r="T15" i="3"/>
  <c r="T14" i="3"/>
  <c r="T13" i="3"/>
  <c r="T12" i="3"/>
  <c r="T11" i="3"/>
  <c r="T10" i="3"/>
  <c r="T106" i="3"/>
  <c r="J106" i="3" s="1"/>
  <c r="T105" i="3"/>
  <c r="J105" i="3" s="1"/>
  <c r="T104" i="3"/>
  <c r="J104" i="3" s="1"/>
  <c r="T103" i="3"/>
  <c r="J103" i="3" s="1"/>
  <c r="T102" i="3"/>
  <c r="J102" i="3" s="1"/>
  <c r="T101" i="3"/>
  <c r="J101" i="3" s="1"/>
  <c r="T100" i="3"/>
  <c r="J100" i="3" s="1"/>
  <c r="T99" i="3"/>
  <c r="J99" i="3" s="1"/>
  <c r="T98" i="3"/>
  <c r="J98" i="3" s="1"/>
  <c r="T97" i="3"/>
  <c r="J97" i="3" s="1"/>
  <c r="T96" i="3"/>
  <c r="J96" i="3" s="1"/>
  <c r="T95" i="3"/>
  <c r="J95" i="3" s="1"/>
  <c r="T94" i="3"/>
  <c r="J94" i="3" s="1"/>
  <c r="T93" i="3"/>
  <c r="J93" i="3" s="1"/>
  <c r="T92" i="3"/>
  <c r="J92" i="3" s="1"/>
  <c r="T91" i="3"/>
  <c r="J91" i="3" s="1"/>
  <c r="T90" i="3"/>
  <c r="J90" i="3" s="1"/>
  <c r="T89" i="3"/>
  <c r="J89" i="3" s="1"/>
  <c r="T88" i="3"/>
  <c r="J88" i="3" s="1"/>
  <c r="T87" i="3"/>
  <c r="J87" i="3" s="1"/>
  <c r="T86" i="3"/>
  <c r="J86" i="3" s="1"/>
  <c r="T85" i="3"/>
  <c r="J85" i="3" s="1"/>
  <c r="T84" i="3"/>
  <c r="J84" i="3" s="1"/>
  <c r="T83" i="3"/>
  <c r="J83" i="3" s="1"/>
  <c r="T82" i="3"/>
  <c r="J82" i="3" s="1"/>
  <c r="T81" i="3"/>
  <c r="J81" i="3" s="1"/>
  <c r="T80" i="3"/>
  <c r="J80" i="3" s="1"/>
  <c r="T79" i="3"/>
  <c r="J79" i="3" s="1"/>
  <c r="T78" i="3"/>
  <c r="J78" i="3" s="1"/>
  <c r="T77" i="3"/>
  <c r="J77" i="3" s="1"/>
  <c r="T76" i="3"/>
  <c r="J76" i="3" s="1"/>
  <c r="T75" i="3"/>
  <c r="T8" i="3"/>
  <c r="T7" i="3"/>
  <c r="T6" i="3"/>
  <c r="T5" i="3"/>
  <c r="T3" i="3"/>
  <c r="T9" i="3" l="1"/>
  <c r="S10" i="2"/>
  <c r="S9" i="2"/>
  <c r="I9" i="2" s="1"/>
  <c r="S7" i="2"/>
  <c r="I7" i="2" s="1"/>
  <c r="S4" i="2"/>
  <c r="I4" i="2" s="1"/>
  <c r="S3" i="2"/>
  <c r="I3" i="2" s="1"/>
  <c r="AC1" i="2"/>
  <c r="X1" i="2"/>
  <c r="Y1" i="3"/>
  <c r="AD1" i="3"/>
  <c r="T4" i="3"/>
  <c r="S4" i="3" s="1"/>
  <c r="C4" i="3"/>
  <c r="D4" i="3"/>
  <c r="E4" i="3"/>
  <c r="F4" i="3"/>
  <c r="I4" i="3"/>
  <c r="K4" i="3" s="1"/>
  <c r="L4" i="3"/>
  <c r="N4" i="3" s="1"/>
  <c r="M4" i="3"/>
  <c r="C5" i="3"/>
  <c r="D5" i="3"/>
  <c r="E5" i="3"/>
  <c r="F5" i="3"/>
  <c r="I5" i="3"/>
  <c r="K5" i="3" s="1"/>
  <c r="P5" i="3" s="1"/>
  <c r="L5" i="3"/>
  <c r="N5" i="3" s="1"/>
  <c r="M5" i="3"/>
  <c r="S5" i="3"/>
  <c r="C6" i="3"/>
  <c r="D6" i="3"/>
  <c r="E6" i="3"/>
  <c r="F6" i="3"/>
  <c r="I6" i="3"/>
  <c r="K6" i="3" s="1"/>
  <c r="L6" i="3"/>
  <c r="N6" i="3" s="1"/>
  <c r="M6" i="3"/>
  <c r="S6" i="3"/>
  <c r="C7" i="3"/>
  <c r="D7" i="3"/>
  <c r="E7" i="3"/>
  <c r="F7" i="3"/>
  <c r="I7" i="3"/>
  <c r="K7" i="3" s="1"/>
  <c r="L7" i="3"/>
  <c r="N7" i="3" s="1"/>
  <c r="M7" i="3"/>
  <c r="S7" i="3"/>
  <c r="C8" i="3"/>
  <c r="D8" i="3"/>
  <c r="E8" i="3"/>
  <c r="F8" i="3"/>
  <c r="I8" i="3"/>
  <c r="K8" i="3" s="1"/>
  <c r="L8" i="3"/>
  <c r="N8" i="3" s="1"/>
  <c r="M8" i="3"/>
  <c r="S8" i="3"/>
  <c r="C9" i="3"/>
  <c r="D9" i="3"/>
  <c r="E9" i="3"/>
  <c r="F9" i="3"/>
  <c r="I9" i="3"/>
  <c r="K9" i="3" s="1"/>
  <c r="P9" i="3" s="1"/>
  <c r="L9" i="3"/>
  <c r="N9" i="3" s="1"/>
  <c r="M9" i="3"/>
  <c r="S9" i="3"/>
  <c r="C10" i="3"/>
  <c r="D10" i="3"/>
  <c r="E10" i="3"/>
  <c r="F10" i="3"/>
  <c r="I10" i="3"/>
  <c r="K10" i="3" s="1"/>
  <c r="P10" i="3" s="1"/>
  <c r="L10" i="3"/>
  <c r="N10" i="3" s="1"/>
  <c r="M10" i="3"/>
  <c r="S10" i="3"/>
  <c r="C11" i="3"/>
  <c r="D11" i="3"/>
  <c r="E11" i="3"/>
  <c r="F11" i="3"/>
  <c r="I11" i="3"/>
  <c r="K11" i="3" s="1"/>
  <c r="L11" i="3"/>
  <c r="N11" i="3" s="1"/>
  <c r="M11" i="3"/>
  <c r="S11" i="3"/>
  <c r="C12" i="3"/>
  <c r="D12" i="3"/>
  <c r="E12" i="3"/>
  <c r="F12" i="3"/>
  <c r="I12" i="3"/>
  <c r="K12" i="3" s="1"/>
  <c r="P12" i="3" s="1"/>
  <c r="L12" i="3"/>
  <c r="N12" i="3" s="1"/>
  <c r="M12" i="3"/>
  <c r="S12" i="3"/>
  <c r="C13" i="3"/>
  <c r="D13" i="3"/>
  <c r="E13" i="3"/>
  <c r="F13" i="3"/>
  <c r="I13" i="3"/>
  <c r="K13" i="3" s="1"/>
  <c r="L13" i="3"/>
  <c r="N13" i="3" s="1"/>
  <c r="M13" i="3"/>
  <c r="S13" i="3"/>
  <c r="C14" i="3"/>
  <c r="D14" i="3"/>
  <c r="E14" i="3"/>
  <c r="F14" i="3"/>
  <c r="I14" i="3"/>
  <c r="K14" i="3" s="1"/>
  <c r="P14" i="3" s="1"/>
  <c r="L14" i="3"/>
  <c r="N14" i="3" s="1"/>
  <c r="M14" i="3"/>
  <c r="S14" i="3"/>
  <c r="C15" i="3"/>
  <c r="D15" i="3"/>
  <c r="E15" i="3"/>
  <c r="F15" i="3"/>
  <c r="I15" i="3"/>
  <c r="K15" i="3" s="1"/>
  <c r="P15" i="3" s="1"/>
  <c r="L15" i="3"/>
  <c r="N15" i="3" s="1"/>
  <c r="M15" i="3"/>
  <c r="S15" i="3"/>
  <c r="C16" i="3"/>
  <c r="D16" i="3"/>
  <c r="E16" i="3"/>
  <c r="F16" i="3"/>
  <c r="I16" i="3"/>
  <c r="K16" i="3" s="1"/>
  <c r="L16" i="3"/>
  <c r="N16" i="3" s="1"/>
  <c r="M16" i="3"/>
  <c r="S16" i="3"/>
  <c r="C17" i="3"/>
  <c r="D17" i="3"/>
  <c r="E17" i="3"/>
  <c r="F17" i="3"/>
  <c r="I17" i="3"/>
  <c r="K17" i="3" s="1"/>
  <c r="P17" i="3" s="1"/>
  <c r="L17" i="3"/>
  <c r="N17" i="3" s="1"/>
  <c r="M17" i="3"/>
  <c r="S17" i="3"/>
  <c r="C18" i="3"/>
  <c r="D18" i="3"/>
  <c r="E18" i="3"/>
  <c r="F18" i="3"/>
  <c r="I18" i="3"/>
  <c r="K18" i="3" s="1"/>
  <c r="L18" i="3"/>
  <c r="N18" i="3" s="1"/>
  <c r="M18" i="3"/>
  <c r="S18" i="3"/>
  <c r="C19" i="3"/>
  <c r="D19" i="3"/>
  <c r="E19" i="3"/>
  <c r="F19" i="3"/>
  <c r="I19" i="3"/>
  <c r="K19" i="3" s="1"/>
  <c r="L19" i="3"/>
  <c r="N19" i="3" s="1"/>
  <c r="M19" i="3"/>
  <c r="S19" i="3"/>
  <c r="C20" i="3"/>
  <c r="D20" i="3"/>
  <c r="E20" i="3"/>
  <c r="F20" i="3"/>
  <c r="I20" i="3"/>
  <c r="K20" i="3" s="1"/>
  <c r="P20" i="3" s="1"/>
  <c r="L20" i="3"/>
  <c r="N20" i="3" s="1"/>
  <c r="M20" i="3"/>
  <c r="S20" i="3"/>
  <c r="C21" i="3"/>
  <c r="D21" i="3"/>
  <c r="E21" i="3"/>
  <c r="F21" i="3"/>
  <c r="I21" i="3"/>
  <c r="K21" i="3" s="1"/>
  <c r="P21" i="3" s="1"/>
  <c r="L21" i="3"/>
  <c r="N21" i="3" s="1"/>
  <c r="M21" i="3"/>
  <c r="S21" i="3"/>
  <c r="C22" i="3"/>
  <c r="D22" i="3"/>
  <c r="E22" i="3"/>
  <c r="F22" i="3"/>
  <c r="I22" i="3"/>
  <c r="K22" i="3" s="1"/>
  <c r="P22" i="3" s="1"/>
  <c r="L22" i="3"/>
  <c r="N22" i="3" s="1"/>
  <c r="M22" i="3"/>
  <c r="S22" i="3"/>
  <c r="C23" i="3"/>
  <c r="D23" i="3"/>
  <c r="E23" i="3"/>
  <c r="F23" i="3"/>
  <c r="I23" i="3"/>
  <c r="K23" i="3" s="1"/>
  <c r="L23" i="3"/>
  <c r="N23" i="3" s="1"/>
  <c r="M23" i="3"/>
  <c r="S23" i="3"/>
  <c r="C24" i="3"/>
  <c r="D24" i="3"/>
  <c r="E24" i="3"/>
  <c r="F24" i="3"/>
  <c r="I24" i="3"/>
  <c r="K24" i="3" s="1"/>
  <c r="P24" i="3" s="1"/>
  <c r="L24" i="3"/>
  <c r="N24" i="3" s="1"/>
  <c r="M24" i="3"/>
  <c r="S24" i="3"/>
  <c r="C25" i="3"/>
  <c r="D25" i="3"/>
  <c r="E25" i="3"/>
  <c r="F25" i="3"/>
  <c r="I25" i="3"/>
  <c r="K25" i="3" s="1"/>
  <c r="L25" i="3"/>
  <c r="N25" i="3" s="1"/>
  <c r="M25" i="3"/>
  <c r="S25" i="3"/>
  <c r="C26" i="3"/>
  <c r="D26" i="3"/>
  <c r="E26" i="3"/>
  <c r="F26" i="3"/>
  <c r="I26" i="3"/>
  <c r="K26" i="3" s="1"/>
  <c r="P26" i="3" s="1"/>
  <c r="L26" i="3"/>
  <c r="N26" i="3" s="1"/>
  <c r="M26" i="3"/>
  <c r="S26" i="3"/>
  <c r="C27" i="3"/>
  <c r="D27" i="3"/>
  <c r="E27" i="3"/>
  <c r="F27" i="3"/>
  <c r="I27" i="3"/>
  <c r="K27" i="3" s="1"/>
  <c r="P27" i="3" s="1"/>
  <c r="L27" i="3"/>
  <c r="N27" i="3" s="1"/>
  <c r="M27" i="3"/>
  <c r="S27" i="3"/>
  <c r="C28" i="3"/>
  <c r="D28" i="3"/>
  <c r="E28" i="3"/>
  <c r="F28" i="3"/>
  <c r="I28" i="3"/>
  <c r="K28" i="3" s="1"/>
  <c r="L28" i="3"/>
  <c r="N28" i="3" s="1"/>
  <c r="M28" i="3"/>
  <c r="S28" i="3"/>
  <c r="C29" i="3"/>
  <c r="D29" i="3"/>
  <c r="E29" i="3"/>
  <c r="F29" i="3"/>
  <c r="I29" i="3"/>
  <c r="K29" i="3" s="1"/>
  <c r="P29" i="3" s="1"/>
  <c r="L29" i="3"/>
  <c r="N29" i="3" s="1"/>
  <c r="M29" i="3"/>
  <c r="S29" i="3"/>
  <c r="C30" i="3"/>
  <c r="D30" i="3"/>
  <c r="E30" i="3"/>
  <c r="F30" i="3"/>
  <c r="I30" i="3"/>
  <c r="K30" i="3" s="1"/>
  <c r="L30" i="3"/>
  <c r="N30" i="3" s="1"/>
  <c r="M30" i="3"/>
  <c r="S30" i="3"/>
  <c r="C31" i="3"/>
  <c r="D31" i="3"/>
  <c r="E31" i="3"/>
  <c r="F31" i="3"/>
  <c r="I31" i="3"/>
  <c r="K31" i="3" s="1"/>
  <c r="L31" i="3"/>
  <c r="N31" i="3" s="1"/>
  <c r="M31" i="3"/>
  <c r="S31" i="3"/>
  <c r="C32" i="3"/>
  <c r="D32" i="3"/>
  <c r="E32" i="3"/>
  <c r="F32" i="3"/>
  <c r="I32" i="3"/>
  <c r="K32" i="3" s="1"/>
  <c r="P32" i="3" s="1"/>
  <c r="L32" i="3"/>
  <c r="N32" i="3" s="1"/>
  <c r="M32" i="3"/>
  <c r="S32" i="3"/>
  <c r="C33" i="3"/>
  <c r="D33" i="3"/>
  <c r="E33" i="3"/>
  <c r="F33" i="3"/>
  <c r="I33" i="3"/>
  <c r="K33" i="3" s="1"/>
  <c r="P33" i="3" s="1"/>
  <c r="L33" i="3"/>
  <c r="N33" i="3" s="1"/>
  <c r="M33" i="3"/>
  <c r="S33" i="3"/>
  <c r="C34" i="3"/>
  <c r="D34" i="3"/>
  <c r="E34" i="3"/>
  <c r="F34" i="3"/>
  <c r="I34" i="3"/>
  <c r="K34" i="3" s="1"/>
  <c r="P34" i="3" s="1"/>
  <c r="L34" i="3"/>
  <c r="N34" i="3" s="1"/>
  <c r="M34" i="3"/>
  <c r="S34" i="3"/>
  <c r="C35" i="3"/>
  <c r="D35" i="3"/>
  <c r="E35" i="3"/>
  <c r="F35" i="3"/>
  <c r="I35" i="3"/>
  <c r="K35" i="3" s="1"/>
  <c r="L35" i="3"/>
  <c r="N35" i="3" s="1"/>
  <c r="M35" i="3"/>
  <c r="S35" i="3"/>
  <c r="C36" i="3"/>
  <c r="D36" i="3"/>
  <c r="E36" i="3"/>
  <c r="F36" i="3"/>
  <c r="I36" i="3"/>
  <c r="K36" i="3" s="1"/>
  <c r="P36" i="3" s="1"/>
  <c r="L36" i="3"/>
  <c r="N36" i="3" s="1"/>
  <c r="M36" i="3"/>
  <c r="S36" i="3"/>
  <c r="C37" i="3"/>
  <c r="D37" i="3"/>
  <c r="E37" i="3"/>
  <c r="F37" i="3"/>
  <c r="I37" i="3"/>
  <c r="K37" i="3" s="1"/>
  <c r="L37" i="3"/>
  <c r="N37" i="3" s="1"/>
  <c r="M37" i="3"/>
  <c r="S37" i="3"/>
  <c r="C38" i="3"/>
  <c r="D38" i="3"/>
  <c r="E38" i="3"/>
  <c r="F38" i="3"/>
  <c r="I38" i="3"/>
  <c r="K38" i="3" s="1"/>
  <c r="P38" i="3" s="1"/>
  <c r="L38" i="3"/>
  <c r="N38" i="3" s="1"/>
  <c r="M38" i="3"/>
  <c r="S38" i="3"/>
  <c r="C39" i="3"/>
  <c r="D39" i="3"/>
  <c r="E39" i="3"/>
  <c r="F39" i="3"/>
  <c r="I39" i="3"/>
  <c r="K39" i="3" s="1"/>
  <c r="P39" i="3" s="1"/>
  <c r="L39" i="3"/>
  <c r="N39" i="3" s="1"/>
  <c r="M39" i="3"/>
  <c r="S39" i="3"/>
  <c r="C40" i="3"/>
  <c r="D40" i="3"/>
  <c r="E40" i="3"/>
  <c r="F40" i="3"/>
  <c r="I40" i="3"/>
  <c r="K40" i="3" s="1"/>
  <c r="L40" i="3"/>
  <c r="N40" i="3" s="1"/>
  <c r="M40" i="3"/>
  <c r="S40" i="3"/>
  <c r="C41" i="3"/>
  <c r="D41" i="3"/>
  <c r="E41" i="3"/>
  <c r="F41" i="3"/>
  <c r="I41" i="3"/>
  <c r="J41" i="3" s="1"/>
  <c r="K41" i="3" s="1"/>
  <c r="P41" i="3" s="1"/>
  <c r="L41" i="3"/>
  <c r="N41" i="3" s="1"/>
  <c r="M41" i="3"/>
  <c r="S41" i="3"/>
  <c r="C42" i="3"/>
  <c r="D42" i="3"/>
  <c r="E42" i="3"/>
  <c r="F42" i="3"/>
  <c r="I42" i="3"/>
  <c r="J42" i="3" s="1"/>
  <c r="K42" i="3" s="1"/>
  <c r="P42" i="3" s="1"/>
  <c r="L42" i="3"/>
  <c r="N42" i="3" s="1"/>
  <c r="M42" i="3"/>
  <c r="S42" i="3"/>
  <c r="C43" i="3"/>
  <c r="D43" i="3"/>
  <c r="E43" i="3"/>
  <c r="F43" i="3"/>
  <c r="I43" i="3"/>
  <c r="J43" i="3" s="1"/>
  <c r="K43" i="3" s="1"/>
  <c r="P43" i="3" s="1"/>
  <c r="L43" i="3"/>
  <c r="N43" i="3" s="1"/>
  <c r="M43" i="3"/>
  <c r="S43" i="3"/>
  <c r="C44" i="3"/>
  <c r="D44" i="3"/>
  <c r="E44" i="3"/>
  <c r="F44" i="3"/>
  <c r="I44" i="3"/>
  <c r="J44" i="3" s="1"/>
  <c r="K44" i="3" s="1"/>
  <c r="L44" i="3"/>
  <c r="N44" i="3" s="1"/>
  <c r="M44" i="3"/>
  <c r="S44" i="3"/>
  <c r="C45" i="3"/>
  <c r="D45" i="3"/>
  <c r="E45" i="3"/>
  <c r="F45" i="3"/>
  <c r="I45" i="3"/>
  <c r="J45" i="3" s="1"/>
  <c r="K45" i="3" s="1"/>
  <c r="P45" i="3" s="1"/>
  <c r="L45" i="3"/>
  <c r="N45" i="3" s="1"/>
  <c r="M45" i="3"/>
  <c r="S45" i="3"/>
  <c r="C46" i="3"/>
  <c r="D46" i="3"/>
  <c r="E46" i="3"/>
  <c r="F46" i="3"/>
  <c r="I46" i="3"/>
  <c r="J46" i="3" s="1"/>
  <c r="K46" i="3" s="1"/>
  <c r="L46" i="3"/>
  <c r="N46" i="3" s="1"/>
  <c r="M46" i="3"/>
  <c r="S46" i="3"/>
  <c r="C47" i="3"/>
  <c r="D47" i="3"/>
  <c r="E47" i="3"/>
  <c r="F47" i="3"/>
  <c r="I47" i="3"/>
  <c r="J47" i="3" s="1"/>
  <c r="K47" i="3" s="1"/>
  <c r="P47" i="3" s="1"/>
  <c r="L47" i="3"/>
  <c r="N47" i="3" s="1"/>
  <c r="M47" i="3"/>
  <c r="S47" i="3"/>
  <c r="C48" i="3"/>
  <c r="D48" i="3"/>
  <c r="E48" i="3"/>
  <c r="F48" i="3"/>
  <c r="I48" i="3"/>
  <c r="J48" i="3" s="1"/>
  <c r="K48" i="3" s="1"/>
  <c r="P48" i="3" s="1"/>
  <c r="L48" i="3"/>
  <c r="N48" i="3" s="1"/>
  <c r="M48" i="3"/>
  <c r="S48" i="3"/>
  <c r="C49" i="3"/>
  <c r="D49" i="3"/>
  <c r="E49" i="3"/>
  <c r="F49" i="3"/>
  <c r="I49" i="3"/>
  <c r="J49" i="3" s="1"/>
  <c r="K49" i="3" s="1"/>
  <c r="P49" i="3" s="1"/>
  <c r="R49" i="3" s="1"/>
  <c r="L49" i="3"/>
  <c r="N49" i="3" s="1"/>
  <c r="M49" i="3"/>
  <c r="S49" i="3"/>
  <c r="C50" i="3"/>
  <c r="D50" i="3"/>
  <c r="E50" i="3"/>
  <c r="F50" i="3"/>
  <c r="I50" i="3"/>
  <c r="J50" i="3" s="1"/>
  <c r="K50" i="3" s="1"/>
  <c r="P50" i="3" s="1"/>
  <c r="L50" i="3"/>
  <c r="N50" i="3" s="1"/>
  <c r="M50" i="3"/>
  <c r="S50" i="3"/>
  <c r="C51" i="3"/>
  <c r="D51" i="3"/>
  <c r="E51" i="3"/>
  <c r="F51" i="3"/>
  <c r="I51" i="3"/>
  <c r="J51" i="3" s="1"/>
  <c r="K51" i="3" s="1"/>
  <c r="L51" i="3"/>
  <c r="N51" i="3" s="1"/>
  <c r="M51" i="3"/>
  <c r="S51" i="3"/>
  <c r="C52" i="3"/>
  <c r="D52" i="3"/>
  <c r="E52" i="3"/>
  <c r="F52" i="3"/>
  <c r="I52" i="3"/>
  <c r="J52" i="3" s="1"/>
  <c r="K52" i="3" s="1"/>
  <c r="P52" i="3" s="1"/>
  <c r="Q52" i="3" s="1"/>
  <c r="L52" i="3"/>
  <c r="N52" i="3" s="1"/>
  <c r="M52" i="3"/>
  <c r="S52" i="3"/>
  <c r="C53" i="3"/>
  <c r="D53" i="3"/>
  <c r="E53" i="3"/>
  <c r="F53" i="3"/>
  <c r="I53" i="3"/>
  <c r="J53" i="3" s="1"/>
  <c r="K53" i="3" s="1"/>
  <c r="L53" i="3"/>
  <c r="N53" i="3" s="1"/>
  <c r="M53" i="3"/>
  <c r="S53" i="3"/>
  <c r="C54" i="3"/>
  <c r="D54" i="3"/>
  <c r="E54" i="3"/>
  <c r="F54" i="3"/>
  <c r="I54" i="3"/>
  <c r="J54" i="3" s="1"/>
  <c r="K54" i="3" s="1"/>
  <c r="P54" i="3" s="1"/>
  <c r="Q54" i="3" s="1"/>
  <c r="L54" i="3"/>
  <c r="N54" i="3" s="1"/>
  <c r="M54" i="3"/>
  <c r="S54" i="3"/>
  <c r="C55" i="3"/>
  <c r="D55" i="3"/>
  <c r="E55" i="3"/>
  <c r="F55" i="3"/>
  <c r="I55" i="3"/>
  <c r="J55" i="3" s="1"/>
  <c r="K55" i="3" s="1"/>
  <c r="P55" i="3" s="1"/>
  <c r="L55" i="3"/>
  <c r="N55" i="3" s="1"/>
  <c r="M55" i="3"/>
  <c r="S55" i="3"/>
  <c r="C56" i="3"/>
  <c r="D56" i="3"/>
  <c r="E56" i="3"/>
  <c r="F56" i="3"/>
  <c r="I56" i="3"/>
  <c r="J56" i="3" s="1"/>
  <c r="K56" i="3" s="1"/>
  <c r="L56" i="3"/>
  <c r="N56" i="3" s="1"/>
  <c r="M56" i="3"/>
  <c r="S56" i="3"/>
  <c r="C57" i="3"/>
  <c r="D57" i="3"/>
  <c r="E57" i="3"/>
  <c r="F57" i="3"/>
  <c r="I57" i="3"/>
  <c r="J57" i="3" s="1"/>
  <c r="K57" i="3" s="1"/>
  <c r="P57" i="3" s="1"/>
  <c r="L57" i="3"/>
  <c r="N57" i="3" s="1"/>
  <c r="M57" i="3"/>
  <c r="S57" i="3"/>
  <c r="C58" i="3"/>
  <c r="D58" i="3"/>
  <c r="E58" i="3"/>
  <c r="F58" i="3"/>
  <c r="I58" i="3"/>
  <c r="J58" i="3" s="1"/>
  <c r="K58" i="3" s="1"/>
  <c r="L58" i="3"/>
  <c r="N58" i="3" s="1"/>
  <c r="M58" i="3"/>
  <c r="S58" i="3"/>
  <c r="C59" i="3"/>
  <c r="D59" i="3"/>
  <c r="E59" i="3"/>
  <c r="F59" i="3"/>
  <c r="I59" i="3"/>
  <c r="J59" i="3" s="1"/>
  <c r="K59" i="3" s="1"/>
  <c r="L59" i="3"/>
  <c r="N59" i="3" s="1"/>
  <c r="M59" i="3"/>
  <c r="S59" i="3"/>
  <c r="C60" i="3"/>
  <c r="D60" i="3"/>
  <c r="E60" i="3"/>
  <c r="F60" i="3"/>
  <c r="I60" i="3"/>
  <c r="J60" i="3" s="1"/>
  <c r="K60" i="3" s="1"/>
  <c r="P60" i="3" s="1"/>
  <c r="L60" i="3"/>
  <c r="N60" i="3" s="1"/>
  <c r="M60" i="3"/>
  <c r="S60" i="3"/>
  <c r="C61" i="3"/>
  <c r="D61" i="3"/>
  <c r="E61" i="3"/>
  <c r="F61" i="3"/>
  <c r="I61" i="3"/>
  <c r="J61" i="3" s="1"/>
  <c r="K61" i="3" s="1"/>
  <c r="P61" i="3" s="1"/>
  <c r="R61" i="3" s="1"/>
  <c r="L61" i="3"/>
  <c r="N61" i="3" s="1"/>
  <c r="M61" i="3"/>
  <c r="S61" i="3"/>
  <c r="C62" i="3"/>
  <c r="D62" i="3"/>
  <c r="E62" i="3"/>
  <c r="F62" i="3"/>
  <c r="I62" i="3"/>
  <c r="J62" i="3" s="1"/>
  <c r="K62" i="3" s="1"/>
  <c r="P62" i="3" s="1"/>
  <c r="L62" i="3"/>
  <c r="N62" i="3" s="1"/>
  <c r="M62" i="3"/>
  <c r="S62" i="3"/>
  <c r="C63" i="3"/>
  <c r="D63" i="3"/>
  <c r="E63" i="3"/>
  <c r="F63" i="3"/>
  <c r="I63" i="3"/>
  <c r="J63" i="3" s="1"/>
  <c r="K63" i="3" s="1"/>
  <c r="L63" i="3"/>
  <c r="N63" i="3" s="1"/>
  <c r="M63" i="3"/>
  <c r="S63" i="3"/>
  <c r="C64" i="3"/>
  <c r="D64" i="3"/>
  <c r="E64" i="3"/>
  <c r="F64" i="3"/>
  <c r="I64" i="3"/>
  <c r="J64" i="3" s="1"/>
  <c r="K64" i="3" s="1"/>
  <c r="P64" i="3" s="1"/>
  <c r="L64" i="3"/>
  <c r="N64" i="3" s="1"/>
  <c r="M64" i="3"/>
  <c r="S64" i="3"/>
  <c r="C65" i="3"/>
  <c r="D65" i="3"/>
  <c r="E65" i="3"/>
  <c r="F65" i="3"/>
  <c r="I65" i="3"/>
  <c r="J65" i="3" s="1"/>
  <c r="K65" i="3" s="1"/>
  <c r="L65" i="3"/>
  <c r="N65" i="3" s="1"/>
  <c r="M65" i="3"/>
  <c r="S65" i="3"/>
  <c r="C66" i="3"/>
  <c r="D66" i="3"/>
  <c r="E66" i="3"/>
  <c r="F66" i="3"/>
  <c r="I66" i="3"/>
  <c r="J66" i="3" s="1"/>
  <c r="K66" i="3" s="1"/>
  <c r="P66" i="3" s="1"/>
  <c r="L66" i="3"/>
  <c r="N66" i="3" s="1"/>
  <c r="M66" i="3"/>
  <c r="S66" i="3"/>
  <c r="C67" i="3"/>
  <c r="D67" i="3"/>
  <c r="E67" i="3"/>
  <c r="F67" i="3"/>
  <c r="I67" i="3"/>
  <c r="J67" i="3" s="1"/>
  <c r="K67" i="3" s="1"/>
  <c r="P67" i="3" s="1"/>
  <c r="L67" i="3"/>
  <c r="N67" i="3" s="1"/>
  <c r="M67" i="3"/>
  <c r="S67" i="3"/>
  <c r="C68" i="3"/>
  <c r="D68" i="3"/>
  <c r="E68" i="3"/>
  <c r="F68" i="3"/>
  <c r="I68" i="3"/>
  <c r="J68" i="3" s="1"/>
  <c r="K68" i="3" s="1"/>
  <c r="P68" i="3" s="1"/>
  <c r="Q68" i="3" s="1"/>
  <c r="L68" i="3"/>
  <c r="N68" i="3" s="1"/>
  <c r="M68" i="3"/>
  <c r="S68" i="3"/>
  <c r="C69" i="3"/>
  <c r="D69" i="3"/>
  <c r="E69" i="3"/>
  <c r="F69" i="3"/>
  <c r="I69" i="3"/>
  <c r="J69" i="3" s="1"/>
  <c r="K69" i="3" s="1"/>
  <c r="P69" i="3" s="1"/>
  <c r="L69" i="3"/>
  <c r="N69" i="3" s="1"/>
  <c r="M69" i="3"/>
  <c r="S69" i="3"/>
  <c r="C70" i="3"/>
  <c r="D70" i="3"/>
  <c r="E70" i="3"/>
  <c r="F70" i="3"/>
  <c r="I70" i="3"/>
  <c r="J70" i="3" s="1"/>
  <c r="K70" i="3" s="1"/>
  <c r="L70" i="3"/>
  <c r="N70" i="3" s="1"/>
  <c r="M70" i="3"/>
  <c r="S70" i="3"/>
  <c r="C71" i="3"/>
  <c r="D71" i="3"/>
  <c r="E71" i="3"/>
  <c r="F71" i="3"/>
  <c r="I71" i="3"/>
  <c r="J71" i="3" s="1"/>
  <c r="K71" i="3" s="1"/>
  <c r="L71" i="3"/>
  <c r="N71" i="3" s="1"/>
  <c r="M71" i="3"/>
  <c r="S71" i="3"/>
  <c r="C72" i="3"/>
  <c r="D72" i="3"/>
  <c r="E72" i="3"/>
  <c r="F72" i="3"/>
  <c r="I72" i="3"/>
  <c r="J72" i="3" s="1"/>
  <c r="K72" i="3" s="1"/>
  <c r="P72" i="3" s="1"/>
  <c r="L72" i="3"/>
  <c r="N72" i="3" s="1"/>
  <c r="M72" i="3"/>
  <c r="S72" i="3"/>
  <c r="C73" i="3"/>
  <c r="D73" i="3"/>
  <c r="E73" i="3"/>
  <c r="F73" i="3"/>
  <c r="I73" i="3"/>
  <c r="J73" i="3" s="1"/>
  <c r="K73" i="3" s="1"/>
  <c r="P73" i="3" s="1"/>
  <c r="R73" i="3" s="1"/>
  <c r="L73" i="3"/>
  <c r="N73" i="3" s="1"/>
  <c r="M73" i="3"/>
  <c r="S73" i="3"/>
  <c r="C74" i="3"/>
  <c r="D74" i="3"/>
  <c r="E74" i="3"/>
  <c r="F74" i="3"/>
  <c r="I74" i="3"/>
  <c r="J74" i="3" s="1"/>
  <c r="K74" i="3" s="1"/>
  <c r="P74" i="3" s="1"/>
  <c r="L74" i="3"/>
  <c r="N74" i="3" s="1"/>
  <c r="M74" i="3"/>
  <c r="S74" i="3"/>
  <c r="C75" i="3"/>
  <c r="D75" i="3"/>
  <c r="E75" i="3"/>
  <c r="F75" i="3"/>
  <c r="I75" i="3"/>
  <c r="K75" i="3" s="1"/>
  <c r="L75" i="3"/>
  <c r="N75" i="3" s="1"/>
  <c r="M75" i="3"/>
  <c r="S75" i="3"/>
  <c r="C76" i="3"/>
  <c r="D76" i="3"/>
  <c r="E76" i="3"/>
  <c r="F76" i="3"/>
  <c r="I76" i="3"/>
  <c r="K76" i="3" s="1"/>
  <c r="P76" i="3" s="1"/>
  <c r="L76" i="3"/>
  <c r="N76" i="3" s="1"/>
  <c r="M76" i="3"/>
  <c r="S76" i="3"/>
  <c r="C77" i="3"/>
  <c r="D77" i="3"/>
  <c r="E77" i="3"/>
  <c r="F77" i="3"/>
  <c r="I77" i="3"/>
  <c r="K77" i="3" s="1"/>
  <c r="L77" i="3"/>
  <c r="N77" i="3" s="1"/>
  <c r="M77" i="3"/>
  <c r="S77" i="3"/>
  <c r="C78" i="3"/>
  <c r="D78" i="3"/>
  <c r="E78" i="3"/>
  <c r="F78" i="3"/>
  <c r="I78" i="3"/>
  <c r="K78" i="3"/>
  <c r="P78" i="3" s="1"/>
  <c r="Q78" i="3" s="1"/>
  <c r="L78" i="3"/>
  <c r="N78" i="3" s="1"/>
  <c r="M78" i="3"/>
  <c r="S78" i="3"/>
  <c r="C79" i="3"/>
  <c r="D79" i="3"/>
  <c r="E79" i="3"/>
  <c r="F79" i="3"/>
  <c r="I79" i="3"/>
  <c r="K79" i="3" s="1"/>
  <c r="P79" i="3" s="1"/>
  <c r="L79" i="3"/>
  <c r="N79" i="3" s="1"/>
  <c r="M79" i="3"/>
  <c r="S79" i="3"/>
  <c r="C80" i="3"/>
  <c r="D80" i="3"/>
  <c r="E80" i="3"/>
  <c r="F80" i="3"/>
  <c r="I80" i="3"/>
  <c r="K80" i="3" s="1"/>
  <c r="P80" i="3" s="1"/>
  <c r="Q80" i="3" s="1"/>
  <c r="L80" i="3"/>
  <c r="N80" i="3" s="1"/>
  <c r="M80" i="3"/>
  <c r="S80" i="3"/>
  <c r="C81" i="3"/>
  <c r="D81" i="3"/>
  <c r="E81" i="3"/>
  <c r="F81" i="3"/>
  <c r="I81" i="3"/>
  <c r="K81" i="3" s="1"/>
  <c r="P81" i="3" s="1"/>
  <c r="L81" i="3"/>
  <c r="N81" i="3" s="1"/>
  <c r="M81" i="3"/>
  <c r="S81" i="3"/>
  <c r="C82" i="3"/>
  <c r="D82" i="3"/>
  <c r="E82" i="3"/>
  <c r="F82" i="3"/>
  <c r="I82" i="3"/>
  <c r="K82" i="3" s="1"/>
  <c r="L82" i="3"/>
  <c r="N82" i="3" s="1"/>
  <c r="M82" i="3"/>
  <c r="S82" i="3"/>
  <c r="C83" i="3"/>
  <c r="D83" i="3"/>
  <c r="E83" i="3"/>
  <c r="F83" i="3"/>
  <c r="I83" i="3"/>
  <c r="K83" i="3" s="1"/>
  <c r="L83" i="3"/>
  <c r="N83" i="3" s="1"/>
  <c r="M83" i="3"/>
  <c r="S83" i="3"/>
  <c r="C84" i="3"/>
  <c r="D84" i="3"/>
  <c r="E84" i="3"/>
  <c r="F84" i="3"/>
  <c r="I84" i="3"/>
  <c r="K84" i="3" s="1"/>
  <c r="P84" i="3" s="1"/>
  <c r="L84" i="3"/>
  <c r="N84" i="3" s="1"/>
  <c r="M84" i="3"/>
  <c r="S84" i="3"/>
  <c r="C85" i="3"/>
  <c r="D85" i="3"/>
  <c r="E85" i="3"/>
  <c r="F85" i="3"/>
  <c r="I85" i="3"/>
  <c r="K85" i="3" s="1"/>
  <c r="P85" i="3" s="1"/>
  <c r="R85" i="3" s="1"/>
  <c r="L85" i="3"/>
  <c r="N85" i="3" s="1"/>
  <c r="M85" i="3"/>
  <c r="S85" i="3"/>
  <c r="C86" i="3"/>
  <c r="D86" i="3"/>
  <c r="E86" i="3"/>
  <c r="F86" i="3"/>
  <c r="I86" i="3"/>
  <c r="K86" i="3" s="1"/>
  <c r="P86" i="3" s="1"/>
  <c r="L86" i="3"/>
  <c r="N86" i="3" s="1"/>
  <c r="M86" i="3"/>
  <c r="S86" i="3"/>
  <c r="C87" i="3"/>
  <c r="D87" i="3"/>
  <c r="E87" i="3"/>
  <c r="F87" i="3"/>
  <c r="I87" i="3"/>
  <c r="K87" i="3" s="1"/>
  <c r="L87" i="3"/>
  <c r="N87" i="3" s="1"/>
  <c r="M87" i="3"/>
  <c r="S87" i="3"/>
  <c r="C88" i="3"/>
  <c r="D88" i="3"/>
  <c r="E88" i="3"/>
  <c r="F88" i="3"/>
  <c r="I88" i="3"/>
  <c r="K88" i="3" s="1"/>
  <c r="P88" i="3" s="1"/>
  <c r="L88" i="3"/>
  <c r="N88" i="3" s="1"/>
  <c r="M88" i="3"/>
  <c r="S88" i="3"/>
  <c r="C89" i="3"/>
  <c r="D89" i="3"/>
  <c r="E89" i="3"/>
  <c r="F89" i="3"/>
  <c r="I89" i="3"/>
  <c r="K89" i="3" s="1"/>
  <c r="L89" i="3"/>
  <c r="N89" i="3" s="1"/>
  <c r="M89" i="3"/>
  <c r="S89" i="3"/>
  <c r="C90" i="3"/>
  <c r="D90" i="3"/>
  <c r="E90" i="3"/>
  <c r="F90" i="3"/>
  <c r="I90" i="3"/>
  <c r="K90" i="3" s="1"/>
  <c r="P90" i="3" s="1"/>
  <c r="L90" i="3"/>
  <c r="N90" i="3" s="1"/>
  <c r="M90" i="3"/>
  <c r="S90" i="3"/>
  <c r="C91" i="3"/>
  <c r="D91" i="3"/>
  <c r="E91" i="3"/>
  <c r="F91" i="3"/>
  <c r="I91" i="3"/>
  <c r="K91" i="3" s="1"/>
  <c r="P91" i="3" s="1"/>
  <c r="L91" i="3"/>
  <c r="N91" i="3" s="1"/>
  <c r="M91" i="3"/>
  <c r="S91" i="3"/>
  <c r="C92" i="3"/>
  <c r="D92" i="3"/>
  <c r="E92" i="3"/>
  <c r="F92" i="3"/>
  <c r="I92" i="3"/>
  <c r="K92" i="3" s="1"/>
  <c r="P92" i="3" s="1"/>
  <c r="Q92" i="3" s="1"/>
  <c r="L92" i="3"/>
  <c r="N92" i="3" s="1"/>
  <c r="M92" i="3"/>
  <c r="S92" i="3"/>
  <c r="C93" i="3"/>
  <c r="D93" i="3"/>
  <c r="E93" i="3"/>
  <c r="F93" i="3"/>
  <c r="I93" i="3"/>
  <c r="K93" i="3" s="1"/>
  <c r="P93" i="3" s="1"/>
  <c r="L93" i="3"/>
  <c r="N93" i="3" s="1"/>
  <c r="M93" i="3"/>
  <c r="S93" i="3"/>
  <c r="C94" i="3"/>
  <c r="D94" i="3"/>
  <c r="E94" i="3"/>
  <c r="F94" i="3"/>
  <c r="I94" i="3"/>
  <c r="K94" i="3" s="1"/>
  <c r="L94" i="3"/>
  <c r="N94" i="3" s="1"/>
  <c r="M94" i="3"/>
  <c r="S94" i="3"/>
  <c r="C95" i="3"/>
  <c r="D95" i="3"/>
  <c r="E95" i="3"/>
  <c r="F95" i="3"/>
  <c r="I95" i="3"/>
  <c r="K95" i="3" s="1"/>
  <c r="L95" i="3"/>
  <c r="N95" i="3" s="1"/>
  <c r="M95" i="3"/>
  <c r="S95" i="3"/>
  <c r="C96" i="3"/>
  <c r="D96" i="3"/>
  <c r="E96" i="3"/>
  <c r="F96" i="3"/>
  <c r="I96" i="3"/>
  <c r="K96" i="3" s="1"/>
  <c r="P96" i="3" s="1"/>
  <c r="L96" i="3"/>
  <c r="N96" i="3" s="1"/>
  <c r="M96" i="3"/>
  <c r="S96" i="3"/>
  <c r="C97" i="3"/>
  <c r="D97" i="3"/>
  <c r="E97" i="3"/>
  <c r="F97" i="3"/>
  <c r="I97" i="3"/>
  <c r="K97" i="3" s="1"/>
  <c r="P97" i="3" s="1"/>
  <c r="Q97" i="3" s="1"/>
  <c r="L97" i="3"/>
  <c r="N97" i="3" s="1"/>
  <c r="M97" i="3"/>
  <c r="S97" i="3"/>
  <c r="C98" i="3"/>
  <c r="D98" i="3"/>
  <c r="E98" i="3"/>
  <c r="F98" i="3"/>
  <c r="I98" i="3"/>
  <c r="K98" i="3" s="1"/>
  <c r="P98" i="3" s="1"/>
  <c r="L98" i="3"/>
  <c r="N98" i="3" s="1"/>
  <c r="M98" i="3"/>
  <c r="S98" i="3"/>
  <c r="C99" i="3"/>
  <c r="D99" i="3"/>
  <c r="E99" i="3"/>
  <c r="F99" i="3"/>
  <c r="I99" i="3"/>
  <c r="K99" i="3" s="1"/>
  <c r="P99" i="3" s="1"/>
  <c r="L99" i="3"/>
  <c r="N99" i="3" s="1"/>
  <c r="M99" i="3"/>
  <c r="S99" i="3"/>
  <c r="C100" i="3"/>
  <c r="D100" i="3"/>
  <c r="E100" i="3"/>
  <c r="F100" i="3"/>
  <c r="I100" i="3"/>
  <c r="K100" i="3" s="1"/>
  <c r="P100" i="3" s="1"/>
  <c r="Q100" i="3" s="1"/>
  <c r="L100" i="3"/>
  <c r="N100" i="3" s="1"/>
  <c r="M100" i="3"/>
  <c r="S100" i="3"/>
  <c r="C101" i="3"/>
  <c r="D101" i="3"/>
  <c r="E101" i="3"/>
  <c r="F101" i="3"/>
  <c r="I101" i="3"/>
  <c r="K101" i="3" s="1"/>
  <c r="P101" i="3" s="1"/>
  <c r="L101" i="3"/>
  <c r="N101" i="3" s="1"/>
  <c r="M101" i="3"/>
  <c r="S101" i="3"/>
  <c r="C102" i="3"/>
  <c r="D102" i="3"/>
  <c r="E102" i="3"/>
  <c r="F102" i="3"/>
  <c r="I102" i="3"/>
  <c r="K102" i="3" s="1"/>
  <c r="L102" i="3"/>
  <c r="N102" i="3" s="1"/>
  <c r="M102" i="3"/>
  <c r="S102" i="3"/>
  <c r="C103" i="3"/>
  <c r="D103" i="3"/>
  <c r="E103" i="3"/>
  <c r="F103" i="3"/>
  <c r="I103" i="3"/>
  <c r="K103" i="3" s="1"/>
  <c r="L103" i="3"/>
  <c r="N103" i="3" s="1"/>
  <c r="M103" i="3"/>
  <c r="S103" i="3"/>
  <c r="C104" i="3"/>
  <c r="D104" i="3"/>
  <c r="E104" i="3"/>
  <c r="F104" i="3"/>
  <c r="I104" i="3"/>
  <c r="K104" i="3" s="1"/>
  <c r="P104" i="3" s="1"/>
  <c r="L104" i="3"/>
  <c r="N104" i="3" s="1"/>
  <c r="M104" i="3"/>
  <c r="S104" i="3"/>
  <c r="C105" i="3"/>
  <c r="D105" i="3"/>
  <c r="E105" i="3"/>
  <c r="F105" i="3"/>
  <c r="I105" i="3"/>
  <c r="K105" i="3" s="1"/>
  <c r="P105" i="3" s="1"/>
  <c r="Q105" i="3" s="1"/>
  <c r="L105" i="3"/>
  <c r="N105" i="3" s="1"/>
  <c r="M105" i="3"/>
  <c r="S105" i="3"/>
  <c r="C106" i="3"/>
  <c r="D106" i="3"/>
  <c r="E106" i="3"/>
  <c r="F106" i="3"/>
  <c r="I106" i="3"/>
  <c r="K106" i="3"/>
  <c r="P106" i="3" s="1"/>
  <c r="L106" i="3"/>
  <c r="N106" i="3" s="1"/>
  <c r="M106" i="3"/>
  <c r="S106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M3" i="3"/>
  <c r="L3" i="3"/>
  <c r="E3" i="3"/>
  <c r="C3" i="3"/>
  <c r="I3" i="3"/>
  <c r="D3" i="3"/>
  <c r="A3" i="3"/>
  <c r="B4" i="2"/>
  <c r="C4" i="2"/>
  <c r="D4" i="2"/>
  <c r="E4" i="2"/>
  <c r="H4" i="2"/>
  <c r="J4" i="2" s="1"/>
  <c r="K4" i="2"/>
  <c r="M4" i="2" s="1"/>
  <c r="L4" i="2"/>
  <c r="R4" i="2"/>
  <c r="B5" i="2"/>
  <c r="C5" i="2"/>
  <c r="D5" i="2"/>
  <c r="E5" i="2"/>
  <c r="H5" i="2"/>
  <c r="J5" i="2" s="1"/>
  <c r="O5" i="2" s="1"/>
  <c r="K5" i="2"/>
  <c r="M5" i="2" s="1"/>
  <c r="L5" i="2"/>
  <c r="R5" i="2"/>
  <c r="B6" i="2"/>
  <c r="C6" i="2"/>
  <c r="D6" i="2"/>
  <c r="E6" i="2"/>
  <c r="H6" i="2"/>
  <c r="J6" i="2" s="1"/>
  <c r="K6" i="2"/>
  <c r="M6" i="2" s="1"/>
  <c r="L6" i="2"/>
  <c r="R6" i="2"/>
  <c r="B7" i="2"/>
  <c r="C7" i="2"/>
  <c r="D7" i="2"/>
  <c r="E7" i="2"/>
  <c r="H7" i="2"/>
  <c r="J7" i="2" s="1"/>
  <c r="K7" i="2"/>
  <c r="M7" i="2" s="1"/>
  <c r="L7" i="2"/>
  <c r="R7" i="2"/>
  <c r="B8" i="2"/>
  <c r="C8" i="2"/>
  <c r="D8" i="2"/>
  <c r="E8" i="2"/>
  <c r="H8" i="2"/>
  <c r="J8" i="2" s="1"/>
  <c r="O8" i="2" s="1"/>
  <c r="K8" i="2"/>
  <c r="M8" i="2" s="1"/>
  <c r="L8" i="2"/>
  <c r="R8" i="2"/>
  <c r="B9" i="2"/>
  <c r="C9" i="2"/>
  <c r="D9" i="2"/>
  <c r="E9" i="2"/>
  <c r="H9" i="2"/>
  <c r="J9" i="2" s="1"/>
  <c r="O9" i="2" s="1"/>
  <c r="K9" i="2"/>
  <c r="M9" i="2" s="1"/>
  <c r="L9" i="2"/>
  <c r="R9" i="2"/>
  <c r="B10" i="2"/>
  <c r="C10" i="2"/>
  <c r="D10" i="2"/>
  <c r="E10" i="2"/>
  <c r="H10" i="2"/>
  <c r="K10" i="2"/>
  <c r="M10" i="2" s="1"/>
  <c r="L10" i="2"/>
  <c r="B11" i="2"/>
  <c r="C11" i="2"/>
  <c r="D11" i="2"/>
  <c r="E11" i="2"/>
  <c r="H11" i="2"/>
  <c r="I11" i="2" s="1"/>
  <c r="J11" i="2" s="1"/>
  <c r="O11" i="2" s="1"/>
  <c r="K11" i="2"/>
  <c r="M11" i="2" s="1"/>
  <c r="L11" i="2"/>
  <c r="B12" i="2"/>
  <c r="C12" i="2"/>
  <c r="D12" i="2"/>
  <c r="E12" i="2"/>
  <c r="H12" i="2"/>
  <c r="I12" i="2" s="1"/>
  <c r="J12" i="2" s="1"/>
  <c r="O12" i="2" s="1"/>
  <c r="K12" i="2"/>
  <c r="M12" i="2" s="1"/>
  <c r="L12" i="2"/>
  <c r="R12" i="2"/>
  <c r="B13" i="2"/>
  <c r="C13" i="2"/>
  <c r="D13" i="2"/>
  <c r="E13" i="2"/>
  <c r="H13" i="2"/>
  <c r="J13" i="2" s="1"/>
  <c r="K13" i="2"/>
  <c r="M13" i="2" s="1"/>
  <c r="L13" i="2"/>
  <c r="R13" i="2"/>
  <c r="B14" i="2"/>
  <c r="C14" i="2"/>
  <c r="D14" i="2"/>
  <c r="E14" i="2"/>
  <c r="H14" i="2"/>
  <c r="J14" i="2" s="1"/>
  <c r="O14" i="2" s="1"/>
  <c r="K14" i="2"/>
  <c r="M14" i="2" s="1"/>
  <c r="L14" i="2"/>
  <c r="R14" i="2"/>
  <c r="B15" i="2"/>
  <c r="C15" i="2"/>
  <c r="D15" i="2"/>
  <c r="E15" i="2"/>
  <c r="H15" i="2"/>
  <c r="I15" i="2" s="1"/>
  <c r="J15" i="2" s="1"/>
  <c r="K15" i="2"/>
  <c r="M15" i="2" s="1"/>
  <c r="L15" i="2"/>
  <c r="R15" i="2"/>
  <c r="B16" i="2"/>
  <c r="C16" i="2"/>
  <c r="D16" i="2"/>
  <c r="E16" i="2"/>
  <c r="H16" i="2"/>
  <c r="J16" i="2" s="1"/>
  <c r="K16" i="2"/>
  <c r="M16" i="2" s="1"/>
  <c r="L16" i="2"/>
  <c r="R16" i="2"/>
  <c r="B17" i="2"/>
  <c r="C17" i="2"/>
  <c r="D17" i="2"/>
  <c r="E17" i="2"/>
  <c r="H17" i="2"/>
  <c r="I17" i="2" s="1"/>
  <c r="J17" i="2" s="1"/>
  <c r="K17" i="2"/>
  <c r="M17" i="2" s="1"/>
  <c r="L17" i="2"/>
  <c r="R17" i="2"/>
  <c r="B18" i="2"/>
  <c r="C18" i="2"/>
  <c r="D18" i="2"/>
  <c r="E18" i="2"/>
  <c r="H18" i="2"/>
  <c r="I18" i="2" s="1"/>
  <c r="J18" i="2" s="1"/>
  <c r="K18" i="2"/>
  <c r="M18" i="2" s="1"/>
  <c r="L18" i="2"/>
  <c r="R18" i="2"/>
  <c r="B19" i="2"/>
  <c r="C19" i="2"/>
  <c r="D19" i="2"/>
  <c r="E19" i="2"/>
  <c r="H19" i="2"/>
  <c r="I19" i="2" s="1"/>
  <c r="J19" i="2" s="1"/>
  <c r="O19" i="2" s="1"/>
  <c r="K19" i="2"/>
  <c r="M19" i="2" s="1"/>
  <c r="L19" i="2"/>
  <c r="R19" i="2"/>
  <c r="B20" i="2"/>
  <c r="C20" i="2"/>
  <c r="D20" i="2"/>
  <c r="E20" i="2"/>
  <c r="H20" i="2"/>
  <c r="I20" i="2" s="1"/>
  <c r="J20" i="2" s="1"/>
  <c r="O20" i="2" s="1"/>
  <c r="K20" i="2"/>
  <c r="M20" i="2" s="1"/>
  <c r="L20" i="2"/>
  <c r="R20" i="2"/>
  <c r="B21" i="2"/>
  <c r="C21" i="2"/>
  <c r="D21" i="2"/>
  <c r="E21" i="2"/>
  <c r="H21" i="2"/>
  <c r="J21" i="2" s="1"/>
  <c r="O21" i="2" s="1"/>
  <c r="K21" i="2"/>
  <c r="M21" i="2" s="1"/>
  <c r="L21" i="2"/>
  <c r="R21" i="2"/>
  <c r="L3" i="2"/>
  <c r="K3" i="2"/>
  <c r="D3" i="2"/>
  <c r="B3" i="2"/>
  <c r="H3" i="2"/>
  <c r="C3" i="2"/>
  <c r="O62" i="3" l="1"/>
  <c r="O52" i="3"/>
  <c r="R10" i="2"/>
  <c r="I10" i="2"/>
  <c r="J10" i="2" s="1"/>
  <c r="F1" i="2"/>
  <c r="G1" i="3"/>
  <c r="O92" i="3"/>
  <c r="R11" i="2"/>
  <c r="O95" i="3"/>
  <c r="O34" i="3"/>
  <c r="O14" i="3"/>
  <c r="O10" i="3"/>
  <c r="O59" i="3"/>
  <c r="O20" i="3"/>
  <c r="N21" i="2"/>
  <c r="Q93" i="3"/>
  <c r="R93" i="3"/>
  <c r="O100" i="3"/>
  <c r="R92" i="3"/>
  <c r="P95" i="3"/>
  <c r="O93" i="3"/>
  <c r="O86" i="3"/>
  <c r="O50" i="3"/>
  <c r="O43" i="3"/>
  <c r="Q104" i="3"/>
  <c r="R104" i="3"/>
  <c r="Q90" i="3"/>
  <c r="R90" i="3"/>
  <c r="O103" i="3"/>
  <c r="P103" i="3"/>
  <c r="O105" i="3"/>
  <c r="O96" i="3"/>
  <c r="O55" i="3"/>
  <c r="O42" i="3"/>
  <c r="O41" i="3"/>
  <c r="O104" i="3"/>
  <c r="O36" i="3"/>
  <c r="O12" i="3"/>
  <c r="O106" i="3"/>
  <c r="R100" i="3"/>
  <c r="O98" i="3"/>
  <c r="O73" i="3"/>
  <c r="O5" i="3"/>
  <c r="O90" i="3"/>
  <c r="O54" i="3"/>
  <c r="O101" i="3"/>
  <c r="O85" i="3"/>
  <c r="O74" i="3"/>
  <c r="O38" i="3"/>
  <c r="O76" i="3"/>
  <c r="O60" i="3"/>
  <c r="P59" i="3"/>
  <c r="R59" i="3" s="1"/>
  <c r="O24" i="3"/>
  <c r="O78" i="3"/>
  <c r="R68" i="3"/>
  <c r="O67" i="3"/>
  <c r="O32" i="3"/>
  <c r="O17" i="3"/>
  <c r="O49" i="3"/>
  <c r="O33" i="3"/>
  <c r="O26" i="3"/>
  <c r="O47" i="3"/>
  <c r="O83" i="3"/>
  <c r="O71" i="3"/>
  <c r="O102" i="3"/>
  <c r="P102" i="3"/>
  <c r="R98" i="3"/>
  <c r="Q98" i="3"/>
  <c r="Q99" i="3"/>
  <c r="R99" i="3"/>
  <c r="Q96" i="3"/>
  <c r="R96" i="3"/>
  <c r="O37" i="3"/>
  <c r="P37" i="3"/>
  <c r="Q29" i="3"/>
  <c r="R29" i="3"/>
  <c r="P28" i="3"/>
  <c r="O28" i="3"/>
  <c r="Q9" i="3"/>
  <c r="R9" i="3"/>
  <c r="O88" i="3"/>
  <c r="Q73" i="3"/>
  <c r="O72" i="3"/>
  <c r="P71" i="3"/>
  <c r="O69" i="3"/>
  <c r="O68" i="3"/>
  <c r="Q67" i="3"/>
  <c r="R67" i="3"/>
  <c r="O57" i="3"/>
  <c r="O53" i="3"/>
  <c r="P53" i="3"/>
  <c r="O39" i="3"/>
  <c r="Q38" i="3"/>
  <c r="R38" i="3"/>
  <c r="O21" i="3"/>
  <c r="Q20" i="3"/>
  <c r="R20" i="3"/>
  <c r="Q10" i="3"/>
  <c r="R10" i="3"/>
  <c r="O91" i="3"/>
  <c r="Q86" i="3"/>
  <c r="R86" i="3"/>
  <c r="Q61" i="3"/>
  <c r="Q59" i="3"/>
  <c r="Q55" i="3"/>
  <c r="R55" i="3"/>
  <c r="Q50" i="3"/>
  <c r="R50" i="3"/>
  <c r="O30" i="3"/>
  <c r="P30" i="3"/>
  <c r="O22" i="3"/>
  <c r="Q12" i="3"/>
  <c r="R12" i="3"/>
  <c r="Q81" i="3"/>
  <c r="R81" i="3"/>
  <c r="Q72" i="3"/>
  <c r="R72" i="3"/>
  <c r="Q69" i="3"/>
  <c r="R69" i="3"/>
  <c r="Q57" i="3"/>
  <c r="R57" i="3"/>
  <c r="Q39" i="3"/>
  <c r="R39" i="3"/>
  <c r="O31" i="3"/>
  <c r="P31" i="3"/>
  <c r="Q21" i="3"/>
  <c r="R21" i="3"/>
  <c r="O13" i="3"/>
  <c r="P13" i="3"/>
  <c r="O11" i="3"/>
  <c r="P11" i="3"/>
  <c r="Q91" i="3"/>
  <c r="R91" i="3"/>
  <c r="O87" i="3"/>
  <c r="P87" i="3"/>
  <c r="O70" i="3"/>
  <c r="P70" i="3"/>
  <c r="O61" i="3"/>
  <c r="Q60" i="3"/>
  <c r="R60" i="3"/>
  <c r="O58" i="3"/>
  <c r="P58" i="3"/>
  <c r="O56" i="3"/>
  <c r="P56" i="3"/>
  <c r="O51" i="3"/>
  <c r="P51" i="3"/>
  <c r="Q22" i="3"/>
  <c r="R22" i="3"/>
  <c r="O15" i="3"/>
  <c r="Q84" i="3"/>
  <c r="R84" i="3"/>
  <c r="O94" i="3"/>
  <c r="P94" i="3"/>
  <c r="O99" i="3"/>
  <c r="Q88" i="3"/>
  <c r="R88" i="3"/>
  <c r="Q41" i="3"/>
  <c r="R41" i="3"/>
  <c r="P40" i="3"/>
  <c r="O40" i="3"/>
  <c r="Q32" i="3"/>
  <c r="R32" i="3"/>
  <c r="Q24" i="3"/>
  <c r="R24" i="3"/>
  <c r="Q14" i="3"/>
  <c r="R14" i="3"/>
  <c r="Q5" i="3"/>
  <c r="R5" i="3"/>
  <c r="P4" i="3"/>
  <c r="O4" i="3"/>
  <c r="Q48" i="3"/>
  <c r="R48" i="3"/>
  <c r="Q74" i="3"/>
  <c r="R74" i="3"/>
  <c r="O64" i="3"/>
  <c r="O25" i="3"/>
  <c r="P25" i="3"/>
  <c r="O23" i="3"/>
  <c r="P23" i="3"/>
  <c r="Q15" i="3"/>
  <c r="R15" i="3"/>
  <c r="O6" i="3"/>
  <c r="P6" i="3"/>
  <c r="Q106" i="3"/>
  <c r="R106" i="3"/>
  <c r="Q66" i="3"/>
  <c r="R66" i="3"/>
  <c r="Q45" i="3"/>
  <c r="R45" i="3"/>
  <c r="R80" i="3"/>
  <c r="R97" i="3"/>
  <c r="O79" i="3"/>
  <c r="Q62" i="3"/>
  <c r="R62" i="3"/>
  <c r="Q42" i="3"/>
  <c r="R42" i="3"/>
  <c r="Q33" i="3"/>
  <c r="R33" i="3"/>
  <c r="O82" i="3"/>
  <c r="P82" i="3"/>
  <c r="O77" i="3"/>
  <c r="P77" i="3"/>
  <c r="O75" i="3"/>
  <c r="P75" i="3"/>
  <c r="Q43" i="3"/>
  <c r="R43" i="3"/>
  <c r="Q34" i="3"/>
  <c r="R34" i="3"/>
  <c r="O27" i="3"/>
  <c r="Q26" i="3"/>
  <c r="R26" i="3"/>
  <c r="Q17" i="3"/>
  <c r="R17" i="3"/>
  <c r="P16" i="3"/>
  <c r="O16" i="3"/>
  <c r="O7" i="3"/>
  <c r="P7" i="3"/>
  <c r="O19" i="3"/>
  <c r="P19" i="3"/>
  <c r="O46" i="3"/>
  <c r="P46" i="3"/>
  <c r="O89" i="3"/>
  <c r="P89" i="3"/>
  <c r="R105" i="3"/>
  <c r="Q85" i="3"/>
  <c r="O84" i="3"/>
  <c r="P83" i="3"/>
  <c r="O81" i="3"/>
  <c r="O80" i="3"/>
  <c r="Q79" i="3"/>
  <c r="R79" i="3"/>
  <c r="Q76" i="3"/>
  <c r="R76" i="3"/>
  <c r="O66" i="3"/>
  <c r="O65" i="3"/>
  <c r="P65" i="3"/>
  <c r="O63" i="3"/>
  <c r="P63" i="3"/>
  <c r="Q49" i="3"/>
  <c r="O45" i="3"/>
  <c r="Q101" i="3"/>
  <c r="R101" i="3"/>
  <c r="O97" i="3"/>
  <c r="Q64" i="3"/>
  <c r="R64" i="3"/>
  <c r="O48" i="3"/>
  <c r="Q47" i="3"/>
  <c r="R47" i="3"/>
  <c r="O44" i="3"/>
  <c r="P44" i="3"/>
  <c r="Q36" i="3"/>
  <c r="R36" i="3"/>
  <c r="O35" i="3"/>
  <c r="P35" i="3"/>
  <c r="O29" i="3"/>
  <c r="Q27" i="3"/>
  <c r="R27" i="3"/>
  <c r="O18" i="3"/>
  <c r="P18" i="3"/>
  <c r="O9" i="3"/>
  <c r="O8" i="3"/>
  <c r="P8" i="3"/>
  <c r="R52" i="3"/>
  <c r="R78" i="3"/>
  <c r="R54" i="3"/>
  <c r="N12" i="2"/>
  <c r="N20" i="2"/>
  <c r="N5" i="2"/>
  <c r="N14" i="2"/>
  <c r="N11" i="2"/>
  <c r="P11" i="2"/>
  <c r="Q11" i="2"/>
  <c r="Q8" i="2"/>
  <c r="P8" i="2"/>
  <c r="O4" i="2"/>
  <c r="N4" i="2"/>
  <c r="P9" i="2"/>
  <c r="Q9" i="2"/>
  <c r="N15" i="2"/>
  <c r="O15" i="2"/>
  <c r="P5" i="2"/>
  <c r="Q5" i="2"/>
  <c r="P21" i="2"/>
  <c r="Q21" i="2"/>
  <c r="N13" i="2"/>
  <c r="O13" i="2"/>
  <c r="O16" i="2"/>
  <c r="N16" i="2"/>
  <c r="P12" i="2"/>
  <c r="Q12" i="2"/>
  <c r="N17" i="2"/>
  <c r="O17" i="2"/>
  <c r="N6" i="2"/>
  <c r="O6" i="2"/>
  <c r="P19" i="2"/>
  <c r="Q19" i="2"/>
  <c r="P20" i="2"/>
  <c r="Q20" i="2"/>
  <c r="P14" i="2"/>
  <c r="Q14" i="2"/>
  <c r="N19" i="2"/>
  <c r="N8" i="2"/>
  <c r="N7" i="2"/>
  <c r="O7" i="2"/>
  <c r="N18" i="2"/>
  <c r="O18" i="2"/>
  <c r="N9" i="2"/>
  <c r="R3" i="2"/>
  <c r="M3" i="2"/>
  <c r="O10" i="2" l="1"/>
  <c r="N10" i="2"/>
  <c r="Q95" i="3"/>
  <c r="R95" i="3"/>
  <c r="R103" i="3"/>
  <c r="Q103" i="3"/>
  <c r="Q6" i="3"/>
  <c r="R6" i="3"/>
  <c r="Q40" i="3"/>
  <c r="R40" i="3"/>
  <c r="R87" i="3"/>
  <c r="Q87" i="3"/>
  <c r="Q19" i="3"/>
  <c r="R19" i="3"/>
  <c r="Q56" i="3"/>
  <c r="R56" i="3"/>
  <c r="Q11" i="3"/>
  <c r="R11" i="3"/>
  <c r="Q71" i="3"/>
  <c r="R71" i="3"/>
  <c r="Q58" i="3"/>
  <c r="R58" i="3"/>
  <c r="Q16" i="3"/>
  <c r="R16" i="3"/>
  <c r="R25" i="3"/>
  <c r="Q25" i="3"/>
  <c r="R94" i="3"/>
  <c r="Q94" i="3"/>
  <c r="R13" i="3"/>
  <c r="Q13" i="3"/>
  <c r="Q75" i="3"/>
  <c r="R75" i="3"/>
  <c r="Q23" i="3"/>
  <c r="R23" i="3"/>
  <c r="Q63" i="3"/>
  <c r="R63" i="3"/>
  <c r="Q82" i="3"/>
  <c r="R82" i="3"/>
  <c r="Q18" i="3"/>
  <c r="R18" i="3"/>
  <c r="Q89" i="3"/>
  <c r="R89" i="3"/>
  <c r="Q35" i="3"/>
  <c r="R35" i="3"/>
  <c r="Q30" i="3"/>
  <c r="R30" i="3"/>
  <c r="Q4" i="3"/>
  <c r="R4" i="3"/>
  <c r="Q8" i="3"/>
  <c r="R8" i="3"/>
  <c r="Q65" i="3"/>
  <c r="R65" i="3"/>
  <c r="Q53" i="3"/>
  <c r="R53" i="3"/>
  <c r="Q7" i="3"/>
  <c r="R7" i="3"/>
  <c r="R37" i="3"/>
  <c r="Q37" i="3"/>
  <c r="R44" i="3"/>
  <c r="Q44" i="3"/>
  <c r="Q46" i="3"/>
  <c r="R46" i="3"/>
  <c r="Q70" i="3"/>
  <c r="R70" i="3"/>
  <c r="Q31" i="3"/>
  <c r="R31" i="3"/>
  <c r="R102" i="3"/>
  <c r="Q102" i="3"/>
  <c r="Q51" i="3"/>
  <c r="R51" i="3"/>
  <c r="Q83" i="3"/>
  <c r="R83" i="3"/>
  <c r="Q77" i="3"/>
  <c r="R77" i="3"/>
  <c r="Q28" i="3"/>
  <c r="R28" i="3"/>
  <c r="P16" i="2"/>
  <c r="Q16" i="2"/>
  <c r="P4" i="2"/>
  <c r="Q4" i="2"/>
  <c r="Q13" i="2"/>
  <c r="P13" i="2"/>
  <c r="P6" i="2"/>
  <c r="Q6" i="2"/>
  <c r="P18" i="2"/>
  <c r="Q18" i="2"/>
  <c r="P7" i="2"/>
  <c r="Q7" i="2"/>
  <c r="Q17" i="2"/>
  <c r="P17" i="2"/>
  <c r="P15" i="2"/>
  <c r="Q15" i="2"/>
  <c r="F3" i="3"/>
  <c r="N2" i="9"/>
  <c r="E3" i="2" s="1"/>
  <c r="P10" i="2" l="1"/>
  <c r="Q10" i="2"/>
  <c r="J3" i="2"/>
  <c r="K3" i="3"/>
  <c r="O3" i="3" l="1"/>
  <c r="P3" i="3"/>
  <c r="Q3" i="3" s="1"/>
  <c r="Q1" i="3" s="1"/>
  <c r="N3" i="2"/>
  <c r="O3" i="2"/>
  <c r="S3" i="3"/>
  <c r="S1" i="3" s="1"/>
  <c r="N3" i="3"/>
  <c r="R1" i="2"/>
  <c r="P3" i="2" l="1"/>
  <c r="P1" i="2" s="1"/>
  <c r="Q3" i="2"/>
  <c r="Q1" i="2" s="1"/>
  <c r="R3" i="3"/>
  <c r="R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FD82EA2-8335-44AE-9A51-134501E54FE9}" keepAlive="1" name="Запрос — вихур" description="Соединение с запросом &quot;вихур&quot; в книге." type="5" refreshedVersion="7" background="1" saveData="1">
    <dbPr connection="Provider=Microsoft.Mashup.OleDb.1;Data Source=$Workbook$;Location=вихур;Extended Properties=&quot;&quot;" command="SELECT * FROM [вихур]"/>
  </connection>
</connections>
</file>

<file path=xl/sharedStrings.xml><?xml version="1.0" encoding="utf-8"?>
<sst xmlns="http://schemas.openxmlformats.org/spreadsheetml/2006/main" count="1335" uniqueCount="219">
  <si>
    <t>Розница</t>
  </si>
  <si>
    <t>Факт</t>
  </si>
  <si>
    <t>%</t>
  </si>
  <si>
    <t>Рек</t>
  </si>
  <si>
    <t>MR</t>
  </si>
  <si>
    <t>ID</t>
  </si>
  <si>
    <t>Наименование</t>
  </si>
  <si>
    <t>Поставщик</t>
  </si>
  <si>
    <t>Закуп</t>
  </si>
  <si>
    <t>Ст З</t>
  </si>
  <si>
    <t>Ст Р</t>
  </si>
  <si>
    <t>Разн</t>
  </si>
  <si>
    <t>1</t>
  </si>
  <si>
    <t>Наименование элемента</t>
  </si>
  <si>
    <t>Код</t>
  </si>
  <si>
    <t>Элемент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</si>
  <si>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</si>
  <si>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</si>
  <si>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</si>
  <si>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</si>
  <si>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</si>
  <si>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</si>
  <si>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Под заказ</t>
  </si>
  <si>
    <t>Боковые накладки, чёрные для Лада Нива 4x4</t>
  </si>
  <si>
    <t>Y</t>
  </si>
  <si>
    <t>вихур</t>
  </si>
  <si>
    <t>2</t>
  </si>
  <si>
    <t>Воздухозаборник на капот двухсторонний для Лада Нива 4х4</t>
  </si>
  <si>
    <t>Губа Вихур шагрень "отверстия" для ВАЗ 2101-2107</t>
  </si>
  <si>
    <t>https://motorring.ru/product/4247-guba-vihur-perednego-fartuka-dlya-vaz-2101-2107</t>
  </si>
  <si>
    <t>Спойлер "4 ребра" неокрашенный (шагрень) для ВАЗ 2105, 2107</t>
  </si>
  <si>
    <t>Спойлер "4 ребра" неокрашенный для ВАЗ 2105, 2107</t>
  </si>
  <si>
    <t>Спойлер "AVR" для ВАЗ 2101, 2103, 2105-2107</t>
  </si>
  <si>
    <t>Спойлер "AVR" неокрашенный для ВАЗ 2105, 2107</t>
  </si>
  <si>
    <t>Спойлер "AVR" шагрень для ВАЗ 2101, 2103, 2105-2107</t>
  </si>
  <si>
    <t>Спойлер "DAONTAXE" шагрень для ВАЗ 2101, 2103, 2105-2107</t>
  </si>
  <si>
    <t>Спойлер "Drift Spec" для ВАЗ 2105, 2107</t>
  </si>
  <si>
    <t>Спойлер "VFTS" шагрень для ВАЗ 2101, 2103, 2105, 2106</t>
  </si>
  <si>
    <t>Спойлер "VFTS" Шагрень для ВАЗ 2105, 2107</t>
  </si>
  <si>
    <t>Спойлер "Снайпер" для ВАЗ 2101, 2103, 2105-2107</t>
  </si>
  <si>
    <t>Спойлер "Узкий" без выреза под личинку, для ВАЗ 2105, 2107</t>
  </si>
  <si>
    <t>Спойлер длинный хвост для ВАЗ 2101, 2103, 2105-2107</t>
  </si>
  <si>
    <t>111101</t>
  </si>
  <si>
    <t>Спойлер Снайпер шагрень для ВАЗ 2101, 2103, 2105-2107</t>
  </si>
  <si>
    <t>Спойлер Файтер для ВАЗ 2105, 2107</t>
  </si>
  <si>
    <t>Спойлер Файтер шагрень для ВАЗ 2105, 2107</t>
  </si>
  <si>
    <t>Универсальный лип-спойлер "Sal-Man" (чёрный, с подсветкой) на крышку багажника</t>
  </si>
  <si>
    <t>01193</t>
  </si>
  <si>
    <t>Элемент каталога</t>
  </si>
  <si>
    <t>Код товара</t>
  </si>
  <si>
    <t>Ссылка</t>
  </si>
  <si>
    <t>Ряд</t>
  </si>
  <si>
    <t>Губа "Вихур" с отверстиями гладкая для ВАЗ 2101-2107</t>
  </si>
  <si>
    <t>Губа "Вихур" с отверстиями гладкая для ВАЗ 2101-2107 (Без покраски)</t>
  </si>
  <si>
    <t>111038</t>
  </si>
  <si>
    <t>Губа (юбка) "МСА Team" гладкая для ВАЗ 2101-2107</t>
  </si>
  <si>
    <t>Губа (юбка) "МСА Team" гладкая для ВАЗ 2101-2107 (Без покраски)</t>
  </si>
  <si>
    <t>https://motorring.ru/product/34362-yubka-guba-mca-dlya-vaz-2101-2107;https://tuningprosto.ru/shop/kuzovnoj-plastik/rastyazhki_rasporki/yubka_vaz_2105_2107_msa_team/?sphrase_id=97120</t>
  </si>
  <si>
    <t>Губа (юбка) гладкая Ken Mary Style для ВАЗ 2101-2107</t>
  </si>
  <si>
    <t>Губа (юбка) гладкая Ken Mary Style для ВАЗ 2101-2107 (Без покраски)</t>
  </si>
  <si>
    <t>111039</t>
  </si>
  <si>
    <t>Губа Вихур сплошная гладкая для ВАЗ 2101-2107</t>
  </si>
  <si>
    <t>Губа Вихур сплошная гладкая для ВАЗ 2101-2107 (Без покраски)</t>
  </si>
  <si>
    <t>Губа Вихур сплошная шагрень для ВАЗ 2101-2107</t>
  </si>
  <si>
    <t>Губа Вихур сплошная шагрень для ВАЗ 2101-2107 (Без покраски)</t>
  </si>
  <si>
    <t>Решетка "шторка" на заднее стекло (текстура шагрень) для ВАЗ 2101, 2103, 2105-2107</t>
  </si>
  <si>
    <t>Решетка "шторка" на заднее стекло (текстура шагрень) для ВАЗ 2101, 2103, 2105-2107 (Без покраски)</t>
  </si>
  <si>
    <t>111100</t>
  </si>
  <si>
    <t>Спойлер "VFTS" с заходом на замок гладкий для ВАЗ 2105, 2107</t>
  </si>
  <si>
    <t>Спойлер "VFTS" с заходом на замок гладкий для ВАЗ 2105, 2107 (Без покраски)</t>
  </si>
  <si>
    <t>Спойлер "VFTS" с заходом на замок гладкий для ВАЗ 2105, 2107 (В цвет кузова, Уточнить у менеджера)</t>
  </si>
  <si>
    <t>N</t>
  </si>
  <si>
    <t>Спойлер "VFTS" с заходом на замок гладкий для ВАЗ 2105, 2107 (В цвет, Атлантика (фиолетовый, 440))</t>
  </si>
  <si>
    <t>Спойлер "VFTS" с заходом на замок гладкий для ВАЗ 2105, 2107 (В цвет, Баклажан (темно-фиолетовый, 107))</t>
  </si>
  <si>
    <t>Спойлер "VFTS" с заходом на замок гладкий для ВАЗ 2105, 2107 (В цвет, Балтика (темно-сине-зеленый, 420))</t>
  </si>
  <si>
    <t>Спойлер "VFTS" с заходом на замок гладкий для ВАЗ 2105, 2107 (В цвет, Вишня (темно-красный, 127))</t>
  </si>
  <si>
    <t>Спойлер "VFTS" с заходом на замок гладкий для ВАЗ 2105, 2107 (В цвет, Голубая планета (сине-голубой, 418))</t>
  </si>
  <si>
    <t>Спойлер "VFTS" с заходом на замок гладкий для ВАЗ 2105, 2107 (В цвет, Гранат (темно-бордовый, 180))</t>
  </si>
  <si>
    <t>Спойлер "VFTS" с заходом на замок гладкий для ВАЗ 2105, 2107 (В цвет, Игуана (серебристо-ярко-зеленый, 311))</t>
  </si>
  <si>
    <t>Спойлер "VFTS" с заходом на замок гладкий для ВАЗ 2105, 2107 (В цвет, Индиго (темно-синий, 441))</t>
  </si>
  <si>
    <t>Спойлер "VFTS" с заходом на замок гладкий для ВАЗ 2105, 2107 (В цвет, Искра (красный, 128))</t>
  </si>
  <si>
    <t>Спойлер "VFTS" с заходом на замок гладкий для ВАЗ 2105, 2107 (В цвет, Калифорнийский мак (золотисто-красный, 190))</t>
  </si>
  <si>
    <t>Спойлер "VFTS" с заходом на замок гладкий для ВАЗ 2105, 2107 (В цвет, Кварц (серый, 630))</t>
  </si>
  <si>
    <t>Спойлер "VFTS" с заходом на замок гладкий для ВАЗ 2105, 2107 (В цвет, Кориандр (золотисто-коричневый, 790))</t>
  </si>
  <si>
    <t>Спойлер "VFTS" с заходом на замок гладкий для ВАЗ 2105, 2107 (В цвет, Космос (черный, 665))</t>
  </si>
  <si>
    <t>Спойлер "VFTS" с заходом на замок гладкий для ВАЗ 2105, 2107 (В цвет, Красный перец (красно-коричневый, 106))</t>
  </si>
  <si>
    <t>Спойлер "VFTS" с заходом на замок гладкий для ВАЗ 2105, 2107 (В цвет, Майя (серебристый темно-бордовый, 120))</t>
  </si>
  <si>
    <t>Спойлер "VFTS" с заходом на замок гладкий для ВАЗ 2105, 2107 (В цвет, Мокрый асфальт (серебристый стальной, 626))</t>
  </si>
  <si>
    <t>Спойлер "VFTS" с заходом на замок гладкий для ВАЗ 2105, 2107 (В цвет, Морская пучина (темно-зеленый, 325))</t>
  </si>
  <si>
    <t>Спойлер "VFTS" с заходом на замок гладкий для ВАЗ 2105, 2107 (В цвет, Мурена (сине-зеленый, 377))</t>
  </si>
  <si>
    <t>Спойлер "VFTS" с заходом на замок гладкий для ВАЗ 2105, 2107 (В цвет, Мускари (темно синий, 426))</t>
  </si>
  <si>
    <t>Спойлер "VFTS" с заходом на замок гладкий для ВАЗ 2105, 2107 (В цвет, Нарцисс (желтый, 223))</t>
  </si>
  <si>
    <t>Спойлер "VFTS" с заходом на замок гладкий для ВАЗ 2105, 2107 (В цвет, Наутилус (темно-зеленый, 304))</t>
  </si>
  <si>
    <t>Спойлер "VFTS" с заходом на замок гладкий для ВАЗ 2105, 2107 (В цвет, Персей (темно-синий, 429))</t>
  </si>
  <si>
    <t>Спойлер "VFTS" с заходом на замок гладкий для ВАЗ 2105, 2107 (В цвет, Петергоф (серо-зеленоватый, 404))</t>
  </si>
  <si>
    <t>Спойлер "VFTS" с заходом на замок гладкий для ВАЗ 2105, 2107 (В цвет, Портвейн (темно-вишневый металлик, 192))</t>
  </si>
  <si>
    <t>Спойлер "VFTS" с заходом на замок гладкий для ВАЗ 2105, 2107 (В цвет, Престиж (серебристо-темно-синий, 605))</t>
  </si>
  <si>
    <t>Спойлер "VFTS" с заходом на замок гладкий для ВАЗ 2105, 2107 (В цвет, Романс (темно-красный, 182))</t>
  </si>
  <si>
    <t>Спойлер "VFTS" с заходом на замок гладкий для ВАЗ 2105, 2107 (В цвет, Сафари (светло-бежевый, 215))</t>
  </si>
  <si>
    <t>Спойлер "VFTS" с заходом на замок гладкий для ВАЗ 2105, 2107 (В цвет, Снежная королева (серебристый, 690))</t>
  </si>
  <si>
    <t>Спойлер "VFTS" с заходом на замок гладкий для ВАЗ 2105, 2107 (В цвет, Сочи (серебристо-серо-зеленоватый, 360))</t>
  </si>
  <si>
    <t>Спойлер "VFTS" с заходом на замок гладкий для ВАЗ 2105, 2107 (В цвет, Чайная роза (светло-желтый, 228))</t>
  </si>
  <si>
    <t>Спойлер "Авторитет" для ВАЗ 2105, 2107</t>
  </si>
  <si>
    <t>Спойлер "Авторитет" для ВАЗ 2105, 2107 (Без покраски)</t>
  </si>
  <si>
    <t>Спойлер "Авторитет" для ВАЗ 2105, 2107 (В цвет кузова, Уточнить у менеджера)</t>
  </si>
  <si>
    <t>Спойлер "Авторитет" для ВАЗ 2105, 2107 (В цвет, Атлантика (фиолетовый, 440))</t>
  </si>
  <si>
    <t>Спойлер "Авторитет" для ВАЗ 2105, 2107 (В цвет, Баклажан (темно-фиолетовый, 107))</t>
  </si>
  <si>
    <t>Спойлер "Авторитет" для ВАЗ 2105, 2107 (В цвет, Балтика (темно-сине-зеленый, 420))</t>
  </si>
  <si>
    <t>Спойлер "Авторитет" для ВАЗ 2105, 2107 (В цвет, Вишня (темно-красный, 127))</t>
  </si>
  <si>
    <t>Спойлер "Авторитет" для ВАЗ 2105, 2107 (В цвет, Голубая планета (сине-голубой, 418))</t>
  </si>
  <si>
    <t>Спойлер "Авторитет" для ВАЗ 2105, 2107 (В цвет, Гранат (темно-бордовый, 180))</t>
  </si>
  <si>
    <t>Спойлер "Авторитет" для ВАЗ 2105, 2107 (В цвет, Игуана (серебристо-ярко-зеленый, 311))</t>
  </si>
  <si>
    <t>Спойлер "Авторитет" для ВАЗ 2105, 2107 (В цвет, Индиго (темно-синий, 441))</t>
  </si>
  <si>
    <t>Спойлер "Авторитет" для ВАЗ 2105, 2107 (В цвет, Искра (красный, 128))</t>
  </si>
  <si>
    <t>Спойлер "Авторитет" для ВАЗ 2105, 2107 (В цвет, Калифорнийский мак (золотисто-красный, 190))</t>
  </si>
  <si>
    <t>Спойлер "Авторитет" для ВАЗ 2105, 2107 (В цвет, Кварц (серый, 630))</t>
  </si>
  <si>
    <t>Спойлер "Авторитет" для ВАЗ 2105, 2107 (В цвет, Кориандр (золотисто-коричневый, 790))</t>
  </si>
  <si>
    <t>Спойлер "Авторитет" для ВАЗ 2105, 2107 (В цвет, Космос (черный, 665))</t>
  </si>
  <si>
    <t>Спойлер "Авторитет" для ВАЗ 2105, 2107 (В цвет, Красный перец (красно-коричневый, 106))</t>
  </si>
  <si>
    <t>Спойлер "Авторитет" для ВАЗ 2105, 2107 (В цвет, Майя (серебристый темно-бордовый, 120))</t>
  </si>
  <si>
    <t>Спойлер "Авторитет" для ВАЗ 2105, 2107 (В цвет, Мокрый асфальт (серебристый стальной, 626))</t>
  </si>
  <si>
    <t>Спойлер "Авторитет" для ВАЗ 2105, 2107 (В цвет, Морская пучина (темно-зеленый, 325))</t>
  </si>
  <si>
    <t>Спойлер "Авторитет" для ВАЗ 2105, 2107 (В цвет, Мурена (сине-зеленый, 377))</t>
  </si>
  <si>
    <t>Спойлер "Авторитет" для ВАЗ 2105, 2107 (В цвет, Мускари (темно синий, 426))</t>
  </si>
  <si>
    <t>Спойлер "Авторитет" для ВАЗ 2105, 2107 (В цвет, Нарцисс (желтый, 223))</t>
  </si>
  <si>
    <t>Спойлер "Авторитет" для ВАЗ 2105, 2107 (В цвет, Наутилус (темно-зеленый, 304))</t>
  </si>
  <si>
    <t>Спойлер "Авторитет" для ВАЗ 2105, 2107 (В цвет, Персей (темно-синий, 429))</t>
  </si>
  <si>
    <t>Спойлер "Авторитет" для ВАЗ 2105, 2107 (В цвет, Петергоф (серо-зеленоватый, 404))</t>
  </si>
  <si>
    <t>Спойлер "Авторитет" для ВАЗ 2105, 2107 (В цвет, Портвейн (темно-вишневый металлик, 192))</t>
  </si>
  <si>
    <t>Спойлер "Авторитет" для ВАЗ 2105, 2107 (В цвет, Престиж (серебристо-темно-синий, 605))</t>
  </si>
  <si>
    <t>Спойлер "Авторитет" для ВАЗ 2105, 2107 (В цвет, Романс (темно-красный, 182))</t>
  </si>
  <si>
    <t>Спойлер "Авторитет" для ВАЗ 2105, 2107 (В цвет, Сафари (светло-бежевый, 215))</t>
  </si>
  <si>
    <t>Спойлер "Авторитет" для ВАЗ 2105, 2107 (В цвет, Снежная королева (серебристый, 690))</t>
  </si>
  <si>
    <t>Спойлер "Авторитет" для ВАЗ 2105, 2107 (В цвет, Сочи (серебристо-серо-зеленоватый, 360))</t>
  </si>
  <si>
    <t>Спойлер "Авторитет" для ВАЗ 2105, 2107 (В цвет, Чайная роза (светло-желтый, 228))</t>
  </si>
  <si>
    <t>Спойлер для ВАЗ 2106</t>
  </si>
  <si>
    <t>Спойлер для ВАЗ 2106 (Чёрный)</t>
  </si>
  <si>
    <t>Спойлер для ВАЗ 2106 (Шагрень)</t>
  </si>
  <si>
    <t>Спойлер утиный хвост "VFTS" для ВАЗ 2101, 2106</t>
  </si>
  <si>
    <t>Спойлер утиный хвост "VFTS" для ВАЗ 2101, 2106 (Без покраски)</t>
  </si>
  <si>
    <t>Спойлер утиный хвост "VFTS" для ВАЗ 2101, 2106 (В цвет кузова, Уточнить у менеджера)</t>
  </si>
  <si>
    <t>Спойлер утиный хвост "VFTS" для ВАЗ 2101, 2106 (В цвет, Атлантика (фиолетовый, 440))</t>
  </si>
  <si>
    <t>Спойлер утиный хвост "VFTS" для ВАЗ 2101, 2106 (В цвет, Баклажан (темно-фиолетовый, 107))</t>
  </si>
  <si>
    <t>Спойлер утиный хвост "VFTS" для ВАЗ 2101, 2106 (В цвет, Балтика (темно-сине-зеленый, 420))</t>
  </si>
  <si>
    <t>Спойлер утиный хвост "VFTS" для ВАЗ 2101, 2106 (В цвет, Вишня (темно-красный, 127))</t>
  </si>
  <si>
    <t>Спойлер утиный хвост "VFTS" для ВАЗ 2101, 2106 (В цвет, Голубая планета (сине-голубой, 418))</t>
  </si>
  <si>
    <t>Спойлер утиный хвост "VFTS" для ВАЗ 2101, 2106 (В цвет, Гранат (темно-бордовый, 180))</t>
  </si>
  <si>
    <t>Спойлер утиный хвост "VFTS" для ВАЗ 2101, 2106 (В цвет, Игуана (серебристо-ярко-зеленый, 311))</t>
  </si>
  <si>
    <t>Спойлер утиный хвост "VFTS" для ВАЗ 2101, 2106 (В цвет, Индиго (темно-синий, 441))</t>
  </si>
  <si>
    <t>Спойлер утиный хвост "VFTS" для ВАЗ 2101, 2106 (В цвет, Искра (красный, 128))</t>
  </si>
  <si>
    <t>Спойлер утиный хвост "VFTS" для ВАЗ 2101, 2106 (В цвет, Калифорнийский мак (золотисто-красный, 190))</t>
  </si>
  <si>
    <t>Спойлер утиный хвост "VFTS" для ВАЗ 2101, 2106 (В цвет, Кварц (серый, 630))</t>
  </si>
  <si>
    <t>Спойлер утиный хвост "VFTS" для ВАЗ 2101, 2106 (В цвет, Кориандр (золотисто-коричневый, 790))</t>
  </si>
  <si>
    <t>Спойлер утиный хвост "VFTS" для ВАЗ 2101, 2106 (В цвет, Космос (черный, 665))</t>
  </si>
  <si>
    <t>Спойлер утиный хвост "VFTS" для ВАЗ 2101, 2106 (В цвет, Красный перец (красно-коричневый, 106))</t>
  </si>
  <si>
    <t>Спойлер утиный хвост "VFTS" для ВАЗ 2101, 2106 (В цвет, Майя (серебристый темно-бордовый, 120))</t>
  </si>
  <si>
    <t>Спойлер утиный хвост "VFTS" для ВАЗ 2101, 2106 (В цвет, Мокрый асфальт (серебристый стальной, 626))</t>
  </si>
  <si>
    <t>Спойлер утиный хвост "VFTS" для ВАЗ 2101, 2106 (В цвет, Морская пучина (темно-зеленый, 325))</t>
  </si>
  <si>
    <t>Спойлер утиный хвост "VFTS" для ВАЗ 2101, 2106 (В цвет, Мурена (сине-зеленый, 377))</t>
  </si>
  <si>
    <t>Спойлер утиный хвост "VFTS" для ВАЗ 2101, 2106 (В цвет, Мускари (темно синий, 426))</t>
  </si>
  <si>
    <t>Спойлер утиный хвост "VFTS" для ВАЗ 2101, 2106 (В цвет, Нарцисс (желтый, 223))</t>
  </si>
  <si>
    <t>Спойлер утиный хвост "VFTS" для ВАЗ 2101, 2106 (В цвет, Наутилус (темно-зеленый, 304))</t>
  </si>
  <si>
    <t>Спойлер утиный хвост "VFTS" для ВАЗ 2101, 2106 (В цвет, Персей (темно-синий, 429))</t>
  </si>
  <si>
    <t>Спойлер утиный хвост "VFTS" для ВАЗ 2101, 2106 (В цвет, Петергоф (серо-зеленоватый, 404))</t>
  </si>
  <si>
    <t>Спойлер утиный хвост "VFTS" для ВАЗ 2101, 2106 (В цвет, Портвейн (темно-вишневый металлик, 192))</t>
  </si>
  <si>
    <t>Спойлер утиный хвост "VFTS" для ВАЗ 2101, 2106 (В цвет, Престиж (серебристо-темно-синий, 605))</t>
  </si>
  <si>
    <t>Спойлер утиный хвост "VFTS" для ВАЗ 2101, 2106 (В цвет, Романс (темно-красный, 182))</t>
  </si>
  <si>
    <t>Спойлер утиный хвост "VFTS" для ВАЗ 2101, 2106 (В цвет, Сафари (светло-бежевый, 215))</t>
  </si>
  <si>
    <t>Спойлер утиный хвост "VFTS" для ВАЗ 2101, 2106 (В цвет, Снежная королева (серебристый, 690))</t>
  </si>
  <si>
    <t>Спойлер утиный хвост "VFTS" для ВАЗ 2101, 2106 (В цвет, Сочи (серебристо-серо-зеленоватый, 360))</t>
  </si>
  <si>
    <t>Спойлер утиный хвост "VFTS" для ВАЗ 2101, 2106 (В цвет, Чайная роза (светло-желтый, 228))</t>
  </si>
  <si>
    <t>https://motorring.ru/product/34362-yubka-guba-mca-dlya-vaz-2101-2107</t>
  </si>
  <si>
    <t>https://tuningprosto.ru/shop/kuzovnoj-plastik/rastyazhki_rasporki/yubka_vaz_2105_2107_msa_team/?sphrase_id=97120</t>
  </si>
  <si>
    <t>https://motorring.ru/product/38736-vozduhozabornik-kapota-odno-rebro-dlya-lada-4h4-niva</t>
  </si>
  <si>
    <t>https://motorring.ru/product/35992-bokovye-nakladki-chernaya-shagreny-dlya-lada-4h4</t>
  </si>
  <si>
    <t>https://motorring.ru/product/27430-spoyler-neokrashennyy-rebra-vaz-2105-2107</t>
  </si>
  <si>
    <t>https://motorring.ru/product/19373-spoyler-avr-chempion-neokrashennyy-vaz-2105-2107</t>
  </si>
  <si>
    <t>https://motorring.ru/product/27427-spoyler-avr-chernaya-shagreny-vaz-2105-2107</t>
  </si>
  <si>
    <t>https://motorring.ru/product/19626-spoyler-vfts-neokrashennyy-vaz-2105-2107</t>
  </si>
  <si>
    <t>https://motorring.ru/product/19627-spoyler-vfts-neokrashennyy-vaz-2106</t>
  </si>
  <si>
    <t>https://tuningprosto.ru/shop/kuzovnoj-plastik/rastyazhki_rasporki/yubka_vaz_2105_2107_vikhur/?sphrase_id=97118</t>
  </si>
  <si>
    <t>https://tuningprosto.ru/shop/kuzovnoj-plastik/rastyazhki_rasporki/yubka_vaz_2101_2102_2103_2104_2105_2106_2107_kenmary_style/?sphrase_id=97121</t>
  </si>
  <si>
    <t>https://tuningprosto.ru/shop/kuzovnoj-plastik/rastyazhki_rasporki/yubka_vaz_2105_2107_vikhur_bez_vozdukhootvoda/?sphrase_id=97118</t>
  </si>
  <si>
    <t>https://tuningprosto.ru/shop/kuzovnoj-plastik/rastyazhki_rasporki/yubka_vaz_2105_2107_vikhur_teksturnaya_bez_vozdukhootvoda_/?sphrase_id=103149</t>
  </si>
  <si>
    <t>https://motorring.ru/product/19511-reshetka-neokrashennaya-zadnee-steklo-vaz-2101-2107</t>
  </si>
  <si>
    <t>https://motorring.ru/product/25392-universalynyy-lip-spoyler-sal-man-pod-karbon-podsvetkoy</t>
  </si>
  <si>
    <t>https://motorring.ru/product/27431-spoyler-neokrashennyy-uzkiy-vaz-2105-2107</t>
  </si>
  <si>
    <t>https://tuningprosto.ru/shop/kuzovnoj-plastik/rastyazhki_rasporki/yubka_vaz_2105_2107_vikhur_teksturnaya/?sphrase_id=103149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</si>
  <si>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</si>
  <si>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</si>
  <si>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</si>
  <si>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</si>
  <si>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</si>
  <si>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</si>
  <si>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</si>
  <si>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</si>
  <si>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</si>
  <si>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</si>
  <si>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</si>
  <si>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</si>
  <si>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</si>
  <si>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</si>
  <si>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</si>
  <si>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</si>
  <si>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</si>
  <si>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</si>
  <si>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</si>
  <si>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</si>
  <si>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СВОД</t>
  </si>
  <si>
    <t>Данные</t>
  </si>
  <si>
    <t>Переменные</t>
  </si>
  <si>
    <t>https://docs.google.com/spreadsheets/d/1f8_y-lcqVEuKpceVw_F97NEKzue5YmQtx8GIXUS_2B8/export?format=xlsx</t>
  </si>
  <si>
    <t>Цена</t>
  </si>
  <si>
    <t xml:space="preserve">вихур
</t>
  </si>
  <si>
    <t/>
  </si>
  <si>
    <t>РЦ</t>
  </si>
  <si>
    <t>tuningprosto</t>
  </si>
  <si>
    <t>Доп</t>
  </si>
  <si>
    <t>Google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</si>
</sst>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color theme="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1"/>
      <color theme="1"/>
      <name val="Calibri"/>
      <family val="1"/>
      <charset val="204"/>
    </font>
    <font>
      <sz val="11"/>
      <name val="Calibri"/>
      <family val="2"/>
      <charset val="204"/>
    </font>
    <font>
      <sz val="11"/>
      <color rgb="FF006100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14">
    <xf numFmtId="0" fontId="0" fillId="0" borderId="0"/>
    <xf numFmtId="0" fontId="3" fillId="0" borderId="4" applyNumberFormat="0" applyAlignment="0" applyProtection="0"/>
    <xf numFmtId="0" fontId="4" fillId="0" borderId="5" applyNumberFormat="0" applyAlignment="0" applyProtection="0"/>
    <xf numFmtId="0" fontId="5" fillId="0" borderId="6" applyNumberFormat="0" applyAlignment="0" applyProtection="0"/>
    <xf numFmtId="0" fontId="3" fillId="3" borderId="7" applyNumberFormat="0" applyProtection="0">
      <alignment horizontal="center" vertical="center"/>
    </xf>
    <xf numFmtId="0" fontId="2" fillId="4" borderId="8" applyNumberFormat="0" applyAlignment="0" applyProtection="0"/>
    <xf numFmtId="0" fontId="6" fillId="5" borderId="0" applyNumberFormat="0" applyBorder="0" applyAlignment="0" applyProtection="0"/>
    <xf numFmtId="0" fontId="12" fillId="6" borderId="9" applyNumberFormat="0" applyBorder="0" applyAlignment="0" applyProtection="0"/>
    <xf numFmtId="0" fontId="12" fillId="2" borderId="10" applyNumberFormat="0" applyBorder="0" applyAlignment="0" applyProtection="0"/>
    <xf numFmtId="0" fontId="12" fillId="7" borderId="11" applyNumberFormat="0" applyBorder="0" applyAlignment="0" applyProtection="0"/>
    <xf numFmtId="0" fontId="12" fillId="11" borderId="3" applyNumberFormat="0" applyBorder="0" applyAlignment="0" applyProtection="0"/>
    <xf numFmtId="9" fontId="7" fillId="0" borderId="0" applyFont="0" applyFill="0" applyBorder="0" applyAlignment="0" applyProtection="0"/>
    <xf numFmtId="0" fontId="13" fillId="13" borderId="0" applyNumberFormat="0" applyBorder="0" applyAlignment="0" applyProtection="0"/>
    <xf numFmtId="0" fontId="14" fillId="14" borderId="0" applyNumberFormat="0" applyBorder="0" applyAlignment="0" applyProtection="0"/>
  </cellStyleXfs>
  <cellXfs count="70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9" fontId="0" fillId="2" borderId="3" xfId="0" applyNumberFormat="1" applyFill="1" applyBorder="1"/>
    <xf numFmtId="2" fontId="0" fillId="2" borderId="0" xfId="0" applyNumberFormat="1" applyFill="1"/>
    <xf numFmtId="0" fontId="9" fillId="0" borderId="3" xfId="0" applyFont="1" applyBorder="1" applyAlignment="1">
      <alignment horizontal="center" vertical="center" wrapText="1"/>
    </xf>
    <xf numFmtId="2" fontId="9" fillId="0" borderId="3" xfId="0" applyNumberFormat="1" applyFont="1" applyBorder="1" applyAlignment="1">
      <alignment horizontal="center" vertical="center" wrapText="1"/>
    </xf>
    <xf numFmtId="9" fontId="8" fillId="0" borderId="3" xfId="11" applyFont="1" applyBorder="1" applyAlignment="1">
      <alignment wrapText="1"/>
    </xf>
    <xf numFmtId="0" fontId="0" fillId="0" borderId="3" xfId="0" applyBorder="1" applyAlignment="1">
      <alignment horizontal="center" vertical="center"/>
    </xf>
    <xf numFmtId="9" fontId="10" fillId="8" borderId="3" xfId="0" applyNumberFormat="1" applyFont="1" applyFill="1" applyBorder="1" applyAlignment="1">
      <alignment horizontal="left" vertical="center"/>
    </xf>
    <xf numFmtId="0" fontId="10" fillId="8" borderId="3" xfId="0" applyFont="1" applyFill="1" applyBorder="1" applyAlignment="1">
      <alignment horizontal="left" vertical="center"/>
    </xf>
    <xf numFmtId="0" fontId="11" fillId="0" borderId="3" xfId="0" applyFont="1" applyBorder="1" applyAlignment="1">
      <alignment horizontal="left" vertical="top" wrapText="1"/>
    </xf>
    <xf numFmtId="0" fontId="11" fillId="9" borderId="3" xfId="0" applyFont="1" applyFill="1" applyBorder="1" applyAlignment="1">
      <alignment horizontal="left" vertical="top" wrapText="1"/>
    </xf>
    <xf numFmtId="9" fontId="11" fillId="8" borderId="3" xfId="11" applyFont="1" applyFill="1" applyBorder="1" applyAlignment="1">
      <alignment horizontal="left" vertical="top" wrapText="1"/>
    </xf>
    <xf numFmtId="0" fontId="0" fillId="0" borderId="3" xfId="0" applyBorder="1"/>
    <xf numFmtId="2" fontId="0" fillId="0" borderId="3" xfId="0" applyNumberFormat="1" applyBorder="1"/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9" fontId="0" fillId="0" borderId="0" xfId="11" applyFont="1"/>
    <xf numFmtId="0" fontId="0" fillId="12" borderId="3" xfId="0" applyFill="1" applyBorder="1"/>
    <xf numFmtId="0" fontId="11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1" fontId="11" fillId="2" borderId="3" xfId="0" applyNumberFormat="1" applyFont="1" applyFill="1" applyBorder="1" applyAlignment="1">
      <alignment horizontal="left" vertical="top" wrapText="1"/>
    </xf>
    <xf numFmtId="1" fontId="0" fillId="0" borderId="0" xfId="0" applyNumberFormat="1"/>
    <xf numFmtId="1" fontId="11" fillId="10" borderId="3" xfId="0" applyNumberFormat="1" applyFont="1" applyFill="1" applyBorder="1" applyAlignment="1">
      <alignment horizontal="left" vertical="top" wrapText="1"/>
    </xf>
    <xf numFmtId="1" fontId="11" fillId="8" borderId="3" xfId="11" applyNumberFormat="1" applyFont="1" applyFill="1" applyBorder="1" applyAlignment="1">
      <alignment horizontal="left" vertical="top" wrapText="1"/>
    </xf>
    <xf numFmtId="1" fontId="11" fillId="0" borderId="3" xfId="0" applyNumberFormat="1" applyFont="1" applyBorder="1" applyAlignment="1">
      <alignment horizontal="left" vertical="top" wrapText="1"/>
    </xf>
    <xf numFmtId="1" fontId="1" fillId="2" borderId="3" xfId="0" applyNumberFormat="1" applyFont="1" applyFill="1" applyBorder="1" applyAlignment="1">
      <alignment horizontal="left" wrapText="1"/>
    </xf>
    <xf numFmtId="0" fontId="0" fillId="0" borderId="3" xfId="0" applyBorder="1" applyAlignment="1" applyProtection="1">
      <alignment horizontal="left" vertical="top" wrapText="1"/>
    </xf>
    <xf numFmtId="0" fontId="0" fillId="0" borderId="0" xfId="0" applyFill="1"/>
    <xf numFmtId="0" fontId="14" fillId="14" borderId="3" xfId="13" applyBorder="1" applyAlignment="1">
      <alignment horizontal="center" vertical="center"/>
    </xf>
    <xf numFmtId="0" fontId="13" fillId="13" borderId="3" xfId="12" applyBorder="1" applyAlignment="1">
      <alignment horizontal="center" vertical="center"/>
    </xf>
    <xf numFmtId="0" fontId="0" fillId="0" borderId="3" xfId="0" applyBorder="1" applyAlignment="1" applyProtection="1">
      <alignment horizontal="left" vertical="top" wrapText="1"/>
    </xf>
    <xf numFmtId="1" fontId="10" fillId="8" borderId="3" xfId="0" applyNumberFormat="1" applyFont="1" applyFill="1" applyBorder="1" applyAlignment="1">
      <alignment horizontal="left" vertical="center"/>
    </xf>
    <xf numFmtId="1" fontId="0" fillId="16" borderId="3" xfId="0" applyNumberFormat="1" applyFill="1" applyBorder="1" applyAlignment="1">
      <alignment horizontal="left"/>
    </xf>
    <xf numFmtId="1" fontId="1" fillId="19" borderId="3" xfId="0" applyNumberFormat="1" applyFont="1" applyFill="1" applyBorder="1" applyAlignment="1">
      <alignment horizontal="left" vertical="center"/>
    </xf>
    <xf numFmtId="1" fontId="0" fillId="0" borderId="3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" fontId="13" fillId="13" borderId="3" xfId="12" applyNumberFormat="1" applyBorder="1" applyAlignment="1">
      <alignment horizontal="left"/>
    </xf>
    <xf numFmtId="3" fontId="0" fillId="8" borderId="3" xfId="0" applyNumberFormat="1" applyFill="1" applyBorder="1" applyAlignment="1">
      <alignment horizontal="left"/>
    </xf>
    <xf numFmtId="3" fontId="0" fillId="15" borderId="3" xfId="0" applyNumberFormat="1" applyFill="1" applyBorder="1" applyAlignment="1">
      <alignment horizontal="left"/>
    </xf>
    <xf numFmtId="3" fontId="0" fillId="16" borderId="3" xfId="0" applyNumberFormat="1" applyFill="1" applyBorder="1" applyAlignment="1">
      <alignment horizontal="left"/>
    </xf>
    <xf numFmtId="3" fontId="0" fillId="17" borderId="3" xfId="0" applyNumberFormat="1" applyFill="1" applyBorder="1" applyAlignment="1">
      <alignment horizontal="left"/>
    </xf>
    <xf numFmtId="3" fontId="0" fillId="18" borderId="3" xfId="0" applyNumberFormat="1" applyFill="1" applyBorder="1" applyAlignment="1">
      <alignment horizontal="left"/>
    </xf>
    <xf numFmtId="3" fontId="1" fillId="7" borderId="3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9" fontId="0" fillId="0" borderId="0" xfId="11" applyFont="1" applyAlignment="1">
      <alignment horizontal="left"/>
    </xf>
    <xf numFmtId="9" fontId="0" fillId="2" borderId="3" xfId="0" applyNumberFormat="1" applyFill="1" applyBorder="1" applyAlignment="1">
      <alignment horizontal="left"/>
    </xf>
    <xf numFmtId="2" fontId="0" fillId="2" borderId="0" xfId="0" applyNumberFormat="1" applyFill="1" applyAlignment="1">
      <alignment horizontal="left"/>
    </xf>
    <xf numFmtId="0" fontId="14" fillId="14" borderId="3" xfId="13" applyBorder="1" applyAlignment="1">
      <alignment horizontal="left" vertical="center"/>
    </xf>
    <xf numFmtId="0" fontId="13" fillId="13" borderId="3" xfId="12" applyBorder="1" applyAlignment="1">
      <alignment horizontal="left" vertical="center"/>
    </xf>
    <xf numFmtId="0" fontId="9" fillId="0" borderId="3" xfId="0" applyFont="1" applyBorder="1" applyAlignment="1">
      <alignment horizontal="left" vertical="center" wrapText="1"/>
    </xf>
    <xf numFmtId="2" fontId="9" fillId="0" borderId="3" xfId="0" applyNumberFormat="1" applyFont="1" applyBorder="1" applyAlignment="1">
      <alignment horizontal="left" vertical="center" wrapText="1"/>
    </xf>
    <xf numFmtId="0" fontId="0" fillId="0" borderId="3" xfId="0" applyBorder="1" applyAlignment="1">
      <alignment horizontal="left"/>
    </xf>
    <xf numFmtId="0" fontId="0" fillId="0" borderId="3" xfId="0" applyBorder="1" applyAlignment="1">
      <alignment horizontal="left" wrapText="1"/>
    </xf>
    <xf numFmtId="2" fontId="0" fillId="0" borderId="3" xfId="0" applyNumberFormat="1" applyBorder="1" applyAlignment="1">
      <alignment horizontal="left"/>
    </xf>
    <xf numFmtId="9" fontId="8" fillId="0" borderId="3" xfId="11" applyFont="1" applyBorder="1" applyAlignment="1">
      <alignment horizontal="left" wrapText="1"/>
    </xf>
    <xf numFmtId="0" fontId="0" fillId="2" borderId="3" xfId="0" applyFill="1" applyBorder="1" applyAlignment="1">
      <alignment horizontal="left"/>
    </xf>
    <xf numFmtId="1" fontId="0" fillId="2" borderId="3" xfId="0" applyNumberFormat="1" applyFill="1" applyBorder="1" applyAlignment="1">
      <alignment horizontal="left"/>
    </xf>
    <xf numFmtId="1" fontId="0" fillId="2" borderId="3" xfId="0" applyNumberFormat="1" applyFill="1" applyBorder="1"/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0" fontId="11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11" fillId="2" borderId="3" xfId="0" applyNumberFormat="1" applyFont="1" applyFill="1" applyBorder="1" applyAlignment="1" applyProtection="1">
      <alignment horizontal="left" vertical="top" wrapText="1"/>
    </xf>
    <xf numFmtId="9" fontId="15" fillId="8" borderId="3" xfId="0" applyNumberFormat="1" applyFont="1" applyFill="1" applyBorder="1" applyAlignment="1">
      <alignment horizontal="left" vertical="center"/>
    </xf>
  </cellXfs>
  <cellStyles count="14">
    <cellStyle name="Акцент1" xfId="1" builtinId="29" customBuiltin="1"/>
    <cellStyle name="Акцент2" xfId="2" builtinId="33" customBuiltin="1"/>
    <cellStyle name="Акцент3" xfId="3" builtinId="37" customBuiltin="1"/>
    <cellStyle name="Акцент4" xfId="4" builtinId="41" customBuiltin="1"/>
    <cellStyle name="Акцент5" xfId="5" builtinId="45" customBuiltin="1"/>
    <cellStyle name="Акцент6" xfId="6" builtinId="49" customBuiltin="1"/>
    <cellStyle name="Заголовок 1" xfId="7" builtinId="16" customBuiltin="1"/>
    <cellStyle name="Заголовок 2" xfId="8" builtinId="17" customBuiltin="1"/>
    <cellStyle name="Заголовок 3" xfId="9" builtinId="18" customBuiltin="1"/>
    <cellStyle name="Заголовок 4" xfId="10" builtinId="19" customBuiltin="1"/>
    <cellStyle name="Нейтральный" xfId="13" builtinId="28"/>
    <cellStyle name="Обычный" xfId="0" builtinId="0"/>
    <cellStyle name="Процентный" xfId="11" builtinId="5"/>
    <cellStyle name="Хороший" xfId="12" builtinId="26"/>
  </cellStyles>
  <dxfs count="15"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8436DF6-794A-4364-ABCD-9520C2B55BDD}" autoFormatId="16" applyNumberFormats="0" applyBorderFormats="0" applyFontFormats="0" applyPatternFormats="0" applyAlignmentFormats="0" applyWidthHeightFormats="0">
  <queryTableRefresh nextId="21">
    <queryTableFields count="2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758E13-06CF-4CCE-9507-3C80D295C2B6}" name="вихур" displayName="вихур" ref="A1:T128" tableType="queryTable" totalsRowShown="0">
  <autoFilter ref="A1:T128" xr:uid="{4C758E13-06CF-4CCE-9507-3C80D295C2B6}"/>
  <tableColumns count="20">
    <tableColumn id="1" xr3:uid="{732C8A33-E2AF-4F77-924B-6CC702F98F9D}" uniqueName="1" name="Column1" queryTableFieldId="1"/>
    <tableColumn id="2" xr3:uid="{ECC8E04A-9ACE-4A1E-8E69-4D7E5B64CBEA}" uniqueName="2" name="Column2" queryTableFieldId="2"/>
    <tableColumn id="3" xr3:uid="{5E0E252D-0E71-49F5-8319-C462A270B644}" uniqueName="3" name="Column3" queryTableFieldId="3"/>
    <tableColumn id="4" xr3:uid="{177374D3-6122-425D-AA69-F84FE0706D2E}" uniqueName="4" name="Column4" queryTableFieldId="4"/>
    <tableColumn id="5" xr3:uid="{D4F6500E-55BA-4FDF-AF84-C739BDC78847}" uniqueName="5" name="Column5" queryTableFieldId="5"/>
    <tableColumn id="6" xr3:uid="{46E75488-9DD3-463B-9787-D431082D658E}" uniqueName="6" name="Column6" queryTableFieldId="6"/>
    <tableColumn id="7" xr3:uid="{9E2DFBF7-9799-412C-A609-E3EB82A7F788}" uniqueName="7" name="Column7" queryTableFieldId="7"/>
    <tableColumn id="8" xr3:uid="{EDA06A76-26C5-4C0A-973F-C2C1B900F5B4}" uniqueName="8" name="Column8" queryTableFieldId="8"/>
    <tableColumn id="9" xr3:uid="{259C6524-5FF8-425D-B382-541207000919}" uniqueName="9" name="Column9" queryTableFieldId="9"/>
    <tableColumn id="10" xr3:uid="{727CD0EC-1171-46B0-BECE-873F24A96F92}" uniqueName="10" name="Column10" queryTableFieldId="10"/>
    <tableColumn id="11" xr3:uid="{37F97463-D8F8-425C-ADF2-4AB20D4CEA06}" uniqueName="11" name="Column11" queryTableFieldId="11"/>
    <tableColumn id="12" xr3:uid="{F33323E0-EF76-4F95-B510-893610FFA600}" uniqueName="12" name="Column12" queryTableFieldId="12"/>
    <tableColumn id="13" xr3:uid="{F71602A3-4D2F-4EEF-B0B8-206B4D1C3737}" uniqueName="13" name="Column13" queryTableFieldId="13"/>
    <tableColumn id="14" xr3:uid="{B8B97A9B-DE3F-499B-AFA3-FAA7868EB0E6}" uniqueName="14" name="Column14" queryTableFieldId="14"/>
    <tableColumn id="15" xr3:uid="{3CB45F5A-E5EF-4118-A03B-D965B39F059D}" uniqueName="15" name="Column15" queryTableFieldId="15"/>
    <tableColumn id="16" xr3:uid="{CDE97B9D-6346-44D7-905A-F6436B2DF793}" uniqueName="16" name="Column16" queryTableFieldId="16"/>
    <tableColumn id="17" xr3:uid="{911BD193-9C68-42CE-8A9E-C2F3EA6576A9}" uniqueName="17" name="Column17" queryTableFieldId="17"/>
    <tableColumn id="18" xr3:uid="{45DC5486-9186-4BF3-A567-26E74BACFF47}" uniqueName="18" name="Column18" queryTableFieldId="18"/>
    <tableColumn id="19" xr3:uid="{09243B10-75C0-40E5-B3EA-3799DDF770EE}" uniqueName="19" name="Column19" queryTableFieldId="19"/>
    <tableColumn id="20" xr3:uid="{48F68692-C970-4BF7-B08A-137F2E02468A}" uniqueName="20" name="Column20" queryTableFieldId="2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114F5-A8BF-49DD-8C7D-B89E033D4112}">
  <sheetPr codeName="Лист2"/>
  <dimension ref="A1:AC33"/>
  <sheetViews>
    <sheetView tabSelected="1" workbookViewId="0">
      <pane ySplit="2" topLeftCell="A3" activePane="bottomLeft" state="frozen"/>
      <selection pane="bottomLeft" activeCell="Y4" sqref="Y4"/>
    </sheetView>
  </sheetViews>
  <sheetFormatPr defaultRowHeight="15" x14ac:dyDescent="0.25"/>
  <cols>
    <col min="1" max="2" width="9.140625" style="46"/>
    <col min="3" max="3" width="37.5703125" style="45" customWidth="1"/>
    <col min="4" max="5" width="4.5703125" style="46" customWidth="1"/>
    <col min="6" max="6" width="6.28515625" style="46" bestFit="1" customWidth="1"/>
    <col min="7" max="7" width="6.140625" style="37" customWidth="1"/>
    <col min="8" max="8" width="9.140625" style="46"/>
    <col min="9" max="9" width="5" style="37" bestFit="1" customWidth="1"/>
    <col min="10" max="10" width="5.85546875" style="37" bestFit="1" customWidth="1"/>
    <col min="11" max="11" width="6.7109375" style="46" bestFit="1" customWidth="1"/>
    <col min="12" max="12" width="6.85546875" style="46" bestFit="1" customWidth="1"/>
    <col min="13" max="14" width="7.42578125" style="46" bestFit="1" customWidth="1"/>
    <col min="15" max="19" width="9.140625" style="46"/>
    <col min="20" max="20" width="9.140625" style="37"/>
    <col min="21" max="21" width="3.7109375" style="46" customWidth="1"/>
    <col min="22" max="22" width="4.42578125" style="46" customWidth="1"/>
    <col min="23" max="24" width="9.140625" style="46"/>
    <col min="25" max="25" width="9.140625" style="37"/>
    <col min="26" max="26" width="3.7109375" style="46" customWidth="1"/>
    <col min="27" max="27" width="6.140625" style="46" customWidth="1"/>
    <col min="28" max="28" width="12.42578125" style="46" bestFit="1" customWidth="1"/>
    <col min="29" max="29" width="13.85546875" style="46" customWidth="1"/>
    <col min="30" max="16384" width="9.140625" style="46"/>
  </cols>
  <sheetData>
    <row r="1" spans="1:29" x14ac:dyDescent="0.25">
      <c r="A1" s="45"/>
      <c r="B1" s="45">
        <v>2</v>
      </c>
      <c r="C1" s="45">
        <v>3</v>
      </c>
      <c r="D1" s="46">
        <v>4</v>
      </c>
      <c r="E1" s="46">
        <v>14</v>
      </c>
      <c r="F1" s="47">
        <f>COUNT(Кат!$S:$S,Торг!$T:$T)/COUNT(Кат!$A:$A,Торг!$B:$B)</f>
        <v>0.66666666666666663</v>
      </c>
      <c r="K1" s="46">
        <v>8</v>
      </c>
      <c r="L1" s="46">
        <v>9</v>
      </c>
      <c r="M1" s="37"/>
      <c r="N1" s="37"/>
      <c r="P1" s="48" t="str">
        <f>_xlfn.CONCAT(ROUND(MIN(P3:P9000)*100,0),"-",ROUND(MAX(P3:P9000)*100,0),"%")</f>
        <v>33-159%</v>
      </c>
      <c r="Q1" s="48" t="str">
        <f>_xlfn.CONCAT(ROUND(SUBTOTAL(5,Q3:Q9000)*100,0)," - ",ROUND(SUBTOTAL(4,Q3:Q9000)*100,0),"%")</f>
        <v>2 - 11%</v>
      </c>
      <c r="R1" s="48" t="str">
        <f>_xlfn.CONCAT(ROUND(SUBTOTAL(5,R3:R90000)*100,0)," - ",ROUND(SUBTOTAL(4,R3:R90000)*100,0),"%")</f>
        <v>39 - 190%</v>
      </c>
      <c r="S1" s="49"/>
      <c r="T1" s="37">
        <v>6</v>
      </c>
      <c r="X1" s="50">
        <f>AB1</f>
        <v>0</v>
      </c>
      <c r="Y1" s="37">
        <v>7</v>
      </c>
      <c r="AC1" s="51">
        <f>AG1</f>
        <v>0</v>
      </c>
    </row>
    <row r="2" spans="1:29" x14ac:dyDescent="0.25">
      <c r="A2" s="11" t="s">
        <v>5</v>
      </c>
      <c r="B2" s="12" t="s">
        <v>14</v>
      </c>
      <c r="C2" s="12" t="s">
        <v>6</v>
      </c>
      <c r="D2" s="12"/>
      <c r="E2" s="12"/>
      <c r="F2" s="11"/>
      <c r="G2" s="22" t="s">
        <v>8</v>
      </c>
      <c r="H2" s="11"/>
      <c r="I2" s="26"/>
      <c r="J2" s="22" t="s">
        <v>215</v>
      </c>
      <c r="K2" s="12" t="s">
        <v>9</v>
      </c>
      <c r="L2" s="12" t="s">
        <v>10</v>
      </c>
      <c r="M2" s="24" t="s">
        <v>11</v>
      </c>
      <c r="N2" s="24" t="s">
        <v>11</v>
      </c>
      <c r="O2" s="13">
        <v>0</v>
      </c>
      <c r="P2" s="52" t="s">
        <v>1</v>
      </c>
      <c r="Q2" s="52" t="s">
        <v>2</v>
      </c>
      <c r="R2" s="52" t="s">
        <v>3</v>
      </c>
      <c r="S2" s="53" t="s">
        <v>4</v>
      </c>
      <c r="T2" s="69" t="s">
        <v>218</v>
      </c>
      <c r="U2" s="9"/>
      <c r="V2" s="9" t="s">
        <v>217</v>
      </c>
      <c r="W2" s="53" t="s">
        <v>4</v>
      </c>
      <c r="X2" s="53" t="s">
        <v>4</v>
      </c>
      <c r="Y2" s="69" t="s">
        <v>218</v>
      </c>
      <c r="Z2" s="9"/>
      <c r="AA2" s="9" t="s">
        <v>217</v>
      </c>
      <c r="AB2" s="53" t="s">
        <v>216</v>
      </c>
      <c r="AC2" s="53" t="s">
        <v>216</v>
      </c>
    </row>
    <row r="3" spans="1:29" ht="30" x14ac:dyDescent="0.25">
      <c r="A3" s="54">
        <v>138557</v>
      </c>
      <c r="B3" s="54">
        <f>VLOOKUP($A3,'Выгр Кат'!$A:$R,B$1,0)</f>
        <v>32438</v>
      </c>
      <c r="C3" s="55" t="str">
        <f>VLOOKUP($A3,'Выгр Кат'!$A:$R,C$1,0)</f>
        <v>Боковые накладки, чёрные для Лада Нива 4x4</v>
      </c>
      <c r="D3" s="54" t="str">
        <f>VLOOKUP($A3,'Выгр Кат'!$A:$R,D$1,0)</f>
        <v>Y</v>
      </c>
      <c r="E3" s="54" t="str">
        <f>VLOOKUP($A3,'Выгр Кат'!$A:$R,E$1,0)</f>
        <v>1ск2</v>
      </c>
      <c r="F3" s="32" t="s">
        <v>25</v>
      </c>
      <c r="G3" s="59">
        <v>100</v>
      </c>
      <c r="H3" s="56">
        <f>VLOOKUP(G3,Наценка!$A$1:$B$8,2,1)</f>
        <v>1.8</v>
      </c>
      <c r="I3" s="41">
        <f>S3-30</f>
        <v>260</v>
      </c>
      <c r="J3" s="27">
        <f>IF(I3&lt;=1000,(ROUNDUP(I3,-1)-1),(ROUNDUP(I3,-2)-10))</f>
        <v>259</v>
      </c>
      <c r="K3" s="54">
        <f>VLOOKUP($A3,'Выгр Кат'!$A:$R,K$1,0)</f>
        <v>100</v>
      </c>
      <c r="L3" s="54">
        <f>VLOOKUP($A3,'Выгр Кат'!$A:$R,L$1,0)</f>
        <v>269</v>
      </c>
      <c r="M3" s="24">
        <f>K3-G3</f>
        <v>0</v>
      </c>
      <c r="N3" s="24">
        <f>L3-J3</f>
        <v>10</v>
      </c>
      <c r="O3" s="25">
        <f>IFERROR(J3*(1-$O$2),"")</f>
        <v>259</v>
      </c>
      <c r="P3" s="57">
        <f>IFERROR(O3/G3-1,"")</f>
        <v>1.5899999999999999</v>
      </c>
      <c r="Q3" s="57">
        <f>IFERROR((S3-O3)/S3,"")</f>
        <v>0.10689655172413794</v>
      </c>
      <c r="R3" s="57">
        <f>IFERROR(IF(S3="","",S3/G3-1),"")</f>
        <v>1.9</v>
      </c>
      <c r="S3" s="50">
        <f t="shared" ref="S3:S4" si="0">W3</f>
        <v>290</v>
      </c>
      <c r="T3" s="33">
        <f>IFERROR((VLOOKUP($A3,'Из ГУГЛа'!$B:$Z,T$1,0)+V3)*U3,VLOOKUP($A3,'Из ГУГЛа'!$B:$Z,T$1,0))</f>
        <v>290</v>
      </c>
      <c r="U3" s="10">
        <v>1</v>
      </c>
      <c r="V3" s="10">
        <v>0</v>
      </c>
      <c r="W3" s="46">
        <v>290</v>
      </c>
      <c r="X3" s="46" t="s">
        <v>174</v>
      </c>
      <c r="Y3" s="33" t="str">
        <f>IFERROR((VLOOKUP($A3,'Из ГУГЛа'!$B:$Z,Y$1,0)+AA3)*Z3,VLOOKUP($A3,'Из ГУГЛа'!$B:$Z,Y$1,0))</f>
        <v/>
      </c>
      <c r="Z3" s="10">
        <v>1</v>
      </c>
      <c r="AA3" s="10">
        <v>0</v>
      </c>
    </row>
    <row r="4" spans="1:29" ht="30" x14ac:dyDescent="0.25">
      <c r="A4" s="54">
        <v>139415</v>
      </c>
      <c r="B4" s="54">
        <f>VLOOKUP($A4,'Выгр Кат'!$A:$R,B$1,0)</f>
        <v>32391</v>
      </c>
      <c r="C4" s="55" t="str">
        <f>VLOOKUP($A4,'Выгр Кат'!$A:$R,C$1,0)</f>
        <v>Воздухозаборник на капот двухсторонний для Лада Нива 4х4</v>
      </c>
      <c r="D4" s="54" t="str">
        <f>VLOOKUP($A4,'Выгр Кат'!$A:$R,D$1,0)</f>
        <v>Y</v>
      </c>
      <c r="E4" s="54" t="str">
        <f>VLOOKUP($A4,'Выгр Кат'!$A:$R,E$1,0)</f>
        <v>1ск2</v>
      </c>
      <c r="F4" s="32" t="s">
        <v>25</v>
      </c>
      <c r="G4" s="59">
        <v>280</v>
      </c>
      <c r="H4" s="56">
        <f>VLOOKUP(G4,Наценка!$A$1:$B$8,2,1)</f>
        <v>1.8</v>
      </c>
      <c r="I4" s="41">
        <f>S4-30</f>
        <v>619</v>
      </c>
      <c r="J4" s="27">
        <f t="shared" ref="J4:J21" si="1">IF(I4&lt;=1000,(ROUNDUP(I4,-1)-1),(ROUNDUP(I4,-2)-10))</f>
        <v>619</v>
      </c>
      <c r="K4" s="54">
        <f>VLOOKUP($A4,'Выгр Кат'!$A:$R,K$1,0)</f>
        <v>280</v>
      </c>
      <c r="L4" s="54">
        <f>VLOOKUP($A4,'Выгр Кат'!$A:$R,L$1,0)</f>
        <v>639</v>
      </c>
      <c r="M4" s="24">
        <f t="shared" ref="M4:M21" si="2">K4-G4</f>
        <v>0</v>
      </c>
      <c r="N4" s="24">
        <f t="shared" ref="N4:N21" si="3">L4-J4</f>
        <v>20</v>
      </c>
      <c r="O4" s="25">
        <f t="shared" ref="O4:O21" si="4">IFERROR(J4*(1-$O$2),"")</f>
        <v>619</v>
      </c>
      <c r="P4" s="57">
        <f>IFERROR(O4/G4-1,"")</f>
        <v>1.2107142857142859</v>
      </c>
      <c r="Q4" s="57">
        <f>IFERROR((S4-O4)/S4,"")</f>
        <v>4.6224961479198766E-2</v>
      </c>
      <c r="R4" s="57">
        <f>IFERROR(IF(S4="","",S4/G4-1),"")</f>
        <v>1.3178571428571431</v>
      </c>
      <c r="S4" s="50">
        <f t="shared" si="0"/>
        <v>649</v>
      </c>
      <c r="T4" s="33">
        <f>IFERROR((VLOOKUP($A4,'Из ГУГЛа'!$B:$Z,T$1,0)+V4)*U4,VLOOKUP($A4,'Из ГУГЛа'!$B:$Z,T$1,0))</f>
        <v>649</v>
      </c>
      <c r="U4" s="10">
        <v>1</v>
      </c>
      <c r="V4" s="10">
        <v>0</v>
      </c>
      <c r="W4" s="46">
        <v>649</v>
      </c>
      <c r="X4" s="46" t="s">
        <v>173</v>
      </c>
      <c r="Y4" s="33" t="str">
        <f>IFERROR((VLOOKUP($A4,'Из ГУГЛа'!$B:$Z,Y$1,0)+AA4)*Z4,VLOOKUP($A4,'Из ГУГЛа'!$B:$Z,Y$1,0))</f>
        <v/>
      </c>
      <c r="Z4" s="10">
        <v>1</v>
      </c>
      <c r="AA4" s="10">
        <v>0</v>
      </c>
    </row>
    <row r="5" spans="1:29" ht="30" x14ac:dyDescent="0.25">
      <c r="A5" s="54">
        <v>141876</v>
      </c>
      <c r="B5" s="54">
        <f>VLOOKUP($A5,'Выгр Кат'!$A:$R,B$1,0)</f>
        <v>14189</v>
      </c>
      <c r="C5" s="55" t="str">
        <f>VLOOKUP($A5,'Выгр Кат'!$A:$R,C$1,0)</f>
        <v>Губа Вихур шагрень "отверстия" для ВАЗ 2101-2107</v>
      </c>
      <c r="D5" s="54" t="str">
        <f>VLOOKUP($A5,'Выгр Кат'!$A:$R,D$1,0)</f>
        <v>Y</v>
      </c>
      <c r="E5" s="54" t="str">
        <f>VLOOKUP($A5,'Выгр Кат'!$A:$R,E$1,0)</f>
        <v>1ск2</v>
      </c>
      <c r="F5" s="32" t="s">
        <v>25</v>
      </c>
      <c r="G5" s="59">
        <v>400</v>
      </c>
      <c r="H5" s="56">
        <f>VLOOKUP(G5,Наценка!$A$1:$B$8,2,1)</f>
        <v>1.6</v>
      </c>
      <c r="I5" s="38">
        <v>880</v>
      </c>
      <c r="J5" s="27">
        <f t="shared" si="1"/>
        <v>879</v>
      </c>
      <c r="K5" s="54">
        <f>VLOOKUP($A5,'Выгр Кат'!$A:$R,K$1,0)</f>
        <v>400</v>
      </c>
      <c r="L5" s="54">
        <f>VLOOKUP($A5,'Выгр Кат'!$A:$R,L$1,0)</f>
        <v>899</v>
      </c>
      <c r="M5" s="24">
        <f t="shared" si="2"/>
        <v>0</v>
      </c>
      <c r="N5" s="24">
        <f t="shared" si="3"/>
        <v>20</v>
      </c>
      <c r="O5" s="25">
        <f t="shared" si="4"/>
        <v>879</v>
      </c>
      <c r="P5" s="57">
        <f>IFERROR(O5/G5-1,"")</f>
        <v>1.1974999999999998</v>
      </c>
      <c r="Q5" s="57">
        <f>IFERROR((S5-O5)/S5,"")</f>
        <v>2.3333333333333334E-2</v>
      </c>
      <c r="R5" s="57">
        <f>IFERROR(IF(S5="","",S5/G5-1),"")</f>
        <v>1.25</v>
      </c>
      <c r="S5" s="51">
        <f>AB5</f>
        <v>900</v>
      </c>
      <c r="T5" s="33">
        <f>IFERROR((VLOOKUP($A5,'Из ГУГЛа'!$B:$Z,T$1,0)+V5)*U5,VLOOKUP($A5,'Из ГУГЛа'!$B:$Z,T$1,0))</f>
        <v>1149</v>
      </c>
      <c r="U5" s="10">
        <v>1</v>
      </c>
      <c r="V5" s="10">
        <v>0</v>
      </c>
      <c r="W5" s="46">
        <v>1149</v>
      </c>
      <c r="X5" s="46" t="s">
        <v>29</v>
      </c>
      <c r="Y5" s="33" t="str">
        <f>IFERROR((VLOOKUP($A5,'Из ГУГЛа'!$B:$Z,Y$1,0)+AA5)*Z5,VLOOKUP($A5,'Из ГУГЛа'!$B:$Z,Y$1,0))</f>
        <v/>
      </c>
      <c r="Z5" s="10">
        <v>1</v>
      </c>
      <c r="AA5" s="10">
        <v>0</v>
      </c>
      <c r="AB5" s="46">
        <v>900</v>
      </c>
      <c r="AC5" s="46" t="s">
        <v>187</v>
      </c>
    </row>
    <row r="6" spans="1:29" ht="30" x14ac:dyDescent="0.25">
      <c r="A6" s="54">
        <v>214510</v>
      </c>
      <c r="B6" s="54">
        <f>VLOOKUP($A6,'Выгр Кат'!$A:$R,B$1,0)</f>
        <v>166874</v>
      </c>
      <c r="C6" s="55" t="str">
        <f>VLOOKUP($A6,'Выгр Кат'!$A:$R,C$1,0)</f>
        <v>Спойлер "4 ребра" неокрашенный (шагрень) для ВАЗ 2105, 2107</v>
      </c>
      <c r="D6" s="54" t="str">
        <f>VLOOKUP($A6,'Выгр Кат'!$A:$R,D$1,0)</f>
        <v>Y</v>
      </c>
      <c r="E6" s="54" t="str">
        <f>VLOOKUP($A6,'Выгр Кат'!$A:$R,E$1,0)</f>
        <v>1</v>
      </c>
      <c r="F6" s="32" t="s">
        <v>25</v>
      </c>
      <c r="G6" s="59">
        <v>600</v>
      </c>
      <c r="H6" s="56">
        <f>VLOOKUP(G6,Наценка!$A$1:$B$8,2,1)</f>
        <v>1.55</v>
      </c>
      <c r="I6" s="41">
        <f t="shared" ref="I6:I10" si="5">S6-100</f>
        <v>869</v>
      </c>
      <c r="J6" s="27">
        <f t="shared" si="1"/>
        <v>869</v>
      </c>
      <c r="K6" s="54">
        <f>VLOOKUP($A6,'Выгр Кат'!$A:$R,K$1,0)</f>
        <v>600</v>
      </c>
      <c r="L6" s="54">
        <f>VLOOKUP($A6,'Выгр Кат'!$A:$R,L$1,0)</f>
        <v>889</v>
      </c>
      <c r="M6" s="24">
        <f t="shared" si="2"/>
        <v>0</v>
      </c>
      <c r="N6" s="24">
        <f t="shared" si="3"/>
        <v>20</v>
      </c>
      <c r="O6" s="25">
        <f t="shared" si="4"/>
        <v>869</v>
      </c>
      <c r="P6" s="57">
        <f>IFERROR(O6/G6-1,"")</f>
        <v>0.44833333333333325</v>
      </c>
      <c r="Q6" s="57">
        <f>IFERROR((S6-O6)/S6,"")</f>
        <v>0.10319917440660474</v>
      </c>
      <c r="R6" s="57">
        <f>IFERROR(IF(S6="","",S6/G6-1),"")</f>
        <v>0.61499999999999999</v>
      </c>
      <c r="S6" s="58">
        <v>969</v>
      </c>
      <c r="T6" s="33" t="str">
        <f>IFERROR((VLOOKUP($A6,'Из ГУГЛа'!$B:$Z,T$1,0)+V6)*U6,VLOOKUP($A6,'Из ГУГЛа'!$B:$Z,T$1,0))</f>
        <v/>
      </c>
      <c r="U6" s="10">
        <v>1</v>
      </c>
      <c r="V6" s="10">
        <v>0</v>
      </c>
      <c r="Y6" s="33" t="str">
        <f>IFERROR((VLOOKUP($A6,'Из ГУГЛа'!$B:$Z,Y$1,0)+AA6)*Z6,VLOOKUP($A6,'Из ГУГЛа'!$B:$Z,Y$1,0))</f>
        <v/>
      </c>
      <c r="Z6" s="10">
        <v>1</v>
      </c>
      <c r="AA6" s="10">
        <v>0</v>
      </c>
    </row>
    <row r="7" spans="1:29" ht="30" x14ac:dyDescent="0.25">
      <c r="A7" s="54">
        <v>214511</v>
      </c>
      <c r="B7" s="54">
        <f>VLOOKUP($A7,'Выгр Кат'!$A:$R,B$1,0)</f>
        <v>30476</v>
      </c>
      <c r="C7" s="55" t="str">
        <f>VLOOKUP($A7,'Выгр Кат'!$A:$R,C$1,0)</f>
        <v>Спойлер "4 ребра" неокрашенный для ВАЗ 2105, 2107</v>
      </c>
      <c r="D7" s="54" t="str">
        <f>VLOOKUP($A7,'Выгр Кат'!$A:$R,D$1,0)</f>
        <v>Y</v>
      </c>
      <c r="E7" s="54" t="str">
        <f>VLOOKUP($A7,'Выгр Кат'!$A:$R,E$1,0)</f>
        <v>1</v>
      </c>
      <c r="F7" s="32" t="s">
        <v>25</v>
      </c>
      <c r="G7" s="59">
        <v>600</v>
      </c>
      <c r="H7" s="56">
        <f>VLOOKUP(G7,Наценка!$A$1:$B$8,2,1)</f>
        <v>1.55</v>
      </c>
      <c r="I7" s="41">
        <f t="shared" si="5"/>
        <v>869</v>
      </c>
      <c r="J7" s="27">
        <f t="shared" si="1"/>
        <v>869</v>
      </c>
      <c r="K7" s="54">
        <f>VLOOKUP($A7,'Выгр Кат'!$A:$R,K$1,0)</f>
        <v>600</v>
      </c>
      <c r="L7" s="54">
        <f>VLOOKUP($A7,'Выгр Кат'!$A:$R,L$1,0)</f>
        <v>889</v>
      </c>
      <c r="M7" s="24">
        <f t="shared" si="2"/>
        <v>0</v>
      </c>
      <c r="N7" s="24">
        <f t="shared" si="3"/>
        <v>20</v>
      </c>
      <c r="O7" s="25">
        <f t="shared" si="4"/>
        <v>869</v>
      </c>
      <c r="P7" s="57">
        <f>IFERROR(O7/G7-1,"")</f>
        <v>0.44833333333333325</v>
      </c>
      <c r="Q7" s="57">
        <f>IFERROR((S7-O7)/S7,"")</f>
        <v>0.10319917440660474</v>
      </c>
      <c r="R7" s="57">
        <f>IFERROR(IF(S7="","",S7/G7-1),"")</f>
        <v>0.61499999999999999</v>
      </c>
      <c r="S7" s="50">
        <f t="shared" ref="S7:S21" si="6">W7</f>
        <v>969</v>
      </c>
      <c r="T7" s="33">
        <f>IFERROR((VLOOKUP($A7,'Из ГУГЛа'!$B:$Z,T$1,0)+V7)*U7,VLOOKUP($A7,'Из ГУГЛа'!$B:$Z,T$1,0))</f>
        <v>969</v>
      </c>
      <c r="U7" s="10">
        <v>1</v>
      </c>
      <c r="V7" s="10">
        <v>0</v>
      </c>
      <c r="W7" s="46">
        <v>969</v>
      </c>
      <c r="X7" s="46" t="s">
        <v>175</v>
      </c>
      <c r="Y7" s="33" t="str">
        <f>IFERROR((VLOOKUP($A7,'Из ГУГЛа'!$B:$Z,Y$1,0)+AA7)*Z7,VLOOKUP($A7,'Из ГУГЛа'!$B:$Z,Y$1,0))</f>
        <v/>
      </c>
      <c r="Z7" s="10">
        <v>1</v>
      </c>
      <c r="AA7" s="10">
        <v>0</v>
      </c>
    </row>
    <row r="8" spans="1:29" ht="30" x14ac:dyDescent="0.25">
      <c r="A8" s="54">
        <v>214542</v>
      </c>
      <c r="B8" s="54">
        <f>VLOOKUP($A8,'Выгр Кат'!$A:$R,B$1,0)</f>
        <v>6793</v>
      </c>
      <c r="C8" s="55" t="str">
        <f>VLOOKUP($A8,'Выгр Кат'!$A:$R,C$1,0)</f>
        <v>Спойлер "AVR" для ВАЗ 2101, 2103, 2105-2107</v>
      </c>
      <c r="D8" s="54" t="str">
        <f>VLOOKUP($A8,'Выгр Кат'!$A:$R,D$1,0)</f>
        <v>Y</v>
      </c>
      <c r="E8" s="54" t="str">
        <f>VLOOKUP($A8,'Выгр Кат'!$A:$R,E$1,0)</f>
        <v>1ск2</v>
      </c>
      <c r="F8" s="32" t="s">
        <v>25</v>
      </c>
      <c r="G8" s="59">
        <v>600</v>
      </c>
      <c r="H8" s="56">
        <f>VLOOKUP(G8,Наценка!$A$1:$B$8,2,1)</f>
        <v>1.55</v>
      </c>
      <c r="I8" s="41">
        <f t="shared" si="5"/>
        <v>869</v>
      </c>
      <c r="J8" s="27">
        <f t="shared" si="1"/>
        <v>869</v>
      </c>
      <c r="K8" s="54">
        <f>VLOOKUP($A8,'Выгр Кат'!$A:$R,K$1,0)</f>
        <v>600</v>
      </c>
      <c r="L8" s="54">
        <f>VLOOKUP($A8,'Выгр Кат'!$A:$R,L$1,0)</f>
        <v>889</v>
      </c>
      <c r="M8" s="24">
        <f t="shared" si="2"/>
        <v>0</v>
      </c>
      <c r="N8" s="24">
        <f t="shared" si="3"/>
        <v>20</v>
      </c>
      <c r="O8" s="25">
        <f t="shared" si="4"/>
        <v>869</v>
      </c>
      <c r="P8" s="57">
        <f>IFERROR(O8/G8-1,"")</f>
        <v>0.44833333333333325</v>
      </c>
      <c r="Q8" s="57">
        <f>IFERROR((S8-O8)/S8,"")</f>
        <v>0.10319917440660474</v>
      </c>
      <c r="R8" s="57">
        <f>IFERROR(IF(S8="","",S8/G8-1),"")</f>
        <v>0.61499999999999999</v>
      </c>
      <c r="S8" s="58">
        <v>969</v>
      </c>
      <c r="T8" s="33" t="str">
        <f>IFERROR((VLOOKUP($A8,'Из ГУГЛа'!$B:$Z,T$1,0)+V8)*U8,VLOOKUP($A8,'Из ГУГЛа'!$B:$Z,T$1,0))</f>
        <v/>
      </c>
      <c r="U8" s="10">
        <v>1</v>
      </c>
      <c r="V8" s="10">
        <v>0</v>
      </c>
      <c r="Y8" s="33" t="str">
        <f>IFERROR((VLOOKUP($A8,'Из ГУГЛа'!$B:$Z,Y$1,0)+AA8)*Z8,VLOOKUP($A8,'Из ГУГЛа'!$B:$Z,Y$1,0))</f>
        <v/>
      </c>
      <c r="Z8" s="10">
        <v>1</v>
      </c>
      <c r="AA8" s="10">
        <v>0</v>
      </c>
    </row>
    <row r="9" spans="1:29" ht="30" x14ac:dyDescent="0.25">
      <c r="A9" s="54">
        <v>264552</v>
      </c>
      <c r="B9" s="54">
        <f>VLOOKUP($A9,'Выгр Кат'!$A:$R,B$1,0)</f>
        <v>208691</v>
      </c>
      <c r="C9" s="55" t="str">
        <f>VLOOKUP($A9,'Выгр Кат'!$A:$R,C$1,0)</f>
        <v>Спойлер "AVR" неокрашенный для ВАЗ 2105, 2107</v>
      </c>
      <c r="D9" s="54" t="str">
        <f>VLOOKUP($A9,'Выгр Кат'!$A:$R,D$1,0)</f>
        <v>Y</v>
      </c>
      <c r="E9" s="54" t="str">
        <f>VLOOKUP($A9,'Выгр Кат'!$A:$R,E$1,0)</f>
        <v>1</v>
      </c>
      <c r="F9" s="32" t="s">
        <v>25</v>
      </c>
      <c r="G9" s="59">
        <v>500</v>
      </c>
      <c r="H9" s="56">
        <f>VLOOKUP(G9,Наценка!$A$1:$B$8,2,1)</f>
        <v>1.55</v>
      </c>
      <c r="I9" s="41">
        <f t="shared" si="5"/>
        <v>890</v>
      </c>
      <c r="J9" s="27">
        <f t="shared" si="1"/>
        <v>889</v>
      </c>
      <c r="K9" s="54">
        <f>VLOOKUP($A9,'Выгр Кат'!$A:$R,K$1,0)</f>
        <v>500</v>
      </c>
      <c r="L9" s="54">
        <f>VLOOKUP($A9,'Выгр Кат'!$A:$R,L$1,0)</f>
        <v>909</v>
      </c>
      <c r="M9" s="24">
        <f t="shared" si="2"/>
        <v>0</v>
      </c>
      <c r="N9" s="24">
        <f t="shared" si="3"/>
        <v>20</v>
      </c>
      <c r="O9" s="25">
        <f t="shared" si="4"/>
        <v>889</v>
      </c>
      <c r="P9" s="57">
        <f>IFERROR(O9/G9-1,"")</f>
        <v>0.77800000000000002</v>
      </c>
      <c r="Q9" s="57">
        <f>IFERROR((S9-O9)/S9,"")</f>
        <v>0.10202020202020202</v>
      </c>
      <c r="R9" s="57">
        <f>IFERROR(IF(S9="","",S9/G9-1),"")</f>
        <v>0.98</v>
      </c>
      <c r="S9" s="50">
        <f t="shared" si="6"/>
        <v>990</v>
      </c>
      <c r="T9" s="33">
        <f>IFERROR((VLOOKUP($A9,'Из ГУГЛа'!$B:$Z,T$1,0)+V9)*U9,VLOOKUP($A9,'Из ГУГЛа'!$B:$Z,T$1,0))</f>
        <v>990</v>
      </c>
      <c r="U9" s="10">
        <v>1</v>
      </c>
      <c r="V9" s="10">
        <v>0</v>
      </c>
      <c r="W9" s="46">
        <v>990</v>
      </c>
      <c r="X9" s="46" t="s">
        <v>176</v>
      </c>
      <c r="Y9" s="33" t="str">
        <f>IFERROR((VLOOKUP($A9,'Из ГУГЛа'!$B:$Z,Y$1,0)+AA9)*Z9,VLOOKUP($A9,'Из ГУГЛа'!$B:$Z,Y$1,0))</f>
        <v/>
      </c>
      <c r="Z9" s="10">
        <v>1</v>
      </c>
      <c r="AA9" s="10">
        <v>0</v>
      </c>
    </row>
    <row r="10" spans="1:29" ht="30" x14ac:dyDescent="0.25">
      <c r="A10" s="54">
        <v>214593</v>
      </c>
      <c r="B10" s="54">
        <f>VLOOKUP($A10,'Выгр Кат'!$A:$R,B$1,0)</f>
        <v>15163</v>
      </c>
      <c r="C10" s="55" t="str">
        <f>VLOOKUP($A10,'Выгр Кат'!$A:$R,C$1,0)</f>
        <v>Спойлер "AVR" шагрень для ВАЗ 2101, 2103, 2105-2107</v>
      </c>
      <c r="D10" s="54" t="str">
        <f>VLOOKUP($A10,'Выгр Кат'!$A:$R,D$1,0)</f>
        <v>Y</v>
      </c>
      <c r="E10" s="54" t="str">
        <f>VLOOKUP($A10,'Выгр Кат'!$A:$R,E$1,0)</f>
        <v>1ск2</v>
      </c>
      <c r="F10" s="32" t="s">
        <v>25</v>
      </c>
      <c r="G10" s="59">
        <v>400</v>
      </c>
      <c r="H10" s="56">
        <f>VLOOKUP(G10,Наценка!$A$1:$B$8,2,1)</f>
        <v>1.6</v>
      </c>
      <c r="I10" s="41">
        <f t="shared" si="5"/>
        <v>890</v>
      </c>
      <c r="J10" s="27">
        <f t="shared" si="1"/>
        <v>889</v>
      </c>
      <c r="K10" s="54">
        <f>VLOOKUP($A10,'Выгр Кат'!$A:$R,K$1,0)</f>
        <v>400</v>
      </c>
      <c r="L10" s="54">
        <f>VLOOKUP($A10,'Выгр Кат'!$A:$R,L$1,0)</f>
        <v>909</v>
      </c>
      <c r="M10" s="24">
        <f t="shared" si="2"/>
        <v>0</v>
      </c>
      <c r="N10" s="24">
        <f t="shared" si="3"/>
        <v>20</v>
      </c>
      <c r="O10" s="25">
        <f t="shared" si="4"/>
        <v>889</v>
      </c>
      <c r="P10" s="57">
        <f>IFERROR(O10/G10-1,"")</f>
        <v>1.2225000000000001</v>
      </c>
      <c r="Q10" s="57">
        <f>IFERROR((S10-O10)/S10,"")</f>
        <v>0.10202020202020202</v>
      </c>
      <c r="R10" s="57">
        <f>IFERROR(IF(S10="","",S10/G10-1),"")</f>
        <v>1.4750000000000001</v>
      </c>
      <c r="S10" s="50">
        <f t="shared" si="6"/>
        <v>990</v>
      </c>
      <c r="T10" s="33">
        <f>IFERROR((VLOOKUP($A10,'Из ГУГЛа'!$B:$Z,T$1,0)+V10)*U10,VLOOKUP($A10,'Из ГУГЛа'!$B:$Z,T$1,0))</f>
        <v>990</v>
      </c>
      <c r="U10" s="10">
        <v>1</v>
      </c>
      <c r="V10" s="10">
        <v>0</v>
      </c>
      <c r="W10" s="46">
        <v>990</v>
      </c>
      <c r="X10" s="46" t="s">
        <v>177</v>
      </c>
      <c r="Y10" s="33" t="str">
        <f>IFERROR((VLOOKUP($A10,'Из ГУГЛа'!$B:$Z,Y$1,0)+AA10)*Z10,VLOOKUP($A10,'Из ГУГЛа'!$B:$Z,Y$1,0))</f>
        <v/>
      </c>
      <c r="Z10" s="10">
        <v>1</v>
      </c>
      <c r="AA10" s="10">
        <v>0</v>
      </c>
    </row>
    <row r="11" spans="1:29" ht="30" x14ac:dyDescent="0.25">
      <c r="A11" s="54">
        <v>214632</v>
      </c>
      <c r="B11" s="54">
        <f>VLOOKUP($A11,'Выгр Кат'!$A:$R,B$1,0)</f>
        <v>15164</v>
      </c>
      <c r="C11" s="55" t="str">
        <f>VLOOKUP($A11,'Выгр Кат'!$A:$R,C$1,0)</f>
        <v>Спойлер "DAONTAXE" шагрень для ВАЗ 2101, 2103, 2105-2107</v>
      </c>
      <c r="D11" s="54" t="str">
        <f>VLOOKUP($A11,'Выгр Кат'!$A:$R,D$1,0)</f>
        <v>Y</v>
      </c>
      <c r="E11" s="54" t="str">
        <f>VLOOKUP($A11,'Выгр Кат'!$A:$R,E$1,0)</f>
        <v>1</v>
      </c>
      <c r="F11" s="32" t="s">
        <v>25</v>
      </c>
      <c r="G11" s="59">
        <v>600</v>
      </c>
      <c r="H11" s="56">
        <f>VLOOKUP(G11,Наценка!$A$1:$B$8,2,1)</f>
        <v>1.55</v>
      </c>
      <c r="I11" s="36">
        <f t="shared" ref="I11:I20" si="7">G11*H11</f>
        <v>930</v>
      </c>
      <c r="J11" s="27">
        <f t="shared" si="1"/>
        <v>929</v>
      </c>
      <c r="K11" s="54">
        <f>VLOOKUP($A11,'Выгр Кат'!$A:$R,K$1,0)</f>
        <v>600</v>
      </c>
      <c r="L11" s="54">
        <f>VLOOKUP($A11,'Выгр Кат'!$A:$R,L$1,0)</f>
        <v>949</v>
      </c>
      <c r="M11" s="24">
        <f t="shared" si="2"/>
        <v>0</v>
      </c>
      <c r="N11" s="24">
        <f t="shared" si="3"/>
        <v>20</v>
      </c>
      <c r="O11" s="25">
        <f t="shared" si="4"/>
        <v>929</v>
      </c>
      <c r="P11" s="57">
        <f>IFERROR(O11/G11-1,"")</f>
        <v>0.54833333333333334</v>
      </c>
      <c r="Q11" s="57" t="str">
        <f>IFERROR((S11-O11)/S11,"")</f>
        <v/>
      </c>
      <c r="R11" s="57" t="str">
        <f>IFERROR(IF(S11="","",S11/G11-1),"")</f>
        <v/>
      </c>
      <c r="S11" s="54"/>
      <c r="T11" s="33" t="str">
        <f>IFERROR((VLOOKUP($A11,'Из ГУГЛа'!$B:$Z,T$1,0)+V11)*U11,VLOOKUP($A11,'Из ГУГЛа'!$B:$Z,T$1,0))</f>
        <v/>
      </c>
      <c r="U11" s="10">
        <v>1</v>
      </c>
      <c r="V11" s="10">
        <v>0</v>
      </c>
      <c r="Y11" s="33" t="str">
        <f>IFERROR((VLOOKUP($A11,'Из ГУГЛа'!$B:$Z,Y$1,0)+AA11)*Z11,VLOOKUP($A11,'Из ГУГЛа'!$B:$Z,Y$1,0))</f>
        <v/>
      </c>
      <c r="Z11" s="10">
        <v>1</v>
      </c>
      <c r="AA11" s="10">
        <v>0</v>
      </c>
    </row>
    <row r="12" spans="1:29" x14ac:dyDescent="0.25">
      <c r="A12" s="54">
        <v>214665</v>
      </c>
      <c r="B12" s="54">
        <f>VLOOKUP($A12,'Выгр Кат'!$A:$R,B$1,0)</f>
        <v>27080</v>
      </c>
      <c r="C12" s="55" t="str">
        <f>VLOOKUP($A12,'Выгр Кат'!$A:$R,C$1,0)</f>
        <v>Спойлер "Drift Spec" для ВАЗ 2105, 2107</v>
      </c>
      <c r="D12" s="54" t="str">
        <f>VLOOKUP($A12,'Выгр Кат'!$A:$R,D$1,0)</f>
        <v>Y</v>
      </c>
      <c r="E12" s="54" t="str">
        <f>VLOOKUP($A12,'Выгр Кат'!$A:$R,E$1,0)</f>
        <v>1</v>
      </c>
      <c r="F12" s="32" t="s">
        <v>25</v>
      </c>
      <c r="G12" s="59">
        <v>1700</v>
      </c>
      <c r="H12" s="56">
        <f>VLOOKUP(G12,Наценка!$A$1:$B$8,2,1)</f>
        <v>1.5</v>
      </c>
      <c r="I12" s="36">
        <f t="shared" si="7"/>
        <v>2550</v>
      </c>
      <c r="J12" s="27">
        <f t="shared" si="1"/>
        <v>2590</v>
      </c>
      <c r="K12" s="54">
        <f>VLOOKUP($A12,'Выгр Кат'!$A:$R,K$1,0)</f>
        <v>1700</v>
      </c>
      <c r="L12" s="54">
        <f>VLOOKUP($A12,'Выгр Кат'!$A:$R,L$1,0)</f>
        <v>2690</v>
      </c>
      <c r="M12" s="24">
        <f t="shared" si="2"/>
        <v>0</v>
      </c>
      <c r="N12" s="24">
        <f t="shared" si="3"/>
        <v>100</v>
      </c>
      <c r="O12" s="25">
        <f t="shared" si="4"/>
        <v>2590</v>
      </c>
      <c r="P12" s="57">
        <f>IFERROR(O12/G12-1,"")</f>
        <v>0.5235294117647058</v>
      </c>
      <c r="Q12" s="57" t="str">
        <f>IFERROR((S12-O12)/S12,"")</f>
        <v/>
      </c>
      <c r="R12" s="57" t="str">
        <f>IFERROR(IF(S12="","",S12/G12-1),"")</f>
        <v/>
      </c>
      <c r="S12" s="54"/>
      <c r="T12" s="33" t="str">
        <f>IFERROR((VLOOKUP($A12,'Из ГУГЛа'!$B:$Z,T$1,0)+V12)*U12,VLOOKUP($A12,'Из ГУГЛа'!$B:$Z,T$1,0))</f>
        <v/>
      </c>
      <c r="U12" s="10">
        <v>1</v>
      </c>
      <c r="V12" s="10">
        <v>0</v>
      </c>
      <c r="Y12" s="33" t="str">
        <f>IFERROR((VLOOKUP($A12,'Из ГУГЛа'!$B:$Z,Y$1,0)+AA12)*Z12,VLOOKUP($A12,'Из ГУГЛа'!$B:$Z,Y$1,0))</f>
        <v/>
      </c>
      <c r="Z12" s="10">
        <v>1</v>
      </c>
      <c r="AA12" s="10">
        <v>0</v>
      </c>
    </row>
    <row r="13" spans="1:29" ht="30" x14ac:dyDescent="0.25">
      <c r="A13" s="54">
        <v>214807</v>
      </c>
      <c r="B13" s="54">
        <f>VLOOKUP($A13,'Выгр Кат'!$A:$R,B$1,0)</f>
        <v>15168</v>
      </c>
      <c r="C13" s="55" t="str">
        <f>VLOOKUP($A13,'Выгр Кат'!$A:$R,C$1,0)</f>
        <v>Спойлер "VFTS" шагрень для ВАЗ 2101, 2103, 2105, 2106</v>
      </c>
      <c r="D13" s="54" t="str">
        <f>VLOOKUP($A13,'Выгр Кат'!$A:$R,D$1,0)</f>
        <v>Y</v>
      </c>
      <c r="E13" s="54" t="str">
        <f>VLOOKUP($A13,'Выгр Кат'!$A:$R,E$1,0)</f>
        <v>1</v>
      </c>
      <c r="F13" s="32" t="s">
        <v>25</v>
      </c>
      <c r="G13" s="59">
        <v>600</v>
      </c>
      <c r="H13" s="56">
        <f>VLOOKUP(G13,Наценка!$A$1:$B$8,2,1)</f>
        <v>1.55</v>
      </c>
      <c r="I13" s="41">
        <f>S13-100</f>
        <v>869</v>
      </c>
      <c r="J13" s="27">
        <f t="shared" si="1"/>
        <v>869</v>
      </c>
      <c r="K13" s="54">
        <f>VLOOKUP($A13,'Выгр Кат'!$A:$R,K$1,0)</f>
        <v>600</v>
      </c>
      <c r="L13" s="54">
        <f>VLOOKUP($A13,'Выгр Кат'!$A:$R,L$1,0)</f>
        <v>889</v>
      </c>
      <c r="M13" s="24">
        <f t="shared" si="2"/>
        <v>0</v>
      </c>
      <c r="N13" s="24">
        <f t="shared" si="3"/>
        <v>20</v>
      </c>
      <c r="O13" s="25">
        <f t="shared" si="4"/>
        <v>869</v>
      </c>
      <c r="P13" s="57">
        <f>IFERROR(O13/G13-1,"")</f>
        <v>0.44833333333333325</v>
      </c>
      <c r="Q13" s="57">
        <f>IFERROR((S13-O13)/S13,"")</f>
        <v>0.10319917440660474</v>
      </c>
      <c r="R13" s="57">
        <f>IFERROR(IF(S13="","",S13/G13-1),"")</f>
        <v>0.61499999999999999</v>
      </c>
      <c r="S13" s="58">
        <v>969</v>
      </c>
      <c r="T13" s="33" t="str">
        <f>IFERROR((VLOOKUP($A13,'Из ГУГЛа'!$B:$Z,T$1,0)+V13)*U13,VLOOKUP($A13,'Из ГУГЛа'!$B:$Z,T$1,0))</f>
        <v/>
      </c>
      <c r="U13" s="10">
        <v>1</v>
      </c>
      <c r="V13" s="10">
        <v>0</v>
      </c>
      <c r="Y13" s="33" t="str">
        <f>IFERROR((VLOOKUP($A13,'Из ГУГЛа'!$B:$Z,Y$1,0)+AA13)*Z13,VLOOKUP($A13,'Из ГУГЛа'!$B:$Z,Y$1,0))</f>
        <v/>
      </c>
      <c r="Z13" s="10">
        <v>1</v>
      </c>
      <c r="AA13" s="10">
        <v>0</v>
      </c>
    </row>
    <row r="14" spans="1:29" ht="30" x14ac:dyDescent="0.25">
      <c r="A14" s="54">
        <v>214840</v>
      </c>
      <c r="B14" s="54">
        <f>VLOOKUP($A14,'Выгр Кат'!$A:$R,B$1,0)</f>
        <v>15166</v>
      </c>
      <c r="C14" s="55" t="str">
        <f>VLOOKUP($A14,'Выгр Кат'!$A:$R,C$1,0)</f>
        <v>Спойлер "VFTS" Шагрень для ВАЗ 2105, 2107</v>
      </c>
      <c r="D14" s="54" t="str">
        <f>VLOOKUP($A14,'Выгр Кат'!$A:$R,D$1,0)</f>
        <v>Y</v>
      </c>
      <c r="E14" s="54" t="str">
        <f>VLOOKUP($A14,'Выгр Кат'!$A:$R,E$1,0)</f>
        <v>1</v>
      </c>
      <c r="F14" s="32" t="s">
        <v>25</v>
      </c>
      <c r="G14" s="59">
        <v>400</v>
      </c>
      <c r="H14" s="56">
        <f>VLOOKUP(G14,Наценка!$A$1:$B$8,2,1)</f>
        <v>1.6</v>
      </c>
      <c r="I14" s="41">
        <f>S14-100</f>
        <v>869</v>
      </c>
      <c r="J14" s="27">
        <f t="shared" si="1"/>
        <v>869</v>
      </c>
      <c r="K14" s="54">
        <f>VLOOKUP($A14,'Выгр Кат'!$A:$R,K$1,0)</f>
        <v>400</v>
      </c>
      <c r="L14" s="54">
        <f>VLOOKUP($A14,'Выгр Кат'!$A:$R,L$1,0)</f>
        <v>889</v>
      </c>
      <c r="M14" s="24">
        <f t="shared" si="2"/>
        <v>0</v>
      </c>
      <c r="N14" s="24">
        <f t="shared" si="3"/>
        <v>20</v>
      </c>
      <c r="O14" s="25">
        <f t="shared" si="4"/>
        <v>869</v>
      </c>
      <c r="P14" s="57">
        <f>IFERROR(O14/G14-1,"")</f>
        <v>1.1724999999999999</v>
      </c>
      <c r="Q14" s="57">
        <f>IFERROR((S14-O14)/S14,"")</f>
        <v>0.10319917440660474</v>
      </c>
      <c r="R14" s="57">
        <f>IFERROR(IF(S14="","",S14/G14-1),"")</f>
        <v>1.4224999999999999</v>
      </c>
      <c r="S14" s="58">
        <v>969</v>
      </c>
      <c r="T14" s="33" t="str">
        <f>IFERROR((VLOOKUP($A14,'Из ГУГЛа'!$B:$Z,T$1,0)+V14)*U14,VLOOKUP($A14,'Из ГУГЛа'!$B:$Z,T$1,0))</f>
        <v/>
      </c>
      <c r="U14" s="10">
        <v>1</v>
      </c>
      <c r="V14" s="10">
        <v>0</v>
      </c>
      <c r="Y14" s="33" t="str">
        <f>IFERROR((VLOOKUP($A14,'Из ГУГЛа'!$B:$Z,Y$1,0)+AA14)*Z14,VLOOKUP($A14,'Из ГУГЛа'!$B:$Z,Y$1,0))</f>
        <v/>
      </c>
      <c r="Z14" s="10">
        <v>1</v>
      </c>
      <c r="AA14" s="10">
        <v>0</v>
      </c>
    </row>
    <row r="15" spans="1:29" ht="30" x14ac:dyDescent="0.25">
      <c r="A15" s="54">
        <v>215245</v>
      </c>
      <c r="B15" s="54">
        <f>VLOOKUP($A15,'Выгр Кат'!$A:$R,B$1,0)</f>
        <v>6788</v>
      </c>
      <c r="C15" s="55" t="str">
        <f>VLOOKUP($A15,'Выгр Кат'!$A:$R,C$1,0)</f>
        <v>Спойлер "Снайпер" для ВАЗ 2101, 2103, 2105-2107</v>
      </c>
      <c r="D15" s="54" t="str">
        <f>VLOOKUP($A15,'Выгр Кат'!$A:$R,D$1,0)</f>
        <v>Y</v>
      </c>
      <c r="E15" s="54" t="str">
        <f>VLOOKUP($A15,'Выгр Кат'!$A:$R,E$1,0)</f>
        <v>1</v>
      </c>
      <c r="F15" s="32" t="s">
        <v>25</v>
      </c>
      <c r="G15" s="59">
        <v>1200</v>
      </c>
      <c r="H15" s="56">
        <f>VLOOKUP(G15,Наценка!$A$1:$B$8,2,1)</f>
        <v>1.5</v>
      </c>
      <c r="I15" s="36">
        <f t="shared" si="7"/>
        <v>1800</v>
      </c>
      <c r="J15" s="27">
        <f t="shared" si="1"/>
        <v>1790</v>
      </c>
      <c r="K15" s="54">
        <f>VLOOKUP($A15,'Выгр Кат'!$A:$R,K$1,0)</f>
        <v>1200</v>
      </c>
      <c r="L15" s="54">
        <f>VLOOKUP($A15,'Выгр Кат'!$A:$R,L$1,0)</f>
        <v>1890</v>
      </c>
      <c r="M15" s="24">
        <f t="shared" si="2"/>
        <v>0</v>
      </c>
      <c r="N15" s="24">
        <f t="shared" si="3"/>
        <v>100</v>
      </c>
      <c r="O15" s="25">
        <f t="shared" si="4"/>
        <v>1790</v>
      </c>
      <c r="P15" s="57">
        <f>IFERROR(O15/G15-1,"")</f>
        <v>0.4916666666666667</v>
      </c>
      <c r="Q15" s="57" t="str">
        <f>IFERROR((S15-O15)/S15,"")</f>
        <v/>
      </c>
      <c r="R15" s="57" t="str">
        <f>IFERROR(IF(S15="","",S15/G15-1),"")</f>
        <v/>
      </c>
      <c r="S15" s="54"/>
      <c r="T15" s="33" t="str">
        <f>IFERROR((VLOOKUP($A15,'Из ГУГЛа'!$B:$Z,T$1,0)+V15)*U15,VLOOKUP($A15,'Из ГУГЛа'!$B:$Z,T$1,0))</f>
        <v/>
      </c>
      <c r="U15" s="10">
        <v>1</v>
      </c>
      <c r="V15" s="10">
        <v>0</v>
      </c>
      <c r="Y15" s="33" t="str">
        <f>IFERROR((VLOOKUP($A15,'Из ГУГЛа'!$B:$Z,Y$1,0)+AA15)*Z15,VLOOKUP($A15,'Из ГУГЛа'!$B:$Z,Y$1,0))</f>
        <v/>
      </c>
      <c r="Z15" s="10">
        <v>1</v>
      </c>
      <c r="AA15" s="10">
        <v>0</v>
      </c>
    </row>
    <row r="16" spans="1:29" ht="30" x14ac:dyDescent="0.25">
      <c r="A16" s="54">
        <v>215246</v>
      </c>
      <c r="B16" s="54">
        <f>VLOOKUP($A16,'Выгр Кат'!$A:$R,B$1,0)</f>
        <v>29632</v>
      </c>
      <c r="C16" s="55" t="str">
        <f>VLOOKUP($A16,'Выгр Кат'!$A:$R,C$1,0)</f>
        <v>Спойлер "Узкий" без выреза под личинку, для ВАЗ 2105, 2107</v>
      </c>
      <c r="D16" s="54" t="str">
        <f>VLOOKUP($A16,'Выгр Кат'!$A:$R,D$1,0)</f>
        <v>Y</v>
      </c>
      <c r="E16" s="54" t="str">
        <f>VLOOKUP($A16,'Выгр Кат'!$A:$R,E$1,0)</f>
        <v>1</v>
      </c>
      <c r="F16" s="32" t="s">
        <v>25</v>
      </c>
      <c r="G16" s="59">
        <v>600</v>
      </c>
      <c r="H16" s="56">
        <f>VLOOKUP(G16,Наценка!$A$1:$B$8,2,1)</f>
        <v>1.55</v>
      </c>
      <c r="I16" s="41">
        <f>S16-100</f>
        <v>890</v>
      </c>
      <c r="J16" s="27">
        <f t="shared" si="1"/>
        <v>889</v>
      </c>
      <c r="K16" s="54">
        <f>VLOOKUP($A16,'Выгр Кат'!$A:$R,K$1,0)</f>
        <v>600</v>
      </c>
      <c r="L16" s="54">
        <f>VLOOKUP($A16,'Выгр Кат'!$A:$R,L$1,0)</f>
        <v>909</v>
      </c>
      <c r="M16" s="24">
        <f t="shared" si="2"/>
        <v>0</v>
      </c>
      <c r="N16" s="24">
        <f t="shared" si="3"/>
        <v>20</v>
      </c>
      <c r="O16" s="25">
        <f t="shared" si="4"/>
        <v>889</v>
      </c>
      <c r="P16" s="57">
        <f>IFERROR(O16/G16-1,"")</f>
        <v>0.48166666666666669</v>
      </c>
      <c r="Q16" s="57">
        <f>IFERROR((S16-O16)/S16,"")</f>
        <v>0.10202020202020202</v>
      </c>
      <c r="R16" s="57">
        <f>IFERROR(IF(S16="","",S16/G16-1),"")</f>
        <v>0.64999999999999991</v>
      </c>
      <c r="S16" s="50">
        <f t="shared" si="6"/>
        <v>990</v>
      </c>
      <c r="T16" s="33">
        <f>IFERROR((VLOOKUP($A16,'Из ГУГЛа'!$B:$Z,T$1,0)+V16)*U16,VLOOKUP($A16,'Из ГУГЛа'!$B:$Z,T$1,0))</f>
        <v>990</v>
      </c>
      <c r="U16" s="10">
        <v>1</v>
      </c>
      <c r="V16" s="10">
        <v>0</v>
      </c>
      <c r="W16" s="46">
        <v>990</v>
      </c>
      <c r="X16" s="46" t="s">
        <v>186</v>
      </c>
      <c r="Y16" s="33" t="str">
        <f>IFERROR((VLOOKUP($A16,'Из ГУГЛа'!$B:$Z,Y$1,0)+AA16)*Z16,VLOOKUP($A16,'Из ГУГЛа'!$B:$Z,Y$1,0))</f>
        <v/>
      </c>
      <c r="Z16" s="10">
        <v>1</v>
      </c>
      <c r="AA16" s="10">
        <v>0</v>
      </c>
    </row>
    <row r="17" spans="1:27" ht="30" x14ac:dyDescent="0.25">
      <c r="A17" s="54">
        <v>216142</v>
      </c>
      <c r="B17" s="54">
        <f>VLOOKUP($A17,'Выгр Кат'!$A:$R,B$1,0)</f>
        <v>13643</v>
      </c>
      <c r="C17" s="55" t="str">
        <f>VLOOKUP($A17,'Выгр Кат'!$A:$R,C$1,0)</f>
        <v>Спойлер длинный хвост для ВАЗ 2101, 2103, 2105-2107</v>
      </c>
      <c r="D17" s="54" t="str">
        <f>VLOOKUP($A17,'Выгр Кат'!$A:$R,D$1,0)</f>
        <v>Y</v>
      </c>
      <c r="E17" s="54" t="str">
        <f>VLOOKUP($A17,'Выгр Кат'!$A:$R,E$1,0)</f>
        <v>1ск2</v>
      </c>
      <c r="F17" s="32" t="s">
        <v>25</v>
      </c>
      <c r="G17" s="59">
        <v>600</v>
      </c>
      <c r="H17" s="56">
        <f>VLOOKUP(G17,Наценка!$A$1:$B$8,2,1)</f>
        <v>1.55</v>
      </c>
      <c r="I17" s="36">
        <f t="shared" si="7"/>
        <v>930</v>
      </c>
      <c r="J17" s="27">
        <f t="shared" si="1"/>
        <v>929</v>
      </c>
      <c r="K17" s="54">
        <f>VLOOKUP($A17,'Выгр Кат'!$A:$R,K$1,0)</f>
        <v>600</v>
      </c>
      <c r="L17" s="54">
        <f>VLOOKUP($A17,'Выгр Кат'!$A:$R,L$1,0)</f>
        <v>949</v>
      </c>
      <c r="M17" s="24">
        <f t="shared" si="2"/>
        <v>0</v>
      </c>
      <c r="N17" s="24">
        <f t="shared" si="3"/>
        <v>20</v>
      </c>
      <c r="O17" s="25">
        <f t="shared" si="4"/>
        <v>929</v>
      </c>
      <c r="P17" s="57">
        <f>IFERROR(O17/G17-1,"")</f>
        <v>0.54833333333333334</v>
      </c>
      <c r="Q17" s="57" t="str">
        <f>IFERROR((S17-O17)/S17,"")</f>
        <v/>
      </c>
      <c r="R17" s="57" t="str">
        <f>IFERROR(IF(S17="","",S17/G17-1),"")</f>
        <v/>
      </c>
      <c r="S17" s="54"/>
      <c r="T17" s="33" t="str">
        <f>IFERROR((VLOOKUP($A17,'Из ГУГЛа'!$B:$Z,T$1,0)+V17)*U17,VLOOKUP($A17,'Из ГУГЛа'!$B:$Z,T$1,0))</f>
        <v/>
      </c>
      <c r="U17" s="10">
        <v>1</v>
      </c>
      <c r="V17" s="10">
        <v>0</v>
      </c>
      <c r="Y17" s="33" t="str">
        <f>IFERROR((VLOOKUP($A17,'Из ГУГЛа'!$B:$Z,Y$1,0)+AA17)*Z17,VLOOKUP($A17,'Из ГУГЛа'!$B:$Z,Y$1,0))</f>
        <v/>
      </c>
      <c r="Z17" s="10">
        <v>1</v>
      </c>
      <c r="AA17" s="10">
        <v>0</v>
      </c>
    </row>
    <row r="18" spans="1:27" ht="30" x14ac:dyDescent="0.25">
      <c r="A18" s="54">
        <v>216882</v>
      </c>
      <c r="B18" s="54">
        <f>VLOOKUP($A18,'Выгр Кат'!$A:$R,B$1,0)</f>
        <v>15167</v>
      </c>
      <c r="C18" s="55" t="str">
        <f>VLOOKUP($A18,'Выгр Кат'!$A:$R,C$1,0)</f>
        <v>Спойлер Снайпер шагрень для ВАЗ 2101, 2103, 2105-2107</v>
      </c>
      <c r="D18" s="54" t="str">
        <f>VLOOKUP($A18,'Выгр Кат'!$A:$R,D$1,0)</f>
        <v>Y</v>
      </c>
      <c r="E18" s="54" t="str">
        <f>VLOOKUP($A18,'Выгр Кат'!$A:$R,E$1,0)</f>
        <v>1</v>
      </c>
      <c r="F18" s="32" t="s">
        <v>25</v>
      </c>
      <c r="G18" s="59">
        <v>600</v>
      </c>
      <c r="H18" s="56">
        <f>VLOOKUP(G18,Наценка!$A$1:$B$8,2,1)</f>
        <v>1.55</v>
      </c>
      <c r="I18" s="36">
        <f t="shared" si="7"/>
        <v>930</v>
      </c>
      <c r="J18" s="27">
        <f t="shared" si="1"/>
        <v>929</v>
      </c>
      <c r="K18" s="54">
        <f>VLOOKUP($A18,'Выгр Кат'!$A:$R,K$1,0)</f>
        <v>600</v>
      </c>
      <c r="L18" s="54">
        <f>VLOOKUP($A18,'Выгр Кат'!$A:$R,L$1,0)</f>
        <v>949</v>
      </c>
      <c r="M18" s="24">
        <f t="shared" si="2"/>
        <v>0</v>
      </c>
      <c r="N18" s="24">
        <f t="shared" si="3"/>
        <v>20</v>
      </c>
      <c r="O18" s="25">
        <f t="shared" si="4"/>
        <v>929</v>
      </c>
      <c r="P18" s="57">
        <f>IFERROR(O18/G18-1,"")</f>
        <v>0.54833333333333334</v>
      </c>
      <c r="Q18" s="57" t="str">
        <f>IFERROR((S18-O18)/S18,"")</f>
        <v/>
      </c>
      <c r="R18" s="57" t="str">
        <f>IFERROR(IF(S18="","",S18/G18-1),"")</f>
        <v/>
      </c>
      <c r="S18" s="54"/>
      <c r="T18" s="33" t="str">
        <f>IFERROR((VLOOKUP($A18,'Из ГУГЛа'!$B:$Z,T$1,0)+V18)*U18,VLOOKUP($A18,'Из ГУГЛа'!$B:$Z,T$1,0))</f>
        <v/>
      </c>
      <c r="U18" s="10">
        <v>1</v>
      </c>
      <c r="V18" s="10">
        <v>0</v>
      </c>
      <c r="Y18" s="33" t="str">
        <f>IFERROR((VLOOKUP($A18,'Из ГУГЛа'!$B:$Z,Y$1,0)+AA18)*Z18,VLOOKUP($A18,'Из ГУГЛа'!$B:$Z,Y$1,0))</f>
        <v/>
      </c>
      <c r="Z18" s="10">
        <v>1</v>
      </c>
      <c r="AA18" s="10">
        <v>0</v>
      </c>
    </row>
    <row r="19" spans="1:27" x14ac:dyDescent="0.25">
      <c r="A19" s="54">
        <v>216995</v>
      </c>
      <c r="B19" s="54">
        <f>VLOOKUP($A19,'Выгр Кат'!$A:$R,B$1,0)</f>
        <v>15201</v>
      </c>
      <c r="C19" s="55" t="str">
        <f>VLOOKUP($A19,'Выгр Кат'!$A:$R,C$1,0)</f>
        <v>Спойлер Файтер для ВАЗ 2105, 2107</v>
      </c>
      <c r="D19" s="54" t="str">
        <f>VLOOKUP($A19,'Выгр Кат'!$A:$R,D$1,0)</f>
        <v>Y</v>
      </c>
      <c r="E19" s="54" t="str">
        <f>VLOOKUP($A19,'Выгр Кат'!$A:$R,E$1,0)</f>
        <v>1ск2</v>
      </c>
      <c r="F19" s="32" t="s">
        <v>25</v>
      </c>
      <c r="G19" s="59">
        <v>360</v>
      </c>
      <c r="H19" s="56">
        <f>VLOOKUP(G19,Наценка!$A$1:$B$8,2,1)</f>
        <v>1.6</v>
      </c>
      <c r="I19" s="36">
        <f t="shared" si="7"/>
        <v>576</v>
      </c>
      <c r="J19" s="27">
        <f t="shared" si="1"/>
        <v>579</v>
      </c>
      <c r="K19" s="54">
        <f>VLOOKUP($A19,'Выгр Кат'!$A:$R,K$1,0)</f>
        <v>360</v>
      </c>
      <c r="L19" s="54">
        <f>VLOOKUP($A19,'Выгр Кат'!$A:$R,L$1,0)</f>
        <v>599</v>
      </c>
      <c r="M19" s="24">
        <f t="shared" si="2"/>
        <v>0</v>
      </c>
      <c r="N19" s="24">
        <f t="shared" si="3"/>
        <v>20</v>
      </c>
      <c r="O19" s="25">
        <f t="shared" si="4"/>
        <v>579</v>
      </c>
      <c r="P19" s="57">
        <f>IFERROR(O19/G19-1,"")</f>
        <v>0.60833333333333339</v>
      </c>
      <c r="Q19" s="57" t="str">
        <f>IFERROR((S19-O19)/S19,"")</f>
        <v/>
      </c>
      <c r="R19" s="57" t="str">
        <f>IFERROR(IF(S19="","",S19/G19-1),"")</f>
        <v/>
      </c>
      <c r="S19" s="54"/>
      <c r="T19" s="33" t="str">
        <f>IFERROR((VLOOKUP($A19,'Из ГУГЛа'!$B:$Z,T$1,0)+V19)*U19,VLOOKUP($A19,'Из ГУГЛа'!$B:$Z,T$1,0))</f>
        <v/>
      </c>
      <c r="U19" s="10">
        <v>1</v>
      </c>
      <c r="V19" s="10">
        <v>0</v>
      </c>
      <c r="Y19" s="33" t="str">
        <f>IFERROR((VLOOKUP($A19,'Из ГУГЛа'!$B:$Z,Y$1,0)+AA19)*Z19,VLOOKUP($A19,'Из ГУГЛа'!$B:$Z,Y$1,0))</f>
        <v/>
      </c>
      <c r="Z19" s="10">
        <v>1</v>
      </c>
      <c r="AA19" s="10">
        <v>0</v>
      </c>
    </row>
    <row r="20" spans="1:27" ht="30" x14ac:dyDescent="0.25">
      <c r="A20" s="54">
        <v>216996</v>
      </c>
      <c r="B20" s="54">
        <f>VLOOKUP($A20,'Выгр Кат'!$A:$R,B$1,0)</f>
        <v>15203</v>
      </c>
      <c r="C20" s="55" t="str">
        <f>VLOOKUP($A20,'Выгр Кат'!$A:$R,C$1,0)</f>
        <v>Спойлер Файтер шагрень для ВАЗ 2105, 2107</v>
      </c>
      <c r="D20" s="54" t="str">
        <f>VLOOKUP($A20,'Выгр Кат'!$A:$R,D$1,0)</f>
        <v>Y</v>
      </c>
      <c r="E20" s="54" t="str">
        <f>VLOOKUP($A20,'Выгр Кат'!$A:$R,E$1,0)</f>
        <v>1ск2</v>
      </c>
      <c r="F20" s="32" t="s">
        <v>25</v>
      </c>
      <c r="G20" s="59">
        <v>350</v>
      </c>
      <c r="H20" s="56">
        <f>VLOOKUP(G20,Наценка!$A$1:$B$8,2,1)</f>
        <v>1.6</v>
      </c>
      <c r="I20" s="36">
        <f t="shared" si="7"/>
        <v>560</v>
      </c>
      <c r="J20" s="27">
        <f t="shared" si="1"/>
        <v>559</v>
      </c>
      <c r="K20" s="54">
        <f>VLOOKUP($A20,'Выгр Кат'!$A:$R,K$1,0)</f>
        <v>350</v>
      </c>
      <c r="L20" s="54">
        <f>VLOOKUP($A20,'Выгр Кат'!$A:$R,L$1,0)</f>
        <v>579</v>
      </c>
      <c r="M20" s="24">
        <f t="shared" si="2"/>
        <v>0</v>
      </c>
      <c r="N20" s="24">
        <f t="shared" si="3"/>
        <v>20</v>
      </c>
      <c r="O20" s="25">
        <f t="shared" si="4"/>
        <v>559</v>
      </c>
      <c r="P20" s="57">
        <f>IFERROR(O20/G20-1,"")</f>
        <v>0.5971428571428572</v>
      </c>
      <c r="Q20" s="57" t="str">
        <f>IFERROR((S20-O20)/S20,"")</f>
        <v/>
      </c>
      <c r="R20" s="57" t="str">
        <f>IFERROR(IF(S20="","",S20/G20-1),"")</f>
        <v/>
      </c>
      <c r="S20" s="54"/>
      <c r="T20" s="33" t="str">
        <f>IFERROR((VLOOKUP($A20,'Из ГУГЛа'!$B:$Z,T$1,0)+V20)*U20,VLOOKUP($A20,'Из ГУГЛа'!$B:$Z,T$1,0))</f>
        <v/>
      </c>
      <c r="U20" s="10">
        <v>1</v>
      </c>
      <c r="V20" s="10">
        <v>0</v>
      </c>
      <c r="Y20" s="33" t="str">
        <f>IFERROR((VLOOKUP($A20,'Из ГУГЛа'!$B:$Z,Y$1,0)+AA20)*Z20,VLOOKUP($A20,'Из ГУГЛа'!$B:$Z,Y$1,0))</f>
        <v/>
      </c>
      <c r="Z20" s="10">
        <v>1</v>
      </c>
      <c r="AA20" s="10">
        <v>0</v>
      </c>
    </row>
    <row r="21" spans="1:27" ht="45" x14ac:dyDescent="0.25">
      <c r="A21" s="54">
        <v>223121</v>
      </c>
      <c r="B21" s="54">
        <f>VLOOKUP($A21,'Выгр Кат'!$A:$R,B$1,0)</f>
        <v>23775</v>
      </c>
      <c r="C21" s="55" t="str">
        <f>VLOOKUP($A21,'Выгр Кат'!$A:$R,C$1,0)</f>
        <v>Универсальный лип-спойлер "Sal-Man" (чёрный, с подсветкой) на крышку багажника</v>
      </c>
      <c r="D21" s="54" t="str">
        <f>VLOOKUP($A21,'Выгр Кат'!$A:$R,D$1,0)</f>
        <v>Y</v>
      </c>
      <c r="E21" s="54" t="str">
        <f>VLOOKUP($A21,'Выгр Кат'!$A:$R,E$1,0)</f>
        <v>1</v>
      </c>
      <c r="F21" s="32" t="s">
        <v>25</v>
      </c>
      <c r="G21" s="59">
        <v>1800</v>
      </c>
      <c r="H21" s="56">
        <f>VLOOKUP(G21,Наценка!$A$1:$B$8,2,1)</f>
        <v>1.5</v>
      </c>
      <c r="I21" s="34">
        <f>S21-100</f>
        <v>2399</v>
      </c>
      <c r="J21" s="27">
        <f t="shared" si="1"/>
        <v>2390</v>
      </c>
      <c r="K21" s="54">
        <f>VLOOKUP($A21,'Выгр Кат'!$A:$R,K$1,0)</f>
        <v>1800</v>
      </c>
      <c r="L21" s="54">
        <f>VLOOKUP($A21,'Выгр Кат'!$A:$R,L$1,0)</f>
        <v>2490</v>
      </c>
      <c r="M21" s="24">
        <f t="shared" si="2"/>
        <v>0</v>
      </c>
      <c r="N21" s="24">
        <f t="shared" si="3"/>
        <v>100</v>
      </c>
      <c r="O21" s="25">
        <f t="shared" si="4"/>
        <v>2390</v>
      </c>
      <c r="P21" s="57">
        <f>IFERROR(O21/G21-1,"")</f>
        <v>0.32777777777777772</v>
      </c>
      <c r="Q21" s="57">
        <f>IFERROR((S21-O21)/S21,"")</f>
        <v>4.3617446978791517E-2</v>
      </c>
      <c r="R21" s="57">
        <f>IFERROR(IF(S21="","",S21/G21-1),"")</f>
        <v>0.38833333333333342</v>
      </c>
      <c r="S21" s="50">
        <f t="shared" si="6"/>
        <v>2499</v>
      </c>
      <c r="T21" s="33">
        <f>IFERROR((VLOOKUP($A21,'Из ГУГЛа'!$B:$Z,T$1,0)+V21)*U21,VLOOKUP($A21,'Из ГУГЛа'!$B:$Z,T$1,0))</f>
        <v>2499</v>
      </c>
      <c r="U21" s="10">
        <v>1</v>
      </c>
      <c r="V21" s="10">
        <v>0</v>
      </c>
      <c r="W21" s="46">
        <v>2499</v>
      </c>
      <c r="X21" s="46" t="s">
        <v>185</v>
      </c>
      <c r="Y21" s="33" t="str">
        <f>IFERROR((VLOOKUP($A21,'Из ГУГЛа'!$B:$Z,Y$1,0)+AA21)*Z21,VLOOKUP($A21,'Из ГУГЛа'!$B:$Z,Y$1,0))</f>
        <v/>
      </c>
      <c r="Z21" s="10">
        <v>1</v>
      </c>
      <c r="AA21" s="10">
        <v>0</v>
      </c>
    </row>
    <row r="26" spans="1:27" x14ac:dyDescent="0.25">
      <c r="I26" s="39">
        <f>S26-10</f>
        <v>-10</v>
      </c>
    </row>
    <row r="27" spans="1:27" x14ac:dyDescent="0.25">
      <c r="I27" s="40">
        <f>S27-30</f>
        <v>-30</v>
      </c>
    </row>
    <row r="28" spans="1:27" x14ac:dyDescent="0.25">
      <c r="I28" s="41">
        <f>S28-100</f>
        <v>-100</v>
      </c>
    </row>
    <row r="29" spans="1:27" x14ac:dyDescent="0.25">
      <c r="I29" s="42">
        <f>S29</f>
        <v>0</v>
      </c>
    </row>
    <row r="30" spans="1:27" x14ac:dyDescent="0.25">
      <c r="I30" s="42">
        <f>S30*1.02</f>
        <v>0</v>
      </c>
    </row>
    <row r="31" spans="1:27" x14ac:dyDescent="0.25">
      <c r="I31" s="43">
        <f>S31*1.05</f>
        <v>0</v>
      </c>
    </row>
    <row r="32" spans="1:27" x14ac:dyDescent="0.25">
      <c r="I32" s="44">
        <f>S32*1.08</f>
        <v>0</v>
      </c>
    </row>
    <row r="33" spans="9:9" x14ac:dyDescent="0.25">
      <c r="I33" s="35">
        <f>G33*1.24</f>
        <v>0</v>
      </c>
    </row>
  </sheetData>
  <autoFilter ref="A2:AC21" xr:uid="{FA7F9353-0017-46EB-9BA6-D1DA8A12A7B1}"/>
  <conditionalFormatting sqref="P3:P21">
    <cfRule type="cellIs" dxfId="14" priority="9" operator="lessThan">
      <formula>0.15</formula>
    </cfRule>
  </conditionalFormatting>
  <conditionalFormatting sqref="Q3:Q21">
    <cfRule type="cellIs" dxfId="13" priority="8" operator="lessThan">
      <formula>0%</formula>
    </cfRule>
  </conditionalFormatting>
  <conditionalFormatting sqref="R3:R21">
    <cfRule type="cellIs" dxfId="12" priority="7" operator="lessThan">
      <formula>0.15</formula>
    </cfRule>
  </conditionalFormatting>
  <conditionalFormatting sqref="T3:T21">
    <cfRule type="expression" dxfId="11" priority="6">
      <formula>VALUE(T3)&lt;&gt;W3</formula>
    </cfRule>
  </conditionalFormatting>
  <conditionalFormatting sqref="C3:C21">
    <cfRule type="expression" dxfId="10" priority="4">
      <formula>OR(D3="N",E3="0")</formula>
    </cfRule>
  </conditionalFormatting>
  <conditionalFormatting sqref="A3:A21">
    <cfRule type="expression" dxfId="9" priority="2">
      <formula>AND(ROUNDDOWN($N3,0)=0,ROUNDDOWN($M3,0)=0)</formula>
    </cfRule>
  </conditionalFormatting>
  <conditionalFormatting sqref="Y3:Y21">
    <cfRule type="expression" dxfId="8" priority="1">
      <formula>VALUE(Y3)&lt;&gt;AB3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85357-F945-4D5A-AAB6-C9530077673D}">
  <sheetPr codeName="Лист3"/>
  <dimension ref="A1:AD118"/>
  <sheetViews>
    <sheetView topLeftCell="B1" workbookViewId="0">
      <pane ySplit="2" topLeftCell="A3" activePane="bottomLeft" state="frozen"/>
      <selection pane="bottomLeft" activeCell="U3" sqref="U3:U106"/>
    </sheetView>
  </sheetViews>
  <sheetFormatPr defaultRowHeight="15" outlineLevelCol="1" x14ac:dyDescent="0.25"/>
  <cols>
    <col min="1" max="1" width="40.140625" hidden="1" customWidth="1" outlineLevel="1"/>
    <col min="2" max="2" width="9.140625" collapsed="1"/>
    <col min="4" max="4" width="37.5703125" style="16" customWidth="1"/>
    <col min="5" max="6" width="5" customWidth="1"/>
    <col min="7" max="7" width="6.28515625" bestFit="1" customWidth="1"/>
    <col min="8" max="8" width="7.28515625" style="23" customWidth="1"/>
    <col min="9" max="9" width="4.5703125" bestFit="1" customWidth="1"/>
    <col min="10" max="10" width="5" style="37" bestFit="1" customWidth="1"/>
    <col min="11" max="11" width="5.85546875" style="23" bestFit="1" customWidth="1"/>
    <col min="12" max="12" width="6.7109375" bestFit="1" customWidth="1"/>
    <col min="13" max="13" width="6.85546875" bestFit="1" customWidth="1"/>
    <col min="14" max="15" width="7.42578125" style="23" bestFit="1" customWidth="1"/>
    <col min="16" max="16" width="5.85546875" bestFit="1" customWidth="1"/>
    <col min="21" max="21" width="7.85546875" style="23" customWidth="1"/>
    <col min="22" max="22" width="4.5703125" customWidth="1"/>
    <col min="23" max="23" width="5.5703125" customWidth="1"/>
    <col min="26" max="26" width="7.85546875" style="23" customWidth="1"/>
    <col min="27" max="27" width="4.5703125" customWidth="1"/>
    <col min="28" max="28" width="5.5703125" customWidth="1"/>
  </cols>
  <sheetData>
    <row r="1" spans="1:30" x14ac:dyDescent="0.25">
      <c r="C1" s="16">
        <v>2</v>
      </c>
      <c r="D1" s="16">
        <v>3</v>
      </c>
      <c r="E1">
        <v>4</v>
      </c>
      <c r="F1">
        <v>15</v>
      </c>
      <c r="G1" s="18">
        <f>COUNT(Кат!$S:$S,Торг!$T:$T)/COUNT(Кат!$A:$A,Торг!$B:$B)</f>
        <v>0.66666666666666663</v>
      </c>
      <c r="L1">
        <v>9</v>
      </c>
      <c r="M1">
        <v>10</v>
      </c>
      <c r="Q1" s="3" t="str">
        <f>_xlfn.CONCAT(ROUND(MIN(Q3:Q9000)*100,0),"-",ROUND(MAX(Q3:Q9000)*100,0),"%")</f>
        <v>40-150%</v>
      </c>
      <c r="R1" s="3" t="str">
        <f>_xlfn.CONCAT(ROUND(SUBTOTAL(5,R3:R9000)*100,0)," - ",ROUND(SUBTOTAL(4,R3:R9000)*100,0),"%")</f>
        <v>0 - 28%</v>
      </c>
      <c r="S1" s="3" t="str">
        <f>_xlfn.CONCAT(ROUND(SUBTOTAL(5,S3:S90000)*100,0)," - ",ROUND(SUBTOTAL(4,S3:S90000)*100,0),"%")</f>
        <v>40 - 248%</v>
      </c>
      <c r="T1" s="4"/>
      <c r="U1" s="23">
        <v>6</v>
      </c>
      <c r="Y1" s="30">
        <f>AC1</f>
        <v>0</v>
      </c>
      <c r="Z1" s="23">
        <v>7</v>
      </c>
      <c r="AD1" s="31">
        <f>AH1</f>
        <v>0</v>
      </c>
    </row>
    <row r="2" spans="1:30" x14ac:dyDescent="0.25">
      <c r="A2" s="11" t="s">
        <v>15</v>
      </c>
      <c r="B2" s="11" t="s">
        <v>5</v>
      </c>
      <c r="C2" s="12" t="s">
        <v>14</v>
      </c>
      <c r="D2" s="12" t="s">
        <v>6</v>
      </c>
      <c r="E2" s="12"/>
      <c r="F2" s="12"/>
      <c r="G2" s="11"/>
      <c r="H2" s="22" t="s">
        <v>8</v>
      </c>
      <c r="I2" s="11"/>
      <c r="J2" s="26"/>
      <c r="K2" s="22" t="s">
        <v>215</v>
      </c>
      <c r="L2" s="12" t="s">
        <v>9</v>
      </c>
      <c r="M2" s="12" t="s">
        <v>10</v>
      </c>
      <c r="N2" s="24" t="s">
        <v>11</v>
      </c>
      <c r="O2" s="24" t="s">
        <v>11</v>
      </c>
      <c r="P2" s="13">
        <v>0</v>
      </c>
      <c r="Q2" s="5" t="s">
        <v>1</v>
      </c>
      <c r="R2" s="5" t="s">
        <v>2</v>
      </c>
      <c r="S2" s="5" t="s">
        <v>3</v>
      </c>
      <c r="T2" s="6" t="s">
        <v>4</v>
      </c>
      <c r="U2" s="69" t="s">
        <v>218</v>
      </c>
      <c r="V2" s="9"/>
      <c r="W2" s="9" t="s">
        <v>217</v>
      </c>
      <c r="Z2" s="69" t="s">
        <v>218</v>
      </c>
      <c r="AA2" s="9"/>
      <c r="AB2" s="9" t="s">
        <v>217</v>
      </c>
    </row>
    <row r="3" spans="1:30" ht="30" x14ac:dyDescent="0.25">
      <c r="A3" s="17" t="str">
        <f>INDEX('Выгр Торг'!$A:$A,MATCH($B3,'Выгр Торг'!$B:$B,0))</f>
        <v>Губа "Вихур" с отверстиями гладкая для ВАЗ 2101-2107</v>
      </c>
      <c r="B3" s="14">
        <v>141834</v>
      </c>
      <c r="C3" s="14">
        <f>VLOOKUP($B3,'Выгр Торг'!$B:$Q,C$1,0)</f>
        <v>66913</v>
      </c>
      <c r="D3" s="17" t="str">
        <f>VLOOKUP($B3,'Выгр Торг'!$B:$Q,D$1,0)</f>
        <v>Губа "Вихур" с отверстиями гладкая для ВАЗ 2101-2107 (Без покраски)</v>
      </c>
      <c r="E3" s="14" t="str">
        <f>VLOOKUP($B3,'Выгр Торг'!$B:$Q,E$1,0)</f>
        <v>Y</v>
      </c>
      <c r="F3" s="14" t="str">
        <f>VLOOKUP($B3,'Выгр Торг'!$B:$Q,F$1,0)</f>
        <v>1ск2</v>
      </c>
      <c r="G3" s="28" t="s">
        <v>25</v>
      </c>
      <c r="H3" s="60">
        <v>400</v>
      </c>
      <c r="I3" s="15">
        <f>VLOOKUP(H3,Наценка!$A$1:$B$8,2,1)</f>
        <v>1.6</v>
      </c>
      <c r="J3" s="38">
        <v>880</v>
      </c>
      <c r="K3" s="27">
        <f>IF(J3&lt;=1000,(ROUNDUP(J3,-1)-1),(ROUNDUP(J3,-2)-10))</f>
        <v>879</v>
      </c>
      <c r="L3" s="14">
        <f>VLOOKUP($B3,'Выгр Торг'!$B:$Q,L$1,0)</f>
        <v>400</v>
      </c>
      <c r="M3" s="14">
        <f>VLOOKUP($B3,'Выгр Торг'!$B:$Q,M$1,0)</f>
        <v>899</v>
      </c>
      <c r="N3" s="24">
        <f>L3-H3</f>
        <v>0</v>
      </c>
      <c r="O3" s="24">
        <f>M3-K3</f>
        <v>20</v>
      </c>
      <c r="P3" s="25">
        <f>IFERROR(K3*(1-$P$2),"")</f>
        <v>879</v>
      </c>
      <c r="Q3" s="7">
        <f>IFERROR(P3/H3-1,"")</f>
        <v>1.1974999999999998</v>
      </c>
      <c r="R3" s="7">
        <f>IFERROR((T3-P3)/T3,"")</f>
        <v>2.3333333333333334E-2</v>
      </c>
      <c r="S3" s="7">
        <f>IFERROR(IF(T3="","",T3/H3-1),"")</f>
        <v>1.25</v>
      </c>
      <c r="T3" s="31">
        <f>AC3</f>
        <v>900</v>
      </c>
      <c r="U3" s="33" t="str">
        <f>IFERROR((VLOOKUP($B3,'Из ГУГЛа'!$B:$Z,U$1,0)+W3)*V3,VLOOKUP($B3,'Из ГУГЛа'!$B:$Z,U$1,0))</f>
        <v/>
      </c>
      <c r="V3" s="10">
        <v>1</v>
      </c>
      <c r="W3" s="10"/>
      <c r="Z3" s="33" t="str">
        <f>IFERROR((VLOOKUP($B3,'Из ГУГЛа'!$B:$Z,Z$1,0)+AB3)*AA3,VLOOKUP($B3,'Из ГУГЛа'!$B:$Z,Z$1,0))</f>
        <v/>
      </c>
      <c r="AA3" s="10">
        <v>1</v>
      </c>
      <c r="AB3" s="10"/>
      <c r="AC3">
        <v>900</v>
      </c>
      <c r="AD3" t="s">
        <v>180</v>
      </c>
    </row>
    <row r="4" spans="1:30" ht="30" x14ac:dyDescent="0.25">
      <c r="A4" s="17" t="str">
        <f>INDEX('Выгр Торг'!$A:$A,MATCH($B4,'Выгр Торг'!$B:$B,0))</f>
        <v>Губа (юбка) "МСА Team" гладкая для ВАЗ 2101-2107</v>
      </c>
      <c r="B4" s="14">
        <v>227109</v>
      </c>
      <c r="C4" s="14">
        <f>VLOOKUP($B4,'Выгр Торг'!$B:$Q,C$1,0)</f>
        <v>66872</v>
      </c>
      <c r="D4" s="17" t="str">
        <f>VLOOKUP($B4,'Выгр Торг'!$B:$Q,D$1,0)</f>
        <v>Губа (юбка) "МСА Team" гладкая для ВАЗ 2101-2107 (Без покраски)</v>
      </c>
      <c r="E4" s="14" t="str">
        <f>VLOOKUP($B4,'Выгр Торг'!$B:$Q,E$1,0)</f>
        <v>Y</v>
      </c>
      <c r="F4" s="14" t="str">
        <f>VLOOKUP($B4,'Выгр Торг'!$B:$Q,F$1,0)</f>
        <v>1ск2</v>
      </c>
      <c r="G4" s="28" t="s">
        <v>25</v>
      </c>
      <c r="H4" s="60">
        <v>400</v>
      </c>
      <c r="I4" s="15">
        <f>VLOOKUP(H4,Наценка!$A$1:$B$8,2,1)</f>
        <v>1.6</v>
      </c>
      <c r="J4" s="38">
        <v>880</v>
      </c>
      <c r="K4" s="27">
        <f t="shared" ref="K4:K67" si="0">IF(J4&lt;=1000,(ROUNDUP(J4,-1)-1),(ROUNDUP(J4,-2)-10))</f>
        <v>879</v>
      </c>
      <c r="L4" s="14">
        <f>VLOOKUP($B4,'Выгр Торг'!$B:$Q,L$1,0)</f>
        <v>400</v>
      </c>
      <c r="M4" s="14">
        <f>VLOOKUP($B4,'Выгр Торг'!$B:$Q,M$1,0)</f>
        <v>899</v>
      </c>
      <c r="N4" s="24">
        <f t="shared" ref="N4:N67" si="1">L4-H4</f>
        <v>0</v>
      </c>
      <c r="O4" s="24">
        <f t="shared" ref="O4:O67" si="2">M4-K4</f>
        <v>20</v>
      </c>
      <c r="P4" s="25">
        <f t="shared" ref="P4:P67" si="3">IFERROR(K4*(1-$P$2),"")</f>
        <v>879</v>
      </c>
      <c r="Q4" s="7">
        <f>IFERROR(P4/H4-1,"")</f>
        <v>1.1974999999999998</v>
      </c>
      <c r="R4" s="7">
        <f>IFERROR((T4-P4)/T4,"")</f>
        <v>2.3333333333333334E-2</v>
      </c>
      <c r="S4" s="7">
        <f>IFERROR(IF(T4="","",T4/H4-1),"")</f>
        <v>1.25</v>
      </c>
      <c r="T4" s="31">
        <f>AC4</f>
        <v>900</v>
      </c>
      <c r="U4" s="33">
        <f>IFERROR((VLOOKUP($B4,'Из ГУГЛа'!$B:$Z,U$1,0)+W4)*V4,VLOOKUP($B4,'Из ГУГЛа'!$B:$Z,U$1,0))</f>
        <v>1190</v>
      </c>
      <c r="V4" s="10">
        <v>1</v>
      </c>
      <c r="W4" s="10"/>
      <c r="X4">
        <v>1190</v>
      </c>
      <c r="Y4" s="29" t="s">
        <v>171</v>
      </c>
      <c r="Z4" s="33" t="str">
        <f>IFERROR((VLOOKUP($B4,'Из ГУГЛа'!$B:$Z,Z$1,0)+AB4)*AA4,VLOOKUP($B4,'Из ГУГЛа'!$B:$Z,Z$1,0))</f>
        <v/>
      </c>
      <c r="AA4" s="10">
        <v>1</v>
      </c>
      <c r="AB4" s="10"/>
      <c r="AC4">
        <v>900</v>
      </c>
      <c r="AD4" s="29" t="s">
        <v>172</v>
      </c>
    </row>
    <row r="5" spans="1:30" ht="30" x14ac:dyDescent="0.25">
      <c r="A5" s="17" t="str">
        <f>INDEX('Выгр Торг'!$A:$A,MATCH($B5,'Выгр Торг'!$B:$B,0))</f>
        <v>Губа (юбка) гладкая Ken Mary Style для ВАЗ 2101-2107</v>
      </c>
      <c r="B5" s="14">
        <v>141839</v>
      </c>
      <c r="C5" s="14">
        <f>VLOOKUP($B5,'Выгр Торг'!$B:$Q,C$1,0)</f>
        <v>66878</v>
      </c>
      <c r="D5" s="17" t="str">
        <f>VLOOKUP($B5,'Выгр Торг'!$B:$Q,D$1,0)</f>
        <v>Губа (юбка) гладкая Ken Mary Style для ВАЗ 2101-2107 (Без покраски)</v>
      </c>
      <c r="E5" s="14" t="str">
        <f>VLOOKUP($B5,'Выгр Торг'!$B:$Q,E$1,0)</f>
        <v>Y</v>
      </c>
      <c r="F5" s="14" t="str">
        <f>VLOOKUP($B5,'Выгр Торг'!$B:$Q,F$1,0)</f>
        <v>1ск2</v>
      </c>
      <c r="G5" s="28" t="s">
        <v>25</v>
      </c>
      <c r="H5" s="60">
        <v>600</v>
      </c>
      <c r="I5" s="15">
        <f>VLOOKUP(H5,Наценка!$A$1:$B$8,2,1)</f>
        <v>1.55</v>
      </c>
      <c r="J5" s="38">
        <v>880</v>
      </c>
      <c r="K5" s="27">
        <f t="shared" si="0"/>
        <v>879</v>
      </c>
      <c r="L5" s="14">
        <f>VLOOKUP($B5,'Выгр Торг'!$B:$Q,L$1,0)</f>
        <v>600</v>
      </c>
      <c r="M5" s="14">
        <f>VLOOKUP($B5,'Выгр Торг'!$B:$Q,M$1,0)</f>
        <v>899</v>
      </c>
      <c r="N5" s="24">
        <f t="shared" si="1"/>
        <v>0</v>
      </c>
      <c r="O5" s="24">
        <f t="shared" si="2"/>
        <v>20</v>
      </c>
      <c r="P5" s="25">
        <f t="shared" si="3"/>
        <v>879</v>
      </c>
      <c r="Q5" s="7">
        <f>IFERROR(P5/H5-1,"")</f>
        <v>0.46500000000000008</v>
      </c>
      <c r="R5" s="7">
        <f>IFERROR((T5-P5)/T5,"")</f>
        <v>2.3333333333333334E-2</v>
      </c>
      <c r="S5" s="7">
        <f>IFERROR(IF(T5="","",T5/H5-1),"")</f>
        <v>0.5</v>
      </c>
      <c r="T5" s="31">
        <f>AC5</f>
        <v>900</v>
      </c>
      <c r="U5" s="33" t="str">
        <f>IFERROR((VLOOKUP($B5,'Из ГУГЛа'!$B:$Z,U$1,0)+W5)*V5,VLOOKUP($B5,'Из ГУГЛа'!$B:$Z,U$1,0))</f>
        <v/>
      </c>
      <c r="V5" s="10">
        <v>1</v>
      </c>
      <c r="W5" s="10"/>
      <c r="Z5" s="33" t="str">
        <f>IFERROR((VLOOKUP($B5,'Из ГУГЛа'!$B:$Z,Z$1,0)+AB5)*AA5,VLOOKUP($B5,'Из ГУГЛа'!$B:$Z,Z$1,0))</f>
        <v/>
      </c>
      <c r="AA5" s="10">
        <v>1</v>
      </c>
      <c r="AB5" s="10"/>
      <c r="AC5">
        <v>900</v>
      </c>
      <c r="AD5" t="s">
        <v>181</v>
      </c>
    </row>
    <row r="6" spans="1:30" ht="30" x14ac:dyDescent="0.25">
      <c r="A6" s="17" t="str">
        <f>INDEX('Выгр Торг'!$A:$A,MATCH($B6,'Выгр Торг'!$B:$B,0))</f>
        <v>Губа Вихур сплошная гладкая для ВАЗ 2101-2107</v>
      </c>
      <c r="B6" s="14">
        <v>141873</v>
      </c>
      <c r="C6" s="14">
        <f>VLOOKUP($B6,'Выгр Торг'!$B:$Q,C$1,0)</f>
        <v>66875</v>
      </c>
      <c r="D6" s="17" t="str">
        <f>VLOOKUP($B6,'Выгр Торг'!$B:$Q,D$1,0)</f>
        <v>Губа Вихур сплошная гладкая для ВАЗ 2101-2107 (Без покраски)</v>
      </c>
      <c r="E6" s="14" t="str">
        <f>VLOOKUP($B6,'Выгр Торг'!$B:$Q,E$1,0)</f>
        <v>Y</v>
      </c>
      <c r="F6" s="14" t="str">
        <f>VLOOKUP($B6,'Выгр Торг'!$B:$Q,F$1,0)</f>
        <v>1</v>
      </c>
      <c r="G6" s="28" t="s">
        <v>25</v>
      </c>
      <c r="H6" s="60">
        <v>600</v>
      </c>
      <c r="I6" s="15">
        <f>VLOOKUP(H6,Наценка!$A$1:$B$8,2,1)</f>
        <v>1.55</v>
      </c>
      <c r="J6" s="38">
        <v>880</v>
      </c>
      <c r="K6" s="27">
        <f t="shared" si="0"/>
        <v>879</v>
      </c>
      <c r="L6" s="14">
        <f>VLOOKUP($B6,'Выгр Торг'!$B:$Q,L$1,0)</f>
        <v>600</v>
      </c>
      <c r="M6" s="14">
        <f>VLOOKUP($B6,'Выгр Торг'!$B:$Q,M$1,0)</f>
        <v>899</v>
      </c>
      <c r="N6" s="24">
        <f t="shared" si="1"/>
        <v>0</v>
      </c>
      <c r="O6" s="24">
        <f t="shared" si="2"/>
        <v>20</v>
      </c>
      <c r="P6" s="25">
        <f t="shared" si="3"/>
        <v>879</v>
      </c>
      <c r="Q6" s="7">
        <f>IFERROR(P6/H6-1,"")</f>
        <v>0.46500000000000008</v>
      </c>
      <c r="R6" s="7">
        <f>IFERROR((T6-P6)/T6,"")</f>
        <v>2.3333333333333334E-2</v>
      </c>
      <c r="S6" s="7">
        <f>IFERROR(IF(T6="","",T6/H6-1),"")</f>
        <v>0.5</v>
      </c>
      <c r="T6" s="31">
        <f>AC6</f>
        <v>900</v>
      </c>
      <c r="U6" s="33" t="str">
        <f>IFERROR((VLOOKUP($B6,'Из ГУГЛа'!$B:$Z,U$1,0)+W6)*V6,VLOOKUP($B6,'Из ГУГЛа'!$B:$Z,U$1,0))</f>
        <v/>
      </c>
      <c r="V6" s="10">
        <v>1</v>
      </c>
      <c r="W6" s="10"/>
      <c r="Z6" s="33">
        <f>IFERROR((VLOOKUP($B6,'Из ГУГЛа'!$B:$Z,Z$1,0)+AB6)*AA6,VLOOKUP($B6,'Из ГУГЛа'!$B:$Z,Z$1,0))</f>
        <v>900</v>
      </c>
      <c r="AA6" s="10">
        <v>1</v>
      </c>
      <c r="AB6" s="10"/>
      <c r="AC6">
        <v>900</v>
      </c>
      <c r="AD6" t="s">
        <v>182</v>
      </c>
    </row>
    <row r="7" spans="1:30" ht="30" x14ac:dyDescent="0.25">
      <c r="A7" s="17" t="str">
        <f>INDEX('Выгр Торг'!$A:$A,MATCH($B7,'Выгр Торг'!$B:$B,0))</f>
        <v>Губа Вихур сплошная шагрень для ВАЗ 2101-2107</v>
      </c>
      <c r="B7" s="14">
        <v>141875</v>
      </c>
      <c r="C7" s="14">
        <f>VLOOKUP($B7,'Выгр Торг'!$B:$Q,C$1,0)</f>
        <v>66906</v>
      </c>
      <c r="D7" s="17" t="str">
        <f>VLOOKUP($B7,'Выгр Торг'!$B:$Q,D$1,0)</f>
        <v>Губа Вихур сплошная шагрень для ВАЗ 2101-2107 (Без покраски)</v>
      </c>
      <c r="E7" s="14" t="str">
        <f>VLOOKUP($B7,'Выгр Торг'!$B:$Q,E$1,0)</f>
        <v>Y</v>
      </c>
      <c r="F7" s="14" t="str">
        <f>VLOOKUP($B7,'Выгр Торг'!$B:$Q,F$1,0)</f>
        <v>0</v>
      </c>
      <c r="G7" s="28" t="s">
        <v>25</v>
      </c>
      <c r="H7" s="60">
        <v>600</v>
      </c>
      <c r="I7" s="15">
        <f>VLOOKUP(H7,Наценка!$A$1:$B$8,2,1)</f>
        <v>1.55</v>
      </c>
      <c r="J7" s="38">
        <v>880</v>
      </c>
      <c r="K7" s="27">
        <f t="shared" si="0"/>
        <v>879</v>
      </c>
      <c r="L7" s="14">
        <f>VLOOKUP($B7,'Выгр Торг'!$B:$Q,L$1,0)</f>
        <v>600</v>
      </c>
      <c r="M7" s="14">
        <f>VLOOKUP($B7,'Выгр Торг'!$B:$Q,M$1,0)</f>
        <v>899</v>
      </c>
      <c r="N7" s="24">
        <f t="shared" si="1"/>
        <v>0</v>
      </c>
      <c r="O7" s="24">
        <f t="shared" si="2"/>
        <v>20</v>
      </c>
      <c r="P7" s="25">
        <f t="shared" si="3"/>
        <v>879</v>
      </c>
      <c r="Q7" s="7">
        <f>IFERROR(P7/H7-1,"")</f>
        <v>0.46500000000000008</v>
      </c>
      <c r="R7" s="7">
        <f>IFERROR((T7-P7)/T7,"")</f>
        <v>2.3333333333333334E-2</v>
      </c>
      <c r="S7" s="7">
        <f>IFERROR(IF(T7="","",T7/H7-1),"")</f>
        <v>0.5</v>
      </c>
      <c r="T7" s="31">
        <f>AC7</f>
        <v>900</v>
      </c>
      <c r="U7" s="33" t="str">
        <f>IFERROR((VLOOKUP($B7,'Из ГУГЛа'!$B:$Z,U$1,0)+W7)*V7,VLOOKUP($B7,'Из ГУГЛа'!$B:$Z,U$1,0))</f>
        <v/>
      </c>
      <c r="V7" s="10">
        <v>1</v>
      </c>
      <c r="W7" s="10"/>
      <c r="Z7" s="33" t="str">
        <f>IFERROR((VLOOKUP($B7,'Из ГУГЛа'!$B:$Z,Z$1,0)+AB7)*AA7,VLOOKUP($B7,'Из ГУГЛа'!$B:$Z,Z$1,0))</f>
        <v/>
      </c>
      <c r="AA7" s="10">
        <v>1</v>
      </c>
      <c r="AB7" s="10"/>
      <c r="AC7">
        <v>900</v>
      </c>
      <c r="AD7" t="s">
        <v>183</v>
      </c>
    </row>
    <row r="8" spans="1:30" ht="45" x14ac:dyDescent="0.25">
      <c r="A8" s="17" t="str">
        <f>INDEX('Выгр Торг'!$A:$A,MATCH($B8,'Выгр Торг'!$B:$B,0))</f>
        <v>Решетка "шторка" на заднее стекло (текстура шагрень) для ВАЗ 2101, 2103, 2105-2107</v>
      </c>
      <c r="B8" s="14">
        <v>205830</v>
      </c>
      <c r="C8" s="14">
        <f>VLOOKUP($B8,'Выгр Торг'!$B:$Q,C$1,0)</f>
        <v>67130</v>
      </c>
      <c r="D8" s="17" t="str">
        <f>VLOOKUP($B8,'Выгр Торг'!$B:$Q,D$1,0)</f>
        <v>Решетка "шторка" на заднее стекло (текстура шагрень) для ВАЗ 2101, 2103, 2105-2107 (Без покраски)</v>
      </c>
      <c r="E8" s="14" t="str">
        <f>VLOOKUP($B8,'Выгр Торг'!$B:$Q,E$1,0)</f>
        <v>Y</v>
      </c>
      <c r="F8" s="14" t="str">
        <f>VLOOKUP($B8,'Выгр Торг'!$B:$Q,F$1,0)</f>
        <v>1</v>
      </c>
      <c r="G8" s="28" t="s">
        <v>25</v>
      </c>
      <c r="H8" s="60">
        <v>500</v>
      </c>
      <c r="I8" s="15">
        <f>VLOOKUP(H8,Наценка!$A$1:$B$8,2,1)</f>
        <v>1.55</v>
      </c>
      <c r="J8" s="34">
        <v>999</v>
      </c>
      <c r="K8" s="27">
        <f t="shared" si="0"/>
        <v>999</v>
      </c>
      <c r="L8" s="14">
        <f>VLOOKUP($B8,'Выгр Торг'!$B:$Q,L$1,0)</f>
        <v>500</v>
      </c>
      <c r="M8" s="14">
        <f>VLOOKUP($B8,'Выгр Торг'!$B:$Q,M$1,0)</f>
        <v>1090</v>
      </c>
      <c r="N8" s="24">
        <f t="shared" si="1"/>
        <v>0</v>
      </c>
      <c r="O8" s="24">
        <f t="shared" si="2"/>
        <v>91</v>
      </c>
      <c r="P8" s="25">
        <f t="shared" si="3"/>
        <v>999</v>
      </c>
      <c r="Q8" s="7">
        <f>IFERROR(P8/H8-1,"")</f>
        <v>0.998</v>
      </c>
      <c r="R8" s="7">
        <f>IFERROR((T8-P8)/T8,"")</f>
        <v>0.16050420168067228</v>
      </c>
      <c r="S8" s="7">
        <f>IFERROR(IF(T8="","",T8/H8-1),"")</f>
        <v>1.38</v>
      </c>
      <c r="T8" s="30">
        <f>X8</f>
        <v>1190</v>
      </c>
      <c r="U8" s="33">
        <f>IFERROR((VLOOKUP($B8,'Из ГУГЛа'!$B:$Z,U$1,0)+W8)*V8,VLOOKUP($B8,'Из ГУГЛа'!$B:$Z,U$1,0))</f>
        <v>1190</v>
      </c>
      <c r="V8" s="10">
        <v>1</v>
      </c>
      <c r="W8" s="10"/>
      <c r="X8">
        <v>1190</v>
      </c>
      <c r="Y8" t="s">
        <v>184</v>
      </c>
      <c r="Z8" s="33" t="str">
        <f>IFERROR((VLOOKUP($B8,'Из ГУГЛа'!$B:$Z,Z$1,0)+AB8)*AA8,VLOOKUP($B8,'Из ГУГЛа'!$B:$Z,Z$1,0))</f>
        <v/>
      </c>
      <c r="AA8" s="10">
        <v>1</v>
      </c>
      <c r="AB8" s="10"/>
    </row>
    <row r="9" spans="1:30" ht="45" x14ac:dyDescent="0.25">
      <c r="A9" s="17" t="str">
        <f>INDEX('Выгр Торг'!$A:$A,MATCH($B9,'Выгр Торг'!$B:$B,0))</f>
        <v>Спойлер "VFTS" с заходом на замок гладкий для ВАЗ 2105, 2107</v>
      </c>
      <c r="B9" s="14">
        <v>214775</v>
      </c>
      <c r="C9" s="14">
        <f>VLOOKUP($B9,'Выгр Торг'!$B:$Q,C$1,0)</f>
        <v>66657</v>
      </c>
      <c r="D9" s="17" t="str">
        <f>VLOOKUP($B9,'Выгр Торг'!$B:$Q,D$1,0)</f>
        <v>Спойлер "VFTS" с заходом на замок гладкий для ВАЗ 2105, 2107 (Без покраски)</v>
      </c>
      <c r="E9" s="14" t="str">
        <f>VLOOKUP($B9,'Выгр Торг'!$B:$Q,E$1,0)</f>
        <v>Y</v>
      </c>
      <c r="F9" s="14" t="str">
        <f>VLOOKUP($B9,'Выгр Торг'!$B:$Q,F$1,0)</f>
        <v>1</v>
      </c>
      <c r="G9" s="28" t="s">
        <v>25</v>
      </c>
      <c r="H9" s="60">
        <v>400</v>
      </c>
      <c r="I9" s="15">
        <f>VLOOKUP(H9,Наценка!$A$1:$B$8,2,1)</f>
        <v>1.6</v>
      </c>
      <c r="J9" s="34">
        <v>999</v>
      </c>
      <c r="K9" s="27">
        <f t="shared" si="0"/>
        <v>999</v>
      </c>
      <c r="L9" s="14">
        <f>VLOOKUP($B9,'Выгр Торг'!$B:$Q,L$1,0)</f>
        <v>400</v>
      </c>
      <c r="M9" s="14">
        <f>VLOOKUP($B9,'Выгр Торг'!$B:$Q,M$1,0)</f>
        <v>1090</v>
      </c>
      <c r="N9" s="24">
        <f t="shared" si="1"/>
        <v>0</v>
      </c>
      <c r="O9" s="24">
        <f t="shared" si="2"/>
        <v>91</v>
      </c>
      <c r="P9" s="25">
        <f t="shared" si="3"/>
        <v>999</v>
      </c>
      <c r="Q9" s="7">
        <f>IFERROR(P9/H9-1,"")</f>
        <v>1.4975000000000001</v>
      </c>
      <c r="R9" s="7">
        <f>IFERROR((T9-P9)/T9,"")</f>
        <v>0.28129496402877696</v>
      </c>
      <c r="S9" s="7">
        <f>IFERROR(IF(T9="","",T9/H9-1),"")</f>
        <v>2.4750000000000001</v>
      </c>
      <c r="T9" s="30">
        <f>X9</f>
        <v>1390</v>
      </c>
      <c r="U9" s="33">
        <f>IFERROR((VLOOKUP($B9,'Из ГУГЛа'!$B:$Z,U$1,0)+W9)*V9,VLOOKUP($B9,'Из ГУГЛа'!$B:$Z,U$1,0))</f>
        <v>1390</v>
      </c>
      <c r="V9" s="10">
        <v>1</v>
      </c>
      <c r="W9" s="10"/>
      <c r="X9">
        <v>1390</v>
      </c>
      <c r="Y9" t="s">
        <v>178</v>
      </c>
      <c r="Z9" s="33" t="str">
        <f>IFERROR((VLOOKUP($B9,'Из ГУГЛа'!$B:$Z,Z$1,0)+AB9)*AA9,VLOOKUP($B9,'Из ГУГЛа'!$B:$Z,Z$1,0))</f>
        <v/>
      </c>
      <c r="AA9" s="10">
        <v>1</v>
      </c>
      <c r="AB9" s="10"/>
    </row>
    <row r="10" spans="1:30" ht="45" x14ac:dyDescent="0.25">
      <c r="A10" s="17" t="str">
        <f>INDEX('Выгр Торг'!$A:$A,MATCH($B10,'Выгр Торг'!$B:$B,0))</f>
        <v>Спойлер "VFTS" с заходом на замок гладкий для ВАЗ 2105, 2107</v>
      </c>
      <c r="B10" s="14">
        <v>214776</v>
      </c>
      <c r="C10" s="14">
        <f>VLOOKUP($B10,'Выгр Торг'!$B:$Q,C$1,0)</f>
        <v>66658</v>
      </c>
      <c r="D10" s="17" t="str">
        <f>VLOOKUP($B10,'Выгр Торг'!$B:$Q,D$1,0)</f>
        <v>Спойлер "VFTS" с заходом на замок гладкий для ВАЗ 2105, 2107 (В цвет кузова, Уточнить у менеджера)</v>
      </c>
      <c r="E10" s="14" t="str">
        <f>VLOOKUP($B10,'Выгр Торг'!$B:$Q,E$1,0)</f>
        <v>N</v>
      </c>
      <c r="F10" s="14" t="str">
        <f>VLOOKUP($B10,'Выгр Торг'!$B:$Q,F$1,0)</f>
        <v>1</v>
      </c>
      <c r="G10" s="28" t="s">
        <v>25</v>
      </c>
      <c r="H10" s="60">
        <v>2500</v>
      </c>
      <c r="I10" s="15">
        <f>VLOOKUP(H10,Наценка!$A$1:$B$8,2,1)</f>
        <v>1.4</v>
      </c>
      <c r="J10" s="34">
        <v>3490</v>
      </c>
      <c r="K10" s="27">
        <f t="shared" si="0"/>
        <v>3490</v>
      </c>
      <c r="L10" s="14">
        <f>VLOOKUP($B10,'Выгр Торг'!$B:$Q,L$1,0)</f>
        <v>2500</v>
      </c>
      <c r="M10" s="14">
        <f>VLOOKUP($B10,'Выгр Торг'!$B:$Q,M$1,0)</f>
        <v>3690</v>
      </c>
      <c r="N10" s="24">
        <f t="shared" si="1"/>
        <v>0</v>
      </c>
      <c r="O10" s="24">
        <f t="shared" si="2"/>
        <v>200</v>
      </c>
      <c r="P10" s="25">
        <f t="shared" si="3"/>
        <v>3490</v>
      </c>
      <c r="Q10" s="7">
        <f>IFERROR(P10/H10-1,"")</f>
        <v>0.39599999999999991</v>
      </c>
      <c r="R10" s="7">
        <f>IFERROR((T10-P10)/T10,"")</f>
        <v>2.7855153203342618E-2</v>
      </c>
      <c r="S10" s="7">
        <f>IFERROR(IF(T10="","",T10/H10-1),"")</f>
        <v>0.43599999999999994</v>
      </c>
      <c r="T10" s="30">
        <f t="shared" ref="T10:T40" si="4">X10</f>
        <v>3590</v>
      </c>
      <c r="U10" s="33">
        <f>IFERROR((VLOOKUP($B10,'Из ГУГЛа'!$B:$Z,U$1,0)+W10)*V10,VLOOKUP($B10,'Из ГУГЛа'!$B:$Z,U$1,0))</f>
        <v>3590</v>
      </c>
      <c r="V10" s="10">
        <v>1</v>
      </c>
      <c r="W10" s="10">
        <v>2200</v>
      </c>
      <c r="X10">
        <v>3590</v>
      </c>
      <c r="Y10" t="s">
        <v>178</v>
      </c>
      <c r="Z10" s="33" t="str">
        <f>IFERROR((VLOOKUP($B10,'Из ГУГЛа'!$B:$Z,Z$1,0)+AB10)*AA10,VLOOKUP($B10,'Из ГУГЛа'!$B:$Z,Z$1,0))</f>
        <v/>
      </c>
      <c r="AA10" s="10">
        <v>1</v>
      </c>
      <c r="AB10" s="10">
        <v>2200</v>
      </c>
    </row>
    <row r="11" spans="1:30" ht="45" x14ac:dyDescent="0.25">
      <c r="A11" s="17" t="str">
        <f>INDEX('Выгр Торг'!$A:$A,MATCH($B11,'Выгр Торг'!$B:$B,0))</f>
        <v>Спойлер "VFTS" с заходом на замок гладкий для ВАЗ 2105, 2107</v>
      </c>
      <c r="B11" s="14">
        <v>214777</v>
      </c>
      <c r="C11" s="14">
        <f>VLOOKUP($B11,'Выгр Торг'!$B:$Q,C$1,0)</f>
        <v>87255</v>
      </c>
      <c r="D11" s="17" t="str">
        <f>VLOOKUP($B11,'Выгр Торг'!$B:$Q,D$1,0)</f>
        <v>Спойлер "VFTS" с заходом на замок гладкий для ВАЗ 2105, 2107 (В цвет, Атлантика (фиолетовый, 440))</v>
      </c>
      <c r="E11" s="14" t="str">
        <f>VLOOKUP($B11,'Выгр Торг'!$B:$Q,E$1,0)</f>
        <v>N</v>
      </c>
      <c r="F11" s="14" t="str">
        <f>VLOOKUP($B11,'Выгр Торг'!$B:$Q,F$1,0)</f>
        <v>1</v>
      </c>
      <c r="G11" s="28" t="s">
        <v>25</v>
      </c>
      <c r="H11" s="60">
        <v>2500</v>
      </c>
      <c r="I11" s="15">
        <f>VLOOKUP(H11,Наценка!$A$1:$B$8,2,1)</f>
        <v>1.4</v>
      </c>
      <c r="J11" s="34">
        <v>3490</v>
      </c>
      <c r="K11" s="27">
        <f t="shared" si="0"/>
        <v>3490</v>
      </c>
      <c r="L11" s="14">
        <f>VLOOKUP($B11,'Выгр Торг'!$B:$Q,L$1,0)</f>
        <v>2500</v>
      </c>
      <c r="M11" s="14">
        <f>VLOOKUP($B11,'Выгр Торг'!$B:$Q,M$1,0)</f>
        <v>3690</v>
      </c>
      <c r="N11" s="24">
        <f t="shared" si="1"/>
        <v>0</v>
      </c>
      <c r="O11" s="24">
        <f t="shared" si="2"/>
        <v>200</v>
      </c>
      <c r="P11" s="25">
        <f t="shared" si="3"/>
        <v>3490</v>
      </c>
      <c r="Q11" s="7">
        <f>IFERROR(P11/H11-1,"")</f>
        <v>0.39599999999999991</v>
      </c>
      <c r="R11" s="7">
        <f>IFERROR((T11-P11)/T11,"")</f>
        <v>2.7855153203342618E-2</v>
      </c>
      <c r="S11" s="7">
        <f>IFERROR(IF(T11="","",T11/H11-1),"")</f>
        <v>0.43599999999999994</v>
      </c>
      <c r="T11" s="30">
        <f t="shared" si="4"/>
        <v>3590</v>
      </c>
      <c r="U11" s="33">
        <f>IFERROR((VLOOKUP($B11,'Из ГУГЛа'!$B:$Z,U$1,0)+W11)*V11,VLOOKUP($B11,'Из ГУГЛа'!$B:$Z,U$1,0))</f>
        <v>3590</v>
      </c>
      <c r="V11" s="10">
        <v>1</v>
      </c>
      <c r="W11" s="10">
        <v>2200</v>
      </c>
      <c r="X11">
        <v>3590</v>
      </c>
      <c r="Y11" t="s">
        <v>178</v>
      </c>
      <c r="Z11" s="33" t="str">
        <f>IFERROR((VLOOKUP($B11,'Из ГУГЛа'!$B:$Z,Z$1,0)+AB11)*AA11,VLOOKUP($B11,'Из ГУГЛа'!$B:$Z,Z$1,0))</f>
        <v/>
      </c>
      <c r="AA11" s="10">
        <v>1</v>
      </c>
      <c r="AB11" s="10">
        <v>2200</v>
      </c>
    </row>
    <row r="12" spans="1:30" ht="45" x14ac:dyDescent="0.25">
      <c r="A12" s="17" t="str">
        <f>INDEX('Выгр Торг'!$A:$A,MATCH($B12,'Выгр Торг'!$B:$B,0))</f>
        <v>Спойлер "VFTS" с заходом на замок гладкий для ВАЗ 2105, 2107</v>
      </c>
      <c r="B12" s="14">
        <v>214778</v>
      </c>
      <c r="C12" s="14">
        <f>VLOOKUP($B12,'Выгр Торг'!$B:$Q,C$1,0)</f>
        <v>87256</v>
      </c>
      <c r="D12" s="17" t="str">
        <f>VLOOKUP($B12,'Выгр Торг'!$B:$Q,D$1,0)</f>
        <v>Спойлер "VFTS" с заходом на замок гладкий для ВАЗ 2105, 2107 (В цвет, Баклажан (темно-фиолетовый, 107))</v>
      </c>
      <c r="E12" s="14" t="str">
        <f>VLOOKUP($B12,'Выгр Торг'!$B:$Q,E$1,0)</f>
        <v>N</v>
      </c>
      <c r="F12" s="14" t="str">
        <f>VLOOKUP($B12,'Выгр Торг'!$B:$Q,F$1,0)</f>
        <v>1</v>
      </c>
      <c r="G12" s="28" t="s">
        <v>25</v>
      </c>
      <c r="H12" s="60">
        <v>2500</v>
      </c>
      <c r="I12" s="15">
        <f>VLOOKUP(H12,Наценка!$A$1:$B$8,2,1)</f>
        <v>1.4</v>
      </c>
      <c r="J12" s="34">
        <v>3490</v>
      </c>
      <c r="K12" s="27">
        <f t="shared" si="0"/>
        <v>3490</v>
      </c>
      <c r="L12" s="14">
        <f>VLOOKUP($B12,'Выгр Торг'!$B:$Q,L$1,0)</f>
        <v>2500</v>
      </c>
      <c r="M12" s="14">
        <f>VLOOKUP($B12,'Выгр Торг'!$B:$Q,M$1,0)</f>
        <v>3690</v>
      </c>
      <c r="N12" s="24">
        <f t="shared" si="1"/>
        <v>0</v>
      </c>
      <c r="O12" s="24">
        <f t="shared" si="2"/>
        <v>200</v>
      </c>
      <c r="P12" s="25">
        <f t="shared" si="3"/>
        <v>3490</v>
      </c>
      <c r="Q12" s="7">
        <f>IFERROR(P12/H12-1,"")</f>
        <v>0.39599999999999991</v>
      </c>
      <c r="R12" s="7">
        <f>IFERROR((T12-P12)/T12,"")</f>
        <v>2.7855153203342618E-2</v>
      </c>
      <c r="S12" s="7">
        <f>IFERROR(IF(T12="","",T12/H12-1),"")</f>
        <v>0.43599999999999994</v>
      </c>
      <c r="T12" s="30">
        <f t="shared" si="4"/>
        <v>3590</v>
      </c>
      <c r="U12" s="33">
        <f>IFERROR((VLOOKUP($B12,'Из ГУГЛа'!$B:$Z,U$1,0)+W12)*V12,VLOOKUP($B12,'Из ГУГЛа'!$B:$Z,U$1,0))</f>
        <v>3590</v>
      </c>
      <c r="V12" s="10">
        <v>1</v>
      </c>
      <c r="W12" s="10">
        <v>2200</v>
      </c>
      <c r="X12">
        <v>3590</v>
      </c>
      <c r="Y12" t="s">
        <v>178</v>
      </c>
      <c r="Z12" s="33" t="str">
        <f>IFERROR((VLOOKUP($B12,'Из ГУГЛа'!$B:$Z,Z$1,0)+AB12)*AA12,VLOOKUP($B12,'Из ГУГЛа'!$B:$Z,Z$1,0))</f>
        <v/>
      </c>
      <c r="AA12" s="10">
        <v>1</v>
      </c>
      <c r="AB12" s="10">
        <v>2200</v>
      </c>
    </row>
    <row r="13" spans="1:30" ht="45" x14ac:dyDescent="0.25">
      <c r="A13" s="17" t="str">
        <f>INDEX('Выгр Торг'!$A:$A,MATCH($B13,'Выгр Торг'!$B:$B,0))</f>
        <v>Спойлер "VFTS" с заходом на замок гладкий для ВАЗ 2105, 2107</v>
      </c>
      <c r="B13" s="14">
        <v>214779</v>
      </c>
      <c r="C13" s="14">
        <f>VLOOKUP($B13,'Выгр Торг'!$B:$Q,C$1,0)</f>
        <v>87257</v>
      </c>
      <c r="D13" s="17" t="str">
        <f>VLOOKUP($B13,'Выгр Торг'!$B:$Q,D$1,0)</f>
        <v>Спойлер "VFTS" с заходом на замок гладкий для ВАЗ 2105, 2107 (В цвет, Балтика (темно-сине-зеленый, 420))</v>
      </c>
      <c r="E13" s="14" t="str">
        <f>VLOOKUP($B13,'Выгр Торг'!$B:$Q,E$1,0)</f>
        <v>N</v>
      </c>
      <c r="F13" s="14" t="str">
        <f>VLOOKUP($B13,'Выгр Торг'!$B:$Q,F$1,0)</f>
        <v>1</v>
      </c>
      <c r="G13" s="28" t="s">
        <v>25</v>
      </c>
      <c r="H13" s="60">
        <v>2500</v>
      </c>
      <c r="I13" s="15">
        <f>VLOOKUP(H13,Наценка!$A$1:$B$8,2,1)</f>
        <v>1.4</v>
      </c>
      <c r="J13" s="34">
        <v>3490</v>
      </c>
      <c r="K13" s="27">
        <f t="shared" si="0"/>
        <v>3490</v>
      </c>
      <c r="L13" s="14">
        <f>VLOOKUP($B13,'Выгр Торг'!$B:$Q,L$1,0)</f>
        <v>2500</v>
      </c>
      <c r="M13" s="14">
        <f>VLOOKUP($B13,'Выгр Торг'!$B:$Q,M$1,0)</f>
        <v>3690</v>
      </c>
      <c r="N13" s="24">
        <f t="shared" si="1"/>
        <v>0</v>
      </c>
      <c r="O13" s="24">
        <f t="shared" si="2"/>
        <v>200</v>
      </c>
      <c r="P13" s="25">
        <f t="shared" si="3"/>
        <v>3490</v>
      </c>
      <c r="Q13" s="7">
        <f>IFERROR(P13/H13-1,"")</f>
        <v>0.39599999999999991</v>
      </c>
      <c r="R13" s="7">
        <f>IFERROR((T13-P13)/T13,"")</f>
        <v>2.7855153203342618E-2</v>
      </c>
      <c r="S13" s="7">
        <f>IFERROR(IF(T13="","",T13/H13-1),"")</f>
        <v>0.43599999999999994</v>
      </c>
      <c r="T13" s="30">
        <f t="shared" si="4"/>
        <v>3590</v>
      </c>
      <c r="U13" s="33">
        <f>IFERROR((VLOOKUP($B13,'Из ГУГЛа'!$B:$Z,U$1,0)+W13)*V13,VLOOKUP($B13,'Из ГУГЛа'!$B:$Z,U$1,0))</f>
        <v>3590</v>
      </c>
      <c r="V13" s="10">
        <v>1</v>
      </c>
      <c r="W13" s="10">
        <v>2200</v>
      </c>
      <c r="X13">
        <v>3590</v>
      </c>
      <c r="Y13" t="s">
        <v>178</v>
      </c>
      <c r="Z13" s="33" t="str">
        <f>IFERROR((VLOOKUP($B13,'Из ГУГЛа'!$B:$Z,Z$1,0)+AB13)*AA13,VLOOKUP($B13,'Из ГУГЛа'!$B:$Z,Z$1,0))</f>
        <v/>
      </c>
      <c r="AA13" s="10">
        <v>1</v>
      </c>
      <c r="AB13" s="10">
        <v>2200</v>
      </c>
    </row>
    <row r="14" spans="1:30" ht="45" x14ac:dyDescent="0.25">
      <c r="A14" s="17" t="str">
        <f>INDEX('Выгр Торг'!$A:$A,MATCH($B14,'Выгр Торг'!$B:$B,0))</f>
        <v>Спойлер "VFTS" с заходом на замок гладкий для ВАЗ 2105, 2107</v>
      </c>
      <c r="B14" s="14">
        <v>214780</v>
      </c>
      <c r="C14" s="14">
        <f>VLOOKUP($B14,'Выгр Торг'!$B:$Q,C$1,0)</f>
        <v>87258</v>
      </c>
      <c r="D14" s="17" t="str">
        <f>VLOOKUP($B14,'Выгр Торг'!$B:$Q,D$1,0)</f>
        <v>Спойлер "VFTS" с заходом на замок гладкий для ВАЗ 2105, 2107 (В цвет, Вишня (темно-красный, 127))</v>
      </c>
      <c r="E14" s="14" t="str">
        <f>VLOOKUP($B14,'Выгр Торг'!$B:$Q,E$1,0)</f>
        <v>N</v>
      </c>
      <c r="F14" s="14" t="str">
        <f>VLOOKUP($B14,'Выгр Торг'!$B:$Q,F$1,0)</f>
        <v>1</v>
      </c>
      <c r="G14" s="28" t="s">
        <v>25</v>
      </c>
      <c r="H14" s="60">
        <v>2500</v>
      </c>
      <c r="I14" s="15">
        <f>VLOOKUP(H14,Наценка!$A$1:$B$8,2,1)</f>
        <v>1.4</v>
      </c>
      <c r="J14" s="34">
        <v>3490</v>
      </c>
      <c r="K14" s="27">
        <f t="shared" si="0"/>
        <v>3490</v>
      </c>
      <c r="L14" s="14">
        <f>VLOOKUP($B14,'Выгр Торг'!$B:$Q,L$1,0)</f>
        <v>2500</v>
      </c>
      <c r="M14" s="14">
        <f>VLOOKUP($B14,'Выгр Торг'!$B:$Q,M$1,0)</f>
        <v>3690</v>
      </c>
      <c r="N14" s="24">
        <f t="shared" si="1"/>
        <v>0</v>
      </c>
      <c r="O14" s="24">
        <f t="shared" si="2"/>
        <v>200</v>
      </c>
      <c r="P14" s="25">
        <f t="shared" si="3"/>
        <v>3490</v>
      </c>
      <c r="Q14" s="7">
        <f>IFERROR(P14/H14-1,"")</f>
        <v>0.39599999999999991</v>
      </c>
      <c r="R14" s="7">
        <f>IFERROR((T14-P14)/T14,"")</f>
        <v>2.7855153203342618E-2</v>
      </c>
      <c r="S14" s="7">
        <f>IFERROR(IF(T14="","",T14/H14-1),"")</f>
        <v>0.43599999999999994</v>
      </c>
      <c r="T14" s="30">
        <f t="shared" si="4"/>
        <v>3590</v>
      </c>
      <c r="U14" s="33">
        <f>IFERROR((VLOOKUP($B14,'Из ГУГЛа'!$B:$Z,U$1,0)+W14)*V14,VLOOKUP($B14,'Из ГУГЛа'!$B:$Z,U$1,0))</f>
        <v>3590</v>
      </c>
      <c r="V14" s="10">
        <v>1</v>
      </c>
      <c r="W14" s="10">
        <v>2200</v>
      </c>
      <c r="X14">
        <v>3590</v>
      </c>
      <c r="Y14" t="s">
        <v>178</v>
      </c>
      <c r="Z14" s="33" t="str">
        <f>IFERROR((VLOOKUP($B14,'Из ГУГЛа'!$B:$Z,Z$1,0)+AB14)*AA14,VLOOKUP($B14,'Из ГУГЛа'!$B:$Z,Z$1,0))</f>
        <v/>
      </c>
      <c r="AA14" s="10">
        <v>1</v>
      </c>
      <c r="AB14" s="10">
        <v>2200</v>
      </c>
    </row>
    <row r="15" spans="1:30" ht="45" x14ac:dyDescent="0.25">
      <c r="A15" s="17" t="str">
        <f>INDEX('Выгр Торг'!$A:$A,MATCH($B15,'Выгр Торг'!$B:$B,0))</f>
        <v>Спойлер "VFTS" с заходом на замок гладкий для ВАЗ 2105, 2107</v>
      </c>
      <c r="B15" s="14">
        <v>214781</v>
      </c>
      <c r="C15" s="14">
        <f>VLOOKUP($B15,'Выгр Торг'!$B:$Q,C$1,0)</f>
        <v>87259</v>
      </c>
      <c r="D15" s="17" t="str">
        <f>VLOOKUP($B15,'Выгр Торг'!$B:$Q,D$1,0)</f>
        <v>Спойлер "VFTS" с заходом на замок гладкий для ВАЗ 2105, 2107 (В цвет, Голубая планета (сине-голубой, 418))</v>
      </c>
      <c r="E15" s="14" t="str">
        <f>VLOOKUP($B15,'Выгр Торг'!$B:$Q,E$1,0)</f>
        <v>N</v>
      </c>
      <c r="F15" s="14" t="str">
        <f>VLOOKUP($B15,'Выгр Торг'!$B:$Q,F$1,0)</f>
        <v>1</v>
      </c>
      <c r="G15" s="28" t="s">
        <v>25</v>
      </c>
      <c r="H15" s="60">
        <v>2500</v>
      </c>
      <c r="I15" s="15">
        <f>VLOOKUP(H15,Наценка!$A$1:$B$8,2,1)</f>
        <v>1.4</v>
      </c>
      <c r="J15" s="34">
        <v>3490</v>
      </c>
      <c r="K15" s="27">
        <f t="shared" si="0"/>
        <v>3490</v>
      </c>
      <c r="L15" s="14">
        <f>VLOOKUP($B15,'Выгр Торг'!$B:$Q,L$1,0)</f>
        <v>2500</v>
      </c>
      <c r="M15" s="14">
        <f>VLOOKUP($B15,'Выгр Торг'!$B:$Q,M$1,0)</f>
        <v>3690</v>
      </c>
      <c r="N15" s="24">
        <f t="shared" si="1"/>
        <v>0</v>
      </c>
      <c r="O15" s="24">
        <f t="shared" si="2"/>
        <v>200</v>
      </c>
      <c r="P15" s="25">
        <f t="shared" si="3"/>
        <v>3490</v>
      </c>
      <c r="Q15" s="7">
        <f>IFERROR(P15/H15-1,"")</f>
        <v>0.39599999999999991</v>
      </c>
      <c r="R15" s="7">
        <f>IFERROR((T15-P15)/T15,"")</f>
        <v>2.7855153203342618E-2</v>
      </c>
      <c r="S15" s="7">
        <f>IFERROR(IF(T15="","",T15/H15-1),"")</f>
        <v>0.43599999999999994</v>
      </c>
      <c r="T15" s="30">
        <f t="shared" si="4"/>
        <v>3590</v>
      </c>
      <c r="U15" s="33">
        <f>IFERROR((VLOOKUP($B15,'Из ГУГЛа'!$B:$Z,U$1,0)+W15)*V15,VLOOKUP($B15,'Из ГУГЛа'!$B:$Z,U$1,0))</f>
        <v>3590</v>
      </c>
      <c r="V15" s="10">
        <v>1</v>
      </c>
      <c r="W15" s="10">
        <v>2200</v>
      </c>
      <c r="X15">
        <v>3590</v>
      </c>
      <c r="Y15" t="s">
        <v>178</v>
      </c>
      <c r="Z15" s="33" t="str">
        <f>IFERROR((VLOOKUP($B15,'Из ГУГЛа'!$B:$Z,Z$1,0)+AB15)*AA15,VLOOKUP($B15,'Из ГУГЛа'!$B:$Z,Z$1,0))</f>
        <v/>
      </c>
      <c r="AA15" s="10">
        <v>1</v>
      </c>
      <c r="AB15" s="10">
        <v>2200</v>
      </c>
    </row>
    <row r="16" spans="1:30" ht="45" x14ac:dyDescent="0.25">
      <c r="A16" s="17" t="str">
        <f>INDEX('Выгр Торг'!$A:$A,MATCH($B16,'Выгр Торг'!$B:$B,0))</f>
        <v>Спойлер "VFTS" с заходом на замок гладкий для ВАЗ 2105, 2107</v>
      </c>
      <c r="B16" s="14">
        <v>214782</v>
      </c>
      <c r="C16" s="14">
        <f>VLOOKUP($B16,'Выгр Торг'!$B:$Q,C$1,0)</f>
        <v>87260</v>
      </c>
      <c r="D16" s="17" t="str">
        <f>VLOOKUP($B16,'Выгр Торг'!$B:$Q,D$1,0)</f>
        <v>Спойлер "VFTS" с заходом на замок гладкий для ВАЗ 2105, 2107 (В цвет, Гранат (темно-бордовый, 180))</v>
      </c>
      <c r="E16" s="14" t="str">
        <f>VLOOKUP($B16,'Выгр Торг'!$B:$Q,E$1,0)</f>
        <v>N</v>
      </c>
      <c r="F16" s="14" t="str">
        <f>VLOOKUP($B16,'Выгр Торг'!$B:$Q,F$1,0)</f>
        <v>1</v>
      </c>
      <c r="G16" s="28" t="s">
        <v>25</v>
      </c>
      <c r="H16" s="60">
        <v>2500</v>
      </c>
      <c r="I16" s="15">
        <f>VLOOKUP(H16,Наценка!$A$1:$B$8,2,1)</f>
        <v>1.4</v>
      </c>
      <c r="J16" s="34">
        <v>3490</v>
      </c>
      <c r="K16" s="27">
        <f t="shared" si="0"/>
        <v>3490</v>
      </c>
      <c r="L16" s="14">
        <f>VLOOKUP($B16,'Выгр Торг'!$B:$Q,L$1,0)</f>
        <v>2500</v>
      </c>
      <c r="M16" s="14">
        <f>VLOOKUP($B16,'Выгр Торг'!$B:$Q,M$1,0)</f>
        <v>3690</v>
      </c>
      <c r="N16" s="24">
        <f t="shared" si="1"/>
        <v>0</v>
      </c>
      <c r="O16" s="24">
        <f t="shared" si="2"/>
        <v>200</v>
      </c>
      <c r="P16" s="25">
        <f t="shared" si="3"/>
        <v>3490</v>
      </c>
      <c r="Q16" s="7">
        <f>IFERROR(P16/H16-1,"")</f>
        <v>0.39599999999999991</v>
      </c>
      <c r="R16" s="7">
        <f>IFERROR((T16-P16)/T16,"")</f>
        <v>2.7855153203342618E-2</v>
      </c>
      <c r="S16" s="7">
        <f>IFERROR(IF(T16="","",T16/H16-1),"")</f>
        <v>0.43599999999999994</v>
      </c>
      <c r="T16" s="30">
        <f t="shared" si="4"/>
        <v>3590</v>
      </c>
      <c r="U16" s="33">
        <f>IFERROR((VLOOKUP($B16,'Из ГУГЛа'!$B:$Z,U$1,0)+W16)*V16,VLOOKUP($B16,'Из ГУГЛа'!$B:$Z,U$1,0))</f>
        <v>3590</v>
      </c>
      <c r="V16" s="10">
        <v>1</v>
      </c>
      <c r="W16" s="10">
        <v>2200</v>
      </c>
      <c r="X16">
        <v>3590</v>
      </c>
      <c r="Y16" t="s">
        <v>178</v>
      </c>
      <c r="Z16" s="33" t="str">
        <f>IFERROR((VLOOKUP($B16,'Из ГУГЛа'!$B:$Z,Z$1,0)+AB16)*AA16,VLOOKUP($B16,'Из ГУГЛа'!$B:$Z,Z$1,0))</f>
        <v/>
      </c>
      <c r="AA16" s="10">
        <v>1</v>
      </c>
      <c r="AB16" s="10">
        <v>2200</v>
      </c>
    </row>
    <row r="17" spans="1:28" ht="60" x14ac:dyDescent="0.25">
      <c r="A17" s="17" t="str">
        <f>INDEX('Выгр Торг'!$A:$A,MATCH($B17,'Выгр Торг'!$B:$B,0))</f>
        <v>Спойлер "VFTS" с заходом на замок гладкий для ВАЗ 2105, 2107</v>
      </c>
      <c r="B17" s="14">
        <v>214783</v>
      </c>
      <c r="C17" s="14">
        <f>VLOOKUP($B17,'Выгр Торг'!$B:$Q,C$1,0)</f>
        <v>87261</v>
      </c>
      <c r="D17" s="17" t="str">
        <f>VLOOKUP($B17,'Выгр Торг'!$B:$Q,D$1,0)</f>
        <v>Спойлер "VFTS" с заходом на замок гладкий для ВАЗ 2105, 2107 (В цвет, Игуана (серебристо-ярко-зеленый, 311))</v>
      </c>
      <c r="E17" s="14" t="str">
        <f>VLOOKUP($B17,'Выгр Торг'!$B:$Q,E$1,0)</f>
        <v>N</v>
      </c>
      <c r="F17" s="14" t="str">
        <f>VLOOKUP($B17,'Выгр Торг'!$B:$Q,F$1,0)</f>
        <v>1</v>
      </c>
      <c r="G17" s="28" t="s">
        <v>25</v>
      </c>
      <c r="H17" s="60">
        <v>2500</v>
      </c>
      <c r="I17" s="15">
        <f>VLOOKUP(H17,Наценка!$A$1:$B$8,2,1)</f>
        <v>1.4</v>
      </c>
      <c r="J17" s="34">
        <v>3490</v>
      </c>
      <c r="K17" s="27">
        <f t="shared" si="0"/>
        <v>3490</v>
      </c>
      <c r="L17" s="14">
        <f>VLOOKUP($B17,'Выгр Торг'!$B:$Q,L$1,0)</f>
        <v>2500</v>
      </c>
      <c r="M17" s="14">
        <f>VLOOKUP($B17,'Выгр Торг'!$B:$Q,M$1,0)</f>
        <v>3690</v>
      </c>
      <c r="N17" s="24">
        <f t="shared" si="1"/>
        <v>0</v>
      </c>
      <c r="O17" s="24">
        <f t="shared" si="2"/>
        <v>200</v>
      </c>
      <c r="P17" s="25">
        <f t="shared" si="3"/>
        <v>3490</v>
      </c>
      <c r="Q17" s="7">
        <f>IFERROR(P17/H17-1,"")</f>
        <v>0.39599999999999991</v>
      </c>
      <c r="R17" s="7">
        <f>IFERROR((T17-P17)/T17,"")</f>
        <v>2.7855153203342618E-2</v>
      </c>
      <c r="S17" s="7">
        <f>IFERROR(IF(T17="","",T17/H17-1),"")</f>
        <v>0.43599999999999994</v>
      </c>
      <c r="T17" s="30">
        <f t="shared" si="4"/>
        <v>3590</v>
      </c>
      <c r="U17" s="33">
        <f>IFERROR((VLOOKUP($B17,'Из ГУГЛа'!$B:$Z,U$1,0)+W17)*V17,VLOOKUP($B17,'Из ГУГЛа'!$B:$Z,U$1,0))</f>
        <v>3590</v>
      </c>
      <c r="V17" s="10">
        <v>1</v>
      </c>
      <c r="W17" s="10">
        <v>2200</v>
      </c>
      <c r="X17">
        <v>3590</v>
      </c>
      <c r="Y17" t="s">
        <v>178</v>
      </c>
      <c r="Z17" s="33" t="str">
        <f>IFERROR((VLOOKUP($B17,'Из ГУГЛа'!$B:$Z,Z$1,0)+AB17)*AA17,VLOOKUP($B17,'Из ГУГЛа'!$B:$Z,Z$1,0))</f>
        <v/>
      </c>
      <c r="AA17" s="10">
        <v>1</v>
      </c>
      <c r="AB17" s="10">
        <v>2200</v>
      </c>
    </row>
    <row r="18" spans="1:28" ht="45" x14ac:dyDescent="0.25">
      <c r="A18" s="17" t="str">
        <f>INDEX('Выгр Торг'!$A:$A,MATCH($B18,'Выгр Торг'!$B:$B,0))</f>
        <v>Спойлер "VFTS" с заходом на замок гладкий для ВАЗ 2105, 2107</v>
      </c>
      <c r="B18" s="14">
        <v>214784</v>
      </c>
      <c r="C18" s="14">
        <f>VLOOKUP($B18,'Выгр Торг'!$B:$Q,C$1,0)</f>
        <v>87262</v>
      </c>
      <c r="D18" s="17" t="str">
        <f>VLOOKUP($B18,'Выгр Торг'!$B:$Q,D$1,0)</f>
        <v>Спойлер "VFTS" с заходом на замок гладкий для ВАЗ 2105, 2107 (В цвет, Индиго (темно-синий, 441))</v>
      </c>
      <c r="E18" s="14" t="str">
        <f>VLOOKUP($B18,'Выгр Торг'!$B:$Q,E$1,0)</f>
        <v>N</v>
      </c>
      <c r="F18" s="14" t="str">
        <f>VLOOKUP($B18,'Выгр Торг'!$B:$Q,F$1,0)</f>
        <v>1</v>
      </c>
      <c r="G18" s="28" t="s">
        <v>25</v>
      </c>
      <c r="H18" s="60">
        <v>2500</v>
      </c>
      <c r="I18" s="15">
        <f>VLOOKUP(H18,Наценка!$A$1:$B$8,2,1)</f>
        <v>1.4</v>
      </c>
      <c r="J18" s="34">
        <v>3490</v>
      </c>
      <c r="K18" s="27">
        <f t="shared" si="0"/>
        <v>3490</v>
      </c>
      <c r="L18" s="14">
        <f>VLOOKUP($B18,'Выгр Торг'!$B:$Q,L$1,0)</f>
        <v>2500</v>
      </c>
      <c r="M18" s="14">
        <f>VLOOKUP($B18,'Выгр Торг'!$B:$Q,M$1,0)</f>
        <v>3690</v>
      </c>
      <c r="N18" s="24">
        <f t="shared" si="1"/>
        <v>0</v>
      </c>
      <c r="O18" s="24">
        <f t="shared" si="2"/>
        <v>200</v>
      </c>
      <c r="P18" s="25">
        <f t="shared" si="3"/>
        <v>3490</v>
      </c>
      <c r="Q18" s="7">
        <f>IFERROR(P18/H18-1,"")</f>
        <v>0.39599999999999991</v>
      </c>
      <c r="R18" s="7">
        <f>IFERROR((T18-P18)/T18,"")</f>
        <v>2.7855153203342618E-2</v>
      </c>
      <c r="S18" s="7">
        <f>IFERROR(IF(T18="","",T18/H18-1),"")</f>
        <v>0.43599999999999994</v>
      </c>
      <c r="T18" s="30">
        <f t="shared" si="4"/>
        <v>3590</v>
      </c>
      <c r="U18" s="33">
        <f>IFERROR((VLOOKUP($B18,'Из ГУГЛа'!$B:$Z,U$1,0)+W18)*V18,VLOOKUP($B18,'Из ГУГЛа'!$B:$Z,U$1,0))</f>
        <v>3590</v>
      </c>
      <c r="V18" s="10">
        <v>1</v>
      </c>
      <c r="W18" s="10">
        <v>2200</v>
      </c>
      <c r="X18">
        <v>3590</v>
      </c>
      <c r="Y18" t="s">
        <v>178</v>
      </c>
      <c r="Z18" s="33" t="str">
        <f>IFERROR((VLOOKUP($B18,'Из ГУГЛа'!$B:$Z,Z$1,0)+AB18)*AA18,VLOOKUP($B18,'Из ГУГЛа'!$B:$Z,Z$1,0))</f>
        <v/>
      </c>
      <c r="AA18" s="10">
        <v>1</v>
      </c>
      <c r="AB18" s="10">
        <v>2200</v>
      </c>
    </row>
    <row r="19" spans="1:28" ht="45" x14ac:dyDescent="0.25">
      <c r="A19" s="17" t="str">
        <f>INDEX('Выгр Торг'!$A:$A,MATCH($B19,'Выгр Торг'!$B:$B,0))</f>
        <v>Спойлер "VFTS" с заходом на замок гладкий для ВАЗ 2105, 2107</v>
      </c>
      <c r="B19" s="14">
        <v>214785</v>
      </c>
      <c r="C19" s="14">
        <f>VLOOKUP($B19,'Выгр Торг'!$B:$Q,C$1,0)</f>
        <v>87263</v>
      </c>
      <c r="D19" s="17" t="str">
        <f>VLOOKUP($B19,'Выгр Торг'!$B:$Q,D$1,0)</f>
        <v>Спойлер "VFTS" с заходом на замок гладкий для ВАЗ 2105, 2107 (В цвет, Искра (красный, 128))</v>
      </c>
      <c r="E19" s="14" t="str">
        <f>VLOOKUP($B19,'Выгр Торг'!$B:$Q,E$1,0)</f>
        <v>N</v>
      </c>
      <c r="F19" s="14" t="str">
        <f>VLOOKUP($B19,'Выгр Торг'!$B:$Q,F$1,0)</f>
        <v>1</v>
      </c>
      <c r="G19" s="28" t="s">
        <v>25</v>
      </c>
      <c r="H19" s="60">
        <v>2500</v>
      </c>
      <c r="I19" s="15">
        <f>VLOOKUP(H19,Наценка!$A$1:$B$8,2,1)</f>
        <v>1.4</v>
      </c>
      <c r="J19" s="34">
        <v>3490</v>
      </c>
      <c r="K19" s="27">
        <f t="shared" si="0"/>
        <v>3490</v>
      </c>
      <c r="L19" s="14">
        <f>VLOOKUP($B19,'Выгр Торг'!$B:$Q,L$1,0)</f>
        <v>2500</v>
      </c>
      <c r="M19" s="14">
        <f>VLOOKUP($B19,'Выгр Торг'!$B:$Q,M$1,0)</f>
        <v>3690</v>
      </c>
      <c r="N19" s="24">
        <f t="shared" si="1"/>
        <v>0</v>
      </c>
      <c r="O19" s="24">
        <f t="shared" si="2"/>
        <v>200</v>
      </c>
      <c r="P19" s="25">
        <f t="shared" si="3"/>
        <v>3490</v>
      </c>
      <c r="Q19" s="7">
        <f>IFERROR(P19/H19-1,"")</f>
        <v>0.39599999999999991</v>
      </c>
      <c r="R19" s="7">
        <f>IFERROR((T19-P19)/T19,"")</f>
        <v>2.7855153203342618E-2</v>
      </c>
      <c r="S19" s="7">
        <f>IFERROR(IF(T19="","",T19/H19-1),"")</f>
        <v>0.43599999999999994</v>
      </c>
      <c r="T19" s="30">
        <f t="shared" si="4"/>
        <v>3590</v>
      </c>
      <c r="U19" s="33">
        <f>IFERROR((VLOOKUP($B19,'Из ГУГЛа'!$B:$Z,U$1,0)+W19)*V19,VLOOKUP($B19,'Из ГУГЛа'!$B:$Z,U$1,0))</f>
        <v>3590</v>
      </c>
      <c r="V19" s="10">
        <v>1</v>
      </c>
      <c r="W19" s="10">
        <v>2200</v>
      </c>
      <c r="X19">
        <v>3590</v>
      </c>
      <c r="Y19" t="s">
        <v>178</v>
      </c>
      <c r="Z19" s="33" t="str">
        <f>IFERROR((VLOOKUP($B19,'Из ГУГЛа'!$B:$Z,Z$1,0)+AB19)*AA19,VLOOKUP($B19,'Из ГУГЛа'!$B:$Z,Z$1,0))</f>
        <v/>
      </c>
      <c r="AA19" s="10">
        <v>1</v>
      </c>
      <c r="AB19" s="10">
        <v>2200</v>
      </c>
    </row>
    <row r="20" spans="1:28" ht="60" x14ac:dyDescent="0.25">
      <c r="A20" s="17" t="str">
        <f>INDEX('Выгр Торг'!$A:$A,MATCH($B20,'Выгр Торг'!$B:$B,0))</f>
        <v>Спойлер "VFTS" с заходом на замок гладкий для ВАЗ 2105, 2107</v>
      </c>
      <c r="B20" s="14">
        <v>214786</v>
      </c>
      <c r="C20" s="14">
        <f>VLOOKUP($B20,'Выгр Торг'!$B:$Q,C$1,0)</f>
        <v>87264</v>
      </c>
      <c r="D20" s="17" t="str">
        <f>VLOOKUP($B20,'Выгр Торг'!$B:$Q,D$1,0)</f>
        <v>Спойлер "VFTS" с заходом на замок гладкий для ВАЗ 2105, 2107 (В цвет, Калифорнийский мак (золотисто-красный, 190))</v>
      </c>
      <c r="E20" s="14" t="str">
        <f>VLOOKUP($B20,'Выгр Торг'!$B:$Q,E$1,0)</f>
        <v>N</v>
      </c>
      <c r="F20" s="14" t="str">
        <f>VLOOKUP($B20,'Выгр Торг'!$B:$Q,F$1,0)</f>
        <v>1</v>
      </c>
      <c r="G20" s="28" t="s">
        <v>25</v>
      </c>
      <c r="H20" s="60">
        <v>2500</v>
      </c>
      <c r="I20" s="15">
        <f>VLOOKUP(H20,Наценка!$A$1:$B$8,2,1)</f>
        <v>1.4</v>
      </c>
      <c r="J20" s="34">
        <v>3490</v>
      </c>
      <c r="K20" s="27">
        <f t="shared" si="0"/>
        <v>3490</v>
      </c>
      <c r="L20" s="14">
        <f>VLOOKUP($B20,'Выгр Торг'!$B:$Q,L$1,0)</f>
        <v>2500</v>
      </c>
      <c r="M20" s="14">
        <f>VLOOKUP($B20,'Выгр Торг'!$B:$Q,M$1,0)</f>
        <v>3690</v>
      </c>
      <c r="N20" s="24">
        <f t="shared" si="1"/>
        <v>0</v>
      </c>
      <c r="O20" s="24">
        <f t="shared" si="2"/>
        <v>200</v>
      </c>
      <c r="P20" s="25">
        <f t="shared" si="3"/>
        <v>3490</v>
      </c>
      <c r="Q20" s="7">
        <f>IFERROR(P20/H20-1,"")</f>
        <v>0.39599999999999991</v>
      </c>
      <c r="R20" s="7">
        <f>IFERROR((T20-P20)/T20,"")</f>
        <v>2.7855153203342618E-2</v>
      </c>
      <c r="S20" s="7">
        <f>IFERROR(IF(T20="","",T20/H20-1),"")</f>
        <v>0.43599999999999994</v>
      </c>
      <c r="T20" s="30">
        <f t="shared" si="4"/>
        <v>3590</v>
      </c>
      <c r="U20" s="33">
        <f>IFERROR((VLOOKUP($B20,'Из ГУГЛа'!$B:$Z,U$1,0)+W20)*V20,VLOOKUP($B20,'Из ГУГЛа'!$B:$Z,U$1,0))</f>
        <v>3590</v>
      </c>
      <c r="V20" s="10">
        <v>1</v>
      </c>
      <c r="W20" s="10">
        <v>2200</v>
      </c>
      <c r="X20">
        <v>3590</v>
      </c>
      <c r="Y20" t="s">
        <v>178</v>
      </c>
      <c r="Z20" s="33" t="str">
        <f>IFERROR((VLOOKUP($B20,'Из ГУГЛа'!$B:$Z,Z$1,0)+AB20)*AA20,VLOOKUP($B20,'Из ГУГЛа'!$B:$Z,Z$1,0))</f>
        <v/>
      </c>
      <c r="AA20" s="10">
        <v>1</v>
      </c>
      <c r="AB20" s="10">
        <v>2200</v>
      </c>
    </row>
    <row r="21" spans="1:28" ht="45" x14ac:dyDescent="0.25">
      <c r="A21" s="17" t="str">
        <f>INDEX('Выгр Торг'!$A:$A,MATCH($B21,'Выгр Торг'!$B:$B,0))</f>
        <v>Спойлер "VFTS" с заходом на замок гладкий для ВАЗ 2105, 2107</v>
      </c>
      <c r="B21" s="14">
        <v>214787</v>
      </c>
      <c r="C21" s="14">
        <f>VLOOKUP($B21,'Выгр Торг'!$B:$Q,C$1,0)</f>
        <v>87265</v>
      </c>
      <c r="D21" s="17" t="str">
        <f>VLOOKUP($B21,'Выгр Торг'!$B:$Q,D$1,0)</f>
        <v>Спойлер "VFTS" с заходом на замок гладкий для ВАЗ 2105, 2107 (В цвет, Кварц (серый, 630))</v>
      </c>
      <c r="E21" s="14" t="str">
        <f>VLOOKUP($B21,'Выгр Торг'!$B:$Q,E$1,0)</f>
        <v>N</v>
      </c>
      <c r="F21" s="14" t="str">
        <f>VLOOKUP($B21,'Выгр Торг'!$B:$Q,F$1,0)</f>
        <v>1</v>
      </c>
      <c r="G21" s="28" t="s">
        <v>25</v>
      </c>
      <c r="H21" s="60">
        <v>2500</v>
      </c>
      <c r="I21" s="15">
        <f>VLOOKUP(H21,Наценка!$A$1:$B$8,2,1)</f>
        <v>1.4</v>
      </c>
      <c r="J21" s="34">
        <v>3490</v>
      </c>
      <c r="K21" s="27">
        <f t="shared" si="0"/>
        <v>3490</v>
      </c>
      <c r="L21" s="14">
        <f>VLOOKUP($B21,'Выгр Торг'!$B:$Q,L$1,0)</f>
        <v>2500</v>
      </c>
      <c r="M21" s="14">
        <f>VLOOKUP($B21,'Выгр Торг'!$B:$Q,M$1,0)</f>
        <v>3690</v>
      </c>
      <c r="N21" s="24">
        <f t="shared" si="1"/>
        <v>0</v>
      </c>
      <c r="O21" s="24">
        <f t="shared" si="2"/>
        <v>200</v>
      </c>
      <c r="P21" s="25">
        <f t="shared" si="3"/>
        <v>3490</v>
      </c>
      <c r="Q21" s="7">
        <f>IFERROR(P21/H21-1,"")</f>
        <v>0.39599999999999991</v>
      </c>
      <c r="R21" s="7">
        <f>IFERROR((T21-P21)/T21,"")</f>
        <v>2.7855153203342618E-2</v>
      </c>
      <c r="S21" s="7">
        <f>IFERROR(IF(T21="","",T21/H21-1),"")</f>
        <v>0.43599999999999994</v>
      </c>
      <c r="T21" s="30">
        <f t="shared" si="4"/>
        <v>3590</v>
      </c>
      <c r="U21" s="33">
        <f>IFERROR((VLOOKUP($B21,'Из ГУГЛа'!$B:$Z,U$1,0)+W21)*V21,VLOOKUP($B21,'Из ГУГЛа'!$B:$Z,U$1,0))</f>
        <v>3590</v>
      </c>
      <c r="V21" s="10">
        <v>1</v>
      </c>
      <c r="W21" s="10">
        <v>2200</v>
      </c>
      <c r="X21">
        <v>3590</v>
      </c>
      <c r="Y21" t="s">
        <v>178</v>
      </c>
      <c r="Z21" s="33" t="str">
        <f>IFERROR((VLOOKUP($B21,'Из ГУГЛа'!$B:$Z,Z$1,0)+AB21)*AA21,VLOOKUP($B21,'Из ГУГЛа'!$B:$Z,Z$1,0))</f>
        <v/>
      </c>
      <c r="AA21" s="10">
        <v>1</v>
      </c>
      <c r="AB21" s="10">
        <v>2200</v>
      </c>
    </row>
    <row r="22" spans="1:28" ht="60" x14ac:dyDescent="0.25">
      <c r="A22" s="17" t="str">
        <f>INDEX('Выгр Торг'!$A:$A,MATCH($B22,'Выгр Торг'!$B:$B,0))</f>
        <v>Спойлер "VFTS" с заходом на замок гладкий для ВАЗ 2105, 2107</v>
      </c>
      <c r="B22" s="14">
        <v>214788</v>
      </c>
      <c r="C22" s="14">
        <f>VLOOKUP($B22,'Выгр Торг'!$B:$Q,C$1,0)</f>
        <v>87266</v>
      </c>
      <c r="D22" s="17" t="str">
        <f>VLOOKUP($B22,'Выгр Торг'!$B:$Q,D$1,0)</f>
        <v>Спойлер "VFTS" с заходом на замок гладкий для ВАЗ 2105, 2107 (В цвет, Кориандр (золотисто-коричневый, 790))</v>
      </c>
      <c r="E22" s="14" t="str">
        <f>VLOOKUP($B22,'Выгр Торг'!$B:$Q,E$1,0)</f>
        <v>N</v>
      </c>
      <c r="F22" s="14" t="str">
        <f>VLOOKUP($B22,'Выгр Торг'!$B:$Q,F$1,0)</f>
        <v>1</v>
      </c>
      <c r="G22" s="28" t="s">
        <v>25</v>
      </c>
      <c r="H22" s="60">
        <v>2500</v>
      </c>
      <c r="I22" s="15">
        <f>VLOOKUP(H22,Наценка!$A$1:$B$8,2,1)</f>
        <v>1.4</v>
      </c>
      <c r="J22" s="34">
        <v>3490</v>
      </c>
      <c r="K22" s="27">
        <f t="shared" si="0"/>
        <v>3490</v>
      </c>
      <c r="L22" s="14">
        <f>VLOOKUP($B22,'Выгр Торг'!$B:$Q,L$1,0)</f>
        <v>2500</v>
      </c>
      <c r="M22" s="14">
        <f>VLOOKUP($B22,'Выгр Торг'!$B:$Q,M$1,0)</f>
        <v>3690</v>
      </c>
      <c r="N22" s="24">
        <f t="shared" si="1"/>
        <v>0</v>
      </c>
      <c r="O22" s="24">
        <f t="shared" si="2"/>
        <v>200</v>
      </c>
      <c r="P22" s="25">
        <f t="shared" si="3"/>
        <v>3490</v>
      </c>
      <c r="Q22" s="7">
        <f>IFERROR(P22/H22-1,"")</f>
        <v>0.39599999999999991</v>
      </c>
      <c r="R22" s="7">
        <f>IFERROR((T22-P22)/T22,"")</f>
        <v>2.7855153203342618E-2</v>
      </c>
      <c r="S22" s="7">
        <f>IFERROR(IF(T22="","",T22/H22-1),"")</f>
        <v>0.43599999999999994</v>
      </c>
      <c r="T22" s="30">
        <f t="shared" si="4"/>
        <v>3590</v>
      </c>
      <c r="U22" s="33">
        <f>IFERROR((VLOOKUP($B22,'Из ГУГЛа'!$B:$Z,U$1,0)+W22)*V22,VLOOKUP($B22,'Из ГУГЛа'!$B:$Z,U$1,0))</f>
        <v>3590</v>
      </c>
      <c r="V22" s="10">
        <v>1</v>
      </c>
      <c r="W22" s="10">
        <v>2200</v>
      </c>
      <c r="X22">
        <v>3590</v>
      </c>
      <c r="Y22" t="s">
        <v>178</v>
      </c>
      <c r="Z22" s="33" t="str">
        <f>IFERROR((VLOOKUP($B22,'Из ГУГЛа'!$B:$Z,Z$1,0)+AB22)*AA22,VLOOKUP($B22,'Из ГУГЛа'!$B:$Z,Z$1,0))</f>
        <v/>
      </c>
      <c r="AA22" s="10">
        <v>1</v>
      </c>
      <c r="AB22" s="10">
        <v>2200</v>
      </c>
    </row>
    <row r="23" spans="1:28" ht="45" x14ac:dyDescent="0.25">
      <c r="A23" s="17" t="str">
        <f>INDEX('Выгр Торг'!$A:$A,MATCH($B23,'Выгр Торг'!$B:$B,0))</f>
        <v>Спойлер "VFTS" с заходом на замок гладкий для ВАЗ 2105, 2107</v>
      </c>
      <c r="B23" s="14">
        <v>214789</v>
      </c>
      <c r="C23" s="14">
        <f>VLOOKUP($B23,'Выгр Торг'!$B:$Q,C$1,0)</f>
        <v>87267</v>
      </c>
      <c r="D23" s="17" t="str">
        <f>VLOOKUP($B23,'Выгр Торг'!$B:$Q,D$1,0)</f>
        <v>Спойлер "VFTS" с заходом на замок гладкий для ВАЗ 2105, 2107 (В цвет, Космос (черный, 665))</v>
      </c>
      <c r="E23" s="14" t="str">
        <f>VLOOKUP($B23,'Выгр Торг'!$B:$Q,E$1,0)</f>
        <v>N</v>
      </c>
      <c r="F23" s="14" t="str">
        <f>VLOOKUP($B23,'Выгр Торг'!$B:$Q,F$1,0)</f>
        <v>1</v>
      </c>
      <c r="G23" s="28" t="s">
        <v>25</v>
      </c>
      <c r="H23" s="60">
        <v>2500</v>
      </c>
      <c r="I23" s="15">
        <f>VLOOKUP(H23,Наценка!$A$1:$B$8,2,1)</f>
        <v>1.4</v>
      </c>
      <c r="J23" s="34">
        <v>3490</v>
      </c>
      <c r="K23" s="27">
        <f t="shared" si="0"/>
        <v>3490</v>
      </c>
      <c r="L23" s="14">
        <f>VLOOKUP($B23,'Выгр Торг'!$B:$Q,L$1,0)</f>
        <v>2500</v>
      </c>
      <c r="M23" s="14">
        <f>VLOOKUP($B23,'Выгр Торг'!$B:$Q,M$1,0)</f>
        <v>3690</v>
      </c>
      <c r="N23" s="24">
        <f t="shared" si="1"/>
        <v>0</v>
      </c>
      <c r="O23" s="24">
        <f t="shared" si="2"/>
        <v>200</v>
      </c>
      <c r="P23" s="25">
        <f t="shared" si="3"/>
        <v>3490</v>
      </c>
      <c r="Q23" s="7">
        <f>IFERROR(P23/H23-1,"")</f>
        <v>0.39599999999999991</v>
      </c>
      <c r="R23" s="7">
        <f>IFERROR((T23-P23)/T23,"")</f>
        <v>2.7855153203342618E-2</v>
      </c>
      <c r="S23" s="7">
        <f>IFERROR(IF(T23="","",T23/H23-1),"")</f>
        <v>0.43599999999999994</v>
      </c>
      <c r="T23" s="30">
        <f t="shared" si="4"/>
        <v>3590</v>
      </c>
      <c r="U23" s="33">
        <f>IFERROR((VLOOKUP($B23,'Из ГУГЛа'!$B:$Z,U$1,0)+W23)*V23,VLOOKUP($B23,'Из ГУГЛа'!$B:$Z,U$1,0))</f>
        <v>3590</v>
      </c>
      <c r="V23" s="10">
        <v>1</v>
      </c>
      <c r="W23" s="10">
        <v>2200</v>
      </c>
      <c r="X23">
        <v>3590</v>
      </c>
      <c r="Y23" t="s">
        <v>178</v>
      </c>
      <c r="Z23" s="33" t="str">
        <f>IFERROR((VLOOKUP($B23,'Из ГУГЛа'!$B:$Z,Z$1,0)+AB23)*AA23,VLOOKUP($B23,'Из ГУГЛа'!$B:$Z,Z$1,0))</f>
        <v/>
      </c>
      <c r="AA23" s="10">
        <v>1</v>
      </c>
      <c r="AB23" s="10">
        <v>2200</v>
      </c>
    </row>
    <row r="24" spans="1:28" ht="60" x14ac:dyDescent="0.25">
      <c r="A24" s="17" t="str">
        <f>INDEX('Выгр Торг'!$A:$A,MATCH($B24,'Выгр Торг'!$B:$B,0))</f>
        <v>Спойлер "VFTS" с заходом на замок гладкий для ВАЗ 2105, 2107</v>
      </c>
      <c r="B24" s="14">
        <v>214790</v>
      </c>
      <c r="C24" s="14">
        <f>VLOOKUP($B24,'Выгр Торг'!$B:$Q,C$1,0)</f>
        <v>87268</v>
      </c>
      <c r="D24" s="17" t="str">
        <f>VLOOKUP($B24,'Выгр Торг'!$B:$Q,D$1,0)</f>
        <v>Спойлер "VFTS" с заходом на замок гладкий для ВАЗ 2105, 2107 (В цвет, Красный перец (красно-коричневый, 106))</v>
      </c>
      <c r="E24" s="14" t="str">
        <f>VLOOKUP($B24,'Выгр Торг'!$B:$Q,E$1,0)</f>
        <v>N</v>
      </c>
      <c r="F24" s="14" t="str">
        <f>VLOOKUP($B24,'Выгр Торг'!$B:$Q,F$1,0)</f>
        <v>1</v>
      </c>
      <c r="G24" s="28" t="s">
        <v>25</v>
      </c>
      <c r="H24" s="60">
        <v>2500</v>
      </c>
      <c r="I24" s="15">
        <f>VLOOKUP(H24,Наценка!$A$1:$B$8,2,1)</f>
        <v>1.4</v>
      </c>
      <c r="J24" s="34">
        <v>3490</v>
      </c>
      <c r="K24" s="27">
        <f t="shared" si="0"/>
        <v>3490</v>
      </c>
      <c r="L24" s="14">
        <f>VLOOKUP($B24,'Выгр Торг'!$B:$Q,L$1,0)</f>
        <v>2500</v>
      </c>
      <c r="M24" s="14">
        <f>VLOOKUP($B24,'Выгр Торг'!$B:$Q,M$1,0)</f>
        <v>3690</v>
      </c>
      <c r="N24" s="24">
        <f t="shared" si="1"/>
        <v>0</v>
      </c>
      <c r="O24" s="24">
        <f t="shared" si="2"/>
        <v>200</v>
      </c>
      <c r="P24" s="25">
        <f t="shared" si="3"/>
        <v>3490</v>
      </c>
      <c r="Q24" s="7">
        <f>IFERROR(P24/H24-1,"")</f>
        <v>0.39599999999999991</v>
      </c>
      <c r="R24" s="7">
        <f>IFERROR((T24-P24)/T24,"")</f>
        <v>2.7855153203342618E-2</v>
      </c>
      <c r="S24" s="7">
        <f>IFERROR(IF(T24="","",T24/H24-1),"")</f>
        <v>0.43599999999999994</v>
      </c>
      <c r="T24" s="30">
        <f t="shared" si="4"/>
        <v>3590</v>
      </c>
      <c r="U24" s="33">
        <f>IFERROR((VLOOKUP($B24,'Из ГУГЛа'!$B:$Z,U$1,0)+W24)*V24,VLOOKUP($B24,'Из ГУГЛа'!$B:$Z,U$1,0))</f>
        <v>3590</v>
      </c>
      <c r="V24" s="10">
        <v>1</v>
      </c>
      <c r="W24" s="10">
        <v>2200</v>
      </c>
      <c r="X24">
        <v>3590</v>
      </c>
      <c r="Y24" t="s">
        <v>178</v>
      </c>
      <c r="Z24" s="33" t="str">
        <f>IFERROR((VLOOKUP($B24,'Из ГУГЛа'!$B:$Z,Z$1,0)+AB24)*AA24,VLOOKUP($B24,'Из ГУГЛа'!$B:$Z,Z$1,0))</f>
        <v/>
      </c>
      <c r="AA24" s="10">
        <v>1</v>
      </c>
      <c r="AB24" s="10">
        <v>2200</v>
      </c>
    </row>
    <row r="25" spans="1:28" ht="60" x14ac:dyDescent="0.25">
      <c r="A25" s="17" t="str">
        <f>INDEX('Выгр Торг'!$A:$A,MATCH($B25,'Выгр Торг'!$B:$B,0))</f>
        <v>Спойлер "VFTS" с заходом на замок гладкий для ВАЗ 2105, 2107</v>
      </c>
      <c r="B25" s="14">
        <v>214791</v>
      </c>
      <c r="C25" s="14">
        <f>VLOOKUP($B25,'Выгр Торг'!$B:$Q,C$1,0)</f>
        <v>87269</v>
      </c>
      <c r="D25" s="17" t="str">
        <f>VLOOKUP($B25,'Выгр Торг'!$B:$Q,D$1,0)</f>
        <v>Спойлер "VFTS" с заходом на замок гладкий для ВАЗ 2105, 2107 (В цвет, Майя (серебристый темно-бордовый, 120))</v>
      </c>
      <c r="E25" s="14" t="str">
        <f>VLOOKUP($B25,'Выгр Торг'!$B:$Q,E$1,0)</f>
        <v>N</v>
      </c>
      <c r="F25" s="14" t="str">
        <f>VLOOKUP($B25,'Выгр Торг'!$B:$Q,F$1,0)</f>
        <v>1</v>
      </c>
      <c r="G25" s="28" t="s">
        <v>25</v>
      </c>
      <c r="H25" s="60">
        <v>2500</v>
      </c>
      <c r="I25" s="15">
        <f>VLOOKUP(H25,Наценка!$A$1:$B$8,2,1)</f>
        <v>1.4</v>
      </c>
      <c r="J25" s="34">
        <v>3490</v>
      </c>
      <c r="K25" s="27">
        <f t="shared" si="0"/>
        <v>3490</v>
      </c>
      <c r="L25" s="14">
        <f>VLOOKUP($B25,'Выгр Торг'!$B:$Q,L$1,0)</f>
        <v>2500</v>
      </c>
      <c r="M25" s="14">
        <f>VLOOKUP($B25,'Выгр Торг'!$B:$Q,M$1,0)</f>
        <v>3690</v>
      </c>
      <c r="N25" s="24">
        <f t="shared" si="1"/>
        <v>0</v>
      </c>
      <c r="O25" s="24">
        <f t="shared" si="2"/>
        <v>200</v>
      </c>
      <c r="P25" s="25">
        <f t="shared" si="3"/>
        <v>3490</v>
      </c>
      <c r="Q25" s="7">
        <f>IFERROR(P25/H25-1,"")</f>
        <v>0.39599999999999991</v>
      </c>
      <c r="R25" s="7">
        <f>IFERROR((T25-P25)/T25,"")</f>
        <v>2.7855153203342618E-2</v>
      </c>
      <c r="S25" s="7">
        <f>IFERROR(IF(T25="","",T25/H25-1),"")</f>
        <v>0.43599999999999994</v>
      </c>
      <c r="T25" s="30">
        <f t="shared" si="4"/>
        <v>3590</v>
      </c>
      <c r="U25" s="33">
        <f>IFERROR((VLOOKUP($B25,'Из ГУГЛа'!$B:$Z,U$1,0)+W25)*V25,VLOOKUP($B25,'Из ГУГЛа'!$B:$Z,U$1,0))</f>
        <v>3590</v>
      </c>
      <c r="V25" s="10">
        <v>1</v>
      </c>
      <c r="W25" s="10">
        <v>2200</v>
      </c>
      <c r="X25">
        <v>3590</v>
      </c>
      <c r="Y25" t="s">
        <v>178</v>
      </c>
      <c r="Z25" s="33" t="str">
        <f>IFERROR((VLOOKUP($B25,'Из ГУГЛа'!$B:$Z,Z$1,0)+AB25)*AA25,VLOOKUP($B25,'Из ГУГЛа'!$B:$Z,Z$1,0))</f>
        <v/>
      </c>
      <c r="AA25" s="10">
        <v>1</v>
      </c>
      <c r="AB25" s="10">
        <v>2200</v>
      </c>
    </row>
    <row r="26" spans="1:28" ht="60" x14ac:dyDescent="0.25">
      <c r="A26" s="17" t="str">
        <f>INDEX('Выгр Торг'!$A:$A,MATCH($B26,'Выгр Торг'!$B:$B,0))</f>
        <v>Спойлер "VFTS" с заходом на замок гладкий для ВАЗ 2105, 2107</v>
      </c>
      <c r="B26" s="14">
        <v>214792</v>
      </c>
      <c r="C26" s="14">
        <f>VLOOKUP($B26,'Выгр Торг'!$B:$Q,C$1,0)</f>
        <v>87270</v>
      </c>
      <c r="D26" s="17" t="str">
        <f>VLOOKUP($B26,'Выгр Торг'!$B:$Q,D$1,0)</f>
        <v>Спойлер "VFTS" с заходом на замок гладкий для ВАЗ 2105, 2107 (В цвет, Мокрый асфальт (серебристый стальной, 626))</v>
      </c>
      <c r="E26" s="14" t="str">
        <f>VLOOKUP($B26,'Выгр Торг'!$B:$Q,E$1,0)</f>
        <v>N</v>
      </c>
      <c r="F26" s="14" t="str">
        <f>VLOOKUP($B26,'Выгр Торг'!$B:$Q,F$1,0)</f>
        <v>1</v>
      </c>
      <c r="G26" s="28" t="s">
        <v>25</v>
      </c>
      <c r="H26" s="60">
        <v>2500</v>
      </c>
      <c r="I26" s="15">
        <f>VLOOKUP(H26,Наценка!$A$1:$B$8,2,1)</f>
        <v>1.4</v>
      </c>
      <c r="J26" s="34">
        <v>3490</v>
      </c>
      <c r="K26" s="27">
        <f t="shared" si="0"/>
        <v>3490</v>
      </c>
      <c r="L26" s="14">
        <f>VLOOKUP($B26,'Выгр Торг'!$B:$Q,L$1,0)</f>
        <v>2500</v>
      </c>
      <c r="M26" s="14">
        <f>VLOOKUP($B26,'Выгр Торг'!$B:$Q,M$1,0)</f>
        <v>3690</v>
      </c>
      <c r="N26" s="24">
        <f t="shared" si="1"/>
        <v>0</v>
      </c>
      <c r="O26" s="24">
        <f t="shared" si="2"/>
        <v>200</v>
      </c>
      <c r="P26" s="25">
        <f t="shared" si="3"/>
        <v>3490</v>
      </c>
      <c r="Q26" s="7">
        <f>IFERROR(P26/H26-1,"")</f>
        <v>0.39599999999999991</v>
      </c>
      <c r="R26" s="7">
        <f>IFERROR((T26-P26)/T26,"")</f>
        <v>2.7855153203342618E-2</v>
      </c>
      <c r="S26" s="7">
        <f>IFERROR(IF(T26="","",T26/H26-1),"")</f>
        <v>0.43599999999999994</v>
      </c>
      <c r="T26" s="30">
        <f t="shared" si="4"/>
        <v>3590</v>
      </c>
      <c r="U26" s="33">
        <f>IFERROR((VLOOKUP($B26,'Из ГУГЛа'!$B:$Z,U$1,0)+W26)*V26,VLOOKUP($B26,'Из ГУГЛа'!$B:$Z,U$1,0))</f>
        <v>3590</v>
      </c>
      <c r="V26" s="10">
        <v>1</v>
      </c>
      <c r="W26" s="10">
        <v>2200</v>
      </c>
      <c r="X26">
        <v>3590</v>
      </c>
      <c r="Y26" t="s">
        <v>178</v>
      </c>
      <c r="Z26" s="33" t="str">
        <f>IFERROR((VLOOKUP($B26,'Из ГУГЛа'!$B:$Z,Z$1,0)+AB26)*AA26,VLOOKUP($B26,'Из ГУГЛа'!$B:$Z,Z$1,0))</f>
        <v/>
      </c>
      <c r="AA26" s="10">
        <v>1</v>
      </c>
      <c r="AB26" s="10">
        <v>2200</v>
      </c>
    </row>
    <row r="27" spans="1:28" ht="45" x14ac:dyDescent="0.25">
      <c r="A27" s="17" t="str">
        <f>INDEX('Выгр Торг'!$A:$A,MATCH($B27,'Выгр Торг'!$B:$B,0))</f>
        <v>Спойлер "VFTS" с заходом на замок гладкий для ВАЗ 2105, 2107</v>
      </c>
      <c r="B27" s="14">
        <v>214793</v>
      </c>
      <c r="C27" s="14">
        <f>VLOOKUP($B27,'Выгр Торг'!$B:$Q,C$1,0)</f>
        <v>87271</v>
      </c>
      <c r="D27" s="17" t="str">
        <f>VLOOKUP($B27,'Выгр Торг'!$B:$Q,D$1,0)</f>
        <v>Спойлер "VFTS" с заходом на замок гладкий для ВАЗ 2105, 2107 (В цвет, Морская пучина (темно-зеленый, 325))</v>
      </c>
      <c r="E27" s="14" t="str">
        <f>VLOOKUP($B27,'Выгр Торг'!$B:$Q,E$1,0)</f>
        <v>N</v>
      </c>
      <c r="F27" s="14" t="str">
        <f>VLOOKUP($B27,'Выгр Торг'!$B:$Q,F$1,0)</f>
        <v>1</v>
      </c>
      <c r="G27" s="28" t="s">
        <v>25</v>
      </c>
      <c r="H27" s="60">
        <v>2500</v>
      </c>
      <c r="I27" s="15">
        <f>VLOOKUP(H27,Наценка!$A$1:$B$8,2,1)</f>
        <v>1.4</v>
      </c>
      <c r="J27" s="34">
        <v>3490</v>
      </c>
      <c r="K27" s="27">
        <f t="shared" si="0"/>
        <v>3490</v>
      </c>
      <c r="L27" s="14">
        <f>VLOOKUP($B27,'Выгр Торг'!$B:$Q,L$1,0)</f>
        <v>2500</v>
      </c>
      <c r="M27" s="14">
        <f>VLOOKUP($B27,'Выгр Торг'!$B:$Q,M$1,0)</f>
        <v>3690</v>
      </c>
      <c r="N27" s="24">
        <f t="shared" si="1"/>
        <v>0</v>
      </c>
      <c r="O27" s="24">
        <f t="shared" si="2"/>
        <v>200</v>
      </c>
      <c r="P27" s="25">
        <f t="shared" si="3"/>
        <v>3490</v>
      </c>
      <c r="Q27" s="7">
        <f>IFERROR(P27/H27-1,"")</f>
        <v>0.39599999999999991</v>
      </c>
      <c r="R27" s="7">
        <f>IFERROR((T27-P27)/T27,"")</f>
        <v>2.7855153203342618E-2</v>
      </c>
      <c r="S27" s="7">
        <f>IFERROR(IF(T27="","",T27/H27-1),"")</f>
        <v>0.43599999999999994</v>
      </c>
      <c r="T27" s="30">
        <f t="shared" si="4"/>
        <v>3590</v>
      </c>
      <c r="U27" s="33">
        <f>IFERROR((VLOOKUP($B27,'Из ГУГЛа'!$B:$Z,U$1,0)+W27)*V27,VLOOKUP($B27,'Из ГУГЛа'!$B:$Z,U$1,0))</f>
        <v>3590</v>
      </c>
      <c r="V27" s="10">
        <v>1</v>
      </c>
      <c r="W27" s="10">
        <v>2200</v>
      </c>
      <c r="X27">
        <v>3590</v>
      </c>
      <c r="Y27" t="s">
        <v>178</v>
      </c>
      <c r="Z27" s="33" t="str">
        <f>IFERROR((VLOOKUP($B27,'Из ГУГЛа'!$B:$Z,Z$1,0)+AB27)*AA27,VLOOKUP($B27,'Из ГУГЛа'!$B:$Z,Z$1,0))</f>
        <v/>
      </c>
      <c r="AA27" s="10">
        <v>1</v>
      </c>
      <c r="AB27" s="10">
        <v>2200</v>
      </c>
    </row>
    <row r="28" spans="1:28" ht="45" x14ac:dyDescent="0.25">
      <c r="A28" s="17" t="str">
        <f>INDEX('Выгр Торг'!$A:$A,MATCH($B28,'Выгр Торг'!$B:$B,0))</f>
        <v>Спойлер "VFTS" с заходом на замок гладкий для ВАЗ 2105, 2107</v>
      </c>
      <c r="B28" s="14">
        <v>214794</v>
      </c>
      <c r="C28" s="14">
        <f>VLOOKUP($B28,'Выгр Торг'!$B:$Q,C$1,0)</f>
        <v>87272</v>
      </c>
      <c r="D28" s="17" t="str">
        <f>VLOOKUP($B28,'Выгр Торг'!$B:$Q,D$1,0)</f>
        <v>Спойлер "VFTS" с заходом на замок гладкий для ВАЗ 2105, 2107 (В цвет, Мурена (сине-зеленый, 377))</v>
      </c>
      <c r="E28" s="14" t="str">
        <f>VLOOKUP($B28,'Выгр Торг'!$B:$Q,E$1,0)</f>
        <v>N</v>
      </c>
      <c r="F28" s="14" t="str">
        <f>VLOOKUP($B28,'Выгр Торг'!$B:$Q,F$1,0)</f>
        <v>1</v>
      </c>
      <c r="G28" s="28" t="s">
        <v>25</v>
      </c>
      <c r="H28" s="60">
        <v>2500</v>
      </c>
      <c r="I28" s="15">
        <f>VLOOKUP(H28,Наценка!$A$1:$B$8,2,1)</f>
        <v>1.4</v>
      </c>
      <c r="J28" s="34">
        <v>3490</v>
      </c>
      <c r="K28" s="27">
        <f t="shared" si="0"/>
        <v>3490</v>
      </c>
      <c r="L28" s="14">
        <f>VLOOKUP($B28,'Выгр Торг'!$B:$Q,L$1,0)</f>
        <v>2500</v>
      </c>
      <c r="M28" s="14">
        <f>VLOOKUP($B28,'Выгр Торг'!$B:$Q,M$1,0)</f>
        <v>3690</v>
      </c>
      <c r="N28" s="24">
        <f t="shared" si="1"/>
        <v>0</v>
      </c>
      <c r="O28" s="24">
        <f t="shared" si="2"/>
        <v>200</v>
      </c>
      <c r="P28" s="25">
        <f t="shared" si="3"/>
        <v>3490</v>
      </c>
      <c r="Q28" s="7">
        <f>IFERROR(P28/H28-1,"")</f>
        <v>0.39599999999999991</v>
      </c>
      <c r="R28" s="7">
        <f>IFERROR((T28-P28)/T28,"")</f>
        <v>2.7855153203342618E-2</v>
      </c>
      <c r="S28" s="7">
        <f>IFERROR(IF(T28="","",T28/H28-1),"")</f>
        <v>0.43599999999999994</v>
      </c>
      <c r="T28" s="30">
        <f t="shared" si="4"/>
        <v>3590</v>
      </c>
      <c r="U28" s="33">
        <f>IFERROR((VLOOKUP($B28,'Из ГУГЛа'!$B:$Z,U$1,0)+W28)*V28,VLOOKUP($B28,'Из ГУГЛа'!$B:$Z,U$1,0))</f>
        <v>3590</v>
      </c>
      <c r="V28" s="10">
        <v>1</v>
      </c>
      <c r="W28" s="10">
        <v>2200</v>
      </c>
      <c r="X28">
        <v>3590</v>
      </c>
      <c r="Y28" t="s">
        <v>178</v>
      </c>
      <c r="Z28" s="33" t="str">
        <f>IFERROR((VLOOKUP($B28,'Из ГУГЛа'!$B:$Z,Z$1,0)+AB28)*AA28,VLOOKUP($B28,'Из ГУГЛа'!$B:$Z,Z$1,0))</f>
        <v/>
      </c>
      <c r="AA28" s="10">
        <v>1</v>
      </c>
      <c r="AB28" s="10">
        <v>2200</v>
      </c>
    </row>
    <row r="29" spans="1:28" ht="45" x14ac:dyDescent="0.25">
      <c r="A29" s="17" t="str">
        <f>INDEX('Выгр Торг'!$A:$A,MATCH($B29,'Выгр Торг'!$B:$B,0))</f>
        <v>Спойлер "VFTS" с заходом на замок гладкий для ВАЗ 2105, 2107</v>
      </c>
      <c r="B29" s="14">
        <v>214795</v>
      </c>
      <c r="C29" s="14">
        <f>VLOOKUP($B29,'Выгр Торг'!$B:$Q,C$1,0)</f>
        <v>87273</v>
      </c>
      <c r="D29" s="17" t="str">
        <f>VLOOKUP($B29,'Выгр Торг'!$B:$Q,D$1,0)</f>
        <v>Спойлер "VFTS" с заходом на замок гладкий для ВАЗ 2105, 2107 (В цвет, Мускари (темно синий, 426))</v>
      </c>
      <c r="E29" s="14" t="str">
        <f>VLOOKUP($B29,'Выгр Торг'!$B:$Q,E$1,0)</f>
        <v>N</v>
      </c>
      <c r="F29" s="14" t="str">
        <f>VLOOKUP($B29,'Выгр Торг'!$B:$Q,F$1,0)</f>
        <v>1</v>
      </c>
      <c r="G29" s="28" t="s">
        <v>25</v>
      </c>
      <c r="H29" s="60">
        <v>2500</v>
      </c>
      <c r="I29" s="15">
        <f>VLOOKUP(H29,Наценка!$A$1:$B$8,2,1)</f>
        <v>1.4</v>
      </c>
      <c r="J29" s="34">
        <v>3490</v>
      </c>
      <c r="K29" s="27">
        <f t="shared" si="0"/>
        <v>3490</v>
      </c>
      <c r="L29" s="14">
        <f>VLOOKUP($B29,'Выгр Торг'!$B:$Q,L$1,0)</f>
        <v>2500</v>
      </c>
      <c r="M29" s="14">
        <f>VLOOKUP($B29,'Выгр Торг'!$B:$Q,M$1,0)</f>
        <v>3690</v>
      </c>
      <c r="N29" s="24">
        <f t="shared" si="1"/>
        <v>0</v>
      </c>
      <c r="O29" s="24">
        <f t="shared" si="2"/>
        <v>200</v>
      </c>
      <c r="P29" s="25">
        <f t="shared" si="3"/>
        <v>3490</v>
      </c>
      <c r="Q29" s="7">
        <f>IFERROR(P29/H29-1,"")</f>
        <v>0.39599999999999991</v>
      </c>
      <c r="R29" s="7">
        <f>IFERROR((T29-P29)/T29,"")</f>
        <v>2.7855153203342618E-2</v>
      </c>
      <c r="S29" s="7">
        <f>IFERROR(IF(T29="","",T29/H29-1),"")</f>
        <v>0.43599999999999994</v>
      </c>
      <c r="T29" s="30">
        <f t="shared" si="4"/>
        <v>3590</v>
      </c>
      <c r="U29" s="33">
        <f>IFERROR((VLOOKUP($B29,'Из ГУГЛа'!$B:$Z,U$1,0)+W29)*V29,VLOOKUP($B29,'Из ГУГЛа'!$B:$Z,U$1,0))</f>
        <v>3590</v>
      </c>
      <c r="V29" s="10">
        <v>1</v>
      </c>
      <c r="W29" s="10">
        <v>2200</v>
      </c>
      <c r="X29">
        <v>3590</v>
      </c>
      <c r="Y29" t="s">
        <v>178</v>
      </c>
      <c r="Z29" s="33" t="str">
        <f>IFERROR((VLOOKUP($B29,'Из ГУГЛа'!$B:$Z,Z$1,0)+AB29)*AA29,VLOOKUP($B29,'Из ГУГЛа'!$B:$Z,Z$1,0))</f>
        <v/>
      </c>
      <c r="AA29" s="10">
        <v>1</v>
      </c>
      <c r="AB29" s="10">
        <v>2200</v>
      </c>
    </row>
    <row r="30" spans="1:28" ht="45" x14ac:dyDescent="0.25">
      <c r="A30" s="17" t="str">
        <f>INDEX('Выгр Торг'!$A:$A,MATCH($B30,'Выгр Торг'!$B:$B,0))</f>
        <v>Спойлер "VFTS" с заходом на замок гладкий для ВАЗ 2105, 2107</v>
      </c>
      <c r="B30" s="14">
        <v>214796</v>
      </c>
      <c r="C30" s="14">
        <f>VLOOKUP($B30,'Выгр Торг'!$B:$Q,C$1,0)</f>
        <v>87274</v>
      </c>
      <c r="D30" s="17" t="str">
        <f>VLOOKUP($B30,'Выгр Торг'!$B:$Q,D$1,0)</f>
        <v>Спойлер "VFTS" с заходом на замок гладкий для ВАЗ 2105, 2107 (В цвет, Нарцисс (желтый, 223))</v>
      </c>
      <c r="E30" s="14" t="str">
        <f>VLOOKUP($B30,'Выгр Торг'!$B:$Q,E$1,0)</f>
        <v>N</v>
      </c>
      <c r="F30" s="14" t="str">
        <f>VLOOKUP($B30,'Выгр Торг'!$B:$Q,F$1,0)</f>
        <v>1</v>
      </c>
      <c r="G30" s="28" t="s">
        <v>25</v>
      </c>
      <c r="H30" s="60">
        <v>2500</v>
      </c>
      <c r="I30" s="15">
        <f>VLOOKUP(H30,Наценка!$A$1:$B$8,2,1)</f>
        <v>1.4</v>
      </c>
      <c r="J30" s="34">
        <v>3490</v>
      </c>
      <c r="K30" s="27">
        <f t="shared" si="0"/>
        <v>3490</v>
      </c>
      <c r="L30" s="14">
        <f>VLOOKUP($B30,'Выгр Торг'!$B:$Q,L$1,0)</f>
        <v>2500</v>
      </c>
      <c r="M30" s="14">
        <f>VLOOKUP($B30,'Выгр Торг'!$B:$Q,M$1,0)</f>
        <v>3690</v>
      </c>
      <c r="N30" s="24">
        <f t="shared" si="1"/>
        <v>0</v>
      </c>
      <c r="O30" s="24">
        <f t="shared" si="2"/>
        <v>200</v>
      </c>
      <c r="P30" s="25">
        <f t="shared" si="3"/>
        <v>3490</v>
      </c>
      <c r="Q30" s="7">
        <f>IFERROR(P30/H30-1,"")</f>
        <v>0.39599999999999991</v>
      </c>
      <c r="R30" s="7">
        <f>IFERROR((T30-P30)/T30,"")</f>
        <v>2.7855153203342618E-2</v>
      </c>
      <c r="S30" s="7">
        <f>IFERROR(IF(T30="","",T30/H30-1),"")</f>
        <v>0.43599999999999994</v>
      </c>
      <c r="T30" s="30">
        <f t="shared" si="4"/>
        <v>3590</v>
      </c>
      <c r="U30" s="33">
        <f>IFERROR((VLOOKUP($B30,'Из ГУГЛа'!$B:$Z,U$1,0)+W30)*V30,VLOOKUP($B30,'Из ГУГЛа'!$B:$Z,U$1,0))</f>
        <v>3590</v>
      </c>
      <c r="V30" s="10">
        <v>1</v>
      </c>
      <c r="W30" s="10">
        <v>2200</v>
      </c>
      <c r="X30">
        <v>3590</v>
      </c>
      <c r="Y30" t="s">
        <v>178</v>
      </c>
      <c r="Z30" s="33" t="str">
        <f>IFERROR((VLOOKUP($B30,'Из ГУГЛа'!$B:$Z,Z$1,0)+AB30)*AA30,VLOOKUP($B30,'Из ГУГЛа'!$B:$Z,Z$1,0))</f>
        <v/>
      </c>
      <c r="AA30" s="10">
        <v>1</v>
      </c>
      <c r="AB30" s="10">
        <v>2200</v>
      </c>
    </row>
    <row r="31" spans="1:28" ht="45" x14ac:dyDescent="0.25">
      <c r="A31" s="17" t="str">
        <f>INDEX('Выгр Торг'!$A:$A,MATCH($B31,'Выгр Торг'!$B:$B,0))</f>
        <v>Спойлер "VFTS" с заходом на замок гладкий для ВАЗ 2105, 2107</v>
      </c>
      <c r="B31" s="14">
        <v>214797</v>
      </c>
      <c r="C31" s="14">
        <f>VLOOKUP($B31,'Выгр Торг'!$B:$Q,C$1,0)</f>
        <v>87275</v>
      </c>
      <c r="D31" s="17" t="str">
        <f>VLOOKUP($B31,'Выгр Торг'!$B:$Q,D$1,0)</f>
        <v>Спойлер "VFTS" с заходом на замок гладкий для ВАЗ 2105, 2107 (В цвет, Наутилус (темно-зеленый, 304))</v>
      </c>
      <c r="E31" s="14" t="str">
        <f>VLOOKUP($B31,'Выгр Торг'!$B:$Q,E$1,0)</f>
        <v>N</v>
      </c>
      <c r="F31" s="14" t="str">
        <f>VLOOKUP($B31,'Выгр Торг'!$B:$Q,F$1,0)</f>
        <v>1</v>
      </c>
      <c r="G31" s="28" t="s">
        <v>25</v>
      </c>
      <c r="H31" s="60">
        <v>2500</v>
      </c>
      <c r="I31" s="15">
        <f>VLOOKUP(H31,Наценка!$A$1:$B$8,2,1)</f>
        <v>1.4</v>
      </c>
      <c r="J31" s="34">
        <v>3490</v>
      </c>
      <c r="K31" s="27">
        <f t="shared" si="0"/>
        <v>3490</v>
      </c>
      <c r="L31" s="14">
        <f>VLOOKUP($B31,'Выгр Торг'!$B:$Q,L$1,0)</f>
        <v>2500</v>
      </c>
      <c r="M31" s="14">
        <f>VLOOKUP($B31,'Выгр Торг'!$B:$Q,M$1,0)</f>
        <v>3690</v>
      </c>
      <c r="N31" s="24">
        <f t="shared" si="1"/>
        <v>0</v>
      </c>
      <c r="O31" s="24">
        <f t="shared" si="2"/>
        <v>200</v>
      </c>
      <c r="P31" s="25">
        <f t="shared" si="3"/>
        <v>3490</v>
      </c>
      <c r="Q31" s="7">
        <f>IFERROR(P31/H31-1,"")</f>
        <v>0.39599999999999991</v>
      </c>
      <c r="R31" s="7">
        <f>IFERROR((T31-P31)/T31,"")</f>
        <v>2.7855153203342618E-2</v>
      </c>
      <c r="S31" s="7">
        <f>IFERROR(IF(T31="","",T31/H31-1),"")</f>
        <v>0.43599999999999994</v>
      </c>
      <c r="T31" s="30">
        <f t="shared" si="4"/>
        <v>3590</v>
      </c>
      <c r="U31" s="33">
        <f>IFERROR((VLOOKUP($B31,'Из ГУГЛа'!$B:$Z,U$1,0)+W31)*V31,VLOOKUP($B31,'Из ГУГЛа'!$B:$Z,U$1,0))</f>
        <v>3590</v>
      </c>
      <c r="V31" s="10">
        <v>1</v>
      </c>
      <c r="W31" s="10">
        <v>2200</v>
      </c>
      <c r="X31">
        <v>3590</v>
      </c>
      <c r="Y31" t="s">
        <v>178</v>
      </c>
      <c r="Z31" s="33" t="str">
        <f>IFERROR((VLOOKUP($B31,'Из ГУГЛа'!$B:$Z,Z$1,0)+AB31)*AA31,VLOOKUP($B31,'Из ГУГЛа'!$B:$Z,Z$1,0))</f>
        <v/>
      </c>
      <c r="AA31" s="10">
        <v>1</v>
      </c>
      <c r="AB31" s="10">
        <v>2200</v>
      </c>
    </row>
    <row r="32" spans="1:28" ht="45" x14ac:dyDescent="0.25">
      <c r="A32" s="17" t="str">
        <f>INDEX('Выгр Торг'!$A:$A,MATCH($B32,'Выгр Торг'!$B:$B,0))</f>
        <v>Спойлер "VFTS" с заходом на замок гладкий для ВАЗ 2105, 2107</v>
      </c>
      <c r="B32" s="14">
        <v>214798</v>
      </c>
      <c r="C32" s="14">
        <f>VLOOKUP($B32,'Выгр Торг'!$B:$Q,C$1,0)</f>
        <v>87276</v>
      </c>
      <c r="D32" s="17" t="str">
        <f>VLOOKUP($B32,'Выгр Торг'!$B:$Q,D$1,0)</f>
        <v>Спойлер "VFTS" с заходом на замок гладкий для ВАЗ 2105, 2107 (В цвет, Персей (темно-синий, 429))</v>
      </c>
      <c r="E32" s="14" t="str">
        <f>VLOOKUP($B32,'Выгр Торг'!$B:$Q,E$1,0)</f>
        <v>N</v>
      </c>
      <c r="F32" s="14" t="str">
        <f>VLOOKUP($B32,'Выгр Торг'!$B:$Q,F$1,0)</f>
        <v>1</v>
      </c>
      <c r="G32" s="28" t="s">
        <v>25</v>
      </c>
      <c r="H32" s="60">
        <v>2500</v>
      </c>
      <c r="I32" s="15">
        <f>VLOOKUP(H32,Наценка!$A$1:$B$8,2,1)</f>
        <v>1.4</v>
      </c>
      <c r="J32" s="34">
        <v>3490</v>
      </c>
      <c r="K32" s="27">
        <f t="shared" si="0"/>
        <v>3490</v>
      </c>
      <c r="L32" s="14">
        <f>VLOOKUP($B32,'Выгр Торг'!$B:$Q,L$1,0)</f>
        <v>2500</v>
      </c>
      <c r="M32" s="14">
        <f>VLOOKUP($B32,'Выгр Торг'!$B:$Q,M$1,0)</f>
        <v>3690</v>
      </c>
      <c r="N32" s="24">
        <f t="shared" si="1"/>
        <v>0</v>
      </c>
      <c r="O32" s="24">
        <f t="shared" si="2"/>
        <v>200</v>
      </c>
      <c r="P32" s="25">
        <f t="shared" si="3"/>
        <v>3490</v>
      </c>
      <c r="Q32" s="7">
        <f>IFERROR(P32/H32-1,"")</f>
        <v>0.39599999999999991</v>
      </c>
      <c r="R32" s="7">
        <f>IFERROR((T32-P32)/T32,"")</f>
        <v>2.7855153203342618E-2</v>
      </c>
      <c r="S32" s="7">
        <f>IFERROR(IF(T32="","",T32/H32-1),"")</f>
        <v>0.43599999999999994</v>
      </c>
      <c r="T32" s="30">
        <f t="shared" si="4"/>
        <v>3590</v>
      </c>
      <c r="U32" s="33">
        <f>IFERROR((VLOOKUP($B32,'Из ГУГЛа'!$B:$Z,U$1,0)+W32)*V32,VLOOKUP($B32,'Из ГУГЛа'!$B:$Z,U$1,0))</f>
        <v>3590</v>
      </c>
      <c r="V32" s="10">
        <v>1</v>
      </c>
      <c r="W32" s="10">
        <v>2200</v>
      </c>
      <c r="X32">
        <v>3590</v>
      </c>
      <c r="Y32" t="s">
        <v>178</v>
      </c>
      <c r="Z32" s="33" t="str">
        <f>IFERROR((VLOOKUP($B32,'Из ГУГЛа'!$B:$Z,Z$1,0)+AB32)*AA32,VLOOKUP($B32,'Из ГУГЛа'!$B:$Z,Z$1,0))</f>
        <v/>
      </c>
      <c r="AA32" s="10">
        <v>1</v>
      </c>
      <c r="AB32" s="10">
        <v>2200</v>
      </c>
    </row>
    <row r="33" spans="1:28" ht="45" x14ac:dyDescent="0.25">
      <c r="A33" s="17" t="str">
        <f>INDEX('Выгр Торг'!$A:$A,MATCH($B33,'Выгр Торг'!$B:$B,0))</f>
        <v>Спойлер "VFTS" с заходом на замок гладкий для ВАЗ 2105, 2107</v>
      </c>
      <c r="B33" s="14">
        <v>214799</v>
      </c>
      <c r="C33" s="14">
        <f>VLOOKUP($B33,'Выгр Торг'!$B:$Q,C$1,0)</f>
        <v>87277</v>
      </c>
      <c r="D33" s="17" t="str">
        <f>VLOOKUP($B33,'Выгр Торг'!$B:$Q,D$1,0)</f>
        <v>Спойлер "VFTS" с заходом на замок гладкий для ВАЗ 2105, 2107 (В цвет, Петергоф (серо-зеленоватый, 404))</v>
      </c>
      <c r="E33" s="14" t="str">
        <f>VLOOKUP($B33,'Выгр Торг'!$B:$Q,E$1,0)</f>
        <v>N</v>
      </c>
      <c r="F33" s="14" t="str">
        <f>VLOOKUP($B33,'Выгр Торг'!$B:$Q,F$1,0)</f>
        <v>1</v>
      </c>
      <c r="G33" s="28" t="s">
        <v>25</v>
      </c>
      <c r="H33" s="60">
        <v>2500</v>
      </c>
      <c r="I33" s="15">
        <f>VLOOKUP(H33,Наценка!$A$1:$B$8,2,1)</f>
        <v>1.4</v>
      </c>
      <c r="J33" s="34">
        <v>3490</v>
      </c>
      <c r="K33" s="27">
        <f t="shared" si="0"/>
        <v>3490</v>
      </c>
      <c r="L33" s="14">
        <f>VLOOKUP($B33,'Выгр Торг'!$B:$Q,L$1,0)</f>
        <v>2500</v>
      </c>
      <c r="M33" s="14">
        <f>VLOOKUP($B33,'Выгр Торг'!$B:$Q,M$1,0)</f>
        <v>3690</v>
      </c>
      <c r="N33" s="24">
        <f t="shared" si="1"/>
        <v>0</v>
      </c>
      <c r="O33" s="24">
        <f t="shared" si="2"/>
        <v>200</v>
      </c>
      <c r="P33" s="25">
        <f t="shared" si="3"/>
        <v>3490</v>
      </c>
      <c r="Q33" s="7">
        <f>IFERROR(P33/H33-1,"")</f>
        <v>0.39599999999999991</v>
      </c>
      <c r="R33" s="7">
        <f>IFERROR((T33-P33)/T33,"")</f>
        <v>2.7855153203342618E-2</v>
      </c>
      <c r="S33" s="7">
        <f>IFERROR(IF(T33="","",T33/H33-1),"")</f>
        <v>0.43599999999999994</v>
      </c>
      <c r="T33" s="30">
        <f t="shared" si="4"/>
        <v>3590</v>
      </c>
      <c r="U33" s="33">
        <f>IFERROR((VLOOKUP($B33,'Из ГУГЛа'!$B:$Z,U$1,0)+W33)*V33,VLOOKUP($B33,'Из ГУГЛа'!$B:$Z,U$1,0))</f>
        <v>3590</v>
      </c>
      <c r="V33" s="10">
        <v>1</v>
      </c>
      <c r="W33" s="10">
        <v>2200</v>
      </c>
      <c r="X33">
        <v>3590</v>
      </c>
      <c r="Y33" t="s">
        <v>178</v>
      </c>
      <c r="Z33" s="33" t="str">
        <f>IFERROR((VLOOKUP($B33,'Из ГУГЛа'!$B:$Z,Z$1,0)+AB33)*AA33,VLOOKUP($B33,'Из ГУГЛа'!$B:$Z,Z$1,0))</f>
        <v/>
      </c>
      <c r="AA33" s="10">
        <v>1</v>
      </c>
      <c r="AB33" s="10">
        <v>2200</v>
      </c>
    </row>
    <row r="34" spans="1:28" ht="60" x14ac:dyDescent="0.25">
      <c r="A34" s="17" t="str">
        <f>INDEX('Выгр Торг'!$A:$A,MATCH($B34,'Выгр Торг'!$B:$B,0))</f>
        <v>Спойлер "VFTS" с заходом на замок гладкий для ВАЗ 2105, 2107</v>
      </c>
      <c r="B34" s="14">
        <v>214800</v>
      </c>
      <c r="C34" s="14">
        <f>VLOOKUP($B34,'Выгр Торг'!$B:$Q,C$1,0)</f>
        <v>87278</v>
      </c>
      <c r="D34" s="17" t="str">
        <f>VLOOKUP($B34,'Выгр Торг'!$B:$Q,D$1,0)</f>
        <v>Спойлер "VFTS" с заходом на замок гладкий для ВАЗ 2105, 2107 (В цвет, Портвейн (темно-вишневый металлик, 192))</v>
      </c>
      <c r="E34" s="14" t="str">
        <f>VLOOKUP($B34,'Выгр Торг'!$B:$Q,E$1,0)</f>
        <v>N</v>
      </c>
      <c r="F34" s="14" t="str">
        <f>VLOOKUP($B34,'Выгр Торг'!$B:$Q,F$1,0)</f>
        <v>1</v>
      </c>
      <c r="G34" s="28" t="s">
        <v>25</v>
      </c>
      <c r="H34" s="60">
        <v>2500</v>
      </c>
      <c r="I34" s="15">
        <f>VLOOKUP(H34,Наценка!$A$1:$B$8,2,1)</f>
        <v>1.4</v>
      </c>
      <c r="J34" s="34">
        <v>3490</v>
      </c>
      <c r="K34" s="27">
        <f t="shared" si="0"/>
        <v>3490</v>
      </c>
      <c r="L34" s="14">
        <f>VLOOKUP($B34,'Выгр Торг'!$B:$Q,L$1,0)</f>
        <v>2500</v>
      </c>
      <c r="M34" s="14">
        <f>VLOOKUP($B34,'Выгр Торг'!$B:$Q,M$1,0)</f>
        <v>3690</v>
      </c>
      <c r="N34" s="24">
        <f t="shared" si="1"/>
        <v>0</v>
      </c>
      <c r="O34" s="24">
        <f t="shared" si="2"/>
        <v>200</v>
      </c>
      <c r="P34" s="25">
        <f t="shared" si="3"/>
        <v>3490</v>
      </c>
      <c r="Q34" s="7">
        <f>IFERROR(P34/H34-1,"")</f>
        <v>0.39599999999999991</v>
      </c>
      <c r="R34" s="7">
        <f>IFERROR((T34-P34)/T34,"")</f>
        <v>2.7855153203342618E-2</v>
      </c>
      <c r="S34" s="7">
        <f>IFERROR(IF(T34="","",T34/H34-1),"")</f>
        <v>0.43599999999999994</v>
      </c>
      <c r="T34" s="30">
        <f t="shared" si="4"/>
        <v>3590</v>
      </c>
      <c r="U34" s="33">
        <f>IFERROR((VLOOKUP($B34,'Из ГУГЛа'!$B:$Z,U$1,0)+W34)*V34,VLOOKUP($B34,'Из ГУГЛа'!$B:$Z,U$1,0))</f>
        <v>3590</v>
      </c>
      <c r="V34" s="10">
        <v>1</v>
      </c>
      <c r="W34" s="10">
        <v>2200</v>
      </c>
      <c r="X34">
        <v>3590</v>
      </c>
      <c r="Y34" t="s">
        <v>178</v>
      </c>
      <c r="Z34" s="33" t="str">
        <f>IFERROR((VLOOKUP($B34,'Из ГУГЛа'!$B:$Z,Z$1,0)+AB34)*AA34,VLOOKUP($B34,'Из ГУГЛа'!$B:$Z,Z$1,0))</f>
        <v/>
      </c>
      <c r="AA34" s="10">
        <v>1</v>
      </c>
      <c r="AB34" s="10">
        <v>2200</v>
      </c>
    </row>
    <row r="35" spans="1:28" ht="60" x14ac:dyDescent="0.25">
      <c r="A35" s="17" t="str">
        <f>INDEX('Выгр Торг'!$A:$A,MATCH($B35,'Выгр Торг'!$B:$B,0))</f>
        <v>Спойлер "VFTS" с заходом на замок гладкий для ВАЗ 2105, 2107</v>
      </c>
      <c r="B35" s="14">
        <v>214801</v>
      </c>
      <c r="C35" s="14">
        <f>VLOOKUP($B35,'Выгр Торг'!$B:$Q,C$1,0)</f>
        <v>87279</v>
      </c>
      <c r="D35" s="17" t="str">
        <f>VLOOKUP($B35,'Выгр Торг'!$B:$Q,D$1,0)</f>
        <v>Спойлер "VFTS" с заходом на замок гладкий для ВАЗ 2105, 2107 (В цвет, Престиж (серебристо-темно-синий, 605))</v>
      </c>
      <c r="E35" s="14" t="str">
        <f>VLOOKUP($B35,'Выгр Торг'!$B:$Q,E$1,0)</f>
        <v>N</v>
      </c>
      <c r="F35" s="14" t="str">
        <f>VLOOKUP($B35,'Выгр Торг'!$B:$Q,F$1,0)</f>
        <v>1</v>
      </c>
      <c r="G35" s="28" t="s">
        <v>25</v>
      </c>
      <c r="H35" s="60">
        <v>2500</v>
      </c>
      <c r="I35" s="15">
        <f>VLOOKUP(H35,Наценка!$A$1:$B$8,2,1)</f>
        <v>1.4</v>
      </c>
      <c r="J35" s="34">
        <v>3490</v>
      </c>
      <c r="K35" s="27">
        <f t="shared" si="0"/>
        <v>3490</v>
      </c>
      <c r="L35" s="14">
        <f>VLOOKUP($B35,'Выгр Торг'!$B:$Q,L$1,0)</f>
        <v>2500</v>
      </c>
      <c r="M35" s="14">
        <f>VLOOKUP($B35,'Выгр Торг'!$B:$Q,M$1,0)</f>
        <v>3690</v>
      </c>
      <c r="N35" s="24">
        <f t="shared" si="1"/>
        <v>0</v>
      </c>
      <c r="O35" s="24">
        <f t="shared" si="2"/>
        <v>200</v>
      </c>
      <c r="P35" s="25">
        <f t="shared" si="3"/>
        <v>3490</v>
      </c>
      <c r="Q35" s="7">
        <f>IFERROR(P35/H35-1,"")</f>
        <v>0.39599999999999991</v>
      </c>
      <c r="R35" s="7">
        <f>IFERROR((T35-P35)/T35,"")</f>
        <v>2.7855153203342618E-2</v>
      </c>
      <c r="S35" s="7">
        <f>IFERROR(IF(T35="","",T35/H35-1),"")</f>
        <v>0.43599999999999994</v>
      </c>
      <c r="T35" s="30">
        <f t="shared" si="4"/>
        <v>3590</v>
      </c>
      <c r="U35" s="33">
        <f>IFERROR((VLOOKUP($B35,'Из ГУГЛа'!$B:$Z,U$1,0)+W35)*V35,VLOOKUP($B35,'Из ГУГЛа'!$B:$Z,U$1,0))</f>
        <v>3590</v>
      </c>
      <c r="V35" s="10">
        <v>1</v>
      </c>
      <c r="W35" s="10">
        <v>2200</v>
      </c>
      <c r="X35">
        <v>3590</v>
      </c>
      <c r="Y35" t="s">
        <v>178</v>
      </c>
      <c r="Z35" s="33" t="str">
        <f>IFERROR((VLOOKUP($B35,'Из ГУГЛа'!$B:$Z,Z$1,0)+AB35)*AA35,VLOOKUP($B35,'Из ГУГЛа'!$B:$Z,Z$1,0))</f>
        <v/>
      </c>
      <c r="AA35" s="10">
        <v>1</v>
      </c>
      <c r="AB35" s="10">
        <v>2200</v>
      </c>
    </row>
    <row r="36" spans="1:28" ht="45" x14ac:dyDescent="0.25">
      <c r="A36" s="17" t="str">
        <f>INDEX('Выгр Торг'!$A:$A,MATCH($B36,'Выгр Торг'!$B:$B,0))</f>
        <v>Спойлер "VFTS" с заходом на замок гладкий для ВАЗ 2105, 2107</v>
      </c>
      <c r="B36" s="14">
        <v>214802</v>
      </c>
      <c r="C36" s="14">
        <f>VLOOKUP($B36,'Выгр Торг'!$B:$Q,C$1,0)</f>
        <v>87280</v>
      </c>
      <c r="D36" s="17" t="str">
        <f>VLOOKUP($B36,'Выгр Торг'!$B:$Q,D$1,0)</f>
        <v>Спойлер "VFTS" с заходом на замок гладкий для ВАЗ 2105, 2107 (В цвет, Романс (темно-красный, 182))</v>
      </c>
      <c r="E36" s="14" t="str">
        <f>VLOOKUP($B36,'Выгр Торг'!$B:$Q,E$1,0)</f>
        <v>N</v>
      </c>
      <c r="F36" s="14" t="str">
        <f>VLOOKUP($B36,'Выгр Торг'!$B:$Q,F$1,0)</f>
        <v>1</v>
      </c>
      <c r="G36" s="28" t="s">
        <v>25</v>
      </c>
      <c r="H36" s="60">
        <v>2500</v>
      </c>
      <c r="I36" s="15">
        <f>VLOOKUP(H36,Наценка!$A$1:$B$8,2,1)</f>
        <v>1.4</v>
      </c>
      <c r="J36" s="34">
        <v>3490</v>
      </c>
      <c r="K36" s="27">
        <f t="shared" si="0"/>
        <v>3490</v>
      </c>
      <c r="L36" s="14">
        <f>VLOOKUP($B36,'Выгр Торг'!$B:$Q,L$1,0)</f>
        <v>2500</v>
      </c>
      <c r="M36" s="14">
        <f>VLOOKUP($B36,'Выгр Торг'!$B:$Q,M$1,0)</f>
        <v>3690</v>
      </c>
      <c r="N36" s="24">
        <f t="shared" si="1"/>
        <v>0</v>
      </c>
      <c r="O36" s="24">
        <f t="shared" si="2"/>
        <v>200</v>
      </c>
      <c r="P36" s="25">
        <f t="shared" si="3"/>
        <v>3490</v>
      </c>
      <c r="Q36" s="7">
        <f>IFERROR(P36/H36-1,"")</f>
        <v>0.39599999999999991</v>
      </c>
      <c r="R36" s="7">
        <f>IFERROR((T36-P36)/T36,"")</f>
        <v>2.7855153203342618E-2</v>
      </c>
      <c r="S36" s="7">
        <f>IFERROR(IF(T36="","",T36/H36-1),"")</f>
        <v>0.43599999999999994</v>
      </c>
      <c r="T36" s="30">
        <f t="shared" si="4"/>
        <v>3590</v>
      </c>
      <c r="U36" s="33">
        <f>IFERROR((VLOOKUP($B36,'Из ГУГЛа'!$B:$Z,U$1,0)+W36)*V36,VLOOKUP($B36,'Из ГУГЛа'!$B:$Z,U$1,0))</f>
        <v>3590</v>
      </c>
      <c r="V36" s="10">
        <v>1</v>
      </c>
      <c r="W36" s="10">
        <v>2200</v>
      </c>
      <c r="X36">
        <v>3590</v>
      </c>
      <c r="Y36" t="s">
        <v>178</v>
      </c>
      <c r="Z36" s="33" t="str">
        <f>IFERROR((VLOOKUP($B36,'Из ГУГЛа'!$B:$Z,Z$1,0)+AB36)*AA36,VLOOKUP($B36,'Из ГУГЛа'!$B:$Z,Z$1,0))</f>
        <v/>
      </c>
      <c r="AA36" s="10">
        <v>1</v>
      </c>
      <c r="AB36" s="10">
        <v>2200</v>
      </c>
    </row>
    <row r="37" spans="1:28" ht="45" x14ac:dyDescent="0.25">
      <c r="A37" s="17" t="str">
        <f>INDEX('Выгр Торг'!$A:$A,MATCH($B37,'Выгр Торг'!$B:$B,0))</f>
        <v>Спойлер "VFTS" с заходом на замок гладкий для ВАЗ 2105, 2107</v>
      </c>
      <c r="B37" s="14">
        <v>214803</v>
      </c>
      <c r="C37" s="14">
        <f>VLOOKUP($B37,'Выгр Торг'!$B:$Q,C$1,0)</f>
        <v>87281</v>
      </c>
      <c r="D37" s="17" t="str">
        <f>VLOOKUP($B37,'Выгр Торг'!$B:$Q,D$1,0)</f>
        <v>Спойлер "VFTS" с заходом на замок гладкий для ВАЗ 2105, 2107 (В цвет, Сафари (светло-бежевый, 215))</v>
      </c>
      <c r="E37" s="14" t="str">
        <f>VLOOKUP($B37,'Выгр Торг'!$B:$Q,E$1,0)</f>
        <v>N</v>
      </c>
      <c r="F37" s="14" t="str">
        <f>VLOOKUP($B37,'Выгр Торг'!$B:$Q,F$1,0)</f>
        <v>1</v>
      </c>
      <c r="G37" s="28" t="s">
        <v>25</v>
      </c>
      <c r="H37" s="60">
        <v>2500</v>
      </c>
      <c r="I37" s="15">
        <f>VLOOKUP(H37,Наценка!$A$1:$B$8,2,1)</f>
        <v>1.4</v>
      </c>
      <c r="J37" s="34">
        <v>3490</v>
      </c>
      <c r="K37" s="27">
        <f t="shared" si="0"/>
        <v>3490</v>
      </c>
      <c r="L37" s="14">
        <f>VLOOKUP($B37,'Выгр Торг'!$B:$Q,L$1,0)</f>
        <v>2500</v>
      </c>
      <c r="M37" s="14">
        <f>VLOOKUP($B37,'Выгр Торг'!$B:$Q,M$1,0)</f>
        <v>3690</v>
      </c>
      <c r="N37" s="24">
        <f t="shared" si="1"/>
        <v>0</v>
      </c>
      <c r="O37" s="24">
        <f t="shared" si="2"/>
        <v>200</v>
      </c>
      <c r="P37" s="25">
        <f t="shared" si="3"/>
        <v>3490</v>
      </c>
      <c r="Q37" s="7">
        <f>IFERROR(P37/H37-1,"")</f>
        <v>0.39599999999999991</v>
      </c>
      <c r="R37" s="7">
        <f>IFERROR((T37-P37)/T37,"")</f>
        <v>2.7855153203342618E-2</v>
      </c>
      <c r="S37" s="7">
        <f>IFERROR(IF(T37="","",T37/H37-1),"")</f>
        <v>0.43599999999999994</v>
      </c>
      <c r="T37" s="30">
        <f t="shared" si="4"/>
        <v>3590</v>
      </c>
      <c r="U37" s="33">
        <f>IFERROR((VLOOKUP($B37,'Из ГУГЛа'!$B:$Z,U$1,0)+W37)*V37,VLOOKUP($B37,'Из ГУГЛа'!$B:$Z,U$1,0))</f>
        <v>3590</v>
      </c>
      <c r="V37" s="10">
        <v>1</v>
      </c>
      <c r="W37" s="10">
        <v>2200</v>
      </c>
      <c r="X37">
        <v>3590</v>
      </c>
      <c r="Y37" t="s">
        <v>178</v>
      </c>
      <c r="Z37" s="33" t="str">
        <f>IFERROR((VLOOKUP($B37,'Из ГУГЛа'!$B:$Z,Z$1,0)+AB37)*AA37,VLOOKUP($B37,'Из ГУГЛа'!$B:$Z,Z$1,0))</f>
        <v/>
      </c>
      <c r="AA37" s="10">
        <v>1</v>
      </c>
      <c r="AB37" s="10">
        <v>2200</v>
      </c>
    </row>
    <row r="38" spans="1:28" ht="45" x14ac:dyDescent="0.25">
      <c r="A38" s="17" t="str">
        <f>INDEX('Выгр Торг'!$A:$A,MATCH($B38,'Выгр Торг'!$B:$B,0))</f>
        <v>Спойлер "VFTS" с заходом на замок гладкий для ВАЗ 2105, 2107</v>
      </c>
      <c r="B38" s="14">
        <v>214804</v>
      </c>
      <c r="C38" s="14">
        <f>VLOOKUP($B38,'Выгр Торг'!$B:$Q,C$1,0)</f>
        <v>87282</v>
      </c>
      <c r="D38" s="17" t="str">
        <f>VLOOKUP($B38,'Выгр Торг'!$B:$Q,D$1,0)</f>
        <v>Спойлер "VFTS" с заходом на замок гладкий для ВАЗ 2105, 2107 (В цвет, Снежная королева (серебристый, 690))</v>
      </c>
      <c r="E38" s="14" t="str">
        <f>VLOOKUP($B38,'Выгр Торг'!$B:$Q,E$1,0)</f>
        <v>N</v>
      </c>
      <c r="F38" s="14" t="str">
        <f>VLOOKUP($B38,'Выгр Торг'!$B:$Q,F$1,0)</f>
        <v>1</v>
      </c>
      <c r="G38" s="28" t="s">
        <v>25</v>
      </c>
      <c r="H38" s="60">
        <v>2500</v>
      </c>
      <c r="I38" s="15">
        <f>VLOOKUP(H38,Наценка!$A$1:$B$8,2,1)</f>
        <v>1.4</v>
      </c>
      <c r="J38" s="34">
        <v>3490</v>
      </c>
      <c r="K38" s="27">
        <f t="shared" si="0"/>
        <v>3490</v>
      </c>
      <c r="L38" s="14">
        <f>VLOOKUP($B38,'Выгр Торг'!$B:$Q,L$1,0)</f>
        <v>2500</v>
      </c>
      <c r="M38" s="14">
        <f>VLOOKUP($B38,'Выгр Торг'!$B:$Q,M$1,0)</f>
        <v>3690</v>
      </c>
      <c r="N38" s="24">
        <f t="shared" si="1"/>
        <v>0</v>
      </c>
      <c r="O38" s="24">
        <f t="shared" si="2"/>
        <v>200</v>
      </c>
      <c r="P38" s="25">
        <f t="shared" si="3"/>
        <v>3490</v>
      </c>
      <c r="Q38" s="7">
        <f>IFERROR(P38/H38-1,"")</f>
        <v>0.39599999999999991</v>
      </c>
      <c r="R38" s="7">
        <f>IFERROR((T38-P38)/T38,"")</f>
        <v>2.7855153203342618E-2</v>
      </c>
      <c r="S38" s="7">
        <f>IFERROR(IF(T38="","",T38/H38-1),"")</f>
        <v>0.43599999999999994</v>
      </c>
      <c r="T38" s="30">
        <f t="shared" si="4"/>
        <v>3590</v>
      </c>
      <c r="U38" s="33">
        <f>IFERROR((VLOOKUP($B38,'Из ГУГЛа'!$B:$Z,U$1,0)+W38)*V38,VLOOKUP($B38,'Из ГУГЛа'!$B:$Z,U$1,0))</f>
        <v>3590</v>
      </c>
      <c r="V38" s="10">
        <v>1</v>
      </c>
      <c r="W38" s="10">
        <v>2200</v>
      </c>
      <c r="X38">
        <v>3590</v>
      </c>
      <c r="Y38" t="s">
        <v>178</v>
      </c>
      <c r="Z38" s="33" t="str">
        <f>IFERROR((VLOOKUP($B38,'Из ГУГЛа'!$B:$Z,Z$1,0)+AB38)*AA38,VLOOKUP($B38,'Из ГУГЛа'!$B:$Z,Z$1,0))</f>
        <v/>
      </c>
      <c r="AA38" s="10">
        <v>1</v>
      </c>
      <c r="AB38" s="10">
        <v>2200</v>
      </c>
    </row>
    <row r="39" spans="1:28" ht="60" x14ac:dyDescent="0.25">
      <c r="A39" s="17" t="str">
        <f>INDEX('Выгр Торг'!$A:$A,MATCH($B39,'Выгр Торг'!$B:$B,0))</f>
        <v>Спойлер "VFTS" с заходом на замок гладкий для ВАЗ 2105, 2107</v>
      </c>
      <c r="B39" s="14">
        <v>214805</v>
      </c>
      <c r="C39" s="14">
        <f>VLOOKUP($B39,'Выгр Торг'!$B:$Q,C$1,0)</f>
        <v>87283</v>
      </c>
      <c r="D39" s="17" t="str">
        <f>VLOOKUP($B39,'Выгр Торг'!$B:$Q,D$1,0)</f>
        <v>Спойлер "VFTS" с заходом на замок гладкий для ВАЗ 2105, 2107 (В цвет, Сочи (серебристо-серо-зеленоватый, 360))</v>
      </c>
      <c r="E39" s="14" t="str">
        <f>VLOOKUP($B39,'Выгр Торг'!$B:$Q,E$1,0)</f>
        <v>N</v>
      </c>
      <c r="F39" s="14" t="str">
        <f>VLOOKUP($B39,'Выгр Торг'!$B:$Q,F$1,0)</f>
        <v>1</v>
      </c>
      <c r="G39" s="28" t="s">
        <v>25</v>
      </c>
      <c r="H39" s="60">
        <v>2500</v>
      </c>
      <c r="I39" s="15">
        <f>VLOOKUP(H39,Наценка!$A$1:$B$8,2,1)</f>
        <v>1.4</v>
      </c>
      <c r="J39" s="34">
        <v>3490</v>
      </c>
      <c r="K39" s="27">
        <f t="shared" si="0"/>
        <v>3490</v>
      </c>
      <c r="L39" s="14">
        <f>VLOOKUP($B39,'Выгр Торг'!$B:$Q,L$1,0)</f>
        <v>2500</v>
      </c>
      <c r="M39" s="14">
        <f>VLOOKUP($B39,'Выгр Торг'!$B:$Q,M$1,0)</f>
        <v>3690</v>
      </c>
      <c r="N39" s="24">
        <f t="shared" si="1"/>
        <v>0</v>
      </c>
      <c r="O39" s="24">
        <f t="shared" si="2"/>
        <v>200</v>
      </c>
      <c r="P39" s="25">
        <f t="shared" si="3"/>
        <v>3490</v>
      </c>
      <c r="Q39" s="7">
        <f>IFERROR(P39/H39-1,"")</f>
        <v>0.39599999999999991</v>
      </c>
      <c r="R39" s="7">
        <f>IFERROR((T39-P39)/T39,"")</f>
        <v>2.7855153203342618E-2</v>
      </c>
      <c r="S39" s="7">
        <f>IFERROR(IF(T39="","",T39/H39-1),"")</f>
        <v>0.43599999999999994</v>
      </c>
      <c r="T39" s="30">
        <f t="shared" si="4"/>
        <v>3590</v>
      </c>
      <c r="U39" s="33">
        <f>IFERROR((VLOOKUP($B39,'Из ГУГЛа'!$B:$Z,U$1,0)+W39)*V39,VLOOKUP($B39,'Из ГУГЛа'!$B:$Z,U$1,0))</f>
        <v>3590</v>
      </c>
      <c r="V39" s="10">
        <v>1</v>
      </c>
      <c r="W39" s="10">
        <v>2200</v>
      </c>
      <c r="X39">
        <v>3590</v>
      </c>
      <c r="Y39" t="s">
        <v>178</v>
      </c>
      <c r="Z39" s="33" t="str">
        <f>IFERROR((VLOOKUP($B39,'Из ГУГЛа'!$B:$Z,Z$1,0)+AB39)*AA39,VLOOKUP($B39,'Из ГУГЛа'!$B:$Z,Z$1,0))</f>
        <v/>
      </c>
      <c r="AA39" s="10">
        <v>1</v>
      </c>
      <c r="AB39" s="10">
        <v>2200</v>
      </c>
    </row>
    <row r="40" spans="1:28" ht="45" x14ac:dyDescent="0.25">
      <c r="A40" s="17" t="str">
        <f>INDEX('Выгр Торг'!$A:$A,MATCH($B40,'Выгр Торг'!$B:$B,0))</f>
        <v>Спойлер "VFTS" с заходом на замок гладкий для ВАЗ 2105, 2107</v>
      </c>
      <c r="B40" s="14">
        <v>214806</v>
      </c>
      <c r="C40" s="14">
        <f>VLOOKUP($B40,'Выгр Торг'!$B:$Q,C$1,0)</f>
        <v>87284</v>
      </c>
      <c r="D40" s="17" t="str">
        <f>VLOOKUP($B40,'Выгр Торг'!$B:$Q,D$1,0)</f>
        <v>Спойлер "VFTS" с заходом на замок гладкий для ВАЗ 2105, 2107 (В цвет, Чайная роза (светло-желтый, 228))</v>
      </c>
      <c r="E40" s="14" t="str">
        <f>VLOOKUP($B40,'Выгр Торг'!$B:$Q,E$1,0)</f>
        <v>N</v>
      </c>
      <c r="F40" s="14" t="str">
        <f>VLOOKUP($B40,'Выгр Торг'!$B:$Q,F$1,0)</f>
        <v>1</v>
      </c>
      <c r="G40" s="28" t="s">
        <v>25</v>
      </c>
      <c r="H40" s="60">
        <v>2500</v>
      </c>
      <c r="I40" s="15">
        <f>VLOOKUP(H40,Наценка!$A$1:$B$8,2,1)</f>
        <v>1.4</v>
      </c>
      <c r="J40" s="34">
        <v>3490</v>
      </c>
      <c r="K40" s="27">
        <f t="shared" si="0"/>
        <v>3490</v>
      </c>
      <c r="L40" s="14">
        <f>VLOOKUP($B40,'Выгр Торг'!$B:$Q,L$1,0)</f>
        <v>2500</v>
      </c>
      <c r="M40" s="14">
        <f>VLOOKUP($B40,'Выгр Торг'!$B:$Q,M$1,0)</f>
        <v>3690</v>
      </c>
      <c r="N40" s="24">
        <f t="shared" si="1"/>
        <v>0</v>
      </c>
      <c r="O40" s="24">
        <f t="shared" si="2"/>
        <v>200</v>
      </c>
      <c r="P40" s="25">
        <f t="shared" si="3"/>
        <v>3490</v>
      </c>
      <c r="Q40" s="7">
        <f>IFERROR(P40/H40-1,"")</f>
        <v>0.39599999999999991</v>
      </c>
      <c r="R40" s="7">
        <f>IFERROR((T40-P40)/T40,"")</f>
        <v>2.7855153203342618E-2</v>
      </c>
      <c r="S40" s="7">
        <f>IFERROR(IF(T40="","",T40/H40-1),"")</f>
        <v>0.43599999999999994</v>
      </c>
      <c r="T40" s="30">
        <f t="shared" si="4"/>
        <v>3590</v>
      </c>
      <c r="U40" s="33">
        <f>IFERROR((VLOOKUP($B40,'Из ГУГЛа'!$B:$Z,U$1,0)+W40)*V40,VLOOKUP($B40,'Из ГУГЛа'!$B:$Z,U$1,0))</f>
        <v>3590</v>
      </c>
      <c r="V40" s="10">
        <v>1</v>
      </c>
      <c r="W40" s="10">
        <v>2200</v>
      </c>
      <c r="X40">
        <v>3590</v>
      </c>
      <c r="Y40" t="s">
        <v>178</v>
      </c>
      <c r="Z40" s="33" t="str">
        <f>IFERROR((VLOOKUP($B40,'Из ГУГЛа'!$B:$Z,Z$1,0)+AB40)*AA40,VLOOKUP($B40,'Из ГУГЛа'!$B:$Z,Z$1,0))</f>
        <v/>
      </c>
      <c r="AA40" s="10">
        <v>1</v>
      </c>
      <c r="AB40" s="10">
        <v>2200</v>
      </c>
    </row>
    <row r="41" spans="1:28" ht="30" x14ac:dyDescent="0.25">
      <c r="A41" s="17" t="str">
        <f>INDEX('Выгр Торг'!$A:$A,MATCH($B41,'Выгр Торг'!$B:$B,0))</f>
        <v>Спойлер "Авторитет" для ВАЗ 2105, 2107</v>
      </c>
      <c r="B41" s="14">
        <v>214874</v>
      </c>
      <c r="C41" s="14">
        <f>VLOOKUP($B41,'Выгр Торг'!$B:$Q,C$1,0)</f>
        <v>66646</v>
      </c>
      <c r="D41" s="17" t="str">
        <f>VLOOKUP($B41,'Выгр Торг'!$B:$Q,D$1,0)</f>
        <v>Спойлер "Авторитет" для ВАЗ 2105, 2107 (Без покраски)</v>
      </c>
      <c r="E41" s="14" t="str">
        <f>VLOOKUP($B41,'Выгр Торг'!$B:$Q,E$1,0)</f>
        <v>Y</v>
      </c>
      <c r="F41" s="14" t="str">
        <f>VLOOKUP($B41,'Выгр Торг'!$B:$Q,F$1,0)</f>
        <v>0</v>
      </c>
      <c r="G41" s="28" t="s">
        <v>25</v>
      </c>
      <c r="H41" s="60">
        <v>800</v>
      </c>
      <c r="I41" s="15">
        <f>VLOOKUP(H41,Наценка!$A$1:$B$8,2,1)</f>
        <v>1.55</v>
      </c>
      <c r="J41" s="36">
        <f t="shared" ref="J41:J67" si="5">H41*I41</f>
        <v>1240</v>
      </c>
      <c r="K41" s="27">
        <f t="shared" si="0"/>
        <v>1290</v>
      </c>
      <c r="L41" s="14">
        <f>VLOOKUP($B41,'Выгр Торг'!$B:$Q,L$1,0)</f>
        <v>800</v>
      </c>
      <c r="M41" s="14">
        <f>VLOOKUP($B41,'Выгр Торг'!$B:$Q,M$1,0)</f>
        <v>1390</v>
      </c>
      <c r="N41" s="24">
        <f t="shared" si="1"/>
        <v>0</v>
      </c>
      <c r="O41" s="24">
        <f t="shared" si="2"/>
        <v>100</v>
      </c>
      <c r="P41" s="25">
        <f t="shared" si="3"/>
        <v>1290</v>
      </c>
      <c r="Q41" s="7">
        <f>IFERROR(P41/H41-1,"")</f>
        <v>0.61250000000000004</v>
      </c>
      <c r="R41" s="7" t="str">
        <f>IFERROR((T41-P41)/T41,"")</f>
        <v/>
      </c>
      <c r="S41" s="7" t="str">
        <f>IFERROR(IF(T41="","",T41/H41-1),"")</f>
        <v/>
      </c>
      <c r="T41" s="8"/>
      <c r="U41" s="33" t="str">
        <f>IFERROR((VLOOKUP($B41,'Из ГУГЛа'!$B:$Z,U$1,0)+W41)*V41,VLOOKUP($B41,'Из ГУГЛа'!$B:$Z,U$1,0))</f>
        <v/>
      </c>
      <c r="V41" s="10">
        <v>1</v>
      </c>
      <c r="W41" s="10"/>
      <c r="Z41" s="33" t="str">
        <f>IFERROR((VLOOKUP($B41,'Из ГУГЛа'!$B:$Z,Z$1,0)+AB41)*AA41,VLOOKUP($B41,'Из ГУГЛа'!$B:$Z,Z$1,0))</f>
        <v/>
      </c>
      <c r="AA41" s="10">
        <v>1</v>
      </c>
      <c r="AB41" s="10"/>
    </row>
    <row r="42" spans="1:28" ht="45" x14ac:dyDescent="0.25">
      <c r="A42" s="17" t="str">
        <f>INDEX('Выгр Торг'!$A:$A,MATCH($B42,'Выгр Торг'!$B:$B,0))</f>
        <v>Спойлер "Авторитет" для ВАЗ 2105, 2107</v>
      </c>
      <c r="B42" s="14">
        <v>214875</v>
      </c>
      <c r="C42" s="14">
        <f>VLOOKUP($B42,'Выгр Торг'!$B:$Q,C$1,0)</f>
        <v>66647</v>
      </c>
      <c r="D42" s="17" t="str">
        <f>VLOOKUP($B42,'Выгр Торг'!$B:$Q,D$1,0)</f>
        <v>Спойлер "Авторитет" для ВАЗ 2105, 2107 (В цвет кузова, Уточнить у менеджера)</v>
      </c>
      <c r="E42" s="14" t="str">
        <f>VLOOKUP($B42,'Выгр Торг'!$B:$Q,E$1,0)</f>
        <v>N</v>
      </c>
      <c r="F42" s="14" t="str">
        <f>VLOOKUP($B42,'Выгр Торг'!$B:$Q,F$1,0)</f>
        <v>0</v>
      </c>
      <c r="G42" s="28" t="s">
        <v>25</v>
      </c>
      <c r="H42" s="60">
        <v>2800</v>
      </c>
      <c r="I42" s="15">
        <f>VLOOKUP(H42,Наценка!$A$1:$B$8,2,1)</f>
        <v>1.4</v>
      </c>
      <c r="J42" s="36">
        <f t="shared" si="5"/>
        <v>3919.9999999999995</v>
      </c>
      <c r="K42" s="27">
        <f t="shared" si="0"/>
        <v>3990</v>
      </c>
      <c r="L42" s="14">
        <f>VLOOKUP($B42,'Выгр Торг'!$B:$Q,L$1,0)</f>
        <v>2800</v>
      </c>
      <c r="M42" s="14">
        <f>VLOOKUP($B42,'Выгр Торг'!$B:$Q,M$1,0)</f>
        <v>3990</v>
      </c>
      <c r="N42" s="24">
        <f t="shared" si="1"/>
        <v>0</v>
      </c>
      <c r="O42" s="24">
        <f t="shared" si="2"/>
        <v>0</v>
      </c>
      <c r="P42" s="25">
        <f t="shared" si="3"/>
        <v>3990</v>
      </c>
      <c r="Q42" s="7">
        <f>IFERROR(P42/H42-1,"")</f>
        <v>0.42500000000000004</v>
      </c>
      <c r="R42" s="7" t="str">
        <f>IFERROR((T42-P42)/T42,"")</f>
        <v/>
      </c>
      <c r="S42" s="7" t="str">
        <f>IFERROR(IF(T42="","",T42/H42-1),"")</f>
        <v/>
      </c>
      <c r="T42" s="8"/>
      <c r="U42" s="33" t="str">
        <f>IFERROR((VLOOKUP($B42,'Из ГУГЛа'!$B:$Z,U$1,0)+W42)*V42,VLOOKUP($B42,'Из ГУГЛа'!$B:$Z,U$1,0))</f>
        <v/>
      </c>
      <c r="V42" s="10">
        <v>1</v>
      </c>
      <c r="W42" s="10"/>
      <c r="Z42" s="33" t="str">
        <f>IFERROR((VLOOKUP($B42,'Из ГУГЛа'!$B:$Z,Z$1,0)+AB42)*AA42,VLOOKUP($B42,'Из ГУГЛа'!$B:$Z,Z$1,0))</f>
        <v/>
      </c>
      <c r="AA42" s="10">
        <v>1</v>
      </c>
      <c r="AB42" s="10"/>
    </row>
    <row r="43" spans="1:28" ht="45" x14ac:dyDescent="0.25">
      <c r="A43" s="17" t="str">
        <f>INDEX('Выгр Торг'!$A:$A,MATCH($B43,'Выгр Торг'!$B:$B,0))</f>
        <v>Спойлер "Авторитет" для ВАЗ 2105, 2107</v>
      </c>
      <c r="B43" s="14">
        <v>214876</v>
      </c>
      <c r="C43" s="14">
        <f>VLOOKUP($B43,'Выгр Торг'!$B:$Q,C$1,0)</f>
        <v>87318</v>
      </c>
      <c r="D43" s="17" t="str">
        <f>VLOOKUP($B43,'Выгр Торг'!$B:$Q,D$1,0)</f>
        <v>Спойлер "Авторитет" для ВАЗ 2105, 2107 (В цвет, Атлантика (фиолетовый, 440))</v>
      </c>
      <c r="E43" s="14" t="str">
        <f>VLOOKUP($B43,'Выгр Торг'!$B:$Q,E$1,0)</f>
        <v>N</v>
      </c>
      <c r="F43" s="14" t="str">
        <f>VLOOKUP($B43,'Выгр Торг'!$B:$Q,F$1,0)</f>
        <v>0</v>
      </c>
      <c r="G43" s="28" t="s">
        <v>25</v>
      </c>
      <c r="H43" s="60">
        <v>2800</v>
      </c>
      <c r="I43" s="15">
        <f>VLOOKUP(H43,Наценка!$A$1:$B$8,2,1)</f>
        <v>1.4</v>
      </c>
      <c r="J43" s="36">
        <f t="shared" si="5"/>
        <v>3919.9999999999995</v>
      </c>
      <c r="K43" s="27">
        <f t="shared" si="0"/>
        <v>3990</v>
      </c>
      <c r="L43" s="14">
        <f>VLOOKUP($B43,'Выгр Торг'!$B:$Q,L$1,0)</f>
        <v>2800</v>
      </c>
      <c r="M43" s="14">
        <f>VLOOKUP($B43,'Выгр Торг'!$B:$Q,M$1,0)</f>
        <v>3990</v>
      </c>
      <c r="N43" s="24">
        <f t="shared" si="1"/>
        <v>0</v>
      </c>
      <c r="O43" s="24">
        <f t="shared" si="2"/>
        <v>0</v>
      </c>
      <c r="P43" s="25">
        <f t="shared" si="3"/>
        <v>3990</v>
      </c>
      <c r="Q43" s="7">
        <f>IFERROR(P43/H43-1,"")</f>
        <v>0.42500000000000004</v>
      </c>
      <c r="R43" s="7" t="str">
        <f>IFERROR((T43-P43)/T43,"")</f>
        <v/>
      </c>
      <c r="S43" s="7" t="str">
        <f>IFERROR(IF(T43="","",T43/H43-1),"")</f>
        <v/>
      </c>
      <c r="T43" s="8"/>
      <c r="U43" s="33" t="str">
        <f>IFERROR((VLOOKUP($B43,'Из ГУГЛа'!$B:$Z,U$1,0)+W43)*V43,VLOOKUP($B43,'Из ГУГЛа'!$B:$Z,U$1,0))</f>
        <v/>
      </c>
      <c r="V43" s="10">
        <v>1</v>
      </c>
      <c r="W43" s="10"/>
      <c r="Z43" s="33" t="str">
        <f>IFERROR((VLOOKUP($B43,'Из ГУГЛа'!$B:$Z,Z$1,0)+AB43)*AA43,VLOOKUP($B43,'Из ГУГЛа'!$B:$Z,Z$1,0))</f>
        <v/>
      </c>
      <c r="AA43" s="10">
        <v>1</v>
      </c>
      <c r="AB43" s="10"/>
    </row>
    <row r="44" spans="1:28" ht="45" x14ac:dyDescent="0.25">
      <c r="A44" s="17" t="str">
        <f>INDEX('Выгр Торг'!$A:$A,MATCH($B44,'Выгр Торг'!$B:$B,0))</f>
        <v>Спойлер "Авторитет" для ВАЗ 2105, 2107</v>
      </c>
      <c r="B44" s="14">
        <v>214877</v>
      </c>
      <c r="C44" s="14">
        <f>VLOOKUP($B44,'Выгр Торг'!$B:$Q,C$1,0)</f>
        <v>87319</v>
      </c>
      <c r="D44" s="17" t="str">
        <f>VLOOKUP($B44,'Выгр Торг'!$B:$Q,D$1,0)</f>
        <v>Спойлер "Авторитет" для ВАЗ 2105, 2107 (В цвет, Баклажан (темно-фиолетовый, 107))</v>
      </c>
      <c r="E44" s="14" t="str">
        <f>VLOOKUP($B44,'Выгр Торг'!$B:$Q,E$1,0)</f>
        <v>N</v>
      </c>
      <c r="F44" s="14" t="str">
        <f>VLOOKUP($B44,'Выгр Торг'!$B:$Q,F$1,0)</f>
        <v>0</v>
      </c>
      <c r="G44" s="28" t="s">
        <v>25</v>
      </c>
      <c r="H44" s="60">
        <v>2800</v>
      </c>
      <c r="I44" s="15">
        <f>VLOOKUP(H44,Наценка!$A$1:$B$8,2,1)</f>
        <v>1.4</v>
      </c>
      <c r="J44" s="36">
        <f t="shared" si="5"/>
        <v>3919.9999999999995</v>
      </c>
      <c r="K44" s="27">
        <f t="shared" si="0"/>
        <v>3990</v>
      </c>
      <c r="L44" s="14">
        <f>VLOOKUP($B44,'Выгр Торг'!$B:$Q,L$1,0)</f>
        <v>2800</v>
      </c>
      <c r="M44" s="14">
        <f>VLOOKUP($B44,'Выгр Торг'!$B:$Q,M$1,0)</f>
        <v>3990</v>
      </c>
      <c r="N44" s="24">
        <f t="shared" si="1"/>
        <v>0</v>
      </c>
      <c r="O44" s="24">
        <f t="shared" si="2"/>
        <v>0</v>
      </c>
      <c r="P44" s="25">
        <f t="shared" si="3"/>
        <v>3990</v>
      </c>
      <c r="Q44" s="7">
        <f>IFERROR(P44/H44-1,"")</f>
        <v>0.42500000000000004</v>
      </c>
      <c r="R44" s="7" t="str">
        <f>IFERROR((T44-P44)/T44,"")</f>
        <v/>
      </c>
      <c r="S44" s="7" t="str">
        <f>IFERROR(IF(T44="","",T44/H44-1),"")</f>
        <v/>
      </c>
      <c r="T44" s="8"/>
      <c r="U44" s="33" t="str">
        <f>IFERROR((VLOOKUP($B44,'Из ГУГЛа'!$B:$Z,U$1,0)+W44)*V44,VLOOKUP($B44,'Из ГУГЛа'!$B:$Z,U$1,0))</f>
        <v/>
      </c>
      <c r="V44" s="10">
        <v>1</v>
      </c>
      <c r="W44" s="10"/>
      <c r="Z44" s="33" t="str">
        <f>IFERROR((VLOOKUP($B44,'Из ГУГЛа'!$B:$Z,Z$1,0)+AB44)*AA44,VLOOKUP($B44,'Из ГУГЛа'!$B:$Z,Z$1,0))</f>
        <v/>
      </c>
      <c r="AA44" s="10">
        <v>1</v>
      </c>
      <c r="AB44" s="10"/>
    </row>
    <row r="45" spans="1:28" ht="45" x14ac:dyDescent="0.25">
      <c r="A45" s="17" t="str">
        <f>INDEX('Выгр Торг'!$A:$A,MATCH($B45,'Выгр Торг'!$B:$B,0))</f>
        <v>Спойлер "Авторитет" для ВАЗ 2105, 2107</v>
      </c>
      <c r="B45" s="14">
        <v>214878</v>
      </c>
      <c r="C45" s="14">
        <f>VLOOKUP($B45,'Выгр Торг'!$B:$Q,C$1,0)</f>
        <v>87320</v>
      </c>
      <c r="D45" s="17" t="str">
        <f>VLOOKUP($B45,'Выгр Торг'!$B:$Q,D$1,0)</f>
        <v>Спойлер "Авторитет" для ВАЗ 2105, 2107 (В цвет, Балтика (темно-сине-зеленый, 420))</v>
      </c>
      <c r="E45" s="14" t="str">
        <f>VLOOKUP($B45,'Выгр Торг'!$B:$Q,E$1,0)</f>
        <v>N</v>
      </c>
      <c r="F45" s="14" t="str">
        <f>VLOOKUP($B45,'Выгр Торг'!$B:$Q,F$1,0)</f>
        <v>0</v>
      </c>
      <c r="G45" s="28" t="s">
        <v>25</v>
      </c>
      <c r="H45" s="60">
        <v>2800</v>
      </c>
      <c r="I45" s="15">
        <f>VLOOKUP(H45,Наценка!$A$1:$B$8,2,1)</f>
        <v>1.4</v>
      </c>
      <c r="J45" s="36">
        <f t="shared" si="5"/>
        <v>3919.9999999999995</v>
      </c>
      <c r="K45" s="27">
        <f t="shared" si="0"/>
        <v>3990</v>
      </c>
      <c r="L45" s="14">
        <f>VLOOKUP($B45,'Выгр Торг'!$B:$Q,L$1,0)</f>
        <v>2800</v>
      </c>
      <c r="M45" s="14">
        <f>VLOOKUP($B45,'Выгр Торг'!$B:$Q,M$1,0)</f>
        <v>3990</v>
      </c>
      <c r="N45" s="24">
        <f t="shared" si="1"/>
        <v>0</v>
      </c>
      <c r="O45" s="24">
        <f t="shared" si="2"/>
        <v>0</v>
      </c>
      <c r="P45" s="25">
        <f t="shared" si="3"/>
        <v>3990</v>
      </c>
      <c r="Q45" s="7">
        <f>IFERROR(P45/H45-1,"")</f>
        <v>0.42500000000000004</v>
      </c>
      <c r="R45" s="7" t="str">
        <f>IFERROR((T45-P45)/T45,"")</f>
        <v/>
      </c>
      <c r="S45" s="7" t="str">
        <f>IFERROR(IF(T45="","",T45/H45-1),"")</f>
        <v/>
      </c>
      <c r="T45" s="8"/>
      <c r="U45" s="33" t="str">
        <f>IFERROR((VLOOKUP($B45,'Из ГУГЛа'!$B:$Z,U$1,0)+W45)*V45,VLOOKUP($B45,'Из ГУГЛа'!$B:$Z,U$1,0))</f>
        <v/>
      </c>
      <c r="V45" s="10">
        <v>1</v>
      </c>
      <c r="W45" s="10"/>
      <c r="Z45" s="33" t="str">
        <f>IFERROR((VLOOKUP($B45,'Из ГУГЛа'!$B:$Z,Z$1,0)+AB45)*AA45,VLOOKUP($B45,'Из ГУГЛа'!$B:$Z,Z$1,0))</f>
        <v/>
      </c>
      <c r="AA45" s="10">
        <v>1</v>
      </c>
      <c r="AB45" s="10"/>
    </row>
    <row r="46" spans="1:28" ht="45" x14ac:dyDescent="0.25">
      <c r="A46" s="17" t="str">
        <f>INDEX('Выгр Торг'!$A:$A,MATCH($B46,'Выгр Торг'!$B:$B,0))</f>
        <v>Спойлер "Авторитет" для ВАЗ 2105, 2107</v>
      </c>
      <c r="B46" s="14">
        <v>214879</v>
      </c>
      <c r="C46" s="14">
        <f>VLOOKUP($B46,'Выгр Торг'!$B:$Q,C$1,0)</f>
        <v>87321</v>
      </c>
      <c r="D46" s="17" t="str">
        <f>VLOOKUP($B46,'Выгр Торг'!$B:$Q,D$1,0)</f>
        <v>Спойлер "Авторитет" для ВАЗ 2105, 2107 (В цвет, Вишня (темно-красный, 127))</v>
      </c>
      <c r="E46" s="14" t="str">
        <f>VLOOKUP($B46,'Выгр Торг'!$B:$Q,E$1,0)</f>
        <v>N</v>
      </c>
      <c r="F46" s="14" t="str">
        <f>VLOOKUP($B46,'Выгр Торг'!$B:$Q,F$1,0)</f>
        <v>0</v>
      </c>
      <c r="G46" s="28" t="s">
        <v>25</v>
      </c>
      <c r="H46" s="60">
        <v>2800</v>
      </c>
      <c r="I46" s="15">
        <f>VLOOKUP(H46,Наценка!$A$1:$B$8,2,1)</f>
        <v>1.4</v>
      </c>
      <c r="J46" s="36">
        <f t="shared" si="5"/>
        <v>3919.9999999999995</v>
      </c>
      <c r="K46" s="27">
        <f t="shared" si="0"/>
        <v>3990</v>
      </c>
      <c r="L46" s="14">
        <f>VLOOKUP($B46,'Выгр Торг'!$B:$Q,L$1,0)</f>
        <v>2800</v>
      </c>
      <c r="M46" s="14">
        <f>VLOOKUP($B46,'Выгр Торг'!$B:$Q,M$1,0)</f>
        <v>3990</v>
      </c>
      <c r="N46" s="24">
        <f t="shared" si="1"/>
        <v>0</v>
      </c>
      <c r="O46" s="24">
        <f t="shared" si="2"/>
        <v>0</v>
      </c>
      <c r="P46" s="25">
        <f t="shared" si="3"/>
        <v>3990</v>
      </c>
      <c r="Q46" s="7">
        <f>IFERROR(P46/H46-1,"")</f>
        <v>0.42500000000000004</v>
      </c>
      <c r="R46" s="7" t="str">
        <f>IFERROR((T46-P46)/T46,"")</f>
        <v/>
      </c>
      <c r="S46" s="7" t="str">
        <f>IFERROR(IF(T46="","",T46/H46-1),"")</f>
        <v/>
      </c>
      <c r="T46" s="8"/>
      <c r="U46" s="33" t="str">
        <f>IFERROR((VLOOKUP($B46,'Из ГУГЛа'!$B:$Z,U$1,0)+W46)*V46,VLOOKUP($B46,'Из ГУГЛа'!$B:$Z,U$1,0))</f>
        <v/>
      </c>
      <c r="V46" s="10">
        <v>1</v>
      </c>
      <c r="W46" s="10"/>
      <c r="Z46" s="33" t="str">
        <f>IFERROR((VLOOKUP($B46,'Из ГУГЛа'!$B:$Z,Z$1,0)+AB46)*AA46,VLOOKUP($B46,'Из ГУГЛа'!$B:$Z,Z$1,0))</f>
        <v/>
      </c>
      <c r="AA46" s="10">
        <v>1</v>
      </c>
      <c r="AB46" s="10"/>
    </row>
    <row r="47" spans="1:28" ht="45" x14ac:dyDescent="0.25">
      <c r="A47" s="17" t="str">
        <f>INDEX('Выгр Торг'!$A:$A,MATCH($B47,'Выгр Торг'!$B:$B,0))</f>
        <v>Спойлер "Авторитет" для ВАЗ 2105, 2107</v>
      </c>
      <c r="B47" s="14">
        <v>214880</v>
      </c>
      <c r="C47" s="14">
        <f>VLOOKUP($B47,'Выгр Торг'!$B:$Q,C$1,0)</f>
        <v>87322</v>
      </c>
      <c r="D47" s="17" t="str">
        <f>VLOOKUP($B47,'Выгр Торг'!$B:$Q,D$1,0)</f>
        <v>Спойлер "Авторитет" для ВАЗ 2105, 2107 (В цвет, Голубая планета (сине-голубой, 418))</v>
      </c>
      <c r="E47" s="14" t="str">
        <f>VLOOKUP($B47,'Выгр Торг'!$B:$Q,E$1,0)</f>
        <v>N</v>
      </c>
      <c r="F47" s="14" t="str">
        <f>VLOOKUP($B47,'Выгр Торг'!$B:$Q,F$1,0)</f>
        <v>0</v>
      </c>
      <c r="G47" s="28" t="s">
        <v>25</v>
      </c>
      <c r="H47" s="60">
        <v>2800</v>
      </c>
      <c r="I47" s="15">
        <f>VLOOKUP(H47,Наценка!$A$1:$B$8,2,1)</f>
        <v>1.4</v>
      </c>
      <c r="J47" s="36">
        <f t="shared" si="5"/>
        <v>3919.9999999999995</v>
      </c>
      <c r="K47" s="27">
        <f t="shared" si="0"/>
        <v>3990</v>
      </c>
      <c r="L47" s="14">
        <f>VLOOKUP($B47,'Выгр Торг'!$B:$Q,L$1,0)</f>
        <v>2800</v>
      </c>
      <c r="M47" s="14">
        <f>VLOOKUP($B47,'Выгр Торг'!$B:$Q,M$1,0)</f>
        <v>3990</v>
      </c>
      <c r="N47" s="24">
        <f t="shared" si="1"/>
        <v>0</v>
      </c>
      <c r="O47" s="24">
        <f t="shared" si="2"/>
        <v>0</v>
      </c>
      <c r="P47" s="25">
        <f t="shared" si="3"/>
        <v>3990</v>
      </c>
      <c r="Q47" s="7">
        <f>IFERROR(P47/H47-1,"")</f>
        <v>0.42500000000000004</v>
      </c>
      <c r="R47" s="7" t="str">
        <f>IFERROR((T47-P47)/T47,"")</f>
        <v/>
      </c>
      <c r="S47" s="7" t="str">
        <f>IFERROR(IF(T47="","",T47/H47-1),"")</f>
        <v/>
      </c>
      <c r="T47" s="8"/>
      <c r="U47" s="33" t="str">
        <f>IFERROR((VLOOKUP($B47,'Из ГУГЛа'!$B:$Z,U$1,0)+W47)*V47,VLOOKUP($B47,'Из ГУГЛа'!$B:$Z,U$1,0))</f>
        <v/>
      </c>
      <c r="V47" s="10">
        <v>1</v>
      </c>
      <c r="W47" s="10"/>
      <c r="Z47" s="33" t="str">
        <f>IFERROR((VLOOKUP($B47,'Из ГУГЛа'!$B:$Z,Z$1,0)+AB47)*AA47,VLOOKUP($B47,'Из ГУГЛа'!$B:$Z,Z$1,0))</f>
        <v/>
      </c>
      <c r="AA47" s="10">
        <v>1</v>
      </c>
      <c r="AB47" s="10"/>
    </row>
    <row r="48" spans="1:28" ht="45" x14ac:dyDescent="0.25">
      <c r="A48" s="17" t="str">
        <f>INDEX('Выгр Торг'!$A:$A,MATCH($B48,'Выгр Торг'!$B:$B,0))</f>
        <v>Спойлер "Авторитет" для ВАЗ 2105, 2107</v>
      </c>
      <c r="B48" s="14">
        <v>214881</v>
      </c>
      <c r="C48" s="14">
        <f>VLOOKUP($B48,'Выгр Торг'!$B:$Q,C$1,0)</f>
        <v>87323</v>
      </c>
      <c r="D48" s="17" t="str">
        <f>VLOOKUP($B48,'Выгр Торг'!$B:$Q,D$1,0)</f>
        <v>Спойлер "Авторитет" для ВАЗ 2105, 2107 (В цвет, Гранат (темно-бордовый, 180))</v>
      </c>
      <c r="E48" s="14" t="str">
        <f>VLOOKUP($B48,'Выгр Торг'!$B:$Q,E$1,0)</f>
        <v>N</v>
      </c>
      <c r="F48" s="14" t="str">
        <f>VLOOKUP($B48,'Выгр Торг'!$B:$Q,F$1,0)</f>
        <v>0</v>
      </c>
      <c r="G48" s="28" t="s">
        <v>25</v>
      </c>
      <c r="H48" s="60">
        <v>2800</v>
      </c>
      <c r="I48" s="15">
        <f>VLOOKUP(H48,Наценка!$A$1:$B$8,2,1)</f>
        <v>1.4</v>
      </c>
      <c r="J48" s="36">
        <f t="shared" si="5"/>
        <v>3919.9999999999995</v>
      </c>
      <c r="K48" s="27">
        <f t="shared" si="0"/>
        <v>3990</v>
      </c>
      <c r="L48" s="14">
        <f>VLOOKUP($B48,'Выгр Торг'!$B:$Q,L$1,0)</f>
        <v>2800</v>
      </c>
      <c r="M48" s="14">
        <f>VLOOKUP($B48,'Выгр Торг'!$B:$Q,M$1,0)</f>
        <v>3990</v>
      </c>
      <c r="N48" s="24">
        <f t="shared" si="1"/>
        <v>0</v>
      </c>
      <c r="O48" s="24">
        <f t="shared" si="2"/>
        <v>0</v>
      </c>
      <c r="P48" s="25">
        <f t="shared" si="3"/>
        <v>3990</v>
      </c>
      <c r="Q48" s="7">
        <f>IFERROR(P48/H48-1,"")</f>
        <v>0.42500000000000004</v>
      </c>
      <c r="R48" s="7" t="str">
        <f>IFERROR((T48-P48)/T48,"")</f>
        <v/>
      </c>
      <c r="S48" s="7" t="str">
        <f>IFERROR(IF(T48="","",T48/H48-1),"")</f>
        <v/>
      </c>
      <c r="T48" s="8"/>
      <c r="U48" s="33" t="str">
        <f>IFERROR((VLOOKUP($B48,'Из ГУГЛа'!$B:$Z,U$1,0)+W48)*V48,VLOOKUP($B48,'Из ГУГЛа'!$B:$Z,U$1,0))</f>
        <v/>
      </c>
      <c r="V48" s="10">
        <v>1</v>
      </c>
      <c r="W48" s="10"/>
      <c r="Z48" s="33" t="str">
        <f>IFERROR((VLOOKUP($B48,'Из ГУГЛа'!$B:$Z,Z$1,0)+AB48)*AA48,VLOOKUP($B48,'Из ГУГЛа'!$B:$Z,Z$1,0))</f>
        <v/>
      </c>
      <c r="AA48" s="10">
        <v>1</v>
      </c>
      <c r="AB48" s="10"/>
    </row>
    <row r="49" spans="1:28" ht="45" x14ac:dyDescent="0.25">
      <c r="A49" s="17" t="str">
        <f>INDEX('Выгр Торг'!$A:$A,MATCH($B49,'Выгр Торг'!$B:$B,0))</f>
        <v>Спойлер "Авторитет" для ВАЗ 2105, 2107</v>
      </c>
      <c r="B49" s="14">
        <v>214882</v>
      </c>
      <c r="C49" s="14">
        <f>VLOOKUP($B49,'Выгр Торг'!$B:$Q,C$1,0)</f>
        <v>87324</v>
      </c>
      <c r="D49" s="17" t="str">
        <f>VLOOKUP($B49,'Выгр Торг'!$B:$Q,D$1,0)</f>
        <v>Спойлер "Авторитет" для ВАЗ 2105, 2107 (В цвет, Игуана (серебристо-ярко-зеленый, 311))</v>
      </c>
      <c r="E49" s="14" t="str">
        <f>VLOOKUP($B49,'Выгр Торг'!$B:$Q,E$1,0)</f>
        <v>N</v>
      </c>
      <c r="F49" s="14" t="str">
        <f>VLOOKUP($B49,'Выгр Торг'!$B:$Q,F$1,0)</f>
        <v>0</v>
      </c>
      <c r="G49" s="28" t="s">
        <v>25</v>
      </c>
      <c r="H49" s="60">
        <v>2800</v>
      </c>
      <c r="I49" s="15">
        <f>VLOOKUP(H49,Наценка!$A$1:$B$8,2,1)</f>
        <v>1.4</v>
      </c>
      <c r="J49" s="36">
        <f t="shared" si="5"/>
        <v>3919.9999999999995</v>
      </c>
      <c r="K49" s="27">
        <f t="shared" si="0"/>
        <v>3990</v>
      </c>
      <c r="L49" s="14">
        <f>VLOOKUP($B49,'Выгр Торг'!$B:$Q,L$1,0)</f>
        <v>2800</v>
      </c>
      <c r="M49" s="14">
        <f>VLOOKUP($B49,'Выгр Торг'!$B:$Q,M$1,0)</f>
        <v>3990</v>
      </c>
      <c r="N49" s="24">
        <f t="shared" si="1"/>
        <v>0</v>
      </c>
      <c r="O49" s="24">
        <f t="shared" si="2"/>
        <v>0</v>
      </c>
      <c r="P49" s="25">
        <f t="shared" si="3"/>
        <v>3990</v>
      </c>
      <c r="Q49" s="7">
        <f>IFERROR(P49/H49-1,"")</f>
        <v>0.42500000000000004</v>
      </c>
      <c r="R49" s="7" t="str">
        <f>IFERROR((T49-P49)/T49,"")</f>
        <v/>
      </c>
      <c r="S49" s="7" t="str">
        <f>IFERROR(IF(T49="","",T49/H49-1),"")</f>
        <v/>
      </c>
      <c r="T49" s="8"/>
      <c r="U49" s="33" t="str">
        <f>IFERROR((VLOOKUP($B49,'Из ГУГЛа'!$B:$Z,U$1,0)+W49)*V49,VLOOKUP($B49,'Из ГУГЛа'!$B:$Z,U$1,0))</f>
        <v/>
      </c>
      <c r="V49" s="10">
        <v>1</v>
      </c>
      <c r="W49" s="10"/>
      <c r="Z49" s="33" t="str">
        <f>IFERROR((VLOOKUP($B49,'Из ГУГЛа'!$B:$Z,Z$1,0)+AB49)*AA49,VLOOKUP($B49,'Из ГУГЛа'!$B:$Z,Z$1,0))</f>
        <v/>
      </c>
      <c r="AA49" s="10">
        <v>1</v>
      </c>
      <c r="AB49" s="10"/>
    </row>
    <row r="50" spans="1:28" ht="45" x14ac:dyDescent="0.25">
      <c r="A50" s="17" t="str">
        <f>INDEX('Выгр Торг'!$A:$A,MATCH($B50,'Выгр Торг'!$B:$B,0))</f>
        <v>Спойлер "Авторитет" для ВАЗ 2105, 2107</v>
      </c>
      <c r="B50" s="14">
        <v>214883</v>
      </c>
      <c r="C50" s="14">
        <f>VLOOKUP($B50,'Выгр Торг'!$B:$Q,C$1,0)</f>
        <v>87325</v>
      </c>
      <c r="D50" s="17" t="str">
        <f>VLOOKUP($B50,'Выгр Торг'!$B:$Q,D$1,0)</f>
        <v>Спойлер "Авторитет" для ВАЗ 2105, 2107 (В цвет, Индиго (темно-синий, 441))</v>
      </c>
      <c r="E50" s="14" t="str">
        <f>VLOOKUP($B50,'Выгр Торг'!$B:$Q,E$1,0)</f>
        <v>N</v>
      </c>
      <c r="F50" s="14" t="str">
        <f>VLOOKUP($B50,'Выгр Торг'!$B:$Q,F$1,0)</f>
        <v>0</v>
      </c>
      <c r="G50" s="28" t="s">
        <v>25</v>
      </c>
      <c r="H50" s="60">
        <v>2800</v>
      </c>
      <c r="I50" s="15">
        <f>VLOOKUP(H50,Наценка!$A$1:$B$8,2,1)</f>
        <v>1.4</v>
      </c>
      <c r="J50" s="36">
        <f t="shared" si="5"/>
        <v>3919.9999999999995</v>
      </c>
      <c r="K50" s="27">
        <f t="shared" si="0"/>
        <v>3990</v>
      </c>
      <c r="L50" s="14">
        <f>VLOOKUP($B50,'Выгр Торг'!$B:$Q,L$1,0)</f>
        <v>2800</v>
      </c>
      <c r="M50" s="14">
        <f>VLOOKUP($B50,'Выгр Торг'!$B:$Q,M$1,0)</f>
        <v>3990</v>
      </c>
      <c r="N50" s="24">
        <f t="shared" si="1"/>
        <v>0</v>
      </c>
      <c r="O50" s="24">
        <f t="shared" si="2"/>
        <v>0</v>
      </c>
      <c r="P50" s="25">
        <f t="shared" si="3"/>
        <v>3990</v>
      </c>
      <c r="Q50" s="7">
        <f>IFERROR(P50/H50-1,"")</f>
        <v>0.42500000000000004</v>
      </c>
      <c r="R50" s="7" t="str">
        <f>IFERROR((T50-P50)/T50,"")</f>
        <v/>
      </c>
      <c r="S50" s="7" t="str">
        <f>IFERROR(IF(T50="","",T50/H50-1),"")</f>
        <v/>
      </c>
      <c r="T50" s="8"/>
      <c r="U50" s="33" t="str">
        <f>IFERROR((VLOOKUP($B50,'Из ГУГЛа'!$B:$Z,U$1,0)+W50)*V50,VLOOKUP($B50,'Из ГУГЛа'!$B:$Z,U$1,0))</f>
        <v/>
      </c>
      <c r="V50" s="10">
        <v>1</v>
      </c>
      <c r="W50" s="10"/>
      <c r="Z50" s="33" t="str">
        <f>IFERROR((VLOOKUP($B50,'Из ГУГЛа'!$B:$Z,Z$1,0)+AB50)*AA50,VLOOKUP($B50,'Из ГУГЛа'!$B:$Z,Z$1,0))</f>
        <v/>
      </c>
      <c r="AA50" s="10">
        <v>1</v>
      </c>
      <c r="AB50" s="10"/>
    </row>
    <row r="51" spans="1:28" ht="30" x14ac:dyDescent="0.25">
      <c r="A51" s="17" t="str">
        <f>INDEX('Выгр Торг'!$A:$A,MATCH($B51,'Выгр Торг'!$B:$B,0))</f>
        <v>Спойлер "Авторитет" для ВАЗ 2105, 2107</v>
      </c>
      <c r="B51" s="14">
        <v>214884</v>
      </c>
      <c r="C51" s="14">
        <f>VLOOKUP($B51,'Выгр Торг'!$B:$Q,C$1,0)</f>
        <v>87326</v>
      </c>
      <c r="D51" s="17" t="str">
        <f>VLOOKUP($B51,'Выгр Торг'!$B:$Q,D$1,0)</f>
        <v>Спойлер "Авторитет" для ВАЗ 2105, 2107 (В цвет, Искра (красный, 128))</v>
      </c>
      <c r="E51" s="14" t="str">
        <f>VLOOKUP($B51,'Выгр Торг'!$B:$Q,E$1,0)</f>
        <v>N</v>
      </c>
      <c r="F51" s="14" t="str">
        <f>VLOOKUP($B51,'Выгр Торг'!$B:$Q,F$1,0)</f>
        <v>0</v>
      </c>
      <c r="G51" s="28" t="s">
        <v>25</v>
      </c>
      <c r="H51" s="60">
        <v>2800</v>
      </c>
      <c r="I51" s="15">
        <f>VLOOKUP(H51,Наценка!$A$1:$B$8,2,1)</f>
        <v>1.4</v>
      </c>
      <c r="J51" s="36">
        <f t="shared" si="5"/>
        <v>3919.9999999999995</v>
      </c>
      <c r="K51" s="27">
        <f t="shared" si="0"/>
        <v>3990</v>
      </c>
      <c r="L51" s="14">
        <f>VLOOKUP($B51,'Выгр Торг'!$B:$Q,L$1,0)</f>
        <v>2800</v>
      </c>
      <c r="M51" s="14">
        <f>VLOOKUP($B51,'Выгр Торг'!$B:$Q,M$1,0)</f>
        <v>3990</v>
      </c>
      <c r="N51" s="24">
        <f t="shared" si="1"/>
        <v>0</v>
      </c>
      <c r="O51" s="24">
        <f t="shared" si="2"/>
        <v>0</v>
      </c>
      <c r="P51" s="25">
        <f t="shared" si="3"/>
        <v>3990</v>
      </c>
      <c r="Q51" s="7">
        <f>IFERROR(P51/H51-1,"")</f>
        <v>0.42500000000000004</v>
      </c>
      <c r="R51" s="7" t="str">
        <f>IFERROR((T51-P51)/T51,"")</f>
        <v/>
      </c>
      <c r="S51" s="7" t="str">
        <f>IFERROR(IF(T51="","",T51/H51-1),"")</f>
        <v/>
      </c>
      <c r="T51" s="8"/>
      <c r="U51" s="33" t="str">
        <f>IFERROR((VLOOKUP($B51,'Из ГУГЛа'!$B:$Z,U$1,0)+W51)*V51,VLOOKUP($B51,'Из ГУГЛа'!$B:$Z,U$1,0))</f>
        <v/>
      </c>
      <c r="V51" s="10">
        <v>1</v>
      </c>
      <c r="W51" s="10"/>
      <c r="Z51" s="33" t="str">
        <f>IFERROR((VLOOKUP($B51,'Из ГУГЛа'!$B:$Z,Z$1,0)+AB51)*AA51,VLOOKUP($B51,'Из ГУГЛа'!$B:$Z,Z$1,0))</f>
        <v/>
      </c>
      <c r="AA51" s="10">
        <v>1</v>
      </c>
      <c r="AB51" s="10"/>
    </row>
    <row r="52" spans="1:28" ht="45" x14ac:dyDescent="0.25">
      <c r="A52" s="17" t="str">
        <f>INDEX('Выгр Торг'!$A:$A,MATCH($B52,'Выгр Торг'!$B:$B,0))</f>
        <v>Спойлер "Авторитет" для ВАЗ 2105, 2107</v>
      </c>
      <c r="B52" s="14">
        <v>214885</v>
      </c>
      <c r="C52" s="14">
        <f>VLOOKUP($B52,'Выгр Торг'!$B:$Q,C$1,0)</f>
        <v>87327</v>
      </c>
      <c r="D52" s="17" t="str">
        <f>VLOOKUP($B52,'Выгр Торг'!$B:$Q,D$1,0)</f>
        <v>Спойлер "Авторитет" для ВАЗ 2105, 2107 (В цвет, Калифорнийский мак (золотисто-красный, 190))</v>
      </c>
      <c r="E52" s="14" t="str">
        <f>VLOOKUP($B52,'Выгр Торг'!$B:$Q,E$1,0)</f>
        <v>N</v>
      </c>
      <c r="F52" s="14" t="str">
        <f>VLOOKUP($B52,'Выгр Торг'!$B:$Q,F$1,0)</f>
        <v>0</v>
      </c>
      <c r="G52" s="28" t="s">
        <v>25</v>
      </c>
      <c r="H52" s="60">
        <v>2800</v>
      </c>
      <c r="I52" s="15">
        <f>VLOOKUP(H52,Наценка!$A$1:$B$8,2,1)</f>
        <v>1.4</v>
      </c>
      <c r="J52" s="36">
        <f t="shared" si="5"/>
        <v>3919.9999999999995</v>
      </c>
      <c r="K52" s="27">
        <f t="shared" si="0"/>
        <v>3990</v>
      </c>
      <c r="L52" s="14">
        <f>VLOOKUP($B52,'Выгр Торг'!$B:$Q,L$1,0)</f>
        <v>2800</v>
      </c>
      <c r="M52" s="14">
        <f>VLOOKUP($B52,'Выгр Торг'!$B:$Q,M$1,0)</f>
        <v>3990</v>
      </c>
      <c r="N52" s="24">
        <f t="shared" si="1"/>
        <v>0</v>
      </c>
      <c r="O52" s="24">
        <f t="shared" si="2"/>
        <v>0</v>
      </c>
      <c r="P52" s="25">
        <f t="shared" si="3"/>
        <v>3990</v>
      </c>
      <c r="Q52" s="7">
        <f>IFERROR(P52/H52-1,"")</f>
        <v>0.42500000000000004</v>
      </c>
      <c r="R52" s="7" t="str">
        <f>IFERROR((T52-P52)/T52,"")</f>
        <v/>
      </c>
      <c r="S52" s="7" t="str">
        <f>IFERROR(IF(T52="","",T52/H52-1),"")</f>
        <v/>
      </c>
      <c r="T52" s="8"/>
      <c r="U52" s="33" t="str">
        <f>IFERROR((VLOOKUP($B52,'Из ГУГЛа'!$B:$Z,U$1,0)+W52)*V52,VLOOKUP($B52,'Из ГУГЛа'!$B:$Z,U$1,0))</f>
        <v/>
      </c>
      <c r="V52" s="10">
        <v>1</v>
      </c>
      <c r="W52" s="10"/>
      <c r="Z52" s="33" t="str">
        <f>IFERROR((VLOOKUP($B52,'Из ГУГЛа'!$B:$Z,Z$1,0)+AB52)*AA52,VLOOKUP($B52,'Из ГУГЛа'!$B:$Z,Z$1,0))</f>
        <v/>
      </c>
      <c r="AA52" s="10">
        <v>1</v>
      </c>
      <c r="AB52" s="10"/>
    </row>
    <row r="53" spans="1:28" ht="30" x14ac:dyDescent="0.25">
      <c r="A53" s="17" t="str">
        <f>INDEX('Выгр Торг'!$A:$A,MATCH($B53,'Выгр Торг'!$B:$B,0))</f>
        <v>Спойлер "Авторитет" для ВАЗ 2105, 2107</v>
      </c>
      <c r="B53" s="14">
        <v>214886</v>
      </c>
      <c r="C53" s="14">
        <f>VLOOKUP($B53,'Выгр Торг'!$B:$Q,C$1,0)</f>
        <v>87328</v>
      </c>
      <c r="D53" s="17" t="str">
        <f>VLOOKUP($B53,'Выгр Торг'!$B:$Q,D$1,0)</f>
        <v>Спойлер "Авторитет" для ВАЗ 2105, 2107 (В цвет, Кварц (серый, 630))</v>
      </c>
      <c r="E53" s="14" t="str">
        <f>VLOOKUP($B53,'Выгр Торг'!$B:$Q,E$1,0)</f>
        <v>N</v>
      </c>
      <c r="F53" s="14" t="str">
        <f>VLOOKUP($B53,'Выгр Торг'!$B:$Q,F$1,0)</f>
        <v>0</v>
      </c>
      <c r="G53" s="28" t="s">
        <v>25</v>
      </c>
      <c r="H53" s="60">
        <v>2800</v>
      </c>
      <c r="I53" s="15">
        <f>VLOOKUP(H53,Наценка!$A$1:$B$8,2,1)</f>
        <v>1.4</v>
      </c>
      <c r="J53" s="36">
        <f t="shared" si="5"/>
        <v>3919.9999999999995</v>
      </c>
      <c r="K53" s="27">
        <f t="shared" si="0"/>
        <v>3990</v>
      </c>
      <c r="L53" s="14">
        <f>VLOOKUP($B53,'Выгр Торг'!$B:$Q,L$1,0)</f>
        <v>2800</v>
      </c>
      <c r="M53" s="14">
        <f>VLOOKUP($B53,'Выгр Торг'!$B:$Q,M$1,0)</f>
        <v>3990</v>
      </c>
      <c r="N53" s="24">
        <f t="shared" si="1"/>
        <v>0</v>
      </c>
      <c r="O53" s="24">
        <f t="shared" si="2"/>
        <v>0</v>
      </c>
      <c r="P53" s="25">
        <f t="shared" si="3"/>
        <v>3990</v>
      </c>
      <c r="Q53" s="7">
        <f>IFERROR(P53/H53-1,"")</f>
        <v>0.42500000000000004</v>
      </c>
      <c r="R53" s="7" t="str">
        <f>IFERROR((T53-P53)/T53,"")</f>
        <v/>
      </c>
      <c r="S53" s="7" t="str">
        <f>IFERROR(IF(T53="","",T53/H53-1),"")</f>
        <v/>
      </c>
      <c r="T53" s="8"/>
      <c r="U53" s="33" t="str">
        <f>IFERROR((VLOOKUP($B53,'Из ГУГЛа'!$B:$Z,U$1,0)+W53)*V53,VLOOKUP($B53,'Из ГУГЛа'!$B:$Z,U$1,0))</f>
        <v/>
      </c>
      <c r="V53" s="10">
        <v>1</v>
      </c>
      <c r="W53" s="10"/>
      <c r="Z53" s="33" t="str">
        <f>IFERROR((VLOOKUP($B53,'Из ГУГЛа'!$B:$Z,Z$1,0)+AB53)*AA53,VLOOKUP($B53,'Из ГУГЛа'!$B:$Z,Z$1,0))</f>
        <v/>
      </c>
      <c r="AA53" s="10">
        <v>1</v>
      </c>
      <c r="AB53" s="10"/>
    </row>
    <row r="54" spans="1:28" ht="45" x14ac:dyDescent="0.25">
      <c r="A54" s="17" t="str">
        <f>INDEX('Выгр Торг'!$A:$A,MATCH($B54,'Выгр Торг'!$B:$B,0))</f>
        <v>Спойлер "Авторитет" для ВАЗ 2105, 2107</v>
      </c>
      <c r="B54" s="14">
        <v>214887</v>
      </c>
      <c r="C54" s="14">
        <f>VLOOKUP($B54,'Выгр Торг'!$B:$Q,C$1,0)</f>
        <v>87329</v>
      </c>
      <c r="D54" s="17" t="str">
        <f>VLOOKUP($B54,'Выгр Торг'!$B:$Q,D$1,0)</f>
        <v>Спойлер "Авторитет" для ВАЗ 2105, 2107 (В цвет, Кориандр (золотисто-коричневый, 790))</v>
      </c>
      <c r="E54" s="14" t="str">
        <f>VLOOKUP($B54,'Выгр Торг'!$B:$Q,E$1,0)</f>
        <v>N</v>
      </c>
      <c r="F54" s="14" t="str">
        <f>VLOOKUP($B54,'Выгр Торг'!$B:$Q,F$1,0)</f>
        <v>0</v>
      </c>
      <c r="G54" s="28" t="s">
        <v>25</v>
      </c>
      <c r="H54" s="60">
        <v>2800</v>
      </c>
      <c r="I54" s="15">
        <f>VLOOKUP(H54,Наценка!$A$1:$B$8,2,1)</f>
        <v>1.4</v>
      </c>
      <c r="J54" s="36">
        <f t="shared" si="5"/>
        <v>3919.9999999999995</v>
      </c>
      <c r="K54" s="27">
        <f t="shared" si="0"/>
        <v>3990</v>
      </c>
      <c r="L54" s="14">
        <f>VLOOKUP($B54,'Выгр Торг'!$B:$Q,L$1,0)</f>
        <v>2800</v>
      </c>
      <c r="M54" s="14">
        <f>VLOOKUP($B54,'Выгр Торг'!$B:$Q,M$1,0)</f>
        <v>3990</v>
      </c>
      <c r="N54" s="24">
        <f t="shared" si="1"/>
        <v>0</v>
      </c>
      <c r="O54" s="24">
        <f t="shared" si="2"/>
        <v>0</v>
      </c>
      <c r="P54" s="25">
        <f t="shared" si="3"/>
        <v>3990</v>
      </c>
      <c r="Q54" s="7">
        <f>IFERROR(P54/H54-1,"")</f>
        <v>0.42500000000000004</v>
      </c>
      <c r="R54" s="7" t="str">
        <f>IFERROR((T54-P54)/T54,"")</f>
        <v/>
      </c>
      <c r="S54" s="7" t="str">
        <f>IFERROR(IF(T54="","",T54/H54-1),"")</f>
        <v/>
      </c>
      <c r="T54" s="8"/>
      <c r="U54" s="33" t="str">
        <f>IFERROR((VLOOKUP($B54,'Из ГУГЛа'!$B:$Z,U$1,0)+W54)*V54,VLOOKUP($B54,'Из ГУГЛа'!$B:$Z,U$1,0))</f>
        <v/>
      </c>
      <c r="V54" s="10">
        <v>1</v>
      </c>
      <c r="W54" s="10"/>
      <c r="Z54" s="33" t="str">
        <f>IFERROR((VLOOKUP($B54,'Из ГУГЛа'!$B:$Z,Z$1,0)+AB54)*AA54,VLOOKUP($B54,'Из ГУГЛа'!$B:$Z,Z$1,0))</f>
        <v/>
      </c>
      <c r="AA54" s="10">
        <v>1</v>
      </c>
      <c r="AB54" s="10"/>
    </row>
    <row r="55" spans="1:28" ht="30" x14ac:dyDescent="0.25">
      <c r="A55" s="17" t="str">
        <f>INDEX('Выгр Торг'!$A:$A,MATCH($B55,'Выгр Торг'!$B:$B,0))</f>
        <v>Спойлер "Авторитет" для ВАЗ 2105, 2107</v>
      </c>
      <c r="B55" s="14">
        <v>214888</v>
      </c>
      <c r="C55" s="14">
        <f>VLOOKUP($B55,'Выгр Торг'!$B:$Q,C$1,0)</f>
        <v>87330</v>
      </c>
      <c r="D55" s="17" t="str">
        <f>VLOOKUP($B55,'Выгр Торг'!$B:$Q,D$1,0)</f>
        <v>Спойлер "Авторитет" для ВАЗ 2105, 2107 (В цвет, Космос (черный, 665))</v>
      </c>
      <c r="E55" s="14" t="str">
        <f>VLOOKUP($B55,'Выгр Торг'!$B:$Q,E$1,0)</f>
        <v>N</v>
      </c>
      <c r="F55" s="14" t="str">
        <f>VLOOKUP($B55,'Выгр Торг'!$B:$Q,F$1,0)</f>
        <v>0</v>
      </c>
      <c r="G55" s="28" t="s">
        <v>25</v>
      </c>
      <c r="H55" s="60">
        <v>2800</v>
      </c>
      <c r="I55" s="15">
        <f>VLOOKUP(H55,Наценка!$A$1:$B$8,2,1)</f>
        <v>1.4</v>
      </c>
      <c r="J55" s="36">
        <f t="shared" si="5"/>
        <v>3919.9999999999995</v>
      </c>
      <c r="K55" s="27">
        <f t="shared" si="0"/>
        <v>3990</v>
      </c>
      <c r="L55" s="14">
        <f>VLOOKUP($B55,'Выгр Торг'!$B:$Q,L$1,0)</f>
        <v>2800</v>
      </c>
      <c r="M55" s="14">
        <f>VLOOKUP($B55,'Выгр Торг'!$B:$Q,M$1,0)</f>
        <v>3990</v>
      </c>
      <c r="N55" s="24">
        <f t="shared" si="1"/>
        <v>0</v>
      </c>
      <c r="O55" s="24">
        <f t="shared" si="2"/>
        <v>0</v>
      </c>
      <c r="P55" s="25">
        <f t="shared" si="3"/>
        <v>3990</v>
      </c>
      <c r="Q55" s="7">
        <f>IFERROR(P55/H55-1,"")</f>
        <v>0.42500000000000004</v>
      </c>
      <c r="R55" s="7" t="str">
        <f>IFERROR((T55-P55)/T55,"")</f>
        <v/>
      </c>
      <c r="S55" s="7" t="str">
        <f>IFERROR(IF(T55="","",T55/H55-1),"")</f>
        <v/>
      </c>
      <c r="T55" s="8"/>
      <c r="U55" s="33" t="str">
        <f>IFERROR((VLOOKUP($B55,'Из ГУГЛа'!$B:$Z,U$1,0)+W55)*V55,VLOOKUP($B55,'Из ГУГЛа'!$B:$Z,U$1,0))</f>
        <v/>
      </c>
      <c r="V55" s="10">
        <v>1</v>
      </c>
      <c r="W55" s="10"/>
      <c r="Z55" s="33" t="str">
        <f>IFERROR((VLOOKUP($B55,'Из ГУГЛа'!$B:$Z,Z$1,0)+AB55)*AA55,VLOOKUP($B55,'Из ГУГЛа'!$B:$Z,Z$1,0))</f>
        <v/>
      </c>
      <c r="AA55" s="10">
        <v>1</v>
      </c>
      <c r="AB55" s="10"/>
    </row>
    <row r="56" spans="1:28" ht="45" x14ac:dyDescent="0.25">
      <c r="A56" s="17" t="str">
        <f>INDEX('Выгр Торг'!$A:$A,MATCH($B56,'Выгр Торг'!$B:$B,0))</f>
        <v>Спойлер "Авторитет" для ВАЗ 2105, 2107</v>
      </c>
      <c r="B56" s="14">
        <v>214889</v>
      </c>
      <c r="C56" s="14">
        <f>VLOOKUP($B56,'Выгр Торг'!$B:$Q,C$1,0)</f>
        <v>87331</v>
      </c>
      <c r="D56" s="17" t="str">
        <f>VLOOKUP($B56,'Выгр Торг'!$B:$Q,D$1,0)</f>
        <v>Спойлер "Авторитет" для ВАЗ 2105, 2107 (В цвет, Красный перец (красно-коричневый, 106))</v>
      </c>
      <c r="E56" s="14" t="str">
        <f>VLOOKUP($B56,'Выгр Торг'!$B:$Q,E$1,0)</f>
        <v>N</v>
      </c>
      <c r="F56" s="14" t="str">
        <f>VLOOKUP($B56,'Выгр Торг'!$B:$Q,F$1,0)</f>
        <v>0</v>
      </c>
      <c r="G56" s="28" t="s">
        <v>25</v>
      </c>
      <c r="H56" s="60">
        <v>2800</v>
      </c>
      <c r="I56" s="15">
        <f>VLOOKUP(H56,Наценка!$A$1:$B$8,2,1)</f>
        <v>1.4</v>
      </c>
      <c r="J56" s="36">
        <f t="shared" si="5"/>
        <v>3919.9999999999995</v>
      </c>
      <c r="K56" s="27">
        <f t="shared" si="0"/>
        <v>3990</v>
      </c>
      <c r="L56" s="14">
        <f>VLOOKUP($B56,'Выгр Торг'!$B:$Q,L$1,0)</f>
        <v>2800</v>
      </c>
      <c r="M56" s="14">
        <f>VLOOKUP($B56,'Выгр Торг'!$B:$Q,M$1,0)</f>
        <v>3990</v>
      </c>
      <c r="N56" s="24">
        <f t="shared" si="1"/>
        <v>0</v>
      </c>
      <c r="O56" s="24">
        <f t="shared" si="2"/>
        <v>0</v>
      </c>
      <c r="P56" s="25">
        <f t="shared" si="3"/>
        <v>3990</v>
      </c>
      <c r="Q56" s="7">
        <f>IFERROR(P56/H56-1,"")</f>
        <v>0.42500000000000004</v>
      </c>
      <c r="R56" s="7" t="str">
        <f>IFERROR((T56-P56)/T56,"")</f>
        <v/>
      </c>
      <c r="S56" s="7" t="str">
        <f>IFERROR(IF(T56="","",T56/H56-1),"")</f>
        <v/>
      </c>
      <c r="T56" s="8"/>
      <c r="U56" s="33" t="str">
        <f>IFERROR((VLOOKUP($B56,'Из ГУГЛа'!$B:$Z,U$1,0)+W56)*V56,VLOOKUP($B56,'Из ГУГЛа'!$B:$Z,U$1,0))</f>
        <v/>
      </c>
      <c r="V56" s="10">
        <v>1</v>
      </c>
      <c r="W56" s="10"/>
      <c r="Z56" s="33" t="str">
        <f>IFERROR((VLOOKUP($B56,'Из ГУГЛа'!$B:$Z,Z$1,0)+AB56)*AA56,VLOOKUP($B56,'Из ГУГЛа'!$B:$Z,Z$1,0))</f>
        <v/>
      </c>
      <c r="AA56" s="10">
        <v>1</v>
      </c>
      <c r="AB56" s="10"/>
    </row>
    <row r="57" spans="1:28" ht="45" x14ac:dyDescent="0.25">
      <c r="A57" s="17" t="str">
        <f>INDEX('Выгр Торг'!$A:$A,MATCH($B57,'Выгр Торг'!$B:$B,0))</f>
        <v>Спойлер "Авторитет" для ВАЗ 2105, 2107</v>
      </c>
      <c r="B57" s="14">
        <v>214890</v>
      </c>
      <c r="C57" s="14">
        <f>VLOOKUP($B57,'Выгр Торг'!$B:$Q,C$1,0)</f>
        <v>87332</v>
      </c>
      <c r="D57" s="17" t="str">
        <f>VLOOKUP($B57,'Выгр Торг'!$B:$Q,D$1,0)</f>
        <v>Спойлер "Авторитет" для ВАЗ 2105, 2107 (В цвет, Майя (серебристый темно-бордовый, 120))</v>
      </c>
      <c r="E57" s="14" t="str">
        <f>VLOOKUP($B57,'Выгр Торг'!$B:$Q,E$1,0)</f>
        <v>N</v>
      </c>
      <c r="F57" s="14" t="str">
        <f>VLOOKUP($B57,'Выгр Торг'!$B:$Q,F$1,0)</f>
        <v>0</v>
      </c>
      <c r="G57" s="28" t="s">
        <v>25</v>
      </c>
      <c r="H57" s="60">
        <v>2800</v>
      </c>
      <c r="I57" s="15">
        <f>VLOOKUP(H57,Наценка!$A$1:$B$8,2,1)</f>
        <v>1.4</v>
      </c>
      <c r="J57" s="36">
        <f t="shared" si="5"/>
        <v>3919.9999999999995</v>
      </c>
      <c r="K57" s="27">
        <f t="shared" si="0"/>
        <v>3990</v>
      </c>
      <c r="L57" s="14">
        <f>VLOOKUP($B57,'Выгр Торг'!$B:$Q,L$1,0)</f>
        <v>2800</v>
      </c>
      <c r="M57" s="14">
        <f>VLOOKUP($B57,'Выгр Торг'!$B:$Q,M$1,0)</f>
        <v>3990</v>
      </c>
      <c r="N57" s="24">
        <f t="shared" si="1"/>
        <v>0</v>
      </c>
      <c r="O57" s="24">
        <f t="shared" si="2"/>
        <v>0</v>
      </c>
      <c r="P57" s="25">
        <f t="shared" si="3"/>
        <v>3990</v>
      </c>
      <c r="Q57" s="7">
        <f>IFERROR(P57/H57-1,"")</f>
        <v>0.42500000000000004</v>
      </c>
      <c r="R57" s="7" t="str">
        <f>IFERROR((T57-P57)/T57,"")</f>
        <v/>
      </c>
      <c r="S57" s="7" t="str">
        <f>IFERROR(IF(T57="","",T57/H57-1),"")</f>
        <v/>
      </c>
      <c r="T57" s="8"/>
      <c r="U57" s="33" t="str">
        <f>IFERROR((VLOOKUP($B57,'Из ГУГЛа'!$B:$Z,U$1,0)+W57)*V57,VLOOKUP($B57,'Из ГУГЛа'!$B:$Z,U$1,0))</f>
        <v/>
      </c>
      <c r="V57" s="10">
        <v>1</v>
      </c>
      <c r="W57" s="10"/>
      <c r="Z57" s="33" t="str">
        <f>IFERROR((VLOOKUP($B57,'Из ГУГЛа'!$B:$Z,Z$1,0)+AB57)*AA57,VLOOKUP($B57,'Из ГУГЛа'!$B:$Z,Z$1,0))</f>
        <v/>
      </c>
      <c r="AA57" s="10">
        <v>1</v>
      </c>
      <c r="AB57" s="10"/>
    </row>
    <row r="58" spans="1:28" ht="45" x14ac:dyDescent="0.25">
      <c r="A58" s="17" t="str">
        <f>INDEX('Выгр Торг'!$A:$A,MATCH($B58,'Выгр Торг'!$B:$B,0))</f>
        <v>Спойлер "Авторитет" для ВАЗ 2105, 2107</v>
      </c>
      <c r="B58" s="14">
        <v>214891</v>
      </c>
      <c r="C58" s="14">
        <f>VLOOKUP($B58,'Выгр Торг'!$B:$Q,C$1,0)</f>
        <v>87333</v>
      </c>
      <c r="D58" s="17" t="str">
        <f>VLOOKUP($B58,'Выгр Торг'!$B:$Q,D$1,0)</f>
        <v>Спойлер "Авторитет" для ВАЗ 2105, 2107 (В цвет, Мокрый асфальт (серебристый стальной, 626))</v>
      </c>
      <c r="E58" s="14" t="str">
        <f>VLOOKUP($B58,'Выгр Торг'!$B:$Q,E$1,0)</f>
        <v>N</v>
      </c>
      <c r="F58" s="14" t="str">
        <f>VLOOKUP($B58,'Выгр Торг'!$B:$Q,F$1,0)</f>
        <v>0</v>
      </c>
      <c r="G58" s="28" t="s">
        <v>25</v>
      </c>
      <c r="H58" s="60">
        <v>2800</v>
      </c>
      <c r="I58" s="15">
        <f>VLOOKUP(H58,Наценка!$A$1:$B$8,2,1)</f>
        <v>1.4</v>
      </c>
      <c r="J58" s="36">
        <f t="shared" si="5"/>
        <v>3919.9999999999995</v>
      </c>
      <c r="K58" s="27">
        <f t="shared" si="0"/>
        <v>3990</v>
      </c>
      <c r="L58" s="14">
        <f>VLOOKUP($B58,'Выгр Торг'!$B:$Q,L$1,0)</f>
        <v>2800</v>
      </c>
      <c r="M58" s="14">
        <f>VLOOKUP($B58,'Выгр Торг'!$B:$Q,M$1,0)</f>
        <v>3990</v>
      </c>
      <c r="N58" s="24">
        <f t="shared" si="1"/>
        <v>0</v>
      </c>
      <c r="O58" s="24">
        <f t="shared" si="2"/>
        <v>0</v>
      </c>
      <c r="P58" s="25">
        <f t="shared" si="3"/>
        <v>3990</v>
      </c>
      <c r="Q58" s="7">
        <f>IFERROR(P58/H58-1,"")</f>
        <v>0.42500000000000004</v>
      </c>
      <c r="R58" s="7" t="str">
        <f>IFERROR((T58-P58)/T58,"")</f>
        <v/>
      </c>
      <c r="S58" s="7" t="str">
        <f>IFERROR(IF(T58="","",T58/H58-1),"")</f>
        <v/>
      </c>
      <c r="T58" s="8"/>
      <c r="U58" s="33" t="str">
        <f>IFERROR((VLOOKUP($B58,'Из ГУГЛа'!$B:$Z,U$1,0)+W58)*V58,VLOOKUP($B58,'Из ГУГЛа'!$B:$Z,U$1,0))</f>
        <v/>
      </c>
      <c r="V58" s="10">
        <v>1</v>
      </c>
      <c r="W58" s="10"/>
      <c r="Z58" s="33" t="str">
        <f>IFERROR((VLOOKUP($B58,'Из ГУГЛа'!$B:$Z,Z$1,0)+AB58)*AA58,VLOOKUP($B58,'Из ГУГЛа'!$B:$Z,Z$1,0))</f>
        <v/>
      </c>
      <c r="AA58" s="10">
        <v>1</v>
      </c>
      <c r="AB58" s="10"/>
    </row>
    <row r="59" spans="1:28" ht="45" x14ac:dyDescent="0.25">
      <c r="A59" s="17" t="str">
        <f>INDEX('Выгр Торг'!$A:$A,MATCH($B59,'Выгр Торг'!$B:$B,0))</f>
        <v>Спойлер "Авторитет" для ВАЗ 2105, 2107</v>
      </c>
      <c r="B59" s="14">
        <v>214892</v>
      </c>
      <c r="C59" s="14">
        <f>VLOOKUP($B59,'Выгр Торг'!$B:$Q,C$1,0)</f>
        <v>87334</v>
      </c>
      <c r="D59" s="17" t="str">
        <f>VLOOKUP($B59,'Выгр Торг'!$B:$Q,D$1,0)</f>
        <v>Спойлер "Авторитет" для ВАЗ 2105, 2107 (В цвет, Морская пучина (темно-зеленый, 325))</v>
      </c>
      <c r="E59" s="14" t="str">
        <f>VLOOKUP($B59,'Выгр Торг'!$B:$Q,E$1,0)</f>
        <v>N</v>
      </c>
      <c r="F59" s="14" t="str">
        <f>VLOOKUP($B59,'Выгр Торг'!$B:$Q,F$1,0)</f>
        <v>0</v>
      </c>
      <c r="G59" s="28" t="s">
        <v>25</v>
      </c>
      <c r="H59" s="60">
        <v>2800</v>
      </c>
      <c r="I59" s="15">
        <f>VLOOKUP(H59,Наценка!$A$1:$B$8,2,1)</f>
        <v>1.4</v>
      </c>
      <c r="J59" s="36">
        <f t="shared" si="5"/>
        <v>3919.9999999999995</v>
      </c>
      <c r="K59" s="27">
        <f t="shared" si="0"/>
        <v>3990</v>
      </c>
      <c r="L59" s="14">
        <f>VLOOKUP($B59,'Выгр Торг'!$B:$Q,L$1,0)</f>
        <v>2800</v>
      </c>
      <c r="M59" s="14">
        <f>VLOOKUP($B59,'Выгр Торг'!$B:$Q,M$1,0)</f>
        <v>3990</v>
      </c>
      <c r="N59" s="24">
        <f t="shared" si="1"/>
        <v>0</v>
      </c>
      <c r="O59" s="24">
        <f t="shared" si="2"/>
        <v>0</v>
      </c>
      <c r="P59" s="25">
        <f t="shared" si="3"/>
        <v>3990</v>
      </c>
      <c r="Q59" s="7">
        <f>IFERROR(P59/H59-1,"")</f>
        <v>0.42500000000000004</v>
      </c>
      <c r="R59" s="7" t="str">
        <f>IFERROR((T59-P59)/T59,"")</f>
        <v/>
      </c>
      <c r="S59" s="7" t="str">
        <f>IFERROR(IF(T59="","",T59/H59-1),"")</f>
        <v/>
      </c>
      <c r="T59" s="8"/>
      <c r="U59" s="33" t="str">
        <f>IFERROR((VLOOKUP($B59,'Из ГУГЛа'!$B:$Z,U$1,0)+W59)*V59,VLOOKUP($B59,'Из ГУГЛа'!$B:$Z,U$1,0))</f>
        <v/>
      </c>
      <c r="V59" s="10">
        <v>1</v>
      </c>
      <c r="W59" s="10"/>
      <c r="Z59" s="33" t="str">
        <f>IFERROR((VLOOKUP($B59,'Из ГУГЛа'!$B:$Z,Z$1,0)+AB59)*AA59,VLOOKUP($B59,'Из ГУГЛа'!$B:$Z,Z$1,0))</f>
        <v/>
      </c>
      <c r="AA59" s="10">
        <v>1</v>
      </c>
      <c r="AB59" s="10"/>
    </row>
    <row r="60" spans="1:28" ht="45" x14ac:dyDescent="0.25">
      <c r="A60" s="17" t="str">
        <f>INDEX('Выгр Торг'!$A:$A,MATCH($B60,'Выгр Торг'!$B:$B,0))</f>
        <v>Спойлер "Авторитет" для ВАЗ 2105, 2107</v>
      </c>
      <c r="B60" s="14">
        <v>214893</v>
      </c>
      <c r="C60" s="14">
        <f>VLOOKUP($B60,'Выгр Торг'!$B:$Q,C$1,0)</f>
        <v>87335</v>
      </c>
      <c r="D60" s="17" t="str">
        <f>VLOOKUP($B60,'Выгр Торг'!$B:$Q,D$1,0)</f>
        <v>Спойлер "Авторитет" для ВАЗ 2105, 2107 (В цвет, Мурена (сине-зеленый, 377))</v>
      </c>
      <c r="E60" s="14" t="str">
        <f>VLOOKUP($B60,'Выгр Торг'!$B:$Q,E$1,0)</f>
        <v>N</v>
      </c>
      <c r="F60" s="14" t="str">
        <f>VLOOKUP($B60,'Выгр Торг'!$B:$Q,F$1,0)</f>
        <v>0</v>
      </c>
      <c r="G60" s="28" t="s">
        <v>25</v>
      </c>
      <c r="H60" s="60">
        <v>2800</v>
      </c>
      <c r="I60" s="15">
        <f>VLOOKUP(H60,Наценка!$A$1:$B$8,2,1)</f>
        <v>1.4</v>
      </c>
      <c r="J60" s="36">
        <f t="shared" si="5"/>
        <v>3919.9999999999995</v>
      </c>
      <c r="K60" s="27">
        <f t="shared" si="0"/>
        <v>3990</v>
      </c>
      <c r="L60" s="14">
        <f>VLOOKUP($B60,'Выгр Торг'!$B:$Q,L$1,0)</f>
        <v>2800</v>
      </c>
      <c r="M60" s="14">
        <f>VLOOKUP($B60,'Выгр Торг'!$B:$Q,M$1,0)</f>
        <v>3990</v>
      </c>
      <c r="N60" s="24">
        <f t="shared" si="1"/>
        <v>0</v>
      </c>
      <c r="O60" s="24">
        <f t="shared" si="2"/>
        <v>0</v>
      </c>
      <c r="P60" s="25">
        <f t="shared" si="3"/>
        <v>3990</v>
      </c>
      <c r="Q60" s="7">
        <f>IFERROR(P60/H60-1,"")</f>
        <v>0.42500000000000004</v>
      </c>
      <c r="R60" s="7" t="str">
        <f>IFERROR((T60-P60)/T60,"")</f>
        <v/>
      </c>
      <c r="S60" s="7" t="str">
        <f>IFERROR(IF(T60="","",T60/H60-1),"")</f>
        <v/>
      </c>
      <c r="T60" s="8"/>
      <c r="U60" s="33" t="str">
        <f>IFERROR((VLOOKUP($B60,'Из ГУГЛа'!$B:$Z,U$1,0)+W60)*V60,VLOOKUP($B60,'Из ГУГЛа'!$B:$Z,U$1,0))</f>
        <v/>
      </c>
      <c r="V60" s="10">
        <v>1</v>
      </c>
      <c r="W60" s="10"/>
      <c r="Z60" s="33" t="str">
        <f>IFERROR((VLOOKUP($B60,'Из ГУГЛа'!$B:$Z,Z$1,0)+AB60)*AA60,VLOOKUP($B60,'Из ГУГЛа'!$B:$Z,Z$1,0))</f>
        <v/>
      </c>
      <c r="AA60" s="10">
        <v>1</v>
      </c>
      <c r="AB60" s="10"/>
    </row>
    <row r="61" spans="1:28" ht="45" x14ac:dyDescent="0.25">
      <c r="A61" s="17" t="str">
        <f>INDEX('Выгр Торг'!$A:$A,MATCH($B61,'Выгр Торг'!$B:$B,0))</f>
        <v>Спойлер "Авторитет" для ВАЗ 2105, 2107</v>
      </c>
      <c r="B61" s="14">
        <v>214894</v>
      </c>
      <c r="C61" s="14">
        <f>VLOOKUP($B61,'Выгр Торг'!$B:$Q,C$1,0)</f>
        <v>87336</v>
      </c>
      <c r="D61" s="17" t="str">
        <f>VLOOKUP($B61,'Выгр Торг'!$B:$Q,D$1,0)</f>
        <v>Спойлер "Авторитет" для ВАЗ 2105, 2107 (В цвет, Мускари (темно синий, 426))</v>
      </c>
      <c r="E61" s="14" t="str">
        <f>VLOOKUP($B61,'Выгр Торг'!$B:$Q,E$1,0)</f>
        <v>N</v>
      </c>
      <c r="F61" s="14" t="str">
        <f>VLOOKUP($B61,'Выгр Торг'!$B:$Q,F$1,0)</f>
        <v>0</v>
      </c>
      <c r="G61" s="28" t="s">
        <v>25</v>
      </c>
      <c r="H61" s="60">
        <v>2800</v>
      </c>
      <c r="I61" s="15">
        <f>VLOOKUP(H61,Наценка!$A$1:$B$8,2,1)</f>
        <v>1.4</v>
      </c>
      <c r="J61" s="36">
        <f t="shared" si="5"/>
        <v>3919.9999999999995</v>
      </c>
      <c r="K61" s="27">
        <f t="shared" si="0"/>
        <v>3990</v>
      </c>
      <c r="L61" s="14">
        <f>VLOOKUP($B61,'Выгр Торг'!$B:$Q,L$1,0)</f>
        <v>2800</v>
      </c>
      <c r="M61" s="14">
        <f>VLOOKUP($B61,'Выгр Торг'!$B:$Q,M$1,0)</f>
        <v>3990</v>
      </c>
      <c r="N61" s="24">
        <f t="shared" si="1"/>
        <v>0</v>
      </c>
      <c r="O61" s="24">
        <f t="shared" si="2"/>
        <v>0</v>
      </c>
      <c r="P61" s="25">
        <f t="shared" si="3"/>
        <v>3990</v>
      </c>
      <c r="Q61" s="7">
        <f>IFERROR(P61/H61-1,"")</f>
        <v>0.42500000000000004</v>
      </c>
      <c r="R61" s="7" t="str">
        <f>IFERROR((T61-P61)/T61,"")</f>
        <v/>
      </c>
      <c r="S61" s="7" t="str">
        <f>IFERROR(IF(T61="","",T61/H61-1),"")</f>
        <v/>
      </c>
      <c r="T61" s="8"/>
      <c r="U61" s="33" t="str">
        <f>IFERROR((VLOOKUP($B61,'Из ГУГЛа'!$B:$Z,U$1,0)+W61)*V61,VLOOKUP($B61,'Из ГУГЛа'!$B:$Z,U$1,0))</f>
        <v/>
      </c>
      <c r="V61" s="10">
        <v>1</v>
      </c>
      <c r="W61" s="10"/>
      <c r="Z61" s="33" t="str">
        <f>IFERROR((VLOOKUP($B61,'Из ГУГЛа'!$B:$Z,Z$1,0)+AB61)*AA61,VLOOKUP($B61,'Из ГУГЛа'!$B:$Z,Z$1,0))</f>
        <v/>
      </c>
      <c r="AA61" s="10">
        <v>1</v>
      </c>
      <c r="AB61" s="10"/>
    </row>
    <row r="62" spans="1:28" ht="30" x14ac:dyDescent="0.25">
      <c r="A62" s="17" t="str">
        <f>INDEX('Выгр Торг'!$A:$A,MATCH($B62,'Выгр Торг'!$B:$B,0))</f>
        <v>Спойлер "Авторитет" для ВАЗ 2105, 2107</v>
      </c>
      <c r="B62" s="14">
        <v>214895</v>
      </c>
      <c r="C62" s="14">
        <f>VLOOKUP($B62,'Выгр Торг'!$B:$Q,C$1,0)</f>
        <v>87337</v>
      </c>
      <c r="D62" s="17" t="str">
        <f>VLOOKUP($B62,'Выгр Торг'!$B:$Q,D$1,0)</f>
        <v>Спойлер "Авторитет" для ВАЗ 2105, 2107 (В цвет, Нарцисс (желтый, 223))</v>
      </c>
      <c r="E62" s="14" t="str">
        <f>VLOOKUP($B62,'Выгр Торг'!$B:$Q,E$1,0)</f>
        <v>N</v>
      </c>
      <c r="F62" s="14" t="str">
        <f>VLOOKUP($B62,'Выгр Торг'!$B:$Q,F$1,0)</f>
        <v>0</v>
      </c>
      <c r="G62" s="28" t="s">
        <v>25</v>
      </c>
      <c r="H62" s="60">
        <v>2800</v>
      </c>
      <c r="I62" s="15">
        <f>VLOOKUP(H62,Наценка!$A$1:$B$8,2,1)</f>
        <v>1.4</v>
      </c>
      <c r="J62" s="36">
        <f t="shared" si="5"/>
        <v>3919.9999999999995</v>
      </c>
      <c r="K62" s="27">
        <f t="shared" si="0"/>
        <v>3990</v>
      </c>
      <c r="L62" s="14">
        <f>VLOOKUP($B62,'Выгр Торг'!$B:$Q,L$1,0)</f>
        <v>2800</v>
      </c>
      <c r="M62" s="14">
        <f>VLOOKUP($B62,'Выгр Торг'!$B:$Q,M$1,0)</f>
        <v>3990</v>
      </c>
      <c r="N62" s="24">
        <f t="shared" si="1"/>
        <v>0</v>
      </c>
      <c r="O62" s="24">
        <f t="shared" si="2"/>
        <v>0</v>
      </c>
      <c r="P62" s="25">
        <f t="shared" si="3"/>
        <v>3990</v>
      </c>
      <c r="Q62" s="7">
        <f>IFERROR(P62/H62-1,"")</f>
        <v>0.42500000000000004</v>
      </c>
      <c r="R62" s="7" t="str">
        <f>IFERROR((T62-P62)/T62,"")</f>
        <v/>
      </c>
      <c r="S62" s="7" t="str">
        <f>IFERROR(IF(T62="","",T62/H62-1),"")</f>
        <v/>
      </c>
      <c r="T62" s="8"/>
      <c r="U62" s="33" t="str">
        <f>IFERROR((VLOOKUP($B62,'Из ГУГЛа'!$B:$Z,U$1,0)+W62)*V62,VLOOKUP($B62,'Из ГУГЛа'!$B:$Z,U$1,0))</f>
        <v/>
      </c>
      <c r="V62" s="10">
        <v>1</v>
      </c>
      <c r="W62" s="10"/>
      <c r="Z62" s="33" t="str">
        <f>IFERROR((VLOOKUP($B62,'Из ГУГЛа'!$B:$Z,Z$1,0)+AB62)*AA62,VLOOKUP($B62,'Из ГУГЛа'!$B:$Z,Z$1,0))</f>
        <v/>
      </c>
      <c r="AA62" s="10">
        <v>1</v>
      </c>
      <c r="AB62" s="10"/>
    </row>
    <row r="63" spans="1:28" ht="45" x14ac:dyDescent="0.25">
      <c r="A63" s="17" t="str">
        <f>INDEX('Выгр Торг'!$A:$A,MATCH($B63,'Выгр Торг'!$B:$B,0))</f>
        <v>Спойлер "Авторитет" для ВАЗ 2105, 2107</v>
      </c>
      <c r="B63" s="14">
        <v>214896</v>
      </c>
      <c r="C63" s="14">
        <f>VLOOKUP($B63,'Выгр Торг'!$B:$Q,C$1,0)</f>
        <v>87338</v>
      </c>
      <c r="D63" s="17" t="str">
        <f>VLOOKUP($B63,'Выгр Торг'!$B:$Q,D$1,0)</f>
        <v>Спойлер "Авторитет" для ВАЗ 2105, 2107 (В цвет, Наутилус (темно-зеленый, 304))</v>
      </c>
      <c r="E63" s="14" t="str">
        <f>VLOOKUP($B63,'Выгр Торг'!$B:$Q,E$1,0)</f>
        <v>N</v>
      </c>
      <c r="F63" s="14" t="str">
        <f>VLOOKUP($B63,'Выгр Торг'!$B:$Q,F$1,0)</f>
        <v>0</v>
      </c>
      <c r="G63" s="28" t="s">
        <v>25</v>
      </c>
      <c r="H63" s="60">
        <v>2800</v>
      </c>
      <c r="I63" s="15">
        <f>VLOOKUP(H63,Наценка!$A$1:$B$8,2,1)</f>
        <v>1.4</v>
      </c>
      <c r="J63" s="36">
        <f t="shared" si="5"/>
        <v>3919.9999999999995</v>
      </c>
      <c r="K63" s="27">
        <f t="shared" si="0"/>
        <v>3990</v>
      </c>
      <c r="L63" s="14">
        <f>VLOOKUP($B63,'Выгр Торг'!$B:$Q,L$1,0)</f>
        <v>2800</v>
      </c>
      <c r="M63" s="14">
        <f>VLOOKUP($B63,'Выгр Торг'!$B:$Q,M$1,0)</f>
        <v>3990</v>
      </c>
      <c r="N63" s="24">
        <f t="shared" si="1"/>
        <v>0</v>
      </c>
      <c r="O63" s="24">
        <f t="shared" si="2"/>
        <v>0</v>
      </c>
      <c r="P63" s="25">
        <f t="shared" si="3"/>
        <v>3990</v>
      </c>
      <c r="Q63" s="7">
        <f>IFERROR(P63/H63-1,"")</f>
        <v>0.42500000000000004</v>
      </c>
      <c r="R63" s="7" t="str">
        <f>IFERROR((T63-P63)/T63,"")</f>
        <v/>
      </c>
      <c r="S63" s="7" t="str">
        <f>IFERROR(IF(T63="","",T63/H63-1),"")</f>
        <v/>
      </c>
      <c r="T63" s="8"/>
      <c r="U63" s="33" t="str">
        <f>IFERROR((VLOOKUP($B63,'Из ГУГЛа'!$B:$Z,U$1,0)+W63)*V63,VLOOKUP($B63,'Из ГУГЛа'!$B:$Z,U$1,0))</f>
        <v/>
      </c>
      <c r="V63" s="10">
        <v>1</v>
      </c>
      <c r="W63" s="10"/>
      <c r="Z63" s="33" t="str">
        <f>IFERROR((VLOOKUP($B63,'Из ГУГЛа'!$B:$Z,Z$1,0)+AB63)*AA63,VLOOKUP($B63,'Из ГУГЛа'!$B:$Z,Z$1,0))</f>
        <v/>
      </c>
      <c r="AA63" s="10">
        <v>1</v>
      </c>
      <c r="AB63" s="10"/>
    </row>
    <row r="64" spans="1:28" ht="45" x14ac:dyDescent="0.25">
      <c r="A64" s="17" t="str">
        <f>INDEX('Выгр Торг'!$A:$A,MATCH($B64,'Выгр Торг'!$B:$B,0))</f>
        <v>Спойлер "Авторитет" для ВАЗ 2105, 2107</v>
      </c>
      <c r="B64" s="14">
        <v>214897</v>
      </c>
      <c r="C64" s="14">
        <f>VLOOKUP($B64,'Выгр Торг'!$B:$Q,C$1,0)</f>
        <v>87339</v>
      </c>
      <c r="D64" s="17" t="str">
        <f>VLOOKUP($B64,'Выгр Торг'!$B:$Q,D$1,0)</f>
        <v>Спойлер "Авторитет" для ВАЗ 2105, 2107 (В цвет, Персей (темно-синий, 429))</v>
      </c>
      <c r="E64" s="14" t="str">
        <f>VLOOKUP($B64,'Выгр Торг'!$B:$Q,E$1,0)</f>
        <v>N</v>
      </c>
      <c r="F64" s="14" t="str">
        <f>VLOOKUP($B64,'Выгр Торг'!$B:$Q,F$1,0)</f>
        <v>0</v>
      </c>
      <c r="G64" s="28" t="s">
        <v>25</v>
      </c>
      <c r="H64" s="60">
        <v>2800</v>
      </c>
      <c r="I64" s="15">
        <f>VLOOKUP(H64,Наценка!$A$1:$B$8,2,1)</f>
        <v>1.4</v>
      </c>
      <c r="J64" s="36">
        <f t="shared" si="5"/>
        <v>3919.9999999999995</v>
      </c>
      <c r="K64" s="27">
        <f t="shared" si="0"/>
        <v>3990</v>
      </c>
      <c r="L64" s="14">
        <f>VLOOKUP($B64,'Выгр Торг'!$B:$Q,L$1,0)</f>
        <v>2800</v>
      </c>
      <c r="M64" s="14">
        <f>VLOOKUP($B64,'Выгр Торг'!$B:$Q,M$1,0)</f>
        <v>3990</v>
      </c>
      <c r="N64" s="24">
        <f t="shared" si="1"/>
        <v>0</v>
      </c>
      <c r="O64" s="24">
        <f t="shared" si="2"/>
        <v>0</v>
      </c>
      <c r="P64" s="25">
        <f t="shared" si="3"/>
        <v>3990</v>
      </c>
      <c r="Q64" s="7">
        <f>IFERROR(P64/H64-1,"")</f>
        <v>0.42500000000000004</v>
      </c>
      <c r="R64" s="7" t="str">
        <f>IFERROR((T64-P64)/T64,"")</f>
        <v/>
      </c>
      <c r="S64" s="7" t="str">
        <f>IFERROR(IF(T64="","",T64/H64-1),"")</f>
        <v/>
      </c>
      <c r="T64" s="8"/>
      <c r="U64" s="33" t="str">
        <f>IFERROR((VLOOKUP($B64,'Из ГУГЛа'!$B:$Z,U$1,0)+W64)*V64,VLOOKUP($B64,'Из ГУГЛа'!$B:$Z,U$1,0))</f>
        <v/>
      </c>
      <c r="V64" s="10">
        <v>1</v>
      </c>
      <c r="W64" s="10"/>
      <c r="Z64" s="33" t="str">
        <f>IFERROR((VLOOKUP($B64,'Из ГУГЛа'!$B:$Z,Z$1,0)+AB64)*AA64,VLOOKUP($B64,'Из ГУГЛа'!$B:$Z,Z$1,0))</f>
        <v/>
      </c>
      <c r="AA64" s="10">
        <v>1</v>
      </c>
      <c r="AB64" s="10"/>
    </row>
    <row r="65" spans="1:28" ht="45" x14ac:dyDescent="0.25">
      <c r="A65" s="17" t="str">
        <f>INDEX('Выгр Торг'!$A:$A,MATCH($B65,'Выгр Торг'!$B:$B,0))</f>
        <v>Спойлер "Авторитет" для ВАЗ 2105, 2107</v>
      </c>
      <c r="B65" s="14">
        <v>214898</v>
      </c>
      <c r="C65" s="14">
        <f>VLOOKUP($B65,'Выгр Торг'!$B:$Q,C$1,0)</f>
        <v>87340</v>
      </c>
      <c r="D65" s="17" t="str">
        <f>VLOOKUP($B65,'Выгр Торг'!$B:$Q,D$1,0)</f>
        <v>Спойлер "Авторитет" для ВАЗ 2105, 2107 (В цвет, Петергоф (серо-зеленоватый, 404))</v>
      </c>
      <c r="E65" s="14" t="str">
        <f>VLOOKUP($B65,'Выгр Торг'!$B:$Q,E$1,0)</f>
        <v>N</v>
      </c>
      <c r="F65" s="14" t="str">
        <f>VLOOKUP($B65,'Выгр Торг'!$B:$Q,F$1,0)</f>
        <v>0</v>
      </c>
      <c r="G65" s="28" t="s">
        <v>25</v>
      </c>
      <c r="H65" s="60">
        <v>2800</v>
      </c>
      <c r="I65" s="15">
        <f>VLOOKUP(H65,Наценка!$A$1:$B$8,2,1)</f>
        <v>1.4</v>
      </c>
      <c r="J65" s="36">
        <f t="shared" si="5"/>
        <v>3919.9999999999995</v>
      </c>
      <c r="K65" s="27">
        <f t="shared" si="0"/>
        <v>3990</v>
      </c>
      <c r="L65" s="14">
        <f>VLOOKUP($B65,'Выгр Торг'!$B:$Q,L$1,0)</f>
        <v>2800</v>
      </c>
      <c r="M65" s="14">
        <f>VLOOKUP($B65,'Выгр Торг'!$B:$Q,M$1,0)</f>
        <v>3990</v>
      </c>
      <c r="N65" s="24">
        <f t="shared" si="1"/>
        <v>0</v>
      </c>
      <c r="O65" s="24">
        <f t="shared" si="2"/>
        <v>0</v>
      </c>
      <c r="P65" s="25">
        <f t="shared" si="3"/>
        <v>3990</v>
      </c>
      <c r="Q65" s="7">
        <f>IFERROR(P65/H65-1,"")</f>
        <v>0.42500000000000004</v>
      </c>
      <c r="R65" s="7" t="str">
        <f>IFERROR((T65-P65)/T65,"")</f>
        <v/>
      </c>
      <c r="S65" s="7" t="str">
        <f>IFERROR(IF(T65="","",T65/H65-1),"")</f>
        <v/>
      </c>
      <c r="T65" s="8"/>
      <c r="U65" s="33" t="str">
        <f>IFERROR((VLOOKUP($B65,'Из ГУГЛа'!$B:$Z,U$1,0)+W65)*V65,VLOOKUP($B65,'Из ГУГЛа'!$B:$Z,U$1,0))</f>
        <v/>
      </c>
      <c r="V65" s="10">
        <v>1</v>
      </c>
      <c r="W65" s="10"/>
      <c r="Z65" s="33" t="str">
        <f>IFERROR((VLOOKUP($B65,'Из ГУГЛа'!$B:$Z,Z$1,0)+AB65)*AA65,VLOOKUP($B65,'Из ГУГЛа'!$B:$Z,Z$1,0))</f>
        <v/>
      </c>
      <c r="AA65" s="10">
        <v>1</v>
      </c>
      <c r="AB65" s="10"/>
    </row>
    <row r="66" spans="1:28" ht="45" x14ac:dyDescent="0.25">
      <c r="A66" s="17" t="str">
        <f>INDEX('Выгр Торг'!$A:$A,MATCH($B66,'Выгр Торг'!$B:$B,0))</f>
        <v>Спойлер "Авторитет" для ВАЗ 2105, 2107</v>
      </c>
      <c r="B66" s="14">
        <v>214899</v>
      </c>
      <c r="C66" s="14">
        <f>VLOOKUP($B66,'Выгр Торг'!$B:$Q,C$1,0)</f>
        <v>87341</v>
      </c>
      <c r="D66" s="17" t="str">
        <f>VLOOKUP($B66,'Выгр Торг'!$B:$Q,D$1,0)</f>
        <v>Спойлер "Авторитет" для ВАЗ 2105, 2107 (В цвет, Портвейн (темно-вишневый металлик, 192))</v>
      </c>
      <c r="E66" s="14" t="str">
        <f>VLOOKUP($B66,'Выгр Торг'!$B:$Q,E$1,0)</f>
        <v>N</v>
      </c>
      <c r="F66" s="14" t="str">
        <f>VLOOKUP($B66,'Выгр Торг'!$B:$Q,F$1,0)</f>
        <v>0</v>
      </c>
      <c r="G66" s="28" t="s">
        <v>25</v>
      </c>
      <c r="H66" s="60">
        <v>2800</v>
      </c>
      <c r="I66" s="15">
        <f>VLOOKUP(H66,Наценка!$A$1:$B$8,2,1)</f>
        <v>1.4</v>
      </c>
      <c r="J66" s="36">
        <f t="shared" si="5"/>
        <v>3919.9999999999995</v>
      </c>
      <c r="K66" s="27">
        <f t="shared" si="0"/>
        <v>3990</v>
      </c>
      <c r="L66" s="14">
        <f>VLOOKUP($B66,'Выгр Торг'!$B:$Q,L$1,0)</f>
        <v>2800</v>
      </c>
      <c r="M66" s="14">
        <f>VLOOKUP($B66,'Выгр Торг'!$B:$Q,M$1,0)</f>
        <v>3990</v>
      </c>
      <c r="N66" s="24">
        <f t="shared" si="1"/>
        <v>0</v>
      </c>
      <c r="O66" s="24">
        <f t="shared" si="2"/>
        <v>0</v>
      </c>
      <c r="P66" s="25">
        <f t="shared" si="3"/>
        <v>3990</v>
      </c>
      <c r="Q66" s="7">
        <f>IFERROR(P66/H66-1,"")</f>
        <v>0.42500000000000004</v>
      </c>
      <c r="R66" s="7" t="str">
        <f>IFERROR((T66-P66)/T66,"")</f>
        <v/>
      </c>
      <c r="S66" s="7" t="str">
        <f>IFERROR(IF(T66="","",T66/H66-1),"")</f>
        <v/>
      </c>
      <c r="T66" s="8"/>
      <c r="U66" s="33" t="str">
        <f>IFERROR((VLOOKUP($B66,'Из ГУГЛа'!$B:$Z,U$1,0)+W66)*V66,VLOOKUP($B66,'Из ГУГЛа'!$B:$Z,U$1,0))</f>
        <v/>
      </c>
      <c r="V66" s="10">
        <v>1</v>
      </c>
      <c r="W66" s="10"/>
      <c r="Z66" s="33" t="str">
        <f>IFERROR((VLOOKUP($B66,'Из ГУГЛа'!$B:$Z,Z$1,0)+AB66)*AA66,VLOOKUP($B66,'Из ГУГЛа'!$B:$Z,Z$1,0))</f>
        <v/>
      </c>
      <c r="AA66" s="10">
        <v>1</v>
      </c>
      <c r="AB66" s="10"/>
    </row>
    <row r="67" spans="1:28" ht="45" x14ac:dyDescent="0.25">
      <c r="A67" s="17" t="str">
        <f>INDEX('Выгр Торг'!$A:$A,MATCH($B67,'Выгр Торг'!$B:$B,0))</f>
        <v>Спойлер "Авторитет" для ВАЗ 2105, 2107</v>
      </c>
      <c r="B67" s="14">
        <v>214900</v>
      </c>
      <c r="C67" s="14">
        <f>VLOOKUP($B67,'Выгр Торг'!$B:$Q,C$1,0)</f>
        <v>87342</v>
      </c>
      <c r="D67" s="17" t="str">
        <f>VLOOKUP($B67,'Выгр Торг'!$B:$Q,D$1,0)</f>
        <v>Спойлер "Авторитет" для ВАЗ 2105, 2107 (В цвет, Престиж (серебристо-темно-синий, 605))</v>
      </c>
      <c r="E67" s="14" t="str">
        <f>VLOOKUP($B67,'Выгр Торг'!$B:$Q,E$1,0)</f>
        <v>N</v>
      </c>
      <c r="F67" s="14" t="str">
        <f>VLOOKUP($B67,'Выгр Торг'!$B:$Q,F$1,0)</f>
        <v>0</v>
      </c>
      <c r="G67" s="28" t="s">
        <v>25</v>
      </c>
      <c r="H67" s="60">
        <v>2800</v>
      </c>
      <c r="I67" s="15">
        <f>VLOOKUP(H67,Наценка!$A$1:$B$8,2,1)</f>
        <v>1.4</v>
      </c>
      <c r="J67" s="36">
        <f t="shared" si="5"/>
        <v>3919.9999999999995</v>
      </c>
      <c r="K67" s="27">
        <f t="shared" si="0"/>
        <v>3990</v>
      </c>
      <c r="L67" s="14">
        <f>VLOOKUP($B67,'Выгр Торг'!$B:$Q,L$1,0)</f>
        <v>2800</v>
      </c>
      <c r="M67" s="14">
        <f>VLOOKUP($B67,'Выгр Торг'!$B:$Q,M$1,0)</f>
        <v>3990</v>
      </c>
      <c r="N67" s="24">
        <f t="shared" si="1"/>
        <v>0</v>
      </c>
      <c r="O67" s="24">
        <f t="shared" si="2"/>
        <v>0</v>
      </c>
      <c r="P67" s="25">
        <f t="shared" si="3"/>
        <v>3990</v>
      </c>
      <c r="Q67" s="7">
        <f>IFERROR(P67/H67-1,"")</f>
        <v>0.42500000000000004</v>
      </c>
      <c r="R67" s="7" t="str">
        <f>IFERROR((T67-P67)/T67,"")</f>
        <v/>
      </c>
      <c r="S67" s="7" t="str">
        <f>IFERROR(IF(T67="","",T67/H67-1),"")</f>
        <v/>
      </c>
      <c r="T67" s="8"/>
      <c r="U67" s="33" t="str">
        <f>IFERROR((VLOOKUP($B67,'Из ГУГЛа'!$B:$Z,U$1,0)+W67)*V67,VLOOKUP($B67,'Из ГУГЛа'!$B:$Z,U$1,0))</f>
        <v/>
      </c>
      <c r="V67" s="10">
        <v>1</v>
      </c>
      <c r="W67" s="10"/>
      <c r="Z67" s="33" t="str">
        <f>IFERROR((VLOOKUP($B67,'Из ГУГЛа'!$B:$Z,Z$1,0)+AB67)*AA67,VLOOKUP($B67,'Из ГУГЛа'!$B:$Z,Z$1,0))</f>
        <v/>
      </c>
      <c r="AA67" s="10">
        <v>1</v>
      </c>
      <c r="AB67" s="10"/>
    </row>
    <row r="68" spans="1:28" ht="45" x14ac:dyDescent="0.25">
      <c r="A68" s="17" t="str">
        <f>INDEX('Выгр Торг'!$A:$A,MATCH($B68,'Выгр Торг'!$B:$B,0))</f>
        <v>Спойлер "Авторитет" для ВАЗ 2105, 2107</v>
      </c>
      <c r="B68" s="14">
        <v>214901</v>
      </c>
      <c r="C68" s="14">
        <f>VLOOKUP($B68,'Выгр Торг'!$B:$Q,C$1,0)</f>
        <v>87343</v>
      </c>
      <c r="D68" s="17" t="str">
        <f>VLOOKUP($B68,'Выгр Торг'!$B:$Q,D$1,0)</f>
        <v>Спойлер "Авторитет" для ВАЗ 2105, 2107 (В цвет, Романс (темно-красный, 182))</v>
      </c>
      <c r="E68" s="14" t="str">
        <f>VLOOKUP($B68,'Выгр Торг'!$B:$Q,E$1,0)</f>
        <v>N</v>
      </c>
      <c r="F68" s="14" t="str">
        <f>VLOOKUP($B68,'Выгр Торг'!$B:$Q,F$1,0)</f>
        <v>0</v>
      </c>
      <c r="G68" s="28" t="s">
        <v>25</v>
      </c>
      <c r="H68" s="60">
        <v>2800</v>
      </c>
      <c r="I68" s="15">
        <f>VLOOKUP(H68,Наценка!$A$1:$B$8,2,1)</f>
        <v>1.4</v>
      </c>
      <c r="J68" s="36">
        <f t="shared" ref="J68:J74" si="6">H68*I68</f>
        <v>3919.9999999999995</v>
      </c>
      <c r="K68" s="27">
        <f t="shared" ref="K68:K106" si="7">IF(J68&lt;=1000,(ROUNDUP(J68,-1)-1),(ROUNDUP(J68,-2)-10))</f>
        <v>3990</v>
      </c>
      <c r="L68" s="14">
        <f>VLOOKUP($B68,'Выгр Торг'!$B:$Q,L$1,0)</f>
        <v>2800</v>
      </c>
      <c r="M68" s="14">
        <f>VLOOKUP($B68,'Выгр Торг'!$B:$Q,M$1,0)</f>
        <v>3990</v>
      </c>
      <c r="N68" s="24">
        <f t="shared" ref="N68:N106" si="8">L68-H68</f>
        <v>0</v>
      </c>
      <c r="O68" s="24">
        <f t="shared" ref="O68:O106" si="9">M68-K68</f>
        <v>0</v>
      </c>
      <c r="P68" s="25">
        <f t="shared" ref="P68:P106" si="10">IFERROR(K68*(1-$P$2),"")</f>
        <v>3990</v>
      </c>
      <c r="Q68" s="7">
        <f>IFERROR(P68/H68-1,"")</f>
        <v>0.42500000000000004</v>
      </c>
      <c r="R68" s="7" t="str">
        <f>IFERROR((T68-P68)/T68,"")</f>
        <v/>
      </c>
      <c r="S68" s="7" t="str">
        <f>IFERROR(IF(T68="","",T68/H68-1),"")</f>
        <v/>
      </c>
      <c r="T68" s="8"/>
      <c r="U68" s="33" t="str">
        <f>IFERROR((VLOOKUP($B68,'Из ГУГЛа'!$B:$Z,U$1,0)+W68)*V68,VLOOKUP($B68,'Из ГУГЛа'!$B:$Z,U$1,0))</f>
        <v/>
      </c>
      <c r="V68" s="10">
        <v>1</v>
      </c>
      <c r="W68" s="10"/>
      <c r="Z68" s="33" t="str">
        <f>IFERROR((VLOOKUP($B68,'Из ГУГЛа'!$B:$Z,Z$1,0)+AB68)*AA68,VLOOKUP($B68,'Из ГУГЛа'!$B:$Z,Z$1,0))</f>
        <v/>
      </c>
      <c r="AA68" s="10">
        <v>1</v>
      </c>
      <c r="AB68" s="10"/>
    </row>
    <row r="69" spans="1:28" ht="45" x14ac:dyDescent="0.25">
      <c r="A69" s="17" t="str">
        <f>INDEX('Выгр Торг'!$A:$A,MATCH($B69,'Выгр Торг'!$B:$B,0))</f>
        <v>Спойлер "Авторитет" для ВАЗ 2105, 2107</v>
      </c>
      <c r="B69" s="14">
        <v>214902</v>
      </c>
      <c r="C69" s="14">
        <f>VLOOKUP($B69,'Выгр Торг'!$B:$Q,C$1,0)</f>
        <v>87344</v>
      </c>
      <c r="D69" s="17" t="str">
        <f>VLOOKUP($B69,'Выгр Торг'!$B:$Q,D$1,0)</f>
        <v>Спойлер "Авторитет" для ВАЗ 2105, 2107 (В цвет, Сафари (светло-бежевый, 215))</v>
      </c>
      <c r="E69" s="14" t="str">
        <f>VLOOKUP($B69,'Выгр Торг'!$B:$Q,E$1,0)</f>
        <v>N</v>
      </c>
      <c r="F69" s="14" t="str">
        <f>VLOOKUP($B69,'Выгр Торг'!$B:$Q,F$1,0)</f>
        <v>0</v>
      </c>
      <c r="G69" s="28" t="s">
        <v>25</v>
      </c>
      <c r="H69" s="60">
        <v>2800</v>
      </c>
      <c r="I69" s="15">
        <f>VLOOKUP(H69,Наценка!$A$1:$B$8,2,1)</f>
        <v>1.4</v>
      </c>
      <c r="J69" s="36">
        <f t="shared" si="6"/>
        <v>3919.9999999999995</v>
      </c>
      <c r="K69" s="27">
        <f t="shared" si="7"/>
        <v>3990</v>
      </c>
      <c r="L69" s="14">
        <f>VLOOKUP($B69,'Выгр Торг'!$B:$Q,L$1,0)</f>
        <v>2800</v>
      </c>
      <c r="M69" s="14">
        <f>VLOOKUP($B69,'Выгр Торг'!$B:$Q,M$1,0)</f>
        <v>3990</v>
      </c>
      <c r="N69" s="24">
        <f t="shared" si="8"/>
        <v>0</v>
      </c>
      <c r="O69" s="24">
        <f t="shared" si="9"/>
        <v>0</v>
      </c>
      <c r="P69" s="25">
        <f t="shared" si="10"/>
        <v>3990</v>
      </c>
      <c r="Q69" s="7">
        <f>IFERROR(P69/H69-1,"")</f>
        <v>0.42500000000000004</v>
      </c>
      <c r="R69" s="7" t="str">
        <f>IFERROR((T69-P69)/T69,"")</f>
        <v/>
      </c>
      <c r="S69" s="7" t="str">
        <f>IFERROR(IF(T69="","",T69/H69-1),"")</f>
        <v/>
      </c>
      <c r="T69" s="8"/>
      <c r="U69" s="33" t="str">
        <f>IFERROR((VLOOKUP($B69,'Из ГУГЛа'!$B:$Z,U$1,0)+W69)*V69,VLOOKUP($B69,'Из ГУГЛа'!$B:$Z,U$1,0))</f>
        <v/>
      </c>
      <c r="V69" s="10">
        <v>1</v>
      </c>
      <c r="W69" s="10"/>
      <c r="Z69" s="33" t="str">
        <f>IFERROR((VLOOKUP($B69,'Из ГУГЛа'!$B:$Z,Z$1,0)+AB69)*AA69,VLOOKUP($B69,'Из ГУГЛа'!$B:$Z,Z$1,0))</f>
        <v/>
      </c>
      <c r="AA69" s="10">
        <v>1</v>
      </c>
      <c r="AB69" s="10"/>
    </row>
    <row r="70" spans="1:28" ht="45" x14ac:dyDescent="0.25">
      <c r="A70" s="17" t="str">
        <f>INDEX('Выгр Торг'!$A:$A,MATCH($B70,'Выгр Торг'!$B:$B,0))</f>
        <v>Спойлер "Авторитет" для ВАЗ 2105, 2107</v>
      </c>
      <c r="B70" s="14">
        <v>214903</v>
      </c>
      <c r="C70" s="14">
        <f>VLOOKUP($B70,'Выгр Торг'!$B:$Q,C$1,0)</f>
        <v>87345</v>
      </c>
      <c r="D70" s="17" t="str">
        <f>VLOOKUP($B70,'Выгр Торг'!$B:$Q,D$1,0)</f>
        <v>Спойлер "Авторитет" для ВАЗ 2105, 2107 (В цвет, Снежная королева (серебристый, 690))</v>
      </c>
      <c r="E70" s="14" t="str">
        <f>VLOOKUP($B70,'Выгр Торг'!$B:$Q,E$1,0)</f>
        <v>N</v>
      </c>
      <c r="F70" s="14" t="str">
        <f>VLOOKUP($B70,'Выгр Торг'!$B:$Q,F$1,0)</f>
        <v>0</v>
      </c>
      <c r="G70" s="28" t="s">
        <v>25</v>
      </c>
      <c r="H70" s="60">
        <v>2800</v>
      </c>
      <c r="I70" s="15">
        <f>VLOOKUP(H70,Наценка!$A$1:$B$8,2,1)</f>
        <v>1.4</v>
      </c>
      <c r="J70" s="36">
        <f t="shared" si="6"/>
        <v>3919.9999999999995</v>
      </c>
      <c r="K70" s="27">
        <f t="shared" si="7"/>
        <v>3990</v>
      </c>
      <c r="L70" s="14">
        <f>VLOOKUP($B70,'Выгр Торг'!$B:$Q,L$1,0)</f>
        <v>2800</v>
      </c>
      <c r="M70" s="14">
        <f>VLOOKUP($B70,'Выгр Торг'!$B:$Q,M$1,0)</f>
        <v>3990</v>
      </c>
      <c r="N70" s="24">
        <f t="shared" si="8"/>
        <v>0</v>
      </c>
      <c r="O70" s="24">
        <f t="shared" si="9"/>
        <v>0</v>
      </c>
      <c r="P70" s="25">
        <f t="shared" si="10"/>
        <v>3990</v>
      </c>
      <c r="Q70" s="7">
        <f>IFERROR(P70/H70-1,"")</f>
        <v>0.42500000000000004</v>
      </c>
      <c r="R70" s="7" t="str">
        <f>IFERROR((T70-P70)/T70,"")</f>
        <v/>
      </c>
      <c r="S70" s="7" t="str">
        <f>IFERROR(IF(T70="","",T70/H70-1),"")</f>
        <v/>
      </c>
      <c r="T70" s="8"/>
      <c r="U70" s="33" t="str">
        <f>IFERROR((VLOOKUP($B70,'Из ГУГЛа'!$B:$Z,U$1,0)+W70)*V70,VLOOKUP($B70,'Из ГУГЛа'!$B:$Z,U$1,0))</f>
        <v/>
      </c>
      <c r="V70" s="10">
        <v>1</v>
      </c>
      <c r="W70" s="10"/>
      <c r="Z70" s="33" t="str">
        <f>IFERROR((VLOOKUP($B70,'Из ГУГЛа'!$B:$Z,Z$1,0)+AB70)*AA70,VLOOKUP($B70,'Из ГУГЛа'!$B:$Z,Z$1,0))</f>
        <v/>
      </c>
      <c r="AA70" s="10">
        <v>1</v>
      </c>
      <c r="AB70" s="10"/>
    </row>
    <row r="71" spans="1:28" ht="45" x14ac:dyDescent="0.25">
      <c r="A71" s="17" t="str">
        <f>INDEX('Выгр Торг'!$A:$A,MATCH($B71,'Выгр Торг'!$B:$B,0))</f>
        <v>Спойлер "Авторитет" для ВАЗ 2105, 2107</v>
      </c>
      <c r="B71" s="14">
        <v>214904</v>
      </c>
      <c r="C71" s="14">
        <f>VLOOKUP($B71,'Выгр Торг'!$B:$Q,C$1,0)</f>
        <v>87346</v>
      </c>
      <c r="D71" s="17" t="str">
        <f>VLOOKUP($B71,'Выгр Торг'!$B:$Q,D$1,0)</f>
        <v>Спойлер "Авторитет" для ВАЗ 2105, 2107 (В цвет, Сочи (серебристо-серо-зеленоватый, 360))</v>
      </c>
      <c r="E71" s="14" t="str">
        <f>VLOOKUP($B71,'Выгр Торг'!$B:$Q,E$1,0)</f>
        <v>N</v>
      </c>
      <c r="F71" s="14" t="str">
        <f>VLOOKUP($B71,'Выгр Торг'!$B:$Q,F$1,0)</f>
        <v>0</v>
      </c>
      <c r="G71" s="28" t="s">
        <v>25</v>
      </c>
      <c r="H71" s="60">
        <v>2800</v>
      </c>
      <c r="I71" s="15">
        <f>VLOOKUP(H71,Наценка!$A$1:$B$8,2,1)</f>
        <v>1.4</v>
      </c>
      <c r="J71" s="36">
        <f t="shared" si="6"/>
        <v>3919.9999999999995</v>
      </c>
      <c r="K71" s="27">
        <f t="shared" si="7"/>
        <v>3990</v>
      </c>
      <c r="L71" s="14">
        <f>VLOOKUP($B71,'Выгр Торг'!$B:$Q,L$1,0)</f>
        <v>2800</v>
      </c>
      <c r="M71" s="14">
        <f>VLOOKUP($B71,'Выгр Торг'!$B:$Q,M$1,0)</f>
        <v>3990</v>
      </c>
      <c r="N71" s="24">
        <f t="shared" si="8"/>
        <v>0</v>
      </c>
      <c r="O71" s="24">
        <f t="shared" si="9"/>
        <v>0</v>
      </c>
      <c r="P71" s="25">
        <f t="shared" si="10"/>
        <v>3990</v>
      </c>
      <c r="Q71" s="7">
        <f>IFERROR(P71/H71-1,"")</f>
        <v>0.42500000000000004</v>
      </c>
      <c r="R71" s="7" t="str">
        <f>IFERROR((T71-P71)/T71,"")</f>
        <v/>
      </c>
      <c r="S71" s="7" t="str">
        <f>IFERROR(IF(T71="","",T71/H71-1),"")</f>
        <v/>
      </c>
      <c r="T71" s="8"/>
      <c r="U71" s="33" t="str">
        <f>IFERROR((VLOOKUP($B71,'Из ГУГЛа'!$B:$Z,U$1,0)+W71)*V71,VLOOKUP($B71,'Из ГУГЛа'!$B:$Z,U$1,0))</f>
        <v/>
      </c>
      <c r="V71" s="10">
        <v>1</v>
      </c>
      <c r="W71" s="10"/>
      <c r="Z71" s="33" t="str">
        <f>IFERROR((VLOOKUP($B71,'Из ГУГЛа'!$B:$Z,Z$1,0)+AB71)*AA71,VLOOKUP($B71,'Из ГУГЛа'!$B:$Z,Z$1,0))</f>
        <v/>
      </c>
      <c r="AA71" s="10">
        <v>1</v>
      </c>
      <c r="AB71" s="10"/>
    </row>
    <row r="72" spans="1:28" ht="45" x14ac:dyDescent="0.25">
      <c r="A72" s="17" t="str">
        <f>INDEX('Выгр Торг'!$A:$A,MATCH($B72,'Выгр Торг'!$B:$B,0))</f>
        <v>Спойлер "Авторитет" для ВАЗ 2105, 2107</v>
      </c>
      <c r="B72" s="14">
        <v>214905</v>
      </c>
      <c r="C72" s="14">
        <f>VLOOKUP($B72,'Выгр Торг'!$B:$Q,C$1,0)</f>
        <v>87347</v>
      </c>
      <c r="D72" s="17" t="str">
        <f>VLOOKUP($B72,'Выгр Торг'!$B:$Q,D$1,0)</f>
        <v>Спойлер "Авторитет" для ВАЗ 2105, 2107 (В цвет, Чайная роза (светло-желтый, 228))</v>
      </c>
      <c r="E72" s="14" t="str">
        <f>VLOOKUP($B72,'Выгр Торг'!$B:$Q,E$1,0)</f>
        <v>N</v>
      </c>
      <c r="F72" s="14" t="str">
        <f>VLOOKUP($B72,'Выгр Торг'!$B:$Q,F$1,0)</f>
        <v>0</v>
      </c>
      <c r="G72" s="28" t="s">
        <v>25</v>
      </c>
      <c r="H72" s="60">
        <v>2800</v>
      </c>
      <c r="I72" s="15">
        <f>VLOOKUP(H72,Наценка!$A$1:$B$8,2,1)</f>
        <v>1.4</v>
      </c>
      <c r="J72" s="36">
        <f t="shared" si="6"/>
        <v>3919.9999999999995</v>
      </c>
      <c r="K72" s="27">
        <f t="shared" si="7"/>
        <v>3990</v>
      </c>
      <c r="L72" s="14">
        <f>VLOOKUP($B72,'Выгр Торг'!$B:$Q,L$1,0)</f>
        <v>2800</v>
      </c>
      <c r="M72" s="14">
        <f>VLOOKUP($B72,'Выгр Торг'!$B:$Q,M$1,0)</f>
        <v>3990</v>
      </c>
      <c r="N72" s="24">
        <f t="shared" si="8"/>
        <v>0</v>
      </c>
      <c r="O72" s="24">
        <f t="shared" si="9"/>
        <v>0</v>
      </c>
      <c r="P72" s="25">
        <f t="shared" si="10"/>
        <v>3990</v>
      </c>
      <c r="Q72" s="7">
        <f>IFERROR(P72/H72-1,"")</f>
        <v>0.42500000000000004</v>
      </c>
      <c r="R72" s="7" t="str">
        <f>IFERROR((T72-P72)/T72,"")</f>
        <v/>
      </c>
      <c r="S72" s="7" t="str">
        <f>IFERROR(IF(T72="","",T72/H72-1),"")</f>
        <v/>
      </c>
      <c r="T72" s="8"/>
      <c r="U72" s="33" t="str">
        <f>IFERROR((VLOOKUP($B72,'Из ГУГЛа'!$B:$Z,U$1,0)+W72)*V72,VLOOKUP($B72,'Из ГУГЛа'!$B:$Z,U$1,0))</f>
        <v/>
      </c>
      <c r="V72" s="10">
        <v>1</v>
      </c>
      <c r="W72" s="10"/>
      <c r="Z72" s="33" t="str">
        <f>IFERROR((VLOOKUP($B72,'Из ГУГЛа'!$B:$Z,Z$1,0)+AB72)*AA72,VLOOKUP($B72,'Из ГУГЛа'!$B:$Z,Z$1,0))</f>
        <v/>
      </c>
      <c r="AA72" s="10">
        <v>1</v>
      </c>
      <c r="AB72" s="10"/>
    </row>
    <row r="73" spans="1:28" x14ac:dyDescent="0.25">
      <c r="A73" s="17" t="str">
        <f>INDEX('Выгр Торг'!$A:$A,MATCH($B73,'Выгр Торг'!$B:$B,0))</f>
        <v>Спойлер для ВАЗ 2106</v>
      </c>
      <c r="B73" s="14">
        <v>216145</v>
      </c>
      <c r="C73" s="14">
        <f>VLOOKUP($B73,'Выгр Торг'!$B:$Q,C$1,0)</f>
        <v>77308</v>
      </c>
      <c r="D73" s="17" t="str">
        <f>VLOOKUP($B73,'Выгр Торг'!$B:$Q,D$1,0)</f>
        <v>Спойлер для ВАЗ 2106 (Чёрный)</v>
      </c>
      <c r="E73" s="14" t="str">
        <f>VLOOKUP($B73,'Выгр Торг'!$B:$Q,E$1,0)</f>
        <v>Y</v>
      </c>
      <c r="F73" s="14" t="str">
        <f>VLOOKUP($B73,'Выгр Торг'!$B:$Q,F$1,0)</f>
        <v>0</v>
      </c>
      <c r="G73" s="28" t="s">
        <v>25</v>
      </c>
      <c r="H73" s="60">
        <v>600</v>
      </c>
      <c r="I73" s="15">
        <f>VLOOKUP(H73,Наценка!$A$1:$B$8,2,1)</f>
        <v>1.55</v>
      </c>
      <c r="J73" s="36">
        <f t="shared" si="6"/>
        <v>930</v>
      </c>
      <c r="K73" s="27">
        <f t="shared" si="7"/>
        <v>929</v>
      </c>
      <c r="L73" s="14">
        <f>VLOOKUP($B73,'Выгр Торг'!$B:$Q,L$1,0)</f>
        <v>600</v>
      </c>
      <c r="M73" s="14">
        <f>VLOOKUP($B73,'Выгр Торг'!$B:$Q,M$1,0)</f>
        <v>949</v>
      </c>
      <c r="N73" s="24">
        <f t="shared" si="8"/>
        <v>0</v>
      </c>
      <c r="O73" s="24">
        <f t="shared" si="9"/>
        <v>20</v>
      </c>
      <c r="P73" s="25">
        <f t="shared" si="10"/>
        <v>929</v>
      </c>
      <c r="Q73" s="7">
        <f>IFERROR(P73/H73-1,"")</f>
        <v>0.54833333333333334</v>
      </c>
      <c r="R73" s="7" t="str">
        <f>IFERROR((T73-P73)/T73,"")</f>
        <v/>
      </c>
      <c r="S73" s="7" t="str">
        <f>IFERROR(IF(T73="","",T73/H73-1),"")</f>
        <v/>
      </c>
      <c r="T73" s="8"/>
      <c r="U73" s="33" t="str">
        <f>IFERROR((VLOOKUP($B73,'Из ГУГЛа'!$B:$Z,U$1,0)+W73)*V73,VLOOKUP($B73,'Из ГУГЛа'!$B:$Z,U$1,0))</f>
        <v/>
      </c>
      <c r="V73" s="10">
        <v>1</v>
      </c>
      <c r="W73" s="10"/>
      <c r="Z73" s="33" t="str">
        <f>IFERROR((VLOOKUP($B73,'Из ГУГЛа'!$B:$Z,Z$1,0)+AB73)*AA73,VLOOKUP($B73,'Из ГУГЛа'!$B:$Z,Z$1,0))</f>
        <v/>
      </c>
      <c r="AA73" s="10">
        <v>1</v>
      </c>
      <c r="AB73" s="10"/>
    </row>
    <row r="74" spans="1:28" x14ac:dyDescent="0.25">
      <c r="A74" s="17" t="str">
        <f>INDEX('Выгр Торг'!$A:$A,MATCH($B74,'Выгр Торг'!$B:$B,0))</f>
        <v>Спойлер для ВАЗ 2106</v>
      </c>
      <c r="B74" s="14">
        <v>216146</v>
      </c>
      <c r="C74" s="14">
        <f>VLOOKUP($B74,'Выгр Торг'!$B:$Q,C$1,0)</f>
        <v>77309</v>
      </c>
      <c r="D74" s="17" t="str">
        <f>VLOOKUP($B74,'Выгр Торг'!$B:$Q,D$1,0)</f>
        <v>Спойлер для ВАЗ 2106 (Шагрень)</v>
      </c>
      <c r="E74" s="14" t="str">
        <f>VLOOKUP($B74,'Выгр Торг'!$B:$Q,E$1,0)</f>
        <v>Y</v>
      </c>
      <c r="F74" s="14" t="str">
        <f>VLOOKUP($B74,'Выгр Торг'!$B:$Q,F$1,0)</f>
        <v>0</v>
      </c>
      <c r="G74" s="28" t="s">
        <v>25</v>
      </c>
      <c r="H74" s="60">
        <v>600</v>
      </c>
      <c r="I74" s="15">
        <f>VLOOKUP(H74,Наценка!$A$1:$B$8,2,1)</f>
        <v>1.55</v>
      </c>
      <c r="J74" s="36">
        <f t="shared" si="6"/>
        <v>930</v>
      </c>
      <c r="K74" s="27">
        <f t="shared" si="7"/>
        <v>929</v>
      </c>
      <c r="L74" s="14">
        <f>VLOOKUP($B74,'Выгр Торг'!$B:$Q,L$1,0)</f>
        <v>600</v>
      </c>
      <c r="M74" s="14">
        <f>VLOOKUP($B74,'Выгр Торг'!$B:$Q,M$1,0)</f>
        <v>949</v>
      </c>
      <c r="N74" s="24">
        <f t="shared" si="8"/>
        <v>0</v>
      </c>
      <c r="O74" s="24">
        <f t="shared" si="9"/>
        <v>20</v>
      </c>
      <c r="P74" s="25">
        <f t="shared" si="10"/>
        <v>929</v>
      </c>
      <c r="Q74" s="7">
        <f>IFERROR(P74/H74-1,"")</f>
        <v>0.54833333333333334</v>
      </c>
      <c r="R74" s="7" t="str">
        <f>IFERROR((T74-P74)/T74,"")</f>
        <v/>
      </c>
      <c r="S74" s="7" t="str">
        <f>IFERROR(IF(T74="","",T74/H74-1),"")</f>
        <v/>
      </c>
      <c r="T74" s="8"/>
      <c r="U74" s="33" t="str">
        <f>IFERROR((VLOOKUP($B74,'Из ГУГЛа'!$B:$Z,U$1,0)+W74)*V74,VLOOKUP($B74,'Из ГУГЛа'!$B:$Z,U$1,0))</f>
        <v/>
      </c>
      <c r="V74" s="10">
        <v>1</v>
      </c>
      <c r="W74" s="10"/>
      <c r="Z74" s="33" t="str">
        <f>IFERROR((VLOOKUP($B74,'Из ГУГЛа'!$B:$Z,Z$1,0)+AB74)*AA74,VLOOKUP($B74,'Из ГУГЛа'!$B:$Z,Z$1,0))</f>
        <v/>
      </c>
      <c r="AA74" s="10">
        <v>1</v>
      </c>
      <c r="AB74" s="10"/>
    </row>
    <row r="75" spans="1:28" ht="30" x14ac:dyDescent="0.25">
      <c r="A75" s="17" t="str">
        <f>INDEX('Выгр Торг'!$A:$A,MATCH($B75,'Выгр Торг'!$B:$B,0))</f>
        <v>Спойлер утиный хвост "VFTS" для ВАЗ 2101, 2106</v>
      </c>
      <c r="B75" s="14">
        <v>216963</v>
      </c>
      <c r="C75" s="14">
        <f>VLOOKUP($B75,'Выгр Торг'!$B:$Q,C$1,0)</f>
        <v>66659</v>
      </c>
      <c r="D75" s="17" t="str">
        <f>VLOOKUP($B75,'Выгр Торг'!$B:$Q,D$1,0)</f>
        <v>Спойлер утиный хвост "VFTS" для ВАЗ 2101, 2106 (Без покраски)</v>
      </c>
      <c r="E75" s="14" t="str">
        <f>VLOOKUP($B75,'Выгр Торг'!$B:$Q,E$1,0)</f>
        <v>Y</v>
      </c>
      <c r="F75" s="14" t="str">
        <f>VLOOKUP($B75,'Выгр Торг'!$B:$Q,F$1,0)</f>
        <v>1ск2</v>
      </c>
      <c r="G75" s="28" t="s">
        <v>25</v>
      </c>
      <c r="H75" s="60">
        <v>600</v>
      </c>
      <c r="I75" s="15">
        <f>VLOOKUP(H75,Наценка!$A$1:$B$8,2,1)</f>
        <v>1.55</v>
      </c>
      <c r="J75" s="34">
        <v>999</v>
      </c>
      <c r="K75" s="27">
        <f t="shared" si="7"/>
        <v>999</v>
      </c>
      <c r="L75" s="14">
        <f>VLOOKUP($B75,'Выгр Торг'!$B:$Q,L$1,0)</f>
        <v>600</v>
      </c>
      <c r="M75" s="14">
        <f>VLOOKUP($B75,'Выгр Торг'!$B:$Q,M$1,0)</f>
        <v>1090</v>
      </c>
      <c r="N75" s="24">
        <f t="shared" si="8"/>
        <v>0</v>
      </c>
      <c r="O75" s="24">
        <f t="shared" si="9"/>
        <v>91</v>
      </c>
      <c r="P75" s="25">
        <f t="shared" si="10"/>
        <v>999</v>
      </c>
      <c r="Q75" s="7">
        <f>IFERROR(P75/H75-1,"")</f>
        <v>0.66500000000000004</v>
      </c>
      <c r="R75" s="7">
        <f>IFERROR((T75-P75)/T75,"")</f>
        <v>0.2255813953488372</v>
      </c>
      <c r="S75" s="7">
        <f>IFERROR(IF(T75="","",T75/H75-1),"")</f>
        <v>1.1499999999999999</v>
      </c>
      <c r="T75" s="30">
        <f t="shared" ref="T75:T106" si="11">X75</f>
        <v>1290</v>
      </c>
      <c r="U75" s="33">
        <f>IFERROR((VLOOKUP($B75,'Из ГУГЛа'!$B:$Z,U$1,0)+W75)*V75,VLOOKUP($B75,'Из ГУГЛа'!$B:$Z,U$1,0))</f>
        <v>1290</v>
      </c>
      <c r="V75" s="10">
        <v>1</v>
      </c>
      <c r="W75" s="10"/>
      <c r="X75">
        <v>1290</v>
      </c>
      <c r="Y75" t="s">
        <v>179</v>
      </c>
      <c r="Z75" s="33" t="str">
        <f>IFERROR((VLOOKUP($B75,'Из ГУГЛа'!$B:$Z,Z$1,0)+AB75)*AA75,VLOOKUP($B75,'Из ГУГЛа'!$B:$Z,Z$1,0))</f>
        <v/>
      </c>
      <c r="AA75" s="10">
        <v>1</v>
      </c>
      <c r="AB75" s="10"/>
    </row>
    <row r="76" spans="1:28" ht="45" x14ac:dyDescent="0.25">
      <c r="A76" s="17" t="str">
        <f>INDEX('Выгр Торг'!$A:$A,MATCH($B76,'Выгр Торг'!$B:$B,0))</f>
        <v>Спойлер утиный хвост "VFTS" для ВАЗ 2101, 2106</v>
      </c>
      <c r="B76" s="14">
        <v>216964</v>
      </c>
      <c r="C76" s="14">
        <f>VLOOKUP($B76,'Выгр Торг'!$B:$Q,C$1,0)</f>
        <v>66660</v>
      </c>
      <c r="D76" s="17" t="str">
        <f>VLOOKUP($B76,'Выгр Торг'!$B:$Q,D$1,0)</f>
        <v>Спойлер утиный хвост "VFTS" для ВАЗ 2101, 2106 (В цвет кузова, Уточнить у менеджера)</v>
      </c>
      <c r="E76" s="14" t="str">
        <f>VLOOKUP($B76,'Выгр Торг'!$B:$Q,E$1,0)</f>
        <v>N</v>
      </c>
      <c r="F76" s="14" t="str">
        <f>VLOOKUP($B76,'Выгр Торг'!$B:$Q,F$1,0)</f>
        <v>1</v>
      </c>
      <c r="G76" s="28" t="s">
        <v>25</v>
      </c>
      <c r="H76" s="60">
        <v>2500</v>
      </c>
      <c r="I76" s="15">
        <f>VLOOKUP(H76,Наценка!$A$1:$B$8,2,1)</f>
        <v>1.4</v>
      </c>
      <c r="J76" s="34">
        <f t="shared" ref="J76:J106" si="12">T76</f>
        <v>3490</v>
      </c>
      <c r="K76" s="27">
        <f t="shared" si="7"/>
        <v>3490</v>
      </c>
      <c r="L76" s="14">
        <f>VLOOKUP($B76,'Выгр Торг'!$B:$Q,L$1,0)</f>
        <v>2500</v>
      </c>
      <c r="M76" s="14">
        <f>VLOOKUP($B76,'Выгр Торг'!$B:$Q,M$1,0)</f>
        <v>3690</v>
      </c>
      <c r="N76" s="24">
        <f t="shared" si="8"/>
        <v>0</v>
      </c>
      <c r="O76" s="24">
        <f t="shared" si="9"/>
        <v>200</v>
      </c>
      <c r="P76" s="25">
        <f t="shared" si="10"/>
        <v>3490</v>
      </c>
      <c r="Q76" s="7">
        <f>IFERROR(P76/H76-1,"")</f>
        <v>0.39599999999999991</v>
      </c>
      <c r="R76" s="7">
        <f>IFERROR((T76-P76)/T76,"")</f>
        <v>0</v>
      </c>
      <c r="S76" s="7">
        <f>IFERROR(IF(T76="","",T76/H76-1),"")</f>
        <v>0.39599999999999991</v>
      </c>
      <c r="T76" s="30">
        <f t="shared" si="11"/>
        <v>3490</v>
      </c>
      <c r="U76" s="33">
        <f>IFERROR((VLOOKUP($B76,'Из ГУГЛа'!$B:$Z,U$1,0)+W76)*V76,VLOOKUP($B76,'Из ГУГЛа'!$B:$Z,U$1,0))</f>
        <v>3490</v>
      </c>
      <c r="V76" s="10">
        <v>1</v>
      </c>
      <c r="W76" s="10">
        <v>2200</v>
      </c>
      <c r="X76">
        <v>3490</v>
      </c>
      <c r="Y76" t="s">
        <v>179</v>
      </c>
      <c r="Z76" s="33" t="str">
        <f>IFERROR((VLOOKUP($B76,'Из ГУГЛа'!$B:$Z,Z$1,0)+AB76)*AA76,VLOOKUP($B76,'Из ГУГЛа'!$B:$Z,Z$1,0))</f>
        <v/>
      </c>
      <c r="AA76" s="10">
        <v>1</v>
      </c>
      <c r="AB76" s="10">
        <v>2200</v>
      </c>
    </row>
    <row r="77" spans="1:28" ht="45" x14ac:dyDescent="0.25">
      <c r="A77" s="17" t="str">
        <f>INDEX('Выгр Торг'!$A:$A,MATCH($B77,'Выгр Торг'!$B:$B,0))</f>
        <v>Спойлер утиный хвост "VFTS" для ВАЗ 2101, 2106</v>
      </c>
      <c r="B77" s="14">
        <v>216965</v>
      </c>
      <c r="C77" s="14">
        <f>VLOOKUP($B77,'Выгр Торг'!$B:$Q,C$1,0)</f>
        <v>87225</v>
      </c>
      <c r="D77" s="17" t="str">
        <f>VLOOKUP($B77,'Выгр Торг'!$B:$Q,D$1,0)</f>
        <v>Спойлер утиный хвост "VFTS" для ВАЗ 2101, 2106 (В цвет, Атлантика (фиолетовый, 440))</v>
      </c>
      <c r="E77" s="14" t="str">
        <f>VLOOKUP($B77,'Выгр Торг'!$B:$Q,E$1,0)</f>
        <v>N</v>
      </c>
      <c r="F77" s="14" t="str">
        <f>VLOOKUP($B77,'Выгр Торг'!$B:$Q,F$1,0)</f>
        <v>1</v>
      </c>
      <c r="G77" s="28" t="s">
        <v>25</v>
      </c>
      <c r="H77" s="60">
        <v>2500</v>
      </c>
      <c r="I77" s="15">
        <f>VLOOKUP(H77,Наценка!$A$1:$B$8,2,1)</f>
        <v>1.4</v>
      </c>
      <c r="J77" s="34">
        <f t="shared" si="12"/>
        <v>3490</v>
      </c>
      <c r="K77" s="27">
        <f t="shared" si="7"/>
        <v>3490</v>
      </c>
      <c r="L77" s="14">
        <f>VLOOKUP($B77,'Выгр Торг'!$B:$Q,L$1,0)</f>
        <v>2500</v>
      </c>
      <c r="M77" s="14">
        <f>VLOOKUP($B77,'Выгр Торг'!$B:$Q,M$1,0)</f>
        <v>3690</v>
      </c>
      <c r="N77" s="24">
        <f t="shared" si="8"/>
        <v>0</v>
      </c>
      <c r="O77" s="24">
        <f t="shared" si="9"/>
        <v>200</v>
      </c>
      <c r="P77" s="25">
        <f t="shared" si="10"/>
        <v>3490</v>
      </c>
      <c r="Q77" s="7">
        <f>IFERROR(P77/H77-1,"")</f>
        <v>0.39599999999999991</v>
      </c>
      <c r="R77" s="7">
        <f>IFERROR((T77-P77)/T77,"")</f>
        <v>0</v>
      </c>
      <c r="S77" s="7">
        <f>IFERROR(IF(T77="","",T77/H77-1),"")</f>
        <v>0.39599999999999991</v>
      </c>
      <c r="T77" s="30">
        <f t="shared" si="11"/>
        <v>3490</v>
      </c>
      <c r="U77" s="33">
        <f>IFERROR((VLOOKUP($B77,'Из ГУГЛа'!$B:$Z,U$1,0)+W77)*V77,VLOOKUP($B77,'Из ГУГЛа'!$B:$Z,U$1,0))</f>
        <v>3490</v>
      </c>
      <c r="V77" s="10">
        <v>1</v>
      </c>
      <c r="W77" s="10">
        <v>2200</v>
      </c>
      <c r="X77">
        <v>3490</v>
      </c>
      <c r="Y77" t="s">
        <v>179</v>
      </c>
      <c r="Z77" s="33" t="str">
        <f>IFERROR((VLOOKUP($B77,'Из ГУГЛа'!$B:$Z,Z$1,0)+AB77)*AA77,VLOOKUP($B77,'Из ГУГЛа'!$B:$Z,Z$1,0))</f>
        <v/>
      </c>
      <c r="AA77" s="10">
        <v>1</v>
      </c>
      <c r="AB77" s="10">
        <v>2200</v>
      </c>
    </row>
    <row r="78" spans="1:28" ht="45" x14ac:dyDescent="0.25">
      <c r="A78" s="17" t="str">
        <f>INDEX('Выгр Торг'!$A:$A,MATCH($B78,'Выгр Торг'!$B:$B,0))</f>
        <v>Спойлер утиный хвост "VFTS" для ВАЗ 2101, 2106</v>
      </c>
      <c r="B78" s="14">
        <v>216966</v>
      </c>
      <c r="C78" s="14">
        <f>VLOOKUP($B78,'Выгр Торг'!$B:$Q,C$1,0)</f>
        <v>87226</v>
      </c>
      <c r="D78" s="17" t="str">
        <f>VLOOKUP($B78,'Выгр Торг'!$B:$Q,D$1,0)</f>
        <v>Спойлер утиный хвост "VFTS" для ВАЗ 2101, 2106 (В цвет, Баклажан (темно-фиолетовый, 107))</v>
      </c>
      <c r="E78" s="14" t="str">
        <f>VLOOKUP($B78,'Выгр Торг'!$B:$Q,E$1,0)</f>
        <v>N</v>
      </c>
      <c r="F78" s="14" t="str">
        <f>VLOOKUP($B78,'Выгр Торг'!$B:$Q,F$1,0)</f>
        <v>1</v>
      </c>
      <c r="G78" s="28" t="s">
        <v>25</v>
      </c>
      <c r="H78" s="60">
        <v>2500</v>
      </c>
      <c r="I78" s="15">
        <f>VLOOKUP(H78,Наценка!$A$1:$B$8,2,1)</f>
        <v>1.4</v>
      </c>
      <c r="J78" s="34">
        <f t="shared" si="12"/>
        <v>3490</v>
      </c>
      <c r="K78" s="27">
        <f t="shared" si="7"/>
        <v>3490</v>
      </c>
      <c r="L78" s="14">
        <f>VLOOKUP($B78,'Выгр Торг'!$B:$Q,L$1,0)</f>
        <v>2500</v>
      </c>
      <c r="M78" s="14">
        <f>VLOOKUP($B78,'Выгр Торг'!$B:$Q,M$1,0)</f>
        <v>3690</v>
      </c>
      <c r="N78" s="24">
        <f t="shared" si="8"/>
        <v>0</v>
      </c>
      <c r="O78" s="24">
        <f t="shared" si="9"/>
        <v>200</v>
      </c>
      <c r="P78" s="25">
        <f t="shared" si="10"/>
        <v>3490</v>
      </c>
      <c r="Q78" s="7">
        <f>IFERROR(P78/H78-1,"")</f>
        <v>0.39599999999999991</v>
      </c>
      <c r="R78" s="7">
        <f>IFERROR((T78-P78)/T78,"")</f>
        <v>0</v>
      </c>
      <c r="S78" s="7">
        <f>IFERROR(IF(T78="","",T78/H78-1),"")</f>
        <v>0.39599999999999991</v>
      </c>
      <c r="T78" s="30">
        <f t="shared" si="11"/>
        <v>3490</v>
      </c>
      <c r="U78" s="33">
        <f>IFERROR((VLOOKUP($B78,'Из ГУГЛа'!$B:$Z,U$1,0)+W78)*V78,VLOOKUP($B78,'Из ГУГЛа'!$B:$Z,U$1,0))</f>
        <v>3490</v>
      </c>
      <c r="V78" s="10">
        <v>1</v>
      </c>
      <c r="W78" s="10">
        <v>2200</v>
      </c>
      <c r="X78">
        <v>3490</v>
      </c>
      <c r="Y78" t="s">
        <v>179</v>
      </c>
      <c r="Z78" s="33" t="str">
        <f>IFERROR((VLOOKUP($B78,'Из ГУГЛа'!$B:$Z,Z$1,0)+AB78)*AA78,VLOOKUP($B78,'Из ГУГЛа'!$B:$Z,Z$1,0))</f>
        <v/>
      </c>
      <c r="AA78" s="10">
        <v>1</v>
      </c>
      <c r="AB78" s="10">
        <v>2200</v>
      </c>
    </row>
    <row r="79" spans="1:28" ht="45" x14ac:dyDescent="0.25">
      <c r="A79" s="17" t="str">
        <f>INDEX('Выгр Торг'!$A:$A,MATCH($B79,'Выгр Торг'!$B:$B,0))</f>
        <v>Спойлер утиный хвост "VFTS" для ВАЗ 2101, 2106</v>
      </c>
      <c r="B79" s="14">
        <v>216967</v>
      </c>
      <c r="C79" s="14">
        <f>VLOOKUP($B79,'Выгр Торг'!$B:$Q,C$1,0)</f>
        <v>87227</v>
      </c>
      <c r="D79" s="17" t="str">
        <f>VLOOKUP($B79,'Выгр Торг'!$B:$Q,D$1,0)</f>
        <v>Спойлер утиный хвост "VFTS" для ВАЗ 2101, 2106 (В цвет, Балтика (темно-сине-зеленый, 420))</v>
      </c>
      <c r="E79" s="14" t="str">
        <f>VLOOKUP($B79,'Выгр Торг'!$B:$Q,E$1,0)</f>
        <v>N</v>
      </c>
      <c r="F79" s="14" t="str">
        <f>VLOOKUP($B79,'Выгр Торг'!$B:$Q,F$1,0)</f>
        <v>1</v>
      </c>
      <c r="G79" s="28" t="s">
        <v>25</v>
      </c>
      <c r="H79" s="60">
        <v>2500</v>
      </c>
      <c r="I79" s="15">
        <f>VLOOKUP(H79,Наценка!$A$1:$B$8,2,1)</f>
        <v>1.4</v>
      </c>
      <c r="J79" s="34">
        <f t="shared" si="12"/>
        <v>3490</v>
      </c>
      <c r="K79" s="27">
        <f t="shared" si="7"/>
        <v>3490</v>
      </c>
      <c r="L79" s="14">
        <f>VLOOKUP($B79,'Выгр Торг'!$B:$Q,L$1,0)</f>
        <v>2500</v>
      </c>
      <c r="M79" s="14">
        <f>VLOOKUP($B79,'Выгр Торг'!$B:$Q,M$1,0)</f>
        <v>3690</v>
      </c>
      <c r="N79" s="24">
        <f t="shared" si="8"/>
        <v>0</v>
      </c>
      <c r="O79" s="24">
        <f t="shared" si="9"/>
        <v>200</v>
      </c>
      <c r="P79" s="25">
        <f t="shared" si="10"/>
        <v>3490</v>
      </c>
      <c r="Q79" s="7">
        <f>IFERROR(P79/H79-1,"")</f>
        <v>0.39599999999999991</v>
      </c>
      <c r="R79" s="7">
        <f>IFERROR((T79-P79)/T79,"")</f>
        <v>0</v>
      </c>
      <c r="S79" s="7">
        <f>IFERROR(IF(T79="","",T79/H79-1),"")</f>
        <v>0.39599999999999991</v>
      </c>
      <c r="T79" s="30">
        <f t="shared" si="11"/>
        <v>3490</v>
      </c>
      <c r="U79" s="33">
        <f>IFERROR((VLOOKUP($B79,'Из ГУГЛа'!$B:$Z,U$1,0)+W79)*V79,VLOOKUP($B79,'Из ГУГЛа'!$B:$Z,U$1,0))</f>
        <v>3490</v>
      </c>
      <c r="V79" s="10">
        <v>1</v>
      </c>
      <c r="W79" s="10">
        <v>2200</v>
      </c>
      <c r="X79">
        <v>3490</v>
      </c>
      <c r="Y79" t="s">
        <v>179</v>
      </c>
      <c r="Z79" s="33" t="str">
        <f>IFERROR((VLOOKUP($B79,'Из ГУГЛа'!$B:$Z,Z$1,0)+AB79)*AA79,VLOOKUP($B79,'Из ГУГЛа'!$B:$Z,Z$1,0))</f>
        <v/>
      </c>
      <c r="AA79" s="10">
        <v>1</v>
      </c>
      <c r="AB79" s="10">
        <v>2200</v>
      </c>
    </row>
    <row r="80" spans="1:28" ht="45" x14ac:dyDescent="0.25">
      <c r="A80" s="17" t="str">
        <f>INDEX('Выгр Торг'!$A:$A,MATCH($B80,'Выгр Торг'!$B:$B,0))</f>
        <v>Спойлер утиный хвост "VFTS" для ВАЗ 2101, 2106</v>
      </c>
      <c r="B80" s="14">
        <v>216968</v>
      </c>
      <c r="C80" s="14">
        <f>VLOOKUP($B80,'Выгр Торг'!$B:$Q,C$1,0)</f>
        <v>87228</v>
      </c>
      <c r="D80" s="17" t="str">
        <f>VLOOKUP($B80,'Выгр Торг'!$B:$Q,D$1,0)</f>
        <v>Спойлер утиный хвост "VFTS" для ВАЗ 2101, 2106 (В цвет, Вишня (темно-красный, 127))</v>
      </c>
      <c r="E80" s="14" t="str">
        <f>VLOOKUP($B80,'Выгр Торг'!$B:$Q,E$1,0)</f>
        <v>N</v>
      </c>
      <c r="F80" s="14" t="str">
        <f>VLOOKUP($B80,'Выгр Торг'!$B:$Q,F$1,0)</f>
        <v>1</v>
      </c>
      <c r="G80" s="28" t="s">
        <v>25</v>
      </c>
      <c r="H80" s="60">
        <v>2500</v>
      </c>
      <c r="I80" s="15">
        <f>VLOOKUP(H80,Наценка!$A$1:$B$8,2,1)</f>
        <v>1.4</v>
      </c>
      <c r="J80" s="34">
        <f t="shared" si="12"/>
        <v>3490</v>
      </c>
      <c r="K80" s="27">
        <f t="shared" si="7"/>
        <v>3490</v>
      </c>
      <c r="L80" s="14">
        <f>VLOOKUP($B80,'Выгр Торг'!$B:$Q,L$1,0)</f>
        <v>2500</v>
      </c>
      <c r="M80" s="14">
        <f>VLOOKUP($B80,'Выгр Торг'!$B:$Q,M$1,0)</f>
        <v>3690</v>
      </c>
      <c r="N80" s="24">
        <f t="shared" si="8"/>
        <v>0</v>
      </c>
      <c r="O80" s="24">
        <f t="shared" si="9"/>
        <v>200</v>
      </c>
      <c r="P80" s="25">
        <f t="shared" si="10"/>
        <v>3490</v>
      </c>
      <c r="Q80" s="7">
        <f>IFERROR(P80/H80-1,"")</f>
        <v>0.39599999999999991</v>
      </c>
      <c r="R80" s="7">
        <f>IFERROR((T80-P80)/T80,"")</f>
        <v>0</v>
      </c>
      <c r="S80" s="7">
        <f>IFERROR(IF(T80="","",T80/H80-1),"")</f>
        <v>0.39599999999999991</v>
      </c>
      <c r="T80" s="30">
        <f t="shared" si="11"/>
        <v>3490</v>
      </c>
      <c r="U80" s="33">
        <f>IFERROR((VLOOKUP($B80,'Из ГУГЛа'!$B:$Z,U$1,0)+W80)*V80,VLOOKUP($B80,'Из ГУГЛа'!$B:$Z,U$1,0))</f>
        <v>3490</v>
      </c>
      <c r="V80" s="10">
        <v>1</v>
      </c>
      <c r="W80" s="10">
        <v>2200</v>
      </c>
      <c r="X80">
        <v>3490</v>
      </c>
      <c r="Y80" t="s">
        <v>179</v>
      </c>
      <c r="Z80" s="33" t="str">
        <f>IFERROR((VLOOKUP($B80,'Из ГУГЛа'!$B:$Z,Z$1,0)+AB80)*AA80,VLOOKUP($B80,'Из ГУГЛа'!$B:$Z,Z$1,0))</f>
        <v/>
      </c>
      <c r="AA80" s="10">
        <v>1</v>
      </c>
      <c r="AB80" s="10">
        <v>2200</v>
      </c>
    </row>
    <row r="81" spans="1:28" ht="45" x14ac:dyDescent="0.25">
      <c r="A81" s="17" t="str">
        <f>INDEX('Выгр Торг'!$A:$A,MATCH($B81,'Выгр Торг'!$B:$B,0))</f>
        <v>Спойлер утиный хвост "VFTS" для ВАЗ 2101, 2106</v>
      </c>
      <c r="B81" s="14">
        <v>216969</v>
      </c>
      <c r="C81" s="14">
        <f>VLOOKUP($B81,'Выгр Торг'!$B:$Q,C$1,0)</f>
        <v>87229</v>
      </c>
      <c r="D81" s="17" t="str">
        <f>VLOOKUP($B81,'Выгр Торг'!$B:$Q,D$1,0)</f>
        <v>Спойлер утиный хвост "VFTS" для ВАЗ 2101, 2106 (В цвет, Голубая планета (сине-голубой, 418))</v>
      </c>
      <c r="E81" s="14" t="str">
        <f>VLOOKUP($B81,'Выгр Торг'!$B:$Q,E$1,0)</f>
        <v>N</v>
      </c>
      <c r="F81" s="14" t="str">
        <f>VLOOKUP($B81,'Выгр Торг'!$B:$Q,F$1,0)</f>
        <v>1</v>
      </c>
      <c r="G81" s="28" t="s">
        <v>25</v>
      </c>
      <c r="H81" s="60">
        <v>2500</v>
      </c>
      <c r="I81" s="15">
        <f>VLOOKUP(H81,Наценка!$A$1:$B$8,2,1)</f>
        <v>1.4</v>
      </c>
      <c r="J81" s="34">
        <f t="shared" si="12"/>
        <v>3490</v>
      </c>
      <c r="K81" s="27">
        <f t="shared" si="7"/>
        <v>3490</v>
      </c>
      <c r="L81" s="14">
        <f>VLOOKUP($B81,'Выгр Торг'!$B:$Q,L$1,0)</f>
        <v>2500</v>
      </c>
      <c r="M81" s="14">
        <f>VLOOKUP($B81,'Выгр Торг'!$B:$Q,M$1,0)</f>
        <v>3690</v>
      </c>
      <c r="N81" s="24">
        <f t="shared" si="8"/>
        <v>0</v>
      </c>
      <c r="O81" s="24">
        <f t="shared" si="9"/>
        <v>200</v>
      </c>
      <c r="P81" s="25">
        <f t="shared" si="10"/>
        <v>3490</v>
      </c>
      <c r="Q81" s="7">
        <f>IFERROR(P81/H81-1,"")</f>
        <v>0.39599999999999991</v>
      </c>
      <c r="R81" s="7">
        <f>IFERROR((T81-P81)/T81,"")</f>
        <v>0</v>
      </c>
      <c r="S81" s="7">
        <f>IFERROR(IF(T81="","",T81/H81-1),"")</f>
        <v>0.39599999999999991</v>
      </c>
      <c r="T81" s="30">
        <f t="shared" si="11"/>
        <v>3490</v>
      </c>
      <c r="U81" s="33">
        <f>IFERROR((VLOOKUP($B81,'Из ГУГЛа'!$B:$Z,U$1,0)+W81)*V81,VLOOKUP($B81,'Из ГУГЛа'!$B:$Z,U$1,0))</f>
        <v>3490</v>
      </c>
      <c r="V81" s="10">
        <v>1</v>
      </c>
      <c r="W81" s="10">
        <v>2200</v>
      </c>
      <c r="X81">
        <v>3490</v>
      </c>
      <c r="Y81" t="s">
        <v>179</v>
      </c>
      <c r="Z81" s="33" t="str">
        <f>IFERROR((VLOOKUP($B81,'Из ГУГЛа'!$B:$Z,Z$1,0)+AB81)*AA81,VLOOKUP($B81,'Из ГУГЛа'!$B:$Z,Z$1,0))</f>
        <v/>
      </c>
      <c r="AA81" s="10">
        <v>1</v>
      </c>
      <c r="AB81" s="10">
        <v>2200</v>
      </c>
    </row>
    <row r="82" spans="1:28" ht="45" x14ac:dyDescent="0.25">
      <c r="A82" s="17" t="str">
        <f>INDEX('Выгр Торг'!$A:$A,MATCH($B82,'Выгр Торг'!$B:$B,0))</f>
        <v>Спойлер утиный хвост "VFTS" для ВАЗ 2101, 2106</v>
      </c>
      <c r="B82" s="14">
        <v>216970</v>
      </c>
      <c r="C82" s="14">
        <f>VLOOKUP($B82,'Выгр Торг'!$B:$Q,C$1,0)</f>
        <v>87230</v>
      </c>
      <c r="D82" s="17" t="str">
        <f>VLOOKUP($B82,'Выгр Торг'!$B:$Q,D$1,0)</f>
        <v>Спойлер утиный хвост "VFTS" для ВАЗ 2101, 2106 (В цвет, Гранат (темно-бордовый, 180))</v>
      </c>
      <c r="E82" s="14" t="str">
        <f>VLOOKUP($B82,'Выгр Торг'!$B:$Q,E$1,0)</f>
        <v>N</v>
      </c>
      <c r="F82" s="14" t="str">
        <f>VLOOKUP($B82,'Выгр Торг'!$B:$Q,F$1,0)</f>
        <v>1</v>
      </c>
      <c r="G82" s="28" t="s">
        <v>25</v>
      </c>
      <c r="H82" s="60">
        <v>2500</v>
      </c>
      <c r="I82" s="15">
        <f>VLOOKUP(H82,Наценка!$A$1:$B$8,2,1)</f>
        <v>1.4</v>
      </c>
      <c r="J82" s="34">
        <f t="shared" si="12"/>
        <v>3490</v>
      </c>
      <c r="K82" s="27">
        <f t="shared" si="7"/>
        <v>3490</v>
      </c>
      <c r="L82" s="14">
        <f>VLOOKUP($B82,'Выгр Торг'!$B:$Q,L$1,0)</f>
        <v>2500</v>
      </c>
      <c r="M82" s="14">
        <f>VLOOKUP($B82,'Выгр Торг'!$B:$Q,M$1,0)</f>
        <v>3690</v>
      </c>
      <c r="N82" s="24">
        <f t="shared" si="8"/>
        <v>0</v>
      </c>
      <c r="O82" s="24">
        <f t="shared" si="9"/>
        <v>200</v>
      </c>
      <c r="P82" s="25">
        <f t="shared" si="10"/>
        <v>3490</v>
      </c>
      <c r="Q82" s="7">
        <f>IFERROR(P82/H82-1,"")</f>
        <v>0.39599999999999991</v>
      </c>
      <c r="R82" s="7">
        <f>IFERROR((T82-P82)/T82,"")</f>
        <v>0</v>
      </c>
      <c r="S82" s="7">
        <f>IFERROR(IF(T82="","",T82/H82-1),"")</f>
        <v>0.39599999999999991</v>
      </c>
      <c r="T82" s="30">
        <f t="shared" si="11"/>
        <v>3490</v>
      </c>
      <c r="U82" s="33">
        <f>IFERROR((VLOOKUP($B82,'Из ГУГЛа'!$B:$Z,U$1,0)+W82)*V82,VLOOKUP($B82,'Из ГУГЛа'!$B:$Z,U$1,0))</f>
        <v>3490</v>
      </c>
      <c r="V82" s="10">
        <v>1</v>
      </c>
      <c r="W82" s="10">
        <v>2200</v>
      </c>
      <c r="X82">
        <v>3490</v>
      </c>
      <c r="Y82" t="s">
        <v>179</v>
      </c>
      <c r="Z82" s="33" t="str">
        <f>IFERROR((VLOOKUP($B82,'Из ГУГЛа'!$B:$Z,Z$1,0)+AB82)*AA82,VLOOKUP($B82,'Из ГУГЛа'!$B:$Z,Z$1,0))</f>
        <v/>
      </c>
      <c r="AA82" s="10">
        <v>1</v>
      </c>
      <c r="AB82" s="10">
        <v>2200</v>
      </c>
    </row>
    <row r="83" spans="1:28" ht="45" x14ac:dyDescent="0.25">
      <c r="A83" s="17" t="str">
        <f>INDEX('Выгр Торг'!$A:$A,MATCH($B83,'Выгр Торг'!$B:$B,0))</f>
        <v>Спойлер утиный хвост "VFTS" для ВАЗ 2101, 2106</v>
      </c>
      <c r="B83" s="14">
        <v>216971</v>
      </c>
      <c r="C83" s="14">
        <f>VLOOKUP($B83,'Выгр Торг'!$B:$Q,C$1,0)</f>
        <v>87231</v>
      </c>
      <c r="D83" s="17" t="str">
        <f>VLOOKUP($B83,'Выгр Торг'!$B:$Q,D$1,0)</f>
        <v>Спойлер утиный хвост "VFTS" для ВАЗ 2101, 2106 (В цвет, Игуана (серебристо-ярко-зеленый, 311))</v>
      </c>
      <c r="E83" s="14" t="str">
        <f>VLOOKUP($B83,'Выгр Торг'!$B:$Q,E$1,0)</f>
        <v>N</v>
      </c>
      <c r="F83" s="14" t="str">
        <f>VLOOKUP($B83,'Выгр Торг'!$B:$Q,F$1,0)</f>
        <v>1</v>
      </c>
      <c r="G83" s="28" t="s">
        <v>25</v>
      </c>
      <c r="H83" s="60">
        <v>2500</v>
      </c>
      <c r="I83" s="15">
        <f>VLOOKUP(H83,Наценка!$A$1:$B$8,2,1)</f>
        <v>1.4</v>
      </c>
      <c r="J83" s="34">
        <f t="shared" si="12"/>
        <v>3490</v>
      </c>
      <c r="K83" s="27">
        <f t="shared" si="7"/>
        <v>3490</v>
      </c>
      <c r="L83" s="14">
        <f>VLOOKUP($B83,'Выгр Торг'!$B:$Q,L$1,0)</f>
        <v>2500</v>
      </c>
      <c r="M83" s="14">
        <f>VLOOKUP($B83,'Выгр Торг'!$B:$Q,M$1,0)</f>
        <v>3690</v>
      </c>
      <c r="N83" s="24">
        <f t="shared" si="8"/>
        <v>0</v>
      </c>
      <c r="O83" s="24">
        <f t="shared" si="9"/>
        <v>200</v>
      </c>
      <c r="P83" s="25">
        <f t="shared" si="10"/>
        <v>3490</v>
      </c>
      <c r="Q83" s="7">
        <f>IFERROR(P83/H83-1,"")</f>
        <v>0.39599999999999991</v>
      </c>
      <c r="R83" s="7">
        <f>IFERROR((T83-P83)/T83,"")</f>
        <v>0</v>
      </c>
      <c r="S83" s="7">
        <f>IFERROR(IF(T83="","",T83/H83-1),"")</f>
        <v>0.39599999999999991</v>
      </c>
      <c r="T83" s="30">
        <f t="shared" si="11"/>
        <v>3490</v>
      </c>
      <c r="U83" s="33">
        <f>IFERROR((VLOOKUP($B83,'Из ГУГЛа'!$B:$Z,U$1,0)+W83)*V83,VLOOKUP($B83,'Из ГУГЛа'!$B:$Z,U$1,0))</f>
        <v>3490</v>
      </c>
      <c r="V83" s="10">
        <v>1</v>
      </c>
      <c r="W83" s="10">
        <v>2200</v>
      </c>
      <c r="X83">
        <v>3490</v>
      </c>
      <c r="Y83" t="s">
        <v>179</v>
      </c>
      <c r="Z83" s="33" t="str">
        <f>IFERROR((VLOOKUP($B83,'Из ГУГЛа'!$B:$Z,Z$1,0)+AB83)*AA83,VLOOKUP($B83,'Из ГУГЛа'!$B:$Z,Z$1,0))</f>
        <v/>
      </c>
      <c r="AA83" s="10">
        <v>1</v>
      </c>
      <c r="AB83" s="10">
        <v>2200</v>
      </c>
    </row>
    <row r="84" spans="1:28" ht="45" x14ac:dyDescent="0.25">
      <c r="A84" s="17" t="str">
        <f>INDEX('Выгр Торг'!$A:$A,MATCH($B84,'Выгр Торг'!$B:$B,0))</f>
        <v>Спойлер утиный хвост "VFTS" для ВАЗ 2101, 2106</v>
      </c>
      <c r="B84" s="14">
        <v>216972</v>
      </c>
      <c r="C84" s="14">
        <f>VLOOKUP($B84,'Выгр Торг'!$B:$Q,C$1,0)</f>
        <v>87232</v>
      </c>
      <c r="D84" s="17" t="str">
        <f>VLOOKUP($B84,'Выгр Торг'!$B:$Q,D$1,0)</f>
        <v>Спойлер утиный хвост "VFTS" для ВАЗ 2101, 2106 (В цвет, Индиго (темно-синий, 441))</v>
      </c>
      <c r="E84" s="14" t="str">
        <f>VLOOKUP($B84,'Выгр Торг'!$B:$Q,E$1,0)</f>
        <v>N</v>
      </c>
      <c r="F84" s="14" t="str">
        <f>VLOOKUP($B84,'Выгр Торг'!$B:$Q,F$1,0)</f>
        <v>1</v>
      </c>
      <c r="G84" s="28" t="s">
        <v>25</v>
      </c>
      <c r="H84" s="60">
        <v>2500</v>
      </c>
      <c r="I84" s="15">
        <f>VLOOKUP(H84,Наценка!$A$1:$B$8,2,1)</f>
        <v>1.4</v>
      </c>
      <c r="J84" s="34">
        <f t="shared" si="12"/>
        <v>3490</v>
      </c>
      <c r="K84" s="27">
        <f t="shared" si="7"/>
        <v>3490</v>
      </c>
      <c r="L84" s="14">
        <f>VLOOKUP($B84,'Выгр Торг'!$B:$Q,L$1,0)</f>
        <v>2500</v>
      </c>
      <c r="M84" s="14">
        <f>VLOOKUP($B84,'Выгр Торг'!$B:$Q,M$1,0)</f>
        <v>3690</v>
      </c>
      <c r="N84" s="24">
        <f t="shared" si="8"/>
        <v>0</v>
      </c>
      <c r="O84" s="24">
        <f t="shared" si="9"/>
        <v>200</v>
      </c>
      <c r="P84" s="25">
        <f t="shared" si="10"/>
        <v>3490</v>
      </c>
      <c r="Q84" s="7">
        <f>IFERROR(P84/H84-1,"")</f>
        <v>0.39599999999999991</v>
      </c>
      <c r="R84" s="7">
        <f>IFERROR((T84-P84)/T84,"")</f>
        <v>0</v>
      </c>
      <c r="S84" s="7">
        <f>IFERROR(IF(T84="","",T84/H84-1),"")</f>
        <v>0.39599999999999991</v>
      </c>
      <c r="T84" s="30">
        <f t="shared" si="11"/>
        <v>3490</v>
      </c>
      <c r="U84" s="33">
        <f>IFERROR((VLOOKUP($B84,'Из ГУГЛа'!$B:$Z,U$1,0)+W84)*V84,VLOOKUP($B84,'Из ГУГЛа'!$B:$Z,U$1,0))</f>
        <v>3490</v>
      </c>
      <c r="V84" s="10">
        <v>1</v>
      </c>
      <c r="W84" s="10">
        <v>2200</v>
      </c>
      <c r="X84">
        <v>3490</v>
      </c>
      <c r="Y84" t="s">
        <v>179</v>
      </c>
      <c r="Z84" s="33" t="str">
        <f>IFERROR((VLOOKUP($B84,'Из ГУГЛа'!$B:$Z,Z$1,0)+AB84)*AA84,VLOOKUP($B84,'Из ГУГЛа'!$B:$Z,Z$1,0))</f>
        <v/>
      </c>
      <c r="AA84" s="10">
        <v>1</v>
      </c>
      <c r="AB84" s="10">
        <v>2200</v>
      </c>
    </row>
    <row r="85" spans="1:28" ht="45" x14ac:dyDescent="0.25">
      <c r="A85" s="17" t="str">
        <f>INDEX('Выгр Торг'!$A:$A,MATCH($B85,'Выгр Торг'!$B:$B,0))</f>
        <v>Спойлер утиный хвост "VFTS" для ВАЗ 2101, 2106</v>
      </c>
      <c r="B85" s="14">
        <v>216973</v>
      </c>
      <c r="C85" s="14">
        <f>VLOOKUP($B85,'Выгр Торг'!$B:$Q,C$1,0)</f>
        <v>87233</v>
      </c>
      <c r="D85" s="17" t="str">
        <f>VLOOKUP($B85,'Выгр Торг'!$B:$Q,D$1,0)</f>
        <v>Спойлер утиный хвост "VFTS" для ВАЗ 2101, 2106 (В цвет, Искра (красный, 128))</v>
      </c>
      <c r="E85" s="14" t="str">
        <f>VLOOKUP($B85,'Выгр Торг'!$B:$Q,E$1,0)</f>
        <v>N</v>
      </c>
      <c r="F85" s="14" t="str">
        <f>VLOOKUP($B85,'Выгр Торг'!$B:$Q,F$1,0)</f>
        <v>1</v>
      </c>
      <c r="G85" s="28" t="s">
        <v>25</v>
      </c>
      <c r="H85" s="60">
        <v>2500</v>
      </c>
      <c r="I85" s="15">
        <f>VLOOKUP(H85,Наценка!$A$1:$B$8,2,1)</f>
        <v>1.4</v>
      </c>
      <c r="J85" s="34">
        <f t="shared" si="12"/>
        <v>3490</v>
      </c>
      <c r="K85" s="27">
        <f t="shared" si="7"/>
        <v>3490</v>
      </c>
      <c r="L85" s="14">
        <f>VLOOKUP($B85,'Выгр Торг'!$B:$Q,L$1,0)</f>
        <v>2500</v>
      </c>
      <c r="M85" s="14">
        <f>VLOOKUP($B85,'Выгр Торг'!$B:$Q,M$1,0)</f>
        <v>3690</v>
      </c>
      <c r="N85" s="24">
        <f t="shared" si="8"/>
        <v>0</v>
      </c>
      <c r="O85" s="24">
        <f t="shared" si="9"/>
        <v>200</v>
      </c>
      <c r="P85" s="25">
        <f t="shared" si="10"/>
        <v>3490</v>
      </c>
      <c r="Q85" s="7">
        <f>IFERROR(P85/H85-1,"")</f>
        <v>0.39599999999999991</v>
      </c>
      <c r="R85" s="7">
        <f>IFERROR((T85-P85)/T85,"")</f>
        <v>0</v>
      </c>
      <c r="S85" s="7">
        <f>IFERROR(IF(T85="","",T85/H85-1),"")</f>
        <v>0.39599999999999991</v>
      </c>
      <c r="T85" s="30">
        <f t="shared" si="11"/>
        <v>3490</v>
      </c>
      <c r="U85" s="33">
        <f>IFERROR((VLOOKUP($B85,'Из ГУГЛа'!$B:$Z,U$1,0)+W85)*V85,VLOOKUP($B85,'Из ГУГЛа'!$B:$Z,U$1,0))</f>
        <v>3490</v>
      </c>
      <c r="V85" s="10">
        <v>1</v>
      </c>
      <c r="W85" s="10">
        <v>2200</v>
      </c>
      <c r="X85">
        <v>3490</v>
      </c>
      <c r="Y85" t="s">
        <v>179</v>
      </c>
      <c r="Z85" s="33" t="str">
        <f>IFERROR((VLOOKUP($B85,'Из ГУГЛа'!$B:$Z,Z$1,0)+AB85)*AA85,VLOOKUP($B85,'Из ГУГЛа'!$B:$Z,Z$1,0))</f>
        <v/>
      </c>
      <c r="AA85" s="10">
        <v>1</v>
      </c>
      <c r="AB85" s="10">
        <v>2200</v>
      </c>
    </row>
    <row r="86" spans="1:28" ht="45" x14ac:dyDescent="0.25">
      <c r="A86" s="17" t="str">
        <f>INDEX('Выгр Торг'!$A:$A,MATCH($B86,'Выгр Торг'!$B:$B,0))</f>
        <v>Спойлер утиный хвост "VFTS" для ВАЗ 2101, 2106</v>
      </c>
      <c r="B86" s="14">
        <v>216974</v>
      </c>
      <c r="C86" s="14">
        <f>VLOOKUP($B86,'Выгр Торг'!$B:$Q,C$1,0)</f>
        <v>87234</v>
      </c>
      <c r="D86" s="17" t="str">
        <f>VLOOKUP($B86,'Выгр Торг'!$B:$Q,D$1,0)</f>
        <v>Спойлер утиный хвост "VFTS" для ВАЗ 2101, 2106 (В цвет, Калифорнийский мак (золотисто-красный, 190))</v>
      </c>
      <c r="E86" s="14" t="str">
        <f>VLOOKUP($B86,'Выгр Торг'!$B:$Q,E$1,0)</f>
        <v>N</v>
      </c>
      <c r="F86" s="14" t="str">
        <f>VLOOKUP($B86,'Выгр Торг'!$B:$Q,F$1,0)</f>
        <v>1</v>
      </c>
      <c r="G86" s="28" t="s">
        <v>25</v>
      </c>
      <c r="H86" s="60">
        <v>2500</v>
      </c>
      <c r="I86" s="15">
        <f>VLOOKUP(H86,Наценка!$A$1:$B$8,2,1)</f>
        <v>1.4</v>
      </c>
      <c r="J86" s="34">
        <f t="shared" si="12"/>
        <v>3490</v>
      </c>
      <c r="K86" s="27">
        <f t="shared" si="7"/>
        <v>3490</v>
      </c>
      <c r="L86" s="14">
        <f>VLOOKUP($B86,'Выгр Торг'!$B:$Q,L$1,0)</f>
        <v>2500</v>
      </c>
      <c r="M86" s="14">
        <f>VLOOKUP($B86,'Выгр Торг'!$B:$Q,M$1,0)</f>
        <v>3690</v>
      </c>
      <c r="N86" s="24">
        <f t="shared" si="8"/>
        <v>0</v>
      </c>
      <c r="O86" s="24">
        <f t="shared" si="9"/>
        <v>200</v>
      </c>
      <c r="P86" s="25">
        <f t="shared" si="10"/>
        <v>3490</v>
      </c>
      <c r="Q86" s="7">
        <f>IFERROR(P86/H86-1,"")</f>
        <v>0.39599999999999991</v>
      </c>
      <c r="R86" s="7">
        <f>IFERROR((T86-P86)/T86,"")</f>
        <v>0</v>
      </c>
      <c r="S86" s="7">
        <f>IFERROR(IF(T86="","",T86/H86-1),"")</f>
        <v>0.39599999999999991</v>
      </c>
      <c r="T86" s="30">
        <f t="shared" si="11"/>
        <v>3490</v>
      </c>
      <c r="U86" s="33">
        <f>IFERROR((VLOOKUP($B86,'Из ГУГЛа'!$B:$Z,U$1,0)+W86)*V86,VLOOKUP($B86,'Из ГУГЛа'!$B:$Z,U$1,0))</f>
        <v>3490</v>
      </c>
      <c r="V86" s="10">
        <v>1</v>
      </c>
      <c r="W86" s="10">
        <v>2200</v>
      </c>
      <c r="X86">
        <v>3490</v>
      </c>
      <c r="Y86" t="s">
        <v>179</v>
      </c>
      <c r="Z86" s="33" t="str">
        <f>IFERROR((VLOOKUP($B86,'Из ГУГЛа'!$B:$Z,Z$1,0)+AB86)*AA86,VLOOKUP($B86,'Из ГУГЛа'!$B:$Z,Z$1,0))</f>
        <v/>
      </c>
      <c r="AA86" s="10">
        <v>1</v>
      </c>
      <c r="AB86" s="10">
        <v>2200</v>
      </c>
    </row>
    <row r="87" spans="1:28" ht="30" x14ac:dyDescent="0.25">
      <c r="A87" s="17" t="str">
        <f>INDEX('Выгр Торг'!$A:$A,MATCH($B87,'Выгр Торг'!$B:$B,0))</f>
        <v>Спойлер утиный хвост "VFTS" для ВАЗ 2101, 2106</v>
      </c>
      <c r="B87" s="14">
        <v>216975</v>
      </c>
      <c r="C87" s="14">
        <f>VLOOKUP($B87,'Выгр Торг'!$B:$Q,C$1,0)</f>
        <v>87235</v>
      </c>
      <c r="D87" s="17" t="str">
        <f>VLOOKUP($B87,'Выгр Торг'!$B:$Q,D$1,0)</f>
        <v>Спойлер утиный хвост "VFTS" для ВАЗ 2101, 2106 (В цвет, Кварц (серый, 630))</v>
      </c>
      <c r="E87" s="14" t="str">
        <f>VLOOKUP($B87,'Выгр Торг'!$B:$Q,E$1,0)</f>
        <v>N</v>
      </c>
      <c r="F87" s="14" t="str">
        <f>VLOOKUP($B87,'Выгр Торг'!$B:$Q,F$1,0)</f>
        <v>1</v>
      </c>
      <c r="G87" s="28" t="s">
        <v>25</v>
      </c>
      <c r="H87" s="60">
        <v>2500</v>
      </c>
      <c r="I87" s="15">
        <f>VLOOKUP(H87,Наценка!$A$1:$B$8,2,1)</f>
        <v>1.4</v>
      </c>
      <c r="J87" s="34">
        <f t="shared" si="12"/>
        <v>3490</v>
      </c>
      <c r="K87" s="27">
        <f t="shared" si="7"/>
        <v>3490</v>
      </c>
      <c r="L87" s="14">
        <f>VLOOKUP($B87,'Выгр Торг'!$B:$Q,L$1,0)</f>
        <v>2500</v>
      </c>
      <c r="M87" s="14">
        <f>VLOOKUP($B87,'Выгр Торг'!$B:$Q,M$1,0)</f>
        <v>3690</v>
      </c>
      <c r="N87" s="24">
        <f t="shared" si="8"/>
        <v>0</v>
      </c>
      <c r="O87" s="24">
        <f t="shared" si="9"/>
        <v>200</v>
      </c>
      <c r="P87" s="25">
        <f t="shared" si="10"/>
        <v>3490</v>
      </c>
      <c r="Q87" s="7">
        <f>IFERROR(P87/H87-1,"")</f>
        <v>0.39599999999999991</v>
      </c>
      <c r="R87" s="7">
        <f>IFERROR((T87-P87)/T87,"")</f>
        <v>0</v>
      </c>
      <c r="S87" s="7">
        <f>IFERROR(IF(T87="","",T87/H87-1),"")</f>
        <v>0.39599999999999991</v>
      </c>
      <c r="T87" s="30">
        <f t="shared" si="11"/>
        <v>3490</v>
      </c>
      <c r="U87" s="33">
        <f>IFERROR((VLOOKUP($B87,'Из ГУГЛа'!$B:$Z,U$1,0)+W87)*V87,VLOOKUP($B87,'Из ГУГЛа'!$B:$Z,U$1,0))</f>
        <v>3490</v>
      </c>
      <c r="V87" s="10">
        <v>1</v>
      </c>
      <c r="W87" s="10">
        <v>2200</v>
      </c>
      <c r="X87">
        <v>3490</v>
      </c>
      <c r="Y87" t="s">
        <v>179</v>
      </c>
      <c r="Z87" s="33" t="str">
        <f>IFERROR((VLOOKUP($B87,'Из ГУГЛа'!$B:$Z,Z$1,0)+AB87)*AA87,VLOOKUP($B87,'Из ГУГЛа'!$B:$Z,Z$1,0))</f>
        <v/>
      </c>
      <c r="AA87" s="10">
        <v>1</v>
      </c>
      <c r="AB87" s="10">
        <v>2200</v>
      </c>
    </row>
    <row r="88" spans="1:28" ht="45" x14ac:dyDescent="0.25">
      <c r="A88" s="17" t="str">
        <f>INDEX('Выгр Торг'!$A:$A,MATCH($B88,'Выгр Торг'!$B:$B,0))</f>
        <v>Спойлер утиный хвост "VFTS" для ВАЗ 2101, 2106</v>
      </c>
      <c r="B88" s="14">
        <v>216976</v>
      </c>
      <c r="C88" s="14">
        <f>VLOOKUP($B88,'Выгр Торг'!$B:$Q,C$1,0)</f>
        <v>87236</v>
      </c>
      <c r="D88" s="17" t="str">
        <f>VLOOKUP($B88,'Выгр Торг'!$B:$Q,D$1,0)</f>
        <v>Спойлер утиный хвост "VFTS" для ВАЗ 2101, 2106 (В цвет, Кориандр (золотисто-коричневый, 790))</v>
      </c>
      <c r="E88" s="14" t="str">
        <f>VLOOKUP($B88,'Выгр Торг'!$B:$Q,E$1,0)</f>
        <v>N</v>
      </c>
      <c r="F88" s="14" t="str">
        <f>VLOOKUP($B88,'Выгр Торг'!$B:$Q,F$1,0)</f>
        <v>1</v>
      </c>
      <c r="G88" s="28" t="s">
        <v>25</v>
      </c>
      <c r="H88" s="60">
        <v>2500</v>
      </c>
      <c r="I88" s="15">
        <f>VLOOKUP(H88,Наценка!$A$1:$B$8,2,1)</f>
        <v>1.4</v>
      </c>
      <c r="J88" s="34">
        <f t="shared" si="12"/>
        <v>3490</v>
      </c>
      <c r="K88" s="27">
        <f t="shared" si="7"/>
        <v>3490</v>
      </c>
      <c r="L88" s="14">
        <f>VLOOKUP($B88,'Выгр Торг'!$B:$Q,L$1,0)</f>
        <v>2500</v>
      </c>
      <c r="M88" s="14">
        <f>VLOOKUP($B88,'Выгр Торг'!$B:$Q,M$1,0)</f>
        <v>3690</v>
      </c>
      <c r="N88" s="24">
        <f t="shared" si="8"/>
        <v>0</v>
      </c>
      <c r="O88" s="24">
        <f t="shared" si="9"/>
        <v>200</v>
      </c>
      <c r="P88" s="25">
        <f t="shared" si="10"/>
        <v>3490</v>
      </c>
      <c r="Q88" s="7">
        <f>IFERROR(P88/H88-1,"")</f>
        <v>0.39599999999999991</v>
      </c>
      <c r="R88" s="7">
        <f>IFERROR((T88-P88)/T88,"")</f>
        <v>0</v>
      </c>
      <c r="S88" s="7">
        <f>IFERROR(IF(T88="","",T88/H88-1),"")</f>
        <v>0.39599999999999991</v>
      </c>
      <c r="T88" s="30">
        <f t="shared" si="11"/>
        <v>3490</v>
      </c>
      <c r="U88" s="33">
        <f>IFERROR((VLOOKUP($B88,'Из ГУГЛа'!$B:$Z,U$1,0)+W88)*V88,VLOOKUP($B88,'Из ГУГЛа'!$B:$Z,U$1,0))</f>
        <v>3490</v>
      </c>
      <c r="V88" s="10">
        <v>1</v>
      </c>
      <c r="W88" s="10">
        <v>2200</v>
      </c>
      <c r="X88">
        <v>3490</v>
      </c>
      <c r="Y88" t="s">
        <v>179</v>
      </c>
      <c r="Z88" s="33" t="str">
        <f>IFERROR((VLOOKUP($B88,'Из ГУГЛа'!$B:$Z,Z$1,0)+AB88)*AA88,VLOOKUP($B88,'Из ГУГЛа'!$B:$Z,Z$1,0))</f>
        <v/>
      </c>
      <c r="AA88" s="10">
        <v>1</v>
      </c>
      <c r="AB88" s="10">
        <v>2200</v>
      </c>
    </row>
    <row r="89" spans="1:28" ht="45" x14ac:dyDescent="0.25">
      <c r="A89" s="17" t="str">
        <f>INDEX('Выгр Торг'!$A:$A,MATCH($B89,'Выгр Торг'!$B:$B,0))</f>
        <v>Спойлер утиный хвост "VFTS" для ВАЗ 2101, 2106</v>
      </c>
      <c r="B89" s="14">
        <v>216977</v>
      </c>
      <c r="C89" s="14">
        <f>VLOOKUP($B89,'Выгр Торг'!$B:$Q,C$1,0)</f>
        <v>87237</v>
      </c>
      <c r="D89" s="17" t="str">
        <f>VLOOKUP($B89,'Выгр Торг'!$B:$Q,D$1,0)</f>
        <v>Спойлер утиный хвост "VFTS" для ВАЗ 2101, 2106 (В цвет, Космос (черный, 665))</v>
      </c>
      <c r="E89" s="14" t="str">
        <f>VLOOKUP($B89,'Выгр Торг'!$B:$Q,E$1,0)</f>
        <v>N</v>
      </c>
      <c r="F89" s="14" t="str">
        <f>VLOOKUP($B89,'Выгр Торг'!$B:$Q,F$1,0)</f>
        <v>1</v>
      </c>
      <c r="G89" s="28" t="s">
        <v>25</v>
      </c>
      <c r="H89" s="60">
        <v>2500</v>
      </c>
      <c r="I89" s="15">
        <f>VLOOKUP(H89,Наценка!$A$1:$B$8,2,1)</f>
        <v>1.4</v>
      </c>
      <c r="J89" s="34">
        <f t="shared" si="12"/>
        <v>3490</v>
      </c>
      <c r="K89" s="27">
        <f t="shared" si="7"/>
        <v>3490</v>
      </c>
      <c r="L89" s="14">
        <f>VLOOKUP($B89,'Выгр Торг'!$B:$Q,L$1,0)</f>
        <v>2500</v>
      </c>
      <c r="M89" s="14">
        <f>VLOOKUP($B89,'Выгр Торг'!$B:$Q,M$1,0)</f>
        <v>3690</v>
      </c>
      <c r="N89" s="24">
        <f t="shared" si="8"/>
        <v>0</v>
      </c>
      <c r="O89" s="24">
        <f t="shared" si="9"/>
        <v>200</v>
      </c>
      <c r="P89" s="25">
        <f t="shared" si="10"/>
        <v>3490</v>
      </c>
      <c r="Q89" s="7">
        <f>IFERROR(P89/H89-1,"")</f>
        <v>0.39599999999999991</v>
      </c>
      <c r="R89" s="7">
        <f>IFERROR((T89-P89)/T89,"")</f>
        <v>0</v>
      </c>
      <c r="S89" s="7">
        <f>IFERROR(IF(T89="","",T89/H89-1),"")</f>
        <v>0.39599999999999991</v>
      </c>
      <c r="T89" s="30">
        <f t="shared" si="11"/>
        <v>3490</v>
      </c>
      <c r="U89" s="33">
        <f>IFERROR((VLOOKUP($B89,'Из ГУГЛа'!$B:$Z,U$1,0)+W89)*V89,VLOOKUP($B89,'Из ГУГЛа'!$B:$Z,U$1,0))</f>
        <v>3490</v>
      </c>
      <c r="V89" s="10">
        <v>1</v>
      </c>
      <c r="W89" s="10">
        <v>2200</v>
      </c>
      <c r="X89">
        <v>3490</v>
      </c>
      <c r="Y89" t="s">
        <v>179</v>
      </c>
      <c r="Z89" s="33" t="str">
        <f>IFERROR((VLOOKUP($B89,'Из ГУГЛа'!$B:$Z,Z$1,0)+AB89)*AA89,VLOOKUP($B89,'Из ГУГЛа'!$B:$Z,Z$1,0))</f>
        <v/>
      </c>
      <c r="AA89" s="10">
        <v>1</v>
      </c>
      <c r="AB89" s="10">
        <v>2200</v>
      </c>
    </row>
    <row r="90" spans="1:28" ht="45" x14ac:dyDescent="0.25">
      <c r="A90" s="17" t="str">
        <f>INDEX('Выгр Торг'!$A:$A,MATCH($B90,'Выгр Торг'!$B:$B,0))</f>
        <v>Спойлер утиный хвост "VFTS" для ВАЗ 2101, 2106</v>
      </c>
      <c r="B90" s="14">
        <v>216978</v>
      </c>
      <c r="C90" s="14">
        <f>VLOOKUP($B90,'Выгр Торг'!$B:$Q,C$1,0)</f>
        <v>87238</v>
      </c>
      <c r="D90" s="17" t="str">
        <f>VLOOKUP($B90,'Выгр Торг'!$B:$Q,D$1,0)</f>
        <v>Спойлер утиный хвост "VFTS" для ВАЗ 2101, 2106 (В цвет, Красный перец (красно-коричневый, 106))</v>
      </c>
      <c r="E90" s="14" t="str">
        <f>VLOOKUP($B90,'Выгр Торг'!$B:$Q,E$1,0)</f>
        <v>N</v>
      </c>
      <c r="F90" s="14" t="str">
        <f>VLOOKUP($B90,'Выгр Торг'!$B:$Q,F$1,0)</f>
        <v>1</v>
      </c>
      <c r="G90" s="28" t="s">
        <v>25</v>
      </c>
      <c r="H90" s="60">
        <v>2500</v>
      </c>
      <c r="I90" s="15">
        <f>VLOOKUP(H90,Наценка!$A$1:$B$8,2,1)</f>
        <v>1.4</v>
      </c>
      <c r="J90" s="34">
        <f t="shared" si="12"/>
        <v>3490</v>
      </c>
      <c r="K90" s="27">
        <f t="shared" si="7"/>
        <v>3490</v>
      </c>
      <c r="L90" s="14">
        <f>VLOOKUP($B90,'Выгр Торг'!$B:$Q,L$1,0)</f>
        <v>2500</v>
      </c>
      <c r="M90" s="14">
        <f>VLOOKUP($B90,'Выгр Торг'!$B:$Q,M$1,0)</f>
        <v>3690</v>
      </c>
      <c r="N90" s="24">
        <f t="shared" si="8"/>
        <v>0</v>
      </c>
      <c r="O90" s="24">
        <f t="shared" si="9"/>
        <v>200</v>
      </c>
      <c r="P90" s="25">
        <f t="shared" si="10"/>
        <v>3490</v>
      </c>
      <c r="Q90" s="7">
        <f>IFERROR(P90/H90-1,"")</f>
        <v>0.39599999999999991</v>
      </c>
      <c r="R90" s="7">
        <f>IFERROR((T90-P90)/T90,"")</f>
        <v>0</v>
      </c>
      <c r="S90" s="7">
        <f>IFERROR(IF(T90="","",T90/H90-1),"")</f>
        <v>0.39599999999999991</v>
      </c>
      <c r="T90" s="30">
        <f t="shared" si="11"/>
        <v>3490</v>
      </c>
      <c r="U90" s="33">
        <f>IFERROR((VLOOKUP($B90,'Из ГУГЛа'!$B:$Z,U$1,0)+W90)*V90,VLOOKUP($B90,'Из ГУГЛа'!$B:$Z,U$1,0))</f>
        <v>3490</v>
      </c>
      <c r="V90" s="10">
        <v>1</v>
      </c>
      <c r="W90" s="10">
        <v>2200</v>
      </c>
      <c r="X90">
        <v>3490</v>
      </c>
      <c r="Y90" t="s">
        <v>179</v>
      </c>
      <c r="Z90" s="33" t="str">
        <f>IFERROR((VLOOKUP($B90,'Из ГУГЛа'!$B:$Z,Z$1,0)+AB90)*AA90,VLOOKUP($B90,'Из ГУГЛа'!$B:$Z,Z$1,0))</f>
        <v/>
      </c>
      <c r="AA90" s="10">
        <v>1</v>
      </c>
      <c r="AB90" s="10">
        <v>2200</v>
      </c>
    </row>
    <row r="91" spans="1:28" ht="45" x14ac:dyDescent="0.25">
      <c r="A91" s="17" t="str">
        <f>INDEX('Выгр Торг'!$A:$A,MATCH($B91,'Выгр Торг'!$B:$B,0))</f>
        <v>Спойлер утиный хвост "VFTS" для ВАЗ 2101, 2106</v>
      </c>
      <c r="B91" s="14">
        <v>216979</v>
      </c>
      <c r="C91" s="14">
        <f>VLOOKUP($B91,'Выгр Торг'!$B:$Q,C$1,0)</f>
        <v>87239</v>
      </c>
      <c r="D91" s="17" t="str">
        <f>VLOOKUP($B91,'Выгр Торг'!$B:$Q,D$1,0)</f>
        <v>Спойлер утиный хвост "VFTS" для ВАЗ 2101, 2106 (В цвет, Майя (серебристый темно-бордовый, 120))</v>
      </c>
      <c r="E91" s="14" t="str">
        <f>VLOOKUP($B91,'Выгр Торг'!$B:$Q,E$1,0)</f>
        <v>N</v>
      </c>
      <c r="F91" s="14" t="str">
        <f>VLOOKUP($B91,'Выгр Торг'!$B:$Q,F$1,0)</f>
        <v>1</v>
      </c>
      <c r="G91" s="28" t="s">
        <v>25</v>
      </c>
      <c r="H91" s="60">
        <v>2500</v>
      </c>
      <c r="I91" s="15">
        <f>VLOOKUP(H91,Наценка!$A$1:$B$8,2,1)</f>
        <v>1.4</v>
      </c>
      <c r="J91" s="34">
        <f t="shared" si="12"/>
        <v>3490</v>
      </c>
      <c r="K91" s="27">
        <f t="shared" si="7"/>
        <v>3490</v>
      </c>
      <c r="L91" s="14">
        <f>VLOOKUP($B91,'Выгр Торг'!$B:$Q,L$1,0)</f>
        <v>2500</v>
      </c>
      <c r="M91" s="14">
        <f>VLOOKUP($B91,'Выгр Торг'!$B:$Q,M$1,0)</f>
        <v>3690</v>
      </c>
      <c r="N91" s="24">
        <f t="shared" si="8"/>
        <v>0</v>
      </c>
      <c r="O91" s="24">
        <f t="shared" si="9"/>
        <v>200</v>
      </c>
      <c r="P91" s="25">
        <f t="shared" si="10"/>
        <v>3490</v>
      </c>
      <c r="Q91" s="7">
        <f>IFERROR(P91/H91-1,"")</f>
        <v>0.39599999999999991</v>
      </c>
      <c r="R91" s="7">
        <f>IFERROR((T91-P91)/T91,"")</f>
        <v>0</v>
      </c>
      <c r="S91" s="7">
        <f>IFERROR(IF(T91="","",T91/H91-1),"")</f>
        <v>0.39599999999999991</v>
      </c>
      <c r="T91" s="30">
        <f t="shared" si="11"/>
        <v>3490</v>
      </c>
      <c r="U91" s="33">
        <f>IFERROR((VLOOKUP($B91,'Из ГУГЛа'!$B:$Z,U$1,0)+W91)*V91,VLOOKUP($B91,'Из ГУГЛа'!$B:$Z,U$1,0))</f>
        <v>3490</v>
      </c>
      <c r="V91" s="10">
        <v>1</v>
      </c>
      <c r="W91" s="10">
        <v>2200</v>
      </c>
      <c r="X91">
        <v>3490</v>
      </c>
      <c r="Y91" t="s">
        <v>179</v>
      </c>
      <c r="Z91" s="33" t="str">
        <f>IFERROR((VLOOKUP($B91,'Из ГУГЛа'!$B:$Z,Z$1,0)+AB91)*AA91,VLOOKUP($B91,'Из ГУГЛа'!$B:$Z,Z$1,0))</f>
        <v/>
      </c>
      <c r="AA91" s="10">
        <v>1</v>
      </c>
      <c r="AB91" s="10">
        <v>2200</v>
      </c>
    </row>
    <row r="92" spans="1:28" ht="45" x14ac:dyDescent="0.25">
      <c r="A92" s="17" t="str">
        <f>INDEX('Выгр Торг'!$A:$A,MATCH($B92,'Выгр Торг'!$B:$B,0))</f>
        <v>Спойлер утиный хвост "VFTS" для ВАЗ 2101, 2106</v>
      </c>
      <c r="B92" s="14">
        <v>216980</v>
      </c>
      <c r="C92" s="14">
        <f>VLOOKUP($B92,'Выгр Торг'!$B:$Q,C$1,0)</f>
        <v>87240</v>
      </c>
      <c r="D92" s="17" t="str">
        <f>VLOOKUP($B92,'Выгр Торг'!$B:$Q,D$1,0)</f>
        <v>Спойлер утиный хвост "VFTS" для ВАЗ 2101, 2106 (В цвет, Мокрый асфальт (серебристый стальной, 626))</v>
      </c>
      <c r="E92" s="14" t="str">
        <f>VLOOKUP($B92,'Выгр Торг'!$B:$Q,E$1,0)</f>
        <v>N</v>
      </c>
      <c r="F92" s="14" t="str">
        <f>VLOOKUP($B92,'Выгр Торг'!$B:$Q,F$1,0)</f>
        <v>1</v>
      </c>
      <c r="G92" s="28" t="s">
        <v>25</v>
      </c>
      <c r="H92" s="60">
        <v>2500</v>
      </c>
      <c r="I92" s="15">
        <f>VLOOKUP(H92,Наценка!$A$1:$B$8,2,1)</f>
        <v>1.4</v>
      </c>
      <c r="J92" s="34">
        <f t="shared" si="12"/>
        <v>3490</v>
      </c>
      <c r="K92" s="27">
        <f t="shared" si="7"/>
        <v>3490</v>
      </c>
      <c r="L92" s="14">
        <f>VLOOKUP($B92,'Выгр Торг'!$B:$Q,L$1,0)</f>
        <v>2500</v>
      </c>
      <c r="M92" s="14">
        <f>VLOOKUP($B92,'Выгр Торг'!$B:$Q,M$1,0)</f>
        <v>3690</v>
      </c>
      <c r="N92" s="24">
        <f t="shared" si="8"/>
        <v>0</v>
      </c>
      <c r="O92" s="24">
        <f t="shared" si="9"/>
        <v>200</v>
      </c>
      <c r="P92" s="25">
        <f t="shared" si="10"/>
        <v>3490</v>
      </c>
      <c r="Q92" s="7">
        <f>IFERROR(P92/H92-1,"")</f>
        <v>0.39599999999999991</v>
      </c>
      <c r="R92" s="7">
        <f>IFERROR((T92-P92)/T92,"")</f>
        <v>0</v>
      </c>
      <c r="S92" s="7">
        <f>IFERROR(IF(T92="","",T92/H92-1),"")</f>
        <v>0.39599999999999991</v>
      </c>
      <c r="T92" s="30">
        <f t="shared" si="11"/>
        <v>3490</v>
      </c>
      <c r="U92" s="33">
        <f>IFERROR((VLOOKUP($B92,'Из ГУГЛа'!$B:$Z,U$1,0)+W92)*V92,VLOOKUP($B92,'Из ГУГЛа'!$B:$Z,U$1,0))</f>
        <v>3490</v>
      </c>
      <c r="V92" s="10">
        <v>1</v>
      </c>
      <c r="W92" s="10">
        <v>2200</v>
      </c>
      <c r="X92">
        <v>3490</v>
      </c>
      <c r="Y92" t="s">
        <v>179</v>
      </c>
      <c r="Z92" s="33" t="str">
        <f>IFERROR((VLOOKUP($B92,'Из ГУГЛа'!$B:$Z,Z$1,0)+AB92)*AA92,VLOOKUP($B92,'Из ГУГЛа'!$B:$Z,Z$1,0))</f>
        <v/>
      </c>
      <c r="AA92" s="10">
        <v>1</v>
      </c>
      <c r="AB92" s="10">
        <v>2200</v>
      </c>
    </row>
    <row r="93" spans="1:28" ht="45" x14ac:dyDescent="0.25">
      <c r="A93" s="17" t="str">
        <f>INDEX('Выгр Торг'!$A:$A,MATCH($B93,'Выгр Торг'!$B:$B,0))</f>
        <v>Спойлер утиный хвост "VFTS" для ВАЗ 2101, 2106</v>
      </c>
      <c r="B93" s="14">
        <v>216981</v>
      </c>
      <c r="C93" s="14">
        <f>VLOOKUP($B93,'Выгр Торг'!$B:$Q,C$1,0)</f>
        <v>87241</v>
      </c>
      <c r="D93" s="17" t="str">
        <f>VLOOKUP($B93,'Выгр Торг'!$B:$Q,D$1,0)</f>
        <v>Спойлер утиный хвост "VFTS" для ВАЗ 2101, 2106 (В цвет, Морская пучина (темно-зеленый, 325))</v>
      </c>
      <c r="E93" s="14" t="str">
        <f>VLOOKUP($B93,'Выгр Торг'!$B:$Q,E$1,0)</f>
        <v>N</v>
      </c>
      <c r="F93" s="14" t="str">
        <f>VLOOKUP($B93,'Выгр Торг'!$B:$Q,F$1,0)</f>
        <v>1</v>
      </c>
      <c r="G93" s="28" t="s">
        <v>25</v>
      </c>
      <c r="H93" s="60">
        <v>2500</v>
      </c>
      <c r="I93" s="15">
        <f>VLOOKUP(H93,Наценка!$A$1:$B$8,2,1)</f>
        <v>1.4</v>
      </c>
      <c r="J93" s="34">
        <f t="shared" si="12"/>
        <v>3490</v>
      </c>
      <c r="K93" s="27">
        <f t="shared" si="7"/>
        <v>3490</v>
      </c>
      <c r="L93" s="14">
        <f>VLOOKUP($B93,'Выгр Торг'!$B:$Q,L$1,0)</f>
        <v>2500</v>
      </c>
      <c r="M93" s="14">
        <f>VLOOKUP($B93,'Выгр Торг'!$B:$Q,M$1,0)</f>
        <v>3690</v>
      </c>
      <c r="N93" s="24">
        <f t="shared" si="8"/>
        <v>0</v>
      </c>
      <c r="O93" s="24">
        <f t="shared" si="9"/>
        <v>200</v>
      </c>
      <c r="P93" s="25">
        <f t="shared" si="10"/>
        <v>3490</v>
      </c>
      <c r="Q93" s="7">
        <f>IFERROR(P93/H93-1,"")</f>
        <v>0.39599999999999991</v>
      </c>
      <c r="R93" s="7">
        <f>IFERROR((T93-P93)/T93,"")</f>
        <v>0</v>
      </c>
      <c r="S93" s="7">
        <f>IFERROR(IF(T93="","",T93/H93-1),"")</f>
        <v>0.39599999999999991</v>
      </c>
      <c r="T93" s="30">
        <f t="shared" si="11"/>
        <v>3490</v>
      </c>
      <c r="U93" s="33">
        <f>IFERROR((VLOOKUP($B93,'Из ГУГЛа'!$B:$Z,U$1,0)+W93)*V93,VLOOKUP($B93,'Из ГУГЛа'!$B:$Z,U$1,0))</f>
        <v>3490</v>
      </c>
      <c r="V93" s="10">
        <v>1</v>
      </c>
      <c r="W93" s="10">
        <v>2200</v>
      </c>
      <c r="X93">
        <v>3490</v>
      </c>
      <c r="Y93" t="s">
        <v>179</v>
      </c>
      <c r="Z93" s="33" t="str">
        <f>IFERROR((VLOOKUP($B93,'Из ГУГЛа'!$B:$Z,Z$1,0)+AB93)*AA93,VLOOKUP($B93,'Из ГУГЛа'!$B:$Z,Z$1,0))</f>
        <v/>
      </c>
      <c r="AA93" s="10">
        <v>1</v>
      </c>
      <c r="AB93" s="10">
        <v>2200</v>
      </c>
    </row>
    <row r="94" spans="1:28" ht="45" x14ac:dyDescent="0.25">
      <c r="A94" s="17" t="str">
        <f>INDEX('Выгр Торг'!$A:$A,MATCH($B94,'Выгр Торг'!$B:$B,0))</f>
        <v>Спойлер утиный хвост "VFTS" для ВАЗ 2101, 2106</v>
      </c>
      <c r="B94" s="14">
        <v>216982</v>
      </c>
      <c r="C94" s="14">
        <f>VLOOKUP($B94,'Выгр Торг'!$B:$Q,C$1,0)</f>
        <v>87242</v>
      </c>
      <c r="D94" s="17" t="str">
        <f>VLOOKUP($B94,'Выгр Торг'!$B:$Q,D$1,0)</f>
        <v>Спойлер утиный хвост "VFTS" для ВАЗ 2101, 2106 (В цвет, Мурена (сине-зеленый, 377))</v>
      </c>
      <c r="E94" s="14" t="str">
        <f>VLOOKUP($B94,'Выгр Торг'!$B:$Q,E$1,0)</f>
        <v>N</v>
      </c>
      <c r="F94" s="14" t="str">
        <f>VLOOKUP($B94,'Выгр Торг'!$B:$Q,F$1,0)</f>
        <v>1</v>
      </c>
      <c r="G94" s="28" t="s">
        <v>25</v>
      </c>
      <c r="H94" s="60">
        <v>2500</v>
      </c>
      <c r="I94" s="15">
        <f>VLOOKUP(H94,Наценка!$A$1:$B$8,2,1)</f>
        <v>1.4</v>
      </c>
      <c r="J94" s="34">
        <f t="shared" si="12"/>
        <v>3490</v>
      </c>
      <c r="K94" s="27">
        <f t="shared" si="7"/>
        <v>3490</v>
      </c>
      <c r="L94" s="14">
        <f>VLOOKUP($B94,'Выгр Торг'!$B:$Q,L$1,0)</f>
        <v>2500</v>
      </c>
      <c r="M94" s="14">
        <f>VLOOKUP($B94,'Выгр Торг'!$B:$Q,M$1,0)</f>
        <v>3690</v>
      </c>
      <c r="N94" s="24">
        <f t="shared" si="8"/>
        <v>0</v>
      </c>
      <c r="O94" s="24">
        <f t="shared" si="9"/>
        <v>200</v>
      </c>
      <c r="P94" s="25">
        <f t="shared" si="10"/>
        <v>3490</v>
      </c>
      <c r="Q94" s="7">
        <f>IFERROR(P94/H94-1,"")</f>
        <v>0.39599999999999991</v>
      </c>
      <c r="R94" s="7">
        <f>IFERROR((T94-P94)/T94,"")</f>
        <v>0</v>
      </c>
      <c r="S94" s="7">
        <f>IFERROR(IF(T94="","",T94/H94-1),"")</f>
        <v>0.39599999999999991</v>
      </c>
      <c r="T94" s="30">
        <f t="shared" si="11"/>
        <v>3490</v>
      </c>
      <c r="U94" s="33">
        <f>IFERROR((VLOOKUP($B94,'Из ГУГЛа'!$B:$Z,U$1,0)+W94)*V94,VLOOKUP($B94,'Из ГУГЛа'!$B:$Z,U$1,0))</f>
        <v>3490</v>
      </c>
      <c r="V94" s="10">
        <v>1</v>
      </c>
      <c r="W94" s="10">
        <v>2200</v>
      </c>
      <c r="X94">
        <v>3490</v>
      </c>
      <c r="Y94" t="s">
        <v>179</v>
      </c>
      <c r="Z94" s="33" t="str">
        <f>IFERROR((VLOOKUP($B94,'Из ГУГЛа'!$B:$Z,Z$1,0)+AB94)*AA94,VLOOKUP($B94,'Из ГУГЛа'!$B:$Z,Z$1,0))</f>
        <v/>
      </c>
      <c r="AA94" s="10">
        <v>1</v>
      </c>
      <c r="AB94" s="10">
        <v>2200</v>
      </c>
    </row>
    <row r="95" spans="1:28" ht="45" x14ac:dyDescent="0.25">
      <c r="A95" s="17" t="str">
        <f>INDEX('Выгр Торг'!$A:$A,MATCH($B95,'Выгр Торг'!$B:$B,0))</f>
        <v>Спойлер утиный хвост "VFTS" для ВАЗ 2101, 2106</v>
      </c>
      <c r="B95" s="14">
        <v>216983</v>
      </c>
      <c r="C95" s="14">
        <f>VLOOKUP($B95,'Выгр Торг'!$B:$Q,C$1,0)</f>
        <v>87243</v>
      </c>
      <c r="D95" s="17" t="str">
        <f>VLOOKUP($B95,'Выгр Торг'!$B:$Q,D$1,0)</f>
        <v>Спойлер утиный хвост "VFTS" для ВАЗ 2101, 2106 (В цвет, Мускари (темно синий, 426))</v>
      </c>
      <c r="E95" s="14" t="str">
        <f>VLOOKUP($B95,'Выгр Торг'!$B:$Q,E$1,0)</f>
        <v>N</v>
      </c>
      <c r="F95" s="14" t="str">
        <f>VLOOKUP($B95,'Выгр Торг'!$B:$Q,F$1,0)</f>
        <v>1</v>
      </c>
      <c r="G95" s="28" t="s">
        <v>25</v>
      </c>
      <c r="H95" s="60">
        <v>2500</v>
      </c>
      <c r="I95" s="15">
        <f>VLOOKUP(H95,Наценка!$A$1:$B$8,2,1)</f>
        <v>1.4</v>
      </c>
      <c r="J95" s="34">
        <f t="shared" si="12"/>
        <v>3490</v>
      </c>
      <c r="K95" s="27">
        <f t="shared" si="7"/>
        <v>3490</v>
      </c>
      <c r="L95" s="14">
        <f>VLOOKUP($B95,'Выгр Торг'!$B:$Q,L$1,0)</f>
        <v>2500</v>
      </c>
      <c r="M95" s="14">
        <f>VLOOKUP($B95,'Выгр Торг'!$B:$Q,M$1,0)</f>
        <v>3690</v>
      </c>
      <c r="N95" s="24">
        <f t="shared" si="8"/>
        <v>0</v>
      </c>
      <c r="O95" s="24">
        <f t="shared" si="9"/>
        <v>200</v>
      </c>
      <c r="P95" s="25">
        <f t="shared" si="10"/>
        <v>3490</v>
      </c>
      <c r="Q95" s="7">
        <f>IFERROR(P95/H95-1,"")</f>
        <v>0.39599999999999991</v>
      </c>
      <c r="R95" s="7">
        <f>IFERROR((T95-P95)/T95,"")</f>
        <v>0</v>
      </c>
      <c r="S95" s="7">
        <f>IFERROR(IF(T95="","",T95/H95-1),"")</f>
        <v>0.39599999999999991</v>
      </c>
      <c r="T95" s="30">
        <f t="shared" si="11"/>
        <v>3490</v>
      </c>
      <c r="U95" s="33">
        <f>IFERROR((VLOOKUP($B95,'Из ГУГЛа'!$B:$Z,U$1,0)+W95)*V95,VLOOKUP($B95,'Из ГУГЛа'!$B:$Z,U$1,0))</f>
        <v>3490</v>
      </c>
      <c r="V95" s="10">
        <v>1</v>
      </c>
      <c r="W95" s="10">
        <v>2200</v>
      </c>
      <c r="X95">
        <v>3490</v>
      </c>
      <c r="Y95" t="s">
        <v>179</v>
      </c>
      <c r="Z95" s="33" t="str">
        <f>IFERROR((VLOOKUP($B95,'Из ГУГЛа'!$B:$Z,Z$1,0)+AB95)*AA95,VLOOKUP($B95,'Из ГУГЛа'!$B:$Z,Z$1,0))</f>
        <v/>
      </c>
      <c r="AA95" s="10">
        <v>1</v>
      </c>
      <c r="AB95" s="10">
        <v>2200</v>
      </c>
    </row>
    <row r="96" spans="1:28" ht="45" x14ac:dyDescent="0.25">
      <c r="A96" s="17" t="str">
        <f>INDEX('Выгр Торг'!$A:$A,MATCH($B96,'Выгр Торг'!$B:$B,0))</f>
        <v>Спойлер утиный хвост "VFTS" для ВАЗ 2101, 2106</v>
      </c>
      <c r="B96" s="14">
        <v>216984</v>
      </c>
      <c r="C96" s="14">
        <f>VLOOKUP($B96,'Выгр Торг'!$B:$Q,C$1,0)</f>
        <v>87244</v>
      </c>
      <c r="D96" s="17" t="str">
        <f>VLOOKUP($B96,'Выгр Торг'!$B:$Q,D$1,0)</f>
        <v>Спойлер утиный хвост "VFTS" для ВАЗ 2101, 2106 (В цвет, Нарцисс (желтый, 223))</v>
      </c>
      <c r="E96" s="14" t="str">
        <f>VLOOKUP($B96,'Выгр Торг'!$B:$Q,E$1,0)</f>
        <v>N</v>
      </c>
      <c r="F96" s="14" t="str">
        <f>VLOOKUP($B96,'Выгр Торг'!$B:$Q,F$1,0)</f>
        <v>1</v>
      </c>
      <c r="G96" s="28" t="s">
        <v>25</v>
      </c>
      <c r="H96" s="60">
        <v>2500</v>
      </c>
      <c r="I96" s="15">
        <f>VLOOKUP(H96,Наценка!$A$1:$B$8,2,1)</f>
        <v>1.4</v>
      </c>
      <c r="J96" s="34">
        <f t="shared" si="12"/>
        <v>3490</v>
      </c>
      <c r="K96" s="27">
        <f t="shared" si="7"/>
        <v>3490</v>
      </c>
      <c r="L96" s="14">
        <f>VLOOKUP($B96,'Выгр Торг'!$B:$Q,L$1,0)</f>
        <v>2500</v>
      </c>
      <c r="M96" s="14">
        <f>VLOOKUP($B96,'Выгр Торг'!$B:$Q,M$1,0)</f>
        <v>3690</v>
      </c>
      <c r="N96" s="24">
        <f t="shared" si="8"/>
        <v>0</v>
      </c>
      <c r="O96" s="24">
        <f t="shared" si="9"/>
        <v>200</v>
      </c>
      <c r="P96" s="25">
        <f t="shared" si="10"/>
        <v>3490</v>
      </c>
      <c r="Q96" s="7">
        <f>IFERROR(P96/H96-1,"")</f>
        <v>0.39599999999999991</v>
      </c>
      <c r="R96" s="7">
        <f>IFERROR((T96-P96)/T96,"")</f>
        <v>0</v>
      </c>
      <c r="S96" s="7">
        <f>IFERROR(IF(T96="","",T96/H96-1),"")</f>
        <v>0.39599999999999991</v>
      </c>
      <c r="T96" s="30">
        <f t="shared" si="11"/>
        <v>3490</v>
      </c>
      <c r="U96" s="33">
        <f>IFERROR((VLOOKUP($B96,'Из ГУГЛа'!$B:$Z,U$1,0)+W96)*V96,VLOOKUP($B96,'Из ГУГЛа'!$B:$Z,U$1,0))</f>
        <v>3490</v>
      </c>
      <c r="V96" s="10">
        <v>1</v>
      </c>
      <c r="W96" s="10">
        <v>2200</v>
      </c>
      <c r="X96">
        <v>3490</v>
      </c>
      <c r="Y96" t="s">
        <v>179</v>
      </c>
      <c r="Z96" s="33" t="str">
        <f>IFERROR((VLOOKUP($B96,'Из ГУГЛа'!$B:$Z,Z$1,0)+AB96)*AA96,VLOOKUP($B96,'Из ГУГЛа'!$B:$Z,Z$1,0))</f>
        <v/>
      </c>
      <c r="AA96" s="10">
        <v>1</v>
      </c>
      <c r="AB96" s="10">
        <v>2200</v>
      </c>
    </row>
    <row r="97" spans="1:28" ht="45" x14ac:dyDescent="0.25">
      <c r="A97" s="17" t="str">
        <f>INDEX('Выгр Торг'!$A:$A,MATCH($B97,'Выгр Торг'!$B:$B,0))</f>
        <v>Спойлер утиный хвост "VFTS" для ВАЗ 2101, 2106</v>
      </c>
      <c r="B97" s="14">
        <v>216985</v>
      </c>
      <c r="C97" s="14">
        <f>VLOOKUP($B97,'Выгр Торг'!$B:$Q,C$1,0)</f>
        <v>87245</v>
      </c>
      <c r="D97" s="17" t="str">
        <f>VLOOKUP($B97,'Выгр Торг'!$B:$Q,D$1,0)</f>
        <v>Спойлер утиный хвост "VFTS" для ВАЗ 2101, 2106 (В цвет, Наутилус (темно-зеленый, 304))</v>
      </c>
      <c r="E97" s="14" t="str">
        <f>VLOOKUP($B97,'Выгр Торг'!$B:$Q,E$1,0)</f>
        <v>N</v>
      </c>
      <c r="F97" s="14" t="str">
        <f>VLOOKUP($B97,'Выгр Торг'!$B:$Q,F$1,0)</f>
        <v>1</v>
      </c>
      <c r="G97" s="28" t="s">
        <v>25</v>
      </c>
      <c r="H97" s="60">
        <v>2500</v>
      </c>
      <c r="I97" s="15">
        <f>VLOOKUP(H97,Наценка!$A$1:$B$8,2,1)</f>
        <v>1.4</v>
      </c>
      <c r="J97" s="34">
        <f t="shared" si="12"/>
        <v>3490</v>
      </c>
      <c r="K97" s="27">
        <f t="shared" si="7"/>
        <v>3490</v>
      </c>
      <c r="L97" s="14">
        <f>VLOOKUP($B97,'Выгр Торг'!$B:$Q,L$1,0)</f>
        <v>2500</v>
      </c>
      <c r="M97" s="14">
        <f>VLOOKUP($B97,'Выгр Торг'!$B:$Q,M$1,0)</f>
        <v>3690</v>
      </c>
      <c r="N97" s="24">
        <f t="shared" si="8"/>
        <v>0</v>
      </c>
      <c r="O97" s="24">
        <f t="shared" si="9"/>
        <v>200</v>
      </c>
      <c r="P97" s="25">
        <f t="shared" si="10"/>
        <v>3490</v>
      </c>
      <c r="Q97" s="7">
        <f>IFERROR(P97/H97-1,"")</f>
        <v>0.39599999999999991</v>
      </c>
      <c r="R97" s="7">
        <f>IFERROR((T97-P97)/T97,"")</f>
        <v>0</v>
      </c>
      <c r="S97" s="7">
        <f>IFERROR(IF(T97="","",T97/H97-1),"")</f>
        <v>0.39599999999999991</v>
      </c>
      <c r="T97" s="30">
        <f t="shared" si="11"/>
        <v>3490</v>
      </c>
      <c r="U97" s="33">
        <f>IFERROR((VLOOKUP($B97,'Из ГУГЛа'!$B:$Z,U$1,0)+W97)*V97,VLOOKUP($B97,'Из ГУГЛа'!$B:$Z,U$1,0))</f>
        <v>3490</v>
      </c>
      <c r="V97" s="10">
        <v>1</v>
      </c>
      <c r="W97" s="10">
        <v>2200</v>
      </c>
      <c r="X97">
        <v>3490</v>
      </c>
      <c r="Y97" t="s">
        <v>179</v>
      </c>
      <c r="Z97" s="33" t="str">
        <f>IFERROR((VLOOKUP($B97,'Из ГУГЛа'!$B:$Z,Z$1,0)+AB97)*AA97,VLOOKUP($B97,'Из ГУГЛа'!$B:$Z,Z$1,0))</f>
        <v/>
      </c>
      <c r="AA97" s="10">
        <v>1</v>
      </c>
      <c r="AB97" s="10">
        <v>2200</v>
      </c>
    </row>
    <row r="98" spans="1:28" ht="45" x14ac:dyDescent="0.25">
      <c r="A98" s="17" t="str">
        <f>INDEX('Выгр Торг'!$A:$A,MATCH($B98,'Выгр Торг'!$B:$B,0))</f>
        <v>Спойлер утиный хвост "VFTS" для ВАЗ 2101, 2106</v>
      </c>
      <c r="B98" s="14">
        <v>216986</v>
      </c>
      <c r="C98" s="14">
        <f>VLOOKUP($B98,'Выгр Торг'!$B:$Q,C$1,0)</f>
        <v>87246</v>
      </c>
      <c r="D98" s="17" t="str">
        <f>VLOOKUP($B98,'Выгр Торг'!$B:$Q,D$1,0)</f>
        <v>Спойлер утиный хвост "VFTS" для ВАЗ 2101, 2106 (В цвет, Персей (темно-синий, 429))</v>
      </c>
      <c r="E98" s="14" t="str">
        <f>VLOOKUP($B98,'Выгр Торг'!$B:$Q,E$1,0)</f>
        <v>N</v>
      </c>
      <c r="F98" s="14" t="str">
        <f>VLOOKUP($B98,'Выгр Торг'!$B:$Q,F$1,0)</f>
        <v>1</v>
      </c>
      <c r="G98" s="28" t="s">
        <v>25</v>
      </c>
      <c r="H98" s="60">
        <v>2500</v>
      </c>
      <c r="I98" s="15">
        <f>VLOOKUP(H98,Наценка!$A$1:$B$8,2,1)</f>
        <v>1.4</v>
      </c>
      <c r="J98" s="34">
        <f t="shared" si="12"/>
        <v>3490</v>
      </c>
      <c r="K98" s="27">
        <f t="shared" si="7"/>
        <v>3490</v>
      </c>
      <c r="L98" s="14">
        <f>VLOOKUP($B98,'Выгр Торг'!$B:$Q,L$1,0)</f>
        <v>2500</v>
      </c>
      <c r="M98" s="14">
        <f>VLOOKUP($B98,'Выгр Торг'!$B:$Q,M$1,0)</f>
        <v>3690</v>
      </c>
      <c r="N98" s="24">
        <f t="shared" si="8"/>
        <v>0</v>
      </c>
      <c r="O98" s="24">
        <f t="shared" si="9"/>
        <v>200</v>
      </c>
      <c r="P98" s="25">
        <f t="shared" si="10"/>
        <v>3490</v>
      </c>
      <c r="Q98" s="7">
        <f>IFERROR(P98/H98-1,"")</f>
        <v>0.39599999999999991</v>
      </c>
      <c r="R98" s="7">
        <f>IFERROR((T98-P98)/T98,"")</f>
        <v>0</v>
      </c>
      <c r="S98" s="7">
        <f>IFERROR(IF(T98="","",T98/H98-1),"")</f>
        <v>0.39599999999999991</v>
      </c>
      <c r="T98" s="30">
        <f t="shared" si="11"/>
        <v>3490</v>
      </c>
      <c r="U98" s="33">
        <f>IFERROR((VLOOKUP($B98,'Из ГУГЛа'!$B:$Z,U$1,0)+W98)*V98,VLOOKUP($B98,'Из ГУГЛа'!$B:$Z,U$1,0))</f>
        <v>3490</v>
      </c>
      <c r="V98" s="10">
        <v>1</v>
      </c>
      <c r="W98" s="10">
        <v>2200</v>
      </c>
      <c r="X98">
        <v>3490</v>
      </c>
      <c r="Y98" t="s">
        <v>179</v>
      </c>
      <c r="Z98" s="33" t="str">
        <f>IFERROR((VLOOKUP($B98,'Из ГУГЛа'!$B:$Z,Z$1,0)+AB98)*AA98,VLOOKUP($B98,'Из ГУГЛа'!$B:$Z,Z$1,0))</f>
        <v/>
      </c>
      <c r="AA98" s="10">
        <v>1</v>
      </c>
      <c r="AB98" s="10">
        <v>2200</v>
      </c>
    </row>
    <row r="99" spans="1:28" ht="45" x14ac:dyDescent="0.25">
      <c r="A99" s="17" t="str">
        <f>INDEX('Выгр Торг'!$A:$A,MATCH($B99,'Выгр Торг'!$B:$B,0))</f>
        <v>Спойлер утиный хвост "VFTS" для ВАЗ 2101, 2106</v>
      </c>
      <c r="B99" s="14">
        <v>216987</v>
      </c>
      <c r="C99" s="14">
        <f>VLOOKUP($B99,'Выгр Торг'!$B:$Q,C$1,0)</f>
        <v>87247</v>
      </c>
      <c r="D99" s="17" t="str">
        <f>VLOOKUP($B99,'Выгр Торг'!$B:$Q,D$1,0)</f>
        <v>Спойлер утиный хвост "VFTS" для ВАЗ 2101, 2106 (В цвет, Петергоф (серо-зеленоватый, 404))</v>
      </c>
      <c r="E99" s="14" t="str">
        <f>VLOOKUP($B99,'Выгр Торг'!$B:$Q,E$1,0)</f>
        <v>N</v>
      </c>
      <c r="F99" s="14" t="str">
        <f>VLOOKUP($B99,'Выгр Торг'!$B:$Q,F$1,0)</f>
        <v>1</v>
      </c>
      <c r="G99" s="28" t="s">
        <v>25</v>
      </c>
      <c r="H99" s="60">
        <v>2500</v>
      </c>
      <c r="I99" s="15">
        <f>VLOOKUP(H99,Наценка!$A$1:$B$8,2,1)</f>
        <v>1.4</v>
      </c>
      <c r="J99" s="34">
        <f t="shared" si="12"/>
        <v>3490</v>
      </c>
      <c r="K99" s="27">
        <f t="shared" si="7"/>
        <v>3490</v>
      </c>
      <c r="L99" s="14">
        <f>VLOOKUP($B99,'Выгр Торг'!$B:$Q,L$1,0)</f>
        <v>2500</v>
      </c>
      <c r="M99" s="14">
        <f>VLOOKUP($B99,'Выгр Торг'!$B:$Q,M$1,0)</f>
        <v>3690</v>
      </c>
      <c r="N99" s="24">
        <f t="shared" si="8"/>
        <v>0</v>
      </c>
      <c r="O99" s="24">
        <f t="shared" si="9"/>
        <v>200</v>
      </c>
      <c r="P99" s="25">
        <f t="shared" si="10"/>
        <v>3490</v>
      </c>
      <c r="Q99" s="7">
        <f>IFERROR(P99/H99-1,"")</f>
        <v>0.39599999999999991</v>
      </c>
      <c r="R99" s="7">
        <f>IFERROR((T99-P99)/T99,"")</f>
        <v>0</v>
      </c>
      <c r="S99" s="7">
        <f>IFERROR(IF(T99="","",T99/H99-1),"")</f>
        <v>0.39599999999999991</v>
      </c>
      <c r="T99" s="30">
        <f t="shared" si="11"/>
        <v>3490</v>
      </c>
      <c r="U99" s="33">
        <f>IFERROR((VLOOKUP($B99,'Из ГУГЛа'!$B:$Z,U$1,0)+W99)*V99,VLOOKUP($B99,'Из ГУГЛа'!$B:$Z,U$1,0))</f>
        <v>3490</v>
      </c>
      <c r="V99" s="10">
        <v>1</v>
      </c>
      <c r="W99" s="10">
        <v>2200</v>
      </c>
      <c r="X99">
        <v>3490</v>
      </c>
      <c r="Y99" t="s">
        <v>179</v>
      </c>
      <c r="Z99" s="33" t="str">
        <f>IFERROR((VLOOKUP($B99,'Из ГУГЛа'!$B:$Z,Z$1,0)+AB99)*AA99,VLOOKUP($B99,'Из ГУГЛа'!$B:$Z,Z$1,0))</f>
        <v/>
      </c>
      <c r="AA99" s="10">
        <v>1</v>
      </c>
      <c r="AB99" s="10">
        <v>2200</v>
      </c>
    </row>
    <row r="100" spans="1:28" ht="45" x14ac:dyDescent="0.25">
      <c r="A100" s="17" t="str">
        <f>INDEX('Выгр Торг'!$A:$A,MATCH($B100,'Выгр Торг'!$B:$B,0))</f>
        <v>Спойлер утиный хвост "VFTS" для ВАЗ 2101, 2106</v>
      </c>
      <c r="B100" s="14">
        <v>216988</v>
      </c>
      <c r="C100" s="14">
        <f>VLOOKUP($B100,'Выгр Торг'!$B:$Q,C$1,0)</f>
        <v>87248</v>
      </c>
      <c r="D100" s="17" t="str">
        <f>VLOOKUP($B100,'Выгр Торг'!$B:$Q,D$1,0)</f>
        <v>Спойлер утиный хвост "VFTS" для ВАЗ 2101, 2106 (В цвет, Портвейн (темно-вишневый металлик, 192))</v>
      </c>
      <c r="E100" s="14" t="str">
        <f>VLOOKUP($B100,'Выгр Торг'!$B:$Q,E$1,0)</f>
        <v>N</v>
      </c>
      <c r="F100" s="14" t="str">
        <f>VLOOKUP($B100,'Выгр Торг'!$B:$Q,F$1,0)</f>
        <v>1</v>
      </c>
      <c r="G100" s="28" t="s">
        <v>25</v>
      </c>
      <c r="H100" s="60">
        <v>2500</v>
      </c>
      <c r="I100" s="15">
        <f>VLOOKUP(H100,Наценка!$A$1:$B$8,2,1)</f>
        <v>1.4</v>
      </c>
      <c r="J100" s="34">
        <f t="shared" si="12"/>
        <v>3490</v>
      </c>
      <c r="K100" s="27">
        <f t="shared" si="7"/>
        <v>3490</v>
      </c>
      <c r="L100" s="14">
        <f>VLOOKUP($B100,'Выгр Торг'!$B:$Q,L$1,0)</f>
        <v>2500</v>
      </c>
      <c r="M100" s="14">
        <f>VLOOKUP($B100,'Выгр Торг'!$B:$Q,M$1,0)</f>
        <v>3690</v>
      </c>
      <c r="N100" s="24">
        <f t="shared" si="8"/>
        <v>0</v>
      </c>
      <c r="O100" s="24">
        <f t="shared" si="9"/>
        <v>200</v>
      </c>
      <c r="P100" s="25">
        <f t="shared" si="10"/>
        <v>3490</v>
      </c>
      <c r="Q100" s="7">
        <f>IFERROR(P100/H100-1,"")</f>
        <v>0.39599999999999991</v>
      </c>
      <c r="R100" s="7">
        <f>IFERROR((T100-P100)/T100,"")</f>
        <v>0</v>
      </c>
      <c r="S100" s="7">
        <f>IFERROR(IF(T100="","",T100/H100-1),"")</f>
        <v>0.39599999999999991</v>
      </c>
      <c r="T100" s="30">
        <f t="shared" si="11"/>
        <v>3490</v>
      </c>
      <c r="U100" s="33">
        <f>IFERROR((VLOOKUP($B100,'Из ГУГЛа'!$B:$Z,U$1,0)+W100)*V100,VLOOKUP($B100,'Из ГУГЛа'!$B:$Z,U$1,0))</f>
        <v>3490</v>
      </c>
      <c r="V100" s="10">
        <v>1</v>
      </c>
      <c r="W100" s="10">
        <v>2200</v>
      </c>
      <c r="X100">
        <v>3490</v>
      </c>
      <c r="Y100" t="s">
        <v>179</v>
      </c>
      <c r="Z100" s="33" t="str">
        <f>IFERROR((VLOOKUP($B100,'Из ГУГЛа'!$B:$Z,Z$1,0)+AB100)*AA100,VLOOKUP($B100,'Из ГУГЛа'!$B:$Z,Z$1,0))</f>
        <v/>
      </c>
      <c r="AA100" s="10">
        <v>1</v>
      </c>
      <c r="AB100" s="10">
        <v>2200</v>
      </c>
    </row>
    <row r="101" spans="1:28" ht="45" x14ac:dyDescent="0.25">
      <c r="A101" s="17" t="str">
        <f>INDEX('Выгр Торг'!$A:$A,MATCH($B101,'Выгр Торг'!$B:$B,0))</f>
        <v>Спойлер утиный хвост "VFTS" для ВАЗ 2101, 2106</v>
      </c>
      <c r="B101" s="14">
        <v>216989</v>
      </c>
      <c r="C101" s="14">
        <f>VLOOKUP($B101,'Выгр Торг'!$B:$Q,C$1,0)</f>
        <v>87249</v>
      </c>
      <c r="D101" s="17" t="str">
        <f>VLOOKUP($B101,'Выгр Торг'!$B:$Q,D$1,0)</f>
        <v>Спойлер утиный хвост "VFTS" для ВАЗ 2101, 2106 (В цвет, Престиж (серебристо-темно-синий, 605))</v>
      </c>
      <c r="E101" s="14" t="str">
        <f>VLOOKUP($B101,'Выгр Торг'!$B:$Q,E$1,0)</f>
        <v>N</v>
      </c>
      <c r="F101" s="14" t="str">
        <f>VLOOKUP($B101,'Выгр Торг'!$B:$Q,F$1,0)</f>
        <v>1</v>
      </c>
      <c r="G101" s="28" t="s">
        <v>25</v>
      </c>
      <c r="H101" s="60">
        <v>2500</v>
      </c>
      <c r="I101" s="15">
        <f>VLOOKUP(H101,Наценка!$A$1:$B$8,2,1)</f>
        <v>1.4</v>
      </c>
      <c r="J101" s="34">
        <f t="shared" si="12"/>
        <v>3490</v>
      </c>
      <c r="K101" s="27">
        <f t="shared" si="7"/>
        <v>3490</v>
      </c>
      <c r="L101" s="14">
        <f>VLOOKUP($B101,'Выгр Торг'!$B:$Q,L$1,0)</f>
        <v>2500</v>
      </c>
      <c r="M101" s="14">
        <f>VLOOKUP($B101,'Выгр Торг'!$B:$Q,M$1,0)</f>
        <v>3690</v>
      </c>
      <c r="N101" s="24">
        <f t="shared" si="8"/>
        <v>0</v>
      </c>
      <c r="O101" s="24">
        <f t="shared" si="9"/>
        <v>200</v>
      </c>
      <c r="P101" s="25">
        <f t="shared" si="10"/>
        <v>3490</v>
      </c>
      <c r="Q101" s="7">
        <f>IFERROR(P101/H101-1,"")</f>
        <v>0.39599999999999991</v>
      </c>
      <c r="R101" s="7">
        <f>IFERROR((T101-P101)/T101,"")</f>
        <v>0</v>
      </c>
      <c r="S101" s="7">
        <f>IFERROR(IF(T101="","",T101/H101-1),"")</f>
        <v>0.39599999999999991</v>
      </c>
      <c r="T101" s="30">
        <f t="shared" si="11"/>
        <v>3490</v>
      </c>
      <c r="U101" s="33">
        <f>IFERROR((VLOOKUP($B101,'Из ГУГЛа'!$B:$Z,U$1,0)+W101)*V101,VLOOKUP($B101,'Из ГУГЛа'!$B:$Z,U$1,0))</f>
        <v>3490</v>
      </c>
      <c r="V101" s="10">
        <v>1</v>
      </c>
      <c r="W101" s="10">
        <v>2200</v>
      </c>
      <c r="X101">
        <v>3490</v>
      </c>
      <c r="Y101" t="s">
        <v>179</v>
      </c>
      <c r="Z101" s="33" t="str">
        <f>IFERROR((VLOOKUP($B101,'Из ГУГЛа'!$B:$Z,Z$1,0)+AB101)*AA101,VLOOKUP($B101,'Из ГУГЛа'!$B:$Z,Z$1,0))</f>
        <v/>
      </c>
      <c r="AA101" s="10">
        <v>1</v>
      </c>
      <c r="AB101" s="10">
        <v>2200</v>
      </c>
    </row>
    <row r="102" spans="1:28" ht="45" x14ac:dyDescent="0.25">
      <c r="A102" s="17" t="str">
        <f>INDEX('Выгр Торг'!$A:$A,MATCH($B102,'Выгр Торг'!$B:$B,0))</f>
        <v>Спойлер утиный хвост "VFTS" для ВАЗ 2101, 2106</v>
      </c>
      <c r="B102" s="14">
        <v>216990</v>
      </c>
      <c r="C102" s="14">
        <f>VLOOKUP($B102,'Выгр Торг'!$B:$Q,C$1,0)</f>
        <v>87250</v>
      </c>
      <c r="D102" s="17" t="str">
        <f>VLOOKUP($B102,'Выгр Торг'!$B:$Q,D$1,0)</f>
        <v>Спойлер утиный хвост "VFTS" для ВАЗ 2101, 2106 (В цвет, Романс (темно-красный, 182))</v>
      </c>
      <c r="E102" s="14" t="str">
        <f>VLOOKUP($B102,'Выгр Торг'!$B:$Q,E$1,0)</f>
        <v>N</v>
      </c>
      <c r="F102" s="14" t="str">
        <f>VLOOKUP($B102,'Выгр Торг'!$B:$Q,F$1,0)</f>
        <v>1</v>
      </c>
      <c r="G102" s="28" t="s">
        <v>25</v>
      </c>
      <c r="H102" s="60">
        <v>2500</v>
      </c>
      <c r="I102" s="15">
        <f>VLOOKUP(H102,Наценка!$A$1:$B$8,2,1)</f>
        <v>1.4</v>
      </c>
      <c r="J102" s="34">
        <f t="shared" si="12"/>
        <v>3490</v>
      </c>
      <c r="K102" s="27">
        <f t="shared" si="7"/>
        <v>3490</v>
      </c>
      <c r="L102" s="14">
        <f>VLOOKUP($B102,'Выгр Торг'!$B:$Q,L$1,0)</f>
        <v>2500</v>
      </c>
      <c r="M102" s="14">
        <f>VLOOKUP($B102,'Выгр Торг'!$B:$Q,M$1,0)</f>
        <v>3690</v>
      </c>
      <c r="N102" s="24">
        <f t="shared" si="8"/>
        <v>0</v>
      </c>
      <c r="O102" s="24">
        <f t="shared" si="9"/>
        <v>200</v>
      </c>
      <c r="P102" s="25">
        <f t="shared" si="10"/>
        <v>3490</v>
      </c>
      <c r="Q102" s="7">
        <f>IFERROR(P102/H102-1,"")</f>
        <v>0.39599999999999991</v>
      </c>
      <c r="R102" s="7">
        <f>IFERROR((T102-P102)/T102,"")</f>
        <v>0</v>
      </c>
      <c r="S102" s="7">
        <f>IFERROR(IF(T102="","",T102/H102-1),"")</f>
        <v>0.39599999999999991</v>
      </c>
      <c r="T102" s="30">
        <f t="shared" si="11"/>
        <v>3490</v>
      </c>
      <c r="U102" s="33">
        <f>IFERROR((VLOOKUP($B102,'Из ГУГЛа'!$B:$Z,U$1,0)+W102)*V102,VLOOKUP($B102,'Из ГУГЛа'!$B:$Z,U$1,0))</f>
        <v>3490</v>
      </c>
      <c r="V102" s="10">
        <v>1</v>
      </c>
      <c r="W102" s="10">
        <v>2200</v>
      </c>
      <c r="X102">
        <v>3490</v>
      </c>
      <c r="Y102" t="s">
        <v>179</v>
      </c>
      <c r="Z102" s="33" t="str">
        <f>IFERROR((VLOOKUP($B102,'Из ГУГЛа'!$B:$Z,Z$1,0)+AB102)*AA102,VLOOKUP($B102,'Из ГУГЛа'!$B:$Z,Z$1,0))</f>
        <v/>
      </c>
      <c r="AA102" s="10">
        <v>1</v>
      </c>
      <c r="AB102" s="10">
        <v>2200</v>
      </c>
    </row>
    <row r="103" spans="1:28" ht="45" x14ac:dyDescent="0.25">
      <c r="A103" s="17" t="str">
        <f>INDEX('Выгр Торг'!$A:$A,MATCH($B103,'Выгр Торг'!$B:$B,0))</f>
        <v>Спойлер утиный хвост "VFTS" для ВАЗ 2101, 2106</v>
      </c>
      <c r="B103" s="14">
        <v>216991</v>
      </c>
      <c r="C103" s="14">
        <f>VLOOKUP($B103,'Выгр Торг'!$B:$Q,C$1,0)</f>
        <v>87251</v>
      </c>
      <c r="D103" s="17" t="str">
        <f>VLOOKUP($B103,'Выгр Торг'!$B:$Q,D$1,0)</f>
        <v>Спойлер утиный хвост "VFTS" для ВАЗ 2101, 2106 (В цвет, Сафари (светло-бежевый, 215))</v>
      </c>
      <c r="E103" s="14" t="str">
        <f>VLOOKUP($B103,'Выгр Торг'!$B:$Q,E$1,0)</f>
        <v>N</v>
      </c>
      <c r="F103" s="14" t="str">
        <f>VLOOKUP($B103,'Выгр Торг'!$B:$Q,F$1,0)</f>
        <v>1</v>
      </c>
      <c r="G103" s="28" t="s">
        <v>25</v>
      </c>
      <c r="H103" s="60">
        <v>2500</v>
      </c>
      <c r="I103" s="15">
        <f>VLOOKUP(H103,Наценка!$A$1:$B$8,2,1)</f>
        <v>1.4</v>
      </c>
      <c r="J103" s="34">
        <f t="shared" si="12"/>
        <v>3490</v>
      </c>
      <c r="K103" s="27">
        <f t="shared" si="7"/>
        <v>3490</v>
      </c>
      <c r="L103" s="14">
        <f>VLOOKUP($B103,'Выгр Торг'!$B:$Q,L$1,0)</f>
        <v>2500</v>
      </c>
      <c r="M103" s="14">
        <f>VLOOKUP($B103,'Выгр Торг'!$B:$Q,M$1,0)</f>
        <v>3690</v>
      </c>
      <c r="N103" s="24">
        <f t="shared" si="8"/>
        <v>0</v>
      </c>
      <c r="O103" s="24">
        <f t="shared" si="9"/>
        <v>200</v>
      </c>
      <c r="P103" s="25">
        <f t="shared" si="10"/>
        <v>3490</v>
      </c>
      <c r="Q103" s="7">
        <f>IFERROR(P103/H103-1,"")</f>
        <v>0.39599999999999991</v>
      </c>
      <c r="R103" s="7">
        <f>IFERROR((T103-P103)/T103,"")</f>
        <v>0</v>
      </c>
      <c r="S103" s="7">
        <f>IFERROR(IF(T103="","",T103/H103-1),"")</f>
        <v>0.39599999999999991</v>
      </c>
      <c r="T103" s="30">
        <f t="shared" si="11"/>
        <v>3490</v>
      </c>
      <c r="U103" s="33">
        <f>IFERROR((VLOOKUP($B103,'Из ГУГЛа'!$B:$Z,U$1,0)+W103)*V103,VLOOKUP($B103,'Из ГУГЛа'!$B:$Z,U$1,0))</f>
        <v>3490</v>
      </c>
      <c r="V103" s="10">
        <v>1</v>
      </c>
      <c r="W103" s="10">
        <v>2200</v>
      </c>
      <c r="X103">
        <v>3490</v>
      </c>
      <c r="Y103" t="s">
        <v>179</v>
      </c>
      <c r="Z103" s="33" t="str">
        <f>IFERROR((VLOOKUP($B103,'Из ГУГЛа'!$B:$Z,Z$1,0)+AB103)*AA103,VLOOKUP($B103,'Из ГУГЛа'!$B:$Z,Z$1,0))</f>
        <v/>
      </c>
      <c r="AA103" s="10">
        <v>1</v>
      </c>
      <c r="AB103" s="10">
        <v>2200</v>
      </c>
    </row>
    <row r="104" spans="1:28" ht="45" x14ac:dyDescent="0.25">
      <c r="A104" s="17" t="str">
        <f>INDEX('Выгр Торг'!$A:$A,MATCH($B104,'Выгр Торг'!$B:$B,0))</f>
        <v>Спойлер утиный хвост "VFTS" для ВАЗ 2101, 2106</v>
      </c>
      <c r="B104" s="14">
        <v>216992</v>
      </c>
      <c r="C104" s="14">
        <f>VLOOKUP($B104,'Выгр Торг'!$B:$Q,C$1,0)</f>
        <v>87252</v>
      </c>
      <c r="D104" s="17" t="str">
        <f>VLOOKUP($B104,'Выгр Торг'!$B:$Q,D$1,0)</f>
        <v>Спойлер утиный хвост "VFTS" для ВАЗ 2101, 2106 (В цвет, Снежная королева (серебристый, 690))</v>
      </c>
      <c r="E104" s="14" t="str">
        <f>VLOOKUP($B104,'Выгр Торг'!$B:$Q,E$1,0)</f>
        <v>N</v>
      </c>
      <c r="F104" s="14" t="str">
        <f>VLOOKUP($B104,'Выгр Торг'!$B:$Q,F$1,0)</f>
        <v>1</v>
      </c>
      <c r="G104" s="28" t="s">
        <v>25</v>
      </c>
      <c r="H104" s="60">
        <v>2500</v>
      </c>
      <c r="I104" s="15">
        <f>VLOOKUP(H104,Наценка!$A$1:$B$8,2,1)</f>
        <v>1.4</v>
      </c>
      <c r="J104" s="34">
        <f t="shared" si="12"/>
        <v>3490</v>
      </c>
      <c r="K104" s="27">
        <f t="shared" si="7"/>
        <v>3490</v>
      </c>
      <c r="L104" s="14">
        <f>VLOOKUP($B104,'Выгр Торг'!$B:$Q,L$1,0)</f>
        <v>2500</v>
      </c>
      <c r="M104" s="14">
        <f>VLOOKUP($B104,'Выгр Торг'!$B:$Q,M$1,0)</f>
        <v>3690</v>
      </c>
      <c r="N104" s="24">
        <f t="shared" si="8"/>
        <v>0</v>
      </c>
      <c r="O104" s="24">
        <f t="shared" si="9"/>
        <v>200</v>
      </c>
      <c r="P104" s="25">
        <f t="shared" si="10"/>
        <v>3490</v>
      </c>
      <c r="Q104" s="7">
        <f>IFERROR(P104/H104-1,"")</f>
        <v>0.39599999999999991</v>
      </c>
      <c r="R104" s="7">
        <f>IFERROR((T104-P104)/T104,"")</f>
        <v>0</v>
      </c>
      <c r="S104" s="7">
        <f>IFERROR(IF(T104="","",T104/H104-1),"")</f>
        <v>0.39599999999999991</v>
      </c>
      <c r="T104" s="30">
        <f t="shared" si="11"/>
        <v>3490</v>
      </c>
      <c r="U104" s="33">
        <f>IFERROR((VLOOKUP($B104,'Из ГУГЛа'!$B:$Z,U$1,0)+W104)*V104,VLOOKUP($B104,'Из ГУГЛа'!$B:$Z,U$1,0))</f>
        <v>3490</v>
      </c>
      <c r="V104" s="10">
        <v>1</v>
      </c>
      <c r="W104" s="10">
        <v>2200</v>
      </c>
      <c r="X104">
        <v>3490</v>
      </c>
      <c r="Y104" t="s">
        <v>179</v>
      </c>
      <c r="Z104" s="33" t="str">
        <f>IFERROR((VLOOKUP($B104,'Из ГУГЛа'!$B:$Z,Z$1,0)+AB104)*AA104,VLOOKUP($B104,'Из ГУГЛа'!$B:$Z,Z$1,0))</f>
        <v/>
      </c>
      <c r="AA104" s="10">
        <v>1</v>
      </c>
      <c r="AB104" s="10">
        <v>2200</v>
      </c>
    </row>
    <row r="105" spans="1:28" ht="45" x14ac:dyDescent="0.25">
      <c r="A105" s="17" t="str">
        <f>INDEX('Выгр Торг'!$A:$A,MATCH($B105,'Выгр Торг'!$B:$B,0))</f>
        <v>Спойлер утиный хвост "VFTS" для ВАЗ 2101, 2106</v>
      </c>
      <c r="B105" s="14">
        <v>216993</v>
      </c>
      <c r="C105" s="14">
        <f>VLOOKUP($B105,'Выгр Торг'!$B:$Q,C$1,0)</f>
        <v>87253</v>
      </c>
      <c r="D105" s="17" t="str">
        <f>VLOOKUP($B105,'Выгр Торг'!$B:$Q,D$1,0)</f>
        <v>Спойлер утиный хвост "VFTS" для ВАЗ 2101, 2106 (В цвет, Сочи (серебристо-серо-зеленоватый, 360))</v>
      </c>
      <c r="E105" s="14" t="str">
        <f>VLOOKUP($B105,'Выгр Торг'!$B:$Q,E$1,0)</f>
        <v>N</v>
      </c>
      <c r="F105" s="14" t="str">
        <f>VLOOKUP($B105,'Выгр Торг'!$B:$Q,F$1,0)</f>
        <v>1</v>
      </c>
      <c r="G105" s="28" t="s">
        <v>25</v>
      </c>
      <c r="H105" s="60">
        <v>2500</v>
      </c>
      <c r="I105" s="15">
        <f>VLOOKUP(H105,Наценка!$A$1:$B$8,2,1)</f>
        <v>1.4</v>
      </c>
      <c r="J105" s="34">
        <f t="shared" si="12"/>
        <v>3490</v>
      </c>
      <c r="K105" s="27">
        <f t="shared" si="7"/>
        <v>3490</v>
      </c>
      <c r="L105" s="14">
        <f>VLOOKUP($B105,'Выгр Торг'!$B:$Q,L$1,0)</f>
        <v>2500</v>
      </c>
      <c r="M105" s="14">
        <f>VLOOKUP($B105,'Выгр Торг'!$B:$Q,M$1,0)</f>
        <v>3690</v>
      </c>
      <c r="N105" s="24">
        <f t="shared" si="8"/>
        <v>0</v>
      </c>
      <c r="O105" s="24">
        <f t="shared" si="9"/>
        <v>200</v>
      </c>
      <c r="P105" s="25">
        <f t="shared" si="10"/>
        <v>3490</v>
      </c>
      <c r="Q105" s="7">
        <f>IFERROR(P105/H105-1,"")</f>
        <v>0.39599999999999991</v>
      </c>
      <c r="R105" s="7">
        <f>IFERROR((T105-P105)/T105,"")</f>
        <v>0</v>
      </c>
      <c r="S105" s="7">
        <f>IFERROR(IF(T105="","",T105/H105-1),"")</f>
        <v>0.39599999999999991</v>
      </c>
      <c r="T105" s="30">
        <f t="shared" si="11"/>
        <v>3490</v>
      </c>
      <c r="U105" s="33">
        <f>IFERROR((VLOOKUP($B105,'Из ГУГЛа'!$B:$Z,U$1,0)+W105)*V105,VLOOKUP($B105,'Из ГУГЛа'!$B:$Z,U$1,0))</f>
        <v>3490</v>
      </c>
      <c r="V105" s="10">
        <v>1</v>
      </c>
      <c r="W105" s="10">
        <v>2200</v>
      </c>
      <c r="X105">
        <v>3490</v>
      </c>
      <c r="Y105" t="s">
        <v>179</v>
      </c>
      <c r="Z105" s="33" t="str">
        <f>IFERROR((VLOOKUP($B105,'Из ГУГЛа'!$B:$Z,Z$1,0)+AB105)*AA105,VLOOKUP($B105,'Из ГУГЛа'!$B:$Z,Z$1,0))</f>
        <v/>
      </c>
      <c r="AA105" s="10">
        <v>1</v>
      </c>
      <c r="AB105" s="10">
        <v>2200</v>
      </c>
    </row>
    <row r="106" spans="1:28" ht="45" x14ac:dyDescent="0.25">
      <c r="A106" s="17" t="str">
        <f>INDEX('Выгр Торг'!$A:$A,MATCH($B106,'Выгр Торг'!$B:$B,0))</f>
        <v>Спойлер утиный хвост "VFTS" для ВАЗ 2101, 2106</v>
      </c>
      <c r="B106" s="14">
        <v>216994</v>
      </c>
      <c r="C106" s="14">
        <f>VLOOKUP($B106,'Выгр Торг'!$B:$Q,C$1,0)</f>
        <v>87254</v>
      </c>
      <c r="D106" s="17" t="str">
        <f>VLOOKUP($B106,'Выгр Торг'!$B:$Q,D$1,0)</f>
        <v>Спойлер утиный хвост "VFTS" для ВАЗ 2101, 2106 (В цвет, Чайная роза (светло-желтый, 228))</v>
      </c>
      <c r="E106" s="14" t="str">
        <f>VLOOKUP($B106,'Выгр Торг'!$B:$Q,E$1,0)</f>
        <v>N</v>
      </c>
      <c r="F106" s="14" t="str">
        <f>VLOOKUP($B106,'Выгр Торг'!$B:$Q,F$1,0)</f>
        <v>1</v>
      </c>
      <c r="G106" s="28" t="s">
        <v>25</v>
      </c>
      <c r="H106" s="60">
        <v>2500</v>
      </c>
      <c r="I106" s="15">
        <f>VLOOKUP(H106,Наценка!$A$1:$B$8,2,1)</f>
        <v>1.4</v>
      </c>
      <c r="J106" s="34">
        <f t="shared" si="12"/>
        <v>3490</v>
      </c>
      <c r="K106" s="27">
        <f t="shared" si="7"/>
        <v>3490</v>
      </c>
      <c r="L106" s="14">
        <f>VLOOKUP($B106,'Выгр Торг'!$B:$Q,L$1,0)</f>
        <v>2500</v>
      </c>
      <c r="M106" s="14">
        <f>VLOOKUP($B106,'Выгр Торг'!$B:$Q,M$1,0)</f>
        <v>3690</v>
      </c>
      <c r="N106" s="24">
        <f t="shared" si="8"/>
        <v>0</v>
      </c>
      <c r="O106" s="24">
        <f t="shared" si="9"/>
        <v>200</v>
      </c>
      <c r="P106" s="25">
        <f t="shared" si="10"/>
        <v>3490</v>
      </c>
      <c r="Q106" s="7">
        <f>IFERROR(P106/H106-1,"")</f>
        <v>0.39599999999999991</v>
      </c>
      <c r="R106" s="7">
        <f>IFERROR((T106-P106)/T106,"")</f>
        <v>0</v>
      </c>
      <c r="S106" s="7">
        <f>IFERROR(IF(T106="","",T106/H106-1),"")</f>
        <v>0.39599999999999991</v>
      </c>
      <c r="T106" s="30">
        <f t="shared" si="11"/>
        <v>3490</v>
      </c>
      <c r="U106" s="33">
        <f>IFERROR((VLOOKUP($B106,'Из ГУГЛа'!$B:$Z,U$1,0)+W106)*V106,VLOOKUP($B106,'Из ГУГЛа'!$B:$Z,U$1,0))</f>
        <v>3490</v>
      </c>
      <c r="V106" s="10">
        <v>1</v>
      </c>
      <c r="W106" s="10">
        <v>2200</v>
      </c>
      <c r="X106">
        <v>3490</v>
      </c>
      <c r="Y106" t="s">
        <v>179</v>
      </c>
      <c r="Z106" s="33" t="str">
        <f>IFERROR((VLOOKUP($B106,'Из ГУГЛа'!$B:$Z,Z$1,0)+AB106)*AA106,VLOOKUP($B106,'Из ГУГЛа'!$B:$Z,Z$1,0))</f>
        <v/>
      </c>
      <c r="AA106" s="10">
        <v>1</v>
      </c>
      <c r="AB106" s="10">
        <v>2200</v>
      </c>
    </row>
    <row r="110" spans="1:28" x14ac:dyDescent="0.25">
      <c r="J110" s="36">
        <f t="shared" ref="J110" si="13">H110*I110</f>
        <v>0</v>
      </c>
    </row>
    <row r="111" spans="1:28" x14ac:dyDescent="0.25">
      <c r="J111" s="39">
        <f>T111-10</f>
        <v>-10</v>
      </c>
    </row>
    <row r="112" spans="1:28" x14ac:dyDescent="0.25">
      <c r="J112" s="40">
        <f>T112-30</f>
        <v>-30</v>
      </c>
    </row>
    <row r="113" spans="10:10" x14ac:dyDescent="0.25">
      <c r="J113" s="41">
        <f>T113-100</f>
        <v>-100</v>
      </c>
    </row>
    <row r="114" spans="10:10" x14ac:dyDescent="0.25">
      <c r="J114" s="42">
        <f>T114</f>
        <v>0</v>
      </c>
    </row>
    <row r="115" spans="10:10" x14ac:dyDescent="0.25">
      <c r="J115" s="42">
        <f>T115*1.02</f>
        <v>0</v>
      </c>
    </row>
    <row r="116" spans="10:10" x14ac:dyDescent="0.25">
      <c r="J116" s="43">
        <f>T116*1.05</f>
        <v>0</v>
      </c>
    </row>
    <row r="117" spans="10:10" x14ac:dyDescent="0.25">
      <c r="J117" s="44">
        <f>T117*1.08</f>
        <v>0</v>
      </c>
    </row>
    <row r="118" spans="10:10" x14ac:dyDescent="0.25">
      <c r="J118" s="35">
        <f>H118*1.24</f>
        <v>0</v>
      </c>
    </row>
  </sheetData>
  <autoFilter ref="A2:T106" xr:uid="{64BCF4BB-5576-480E-A76B-7F8D12A6956D}"/>
  <conditionalFormatting sqref="R3:R106">
    <cfRule type="cellIs" dxfId="7" priority="8" operator="lessThan">
      <formula>0</formula>
    </cfRule>
  </conditionalFormatting>
  <conditionalFormatting sqref="S3:S106 Q3:Q106">
    <cfRule type="cellIs" dxfId="6" priority="7" operator="lessThan">
      <formula>0.15</formula>
    </cfRule>
  </conditionalFormatting>
  <conditionalFormatting sqref="U3:U106">
    <cfRule type="expression" dxfId="5" priority="6">
      <formula>VALUE(U3)&lt;&gt;X3</formula>
    </cfRule>
  </conditionalFormatting>
  <conditionalFormatting sqref="D3:D106">
    <cfRule type="expression" dxfId="4" priority="4">
      <formula>OR(E3="N",F3="0")</formula>
    </cfRule>
  </conditionalFormatting>
  <conditionalFormatting sqref="B3:B106">
    <cfRule type="expression" dxfId="3" priority="2">
      <formula>AND(ROUNDDOWN($N3,0)=0,ROUNDDOWN($O3,0)=0)</formula>
    </cfRule>
  </conditionalFormatting>
  <conditionalFormatting sqref="Z3:Z106">
    <cfRule type="expression" dxfId="0" priority="1">
      <formula>VALUE(Z3)&lt;&gt;AC3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E42EC-EDF9-4C9D-9450-B2CC667DCADB}">
  <sheetPr codeName="Лист8"/>
  <dimension ref="A1:B8"/>
  <sheetViews>
    <sheetView workbookViewId="0">
      <selection activeCell="B18" sqref="B18"/>
    </sheetView>
  </sheetViews>
  <sheetFormatPr defaultRowHeight="15" x14ac:dyDescent="0.25"/>
  <sheetData>
    <row r="1" spans="1:2" x14ac:dyDescent="0.25">
      <c r="A1" s="1">
        <v>0.1</v>
      </c>
      <c r="B1" s="1">
        <v>2</v>
      </c>
    </row>
    <row r="2" spans="1:2" x14ac:dyDescent="0.25">
      <c r="A2" s="1">
        <v>100</v>
      </c>
      <c r="B2" s="1">
        <v>1.8</v>
      </c>
    </row>
    <row r="3" spans="1:2" x14ac:dyDescent="0.25">
      <c r="A3" s="2">
        <v>300</v>
      </c>
      <c r="B3" s="2">
        <v>1.6</v>
      </c>
    </row>
    <row r="4" spans="1:2" x14ac:dyDescent="0.25">
      <c r="A4" s="2">
        <v>500</v>
      </c>
      <c r="B4" s="2">
        <v>1.55</v>
      </c>
    </row>
    <row r="5" spans="1:2" x14ac:dyDescent="0.25">
      <c r="A5" s="2">
        <v>1000</v>
      </c>
      <c r="B5" s="2">
        <v>1.5</v>
      </c>
    </row>
    <row r="6" spans="1:2" x14ac:dyDescent="0.25">
      <c r="A6" s="2">
        <v>2000</v>
      </c>
      <c r="B6" s="2">
        <v>1.4</v>
      </c>
    </row>
    <row r="7" spans="1:2" x14ac:dyDescent="0.25">
      <c r="A7" s="2">
        <v>5000</v>
      </c>
      <c r="B7" s="2">
        <v>1.35</v>
      </c>
    </row>
    <row r="8" spans="1:2" x14ac:dyDescent="0.25">
      <c r="A8" s="2">
        <v>10000</v>
      </c>
      <c r="B8" s="2">
        <v>1.3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C524-75E8-45F1-91F9-F73EEA9D9316}">
  <sheetPr codeName="Лист4">
    <outlinePr summaryBelow="0"/>
  </sheetPr>
  <dimension ref="A1:O20"/>
  <sheetViews>
    <sheetView showRuler="0" zoomScaleNormal="100" workbookViewId="0">
      <pane ySplit="1" topLeftCell="A14" activePane="bottomLeft" state="frozen"/>
      <selection pane="bottomLeft" sqref="A1:M20"/>
    </sheetView>
  </sheetViews>
  <sheetFormatPr defaultRowHeight="15" x14ac:dyDescent="0.25"/>
  <cols>
    <col min="1" max="2" width="7.7109375" style="21" customWidth="1"/>
    <col min="3" max="3" width="33.28515625" style="21" customWidth="1"/>
    <col min="4" max="5" width="22.28515625" style="21" customWidth="1"/>
    <col min="6" max="6" width="33.28515625" style="21" customWidth="1"/>
    <col min="7" max="7" width="22.28515625" style="21" customWidth="1"/>
    <col min="8" max="9" width="11.140625" style="21" customWidth="1"/>
    <col min="10" max="10" width="22.28515625" style="21" customWidth="1"/>
    <col min="11" max="11" width="11.140625" style="21" customWidth="1"/>
    <col min="12" max="14" width="5.5703125" style="21" customWidth="1"/>
    <col min="15" max="16384" width="9.140625" style="21"/>
  </cols>
  <sheetData>
    <row r="1" spans="1:15" s="20" customFormat="1" ht="45" x14ac:dyDescent="0.25">
      <c r="A1" s="61" t="s">
        <v>5</v>
      </c>
      <c r="B1" s="61" t="s">
        <v>14</v>
      </c>
      <c r="C1" s="61" t="s">
        <v>13</v>
      </c>
      <c r="D1" s="61" t="s">
        <v>16</v>
      </c>
      <c r="E1" s="61" t="s">
        <v>17</v>
      </c>
      <c r="F1" s="61" t="s">
        <v>18</v>
      </c>
      <c r="G1" s="61" t="s">
        <v>7</v>
      </c>
      <c r="H1" s="61" t="s">
        <v>8</v>
      </c>
      <c r="I1" s="61" t="s">
        <v>0</v>
      </c>
      <c r="J1" s="61" t="s">
        <v>19</v>
      </c>
      <c r="K1" s="61" t="s">
        <v>20</v>
      </c>
      <c r="L1" s="61" t="s">
        <v>21</v>
      </c>
      <c r="M1" s="61" t="s">
        <v>22</v>
      </c>
      <c r="N1" s="19"/>
      <c r="O1" s="19"/>
    </row>
    <row r="2" spans="1:15" ht="30" x14ac:dyDescent="0.25">
      <c r="A2" s="62">
        <v>138557</v>
      </c>
      <c r="B2" s="62">
        <v>32438</v>
      </c>
      <c r="C2" s="63" t="s">
        <v>23</v>
      </c>
      <c r="D2" s="63" t="s">
        <v>24</v>
      </c>
      <c r="E2" s="63"/>
      <c r="F2" s="63"/>
      <c r="G2" s="63" t="s">
        <v>25</v>
      </c>
      <c r="H2" s="64">
        <v>100</v>
      </c>
      <c r="I2" s="64">
        <v>269</v>
      </c>
      <c r="J2" s="63"/>
      <c r="K2" s="63" t="s">
        <v>12</v>
      </c>
      <c r="L2" s="63" t="s">
        <v>26</v>
      </c>
      <c r="M2" s="63"/>
      <c r="N2" s="19" t="str">
        <f>_xlfn.CONCAT(K2,IF(L2&lt;&gt;"",_xlfn.CONCAT("ск",L2),""))</f>
        <v>1ск2</v>
      </c>
      <c r="O2" s="19" t="str">
        <f>INDEX(Кат!$F:$F,MATCH($A2,Кат!$A:$A,0))</f>
        <v>вихур</v>
      </c>
    </row>
    <row r="3" spans="1:15" ht="30" x14ac:dyDescent="0.25">
      <c r="A3" s="62">
        <v>139415</v>
      </c>
      <c r="B3" s="62">
        <v>32391</v>
      </c>
      <c r="C3" s="63" t="s">
        <v>27</v>
      </c>
      <c r="D3" s="63" t="s">
        <v>24</v>
      </c>
      <c r="E3" s="63"/>
      <c r="F3" s="63"/>
      <c r="G3" s="63" t="s">
        <v>25</v>
      </c>
      <c r="H3" s="64">
        <v>280</v>
      </c>
      <c r="I3" s="64">
        <v>639</v>
      </c>
      <c r="J3" s="63"/>
      <c r="K3" s="63" t="s">
        <v>12</v>
      </c>
      <c r="L3" s="63" t="s">
        <v>26</v>
      </c>
      <c r="M3" s="63"/>
      <c r="N3" s="19" t="str">
        <f t="shared" ref="N3:N20" si="0">_xlfn.CONCAT(K3,IF(L3&lt;&gt;"",_xlfn.CONCAT("ск",L3),""))</f>
        <v>1ск2</v>
      </c>
      <c r="O3" s="19" t="str">
        <f>INDEX(Кат!$F:$F,MATCH($A3,Кат!$A:$A,0))</f>
        <v>вихур</v>
      </c>
    </row>
    <row r="4" spans="1:15" ht="60" x14ac:dyDescent="0.25">
      <c r="A4" s="62">
        <v>141876</v>
      </c>
      <c r="B4" s="62">
        <v>14189</v>
      </c>
      <c r="C4" s="63" t="s">
        <v>28</v>
      </c>
      <c r="D4" s="63" t="s">
        <v>24</v>
      </c>
      <c r="E4" s="63"/>
      <c r="F4" s="63"/>
      <c r="G4" s="63" t="s">
        <v>25</v>
      </c>
      <c r="H4" s="64">
        <v>400</v>
      </c>
      <c r="I4" s="64">
        <v>899</v>
      </c>
      <c r="J4" s="63" t="s">
        <v>29</v>
      </c>
      <c r="K4" s="63" t="s">
        <v>12</v>
      </c>
      <c r="L4" s="63" t="s">
        <v>26</v>
      </c>
      <c r="M4" s="63"/>
      <c r="N4" s="19" t="str">
        <f t="shared" si="0"/>
        <v>1ск2</v>
      </c>
      <c r="O4" s="19" t="str">
        <f>INDEX(Кат!$F:$F,MATCH($A4,Кат!$A:$A,0))</f>
        <v>вихур</v>
      </c>
    </row>
    <row r="5" spans="1:15" ht="45" x14ac:dyDescent="0.25">
      <c r="A5" s="62">
        <v>214510</v>
      </c>
      <c r="B5" s="62">
        <v>166874</v>
      </c>
      <c r="C5" s="63" t="s">
        <v>30</v>
      </c>
      <c r="D5" s="63" t="s">
        <v>24</v>
      </c>
      <c r="E5" s="63"/>
      <c r="F5" s="63"/>
      <c r="G5" s="63" t="s">
        <v>25</v>
      </c>
      <c r="H5" s="64">
        <v>600</v>
      </c>
      <c r="I5" s="64">
        <v>889</v>
      </c>
      <c r="J5" s="63"/>
      <c r="K5" s="63" t="s">
        <v>12</v>
      </c>
      <c r="L5" s="63"/>
      <c r="M5" s="63"/>
      <c r="N5" s="19" t="str">
        <f t="shared" si="0"/>
        <v>1</v>
      </c>
      <c r="O5" s="19" t="str">
        <f>INDEX(Кат!$F:$F,MATCH($A5,Кат!$A:$A,0))</f>
        <v>вихур</v>
      </c>
    </row>
    <row r="6" spans="1:15" ht="30" x14ac:dyDescent="0.25">
      <c r="A6" s="62">
        <v>214511</v>
      </c>
      <c r="B6" s="62">
        <v>30476</v>
      </c>
      <c r="C6" s="63" t="s">
        <v>31</v>
      </c>
      <c r="D6" s="63" t="s">
        <v>24</v>
      </c>
      <c r="E6" s="63"/>
      <c r="F6" s="63"/>
      <c r="G6" s="63" t="s">
        <v>25</v>
      </c>
      <c r="H6" s="64">
        <v>600</v>
      </c>
      <c r="I6" s="64">
        <v>889</v>
      </c>
      <c r="J6" s="63"/>
      <c r="K6" s="63" t="s">
        <v>12</v>
      </c>
      <c r="L6" s="63"/>
      <c r="M6" s="63"/>
      <c r="N6" s="19" t="str">
        <f t="shared" si="0"/>
        <v>1</v>
      </c>
      <c r="O6" s="19" t="str">
        <f>INDEX(Кат!$F:$F,MATCH($A6,Кат!$A:$A,0))</f>
        <v>вихур</v>
      </c>
    </row>
    <row r="7" spans="1:15" ht="30" x14ac:dyDescent="0.25">
      <c r="A7" s="62">
        <v>214542</v>
      </c>
      <c r="B7" s="62">
        <v>6793</v>
      </c>
      <c r="C7" s="63" t="s">
        <v>32</v>
      </c>
      <c r="D7" s="63" t="s">
        <v>24</v>
      </c>
      <c r="E7" s="63"/>
      <c r="F7" s="63"/>
      <c r="G7" s="63" t="s">
        <v>25</v>
      </c>
      <c r="H7" s="64">
        <v>600</v>
      </c>
      <c r="I7" s="64">
        <v>889</v>
      </c>
      <c r="J7" s="63"/>
      <c r="K7" s="63" t="s">
        <v>12</v>
      </c>
      <c r="L7" s="63" t="s">
        <v>26</v>
      </c>
      <c r="M7" s="63"/>
      <c r="N7" s="19" t="str">
        <f t="shared" si="0"/>
        <v>1ск2</v>
      </c>
      <c r="O7" s="19" t="str">
        <f>INDEX(Кат!$F:$F,MATCH($A7,Кат!$A:$A,0))</f>
        <v>вихур</v>
      </c>
    </row>
    <row r="8" spans="1:15" ht="30" x14ac:dyDescent="0.25">
      <c r="A8" s="62">
        <v>264552</v>
      </c>
      <c r="B8" s="62">
        <v>208691</v>
      </c>
      <c r="C8" s="63" t="s">
        <v>33</v>
      </c>
      <c r="D8" s="63" t="s">
        <v>24</v>
      </c>
      <c r="E8" s="63"/>
      <c r="F8" s="63"/>
      <c r="G8" s="63" t="s">
        <v>25</v>
      </c>
      <c r="H8" s="64">
        <v>500</v>
      </c>
      <c r="I8" s="64">
        <v>909</v>
      </c>
      <c r="J8" s="63"/>
      <c r="K8" s="63" t="s">
        <v>12</v>
      </c>
      <c r="L8" s="63"/>
      <c r="M8" s="63"/>
      <c r="N8" s="19" t="str">
        <f t="shared" si="0"/>
        <v>1</v>
      </c>
      <c r="O8" s="19" t="str">
        <f>INDEX(Кат!$F:$F,MATCH($A8,Кат!$A:$A,0))</f>
        <v>вихур</v>
      </c>
    </row>
    <row r="9" spans="1:15" ht="30" x14ac:dyDescent="0.25">
      <c r="A9" s="62">
        <v>214593</v>
      </c>
      <c r="B9" s="62">
        <v>15163</v>
      </c>
      <c r="C9" s="63" t="s">
        <v>34</v>
      </c>
      <c r="D9" s="63" t="s">
        <v>24</v>
      </c>
      <c r="E9" s="63"/>
      <c r="F9" s="63"/>
      <c r="G9" s="63" t="s">
        <v>25</v>
      </c>
      <c r="H9" s="64">
        <v>400</v>
      </c>
      <c r="I9" s="64">
        <v>909</v>
      </c>
      <c r="J9" s="63"/>
      <c r="K9" s="63" t="s">
        <v>12</v>
      </c>
      <c r="L9" s="63" t="s">
        <v>26</v>
      </c>
      <c r="M9" s="63"/>
      <c r="N9" s="19" t="str">
        <f t="shared" si="0"/>
        <v>1ск2</v>
      </c>
      <c r="O9" s="19" t="str">
        <f>INDEX(Кат!$F:$F,MATCH($A9,Кат!$A:$A,0))</f>
        <v>вихур</v>
      </c>
    </row>
    <row r="10" spans="1:15" ht="30" x14ac:dyDescent="0.25">
      <c r="A10" s="62">
        <v>214632</v>
      </c>
      <c r="B10" s="62">
        <v>15164</v>
      </c>
      <c r="C10" s="63" t="s">
        <v>35</v>
      </c>
      <c r="D10" s="63" t="s">
        <v>24</v>
      </c>
      <c r="E10" s="63"/>
      <c r="F10" s="63"/>
      <c r="G10" s="63" t="s">
        <v>25</v>
      </c>
      <c r="H10" s="64">
        <v>600</v>
      </c>
      <c r="I10" s="64">
        <v>949</v>
      </c>
      <c r="J10" s="63"/>
      <c r="K10" s="63" t="s">
        <v>12</v>
      </c>
      <c r="L10" s="63"/>
      <c r="M10" s="63"/>
      <c r="N10" s="19" t="str">
        <f t="shared" si="0"/>
        <v>1</v>
      </c>
      <c r="O10" s="19" t="str">
        <f>INDEX(Кат!$F:$F,MATCH($A10,Кат!$A:$A,0))</f>
        <v>вихур</v>
      </c>
    </row>
    <row r="11" spans="1:15" ht="30" x14ac:dyDescent="0.25">
      <c r="A11" s="62">
        <v>214665</v>
      </c>
      <c r="B11" s="62">
        <v>27080</v>
      </c>
      <c r="C11" s="63" t="s">
        <v>36</v>
      </c>
      <c r="D11" s="63" t="s">
        <v>24</v>
      </c>
      <c r="E11" s="63"/>
      <c r="F11" s="63"/>
      <c r="G11" s="63" t="s">
        <v>25</v>
      </c>
      <c r="H11" s="64">
        <v>1700</v>
      </c>
      <c r="I11" s="64">
        <v>2690</v>
      </c>
      <c r="J11" s="63"/>
      <c r="K11" s="63" t="s">
        <v>12</v>
      </c>
      <c r="L11" s="63"/>
      <c r="M11" s="63"/>
      <c r="N11" s="19" t="str">
        <f t="shared" si="0"/>
        <v>1</v>
      </c>
      <c r="O11" s="19" t="str">
        <f>INDEX(Кат!$F:$F,MATCH($A11,Кат!$A:$A,0))</f>
        <v>вихур</v>
      </c>
    </row>
    <row r="12" spans="1:15" ht="30" x14ac:dyDescent="0.25">
      <c r="A12" s="62">
        <v>214807</v>
      </c>
      <c r="B12" s="62">
        <v>15168</v>
      </c>
      <c r="C12" s="63" t="s">
        <v>37</v>
      </c>
      <c r="D12" s="63" t="s">
        <v>24</v>
      </c>
      <c r="E12" s="63"/>
      <c r="F12" s="63"/>
      <c r="G12" s="63" t="s">
        <v>25</v>
      </c>
      <c r="H12" s="64">
        <v>600</v>
      </c>
      <c r="I12" s="64">
        <v>889</v>
      </c>
      <c r="J12" s="63"/>
      <c r="K12" s="63" t="s">
        <v>12</v>
      </c>
      <c r="L12" s="63"/>
      <c r="M12" s="63"/>
      <c r="N12" s="19" t="str">
        <f t="shared" si="0"/>
        <v>1</v>
      </c>
      <c r="O12" s="19" t="str">
        <f>INDEX(Кат!$F:$F,MATCH($A12,Кат!$A:$A,0))</f>
        <v>вихур</v>
      </c>
    </row>
    <row r="13" spans="1:15" ht="30" x14ac:dyDescent="0.25">
      <c r="A13" s="62">
        <v>214840</v>
      </c>
      <c r="B13" s="62">
        <v>15166</v>
      </c>
      <c r="C13" s="63" t="s">
        <v>38</v>
      </c>
      <c r="D13" s="63" t="s">
        <v>24</v>
      </c>
      <c r="E13" s="63"/>
      <c r="F13" s="63"/>
      <c r="G13" s="63" t="s">
        <v>25</v>
      </c>
      <c r="H13" s="64">
        <v>400</v>
      </c>
      <c r="I13" s="64">
        <v>889</v>
      </c>
      <c r="J13" s="63"/>
      <c r="K13" s="63" t="s">
        <v>12</v>
      </c>
      <c r="L13" s="63"/>
      <c r="M13" s="63"/>
      <c r="N13" s="19" t="str">
        <f t="shared" si="0"/>
        <v>1</v>
      </c>
      <c r="O13" s="19" t="str">
        <f>INDEX(Кат!$F:$F,MATCH($A13,Кат!$A:$A,0))</f>
        <v>вихур</v>
      </c>
    </row>
    <row r="14" spans="1:15" ht="30" x14ac:dyDescent="0.25">
      <c r="A14" s="62">
        <v>215245</v>
      </c>
      <c r="B14" s="62">
        <v>6788</v>
      </c>
      <c r="C14" s="63" t="s">
        <v>39</v>
      </c>
      <c r="D14" s="63" t="s">
        <v>24</v>
      </c>
      <c r="E14" s="63"/>
      <c r="F14" s="63"/>
      <c r="G14" s="63" t="s">
        <v>25</v>
      </c>
      <c r="H14" s="64">
        <v>1200</v>
      </c>
      <c r="I14" s="64">
        <v>1890</v>
      </c>
      <c r="J14" s="63"/>
      <c r="K14" s="63" t="s">
        <v>12</v>
      </c>
      <c r="L14" s="63"/>
      <c r="M14" s="63"/>
      <c r="N14" s="19" t="str">
        <f t="shared" si="0"/>
        <v>1</v>
      </c>
      <c r="O14" s="19" t="str">
        <f>INDEX(Кат!$F:$F,MATCH($A14,Кат!$A:$A,0))</f>
        <v>вихур</v>
      </c>
    </row>
    <row r="15" spans="1:15" ht="30" x14ac:dyDescent="0.25">
      <c r="A15" s="62">
        <v>215246</v>
      </c>
      <c r="B15" s="62">
        <v>29632</v>
      </c>
      <c r="C15" s="63" t="s">
        <v>40</v>
      </c>
      <c r="D15" s="63" t="s">
        <v>24</v>
      </c>
      <c r="E15" s="63"/>
      <c r="F15" s="63"/>
      <c r="G15" s="63" t="s">
        <v>25</v>
      </c>
      <c r="H15" s="64">
        <v>600</v>
      </c>
      <c r="I15" s="64">
        <v>909</v>
      </c>
      <c r="J15" s="63"/>
      <c r="K15" s="63" t="s">
        <v>12</v>
      </c>
      <c r="L15" s="63"/>
      <c r="M15" s="63"/>
      <c r="N15" s="19" t="str">
        <f t="shared" si="0"/>
        <v>1</v>
      </c>
      <c r="O15" s="19" t="str">
        <f>INDEX(Кат!$F:$F,MATCH($A15,Кат!$A:$A,0))</f>
        <v>вихур</v>
      </c>
    </row>
    <row r="16" spans="1:15" ht="30" x14ac:dyDescent="0.25">
      <c r="A16" s="62">
        <v>216142</v>
      </c>
      <c r="B16" s="62">
        <v>13643</v>
      </c>
      <c r="C16" s="63" t="s">
        <v>41</v>
      </c>
      <c r="D16" s="63" t="s">
        <v>24</v>
      </c>
      <c r="E16" s="63" t="s">
        <v>42</v>
      </c>
      <c r="F16" s="63"/>
      <c r="G16" s="63" t="s">
        <v>25</v>
      </c>
      <c r="H16" s="64">
        <v>600</v>
      </c>
      <c r="I16" s="64">
        <v>949</v>
      </c>
      <c r="J16" s="63"/>
      <c r="K16" s="63" t="s">
        <v>12</v>
      </c>
      <c r="L16" s="63" t="s">
        <v>26</v>
      </c>
      <c r="M16" s="63"/>
      <c r="N16" s="19" t="str">
        <f t="shared" si="0"/>
        <v>1ск2</v>
      </c>
      <c r="O16" s="19" t="str">
        <f>INDEX(Кат!$F:$F,MATCH($A16,Кат!$A:$A,0))</f>
        <v>вихур</v>
      </c>
    </row>
    <row r="17" spans="1:15" ht="30" x14ac:dyDescent="0.25">
      <c r="A17" s="62">
        <v>216882</v>
      </c>
      <c r="B17" s="62">
        <v>15167</v>
      </c>
      <c r="C17" s="63" t="s">
        <v>43</v>
      </c>
      <c r="D17" s="63" t="s">
        <v>24</v>
      </c>
      <c r="E17" s="63"/>
      <c r="F17" s="63"/>
      <c r="G17" s="63" t="s">
        <v>25</v>
      </c>
      <c r="H17" s="64">
        <v>600</v>
      </c>
      <c r="I17" s="64">
        <v>949</v>
      </c>
      <c r="J17" s="63"/>
      <c r="K17" s="63" t="s">
        <v>12</v>
      </c>
      <c r="L17" s="63"/>
      <c r="M17" s="63"/>
      <c r="N17" s="19" t="str">
        <f t="shared" si="0"/>
        <v>1</v>
      </c>
      <c r="O17" s="19" t="str">
        <f>INDEX(Кат!$F:$F,MATCH($A17,Кат!$A:$A,0))</f>
        <v>вихур</v>
      </c>
    </row>
    <row r="18" spans="1:15" ht="30" x14ac:dyDescent="0.25">
      <c r="A18" s="62">
        <v>216995</v>
      </c>
      <c r="B18" s="62">
        <v>15201</v>
      </c>
      <c r="C18" s="63" t="s">
        <v>44</v>
      </c>
      <c r="D18" s="63" t="s">
        <v>24</v>
      </c>
      <c r="E18" s="63"/>
      <c r="F18" s="63"/>
      <c r="G18" s="63" t="s">
        <v>25</v>
      </c>
      <c r="H18" s="64">
        <v>360</v>
      </c>
      <c r="I18" s="64">
        <v>599</v>
      </c>
      <c r="J18" s="63"/>
      <c r="K18" s="63" t="s">
        <v>12</v>
      </c>
      <c r="L18" s="63" t="s">
        <v>26</v>
      </c>
      <c r="M18" s="63"/>
      <c r="N18" s="19" t="str">
        <f t="shared" si="0"/>
        <v>1ск2</v>
      </c>
      <c r="O18" s="19" t="str">
        <f>INDEX(Кат!$F:$F,MATCH($A18,Кат!$A:$A,0))</f>
        <v>вихур</v>
      </c>
    </row>
    <row r="19" spans="1:15" ht="30" x14ac:dyDescent="0.25">
      <c r="A19" s="62">
        <v>216996</v>
      </c>
      <c r="B19" s="62">
        <v>15203</v>
      </c>
      <c r="C19" s="63" t="s">
        <v>45</v>
      </c>
      <c r="D19" s="63" t="s">
        <v>24</v>
      </c>
      <c r="E19" s="63"/>
      <c r="F19" s="63"/>
      <c r="G19" s="63" t="s">
        <v>25</v>
      </c>
      <c r="H19" s="64">
        <v>350</v>
      </c>
      <c r="I19" s="64">
        <v>579</v>
      </c>
      <c r="J19" s="63"/>
      <c r="K19" s="63" t="s">
        <v>12</v>
      </c>
      <c r="L19" s="63" t="s">
        <v>26</v>
      </c>
      <c r="M19" s="63"/>
      <c r="N19" s="19" t="str">
        <f t="shared" si="0"/>
        <v>1ск2</v>
      </c>
      <c r="O19" s="19" t="str">
        <f>INDEX(Кат!$F:$F,MATCH($A19,Кат!$A:$A,0))</f>
        <v>вихур</v>
      </c>
    </row>
    <row r="20" spans="1:15" ht="45" x14ac:dyDescent="0.25">
      <c r="A20" s="62">
        <v>223121</v>
      </c>
      <c r="B20" s="62">
        <v>23775</v>
      </c>
      <c r="C20" s="63" t="s">
        <v>46</v>
      </c>
      <c r="D20" s="63" t="s">
        <v>24</v>
      </c>
      <c r="E20" s="63" t="s">
        <v>47</v>
      </c>
      <c r="F20" s="63" t="s">
        <v>47</v>
      </c>
      <c r="G20" s="63" t="s">
        <v>25</v>
      </c>
      <c r="H20" s="64">
        <v>1800</v>
      </c>
      <c r="I20" s="64">
        <v>2490</v>
      </c>
      <c r="J20" s="63"/>
      <c r="K20" s="63" t="s">
        <v>12</v>
      </c>
      <c r="L20" s="63"/>
      <c r="M20" s="63"/>
      <c r="N20" s="19" t="str">
        <f t="shared" si="0"/>
        <v>1</v>
      </c>
      <c r="O20" s="19" t="str">
        <f>INDEX(Кат!$F:$F,MATCH($A20,Кат!$A:$A,0))</f>
        <v>вихур</v>
      </c>
    </row>
  </sheetData>
  <sheetProtection formatCells="0" formatColumns="0" formatRows="0" insertColumns="0" insertRows="0" insertHyperlinks="0" deleteColumns="0" deleteRows="0" sort="0" autoFilter="0" pivotTables="0"/>
  <autoFilter ref="A1:O20" xr:uid="{3CF98838-0AE1-4844-9C7C-5FDF724B59B3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DF5B9-D33B-4798-B96D-E73D092B3382}">
  <sheetPr codeName="Лист5">
    <outlinePr summaryBelow="0"/>
  </sheetPr>
  <dimension ref="A1:Q105"/>
  <sheetViews>
    <sheetView showRuler="0" zoomScaleNormal="100" workbookViewId="0">
      <pane ySplit="1" topLeftCell="A98" activePane="bottomLeft" state="frozen"/>
      <selection pane="bottomLeft" activeCell="B109" sqref="B109"/>
    </sheetView>
  </sheetViews>
  <sheetFormatPr defaultRowHeight="15" x14ac:dyDescent="0.25"/>
  <cols>
    <col min="1" max="1" width="22.140625" style="21" bestFit="1" customWidth="1"/>
    <col min="2" max="2" width="7" style="21" bestFit="1" customWidth="1"/>
    <col min="3" max="3" width="9.42578125" style="21" bestFit="1" customWidth="1"/>
    <col min="4" max="4" width="36.28515625" style="21" customWidth="1"/>
    <col min="5" max="5" width="7.5703125" style="21" bestFit="1" customWidth="1"/>
    <col min="6" max="6" width="3.42578125" style="21" customWidth="1"/>
    <col min="7" max="7" width="21.85546875" style="21" bestFit="1" customWidth="1"/>
    <col min="8" max="8" width="22.42578125" style="21" bestFit="1" customWidth="1"/>
    <col min="9" max="9" width="13.28515625" style="21" bestFit="1" customWidth="1"/>
    <col min="10" max="10" width="8.42578125" style="21" bestFit="1" customWidth="1"/>
    <col min="11" max="11" width="10.85546875" style="21" bestFit="1" customWidth="1"/>
    <col min="12" max="12" width="64.28515625" style="21" bestFit="1" customWidth="1"/>
    <col min="13" max="13" width="9.5703125" style="21" bestFit="1" customWidth="1"/>
    <col min="14" max="14" width="6.7109375" style="21" bestFit="1" customWidth="1"/>
    <col min="15" max="15" width="8" style="21" bestFit="1" customWidth="1"/>
    <col min="16" max="16" width="4.85546875" style="21" bestFit="1" customWidth="1"/>
    <col min="17" max="17" width="6.28515625" style="21" bestFit="1" customWidth="1"/>
    <col min="18" max="16384" width="9.140625" style="21"/>
  </cols>
  <sheetData>
    <row r="1" spans="1:17" s="20" customFormat="1" ht="30" x14ac:dyDescent="0.25">
      <c r="A1" s="65" t="s">
        <v>48</v>
      </c>
      <c r="B1" s="65" t="s">
        <v>5</v>
      </c>
      <c r="C1" s="65" t="s">
        <v>49</v>
      </c>
      <c r="D1" s="65" t="s">
        <v>13</v>
      </c>
      <c r="E1" s="65" t="s">
        <v>16</v>
      </c>
      <c r="F1" s="65"/>
      <c r="G1" s="65" t="s">
        <v>17</v>
      </c>
      <c r="H1" s="65" t="s">
        <v>18</v>
      </c>
      <c r="I1" s="65" t="s">
        <v>7</v>
      </c>
      <c r="J1" s="65" t="s">
        <v>8</v>
      </c>
      <c r="K1" s="65" t="s">
        <v>0</v>
      </c>
      <c r="L1" s="65" t="s">
        <v>50</v>
      </c>
      <c r="M1" s="65" t="s">
        <v>20</v>
      </c>
      <c r="N1" s="65" t="s">
        <v>51</v>
      </c>
      <c r="O1" s="65" t="s">
        <v>22</v>
      </c>
      <c r="P1" s="19"/>
      <c r="Q1" s="19"/>
    </row>
    <row r="2" spans="1:17" ht="45" x14ac:dyDescent="0.25">
      <c r="A2" s="67" t="s">
        <v>52</v>
      </c>
      <c r="B2" s="66">
        <v>141834</v>
      </c>
      <c r="C2" s="66">
        <v>66913</v>
      </c>
      <c r="D2" s="67" t="s">
        <v>53</v>
      </c>
      <c r="E2" s="67" t="s">
        <v>24</v>
      </c>
      <c r="F2" s="67"/>
      <c r="G2" s="67" t="s">
        <v>54</v>
      </c>
      <c r="H2" s="67" t="s">
        <v>54</v>
      </c>
      <c r="I2" s="67" t="s">
        <v>25</v>
      </c>
      <c r="J2" s="68">
        <v>400</v>
      </c>
      <c r="K2" s="68">
        <v>899</v>
      </c>
      <c r="L2" s="67"/>
      <c r="M2" s="66">
        <v>1</v>
      </c>
      <c r="N2" s="66">
        <v>2</v>
      </c>
      <c r="O2" s="67"/>
      <c r="P2" s="19" t="str">
        <f>_xlfn.CONCAT(M2,IF(N2&lt;&gt;"",_xlfn.CONCAT("ск",N2),""))</f>
        <v>1ск2</v>
      </c>
      <c r="Q2" s="19" t="str">
        <f>INDEX(Торг!$G:$G,MATCH($B2,Торг!$B:$B,0))</f>
        <v>вихур</v>
      </c>
    </row>
    <row r="3" spans="1:17" ht="60" x14ac:dyDescent="0.25">
      <c r="A3" s="67" t="s">
        <v>55</v>
      </c>
      <c r="B3" s="66">
        <v>227109</v>
      </c>
      <c r="C3" s="66">
        <v>66872</v>
      </c>
      <c r="D3" s="67" t="s">
        <v>56</v>
      </c>
      <c r="E3" s="67" t="s">
        <v>24</v>
      </c>
      <c r="F3" s="67"/>
      <c r="G3" s="67"/>
      <c r="H3" s="67"/>
      <c r="I3" s="67" t="s">
        <v>25</v>
      </c>
      <c r="J3" s="68">
        <v>400</v>
      </c>
      <c r="K3" s="68">
        <v>899</v>
      </c>
      <c r="L3" s="67" t="s">
        <v>57</v>
      </c>
      <c r="M3" s="66">
        <v>1</v>
      </c>
      <c r="N3" s="66">
        <v>2</v>
      </c>
      <c r="O3" s="67"/>
      <c r="P3" s="19" t="str">
        <f t="shared" ref="P3:P66" si="0">_xlfn.CONCAT(M3,IF(N3&lt;&gt;"",_xlfn.CONCAT("ск",N3),""))</f>
        <v>1ск2</v>
      </c>
      <c r="Q3" s="19" t="str">
        <f>INDEX(Торг!$G:$G,MATCH($B3,Торг!$B:$B,0))</f>
        <v>вихур</v>
      </c>
    </row>
    <row r="4" spans="1:17" ht="45" x14ac:dyDescent="0.25">
      <c r="A4" s="67" t="s">
        <v>58</v>
      </c>
      <c r="B4" s="66">
        <v>141839</v>
      </c>
      <c r="C4" s="66">
        <v>66878</v>
      </c>
      <c r="D4" s="67" t="s">
        <v>59</v>
      </c>
      <c r="E4" s="67" t="s">
        <v>24</v>
      </c>
      <c r="F4" s="67"/>
      <c r="G4" s="67" t="s">
        <v>60</v>
      </c>
      <c r="H4" s="67" t="s">
        <v>60</v>
      </c>
      <c r="I4" s="67" t="s">
        <v>25</v>
      </c>
      <c r="J4" s="68">
        <v>600</v>
      </c>
      <c r="K4" s="68">
        <v>899</v>
      </c>
      <c r="L4" s="67"/>
      <c r="M4" s="66">
        <v>1</v>
      </c>
      <c r="N4" s="66">
        <v>2</v>
      </c>
      <c r="O4" s="67"/>
      <c r="P4" s="19" t="str">
        <f t="shared" si="0"/>
        <v>1ск2</v>
      </c>
      <c r="Q4" s="19" t="str">
        <f>INDEX(Торг!$G:$G,MATCH($B4,Торг!$B:$B,0))</f>
        <v>вихур</v>
      </c>
    </row>
    <row r="5" spans="1:17" ht="45" x14ac:dyDescent="0.25">
      <c r="A5" s="67" t="s">
        <v>61</v>
      </c>
      <c r="B5" s="66">
        <v>141873</v>
      </c>
      <c r="C5" s="66">
        <v>66875</v>
      </c>
      <c r="D5" s="67" t="s">
        <v>62</v>
      </c>
      <c r="E5" s="67" t="s">
        <v>24</v>
      </c>
      <c r="F5" s="67"/>
      <c r="G5" s="67"/>
      <c r="H5" s="67"/>
      <c r="I5" s="67" t="s">
        <v>25</v>
      </c>
      <c r="J5" s="68">
        <v>600</v>
      </c>
      <c r="K5" s="68">
        <v>899</v>
      </c>
      <c r="L5" s="67"/>
      <c r="M5" s="66">
        <v>1</v>
      </c>
      <c r="N5" s="66"/>
      <c r="O5" s="67"/>
      <c r="P5" s="19" t="str">
        <f t="shared" si="0"/>
        <v>1</v>
      </c>
      <c r="Q5" s="19" t="str">
        <f>INDEX(Торг!$G:$G,MATCH($B5,Торг!$B:$B,0))</f>
        <v>вихур</v>
      </c>
    </row>
    <row r="6" spans="1:17" ht="45" x14ac:dyDescent="0.25">
      <c r="A6" s="67" t="s">
        <v>63</v>
      </c>
      <c r="B6" s="66">
        <v>141875</v>
      </c>
      <c r="C6" s="66">
        <v>66906</v>
      </c>
      <c r="D6" s="67" t="s">
        <v>64</v>
      </c>
      <c r="E6" s="67" t="s">
        <v>24</v>
      </c>
      <c r="F6" s="67"/>
      <c r="G6" s="67"/>
      <c r="H6" s="67"/>
      <c r="I6" s="67" t="s">
        <v>25</v>
      </c>
      <c r="J6" s="68">
        <v>600</v>
      </c>
      <c r="K6" s="68">
        <v>899</v>
      </c>
      <c r="L6" s="67"/>
      <c r="M6" s="66">
        <v>0</v>
      </c>
      <c r="N6" s="66"/>
      <c r="O6" s="67"/>
      <c r="P6" s="19" t="str">
        <f t="shared" si="0"/>
        <v>0</v>
      </c>
      <c r="Q6" s="19" t="str">
        <f>INDEX(Торг!$G:$G,MATCH($B6,Торг!$B:$B,0))</f>
        <v>вихур</v>
      </c>
    </row>
    <row r="7" spans="1:17" ht="75" x14ac:dyDescent="0.25">
      <c r="A7" s="67" t="s">
        <v>65</v>
      </c>
      <c r="B7" s="66">
        <v>205830</v>
      </c>
      <c r="C7" s="66">
        <v>67130</v>
      </c>
      <c r="D7" s="67" t="s">
        <v>66</v>
      </c>
      <c r="E7" s="67" t="s">
        <v>24</v>
      </c>
      <c r="F7" s="67"/>
      <c r="G7" s="67" t="s">
        <v>67</v>
      </c>
      <c r="H7" s="67" t="s">
        <v>67</v>
      </c>
      <c r="I7" s="67" t="s">
        <v>25</v>
      </c>
      <c r="J7" s="68">
        <v>500</v>
      </c>
      <c r="K7" s="68">
        <v>1090</v>
      </c>
      <c r="L7" s="67"/>
      <c r="M7" s="66">
        <v>1</v>
      </c>
      <c r="N7" s="66"/>
      <c r="O7" s="67"/>
      <c r="P7" s="19" t="str">
        <f t="shared" si="0"/>
        <v>1</v>
      </c>
      <c r="Q7" s="19" t="str">
        <f>INDEX(Торг!$G:$G,MATCH($B7,Торг!$B:$B,0))</f>
        <v>вихур</v>
      </c>
    </row>
    <row r="8" spans="1:17" ht="60" x14ac:dyDescent="0.25">
      <c r="A8" s="67" t="s">
        <v>68</v>
      </c>
      <c r="B8" s="66">
        <v>214775</v>
      </c>
      <c r="C8" s="66">
        <v>66657</v>
      </c>
      <c r="D8" s="67" t="s">
        <v>69</v>
      </c>
      <c r="E8" s="67" t="s">
        <v>24</v>
      </c>
      <c r="F8" s="67"/>
      <c r="G8" s="67"/>
      <c r="H8" s="67"/>
      <c r="I8" s="67" t="s">
        <v>25</v>
      </c>
      <c r="J8" s="68">
        <v>400</v>
      </c>
      <c r="K8" s="68">
        <v>1090</v>
      </c>
      <c r="L8" s="67"/>
      <c r="M8" s="66">
        <v>1</v>
      </c>
      <c r="N8" s="66"/>
      <c r="O8" s="67"/>
      <c r="P8" s="19" t="str">
        <f t="shared" si="0"/>
        <v>1</v>
      </c>
      <c r="Q8" s="19" t="str">
        <f>INDEX(Торг!$G:$G,MATCH($B8,Торг!$B:$B,0))</f>
        <v>вихур</v>
      </c>
    </row>
    <row r="9" spans="1:17" ht="60" x14ac:dyDescent="0.25">
      <c r="A9" s="67" t="s">
        <v>68</v>
      </c>
      <c r="B9" s="66">
        <v>214776</v>
      </c>
      <c r="C9" s="66">
        <v>66658</v>
      </c>
      <c r="D9" s="67" t="s">
        <v>70</v>
      </c>
      <c r="E9" s="67" t="s">
        <v>71</v>
      </c>
      <c r="F9" s="67"/>
      <c r="G9" s="67"/>
      <c r="H9" s="67"/>
      <c r="I9" s="67" t="s">
        <v>25</v>
      </c>
      <c r="J9" s="68">
        <v>2500</v>
      </c>
      <c r="K9" s="68">
        <v>3690</v>
      </c>
      <c r="L9" s="67"/>
      <c r="M9" s="66">
        <v>1</v>
      </c>
      <c r="N9" s="66"/>
      <c r="O9" s="67"/>
      <c r="P9" s="19" t="str">
        <f t="shared" si="0"/>
        <v>1</v>
      </c>
      <c r="Q9" s="19" t="str">
        <f>INDEX(Торг!$G:$G,MATCH($B9,Торг!$B:$B,0))</f>
        <v>вихур</v>
      </c>
    </row>
    <row r="10" spans="1:17" ht="60" x14ac:dyDescent="0.25">
      <c r="A10" s="67" t="s">
        <v>68</v>
      </c>
      <c r="B10" s="66">
        <v>214777</v>
      </c>
      <c r="C10" s="66">
        <v>87255</v>
      </c>
      <c r="D10" s="67" t="s">
        <v>72</v>
      </c>
      <c r="E10" s="67" t="s">
        <v>71</v>
      </c>
      <c r="F10" s="67"/>
      <c r="G10" s="67"/>
      <c r="H10" s="67"/>
      <c r="I10" s="67" t="s">
        <v>25</v>
      </c>
      <c r="J10" s="68">
        <v>2500</v>
      </c>
      <c r="K10" s="68">
        <v>3690</v>
      </c>
      <c r="L10" s="67"/>
      <c r="M10" s="66">
        <v>1</v>
      </c>
      <c r="N10" s="66"/>
      <c r="O10" s="67"/>
      <c r="P10" s="19" t="str">
        <f t="shared" si="0"/>
        <v>1</v>
      </c>
      <c r="Q10" s="19" t="str">
        <f>INDEX(Торг!$G:$G,MATCH($B10,Торг!$B:$B,0))</f>
        <v>вихур</v>
      </c>
    </row>
    <row r="11" spans="1:17" ht="60" x14ac:dyDescent="0.25">
      <c r="A11" s="67" t="s">
        <v>68</v>
      </c>
      <c r="B11" s="66">
        <v>214778</v>
      </c>
      <c r="C11" s="66">
        <v>87256</v>
      </c>
      <c r="D11" s="67" t="s">
        <v>73</v>
      </c>
      <c r="E11" s="67" t="s">
        <v>71</v>
      </c>
      <c r="F11" s="67"/>
      <c r="G11" s="67"/>
      <c r="H11" s="67"/>
      <c r="I11" s="67" t="s">
        <v>25</v>
      </c>
      <c r="J11" s="68">
        <v>2500</v>
      </c>
      <c r="K11" s="68">
        <v>3690</v>
      </c>
      <c r="L11" s="67"/>
      <c r="M11" s="66">
        <v>1</v>
      </c>
      <c r="N11" s="66"/>
      <c r="O11" s="67"/>
      <c r="P11" s="19" t="str">
        <f t="shared" si="0"/>
        <v>1</v>
      </c>
      <c r="Q11" s="19" t="str">
        <f>INDEX(Торг!$G:$G,MATCH($B11,Торг!$B:$B,0))</f>
        <v>вихур</v>
      </c>
    </row>
    <row r="12" spans="1:17" ht="60" x14ac:dyDescent="0.25">
      <c r="A12" s="67" t="s">
        <v>68</v>
      </c>
      <c r="B12" s="66">
        <v>214779</v>
      </c>
      <c r="C12" s="66">
        <v>87257</v>
      </c>
      <c r="D12" s="67" t="s">
        <v>74</v>
      </c>
      <c r="E12" s="67" t="s">
        <v>71</v>
      </c>
      <c r="F12" s="67"/>
      <c r="G12" s="67"/>
      <c r="H12" s="67"/>
      <c r="I12" s="67" t="s">
        <v>25</v>
      </c>
      <c r="J12" s="68">
        <v>2500</v>
      </c>
      <c r="K12" s="68">
        <v>3690</v>
      </c>
      <c r="L12" s="67"/>
      <c r="M12" s="66">
        <v>1</v>
      </c>
      <c r="N12" s="66"/>
      <c r="O12" s="67"/>
      <c r="P12" s="19" t="str">
        <f t="shared" si="0"/>
        <v>1</v>
      </c>
      <c r="Q12" s="19" t="str">
        <f>INDEX(Торг!$G:$G,MATCH($B12,Торг!$B:$B,0))</f>
        <v>вихур</v>
      </c>
    </row>
    <row r="13" spans="1:17" ht="60" x14ac:dyDescent="0.25">
      <c r="A13" s="67" t="s">
        <v>68</v>
      </c>
      <c r="B13" s="66">
        <v>214780</v>
      </c>
      <c r="C13" s="66">
        <v>87258</v>
      </c>
      <c r="D13" s="67" t="s">
        <v>75</v>
      </c>
      <c r="E13" s="67" t="s">
        <v>71</v>
      </c>
      <c r="F13" s="67"/>
      <c r="G13" s="67"/>
      <c r="H13" s="67"/>
      <c r="I13" s="67" t="s">
        <v>25</v>
      </c>
      <c r="J13" s="68">
        <v>2500</v>
      </c>
      <c r="K13" s="68">
        <v>3690</v>
      </c>
      <c r="L13" s="67"/>
      <c r="M13" s="66">
        <v>1</v>
      </c>
      <c r="N13" s="66"/>
      <c r="O13" s="67"/>
      <c r="P13" s="19" t="str">
        <f t="shared" si="0"/>
        <v>1</v>
      </c>
      <c r="Q13" s="19" t="str">
        <f>INDEX(Торг!$G:$G,MATCH($B13,Торг!$B:$B,0))</f>
        <v>вихур</v>
      </c>
    </row>
    <row r="14" spans="1:17" ht="60" x14ac:dyDescent="0.25">
      <c r="A14" s="67" t="s">
        <v>68</v>
      </c>
      <c r="B14" s="66">
        <v>214781</v>
      </c>
      <c r="C14" s="66">
        <v>87259</v>
      </c>
      <c r="D14" s="67" t="s">
        <v>76</v>
      </c>
      <c r="E14" s="67" t="s">
        <v>71</v>
      </c>
      <c r="F14" s="67"/>
      <c r="G14" s="67"/>
      <c r="H14" s="67"/>
      <c r="I14" s="67" t="s">
        <v>25</v>
      </c>
      <c r="J14" s="68">
        <v>2500</v>
      </c>
      <c r="K14" s="68">
        <v>3690</v>
      </c>
      <c r="L14" s="67"/>
      <c r="M14" s="66">
        <v>1</v>
      </c>
      <c r="N14" s="66"/>
      <c r="O14" s="67"/>
      <c r="P14" s="19" t="str">
        <f t="shared" si="0"/>
        <v>1</v>
      </c>
      <c r="Q14" s="19" t="str">
        <f>INDEX(Торг!$G:$G,MATCH($B14,Торг!$B:$B,0))</f>
        <v>вихур</v>
      </c>
    </row>
    <row r="15" spans="1:17" ht="60" x14ac:dyDescent="0.25">
      <c r="A15" s="67" t="s">
        <v>68</v>
      </c>
      <c r="B15" s="66">
        <v>214782</v>
      </c>
      <c r="C15" s="66">
        <v>87260</v>
      </c>
      <c r="D15" s="67" t="s">
        <v>77</v>
      </c>
      <c r="E15" s="67" t="s">
        <v>71</v>
      </c>
      <c r="F15" s="67"/>
      <c r="G15" s="67"/>
      <c r="H15" s="67"/>
      <c r="I15" s="67" t="s">
        <v>25</v>
      </c>
      <c r="J15" s="68">
        <v>2500</v>
      </c>
      <c r="K15" s="68">
        <v>3690</v>
      </c>
      <c r="L15" s="67"/>
      <c r="M15" s="66">
        <v>1</v>
      </c>
      <c r="N15" s="66"/>
      <c r="O15" s="67"/>
      <c r="P15" s="19" t="str">
        <f t="shared" si="0"/>
        <v>1</v>
      </c>
      <c r="Q15" s="19" t="str">
        <f>INDEX(Торг!$G:$G,MATCH($B15,Торг!$B:$B,0))</f>
        <v>вихур</v>
      </c>
    </row>
    <row r="16" spans="1:17" ht="60" x14ac:dyDescent="0.25">
      <c r="A16" s="67" t="s">
        <v>68</v>
      </c>
      <c r="B16" s="66">
        <v>214783</v>
      </c>
      <c r="C16" s="66">
        <v>87261</v>
      </c>
      <c r="D16" s="67" t="s">
        <v>78</v>
      </c>
      <c r="E16" s="67" t="s">
        <v>71</v>
      </c>
      <c r="F16" s="67"/>
      <c r="G16" s="67"/>
      <c r="H16" s="67"/>
      <c r="I16" s="67" t="s">
        <v>25</v>
      </c>
      <c r="J16" s="68">
        <v>2500</v>
      </c>
      <c r="K16" s="68">
        <v>3690</v>
      </c>
      <c r="L16" s="67"/>
      <c r="M16" s="66">
        <v>1</v>
      </c>
      <c r="N16" s="66"/>
      <c r="O16" s="67"/>
      <c r="P16" s="19" t="str">
        <f t="shared" si="0"/>
        <v>1</v>
      </c>
      <c r="Q16" s="19" t="str">
        <f>INDEX(Торг!$G:$G,MATCH($B16,Торг!$B:$B,0))</f>
        <v>вихур</v>
      </c>
    </row>
    <row r="17" spans="1:17" ht="60" x14ac:dyDescent="0.25">
      <c r="A17" s="67" t="s">
        <v>68</v>
      </c>
      <c r="B17" s="66">
        <v>214784</v>
      </c>
      <c r="C17" s="66">
        <v>87262</v>
      </c>
      <c r="D17" s="67" t="s">
        <v>79</v>
      </c>
      <c r="E17" s="67" t="s">
        <v>71</v>
      </c>
      <c r="F17" s="67"/>
      <c r="G17" s="67"/>
      <c r="H17" s="67"/>
      <c r="I17" s="67" t="s">
        <v>25</v>
      </c>
      <c r="J17" s="68">
        <v>2500</v>
      </c>
      <c r="K17" s="68">
        <v>3690</v>
      </c>
      <c r="L17" s="67"/>
      <c r="M17" s="66">
        <v>1</v>
      </c>
      <c r="N17" s="66"/>
      <c r="O17" s="67"/>
      <c r="P17" s="19" t="str">
        <f t="shared" si="0"/>
        <v>1</v>
      </c>
      <c r="Q17" s="19" t="str">
        <f>INDEX(Торг!$G:$G,MATCH($B17,Торг!$B:$B,0))</f>
        <v>вихур</v>
      </c>
    </row>
    <row r="18" spans="1:17" ht="60" x14ac:dyDescent="0.25">
      <c r="A18" s="67" t="s">
        <v>68</v>
      </c>
      <c r="B18" s="66">
        <v>214785</v>
      </c>
      <c r="C18" s="66">
        <v>87263</v>
      </c>
      <c r="D18" s="67" t="s">
        <v>80</v>
      </c>
      <c r="E18" s="67" t="s">
        <v>71</v>
      </c>
      <c r="F18" s="67"/>
      <c r="G18" s="67"/>
      <c r="H18" s="67"/>
      <c r="I18" s="67" t="s">
        <v>25</v>
      </c>
      <c r="J18" s="68">
        <v>2500</v>
      </c>
      <c r="K18" s="68">
        <v>3690</v>
      </c>
      <c r="L18" s="67"/>
      <c r="M18" s="66">
        <v>1</v>
      </c>
      <c r="N18" s="66"/>
      <c r="O18" s="67"/>
      <c r="P18" s="19" t="str">
        <f t="shared" si="0"/>
        <v>1</v>
      </c>
      <c r="Q18" s="19" t="str">
        <f>INDEX(Торг!$G:$G,MATCH($B18,Торг!$B:$B,0))</f>
        <v>вихур</v>
      </c>
    </row>
    <row r="19" spans="1:17" ht="60" x14ac:dyDescent="0.25">
      <c r="A19" s="67" t="s">
        <v>68</v>
      </c>
      <c r="B19" s="66">
        <v>214786</v>
      </c>
      <c r="C19" s="66">
        <v>87264</v>
      </c>
      <c r="D19" s="67" t="s">
        <v>81</v>
      </c>
      <c r="E19" s="67" t="s">
        <v>71</v>
      </c>
      <c r="F19" s="67"/>
      <c r="G19" s="67"/>
      <c r="H19" s="67"/>
      <c r="I19" s="67" t="s">
        <v>25</v>
      </c>
      <c r="J19" s="68">
        <v>2500</v>
      </c>
      <c r="K19" s="68">
        <v>3690</v>
      </c>
      <c r="L19" s="67"/>
      <c r="M19" s="66">
        <v>1</v>
      </c>
      <c r="N19" s="66"/>
      <c r="O19" s="67"/>
      <c r="P19" s="19" t="str">
        <f t="shared" si="0"/>
        <v>1</v>
      </c>
      <c r="Q19" s="19" t="str">
        <f>INDEX(Торг!$G:$G,MATCH($B19,Торг!$B:$B,0))</f>
        <v>вихур</v>
      </c>
    </row>
    <row r="20" spans="1:17" ht="60" x14ac:dyDescent="0.25">
      <c r="A20" s="67" t="s">
        <v>68</v>
      </c>
      <c r="B20" s="66">
        <v>214787</v>
      </c>
      <c r="C20" s="66">
        <v>87265</v>
      </c>
      <c r="D20" s="67" t="s">
        <v>82</v>
      </c>
      <c r="E20" s="67" t="s">
        <v>71</v>
      </c>
      <c r="F20" s="67"/>
      <c r="G20" s="67"/>
      <c r="H20" s="67"/>
      <c r="I20" s="67" t="s">
        <v>25</v>
      </c>
      <c r="J20" s="68">
        <v>2500</v>
      </c>
      <c r="K20" s="68">
        <v>3690</v>
      </c>
      <c r="L20" s="67"/>
      <c r="M20" s="66">
        <v>1</v>
      </c>
      <c r="N20" s="66"/>
      <c r="O20" s="67"/>
      <c r="P20" s="19" t="str">
        <f t="shared" si="0"/>
        <v>1</v>
      </c>
      <c r="Q20" s="19" t="str">
        <f>INDEX(Торг!$G:$G,MATCH($B20,Торг!$B:$B,0))</f>
        <v>вихур</v>
      </c>
    </row>
    <row r="21" spans="1:17" ht="60" x14ac:dyDescent="0.25">
      <c r="A21" s="67" t="s">
        <v>68</v>
      </c>
      <c r="B21" s="66">
        <v>214788</v>
      </c>
      <c r="C21" s="66">
        <v>87266</v>
      </c>
      <c r="D21" s="67" t="s">
        <v>83</v>
      </c>
      <c r="E21" s="67" t="s">
        <v>71</v>
      </c>
      <c r="F21" s="67"/>
      <c r="G21" s="67"/>
      <c r="H21" s="67"/>
      <c r="I21" s="67" t="s">
        <v>25</v>
      </c>
      <c r="J21" s="68">
        <v>2500</v>
      </c>
      <c r="K21" s="68">
        <v>3690</v>
      </c>
      <c r="L21" s="67"/>
      <c r="M21" s="66">
        <v>1</v>
      </c>
      <c r="N21" s="66"/>
      <c r="O21" s="67"/>
      <c r="P21" s="19" t="str">
        <f t="shared" si="0"/>
        <v>1</v>
      </c>
      <c r="Q21" s="19" t="str">
        <f>INDEX(Торг!$G:$G,MATCH($B21,Торг!$B:$B,0))</f>
        <v>вихур</v>
      </c>
    </row>
    <row r="22" spans="1:17" ht="60" x14ac:dyDescent="0.25">
      <c r="A22" s="67" t="s">
        <v>68</v>
      </c>
      <c r="B22" s="66">
        <v>214789</v>
      </c>
      <c r="C22" s="66">
        <v>87267</v>
      </c>
      <c r="D22" s="67" t="s">
        <v>84</v>
      </c>
      <c r="E22" s="67" t="s">
        <v>71</v>
      </c>
      <c r="F22" s="67"/>
      <c r="G22" s="67"/>
      <c r="H22" s="67"/>
      <c r="I22" s="67" t="s">
        <v>25</v>
      </c>
      <c r="J22" s="68">
        <v>2500</v>
      </c>
      <c r="K22" s="68">
        <v>3690</v>
      </c>
      <c r="L22" s="67"/>
      <c r="M22" s="66">
        <v>1</v>
      </c>
      <c r="N22" s="66"/>
      <c r="O22" s="67"/>
      <c r="P22" s="19" t="str">
        <f t="shared" si="0"/>
        <v>1</v>
      </c>
      <c r="Q22" s="19" t="str">
        <f>INDEX(Торг!$G:$G,MATCH($B22,Торг!$B:$B,0))</f>
        <v>вихур</v>
      </c>
    </row>
    <row r="23" spans="1:17" ht="60" x14ac:dyDescent="0.25">
      <c r="A23" s="67" t="s">
        <v>68</v>
      </c>
      <c r="B23" s="66">
        <v>214790</v>
      </c>
      <c r="C23" s="66">
        <v>87268</v>
      </c>
      <c r="D23" s="67" t="s">
        <v>85</v>
      </c>
      <c r="E23" s="67" t="s">
        <v>71</v>
      </c>
      <c r="F23" s="67"/>
      <c r="G23" s="67"/>
      <c r="H23" s="67"/>
      <c r="I23" s="67" t="s">
        <v>25</v>
      </c>
      <c r="J23" s="68">
        <v>2500</v>
      </c>
      <c r="K23" s="68">
        <v>3690</v>
      </c>
      <c r="L23" s="67"/>
      <c r="M23" s="66">
        <v>1</v>
      </c>
      <c r="N23" s="66"/>
      <c r="O23" s="67"/>
      <c r="P23" s="19" t="str">
        <f t="shared" si="0"/>
        <v>1</v>
      </c>
      <c r="Q23" s="19" t="str">
        <f>INDEX(Торг!$G:$G,MATCH($B23,Торг!$B:$B,0))</f>
        <v>вихур</v>
      </c>
    </row>
    <row r="24" spans="1:17" ht="60" x14ac:dyDescent="0.25">
      <c r="A24" s="67" t="s">
        <v>68</v>
      </c>
      <c r="B24" s="66">
        <v>214791</v>
      </c>
      <c r="C24" s="66">
        <v>87269</v>
      </c>
      <c r="D24" s="67" t="s">
        <v>86</v>
      </c>
      <c r="E24" s="67" t="s">
        <v>71</v>
      </c>
      <c r="F24" s="67"/>
      <c r="G24" s="67"/>
      <c r="H24" s="67"/>
      <c r="I24" s="67" t="s">
        <v>25</v>
      </c>
      <c r="J24" s="68">
        <v>2500</v>
      </c>
      <c r="K24" s="68">
        <v>3690</v>
      </c>
      <c r="L24" s="67"/>
      <c r="M24" s="66">
        <v>1</v>
      </c>
      <c r="N24" s="66"/>
      <c r="O24" s="67"/>
      <c r="P24" s="19" t="str">
        <f t="shared" si="0"/>
        <v>1</v>
      </c>
      <c r="Q24" s="19" t="str">
        <f>INDEX(Торг!$G:$G,MATCH($B24,Торг!$B:$B,0))</f>
        <v>вихур</v>
      </c>
    </row>
    <row r="25" spans="1:17" ht="60" x14ac:dyDescent="0.25">
      <c r="A25" s="67" t="s">
        <v>68</v>
      </c>
      <c r="B25" s="66">
        <v>214792</v>
      </c>
      <c r="C25" s="66">
        <v>87270</v>
      </c>
      <c r="D25" s="67" t="s">
        <v>87</v>
      </c>
      <c r="E25" s="67" t="s">
        <v>71</v>
      </c>
      <c r="F25" s="67"/>
      <c r="G25" s="67"/>
      <c r="H25" s="67"/>
      <c r="I25" s="67" t="s">
        <v>25</v>
      </c>
      <c r="J25" s="68">
        <v>2500</v>
      </c>
      <c r="K25" s="68">
        <v>3690</v>
      </c>
      <c r="L25" s="67"/>
      <c r="M25" s="66">
        <v>1</v>
      </c>
      <c r="N25" s="66"/>
      <c r="O25" s="67"/>
      <c r="P25" s="19" t="str">
        <f t="shared" si="0"/>
        <v>1</v>
      </c>
      <c r="Q25" s="19" t="str">
        <f>INDEX(Торг!$G:$G,MATCH($B25,Торг!$B:$B,0))</f>
        <v>вихур</v>
      </c>
    </row>
    <row r="26" spans="1:17" ht="60" x14ac:dyDescent="0.25">
      <c r="A26" s="67" t="s">
        <v>68</v>
      </c>
      <c r="B26" s="66">
        <v>214793</v>
      </c>
      <c r="C26" s="66">
        <v>87271</v>
      </c>
      <c r="D26" s="67" t="s">
        <v>88</v>
      </c>
      <c r="E26" s="67" t="s">
        <v>71</v>
      </c>
      <c r="F26" s="67"/>
      <c r="G26" s="67"/>
      <c r="H26" s="67"/>
      <c r="I26" s="67" t="s">
        <v>25</v>
      </c>
      <c r="J26" s="68">
        <v>2500</v>
      </c>
      <c r="K26" s="68">
        <v>3690</v>
      </c>
      <c r="L26" s="67"/>
      <c r="M26" s="66">
        <v>1</v>
      </c>
      <c r="N26" s="66"/>
      <c r="O26" s="67"/>
      <c r="P26" s="19" t="str">
        <f t="shared" si="0"/>
        <v>1</v>
      </c>
      <c r="Q26" s="19" t="str">
        <f>INDEX(Торг!$G:$G,MATCH($B26,Торг!$B:$B,0))</f>
        <v>вихур</v>
      </c>
    </row>
    <row r="27" spans="1:17" ht="60" x14ac:dyDescent="0.25">
      <c r="A27" s="67" t="s">
        <v>68</v>
      </c>
      <c r="B27" s="66">
        <v>214794</v>
      </c>
      <c r="C27" s="66">
        <v>87272</v>
      </c>
      <c r="D27" s="67" t="s">
        <v>89</v>
      </c>
      <c r="E27" s="67" t="s">
        <v>71</v>
      </c>
      <c r="F27" s="67"/>
      <c r="G27" s="67"/>
      <c r="H27" s="67"/>
      <c r="I27" s="67" t="s">
        <v>25</v>
      </c>
      <c r="J27" s="68">
        <v>2500</v>
      </c>
      <c r="K27" s="68">
        <v>3690</v>
      </c>
      <c r="L27" s="67"/>
      <c r="M27" s="66">
        <v>1</v>
      </c>
      <c r="N27" s="66"/>
      <c r="O27" s="67"/>
      <c r="P27" s="19" t="str">
        <f t="shared" si="0"/>
        <v>1</v>
      </c>
      <c r="Q27" s="19" t="str">
        <f>INDEX(Торг!$G:$G,MATCH($B27,Торг!$B:$B,0))</f>
        <v>вихур</v>
      </c>
    </row>
    <row r="28" spans="1:17" ht="60" x14ac:dyDescent="0.25">
      <c r="A28" s="67" t="s">
        <v>68</v>
      </c>
      <c r="B28" s="66">
        <v>214795</v>
      </c>
      <c r="C28" s="66">
        <v>87273</v>
      </c>
      <c r="D28" s="67" t="s">
        <v>90</v>
      </c>
      <c r="E28" s="67" t="s">
        <v>71</v>
      </c>
      <c r="F28" s="67"/>
      <c r="G28" s="67"/>
      <c r="H28" s="67"/>
      <c r="I28" s="67" t="s">
        <v>25</v>
      </c>
      <c r="J28" s="68">
        <v>2500</v>
      </c>
      <c r="K28" s="68">
        <v>3690</v>
      </c>
      <c r="L28" s="67"/>
      <c r="M28" s="66">
        <v>1</v>
      </c>
      <c r="N28" s="66"/>
      <c r="O28" s="67"/>
      <c r="P28" s="19" t="str">
        <f t="shared" si="0"/>
        <v>1</v>
      </c>
      <c r="Q28" s="19" t="str">
        <f>INDEX(Торг!$G:$G,MATCH($B28,Торг!$B:$B,0))</f>
        <v>вихур</v>
      </c>
    </row>
    <row r="29" spans="1:17" ht="60" x14ac:dyDescent="0.25">
      <c r="A29" s="67" t="s">
        <v>68</v>
      </c>
      <c r="B29" s="66">
        <v>214796</v>
      </c>
      <c r="C29" s="66">
        <v>87274</v>
      </c>
      <c r="D29" s="67" t="s">
        <v>91</v>
      </c>
      <c r="E29" s="67" t="s">
        <v>71</v>
      </c>
      <c r="F29" s="67"/>
      <c r="G29" s="67"/>
      <c r="H29" s="67"/>
      <c r="I29" s="67" t="s">
        <v>25</v>
      </c>
      <c r="J29" s="68">
        <v>2500</v>
      </c>
      <c r="K29" s="68">
        <v>3690</v>
      </c>
      <c r="L29" s="67"/>
      <c r="M29" s="66">
        <v>1</v>
      </c>
      <c r="N29" s="66"/>
      <c r="O29" s="67"/>
      <c r="P29" s="19" t="str">
        <f t="shared" si="0"/>
        <v>1</v>
      </c>
      <c r="Q29" s="19" t="str">
        <f>INDEX(Торг!$G:$G,MATCH($B29,Торг!$B:$B,0))</f>
        <v>вихур</v>
      </c>
    </row>
    <row r="30" spans="1:17" ht="60" x14ac:dyDescent="0.25">
      <c r="A30" s="67" t="s">
        <v>68</v>
      </c>
      <c r="B30" s="66">
        <v>214797</v>
      </c>
      <c r="C30" s="66">
        <v>87275</v>
      </c>
      <c r="D30" s="67" t="s">
        <v>92</v>
      </c>
      <c r="E30" s="67" t="s">
        <v>71</v>
      </c>
      <c r="F30" s="67"/>
      <c r="G30" s="67"/>
      <c r="H30" s="67"/>
      <c r="I30" s="67" t="s">
        <v>25</v>
      </c>
      <c r="J30" s="68">
        <v>2500</v>
      </c>
      <c r="K30" s="68">
        <v>3690</v>
      </c>
      <c r="L30" s="67"/>
      <c r="M30" s="66">
        <v>1</v>
      </c>
      <c r="N30" s="66"/>
      <c r="O30" s="67"/>
      <c r="P30" s="19" t="str">
        <f t="shared" si="0"/>
        <v>1</v>
      </c>
      <c r="Q30" s="19" t="str">
        <f>INDEX(Торг!$G:$G,MATCH($B30,Торг!$B:$B,0))</f>
        <v>вихур</v>
      </c>
    </row>
    <row r="31" spans="1:17" ht="60" x14ac:dyDescent="0.25">
      <c r="A31" s="67" t="s">
        <v>68</v>
      </c>
      <c r="B31" s="66">
        <v>214798</v>
      </c>
      <c r="C31" s="66">
        <v>87276</v>
      </c>
      <c r="D31" s="67" t="s">
        <v>93</v>
      </c>
      <c r="E31" s="67" t="s">
        <v>71</v>
      </c>
      <c r="F31" s="67"/>
      <c r="G31" s="67"/>
      <c r="H31" s="67"/>
      <c r="I31" s="67" t="s">
        <v>25</v>
      </c>
      <c r="J31" s="68">
        <v>2500</v>
      </c>
      <c r="K31" s="68">
        <v>3690</v>
      </c>
      <c r="L31" s="67"/>
      <c r="M31" s="66">
        <v>1</v>
      </c>
      <c r="N31" s="66"/>
      <c r="O31" s="67"/>
      <c r="P31" s="19" t="str">
        <f t="shared" si="0"/>
        <v>1</v>
      </c>
      <c r="Q31" s="19" t="str">
        <f>INDEX(Торг!$G:$G,MATCH($B31,Торг!$B:$B,0))</f>
        <v>вихур</v>
      </c>
    </row>
    <row r="32" spans="1:17" ht="60" x14ac:dyDescent="0.25">
      <c r="A32" s="67" t="s">
        <v>68</v>
      </c>
      <c r="B32" s="66">
        <v>214799</v>
      </c>
      <c r="C32" s="66">
        <v>87277</v>
      </c>
      <c r="D32" s="67" t="s">
        <v>94</v>
      </c>
      <c r="E32" s="67" t="s">
        <v>71</v>
      </c>
      <c r="F32" s="67"/>
      <c r="G32" s="67"/>
      <c r="H32" s="67"/>
      <c r="I32" s="67" t="s">
        <v>25</v>
      </c>
      <c r="J32" s="68">
        <v>2500</v>
      </c>
      <c r="K32" s="68">
        <v>3690</v>
      </c>
      <c r="L32" s="67"/>
      <c r="M32" s="66">
        <v>1</v>
      </c>
      <c r="N32" s="66"/>
      <c r="O32" s="67"/>
      <c r="P32" s="19" t="str">
        <f t="shared" si="0"/>
        <v>1</v>
      </c>
      <c r="Q32" s="19" t="str">
        <f>INDEX(Торг!$G:$G,MATCH($B32,Торг!$B:$B,0))</f>
        <v>вихур</v>
      </c>
    </row>
    <row r="33" spans="1:17" ht="60" x14ac:dyDescent="0.25">
      <c r="A33" s="67" t="s">
        <v>68</v>
      </c>
      <c r="B33" s="66">
        <v>214800</v>
      </c>
      <c r="C33" s="66">
        <v>87278</v>
      </c>
      <c r="D33" s="67" t="s">
        <v>95</v>
      </c>
      <c r="E33" s="67" t="s">
        <v>71</v>
      </c>
      <c r="F33" s="67"/>
      <c r="G33" s="67"/>
      <c r="H33" s="67"/>
      <c r="I33" s="67" t="s">
        <v>25</v>
      </c>
      <c r="J33" s="68">
        <v>2500</v>
      </c>
      <c r="K33" s="68">
        <v>3690</v>
      </c>
      <c r="L33" s="67"/>
      <c r="M33" s="66">
        <v>1</v>
      </c>
      <c r="N33" s="66"/>
      <c r="O33" s="67"/>
      <c r="P33" s="19" t="str">
        <f t="shared" si="0"/>
        <v>1</v>
      </c>
      <c r="Q33" s="19" t="str">
        <f>INDEX(Торг!$G:$G,MATCH($B33,Торг!$B:$B,0))</f>
        <v>вихур</v>
      </c>
    </row>
    <row r="34" spans="1:17" ht="60" x14ac:dyDescent="0.25">
      <c r="A34" s="67" t="s">
        <v>68</v>
      </c>
      <c r="B34" s="66">
        <v>214801</v>
      </c>
      <c r="C34" s="66">
        <v>87279</v>
      </c>
      <c r="D34" s="67" t="s">
        <v>96</v>
      </c>
      <c r="E34" s="67" t="s">
        <v>71</v>
      </c>
      <c r="F34" s="67"/>
      <c r="G34" s="67"/>
      <c r="H34" s="67"/>
      <c r="I34" s="67" t="s">
        <v>25</v>
      </c>
      <c r="J34" s="68">
        <v>2500</v>
      </c>
      <c r="K34" s="68">
        <v>3690</v>
      </c>
      <c r="L34" s="67"/>
      <c r="M34" s="66">
        <v>1</v>
      </c>
      <c r="N34" s="66"/>
      <c r="O34" s="67"/>
      <c r="P34" s="19" t="str">
        <f t="shared" si="0"/>
        <v>1</v>
      </c>
      <c r="Q34" s="19" t="str">
        <f>INDEX(Торг!$G:$G,MATCH($B34,Торг!$B:$B,0))</f>
        <v>вихур</v>
      </c>
    </row>
    <row r="35" spans="1:17" ht="60" x14ac:dyDescent="0.25">
      <c r="A35" s="67" t="s">
        <v>68</v>
      </c>
      <c r="B35" s="66">
        <v>214802</v>
      </c>
      <c r="C35" s="66">
        <v>87280</v>
      </c>
      <c r="D35" s="67" t="s">
        <v>97</v>
      </c>
      <c r="E35" s="67" t="s">
        <v>71</v>
      </c>
      <c r="F35" s="67"/>
      <c r="G35" s="67"/>
      <c r="H35" s="67"/>
      <c r="I35" s="67" t="s">
        <v>25</v>
      </c>
      <c r="J35" s="68">
        <v>2500</v>
      </c>
      <c r="K35" s="68">
        <v>3690</v>
      </c>
      <c r="L35" s="67"/>
      <c r="M35" s="66">
        <v>1</v>
      </c>
      <c r="N35" s="66"/>
      <c r="O35" s="67"/>
      <c r="P35" s="19" t="str">
        <f t="shared" si="0"/>
        <v>1</v>
      </c>
      <c r="Q35" s="19" t="str">
        <f>INDEX(Торг!$G:$G,MATCH($B35,Торг!$B:$B,0))</f>
        <v>вихур</v>
      </c>
    </row>
    <row r="36" spans="1:17" ht="60" x14ac:dyDescent="0.25">
      <c r="A36" s="67" t="s">
        <v>68</v>
      </c>
      <c r="B36" s="66">
        <v>214803</v>
      </c>
      <c r="C36" s="66">
        <v>87281</v>
      </c>
      <c r="D36" s="67" t="s">
        <v>98</v>
      </c>
      <c r="E36" s="67" t="s">
        <v>71</v>
      </c>
      <c r="F36" s="67"/>
      <c r="G36" s="67"/>
      <c r="H36" s="67"/>
      <c r="I36" s="67" t="s">
        <v>25</v>
      </c>
      <c r="J36" s="68">
        <v>2500</v>
      </c>
      <c r="K36" s="68">
        <v>3690</v>
      </c>
      <c r="L36" s="67"/>
      <c r="M36" s="66">
        <v>1</v>
      </c>
      <c r="N36" s="66"/>
      <c r="O36" s="67"/>
      <c r="P36" s="19" t="str">
        <f t="shared" si="0"/>
        <v>1</v>
      </c>
      <c r="Q36" s="19" t="str">
        <f>INDEX(Торг!$G:$G,MATCH($B36,Торг!$B:$B,0))</f>
        <v>вихур</v>
      </c>
    </row>
    <row r="37" spans="1:17" ht="60" x14ac:dyDescent="0.25">
      <c r="A37" s="67" t="s">
        <v>68</v>
      </c>
      <c r="B37" s="66">
        <v>214804</v>
      </c>
      <c r="C37" s="66">
        <v>87282</v>
      </c>
      <c r="D37" s="67" t="s">
        <v>99</v>
      </c>
      <c r="E37" s="67" t="s">
        <v>71</v>
      </c>
      <c r="F37" s="67"/>
      <c r="G37" s="67"/>
      <c r="H37" s="67"/>
      <c r="I37" s="67" t="s">
        <v>25</v>
      </c>
      <c r="J37" s="68">
        <v>2500</v>
      </c>
      <c r="K37" s="68">
        <v>3690</v>
      </c>
      <c r="L37" s="67"/>
      <c r="M37" s="66">
        <v>1</v>
      </c>
      <c r="N37" s="66"/>
      <c r="O37" s="67"/>
      <c r="P37" s="19" t="str">
        <f t="shared" si="0"/>
        <v>1</v>
      </c>
      <c r="Q37" s="19" t="str">
        <f>INDEX(Торг!$G:$G,MATCH($B37,Торг!$B:$B,0))</f>
        <v>вихур</v>
      </c>
    </row>
    <row r="38" spans="1:17" ht="60" x14ac:dyDescent="0.25">
      <c r="A38" s="67" t="s">
        <v>68</v>
      </c>
      <c r="B38" s="66">
        <v>214805</v>
      </c>
      <c r="C38" s="66">
        <v>87283</v>
      </c>
      <c r="D38" s="67" t="s">
        <v>100</v>
      </c>
      <c r="E38" s="67" t="s">
        <v>71</v>
      </c>
      <c r="F38" s="67"/>
      <c r="G38" s="67"/>
      <c r="H38" s="67"/>
      <c r="I38" s="67" t="s">
        <v>25</v>
      </c>
      <c r="J38" s="68">
        <v>2500</v>
      </c>
      <c r="K38" s="68">
        <v>3690</v>
      </c>
      <c r="L38" s="67"/>
      <c r="M38" s="66">
        <v>1</v>
      </c>
      <c r="N38" s="66"/>
      <c r="O38" s="67"/>
      <c r="P38" s="19" t="str">
        <f t="shared" si="0"/>
        <v>1</v>
      </c>
      <c r="Q38" s="19" t="str">
        <f>INDEX(Торг!$G:$G,MATCH($B38,Торг!$B:$B,0))</f>
        <v>вихур</v>
      </c>
    </row>
    <row r="39" spans="1:17" ht="60" x14ac:dyDescent="0.25">
      <c r="A39" s="67" t="s">
        <v>68</v>
      </c>
      <c r="B39" s="66">
        <v>214806</v>
      </c>
      <c r="C39" s="66">
        <v>87284</v>
      </c>
      <c r="D39" s="67" t="s">
        <v>101</v>
      </c>
      <c r="E39" s="67" t="s">
        <v>71</v>
      </c>
      <c r="F39" s="67"/>
      <c r="G39" s="67"/>
      <c r="H39" s="67"/>
      <c r="I39" s="67" t="s">
        <v>25</v>
      </c>
      <c r="J39" s="68">
        <v>2500</v>
      </c>
      <c r="K39" s="68">
        <v>3690</v>
      </c>
      <c r="L39" s="67"/>
      <c r="M39" s="66">
        <v>1</v>
      </c>
      <c r="N39" s="66"/>
      <c r="O39" s="67"/>
      <c r="P39" s="19" t="str">
        <f t="shared" si="0"/>
        <v>1</v>
      </c>
      <c r="Q39" s="19" t="str">
        <f>INDEX(Торг!$G:$G,MATCH($B39,Торг!$B:$B,0))</f>
        <v>вихур</v>
      </c>
    </row>
    <row r="40" spans="1:17" ht="30" x14ac:dyDescent="0.25">
      <c r="A40" s="67" t="s">
        <v>102</v>
      </c>
      <c r="B40" s="66">
        <v>214874</v>
      </c>
      <c r="C40" s="66">
        <v>66646</v>
      </c>
      <c r="D40" s="67" t="s">
        <v>103</v>
      </c>
      <c r="E40" s="67" t="s">
        <v>24</v>
      </c>
      <c r="F40" s="67"/>
      <c r="G40" s="67"/>
      <c r="H40" s="67"/>
      <c r="I40" s="67" t="s">
        <v>25</v>
      </c>
      <c r="J40" s="68">
        <v>800</v>
      </c>
      <c r="K40" s="68">
        <v>1390</v>
      </c>
      <c r="L40" s="67"/>
      <c r="M40" s="66">
        <v>0</v>
      </c>
      <c r="N40" s="66"/>
      <c r="O40" s="67"/>
      <c r="P40" s="19" t="str">
        <f t="shared" si="0"/>
        <v>0</v>
      </c>
      <c r="Q40" s="19" t="str">
        <f>INDEX(Торг!$G:$G,MATCH($B40,Торг!$B:$B,0))</f>
        <v>вихур</v>
      </c>
    </row>
    <row r="41" spans="1:17" ht="45" x14ac:dyDescent="0.25">
      <c r="A41" s="67" t="s">
        <v>102</v>
      </c>
      <c r="B41" s="66">
        <v>214875</v>
      </c>
      <c r="C41" s="66">
        <v>66647</v>
      </c>
      <c r="D41" s="67" t="s">
        <v>104</v>
      </c>
      <c r="E41" s="67" t="s">
        <v>71</v>
      </c>
      <c r="F41" s="67"/>
      <c r="G41" s="67"/>
      <c r="H41" s="67"/>
      <c r="I41" s="67" t="s">
        <v>25</v>
      </c>
      <c r="J41" s="68">
        <v>2800</v>
      </c>
      <c r="K41" s="68">
        <v>3990</v>
      </c>
      <c r="L41" s="67"/>
      <c r="M41" s="66">
        <v>0</v>
      </c>
      <c r="N41" s="66"/>
      <c r="O41" s="67"/>
      <c r="P41" s="19" t="str">
        <f t="shared" si="0"/>
        <v>0</v>
      </c>
      <c r="Q41" s="19" t="str">
        <f>INDEX(Торг!$G:$G,MATCH($B41,Торг!$B:$B,0))</f>
        <v>вихур</v>
      </c>
    </row>
    <row r="42" spans="1:17" ht="45" x14ac:dyDescent="0.25">
      <c r="A42" s="67" t="s">
        <v>102</v>
      </c>
      <c r="B42" s="66">
        <v>214876</v>
      </c>
      <c r="C42" s="66">
        <v>87318</v>
      </c>
      <c r="D42" s="67" t="s">
        <v>105</v>
      </c>
      <c r="E42" s="67" t="s">
        <v>71</v>
      </c>
      <c r="F42" s="67"/>
      <c r="G42" s="67"/>
      <c r="H42" s="67"/>
      <c r="I42" s="67" t="s">
        <v>25</v>
      </c>
      <c r="J42" s="68">
        <v>2800</v>
      </c>
      <c r="K42" s="68">
        <v>3990</v>
      </c>
      <c r="L42" s="67"/>
      <c r="M42" s="66">
        <v>0</v>
      </c>
      <c r="N42" s="66"/>
      <c r="O42" s="67"/>
      <c r="P42" s="19" t="str">
        <f t="shared" si="0"/>
        <v>0</v>
      </c>
      <c r="Q42" s="19" t="str">
        <f>INDEX(Торг!$G:$G,MATCH($B42,Торг!$B:$B,0))</f>
        <v>вихур</v>
      </c>
    </row>
    <row r="43" spans="1:17" ht="45" x14ac:dyDescent="0.25">
      <c r="A43" s="67" t="s">
        <v>102</v>
      </c>
      <c r="B43" s="66">
        <v>214877</v>
      </c>
      <c r="C43" s="66">
        <v>87319</v>
      </c>
      <c r="D43" s="67" t="s">
        <v>106</v>
      </c>
      <c r="E43" s="67" t="s">
        <v>71</v>
      </c>
      <c r="F43" s="67"/>
      <c r="G43" s="67"/>
      <c r="H43" s="67"/>
      <c r="I43" s="67" t="s">
        <v>25</v>
      </c>
      <c r="J43" s="68">
        <v>2800</v>
      </c>
      <c r="K43" s="68">
        <v>3990</v>
      </c>
      <c r="L43" s="67"/>
      <c r="M43" s="66">
        <v>0</v>
      </c>
      <c r="N43" s="66"/>
      <c r="O43" s="67"/>
      <c r="P43" s="19" t="str">
        <f t="shared" si="0"/>
        <v>0</v>
      </c>
      <c r="Q43" s="19" t="str">
        <f>INDEX(Торг!$G:$G,MATCH($B43,Торг!$B:$B,0))</f>
        <v>вихур</v>
      </c>
    </row>
    <row r="44" spans="1:17" ht="45" x14ac:dyDescent="0.25">
      <c r="A44" s="67" t="s">
        <v>102</v>
      </c>
      <c r="B44" s="66">
        <v>214878</v>
      </c>
      <c r="C44" s="66">
        <v>87320</v>
      </c>
      <c r="D44" s="67" t="s">
        <v>107</v>
      </c>
      <c r="E44" s="67" t="s">
        <v>71</v>
      </c>
      <c r="F44" s="67"/>
      <c r="G44" s="67"/>
      <c r="H44" s="67"/>
      <c r="I44" s="67" t="s">
        <v>25</v>
      </c>
      <c r="J44" s="68">
        <v>2800</v>
      </c>
      <c r="K44" s="68">
        <v>3990</v>
      </c>
      <c r="L44" s="67"/>
      <c r="M44" s="66">
        <v>0</v>
      </c>
      <c r="N44" s="66"/>
      <c r="O44" s="67"/>
      <c r="P44" s="19" t="str">
        <f t="shared" si="0"/>
        <v>0</v>
      </c>
      <c r="Q44" s="19" t="str">
        <f>INDEX(Торг!$G:$G,MATCH($B44,Торг!$B:$B,0))</f>
        <v>вихур</v>
      </c>
    </row>
    <row r="45" spans="1:17" ht="45" x14ac:dyDescent="0.25">
      <c r="A45" s="67" t="s">
        <v>102</v>
      </c>
      <c r="B45" s="66">
        <v>214879</v>
      </c>
      <c r="C45" s="66">
        <v>87321</v>
      </c>
      <c r="D45" s="67" t="s">
        <v>108</v>
      </c>
      <c r="E45" s="67" t="s">
        <v>71</v>
      </c>
      <c r="F45" s="67"/>
      <c r="G45" s="67"/>
      <c r="H45" s="67"/>
      <c r="I45" s="67" t="s">
        <v>25</v>
      </c>
      <c r="J45" s="68">
        <v>2800</v>
      </c>
      <c r="K45" s="68">
        <v>3990</v>
      </c>
      <c r="L45" s="67"/>
      <c r="M45" s="66">
        <v>0</v>
      </c>
      <c r="N45" s="66"/>
      <c r="O45" s="67"/>
      <c r="P45" s="19" t="str">
        <f t="shared" si="0"/>
        <v>0</v>
      </c>
      <c r="Q45" s="19" t="str">
        <f>INDEX(Торг!$G:$G,MATCH($B45,Торг!$B:$B,0))</f>
        <v>вихур</v>
      </c>
    </row>
    <row r="46" spans="1:17" ht="45" x14ac:dyDescent="0.25">
      <c r="A46" s="67" t="s">
        <v>102</v>
      </c>
      <c r="B46" s="66">
        <v>214880</v>
      </c>
      <c r="C46" s="66">
        <v>87322</v>
      </c>
      <c r="D46" s="67" t="s">
        <v>109</v>
      </c>
      <c r="E46" s="67" t="s">
        <v>71</v>
      </c>
      <c r="F46" s="67"/>
      <c r="G46" s="67"/>
      <c r="H46" s="67"/>
      <c r="I46" s="67" t="s">
        <v>25</v>
      </c>
      <c r="J46" s="68">
        <v>2800</v>
      </c>
      <c r="K46" s="68">
        <v>3990</v>
      </c>
      <c r="L46" s="67"/>
      <c r="M46" s="66">
        <v>0</v>
      </c>
      <c r="N46" s="66"/>
      <c r="O46" s="67"/>
      <c r="P46" s="19" t="str">
        <f t="shared" si="0"/>
        <v>0</v>
      </c>
      <c r="Q46" s="19" t="str">
        <f>INDEX(Торг!$G:$G,MATCH($B46,Торг!$B:$B,0))</f>
        <v>вихур</v>
      </c>
    </row>
    <row r="47" spans="1:17" ht="45" x14ac:dyDescent="0.25">
      <c r="A47" s="67" t="s">
        <v>102</v>
      </c>
      <c r="B47" s="66">
        <v>214881</v>
      </c>
      <c r="C47" s="66">
        <v>87323</v>
      </c>
      <c r="D47" s="67" t="s">
        <v>110</v>
      </c>
      <c r="E47" s="67" t="s">
        <v>71</v>
      </c>
      <c r="F47" s="67"/>
      <c r="G47" s="67"/>
      <c r="H47" s="67"/>
      <c r="I47" s="67" t="s">
        <v>25</v>
      </c>
      <c r="J47" s="68">
        <v>2800</v>
      </c>
      <c r="K47" s="68">
        <v>3990</v>
      </c>
      <c r="L47" s="67"/>
      <c r="M47" s="66">
        <v>0</v>
      </c>
      <c r="N47" s="66"/>
      <c r="O47" s="67"/>
      <c r="P47" s="19" t="str">
        <f t="shared" si="0"/>
        <v>0</v>
      </c>
      <c r="Q47" s="19" t="str">
        <f>INDEX(Торг!$G:$G,MATCH($B47,Торг!$B:$B,0))</f>
        <v>вихур</v>
      </c>
    </row>
    <row r="48" spans="1:17" ht="45" x14ac:dyDescent="0.25">
      <c r="A48" s="67" t="s">
        <v>102</v>
      </c>
      <c r="B48" s="66">
        <v>214882</v>
      </c>
      <c r="C48" s="66">
        <v>87324</v>
      </c>
      <c r="D48" s="67" t="s">
        <v>111</v>
      </c>
      <c r="E48" s="67" t="s">
        <v>71</v>
      </c>
      <c r="F48" s="67"/>
      <c r="G48" s="67"/>
      <c r="H48" s="67"/>
      <c r="I48" s="67" t="s">
        <v>25</v>
      </c>
      <c r="J48" s="68">
        <v>2800</v>
      </c>
      <c r="K48" s="68">
        <v>3990</v>
      </c>
      <c r="L48" s="67"/>
      <c r="M48" s="66">
        <v>0</v>
      </c>
      <c r="N48" s="66"/>
      <c r="O48" s="67"/>
      <c r="P48" s="19" t="str">
        <f t="shared" si="0"/>
        <v>0</v>
      </c>
      <c r="Q48" s="19" t="str">
        <f>INDEX(Торг!$G:$G,MATCH($B48,Торг!$B:$B,0))</f>
        <v>вихур</v>
      </c>
    </row>
    <row r="49" spans="1:17" ht="45" x14ac:dyDescent="0.25">
      <c r="A49" s="67" t="s">
        <v>102</v>
      </c>
      <c r="B49" s="66">
        <v>214883</v>
      </c>
      <c r="C49" s="66">
        <v>87325</v>
      </c>
      <c r="D49" s="67" t="s">
        <v>112</v>
      </c>
      <c r="E49" s="67" t="s">
        <v>71</v>
      </c>
      <c r="F49" s="67"/>
      <c r="G49" s="67"/>
      <c r="H49" s="67"/>
      <c r="I49" s="67" t="s">
        <v>25</v>
      </c>
      <c r="J49" s="68">
        <v>2800</v>
      </c>
      <c r="K49" s="68">
        <v>3990</v>
      </c>
      <c r="L49" s="67"/>
      <c r="M49" s="66">
        <v>0</v>
      </c>
      <c r="N49" s="66"/>
      <c r="O49" s="67"/>
      <c r="P49" s="19" t="str">
        <f t="shared" si="0"/>
        <v>0</v>
      </c>
      <c r="Q49" s="19" t="str">
        <f>INDEX(Торг!$G:$G,MATCH($B49,Торг!$B:$B,0))</f>
        <v>вихур</v>
      </c>
    </row>
    <row r="50" spans="1:17" ht="30" x14ac:dyDescent="0.25">
      <c r="A50" s="67" t="s">
        <v>102</v>
      </c>
      <c r="B50" s="66">
        <v>214884</v>
      </c>
      <c r="C50" s="66">
        <v>87326</v>
      </c>
      <c r="D50" s="67" t="s">
        <v>113</v>
      </c>
      <c r="E50" s="67" t="s">
        <v>71</v>
      </c>
      <c r="F50" s="67"/>
      <c r="G50" s="67"/>
      <c r="H50" s="67"/>
      <c r="I50" s="67" t="s">
        <v>25</v>
      </c>
      <c r="J50" s="68">
        <v>2800</v>
      </c>
      <c r="K50" s="68">
        <v>3990</v>
      </c>
      <c r="L50" s="67"/>
      <c r="M50" s="66">
        <v>0</v>
      </c>
      <c r="N50" s="66"/>
      <c r="O50" s="67"/>
      <c r="P50" s="19" t="str">
        <f t="shared" si="0"/>
        <v>0</v>
      </c>
      <c r="Q50" s="19" t="str">
        <f>INDEX(Торг!$G:$G,MATCH($B50,Торг!$B:$B,0))</f>
        <v>вихур</v>
      </c>
    </row>
    <row r="51" spans="1:17" ht="45" x14ac:dyDescent="0.25">
      <c r="A51" s="67" t="s">
        <v>102</v>
      </c>
      <c r="B51" s="66">
        <v>214885</v>
      </c>
      <c r="C51" s="66">
        <v>87327</v>
      </c>
      <c r="D51" s="67" t="s">
        <v>114</v>
      </c>
      <c r="E51" s="67" t="s">
        <v>71</v>
      </c>
      <c r="F51" s="67"/>
      <c r="G51" s="67"/>
      <c r="H51" s="67"/>
      <c r="I51" s="67" t="s">
        <v>25</v>
      </c>
      <c r="J51" s="68">
        <v>2800</v>
      </c>
      <c r="K51" s="68">
        <v>3990</v>
      </c>
      <c r="L51" s="67"/>
      <c r="M51" s="66">
        <v>0</v>
      </c>
      <c r="N51" s="66"/>
      <c r="O51" s="67"/>
      <c r="P51" s="19" t="str">
        <f t="shared" si="0"/>
        <v>0</v>
      </c>
      <c r="Q51" s="19" t="str">
        <f>INDEX(Торг!$G:$G,MATCH($B51,Торг!$B:$B,0))</f>
        <v>вихур</v>
      </c>
    </row>
    <row r="52" spans="1:17" ht="30" x14ac:dyDescent="0.25">
      <c r="A52" s="67" t="s">
        <v>102</v>
      </c>
      <c r="B52" s="66">
        <v>214886</v>
      </c>
      <c r="C52" s="66">
        <v>87328</v>
      </c>
      <c r="D52" s="67" t="s">
        <v>115</v>
      </c>
      <c r="E52" s="67" t="s">
        <v>71</v>
      </c>
      <c r="F52" s="67"/>
      <c r="G52" s="67"/>
      <c r="H52" s="67"/>
      <c r="I52" s="67" t="s">
        <v>25</v>
      </c>
      <c r="J52" s="68">
        <v>2800</v>
      </c>
      <c r="K52" s="68">
        <v>3990</v>
      </c>
      <c r="L52" s="67"/>
      <c r="M52" s="66">
        <v>0</v>
      </c>
      <c r="N52" s="66"/>
      <c r="O52" s="67"/>
      <c r="P52" s="19" t="str">
        <f t="shared" si="0"/>
        <v>0</v>
      </c>
      <c r="Q52" s="19" t="str">
        <f>INDEX(Торг!$G:$G,MATCH($B52,Торг!$B:$B,0))</f>
        <v>вихур</v>
      </c>
    </row>
    <row r="53" spans="1:17" ht="45" x14ac:dyDescent="0.25">
      <c r="A53" s="67" t="s">
        <v>102</v>
      </c>
      <c r="B53" s="66">
        <v>214887</v>
      </c>
      <c r="C53" s="66">
        <v>87329</v>
      </c>
      <c r="D53" s="67" t="s">
        <v>116</v>
      </c>
      <c r="E53" s="67" t="s">
        <v>71</v>
      </c>
      <c r="F53" s="67"/>
      <c r="G53" s="67"/>
      <c r="H53" s="67"/>
      <c r="I53" s="67" t="s">
        <v>25</v>
      </c>
      <c r="J53" s="68">
        <v>2800</v>
      </c>
      <c r="K53" s="68">
        <v>3990</v>
      </c>
      <c r="L53" s="67"/>
      <c r="M53" s="66">
        <v>0</v>
      </c>
      <c r="N53" s="66"/>
      <c r="O53" s="67"/>
      <c r="P53" s="19" t="str">
        <f t="shared" si="0"/>
        <v>0</v>
      </c>
      <c r="Q53" s="19" t="str">
        <f>INDEX(Торг!$G:$G,MATCH($B53,Торг!$B:$B,0))</f>
        <v>вихур</v>
      </c>
    </row>
    <row r="54" spans="1:17" ht="30" x14ac:dyDescent="0.25">
      <c r="A54" s="67" t="s">
        <v>102</v>
      </c>
      <c r="B54" s="66">
        <v>214888</v>
      </c>
      <c r="C54" s="66">
        <v>87330</v>
      </c>
      <c r="D54" s="67" t="s">
        <v>117</v>
      </c>
      <c r="E54" s="67" t="s">
        <v>71</v>
      </c>
      <c r="F54" s="67"/>
      <c r="G54" s="67"/>
      <c r="H54" s="67"/>
      <c r="I54" s="67" t="s">
        <v>25</v>
      </c>
      <c r="J54" s="68">
        <v>2800</v>
      </c>
      <c r="K54" s="68">
        <v>3990</v>
      </c>
      <c r="L54" s="67"/>
      <c r="M54" s="66">
        <v>0</v>
      </c>
      <c r="N54" s="66"/>
      <c r="O54" s="67"/>
      <c r="P54" s="19" t="str">
        <f t="shared" si="0"/>
        <v>0</v>
      </c>
      <c r="Q54" s="19" t="str">
        <f>INDEX(Торг!$G:$G,MATCH($B54,Торг!$B:$B,0))</f>
        <v>вихур</v>
      </c>
    </row>
    <row r="55" spans="1:17" ht="45" x14ac:dyDescent="0.25">
      <c r="A55" s="67" t="s">
        <v>102</v>
      </c>
      <c r="B55" s="66">
        <v>214889</v>
      </c>
      <c r="C55" s="66">
        <v>87331</v>
      </c>
      <c r="D55" s="67" t="s">
        <v>118</v>
      </c>
      <c r="E55" s="67" t="s">
        <v>71</v>
      </c>
      <c r="F55" s="67"/>
      <c r="G55" s="67"/>
      <c r="H55" s="67"/>
      <c r="I55" s="67" t="s">
        <v>25</v>
      </c>
      <c r="J55" s="68">
        <v>2800</v>
      </c>
      <c r="K55" s="68">
        <v>3990</v>
      </c>
      <c r="L55" s="67"/>
      <c r="M55" s="66">
        <v>0</v>
      </c>
      <c r="N55" s="66"/>
      <c r="O55" s="67"/>
      <c r="P55" s="19" t="str">
        <f t="shared" si="0"/>
        <v>0</v>
      </c>
      <c r="Q55" s="19" t="str">
        <f>INDEX(Торг!$G:$G,MATCH($B55,Торг!$B:$B,0))</f>
        <v>вихур</v>
      </c>
    </row>
    <row r="56" spans="1:17" ht="45" x14ac:dyDescent="0.25">
      <c r="A56" s="67" t="s">
        <v>102</v>
      </c>
      <c r="B56" s="66">
        <v>214890</v>
      </c>
      <c r="C56" s="66">
        <v>87332</v>
      </c>
      <c r="D56" s="67" t="s">
        <v>119</v>
      </c>
      <c r="E56" s="67" t="s">
        <v>71</v>
      </c>
      <c r="F56" s="67"/>
      <c r="G56" s="67"/>
      <c r="H56" s="67"/>
      <c r="I56" s="67" t="s">
        <v>25</v>
      </c>
      <c r="J56" s="68">
        <v>2800</v>
      </c>
      <c r="K56" s="68">
        <v>3990</v>
      </c>
      <c r="L56" s="67"/>
      <c r="M56" s="66">
        <v>0</v>
      </c>
      <c r="N56" s="66"/>
      <c r="O56" s="67"/>
      <c r="P56" s="19" t="str">
        <f t="shared" si="0"/>
        <v>0</v>
      </c>
      <c r="Q56" s="19" t="str">
        <f>INDEX(Торг!$G:$G,MATCH($B56,Торг!$B:$B,0))</f>
        <v>вихур</v>
      </c>
    </row>
    <row r="57" spans="1:17" ht="45" x14ac:dyDescent="0.25">
      <c r="A57" s="67" t="s">
        <v>102</v>
      </c>
      <c r="B57" s="66">
        <v>214891</v>
      </c>
      <c r="C57" s="66">
        <v>87333</v>
      </c>
      <c r="D57" s="67" t="s">
        <v>120</v>
      </c>
      <c r="E57" s="67" t="s">
        <v>71</v>
      </c>
      <c r="F57" s="67"/>
      <c r="G57" s="67"/>
      <c r="H57" s="67"/>
      <c r="I57" s="67" t="s">
        <v>25</v>
      </c>
      <c r="J57" s="68">
        <v>2800</v>
      </c>
      <c r="K57" s="68">
        <v>3990</v>
      </c>
      <c r="L57" s="67"/>
      <c r="M57" s="66">
        <v>0</v>
      </c>
      <c r="N57" s="66"/>
      <c r="O57" s="67"/>
      <c r="P57" s="19" t="str">
        <f t="shared" si="0"/>
        <v>0</v>
      </c>
      <c r="Q57" s="19" t="str">
        <f>INDEX(Торг!$G:$G,MATCH($B57,Торг!$B:$B,0))</f>
        <v>вихур</v>
      </c>
    </row>
    <row r="58" spans="1:17" ht="45" x14ac:dyDescent="0.25">
      <c r="A58" s="67" t="s">
        <v>102</v>
      </c>
      <c r="B58" s="66">
        <v>214892</v>
      </c>
      <c r="C58" s="66">
        <v>87334</v>
      </c>
      <c r="D58" s="67" t="s">
        <v>121</v>
      </c>
      <c r="E58" s="67" t="s">
        <v>71</v>
      </c>
      <c r="F58" s="67"/>
      <c r="G58" s="67"/>
      <c r="H58" s="67"/>
      <c r="I58" s="67" t="s">
        <v>25</v>
      </c>
      <c r="J58" s="68">
        <v>2800</v>
      </c>
      <c r="K58" s="68">
        <v>3990</v>
      </c>
      <c r="L58" s="67"/>
      <c r="M58" s="66">
        <v>0</v>
      </c>
      <c r="N58" s="66"/>
      <c r="O58" s="67"/>
      <c r="P58" s="19" t="str">
        <f t="shared" si="0"/>
        <v>0</v>
      </c>
      <c r="Q58" s="19" t="str">
        <f>INDEX(Торг!$G:$G,MATCH($B58,Торг!$B:$B,0))</f>
        <v>вихур</v>
      </c>
    </row>
    <row r="59" spans="1:17" ht="45" x14ac:dyDescent="0.25">
      <c r="A59" s="67" t="s">
        <v>102</v>
      </c>
      <c r="B59" s="66">
        <v>214893</v>
      </c>
      <c r="C59" s="66">
        <v>87335</v>
      </c>
      <c r="D59" s="67" t="s">
        <v>122</v>
      </c>
      <c r="E59" s="67" t="s">
        <v>71</v>
      </c>
      <c r="F59" s="67"/>
      <c r="G59" s="67"/>
      <c r="H59" s="67"/>
      <c r="I59" s="67" t="s">
        <v>25</v>
      </c>
      <c r="J59" s="68">
        <v>2800</v>
      </c>
      <c r="K59" s="68">
        <v>3990</v>
      </c>
      <c r="L59" s="67"/>
      <c r="M59" s="66">
        <v>0</v>
      </c>
      <c r="N59" s="66"/>
      <c r="O59" s="67"/>
      <c r="P59" s="19" t="str">
        <f t="shared" si="0"/>
        <v>0</v>
      </c>
      <c r="Q59" s="19" t="str">
        <f>INDEX(Торг!$G:$G,MATCH($B59,Торг!$B:$B,0))</f>
        <v>вихур</v>
      </c>
    </row>
    <row r="60" spans="1:17" ht="45" x14ac:dyDescent="0.25">
      <c r="A60" s="67" t="s">
        <v>102</v>
      </c>
      <c r="B60" s="66">
        <v>214894</v>
      </c>
      <c r="C60" s="66">
        <v>87336</v>
      </c>
      <c r="D60" s="67" t="s">
        <v>123</v>
      </c>
      <c r="E60" s="67" t="s">
        <v>71</v>
      </c>
      <c r="F60" s="67"/>
      <c r="G60" s="67"/>
      <c r="H60" s="67"/>
      <c r="I60" s="67" t="s">
        <v>25</v>
      </c>
      <c r="J60" s="68">
        <v>2800</v>
      </c>
      <c r="K60" s="68">
        <v>3990</v>
      </c>
      <c r="L60" s="67"/>
      <c r="M60" s="66">
        <v>0</v>
      </c>
      <c r="N60" s="66"/>
      <c r="O60" s="67"/>
      <c r="P60" s="19" t="str">
        <f t="shared" si="0"/>
        <v>0</v>
      </c>
      <c r="Q60" s="19" t="str">
        <f>INDEX(Торг!$G:$G,MATCH($B60,Торг!$B:$B,0))</f>
        <v>вихур</v>
      </c>
    </row>
    <row r="61" spans="1:17" ht="30" x14ac:dyDescent="0.25">
      <c r="A61" s="67" t="s">
        <v>102</v>
      </c>
      <c r="B61" s="66">
        <v>214895</v>
      </c>
      <c r="C61" s="66">
        <v>87337</v>
      </c>
      <c r="D61" s="67" t="s">
        <v>124</v>
      </c>
      <c r="E61" s="67" t="s">
        <v>71</v>
      </c>
      <c r="F61" s="67"/>
      <c r="G61" s="67"/>
      <c r="H61" s="67"/>
      <c r="I61" s="67" t="s">
        <v>25</v>
      </c>
      <c r="J61" s="68">
        <v>2800</v>
      </c>
      <c r="K61" s="68">
        <v>3990</v>
      </c>
      <c r="L61" s="67"/>
      <c r="M61" s="66">
        <v>0</v>
      </c>
      <c r="N61" s="66"/>
      <c r="O61" s="67"/>
      <c r="P61" s="19" t="str">
        <f t="shared" si="0"/>
        <v>0</v>
      </c>
      <c r="Q61" s="19" t="str">
        <f>INDEX(Торг!$G:$G,MATCH($B61,Торг!$B:$B,0))</f>
        <v>вихур</v>
      </c>
    </row>
    <row r="62" spans="1:17" ht="45" x14ac:dyDescent="0.25">
      <c r="A62" s="67" t="s">
        <v>102</v>
      </c>
      <c r="B62" s="66">
        <v>214896</v>
      </c>
      <c r="C62" s="66">
        <v>87338</v>
      </c>
      <c r="D62" s="67" t="s">
        <v>125</v>
      </c>
      <c r="E62" s="67" t="s">
        <v>71</v>
      </c>
      <c r="F62" s="67"/>
      <c r="G62" s="67"/>
      <c r="H62" s="67"/>
      <c r="I62" s="67" t="s">
        <v>25</v>
      </c>
      <c r="J62" s="68">
        <v>2800</v>
      </c>
      <c r="K62" s="68">
        <v>3990</v>
      </c>
      <c r="L62" s="67"/>
      <c r="M62" s="66">
        <v>0</v>
      </c>
      <c r="N62" s="66"/>
      <c r="O62" s="67"/>
      <c r="P62" s="19" t="str">
        <f t="shared" si="0"/>
        <v>0</v>
      </c>
      <c r="Q62" s="19" t="str">
        <f>INDEX(Торг!$G:$G,MATCH($B62,Торг!$B:$B,0))</f>
        <v>вихур</v>
      </c>
    </row>
    <row r="63" spans="1:17" ht="45" x14ac:dyDescent="0.25">
      <c r="A63" s="67" t="s">
        <v>102</v>
      </c>
      <c r="B63" s="66">
        <v>214897</v>
      </c>
      <c r="C63" s="66">
        <v>87339</v>
      </c>
      <c r="D63" s="67" t="s">
        <v>126</v>
      </c>
      <c r="E63" s="67" t="s">
        <v>71</v>
      </c>
      <c r="F63" s="67"/>
      <c r="G63" s="67"/>
      <c r="H63" s="67"/>
      <c r="I63" s="67" t="s">
        <v>25</v>
      </c>
      <c r="J63" s="68">
        <v>2800</v>
      </c>
      <c r="K63" s="68">
        <v>3990</v>
      </c>
      <c r="L63" s="67"/>
      <c r="M63" s="66">
        <v>0</v>
      </c>
      <c r="N63" s="66"/>
      <c r="O63" s="67"/>
      <c r="P63" s="19" t="str">
        <f t="shared" si="0"/>
        <v>0</v>
      </c>
      <c r="Q63" s="19" t="str">
        <f>INDEX(Торг!$G:$G,MATCH($B63,Торг!$B:$B,0))</f>
        <v>вихур</v>
      </c>
    </row>
    <row r="64" spans="1:17" ht="45" x14ac:dyDescent="0.25">
      <c r="A64" s="67" t="s">
        <v>102</v>
      </c>
      <c r="B64" s="66">
        <v>214898</v>
      </c>
      <c r="C64" s="66">
        <v>87340</v>
      </c>
      <c r="D64" s="67" t="s">
        <v>127</v>
      </c>
      <c r="E64" s="67" t="s">
        <v>71</v>
      </c>
      <c r="F64" s="67"/>
      <c r="G64" s="67"/>
      <c r="H64" s="67"/>
      <c r="I64" s="67" t="s">
        <v>25</v>
      </c>
      <c r="J64" s="68">
        <v>2800</v>
      </c>
      <c r="K64" s="68">
        <v>3990</v>
      </c>
      <c r="L64" s="67"/>
      <c r="M64" s="66">
        <v>0</v>
      </c>
      <c r="N64" s="66"/>
      <c r="O64" s="67"/>
      <c r="P64" s="19" t="str">
        <f t="shared" si="0"/>
        <v>0</v>
      </c>
      <c r="Q64" s="19" t="str">
        <f>INDEX(Торг!$G:$G,MATCH($B64,Торг!$B:$B,0))</f>
        <v>вихур</v>
      </c>
    </row>
    <row r="65" spans="1:17" ht="45" x14ac:dyDescent="0.25">
      <c r="A65" s="67" t="s">
        <v>102</v>
      </c>
      <c r="B65" s="66">
        <v>214899</v>
      </c>
      <c r="C65" s="66">
        <v>87341</v>
      </c>
      <c r="D65" s="67" t="s">
        <v>128</v>
      </c>
      <c r="E65" s="67" t="s">
        <v>71</v>
      </c>
      <c r="F65" s="67"/>
      <c r="G65" s="67"/>
      <c r="H65" s="67"/>
      <c r="I65" s="67" t="s">
        <v>25</v>
      </c>
      <c r="J65" s="68">
        <v>2800</v>
      </c>
      <c r="K65" s="68">
        <v>3990</v>
      </c>
      <c r="L65" s="67"/>
      <c r="M65" s="66">
        <v>0</v>
      </c>
      <c r="N65" s="66"/>
      <c r="O65" s="67"/>
      <c r="P65" s="19" t="str">
        <f t="shared" si="0"/>
        <v>0</v>
      </c>
      <c r="Q65" s="19" t="str">
        <f>INDEX(Торг!$G:$G,MATCH($B65,Торг!$B:$B,0))</f>
        <v>вихур</v>
      </c>
    </row>
    <row r="66" spans="1:17" ht="45" x14ac:dyDescent="0.25">
      <c r="A66" s="67" t="s">
        <v>102</v>
      </c>
      <c r="B66" s="66">
        <v>214900</v>
      </c>
      <c r="C66" s="66">
        <v>87342</v>
      </c>
      <c r="D66" s="67" t="s">
        <v>129</v>
      </c>
      <c r="E66" s="67" t="s">
        <v>71</v>
      </c>
      <c r="F66" s="67"/>
      <c r="G66" s="67"/>
      <c r="H66" s="67"/>
      <c r="I66" s="67" t="s">
        <v>25</v>
      </c>
      <c r="J66" s="68">
        <v>2800</v>
      </c>
      <c r="K66" s="68">
        <v>3990</v>
      </c>
      <c r="L66" s="67"/>
      <c r="M66" s="66">
        <v>0</v>
      </c>
      <c r="N66" s="66"/>
      <c r="O66" s="67"/>
      <c r="P66" s="19" t="str">
        <f t="shared" si="0"/>
        <v>0</v>
      </c>
      <c r="Q66" s="19" t="str">
        <f>INDEX(Торг!$G:$G,MATCH($B66,Торг!$B:$B,0))</f>
        <v>вихур</v>
      </c>
    </row>
    <row r="67" spans="1:17" ht="45" x14ac:dyDescent="0.25">
      <c r="A67" s="67" t="s">
        <v>102</v>
      </c>
      <c r="B67" s="66">
        <v>214901</v>
      </c>
      <c r="C67" s="66">
        <v>87343</v>
      </c>
      <c r="D67" s="67" t="s">
        <v>130</v>
      </c>
      <c r="E67" s="67" t="s">
        <v>71</v>
      </c>
      <c r="F67" s="67"/>
      <c r="G67" s="67"/>
      <c r="H67" s="67"/>
      <c r="I67" s="67" t="s">
        <v>25</v>
      </c>
      <c r="J67" s="68">
        <v>2800</v>
      </c>
      <c r="K67" s="68">
        <v>3990</v>
      </c>
      <c r="L67" s="67"/>
      <c r="M67" s="66">
        <v>0</v>
      </c>
      <c r="N67" s="66"/>
      <c r="O67" s="67"/>
      <c r="P67" s="19" t="str">
        <f t="shared" ref="P67:P105" si="1">_xlfn.CONCAT(M67,IF(N67&lt;&gt;"",_xlfn.CONCAT("ск",N67),""))</f>
        <v>0</v>
      </c>
      <c r="Q67" s="19" t="str">
        <f>INDEX(Торг!$G:$G,MATCH($B67,Торг!$B:$B,0))</f>
        <v>вихур</v>
      </c>
    </row>
    <row r="68" spans="1:17" ht="45" x14ac:dyDescent="0.25">
      <c r="A68" s="67" t="s">
        <v>102</v>
      </c>
      <c r="B68" s="66">
        <v>214902</v>
      </c>
      <c r="C68" s="66">
        <v>87344</v>
      </c>
      <c r="D68" s="67" t="s">
        <v>131</v>
      </c>
      <c r="E68" s="67" t="s">
        <v>71</v>
      </c>
      <c r="F68" s="67"/>
      <c r="G68" s="67"/>
      <c r="H68" s="67"/>
      <c r="I68" s="67" t="s">
        <v>25</v>
      </c>
      <c r="J68" s="68">
        <v>2800</v>
      </c>
      <c r="K68" s="68">
        <v>3990</v>
      </c>
      <c r="L68" s="67"/>
      <c r="M68" s="66">
        <v>0</v>
      </c>
      <c r="N68" s="66"/>
      <c r="O68" s="67"/>
      <c r="P68" s="19" t="str">
        <f t="shared" si="1"/>
        <v>0</v>
      </c>
      <c r="Q68" s="19" t="str">
        <f>INDEX(Торг!$G:$G,MATCH($B68,Торг!$B:$B,0))</f>
        <v>вихур</v>
      </c>
    </row>
    <row r="69" spans="1:17" ht="45" x14ac:dyDescent="0.25">
      <c r="A69" s="67" t="s">
        <v>102</v>
      </c>
      <c r="B69" s="66">
        <v>214903</v>
      </c>
      <c r="C69" s="66">
        <v>87345</v>
      </c>
      <c r="D69" s="67" t="s">
        <v>132</v>
      </c>
      <c r="E69" s="67" t="s">
        <v>71</v>
      </c>
      <c r="F69" s="67"/>
      <c r="G69" s="67"/>
      <c r="H69" s="67"/>
      <c r="I69" s="67" t="s">
        <v>25</v>
      </c>
      <c r="J69" s="68">
        <v>2800</v>
      </c>
      <c r="K69" s="68">
        <v>3990</v>
      </c>
      <c r="L69" s="67"/>
      <c r="M69" s="66">
        <v>0</v>
      </c>
      <c r="N69" s="66"/>
      <c r="O69" s="67"/>
      <c r="P69" s="19" t="str">
        <f t="shared" si="1"/>
        <v>0</v>
      </c>
      <c r="Q69" s="19" t="str">
        <f>INDEX(Торг!$G:$G,MATCH($B69,Торг!$B:$B,0))</f>
        <v>вихур</v>
      </c>
    </row>
    <row r="70" spans="1:17" ht="45" x14ac:dyDescent="0.25">
      <c r="A70" s="67" t="s">
        <v>102</v>
      </c>
      <c r="B70" s="66">
        <v>214904</v>
      </c>
      <c r="C70" s="66">
        <v>87346</v>
      </c>
      <c r="D70" s="67" t="s">
        <v>133</v>
      </c>
      <c r="E70" s="67" t="s">
        <v>71</v>
      </c>
      <c r="F70" s="67"/>
      <c r="G70" s="67"/>
      <c r="H70" s="67"/>
      <c r="I70" s="67" t="s">
        <v>25</v>
      </c>
      <c r="J70" s="68">
        <v>2800</v>
      </c>
      <c r="K70" s="68">
        <v>3990</v>
      </c>
      <c r="L70" s="67"/>
      <c r="M70" s="66">
        <v>0</v>
      </c>
      <c r="N70" s="66"/>
      <c r="O70" s="67"/>
      <c r="P70" s="19" t="str">
        <f t="shared" si="1"/>
        <v>0</v>
      </c>
      <c r="Q70" s="19" t="str">
        <f>INDEX(Торг!$G:$G,MATCH($B70,Торг!$B:$B,0))</f>
        <v>вихур</v>
      </c>
    </row>
    <row r="71" spans="1:17" ht="45" x14ac:dyDescent="0.25">
      <c r="A71" s="67" t="s">
        <v>102</v>
      </c>
      <c r="B71" s="66">
        <v>214905</v>
      </c>
      <c r="C71" s="66">
        <v>87347</v>
      </c>
      <c r="D71" s="67" t="s">
        <v>134</v>
      </c>
      <c r="E71" s="67" t="s">
        <v>71</v>
      </c>
      <c r="F71" s="67"/>
      <c r="G71" s="67"/>
      <c r="H71" s="67"/>
      <c r="I71" s="67" t="s">
        <v>25</v>
      </c>
      <c r="J71" s="68">
        <v>2800</v>
      </c>
      <c r="K71" s="68">
        <v>3990</v>
      </c>
      <c r="L71" s="67"/>
      <c r="M71" s="66">
        <v>0</v>
      </c>
      <c r="N71" s="66"/>
      <c r="O71" s="67"/>
      <c r="P71" s="19" t="str">
        <f t="shared" si="1"/>
        <v>0</v>
      </c>
      <c r="Q71" s="19" t="str">
        <f>INDEX(Торг!$G:$G,MATCH($B71,Торг!$B:$B,0))</f>
        <v>вихур</v>
      </c>
    </row>
    <row r="72" spans="1:17" x14ac:dyDescent="0.25">
      <c r="A72" s="67" t="s">
        <v>135</v>
      </c>
      <c r="B72" s="66">
        <v>216145</v>
      </c>
      <c r="C72" s="66">
        <v>77308</v>
      </c>
      <c r="D72" s="67" t="s">
        <v>136</v>
      </c>
      <c r="E72" s="67" t="s">
        <v>24</v>
      </c>
      <c r="F72" s="67"/>
      <c r="G72" s="67"/>
      <c r="H72" s="67"/>
      <c r="I72" s="67" t="s">
        <v>25</v>
      </c>
      <c r="J72" s="68">
        <v>600</v>
      </c>
      <c r="K72" s="68">
        <v>949</v>
      </c>
      <c r="L72" s="67"/>
      <c r="M72" s="66">
        <v>0</v>
      </c>
      <c r="N72" s="66"/>
      <c r="O72" s="67"/>
      <c r="P72" s="19" t="str">
        <f t="shared" si="1"/>
        <v>0</v>
      </c>
      <c r="Q72" s="19" t="str">
        <f>INDEX(Торг!$G:$G,MATCH($B72,Торг!$B:$B,0))</f>
        <v>вихур</v>
      </c>
    </row>
    <row r="73" spans="1:17" x14ac:dyDescent="0.25">
      <c r="A73" s="67" t="s">
        <v>135</v>
      </c>
      <c r="B73" s="66">
        <v>216146</v>
      </c>
      <c r="C73" s="66">
        <v>77309</v>
      </c>
      <c r="D73" s="67" t="s">
        <v>137</v>
      </c>
      <c r="E73" s="67" t="s">
        <v>24</v>
      </c>
      <c r="F73" s="67"/>
      <c r="G73" s="67"/>
      <c r="H73" s="67"/>
      <c r="I73" s="67" t="s">
        <v>25</v>
      </c>
      <c r="J73" s="68">
        <v>600</v>
      </c>
      <c r="K73" s="68">
        <v>949</v>
      </c>
      <c r="L73" s="67"/>
      <c r="M73" s="66">
        <v>0</v>
      </c>
      <c r="N73" s="66"/>
      <c r="O73" s="67"/>
      <c r="P73" s="19" t="str">
        <f t="shared" si="1"/>
        <v>0</v>
      </c>
      <c r="Q73" s="19" t="str">
        <f>INDEX(Торг!$G:$G,MATCH($B73,Торг!$B:$B,0))</f>
        <v>вихур</v>
      </c>
    </row>
    <row r="74" spans="1:17" ht="45" x14ac:dyDescent="0.25">
      <c r="A74" s="67" t="s">
        <v>138</v>
      </c>
      <c r="B74" s="66">
        <v>216963</v>
      </c>
      <c r="C74" s="66">
        <v>66659</v>
      </c>
      <c r="D74" s="67" t="s">
        <v>139</v>
      </c>
      <c r="E74" s="67" t="s">
        <v>24</v>
      </c>
      <c r="F74" s="67"/>
      <c r="G74" s="67" t="s">
        <v>60</v>
      </c>
      <c r="H74" s="67" t="s">
        <v>60</v>
      </c>
      <c r="I74" s="67" t="s">
        <v>25</v>
      </c>
      <c r="J74" s="68">
        <v>600</v>
      </c>
      <c r="K74" s="68">
        <v>1090</v>
      </c>
      <c r="L74" s="67"/>
      <c r="M74" s="66">
        <v>1</v>
      </c>
      <c r="N74" s="66">
        <v>2</v>
      </c>
      <c r="O74" s="67"/>
      <c r="P74" s="19" t="str">
        <f t="shared" si="1"/>
        <v>1ск2</v>
      </c>
      <c r="Q74" s="19" t="str">
        <f>INDEX(Торг!$G:$G,MATCH($B74,Торг!$B:$B,0))</f>
        <v>вихур</v>
      </c>
    </row>
    <row r="75" spans="1:17" ht="45" x14ac:dyDescent="0.25">
      <c r="A75" s="67" t="s">
        <v>138</v>
      </c>
      <c r="B75" s="66">
        <v>216964</v>
      </c>
      <c r="C75" s="66">
        <v>66660</v>
      </c>
      <c r="D75" s="67" t="s">
        <v>140</v>
      </c>
      <c r="E75" s="67" t="s">
        <v>71</v>
      </c>
      <c r="F75" s="67"/>
      <c r="G75" s="67" t="s">
        <v>60</v>
      </c>
      <c r="H75" s="67" t="s">
        <v>60</v>
      </c>
      <c r="I75" s="67" t="s">
        <v>25</v>
      </c>
      <c r="J75" s="68">
        <v>2500</v>
      </c>
      <c r="K75" s="68">
        <v>3690</v>
      </c>
      <c r="L75" s="67"/>
      <c r="M75" s="66">
        <v>1</v>
      </c>
      <c r="N75" s="66"/>
      <c r="O75" s="67"/>
      <c r="P75" s="19" t="str">
        <f t="shared" si="1"/>
        <v>1</v>
      </c>
      <c r="Q75" s="19" t="str">
        <f>INDEX(Торг!$G:$G,MATCH($B75,Торг!$B:$B,0))</f>
        <v>вихур</v>
      </c>
    </row>
    <row r="76" spans="1:17" ht="45" x14ac:dyDescent="0.25">
      <c r="A76" s="67" t="s">
        <v>138</v>
      </c>
      <c r="B76" s="66">
        <v>216965</v>
      </c>
      <c r="C76" s="66">
        <v>87225</v>
      </c>
      <c r="D76" s="67" t="s">
        <v>141</v>
      </c>
      <c r="E76" s="67" t="s">
        <v>71</v>
      </c>
      <c r="F76" s="67"/>
      <c r="G76" s="67" t="s">
        <v>60</v>
      </c>
      <c r="H76" s="67" t="s">
        <v>60</v>
      </c>
      <c r="I76" s="67" t="s">
        <v>25</v>
      </c>
      <c r="J76" s="68">
        <v>2500</v>
      </c>
      <c r="K76" s="68">
        <v>3690</v>
      </c>
      <c r="L76" s="67"/>
      <c r="M76" s="66">
        <v>1</v>
      </c>
      <c r="N76" s="66"/>
      <c r="O76" s="67"/>
      <c r="P76" s="19" t="str">
        <f t="shared" si="1"/>
        <v>1</v>
      </c>
      <c r="Q76" s="19" t="str">
        <f>INDEX(Торг!$G:$G,MATCH($B76,Торг!$B:$B,0))</f>
        <v>вихур</v>
      </c>
    </row>
    <row r="77" spans="1:17" ht="45" x14ac:dyDescent="0.25">
      <c r="A77" s="67" t="s">
        <v>138</v>
      </c>
      <c r="B77" s="66">
        <v>216966</v>
      </c>
      <c r="C77" s="66">
        <v>87226</v>
      </c>
      <c r="D77" s="67" t="s">
        <v>142</v>
      </c>
      <c r="E77" s="67" t="s">
        <v>71</v>
      </c>
      <c r="F77" s="67"/>
      <c r="G77" s="67" t="s">
        <v>60</v>
      </c>
      <c r="H77" s="67" t="s">
        <v>60</v>
      </c>
      <c r="I77" s="67" t="s">
        <v>25</v>
      </c>
      <c r="J77" s="68">
        <v>2500</v>
      </c>
      <c r="K77" s="68">
        <v>3690</v>
      </c>
      <c r="L77" s="67"/>
      <c r="M77" s="66">
        <v>1</v>
      </c>
      <c r="N77" s="66"/>
      <c r="O77" s="67"/>
      <c r="P77" s="19" t="str">
        <f t="shared" si="1"/>
        <v>1</v>
      </c>
      <c r="Q77" s="19" t="str">
        <f>INDEX(Торг!$G:$G,MATCH($B77,Торг!$B:$B,0))</f>
        <v>вихур</v>
      </c>
    </row>
    <row r="78" spans="1:17" ht="45" x14ac:dyDescent="0.25">
      <c r="A78" s="67" t="s">
        <v>138</v>
      </c>
      <c r="B78" s="66">
        <v>216967</v>
      </c>
      <c r="C78" s="66">
        <v>87227</v>
      </c>
      <c r="D78" s="67" t="s">
        <v>143</v>
      </c>
      <c r="E78" s="67" t="s">
        <v>71</v>
      </c>
      <c r="F78" s="67"/>
      <c r="G78" s="67" t="s">
        <v>60</v>
      </c>
      <c r="H78" s="67" t="s">
        <v>60</v>
      </c>
      <c r="I78" s="67" t="s">
        <v>25</v>
      </c>
      <c r="J78" s="68">
        <v>2500</v>
      </c>
      <c r="K78" s="68">
        <v>3690</v>
      </c>
      <c r="L78" s="67"/>
      <c r="M78" s="66">
        <v>1</v>
      </c>
      <c r="N78" s="66"/>
      <c r="O78" s="67"/>
      <c r="P78" s="19" t="str">
        <f t="shared" si="1"/>
        <v>1</v>
      </c>
      <c r="Q78" s="19" t="str">
        <f>INDEX(Торг!$G:$G,MATCH($B78,Торг!$B:$B,0))</f>
        <v>вихур</v>
      </c>
    </row>
    <row r="79" spans="1:17" ht="45" x14ac:dyDescent="0.25">
      <c r="A79" s="67" t="s">
        <v>138</v>
      </c>
      <c r="B79" s="66">
        <v>216968</v>
      </c>
      <c r="C79" s="66">
        <v>87228</v>
      </c>
      <c r="D79" s="67" t="s">
        <v>144</v>
      </c>
      <c r="E79" s="67" t="s">
        <v>71</v>
      </c>
      <c r="F79" s="67"/>
      <c r="G79" s="67" t="s">
        <v>60</v>
      </c>
      <c r="H79" s="67" t="s">
        <v>60</v>
      </c>
      <c r="I79" s="67" t="s">
        <v>25</v>
      </c>
      <c r="J79" s="68">
        <v>2500</v>
      </c>
      <c r="K79" s="68">
        <v>3690</v>
      </c>
      <c r="L79" s="67"/>
      <c r="M79" s="66">
        <v>1</v>
      </c>
      <c r="N79" s="66"/>
      <c r="O79" s="67"/>
      <c r="P79" s="19" t="str">
        <f t="shared" si="1"/>
        <v>1</v>
      </c>
      <c r="Q79" s="19" t="str">
        <f>INDEX(Торг!$G:$G,MATCH($B79,Торг!$B:$B,0))</f>
        <v>вихур</v>
      </c>
    </row>
    <row r="80" spans="1:17" ht="45" x14ac:dyDescent="0.25">
      <c r="A80" s="67" t="s">
        <v>138</v>
      </c>
      <c r="B80" s="66">
        <v>216969</v>
      </c>
      <c r="C80" s="66">
        <v>87229</v>
      </c>
      <c r="D80" s="67" t="s">
        <v>145</v>
      </c>
      <c r="E80" s="67" t="s">
        <v>71</v>
      </c>
      <c r="F80" s="67"/>
      <c r="G80" s="67" t="s">
        <v>60</v>
      </c>
      <c r="H80" s="67" t="s">
        <v>60</v>
      </c>
      <c r="I80" s="67" t="s">
        <v>25</v>
      </c>
      <c r="J80" s="68">
        <v>2500</v>
      </c>
      <c r="K80" s="68">
        <v>3690</v>
      </c>
      <c r="L80" s="67"/>
      <c r="M80" s="66">
        <v>1</v>
      </c>
      <c r="N80" s="66"/>
      <c r="O80" s="67"/>
      <c r="P80" s="19" t="str">
        <f t="shared" si="1"/>
        <v>1</v>
      </c>
      <c r="Q80" s="19" t="str">
        <f>INDEX(Торг!$G:$G,MATCH($B80,Торг!$B:$B,0))</f>
        <v>вихур</v>
      </c>
    </row>
    <row r="81" spans="1:17" ht="45" x14ac:dyDescent="0.25">
      <c r="A81" s="67" t="s">
        <v>138</v>
      </c>
      <c r="B81" s="66">
        <v>216970</v>
      </c>
      <c r="C81" s="66">
        <v>87230</v>
      </c>
      <c r="D81" s="67" t="s">
        <v>146</v>
      </c>
      <c r="E81" s="67" t="s">
        <v>71</v>
      </c>
      <c r="F81" s="67"/>
      <c r="G81" s="67" t="s">
        <v>60</v>
      </c>
      <c r="H81" s="67" t="s">
        <v>60</v>
      </c>
      <c r="I81" s="67" t="s">
        <v>25</v>
      </c>
      <c r="J81" s="68">
        <v>2500</v>
      </c>
      <c r="K81" s="68">
        <v>3690</v>
      </c>
      <c r="L81" s="67"/>
      <c r="M81" s="66">
        <v>1</v>
      </c>
      <c r="N81" s="66"/>
      <c r="O81" s="67"/>
      <c r="P81" s="19" t="str">
        <f t="shared" si="1"/>
        <v>1</v>
      </c>
      <c r="Q81" s="19" t="str">
        <f>INDEX(Торг!$G:$G,MATCH($B81,Торг!$B:$B,0))</f>
        <v>вихур</v>
      </c>
    </row>
    <row r="82" spans="1:17" ht="45" x14ac:dyDescent="0.25">
      <c r="A82" s="67" t="s">
        <v>138</v>
      </c>
      <c r="B82" s="66">
        <v>216971</v>
      </c>
      <c r="C82" s="66">
        <v>87231</v>
      </c>
      <c r="D82" s="67" t="s">
        <v>147</v>
      </c>
      <c r="E82" s="67" t="s">
        <v>71</v>
      </c>
      <c r="F82" s="67"/>
      <c r="G82" s="67" t="s">
        <v>60</v>
      </c>
      <c r="H82" s="67" t="s">
        <v>60</v>
      </c>
      <c r="I82" s="67" t="s">
        <v>25</v>
      </c>
      <c r="J82" s="68">
        <v>2500</v>
      </c>
      <c r="K82" s="68">
        <v>3690</v>
      </c>
      <c r="L82" s="67"/>
      <c r="M82" s="66">
        <v>1</v>
      </c>
      <c r="N82" s="66"/>
      <c r="O82" s="67"/>
      <c r="P82" s="19" t="str">
        <f t="shared" si="1"/>
        <v>1</v>
      </c>
      <c r="Q82" s="19" t="str">
        <f>INDEX(Торг!$G:$G,MATCH($B82,Торг!$B:$B,0))</f>
        <v>вихур</v>
      </c>
    </row>
    <row r="83" spans="1:17" ht="45" x14ac:dyDescent="0.25">
      <c r="A83" s="67" t="s">
        <v>138</v>
      </c>
      <c r="B83" s="66">
        <v>216972</v>
      </c>
      <c r="C83" s="66">
        <v>87232</v>
      </c>
      <c r="D83" s="67" t="s">
        <v>148</v>
      </c>
      <c r="E83" s="67" t="s">
        <v>71</v>
      </c>
      <c r="F83" s="67"/>
      <c r="G83" s="67" t="s">
        <v>60</v>
      </c>
      <c r="H83" s="67" t="s">
        <v>60</v>
      </c>
      <c r="I83" s="67" t="s">
        <v>25</v>
      </c>
      <c r="J83" s="68">
        <v>2500</v>
      </c>
      <c r="K83" s="68">
        <v>3690</v>
      </c>
      <c r="L83" s="67"/>
      <c r="M83" s="66">
        <v>1</v>
      </c>
      <c r="N83" s="66"/>
      <c r="O83" s="67"/>
      <c r="P83" s="19" t="str">
        <f t="shared" si="1"/>
        <v>1</v>
      </c>
      <c r="Q83" s="19" t="str">
        <f>INDEX(Торг!$G:$G,MATCH($B83,Торг!$B:$B,0))</f>
        <v>вихур</v>
      </c>
    </row>
    <row r="84" spans="1:17" ht="45" x14ac:dyDescent="0.25">
      <c r="A84" s="67" t="s">
        <v>138</v>
      </c>
      <c r="B84" s="66">
        <v>216973</v>
      </c>
      <c r="C84" s="66">
        <v>87233</v>
      </c>
      <c r="D84" s="67" t="s">
        <v>149</v>
      </c>
      <c r="E84" s="67" t="s">
        <v>71</v>
      </c>
      <c r="F84" s="67"/>
      <c r="G84" s="67" t="s">
        <v>60</v>
      </c>
      <c r="H84" s="67" t="s">
        <v>60</v>
      </c>
      <c r="I84" s="67" t="s">
        <v>25</v>
      </c>
      <c r="J84" s="68">
        <v>2500</v>
      </c>
      <c r="K84" s="68">
        <v>3690</v>
      </c>
      <c r="L84" s="67"/>
      <c r="M84" s="66">
        <v>1</v>
      </c>
      <c r="N84" s="66"/>
      <c r="O84" s="67"/>
      <c r="P84" s="19" t="str">
        <f t="shared" si="1"/>
        <v>1</v>
      </c>
      <c r="Q84" s="19" t="str">
        <f>INDEX(Торг!$G:$G,MATCH($B84,Торг!$B:$B,0))</f>
        <v>вихур</v>
      </c>
    </row>
    <row r="85" spans="1:17" ht="45" x14ac:dyDescent="0.25">
      <c r="A85" s="67" t="s">
        <v>138</v>
      </c>
      <c r="B85" s="66">
        <v>216974</v>
      </c>
      <c r="C85" s="66">
        <v>87234</v>
      </c>
      <c r="D85" s="67" t="s">
        <v>150</v>
      </c>
      <c r="E85" s="67" t="s">
        <v>71</v>
      </c>
      <c r="F85" s="67"/>
      <c r="G85" s="67" t="s">
        <v>60</v>
      </c>
      <c r="H85" s="67" t="s">
        <v>60</v>
      </c>
      <c r="I85" s="67" t="s">
        <v>25</v>
      </c>
      <c r="J85" s="68">
        <v>2500</v>
      </c>
      <c r="K85" s="68">
        <v>3690</v>
      </c>
      <c r="L85" s="67"/>
      <c r="M85" s="66">
        <v>1</v>
      </c>
      <c r="N85" s="66"/>
      <c r="O85" s="67"/>
      <c r="P85" s="19" t="str">
        <f t="shared" si="1"/>
        <v>1</v>
      </c>
      <c r="Q85" s="19" t="str">
        <f>INDEX(Торг!$G:$G,MATCH($B85,Торг!$B:$B,0))</f>
        <v>вихур</v>
      </c>
    </row>
    <row r="86" spans="1:17" ht="45" x14ac:dyDescent="0.25">
      <c r="A86" s="67" t="s">
        <v>138</v>
      </c>
      <c r="B86" s="66">
        <v>216975</v>
      </c>
      <c r="C86" s="66">
        <v>87235</v>
      </c>
      <c r="D86" s="67" t="s">
        <v>151</v>
      </c>
      <c r="E86" s="67" t="s">
        <v>71</v>
      </c>
      <c r="F86" s="67"/>
      <c r="G86" s="67" t="s">
        <v>60</v>
      </c>
      <c r="H86" s="67" t="s">
        <v>60</v>
      </c>
      <c r="I86" s="67" t="s">
        <v>25</v>
      </c>
      <c r="J86" s="68">
        <v>2500</v>
      </c>
      <c r="K86" s="68">
        <v>3690</v>
      </c>
      <c r="L86" s="67"/>
      <c r="M86" s="66">
        <v>1</v>
      </c>
      <c r="N86" s="66"/>
      <c r="O86" s="67"/>
      <c r="P86" s="19" t="str">
        <f t="shared" si="1"/>
        <v>1</v>
      </c>
      <c r="Q86" s="19" t="str">
        <f>INDEX(Торг!$G:$G,MATCH($B86,Торг!$B:$B,0))</f>
        <v>вихур</v>
      </c>
    </row>
    <row r="87" spans="1:17" ht="45" x14ac:dyDescent="0.25">
      <c r="A87" s="67" t="s">
        <v>138</v>
      </c>
      <c r="B87" s="66">
        <v>216976</v>
      </c>
      <c r="C87" s="66">
        <v>87236</v>
      </c>
      <c r="D87" s="67" t="s">
        <v>152</v>
      </c>
      <c r="E87" s="67" t="s">
        <v>71</v>
      </c>
      <c r="F87" s="67"/>
      <c r="G87" s="67" t="s">
        <v>60</v>
      </c>
      <c r="H87" s="67" t="s">
        <v>60</v>
      </c>
      <c r="I87" s="67" t="s">
        <v>25</v>
      </c>
      <c r="J87" s="68">
        <v>2500</v>
      </c>
      <c r="K87" s="68">
        <v>3690</v>
      </c>
      <c r="L87" s="67"/>
      <c r="M87" s="66">
        <v>1</v>
      </c>
      <c r="N87" s="66"/>
      <c r="O87" s="67"/>
      <c r="P87" s="19" t="str">
        <f t="shared" si="1"/>
        <v>1</v>
      </c>
      <c r="Q87" s="19" t="str">
        <f>INDEX(Торг!$G:$G,MATCH($B87,Торг!$B:$B,0))</f>
        <v>вихур</v>
      </c>
    </row>
    <row r="88" spans="1:17" ht="45" x14ac:dyDescent="0.25">
      <c r="A88" s="67" t="s">
        <v>138</v>
      </c>
      <c r="B88" s="66">
        <v>216977</v>
      </c>
      <c r="C88" s="66">
        <v>87237</v>
      </c>
      <c r="D88" s="67" t="s">
        <v>153</v>
      </c>
      <c r="E88" s="67" t="s">
        <v>71</v>
      </c>
      <c r="F88" s="67"/>
      <c r="G88" s="67" t="s">
        <v>60</v>
      </c>
      <c r="H88" s="67" t="s">
        <v>60</v>
      </c>
      <c r="I88" s="67" t="s">
        <v>25</v>
      </c>
      <c r="J88" s="68">
        <v>2500</v>
      </c>
      <c r="K88" s="68">
        <v>3690</v>
      </c>
      <c r="L88" s="67"/>
      <c r="M88" s="66">
        <v>1</v>
      </c>
      <c r="N88" s="66"/>
      <c r="O88" s="67"/>
      <c r="P88" s="19" t="str">
        <f t="shared" si="1"/>
        <v>1</v>
      </c>
      <c r="Q88" s="19" t="str">
        <f>INDEX(Торг!$G:$G,MATCH($B88,Торг!$B:$B,0))</f>
        <v>вихур</v>
      </c>
    </row>
    <row r="89" spans="1:17" ht="45" x14ac:dyDescent="0.25">
      <c r="A89" s="67" t="s">
        <v>138</v>
      </c>
      <c r="B89" s="66">
        <v>216978</v>
      </c>
      <c r="C89" s="66">
        <v>87238</v>
      </c>
      <c r="D89" s="67" t="s">
        <v>154</v>
      </c>
      <c r="E89" s="67" t="s">
        <v>71</v>
      </c>
      <c r="F89" s="67"/>
      <c r="G89" s="67" t="s">
        <v>60</v>
      </c>
      <c r="H89" s="67" t="s">
        <v>60</v>
      </c>
      <c r="I89" s="67" t="s">
        <v>25</v>
      </c>
      <c r="J89" s="68">
        <v>2500</v>
      </c>
      <c r="K89" s="68">
        <v>3690</v>
      </c>
      <c r="L89" s="67"/>
      <c r="M89" s="66">
        <v>1</v>
      </c>
      <c r="N89" s="66"/>
      <c r="O89" s="67"/>
      <c r="P89" s="19" t="str">
        <f t="shared" si="1"/>
        <v>1</v>
      </c>
      <c r="Q89" s="19" t="str">
        <f>INDEX(Торг!$G:$G,MATCH($B89,Торг!$B:$B,0))</f>
        <v>вихур</v>
      </c>
    </row>
    <row r="90" spans="1:17" ht="45" x14ac:dyDescent="0.25">
      <c r="A90" s="67" t="s">
        <v>138</v>
      </c>
      <c r="B90" s="66">
        <v>216979</v>
      </c>
      <c r="C90" s="66">
        <v>87239</v>
      </c>
      <c r="D90" s="67" t="s">
        <v>155</v>
      </c>
      <c r="E90" s="67" t="s">
        <v>71</v>
      </c>
      <c r="F90" s="67"/>
      <c r="G90" s="67" t="s">
        <v>60</v>
      </c>
      <c r="H90" s="67" t="s">
        <v>60</v>
      </c>
      <c r="I90" s="67" t="s">
        <v>25</v>
      </c>
      <c r="J90" s="68">
        <v>2500</v>
      </c>
      <c r="K90" s="68">
        <v>3690</v>
      </c>
      <c r="L90" s="67"/>
      <c r="M90" s="66">
        <v>1</v>
      </c>
      <c r="N90" s="66"/>
      <c r="O90" s="67"/>
      <c r="P90" s="19" t="str">
        <f t="shared" si="1"/>
        <v>1</v>
      </c>
      <c r="Q90" s="19" t="str">
        <f>INDEX(Торг!$G:$G,MATCH($B90,Торг!$B:$B,0))</f>
        <v>вихур</v>
      </c>
    </row>
    <row r="91" spans="1:17" ht="45" x14ac:dyDescent="0.25">
      <c r="A91" s="67" t="s">
        <v>138</v>
      </c>
      <c r="B91" s="66">
        <v>216980</v>
      </c>
      <c r="C91" s="66">
        <v>87240</v>
      </c>
      <c r="D91" s="67" t="s">
        <v>156</v>
      </c>
      <c r="E91" s="67" t="s">
        <v>71</v>
      </c>
      <c r="F91" s="67"/>
      <c r="G91" s="67" t="s">
        <v>60</v>
      </c>
      <c r="H91" s="67" t="s">
        <v>60</v>
      </c>
      <c r="I91" s="67" t="s">
        <v>25</v>
      </c>
      <c r="J91" s="68">
        <v>2500</v>
      </c>
      <c r="K91" s="68">
        <v>3690</v>
      </c>
      <c r="L91" s="67"/>
      <c r="M91" s="66">
        <v>1</v>
      </c>
      <c r="N91" s="66"/>
      <c r="O91" s="67"/>
      <c r="P91" s="19" t="str">
        <f t="shared" si="1"/>
        <v>1</v>
      </c>
      <c r="Q91" s="19" t="str">
        <f>INDEX(Торг!$G:$G,MATCH($B91,Торг!$B:$B,0))</f>
        <v>вихур</v>
      </c>
    </row>
    <row r="92" spans="1:17" ht="45" x14ac:dyDescent="0.25">
      <c r="A92" s="67" t="s">
        <v>138</v>
      </c>
      <c r="B92" s="66">
        <v>216981</v>
      </c>
      <c r="C92" s="66">
        <v>87241</v>
      </c>
      <c r="D92" s="67" t="s">
        <v>157</v>
      </c>
      <c r="E92" s="67" t="s">
        <v>71</v>
      </c>
      <c r="F92" s="67"/>
      <c r="G92" s="67" t="s">
        <v>60</v>
      </c>
      <c r="H92" s="67" t="s">
        <v>60</v>
      </c>
      <c r="I92" s="67" t="s">
        <v>25</v>
      </c>
      <c r="J92" s="68">
        <v>2500</v>
      </c>
      <c r="K92" s="68">
        <v>3690</v>
      </c>
      <c r="L92" s="67"/>
      <c r="M92" s="66">
        <v>1</v>
      </c>
      <c r="N92" s="66"/>
      <c r="O92" s="67"/>
      <c r="P92" s="19" t="str">
        <f t="shared" si="1"/>
        <v>1</v>
      </c>
      <c r="Q92" s="19" t="str">
        <f>INDEX(Торг!$G:$G,MATCH($B92,Торг!$B:$B,0))</f>
        <v>вихур</v>
      </c>
    </row>
    <row r="93" spans="1:17" ht="45" x14ac:dyDescent="0.25">
      <c r="A93" s="67" t="s">
        <v>138</v>
      </c>
      <c r="B93" s="66">
        <v>216982</v>
      </c>
      <c r="C93" s="66">
        <v>87242</v>
      </c>
      <c r="D93" s="67" t="s">
        <v>158</v>
      </c>
      <c r="E93" s="67" t="s">
        <v>71</v>
      </c>
      <c r="F93" s="67"/>
      <c r="G93" s="67" t="s">
        <v>60</v>
      </c>
      <c r="H93" s="67" t="s">
        <v>60</v>
      </c>
      <c r="I93" s="67" t="s">
        <v>25</v>
      </c>
      <c r="J93" s="68">
        <v>2500</v>
      </c>
      <c r="K93" s="68">
        <v>3690</v>
      </c>
      <c r="L93" s="67"/>
      <c r="M93" s="66">
        <v>1</v>
      </c>
      <c r="N93" s="66"/>
      <c r="O93" s="67"/>
      <c r="P93" s="19" t="str">
        <f t="shared" si="1"/>
        <v>1</v>
      </c>
      <c r="Q93" s="19" t="str">
        <f>INDEX(Торг!$G:$G,MATCH($B93,Торг!$B:$B,0))</f>
        <v>вихур</v>
      </c>
    </row>
    <row r="94" spans="1:17" ht="45" x14ac:dyDescent="0.25">
      <c r="A94" s="67" t="s">
        <v>138</v>
      </c>
      <c r="B94" s="66">
        <v>216983</v>
      </c>
      <c r="C94" s="66">
        <v>87243</v>
      </c>
      <c r="D94" s="67" t="s">
        <v>159</v>
      </c>
      <c r="E94" s="67" t="s">
        <v>71</v>
      </c>
      <c r="F94" s="67"/>
      <c r="G94" s="67" t="s">
        <v>60</v>
      </c>
      <c r="H94" s="67" t="s">
        <v>60</v>
      </c>
      <c r="I94" s="67" t="s">
        <v>25</v>
      </c>
      <c r="J94" s="68">
        <v>2500</v>
      </c>
      <c r="K94" s="68">
        <v>3690</v>
      </c>
      <c r="L94" s="67"/>
      <c r="M94" s="66">
        <v>1</v>
      </c>
      <c r="N94" s="66"/>
      <c r="O94" s="67"/>
      <c r="P94" s="19" t="str">
        <f t="shared" si="1"/>
        <v>1</v>
      </c>
      <c r="Q94" s="19" t="str">
        <f>INDEX(Торг!$G:$G,MATCH($B94,Торг!$B:$B,0))</f>
        <v>вихур</v>
      </c>
    </row>
    <row r="95" spans="1:17" ht="45" x14ac:dyDescent="0.25">
      <c r="A95" s="67" t="s">
        <v>138</v>
      </c>
      <c r="B95" s="66">
        <v>216984</v>
      </c>
      <c r="C95" s="66">
        <v>87244</v>
      </c>
      <c r="D95" s="67" t="s">
        <v>160</v>
      </c>
      <c r="E95" s="67" t="s">
        <v>71</v>
      </c>
      <c r="F95" s="67"/>
      <c r="G95" s="67" t="s">
        <v>60</v>
      </c>
      <c r="H95" s="67" t="s">
        <v>60</v>
      </c>
      <c r="I95" s="67" t="s">
        <v>25</v>
      </c>
      <c r="J95" s="68">
        <v>2500</v>
      </c>
      <c r="K95" s="68">
        <v>3690</v>
      </c>
      <c r="L95" s="67"/>
      <c r="M95" s="66">
        <v>1</v>
      </c>
      <c r="N95" s="66"/>
      <c r="O95" s="67"/>
      <c r="P95" s="19" t="str">
        <f t="shared" si="1"/>
        <v>1</v>
      </c>
      <c r="Q95" s="19" t="str">
        <f>INDEX(Торг!$G:$G,MATCH($B95,Торг!$B:$B,0))</f>
        <v>вихур</v>
      </c>
    </row>
    <row r="96" spans="1:17" ht="45" x14ac:dyDescent="0.25">
      <c r="A96" s="67" t="s">
        <v>138</v>
      </c>
      <c r="B96" s="66">
        <v>216985</v>
      </c>
      <c r="C96" s="66">
        <v>87245</v>
      </c>
      <c r="D96" s="67" t="s">
        <v>161</v>
      </c>
      <c r="E96" s="67" t="s">
        <v>71</v>
      </c>
      <c r="F96" s="67"/>
      <c r="G96" s="67" t="s">
        <v>60</v>
      </c>
      <c r="H96" s="67" t="s">
        <v>60</v>
      </c>
      <c r="I96" s="67" t="s">
        <v>25</v>
      </c>
      <c r="J96" s="68">
        <v>2500</v>
      </c>
      <c r="K96" s="68">
        <v>3690</v>
      </c>
      <c r="L96" s="67"/>
      <c r="M96" s="66">
        <v>1</v>
      </c>
      <c r="N96" s="66"/>
      <c r="O96" s="67"/>
      <c r="P96" s="19" t="str">
        <f t="shared" si="1"/>
        <v>1</v>
      </c>
      <c r="Q96" s="19" t="str">
        <f>INDEX(Торг!$G:$G,MATCH($B96,Торг!$B:$B,0))</f>
        <v>вихур</v>
      </c>
    </row>
    <row r="97" spans="1:17" ht="45" x14ac:dyDescent="0.25">
      <c r="A97" s="67" t="s">
        <v>138</v>
      </c>
      <c r="B97" s="66">
        <v>216986</v>
      </c>
      <c r="C97" s="66">
        <v>87246</v>
      </c>
      <c r="D97" s="67" t="s">
        <v>162</v>
      </c>
      <c r="E97" s="67" t="s">
        <v>71</v>
      </c>
      <c r="F97" s="67"/>
      <c r="G97" s="67" t="s">
        <v>60</v>
      </c>
      <c r="H97" s="67" t="s">
        <v>60</v>
      </c>
      <c r="I97" s="67" t="s">
        <v>25</v>
      </c>
      <c r="J97" s="68">
        <v>2500</v>
      </c>
      <c r="K97" s="68">
        <v>3690</v>
      </c>
      <c r="L97" s="67"/>
      <c r="M97" s="66">
        <v>1</v>
      </c>
      <c r="N97" s="66"/>
      <c r="O97" s="67"/>
      <c r="P97" s="19" t="str">
        <f t="shared" si="1"/>
        <v>1</v>
      </c>
      <c r="Q97" s="19" t="str">
        <f>INDEX(Торг!$G:$G,MATCH($B97,Торг!$B:$B,0))</f>
        <v>вихур</v>
      </c>
    </row>
    <row r="98" spans="1:17" ht="45" x14ac:dyDescent="0.25">
      <c r="A98" s="67" t="s">
        <v>138</v>
      </c>
      <c r="B98" s="66">
        <v>216987</v>
      </c>
      <c r="C98" s="66">
        <v>87247</v>
      </c>
      <c r="D98" s="67" t="s">
        <v>163</v>
      </c>
      <c r="E98" s="67" t="s">
        <v>71</v>
      </c>
      <c r="F98" s="67"/>
      <c r="G98" s="67" t="s">
        <v>60</v>
      </c>
      <c r="H98" s="67" t="s">
        <v>60</v>
      </c>
      <c r="I98" s="67" t="s">
        <v>25</v>
      </c>
      <c r="J98" s="68">
        <v>2500</v>
      </c>
      <c r="K98" s="68">
        <v>3690</v>
      </c>
      <c r="L98" s="67"/>
      <c r="M98" s="66">
        <v>1</v>
      </c>
      <c r="N98" s="66"/>
      <c r="O98" s="67"/>
      <c r="P98" s="19" t="str">
        <f t="shared" si="1"/>
        <v>1</v>
      </c>
      <c r="Q98" s="19" t="str">
        <f>INDEX(Торг!$G:$G,MATCH($B98,Торг!$B:$B,0))</f>
        <v>вихур</v>
      </c>
    </row>
    <row r="99" spans="1:17" ht="45" x14ac:dyDescent="0.25">
      <c r="A99" s="67" t="s">
        <v>138</v>
      </c>
      <c r="B99" s="66">
        <v>216988</v>
      </c>
      <c r="C99" s="66">
        <v>87248</v>
      </c>
      <c r="D99" s="67" t="s">
        <v>164</v>
      </c>
      <c r="E99" s="67" t="s">
        <v>71</v>
      </c>
      <c r="F99" s="67"/>
      <c r="G99" s="67" t="s">
        <v>60</v>
      </c>
      <c r="H99" s="67" t="s">
        <v>60</v>
      </c>
      <c r="I99" s="67" t="s">
        <v>25</v>
      </c>
      <c r="J99" s="68">
        <v>2500</v>
      </c>
      <c r="K99" s="68">
        <v>3690</v>
      </c>
      <c r="L99" s="67"/>
      <c r="M99" s="66">
        <v>1</v>
      </c>
      <c r="N99" s="66"/>
      <c r="O99" s="67"/>
      <c r="P99" s="19" t="str">
        <f t="shared" si="1"/>
        <v>1</v>
      </c>
      <c r="Q99" s="19" t="str">
        <f>INDEX(Торг!$G:$G,MATCH($B99,Торг!$B:$B,0))</f>
        <v>вихур</v>
      </c>
    </row>
    <row r="100" spans="1:17" ht="45" x14ac:dyDescent="0.25">
      <c r="A100" s="67" t="s">
        <v>138</v>
      </c>
      <c r="B100" s="66">
        <v>216989</v>
      </c>
      <c r="C100" s="66">
        <v>87249</v>
      </c>
      <c r="D100" s="67" t="s">
        <v>165</v>
      </c>
      <c r="E100" s="67" t="s">
        <v>71</v>
      </c>
      <c r="F100" s="67"/>
      <c r="G100" s="67" t="s">
        <v>60</v>
      </c>
      <c r="H100" s="67" t="s">
        <v>60</v>
      </c>
      <c r="I100" s="67" t="s">
        <v>25</v>
      </c>
      <c r="J100" s="68">
        <v>2500</v>
      </c>
      <c r="K100" s="68">
        <v>3690</v>
      </c>
      <c r="L100" s="67"/>
      <c r="M100" s="66">
        <v>1</v>
      </c>
      <c r="N100" s="66"/>
      <c r="O100" s="67"/>
      <c r="P100" s="19" t="str">
        <f t="shared" si="1"/>
        <v>1</v>
      </c>
      <c r="Q100" s="19" t="str">
        <f>INDEX(Торг!$G:$G,MATCH($B100,Торг!$B:$B,0))</f>
        <v>вихур</v>
      </c>
    </row>
    <row r="101" spans="1:17" ht="45" x14ac:dyDescent="0.25">
      <c r="A101" s="67" t="s">
        <v>138</v>
      </c>
      <c r="B101" s="66">
        <v>216990</v>
      </c>
      <c r="C101" s="66">
        <v>87250</v>
      </c>
      <c r="D101" s="67" t="s">
        <v>166</v>
      </c>
      <c r="E101" s="67" t="s">
        <v>71</v>
      </c>
      <c r="F101" s="67"/>
      <c r="G101" s="67" t="s">
        <v>60</v>
      </c>
      <c r="H101" s="67" t="s">
        <v>60</v>
      </c>
      <c r="I101" s="67" t="s">
        <v>25</v>
      </c>
      <c r="J101" s="68">
        <v>2500</v>
      </c>
      <c r="K101" s="68">
        <v>3690</v>
      </c>
      <c r="L101" s="67"/>
      <c r="M101" s="66">
        <v>1</v>
      </c>
      <c r="N101" s="66"/>
      <c r="O101" s="67"/>
      <c r="P101" s="19" t="str">
        <f t="shared" si="1"/>
        <v>1</v>
      </c>
      <c r="Q101" s="19" t="str">
        <f>INDEX(Торг!$G:$G,MATCH($B101,Торг!$B:$B,0))</f>
        <v>вихур</v>
      </c>
    </row>
    <row r="102" spans="1:17" ht="45" x14ac:dyDescent="0.25">
      <c r="A102" s="67" t="s">
        <v>138</v>
      </c>
      <c r="B102" s="66">
        <v>216991</v>
      </c>
      <c r="C102" s="66">
        <v>87251</v>
      </c>
      <c r="D102" s="67" t="s">
        <v>167</v>
      </c>
      <c r="E102" s="67" t="s">
        <v>71</v>
      </c>
      <c r="F102" s="67"/>
      <c r="G102" s="67" t="s">
        <v>60</v>
      </c>
      <c r="H102" s="67" t="s">
        <v>60</v>
      </c>
      <c r="I102" s="67" t="s">
        <v>25</v>
      </c>
      <c r="J102" s="68">
        <v>2500</v>
      </c>
      <c r="K102" s="68">
        <v>3690</v>
      </c>
      <c r="L102" s="67"/>
      <c r="M102" s="66">
        <v>1</v>
      </c>
      <c r="N102" s="66"/>
      <c r="O102" s="67"/>
      <c r="P102" s="19" t="str">
        <f t="shared" si="1"/>
        <v>1</v>
      </c>
      <c r="Q102" s="19" t="str">
        <f>INDEX(Торг!$G:$G,MATCH($B102,Торг!$B:$B,0))</f>
        <v>вихур</v>
      </c>
    </row>
    <row r="103" spans="1:17" ht="45" x14ac:dyDescent="0.25">
      <c r="A103" s="67" t="s">
        <v>138</v>
      </c>
      <c r="B103" s="66">
        <v>216992</v>
      </c>
      <c r="C103" s="66">
        <v>87252</v>
      </c>
      <c r="D103" s="67" t="s">
        <v>168</v>
      </c>
      <c r="E103" s="67" t="s">
        <v>71</v>
      </c>
      <c r="F103" s="67"/>
      <c r="G103" s="67" t="s">
        <v>60</v>
      </c>
      <c r="H103" s="67" t="s">
        <v>60</v>
      </c>
      <c r="I103" s="67" t="s">
        <v>25</v>
      </c>
      <c r="J103" s="68">
        <v>2500</v>
      </c>
      <c r="K103" s="68">
        <v>3690</v>
      </c>
      <c r="L103" s="67"/>
      <c r="M103" s="66">
        <v>1</v>
      </c>
      <c r="N103" s="66"/>
      <c r="O103" s="67"/>
      <c r="P103" s="19" t="str">
        <f t="shared" si="1"/>
        <v>1</v>
      </c>
      <c r="Q103" s="19" t="str">
        <f>INDEX(Торг!$G:$G,MATCH($B103,Торг!$B:$B,0))</f>
        <v>вихур</v>
      </c>
    </row>
    <row r="104" spans="1:17" ht="45" x14ac:dyDescent="0.25">
      <c r="A104" s="67" t="s">
        <v>138</v>
      </c>
      <c r="B104" s="66">
        <v>216993</v>
      </c>
      <c r="C104" s="66">
        <v>87253</v>
      </c>
      <c r="D104" s="67" t="s">
        <v>169</v>
      </c>
      <c r="E104" s="67" t="s">
        <v>71</v>
      </c>
      <c r="F104" s="67"/>
      <c r="G104" s="67" t="s">
        <v>60</v>
      </c>
      <c r="H104" s="67" t="s">
        <v>60</v>
      </c>
      <c r="I104" s="67" t="s">
        <v>25</v>
      </c>
      <c r="J104" s="68">
        <v>2500</v>
      </c>
      <c r="K104" s="68">
        <v>3690</v>
      </c>
      <c r="L104" s="67"/>
      <c r="M104" s="66">
        <v>1</v>
      </c>
      <c r="N104" s="66"/>
      <c r="O104" s="67"/>
      <c r="P104" s="19" t="str">
        <f t="shared" si="1"/>
        <v>1</v>
      </c>
      <c r="Q104" s="19" t="str">
        <f>INDEX(Торг!$G:$G,MATCH($B104,Торг!$B:$B,0))</f>
        <v>вихур</v>
      </c>
    </row>
    <row r="105" spans="1:17" ht="45" x14ac:dyDescent="0.25">
      <c r="A105" s="67" t="s">
        <v>138</v>
      </c>
      <c r="B105" s="66">
        <v>216994</v>
      </c>
      <c r="C105" s="66">
        <v>87254</v>
      </c>
      <c r="D105" s="67" t="s">
        <v>170</v>
      </c>
      <c r="E105" s="67" t="s">
        <v>71</v>
      </c>
      <c r="F105" s="67"/>
      <c r="G105" s="67" t="s">
        <v>60</v>
      </c>
      <c r="H105" s="67" t="s">
        <v>60</v>
      </c>
      <c r="I105" s="67" t="s">
        <v>25</v>
      </c>
      <c r="J105" s="68">
        <v>2500</v>
      </c>
      <c r="K105" s="68">
        <v>3690</v>
      </c>
      <c r="L105" s="67"/>
      <c r="M105" s="66">
        <v>1</v>
      </c>
      <c r="N105" s="66"/>
      <c r="O105" s="67"/>
      <c r="P105" s="19" t="str">
        <f t="shared" si="1"/>
        <v>1</v>
      </c>
      <c r="Q105" s="19" t="str">
        <f>INDEX(Торг!$G:$G,MATCH($B105,Торг!$B:$B,0))</f>
        <v>вихур</v>
      </c>
    </row>
  </sheetData>
  <sheetProtection formatCells="0" formatColumns="0" formatRows="0" insertColumns="0" insertRows="0" insertHyperlinks="0" deleteColumns="0" deleteRows="0" sort="0" autoFilter="0" pivotTables="0"/>
  <autoFilter ref="A1:Q105" xr:uid="{1EDE69EF-D66C-47DB-90C8-0DCAEB832200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E4143-B1C1-451C-8F80-5E993173B0BD}">
  <sheetPr codeName="Лист6">
    <tabColor rgb="FF92D050"/>
  </sheetPr>
  <dimension ref="A1:E126"/>
  <sheetViews>
    <sheetView topLeftCell="A97" workbookViewId="0">
      <selection activeCell="A3" sqref="A3:E126"/>
    </sheetView>
  </sheetViews>
  <sheetFormatPr defaultRowHeight="15" x14ac:dyDescent="0.25"/>
  <cols>
    <col min="1" max="5" width="9.140625" style="46"/>
  </cols>
  <sheetData>
    <row r="1" spans="1:5" x14ac:dyDescent="0.25">
      <c r="A1" s="45"/>
      <c r="C1" s="50">
        <v>0</v>
      </c>
      <c r="E1" s="51">
        <v>0</v>
      </c>
    </row>
    <row r="2" spans="1:5" x14ac:dyDescent="0.25">
      <c r="A2" s="11" t="s">
        <v>5</v>
      </c>
    </row>
    <row r="3" spans="1:5" x14ac:dyDescent="0.25">
      <c r="A3" s="54">
        <v>138557</v>
      </c>
      <c r="B3" s="46">
        <v>290</v>
      </c>
      <c r="C3" s="46" t="s">
        <v>174</v>
      </c>
    </row>
    <row r="4" spans="1:5" x14ac:dyDescent="0.25">
      <c r="A4" s="54">
        <v>139415</v>
      </c>
      <c r="B4" s="46">
        <v>649</v>
      </c>
      <c r="C4" s="46" t="s">
        <v>173</v>
      </c>
    </row>
    <row r="5" spans="1:5" x14ac:dyDescent="0.25">
      <c r="A5" s="54">
        <v>141876</v>
      </c>
      <c r="B5" s="46">
        <v>1149</v>
      </c>
      <c r="C5" s="46" t="s">
        <v>29</v>
      </c>
      <c r="D5" s="46">
        <v>900</v>
      </c>
      <c r="E5" s="46" t="s">
        <v>187</v>
      </c>
    </row>
    <row r="6" spans="1:5" x14ac:dyDescent="0.25">
      <c r="A6" s="54">
        <v>214510</v>
      </c>
    </row>
    <row r="7" spans="1:5" x14ac:dyDescent="0.25">
      <c r="A7" s="54">
        <v>214511</v>
      </c>
      <c r="B7" s="46">
        <v>969</v>
      </c>
      <c r="C7" s="46" t="s">
        <v>175</v>
      </c>
    </row>
    <row r="8" spans="1:5" x14ac:dyDescent="0.25">
      <c r="A8" s="54">
        <v>214542</v>
      </c>
    </row>
    <row r="9" spans="1:5" x14ac:dyDescent="0.25">
      <c r="A9" s="54">
        <v>264552</v>
      </c>
      <c r="B9" s="46">
        <v>990</v>
      </c>
      <c r="C9" s="46" t="s">
        <v>176</v>
      </c>
    </row>
    <row r="10" spans="1:5" x14ac:dyDescent="0.25">
      <c r="A10" s="54">
        <v>214593</v>
      </c>
      <c r="B10" s="46">
        <v>990</v>
      </c>
      <c r="C10" s="46" t="s">
        <v>177</v>
      </c>
    </row>
    <row r="11" spans="1:5" x14ac:dyDescent="0.25">
      <c r="A11" s="54">
        <v>214632</v>
      </c>
    </row>
    <row r="12" spans="1:5" x14ac:dyDescent="0.25">
      <c r="A12" s="54">
        <v>214665</v>
      </c>
    </row>
    <row r="13" spans="1:5" x14ac:dyDescent="0.25">
      <c r="A13" s="54">
        <v>214807</v>
      </c>
    </row>
    <row r="14" spans="1:5" x14ac:dyDescent="0.25">
      <c r="A14" s="54">
        <v>214840</v>
      </c>
    </row>
    <row r="15" spans="1:5" x14ac:dyDescent="0.25">
      <c r="A15" s="54">
        <v>215245</v>
      </c>
    </row>
    <row r="16" spans="1:5" x14ac:dyDescent="0.25">
      <c r="A16" s="54">
        <v>215246</v>
      </c>
      <c r="B16" s="46">
        <v>990</v>
      </c>
      <c r="C16" s="46" t="s">
        <v>186</v>
      </c>
    </row>
    <row r="17" spans="1:5" x14ac:dyDescent="0.25">
      <c r="A17" s="54">
        <v>216142</v>
      </c>
    </row>
    <row r="18" spans="1:5" x14ac:dyDescent="0.25">
      <c r="A18" s="54">
        <v>216882</v>
      </c>
    </row>
    <row r="19" spans="1:5" x14ac:dyDescent="0.25">
      <c r="A19" s="54">
        <v>216995</v>
      </c>
    </row>
    <row r="20" spans="1:5" x14ac:dyDescent="0.25">
      <c r="A20" s="54">
        <v>216996</v>
      </c>
    </row>
    <row r="21" spans="1:5" x14ac:dyDescent="0.25">
      <c r="A21" s="54">
        <v>223121</v>
      </c>
      <c r="B21" s="46">
        <v>2499</v>
      </c>
      <c r="C21" s="46" t="s">
        <v>185</v>
      </c>
    </row>
    <row r="22" spans="1:5" x14ac:dyDescent="0.25">
      <c r="A22" s="11" t="s">
        <v>5</v>
      </c>
      <c r="B22"/>
      <c r="C22"/>
      <c r="D22"/>
      <c r="E22"/>
    </row>
    <row r="23" spans="1:5" x14ac:dyDescent="0.25">
      <c r="A23" s="14">
        <v>141834</v>
      </c>
      <c r="B23"/>
      <c r="C23"/>
      <c r="D23">
        <v>900</v>
      </c>
      <c r="E23" t="s">
        <v>180</v>
      </c>
    </row>
    <row r="24" spans="1:5" x14ac:dyDescent="0.25">
      <c r="A24" s="14">
        <v>227109</v>
      </c>
      <c r="B24">
        <v>1190</v>
      </c>
      <c r="C24" s="29" t="s">
        <v>171</v>
      </c>
      <c r="D24">
        <v>900</v>
      </c>
      <c r="E24" s="29" t="s">
        <v>172</v>
      </c>
    </row>
    <row r="25" spans="1:5" x14ac:dyDescent="0.25">
      <c r="A25" s="14">
        <v>141839</v>
      </c>
      <c r="B25"/>
      <c r="C25"/>
      <c r="D25">
        <v>900</v>
      </c>
      <c r="E25" t="s">
        <v>181</v>
      </c>
    </row>
    <row r="26" spans="1:5" x14ac:dyDescent="0.25">
      <c r="A26" s="14">
        <v>141873</v>
      </c>
      <c r="B26"/>
      <c r="C26"/>
      <c r="D26">
        <v>900</v>
      </c>
      <c r="E26" t="s">
        <v>182</v>
      </c>
    </row>
    <row r="27" spans="1:5" x14ac:dyDescent="0.25">
      <c r="A27" s="14">
        <v>141875</v>
      </c>
      <c r="B27"/>
      <c r="C27"/>
      <c r="D27">
        <v>900</v>
      </c>
      <c r="E27" t="s">
        <v>183</v>
      </c>
    </row>
    <row r="28" spans="1:5" x14ac:dyDescent="0.25">
      <c r="A28" s="14">
        <v>205830</v>
      </c>
      <c r="B28">
        <v>1190</v>
      </c>
      <c r="C28" t="s">
        <v>184</v>
      </c>
      <c r="D28"/>
      <c r="E28"/>
    </row>
    <row r="29" spans="1:5" x14ac:dyDescent="0.25">
      <c r="A29" s="14">
        <v>214775</v>
      </c>
      <c r="B29">
        <v>1390</v>
      </c>
      <c r="C29" t="s">
        <v>178</v>
      </c>
      <c r="D29"/>
      <c r="E29"/>
    </row>
    <row r="30" spans="1:5" x14ac:dyDescent="0.25">
      <c r="A30" s="14">
        <v>214776</v>
      </c>
      <c r="B30">
        <v>3590</v>
      </c>
      <c r="C30" t="s">
        <v>178</v>
      </c>
      <c r="D30"/>
      <c r="E30"/>
    </row>
    <row r="31" spans="1:5" x14ac:dyDescent="0.25">
      <c r="A31" s="14">
        <v>214777</v>
      </c>
      <c r="B31">
        <v>3590</v>
      </c>
      <c r="C31" t="s">
        <v>178</v>
      </c>
      <c r="D31"/>
      <c r="E31"/>
    </row>
    <row r="32" spans="1:5" x14ac:dyDescent="0.25">
      <c r="A32" s="14">
        <v>214778</v>
      </c>
      <c r="B32">
        <v>3590</v>
      </c>
      <c r="C32" t="s">
        <v>178</v>
      </c>
      <c r="D32"/>
      <c r="E32"/>
    </row>
    <row r="33" spans="1:5" x14ac:dyDescent="0.25">
      <c r="A33" s="14">
        <v>214779</v>
      </c>
      <c r="B33">
        <v>3590</v>
      </c>
      <c r="C33" t="s">
        <v>178</v>
      </c>
      <c r="D33"/>
      <c r="E33"/>
    </row>
    <row r="34" spans="1:5" x14ac:dyDescent="0.25">
      <c r="A34" s="14">
        <v>214780</v>
      </c>
      <c r="B34">
        <v>3590</v>
      </c>
      <c r="C34" t="s">
        <v>178</v>
      </c>
      <c r="D34"/>
      <c r="E34"/>
    </row>
    <row r="35" spans="1:5" x14ac:dyDescent="0.25">
      <c r="A35" s="14">
        <v>214781</v>
      </c>
      <c r="B35">
        <v>3590</v>
      </c>
      <c r="C35" t="s">
        <v>178</v>
      </c>
      <c r="D35"/>
      <c r="E35"/>
    </row>
    <row r="36" spans="1:5" x14ac:dyDescent="0.25">
      <c r="A36" s="14">
        <v>214782</v>
      </c>
      <c r="B36">
        <v>3590</v>
      </c>
      <c r="C36" t="s">
        <v>178</v>
      </c>
      <c r="D36"/>
      <c r="E36"/>
    </row>
    <row r="37" spans="1:5" x14ac:dyDescent="0.25">
      <c r="A37" s="14">
        <v>214783</v>
      </c>
      <c r="B37">
        <v>3590</v>
      </c>
      <c r="C37" t="s">
        <v>178</v>
      </c>
      <c r="D37"/>
      <c r="E37"/>
    </row>
    <row r="38" spans="1:5" x14ac:dyDescent="0.25">
      <c r="A38" s="14">
        <v>214784</v>
      </c>
      <c r="B38">
        <v>3590</v>
      </c>
      <c r="C38" t="s">
        <v>178</v>
      </c>
      <c r="D38"/>
      <c r="E38"/>
    </row>
    <row r="39" spans="1:5" x14ac:dyDescent="0.25">
      <c r="A39" s="14">
        <v>214785</v>
      </c>
      <c r="B39">
        <v>3590</v>
      </c>
      <c r="C39" t="s">
        <v>178</v>
      </c>
      <c r="D39"/>
      <c r="E39"/>
    </row>
    <row r="40" spans="1:5" x14ac:dyDescent="0.25">
      <c r="A40" s="14">
        <v>214786</v>
      </c>
      <c r="B40">
        <v>3590</v>
      </c>
      <c r="C40" t="s">
        <v>178</v>
      </c>
      <c r="D40"/>
      <c r="E40"/>
    </row>
    <row r="41" spans="1:5" x14ac:dyDescent="0.25">
      <c r="A41" s="14">
        <v>214787</v>
      </c>
      <c r="B41">
        <v>3590</v>
      </c>
      <c r="C41" t="s">
        <v>178</v>
      </c>
      <c r="D41"/>
      <c r="E41"/>
    </row>
    <row r="42" spans="1:5" x14ac:dyDescent="0.25">
      <c r="A42" s="14">
        <v>214788</v>
      </c>
      <c r="B42">
        <v>3590</v>
      </c>
      <c r="C42" t="s">
        <v>178</v>
      </c>
      <c r="D42"/>
      <c r="E42"/>
    </row>
    <row r="43" spans="1:5" x14ac:dyDescent="0.25">
      <c r="A43" s="14">
        <v>214789</v>
      </c>
      <c r="B43">
        <v>3590</v>
      </c>
      <c r="C43" t="s">
        <v>178</v>
      </c>
      <c r="D43"/>
      <c r="E43"/>
    </row>
    <row r="44" spans="1:5" x14ac:dyDescent="0.25">
      <c r="A44" s="14">
        <v>214790</v>
      </c>
      <c r="B44">
        <v>3590</v>
      </c>
      <c r="C44" t="s">
        <v>178</v>
      </c>
      <c r="D44"/>
      <c r="E44"/>
    </row>
    <row r="45" spans="1:5" x14ac:dyDescent="0.25">
      <c r="A45" s="14">
        <v>214791</v>
      </c>
      <c r="B45">
        <v>3590</v>
      </c>
      <c r="C45" t="s">
        <v>178</v>
      </c>
      <c r="D45"/>
      <c r="E45"/>
    </row>
    <row r="46" spans="1:5" x14ac:dyDescent="0.25">
      <c r="A46" s="14">
        <v>214792</v>
      </c>
      <c r="B46">
        <v>3590</v>
      </c>
      <c r="C46" t="s">
        <v>178</v>
      </c>
      <c r="D46"/>
      <c r="E46"/>
    </row>
    <row r="47" spans="1:5" x14ac:dyDescent="0.25">
      <c r="A47" s="14">
        <v>214793</v>
      </c>
      <c r="B47">
        <v>3590</v>
      </c>
      <c r="C47" t="s">
        <v>178</v>
      </c>
      <c r="D47"/>
      <c r="E47"/>
    </row>
    <row r="48" spans="1:5" x14ac:dyDescent="0.25">
      <c r="A48" s="14">
        <v>214794</v>
      </c>
      <c r="B48">
        <v>3590</v>
      </c>
      <c r="C48" t="s">
        <v>178</v>
      </c>
      <c r="D48"/>
      <c r="E48"/>
    </row>
    <row r="49" spans="1:5" x14ac:dyDescent="0.25">
      <c r="A49" s="14">
        <v>214795</v>
      </c>
      <c r="B49">
        <v>3590</v>
      </c>
      <c r="C49" t="s">
        <v>178</v>
      </c>
      <c r="D49"/>
      <c r="E49"/>
    </row>
    <row r="50" spans="1:5" x14ac:dyDescent="0.25">
      <c r="A50" s="14">
        <v>214796</v>
      </c>
      <c r="B50">
        <v>3590</v>
      </c>
      <c r="C50" t="s">
        <v>178</v>
      </c>
      <c r="D50"/>
      <c r="E50"/>
    </row>
    <row r="51" spans="1:5" x14ac:dyDescent="0.25">
      <c r="A51" s="14">
        <v>214797</v>
      </c>
      <c r="B51">
        <v>3590</v>
      </c>
      <c r="C51" t="s">
        <v>178</v>
      </c>
      <c r="D51"/>
      <c r="E51"/>
    </row>
    <row r="52" spans="1:5" x14ac:dyDescent="0.25">
      <c r="A52" s="14">
        <v>214798</v>
      </c>
      <c r="B52">
        <v>3590</v>
      </c>
      <c r="C52" t="s">
        <v>178</v>
      </c>
      <c r="D52"/>
      <c r="E52"/>
    </row>
    <row r="53" spans="1:5" x14ac:dyDescent="0.25">
      <c r="A53" s="14">
        <v>214799</v>
      </c>
      <c r="B53">
        <v>3590</v>
      </c>
      <c r="C53" t="s">
        <v>178</v>
      </c>
      <c r="D53"/>
      <c r="E53"/>
    </row>
    <row r="54" spans="1:5" x14ac:dyDescent="0.25">
      <c r="A54" s="14">
        <v>214800</v>
      </c>
      <c r="B54">
        <v>3590</v>
      </c>
      <c r="C54" t="s">
        <v>178</v>
      </c>
      <c r="D54"/>
      <c r="E54"/>
    </row>
    <row r="55" spans="1:5" x14ac:dyDescent="0.25">
      <c r="A55" s="14">
        <v>214801</v>
      </c>
      <c r="B55">
        <v>3590</v>
      </c>
      <c r="C55" t="s">
        <v>178</v>
      </c>
      <c r="D55"/>
      <c r="E55"/>
    </row>
    <row r="56" spans="1:5" x14ac:dyDescent="0.25">
      <c r="A56" s="14">
        <v>214802</v>
      </c>
      <c r="B56">
        <v>3590</v>
      </c>
      <c r="C56" t="s">
        <v>178</v>
      </c>
      <c r="D56"/>
      <c r="E56"/>
    </row>
    <row r="57" spans="1:5" x14ac:dyDescent="0.25">
      <c r="A57" s="14">
        <v>214803</v>
      </c>
      <c r="B57">
        <v>3590</v>
      </c>
      <c r="C57" t="s">
        <v>178</v>
      </c>
      <c r="D57"/>
      <c r="E57"/>
    </row>
    <row r="58" spans="1:5" x14ac:dyDescent="0.25">
      <c r="A58" s="14">
        <v>214804</v>
      </c>
      <c r="B58">
        <v>3590</v>
      </c>
      <c r="C58" t="s">
        <v>178</v>
      </c>
      <c r="D58"/>
      <c r="E58"/>
    </row>
    <row r="59" spans="1:5" x14ac:dyDescent="0.25">
      <c r="A59" s="14">
        <v>214805</v>
      </c>
      <c r="B59">
        <v>3590</v>
      </c>
      <c r="C59" t="s">
        <v>178</v>
      </c>
      <c r="D59"/>
      <c r="E59"/>
    </row>
    <row r="60" spans="1:5" x14ac:dyDescent="0.25">
      <c r="A60" s="14">
        <v>214806</v>
      </c>
      <c r="B60">
        <v>3590</v>
      </c>
      <c r="C60" t="s">
        <v>178</v>
      </c>
      <c r="D60"/>
      <c r="E60"/>
    </row>
    <row r="61" spans="1:5" x14ac:dyDescent="0.25">
      <c r="A61" s="14">
        <v>214874</v>
      </c>
      <c r="B61"/>
      <c r="C61"/>
      <c r="D61"/>
      <c r="E61"/>
    </row>
    <row r="62" spans="1:5" x14ac:dyDescent="0.25">
      <c r="A62" s="14">
        <v>214875</v>
      </c>
      <c r="B62"/>
      <c r="C62"/>
      <c r="D62"/>
      <c r="E62"/>
    </row>
    <row r="63" spans="1:5" x14ac:dyDescent="0.25">
      <c r="A63" s="14">
        <v>214876</v>
      </c>
      <c r="B63"/>
      <c r="C63"/>
      <c r="D63"/>
      <c r="E63"/>
    </row>
    <row r="64" spans="1:5" x14ac:dyDescent="0.25">
      <c r="A64" s="14">
        <v>214877</v>
      </c>
      <c r="B64"/>
      <c r="C64"/>
      <c r="D64"/>
      <c r="E64"/>
    </row>
    <row r="65" spans="1:5" x14ac:dyDescent="0.25">
      <c r="A65" s="14">
        <v>214878</v>
      </c>
      <c r="B65"/>
      <c r="C65"/>
      <c r="D65"/>
      <c r="E65"/>
    </row>
    <row r="66" spans="1:5" x14ac:dyDescent="0.25">
      <c r="A66" s="14">
        <v>214879</v>
      </c>
      <c r="B66"/>
      <c r="C66"/>
      <c r="D66"/>
      <c r="E66"/>
    </row>
    <row r="67" spans="1:5" x14ac:dyDescent="0.25">
      <c r="A67" s="14">
        <v>214880</v>
      </c>
      <c r="B67"/>
      <c r="C67"/>
      <c r="D67"/>
      <c r="E67"/>
    </row>
    <row r="68" spans="1:5" x14ac:dyDescent="0.25">
      <c r="A68" s="14">
        <v>214881</v>
      </c>
      <c r="B68"/>
      <c r="C68"/>
      <c r="D68"/>
      <c r="E68"/>
    </row>
    <row r="69" spans="1:5" x14ac:dyDescent="0.25">
      <c r="A69" s="14">
        <v>214882</v>
      </c>
      <c r="B69"/>
      <c r="C69"/>
      <c r="D69"/>
      <c r="E69"/>
    </row>
    <row r="70" spans="1:5" x14ac:dyDescent="0.25">
      <c r="A70" s="14">
        <v>214883</v>
      </c>
      <c r="B70"/>
      <c r="C70"/>
      <c r="D70"/>
      <c r="E70"/>
    </row>
    <row r="71" spans="1:5" x14ac:dyDescent="0.25">
      <c r="A71" s="14">
        <v>214884</v>
      </c>
      <c r="B71"/>
      <c r="C71"/>
      <c r="D71"/>
      <c r="E71"/>
    </row>
    <row r="72" spans="1:5" x14ac:dyDescent="0.25">
      <c r="A72" s="14">
        <v>214885</v>
      </c>
      <c r="B72"/>
      <c r="C72"/>
      <c r="D72"/>
      <c r="E72"/>
    </row>
    <row r="73" spans="1:5" x14ac:dyDescent="0.25">
      <c r="A73" s="14">
        <v>214886</v>
      </c>
      <c r="B73"/>
      <c r="C73"/>
      <c r="D73"/>
      <c r="E73"/>
    </row>
    <row r="74" spans="1:5" x14ac:dyDescent="0.25">
      <c r="A74" s="14">
        <v>214887</v>
      </c>
      <c r="B74"/>
      <c r="C74"/>
      <c r="D74"/>
      <c r="E74"/>
    </row>
    <row r="75" spans="1:5" x14ac:dyDescent="0.25">
      <c r="A75" s="14">
        <v>214888</v>
      </c>
      <c r="B75"/>
      <c r="C75"/>
      <c r="D75"/>
      <c r="E75"/>
    </row>
    <row r="76" spans="1:5" x14ac:dyDescent="0.25">
      <c r="A76" s="14">
        <v>214889</v>
      </c>
      <c r="B76"/>
      <c r="C76"/>
      <c r="D76"/>
      <c r="E76"/>
    </row>
    <row r="77" spans="1:5" x14ac:dyDescent="0.25">
      <c r="A77" s="14">
        <v>214890</v>
      </c>
      <c r="B77"/>
      <c r="C77"/>
      <c r="D77"/>
      <c r="E77"/>
    </row>
    <row r="78" spans="1:5" x14ac:dyDescent="0.25">
      <c r="A78" s="14">
        <v>214891</v>
      </c>
      <c r="B78"/>
      <c r="C78"/>
      <c r="D78"/>
      <c r="E78"/>
    </row>
    <row r="79" spans="1:5" x14ac:dyDescent="0.25">
      <c r="A79" s="14">
        <v>214892</v>
      </c>
      <c r="B79"/>
      <c r="C79"/>
      <c r="D79"/>
      <c r="E79"/>
    </row>
    <row r="80" spans="1:5" x14ac:dyDescent="0.25">
      <c r="A80" s="14">
        <v>214893</v>
      </c>
      <c r="B80"/>
      <c r="C80"/>
      <c r="D80"/>
      <c r="E80"/>
    </row>
    <row r="81" spans="1:5" x14ac:dyDescent="0.25">
      <c r="A81" s="14">
        <v>214894</v>
      </c>
      <c r="B81"/>
      <c r="C81"/>
      <c r="D81"/>
      <c r="E81"/>
    </row>
    <row r="82" spans="1:5" x14ac:dyDescent="0.25">
      <c r="A82" s="14">
        <v>214895</v>
      </c>
      <c r="B82"/>
      <c r="C82"/>
      <c r="D82"/>
      <c r="E82"/>
    </row>
    <row r="83" spans="1:5" x14ac:dyDescent="0.25">
      <c r="A83" s="14">
        <v>214896</v>
      </c>
      <c r="B83"/>
      <c r="C83"/>
      <c r="D83"/>
      <c r="E83"/>
    </row>
    <row r="84" spans="1:5" x14ac:dyDescent="0.25">
      <c r="A84" s="14">
        <v>214897</v>
      </c>
      <c r="B84"/>
      <c r="C84"/>
      <c r="D84"/>
      <c r="E84"/>
    </row>
    <row r="85" spans="1:5" x14ac:dyDescent="0.25">
      <c r="A85" s="14">
        <v>214898</v>
      </c>
      <c r="B85"/>
      <c r="C85"/>
      <c r="D85"/>
      <c r="E85"/>
    </row>
    <row r="86" spans="1:5" x14ac:dyDescent="0.25">
      <c r="A86" s="14">
        <v>214899</v>
      </c>
      <c r="B86"/>
      <c r="C86"/>
      <c r="D86"/>
      <c r="E86"/>
    </row>
    <row r="87" spans="1:5" x14ac:dyDescent="0.25">
      <c r="A87" s="14">
        <v>214900</v>
      </c>
      <c r="B87"/>
      <c r="C87"/>
      <c r="D87"/>
      <c r="E87"/>
    </row>
    <row r="88" spans="1:5" x14ac:dyDescent="0.25">
      <c r="A88" s="14">
        <v>214901</v>
      </c>
      <c r="B88"/>
      <c r="C88"/>
      <c r="D88"/>
      <c r="E88"/>
    </row>
    <row r="89" spans="1:5" x14ac:dyDescent="0.25">
      <c r="A89" s="14">
        <v>214902</v>
      </c>
      <c r="B89"/>
      <c r="C89"/>
      <c r="D89"/>
      <c r="E89"/>
    </row>
    <row r="90" spans="1:5" x14ac:dyDescent="0.25">
      <c r="A90" s="14">
        <v>214903</v>
      </c>
      <c r="B90"/>
      <c r="C90"/>
      <c r="D90"/>
      <c r="E90"/>
    </row>
    <row r="91" spans="1:5" x14ac:dyDescent="0.25">
      <c r="A91" s="14">
        <v>214904</v>
      </c>
      <c r="B91"/>
      <c r="C91"/>
      <c r="D91"/>
      <c r="E91"/>
    </row>
    <row r="92" spans="1:5" x14ac:dyDescent="0.25">
      <c r="A92" s="14">
        <v>214905</v>
      </c>
      <c r="B92"/>
      <c r="C92"/>
      <c r="D92"/>
      <c r="E92"/>
    </row>
    <row r="93" spans="1:5" x14ac:dyDescent="0.25">
      <c r="A93" s="14">
        <v>216145</v>
      </c>
      <c r="B93"/>
      <c r="C93"/>
      <c r="D93"/>
      <c r="E93"/>
    </row>
    <row r="94" spans="1:5" x14ac:dyDescent="0.25">
      <c r="A94" s="14">
        <v>216146</v>
      </c>
      <c r="B94"/>
      <c r="C94"/>
      <c r="D94"/>
      <c r="E94"/>
    </row>
    <row r="95" spans="1:5" x14ac:dyDescent="0.25">
      <c r="A95" s="14">
        <v>216963</v>
      </c>
      <c r="B95">
        <v>1290</v>
      </c>
      <c r="C95" t="s">
        <v>179</v>
      </c>
      <c r="D95"/>
      <c r="E95"/>
    </row>
    <row r="96" spans="1:5" x14ac:dyDescent="0.25">
      <c r="A96" s="14">
        <v>216964</v>
      </c>
      <c r="B96">
        <v>3490</v>
      </c>
      <c r="C96" t="s">
        <v>179</v>
      </c>
      <c r="D96"/>
      <c r="E96"/>
    </row>
    <row r="97" spans="1:5" x14ac:dyDescent="0.25">
      <c r="A97" s="14">
        <v>216965</v>
      </c>
      <c r="B97">
        <v>3490</v>
      </c>
      <c r="C97" t="s">
        <v>179</v>
      </c>
      <c r="D97"/>
      <c r="E97"/>
    </row>
    <row r="98" spans="1:5" x14ac:dyDescent="0.25">
      <c r="A98" s="14">
        <v>216966</v>
      </c>
      <c r="B98">
        <v>3490</v>
      </c>
      <c r="C98" t="s">
        <v>179</v>
      </c>
      <c r="D98"/>
      <c r="E98"/>
    </row>
    <row r="99" spans="1:5" x14ac:dyDescent="0.25">
      <c r="A99" s="14">
        <v>216967</v>
      </c>
      <c r="B99">
        <v>3490</v>
      </c>
      <c r="C99" t="s">
        <v>179</v>
      </c>
      <c r="D99"/>
      <c r="E99"/>
    </row>
    <row r="100" spans="1:5" x14ac:dyDescent="0.25">
      <c r="A100" s="14">
        <v>216968</v>
      </c>
      <c r="B100">
        <v>3490</v>
      </c>
      <c r="C100" t="s">
        <v>179</v>
      </c>
      <c r="D100"/>
      <c r="E100"/>
    </row>
    <row r="101" spans="1:5" x14ac:dyDescent="0.25">
      <c r="A101" s="14">
        <v>216969</v>
      </c>
      <c r="B101">
        <v>3490</v>
      </c>
      <c r="C101" t="s">
        <v>179</v>
      </c>
      <c r="D101"/>
      <c r="E101"/>
    </row>
    <row r="102" spans="1:5" x14ac:dyDescent="0.25">
      <c r="A102" s="14">
        <v>216970</v>
      </c>
      <c r="B102">
        <v>3490</v>
      </c>
      <c r="C102" t="s">
        <v>179</v>
      </c>
      <c r="D102"/>
      <c r="E102"/>
    </row>
    <row r="103" spans="1:5" x14ac:dyDescent="0.25">
      <c r="A103" s="14">
        <v>216971</v>
      </c>
      <c r="B103">
        <v>3490</v>
      </c>
      <c r="C103" t="s">
        <v>179</v>
      </c>
      <c r="D103"/>
      <c r="E103"/>
    </row>
    <row r="104" spans="1:5" x14ac:dyDescent="0.25">
      <c r="A104" s="14">
        <v>216972</v>
      </c>
      <c r="B104">
        <v>3490</v>
      </c>
      <c r="C104" t="s">
        <v>179</v>
      </c>
      <c r="D104"/>
      <c r="E104"/>
    </row>
    <row r="105" spans="1:5" x14ac:dyDescent="0.25">
      <c r="A105" s="14">
        <v>216973</v>
      </c>
      <c r="B105">
        <v>3490</v>
      </c>
      <c r="C105" t="s">
        <v>179</v>
      </c>
      <c r="D105"/>
      <c r="E105"/>
    </row>
    <row r="106" spans="1:5" x14ac:dyDescent="0.25">
      <c r="A106" s="14">
        <v>216974</v>
      </c>
      <c r="B106">
        <v>3490</v>
      </c>
      <c r="C106" t="s">
        <v>179</v>
      </c>
      <c r="D106"/>
      <c r="E106"/>
    </row>
    <row r="107" spans="1:5" x14ac:dyDescent="0.25">
      <c r="A107" s="14">
        <v>216975</v>
      </c>
      <c r="B107">
        <v>3490</v>
      </c>
      <c r="C107" t="s">
        <v>179</v>
      </c>
      <c r="D107"/>
      <c r="E107"/>
    </row>
    <row r="108" spans="1:5" x14ac:dyDescent="0.25">
      <c r="A108" s="14">
        <v>216976</v>
      </c>
      <c r="B108">
        <v>3490</v>
      </c>
      <c r="C108" t="s">
        <v>179</v>
      </c>
      <c r="D108"/>
      <c r="E108"/>
    </row>
    <row r="109" spans="1:5" x14ac:dyDescent="0.25">
      <c r="A109" s="14">
        <v>216977</v>
      </c>
      <c r="B109">
        <v>3490</v>
      </c>
      <c r="C109" t="s">
        <v>179</v>
      </c>
      <c r="D109"/>
      <c r="E109"/>
    </row>
    <row r="110" spans="1:5" x14ac:dyDescent="0.25">
      <c r="A110" s="14">
        <v>216978</v>
      </c>
      <c r="B110">
        <v>3490</v>
      </c>
      <c r="C110" t="s">
        <v>179</v>
      </c>
      <c r="D110"/>
      <c r="E110"/>
    </row>
    <row r="111" spans="1:5" x14ac:dyDescent="0.25">
      <c r="A111" s="14">
        <v>216979</v>
      </c>
      <c r="B111">
        <v>3490</v>
      </c>
      <c r="C111" t="s">
        <v>179</v>
      </c>
      <c r="D111"/>
      <c r="E111"/>
    </row>
    <row r="112" spans="1:5" x14ac:dyDescent="0.25">
      <c r="A112" s="14">
        <v>216980</v>
      </c>
      <c r="B112">
        <v>3490</v>
      </c>
      <c r="C112" t="s">
        <v>179</v>
      </c>
      <c r="D112"/>
      <c r="E112"/>
    </row>
    <row r="113" spans="1:5" x14ac:dyDescent="0.25">
      <c r="A113" s="14">
        <v>216981</v>
      </c>
      <c r="B113">
        <v>3490</v>
      </c>
      <c r="C113" t="s">
        <v>179</v>
      </c>
      <c r="D113"/>
      <c r="E113"/>
    </row>
    <row r="114" spans="1:5" x14ac:dyDescent="0.25">
      <c r="A114" s="14">
        <v>216982</v>
      </c>
      <c r="B114">
        <v>3490</v>
      </c>
      <c r="C114" t="s">
        <v>179</v>
      </c>
      <c r="D114"/>
      <c r="E114"/>
    </row>
    <row r="115" spans="1:5" x14ac:dyDescent="0.25">
      <c r="A115" s="14">
        <v>216983</v>
      </c>
      <c r="B115">
        <v>3490</v>
      </c>
      <c r="C115" t="s">
        <v>179</v>
      </c>
      <c r="D115"/>
      <c r="E115"/>
    </row>
    <row r="116" spans="1:5" x14ac:dyDescent="0.25">
      <c r="A116" s="14">
        <v>216984</v>
      </c>
      <c r="B116">
        <v>3490</v>
      </c>
      <c r="C116" t="s">
        <v>179</v>
      </c>
      <c r="D116"/>
      <c r="E116"/>
    </row>
    <row r="117" spans="1:5" x14ac:dyDescent="0.25">
      <c r="A117" s="14">
        <v>216985</v>
      </c>
      <c r="B117">
        <v>3490</v>
      </c>
      <c r="C117" t="s">
        <v>179</v>
      </c>
      <c r="D117"/>
      <c r="E117"/>
    </row>
    <row r="118" spans="1:5" x14ac:dyDescent="0.25">
      <c r="A118" s="14">
        <v>216986</v>
      </c>
      <c r="B118">
        <v>3490</v>
      </c>
      <c r="C118" t="s">
        <v>179</v>
      </c>
      <c r="D118"/>
      <c r="E118"/>
    </row>
    <row r="119" spans="1:5" x14ac:dyDescent="0.25">
      <c r="A119" s="14">
        <v>216987</v>
      </c>
      <c r="B119">
        <v>3490</v>
      </c>
      <c r="C119" t="s">
        <v>179</v>
      </c>
      <c r="D119"/>
      <c r="E119"/>
    </row>
    <row r="120" spans="1:5" x14ac:dyDescent="0.25">
      <c r="A120" s="14">
        <v>216988</v>
      </c>
      <c r="B120">
        <v>3490</v>
      </c>
      <c r="C120" t="s">
        <v>179</v>
      </c>
      <c r="D120"/>
      <c r="E120"/>
    </row>
    <row r="121" spans="1:5" x14ac:dyDescent="0.25">
      <c r="A121" s="14">
        <v>216989</v>
      </c>
      <c r="B121">
        <v>3490</v>
      </c>
      <c r="C121" t="s">
        <v>179</v>
      </c>
      <c r="D121"/>
      <c r="E121"/>
    </row>
    <row r="122" spans="1:5" x14ac:dyDescent="0.25">
      <c r="A122" s="14">
        <v>216990</v>
      </c>
      <c r="B122">
        <v>3490</v>
      </c>
      <c r="C122" t="s">
        <v>179</v>
      </c>
      <c r="D122"/>
      <c r="E122"/>
    </row>
    <row r="123" spans="1:5" x14ac:dyDescent="0.25">
      <c r="A123" s="14">
        <v>216991</v>
      </c>
      <c r="B123">
        <v>3490</v>
      </c>
      <c r="C123" t="s">
        <v>179</v>
      </c>
      <c r="D123"/>
      <c r="E123"/>
    </row>
    <row r="124" spans="1:5" x14ac:dyDescent="0.25">
      <c r="A124" s="14">
        <v>216992</v>
      </c>
      <c r="B124">
        <v>3490</v>
      </c>
      <c r="C124" t="s">
        <v>179</v>
      </c>
      <c r="D124"/>
      <c r="E124"/>
    </row>
    <row r="125" spans="1:5" x14ac:dyDescent="0.25">
      <c r="A125" s="14">
        <v>216993</v>
      </c>
      <c r="B125">
        <v>3490</v>
      </c>
      <c r="C125" t="s">
        <v>179</v>
      </c>
      <c r="D125"/>
      <c r="E125"/>
    </row>
    <row r="126" spans="1:5" x14ac:dyDescent="0.25">
      <c r="A126" s="14">
        <v>216994</v>
      </c>
      <c r="B126">
        <v>3490</v>
      </c>
      <c r="C126" t="s">
        <v>179</v>
      </c>
      <c r="D126"/>
      <c r="E126"/>
    </row>
  </sheetData>
  <conditionalFormatting sqref="A3:A21">
    <cfRule type="expression" dxfId="2" priority="2">
      <formula>AND(ROUNDDOWN($N3,0)=0,ROUNDDOWN($M3,0)=0)</formula>
    </cfRule>
  </conditionalFormatting>
  <conditionalFormatting sqref="A23:A126">
    <cfRule type="expression" dxfId="1" priority="1">
      <formula>AND(ROUNDDOWN($N23,0)=0,ROUNDDOWN($O23,0)=0)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759A5-B9EA-4CD9-B475-6266DCB9E705}">
  <sheetPr codeName="Лист7">
    <tabColor rgb="FF92D050"/>
  </sheetPr>
  <dimension ref="A1:T128"/>
  <sheetViews>
    <sheetView workbookViewId="0">
      <selection activeCell="F16" sqref="F16"/>
    </sheetView>
  </sheetViews>
  <sheetFormatPr defaultRowHeight="15" x14ac:dyDescent="0.25"/>
  <cols>
    <col min="1" max="2" width="11.140625" bestFit="1" customWidth="1"/>
    <col min="3" max="3" width="13.28515625" bestFit="1" customWidth="1"/>
    <col min="4" max="4" width="81.140625" bestFit="1" customWidth="1"/>
    <col min="5" max="5" width="12.42578125" bestFit="1" customWidth="1"/>
    <col min="6" max="6" width="81.140625" bestFit="1" customWidth="1"/>
    <col min="7" max="7" width="11.140625" bestFit="1" customWidth="1"/>
    <col min="8" max="8" width="12.42578125" bestFit="1" customWidth="1"/>
    <col min="9" max="9" width="11.140625" bestFit="1" customWidth="1"/>
    <col min="10" max="20" width="12.140625" bestFit="1" customWidth="1"/>
  </cols>
  <sheetData>
    <row r="1" spans="1:20" x14ac:dyDescent="0.25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</row>
    <row r="3" spans="1:20" x14ac:dyDescent="0.25">
      <c r="A3" t="s">
        <v>208</v>
      </c>
      <c r="B3" t="s">
        <v>209</v>
      </c>
      <c r="C3" t="s">
        <v>210</v>
      </c>
      <c r="D3" t="s">
        <v>211</v>
      </c>
    </row>
    <row r="4" spans="1:20" x14ac:dyDescent="0.25">
      <c r="B4" t="s">
        <v>5</v>
      </c>
      <c r="C4" t="s">
        <v>4</v>
      </c>
      <c r="D4" t="s">
        <v>4</v>
      </c>
      <c r="E4" t="s">
        <v>216</v>
      </c>
      <c r="F4" t="s">
        <v>216</v>
      </c>
      <c r="G4" t="s">
        <v>212</v>
      </c>
      <c r="H4" t="s">
        <v>216</v>
      </c>
    </row>
    <row r="5" spans="1:20" x14ac:dyDescent="0.25">
      <c r="A5" t="s">
        <v>213</v>
      </c>
      <c r="B5">
        <v>138557</v>
      </c>
      <c r="C5">
        <v>290</v>
      </c>
      <c r="D5" t="s">
        <v>174</v>
      </c>
      <c r="G5">
        <v>290</v>
      </c>
      <c r="H5" t="s">
        <v>214</v>
      </c>
    </row>
    <row r="6" spans="1:20" x14ac:dyDescent="0.25">
      <c r="A6" t="s">
        <v>213</v>
      </c>
      <c r="B6">
        <v>139415</v>
      </c>
      <c r="C6">
        <v>649</v>
      </c>
      <c r="D6" t="s">
        <v>173</v>
      </c>
      <c r="G6">
        <v>649</v>
      </c>
      <c r="H6" t="s">
        <v>214</v>
      </c>
    </row>
    <row r="7" spans="1:20" x14ac:dyDescent="0.25">
      <c r="A7" t="s">
        <v>213</v>
      </c>
      <c r="B7">
        <v>141876</v>
      </c>
      <c r="C7">
        <v>1149</v>
      </c>
      <c r="D7" t="s">
        <v>29</v>
      </c>
      <c r="E7">
        <v>900</v>
      </c>
      <c r="F7" t="s">
        <v>187</v>
      </c>
      <c r="G7">
        <v>1149</v>
      </c>
      <c r="H7" t="s">
        <v>214</v>
      </c>
    </row>
    <row r="8" spans="1:20" x14ac:dyDescent="0.25">
      <c r="A8" t="s">
        <v>213</v>
      </c>
      <c r="B8">
        <v>214510</v>
      </c>
      <c r="G8" t="s">
        <v>214</v>
      </c>
      <c r="H8" t="s">
        <v>214</v>
      </c>
    </row>
    <row r="9" spans="1:20" x14ac:dyDescent="0.25">
      <c r="A9" t="s">
        <v>213</v>
      </c>
      <c r="B9">
        <v>214511</v>
      </c>
      <c r="C9">
        <v>969</v>
      </c>
      <c r="D9" t="s">
        <v>175</v>
      </c>
      <c r="G9">
        <v>969</v>
      </c>
      <c r="H9" t="s">
        <v>214</v>
      </c>
    </row>
    <row r="10" spans="1:20" x14ac:dyDescent="0.25">
      <c r="A10" t="s">
        <v>213</v>
      </c>
      <c r="B10">
        <v>214542</v>
      </c>
      <c r="G10" t="s">
        <v>214</v>
      </c>
      <c r="H10" t="s">
        <v>214</v>
      </c>
    </row>
    <row r="11" spans="1:20" x14ac:dyDescent="0.25">
      <c r="A11" t="s">
        <v>213</v>
      </c>
      <c r="B11">
        <v>264552</v>
      </c>
      <c r="C11">
        <v>990</v>
      </c>
      <c r="D11" t="s">
        <v>176</v>
      </c>
      <c r="G11">
        <v>990</v>
      </c>
      <c r="H11" t="s">
        <v>214</v>
      </c>
    </row>
    <row r="12" spans="1:20" x14ac:dyDescent="0.25">
      <c r="A12" t="s">
        <v>213</v>
      </c>
      <c r="B12">
        <v>214593</v>
      </c>
      <c r="C12">
        <v>990</v>
      </c>
      <c r="D12" t="s">
        <v>177</v>
      </c>
      <c r="G12">
        <v>990</v>
      </c>
      <c r="H12" t="s">
        <v>214</v>
      </c>
    </row>
    <row r="13" spans="1:20" x14ac:dyDescent="0.25">
      <c r="A13" t="s">
        <v>213</v>
      </c>
      <c r="B13">
        <v>214632</v>
      </c>
      <c r="G13" t="s">
        <v>214</v>
      </c>
      <c r="H13" t="s">
        <v>214</v>
      </c>
    </row>
    <row r="14" spans="1:20" x14ac:dyDescent="0.25">
      <c r="A14" t="s">
        <v>213</v>
      </c>
      <c r="B14">
        <v>214665</v>
      </c>
      <c r="G14" t="s">
        <v>214</v>
      </c>
      <c r="H14" t="s">
        <v>214</v>
      </c>
    </row>
    <row r="15" spans="1:20" x14ac:dyDescent="0.25">
      <c r="A15" t="s">
        <v>213</v>
      </c>
      <c r="B15">
        <v>214807</v>
      </c>
      <c r="G15" t="s">
        <v>214</v>
      </c>
      <c r="H15" t="s">
        <v>214</v>
      </c>
    </row>
    <row r="16" spans="1:20" x14ac:dyDescent="0.25">
      <c r="A16" t="s">
        <v>213</v>
      </c>
      <c r="B16">
        <v>214840</v>
      </c>
      <c r="G16" t="s">
        <v>214</v>
      </c>
      <c r="H16" t="s">
        <v>214</v>
      </c>
    </row>
    <row r="17" spans="1:8" x14ac:dyDescent="0.25">
      <c r="A17" t="s">
        <v>213</v>
      </c>
      <c r="B17">
        <v>215245</v>
      </c>
      <c r="G17" t="s">
        <v>214</v>
      </c>
      <c r="H17" t="s">
        <v>214</v>
      </c>
    </row>
    <row r="18" spans="1:8" x14ac:dyDescent="0.25">
      <c r="A18" t="s">
        <v>213</v>
      </c>
      <c r="B18">
        <v>215246</v>
      </c>
      <c r="C18">
        <v>990</v>
      </c>
      <c r="D18" t="s">
        <v>186</v>
      </c>
      <c r="G18">
        <v>990</v>
      </c>
      <c r="H18" t="s">
        <v>214</v>
      </c>
    </row>
    <row r="19" spans="1:8" x14ac:dyDescent="0.25">
      <c r="A19" t="s">
        <v>213</v>
      </c>
      <c r="B19">
        <v>216142</v>
      </c>
      <c r="G19" t="s">
        <v>214</v>
      </c>
      <c r="H19" t="s">
        <v>214</v>
      </c>
    </row>
    <row r="20" spans="1:8" x14ac:dyDescent="0.25">
      <c r="A20" t="s">
        <v>213</v>
      </c>
      <c r="B20">
        <v>216882</v>
      </c>
      <c r="G20" t="s">
        <v>214</v>
      </c>
      <c r="H20" t="s">
        <v>214</v>
      </c>
    </row>
    <row r="21" spans="1:8" x14ac:dyDescent="0.25">
      <c r="A21" t="s">
        <v>213</v>
      </c>
      <c r="B21">
        <v>216995</v>
      </c>
      <c r="G21" t="s">
        <v>214</v>
      </c>
      <c r="H21" t="s">
        <v>214</v>
      </c>
    </row>
    <row r="22" spans="1:8" x14ac:dyDescent="0.25">
      <c r="A22" t="s">
        <v>213</v>
      </c>
      <c r="B22">
        <v>216996</v>
      </c>
      <c r="G22" t="s">
        <v>214</v>
      </c>
      <c r="H22" t="s">
        <v>214</v>
      </c>
    </row>
    <row r="23" spans="1:8" x14ac:dyDescent="0.25">
      <c r="A23" t="s">
        <v>213</v>
      </c>
      <c r="B23">
        <v>223121</v>
      </c>
      <c r="C23">
        <v>2499</v>
      </c>
      <c r="D23" t="s">
        <v>185</v>
      </c>
      <c r="G23">
        <v>2499</v>
      </c>
      <c r="H23" t="s">
        <v>214</v>
      </c>
    </row>
    <row r="24" spans="1:8" x14ac:dyDescent="0.25">
      <c r="A24" t="s">
        <v>213</v>
      </c>
      <c r="B24" t="s">
        <v>5</v>
      </c>
      <c r="G24" t="s">
        <v>212</v>
      </c>
      <c r="H24" t="s">
        <v>214</v>
      </c>
    </row>
    <row r="25" spans="1:8" x14ac:dyDescent="0.25">
      <c r="A25" t="s">
        <v>213</v>
      </c>
      <c r="B25">
        <v>141834</v>
      </c>
      <c r="E25">
        <v>900</v>
      </c>
      <c r="F25" t="s">
        <v>180</v>
      </c>
      <c r="G25" t="s">
        <v>214</v>
      </c>
      <c r="H25" t="s">
        <v>214</v>
      </c>
    </row>
    <row r="26" spans="1:8" x14ac:dyDescent="0.25">
      <c r="A26" t="s">
        <v>213</v>
      </c>
      <c r="B26">
        <v>227109</v>
      </c>
      <c r="C26">
        <v>1190</v>
      </c>
      <c r="D26" t="s">
        <v>171</v>
      </c>
      <c r="E26">
        <v>900</v>
      </c>
      <c r="F26" t="s">
        <v>172</v>
      </c>
      <c r="G26">
        <v>1190</v>
      </c>
      <c r="H26" t="s">
        <v>214</v>
      </c>
    </row>
    <row r="27" spans="1:8" x14ac:dyDescent="0.25">
      <c r="A27" t="s">
        <v>213</v>
      </c>
      <c r="B27">
        <v>141839</v>
      </c>
      <c r="E27">
        <v>900</v>
      </c>
      <c r="F27" t="s">
        <v>181</v>
      </c>
      <c r="G27" t="s">
        <v>214</v>
      </c>
      <c r="H27" t="s">
        <v>214</v>
      </c>
    </row>
    <row r="28" spans="1:8" x14ac:dyDescent="0.25">
      <c r="A28" t="s">
        <v>213</v>
      </c>
      <c r="B28">
        <v>141873</v>
      </c>
      <c r="E28">
        <v>900</v>
      </c>
      <c r="F28" t="s">
        <v>182</v>
      </c>
      <c r="G28" t="s">
        <v>214</v>
      </c>
      <c r="H28">
        <v>900</v>
      </c>
    </row>
    <row r="29" spans="1:8" x14ac:dyDescent="0.25">
      <c r="A29" t="s">
        <v>213</v>
      </c>
      <c r="B29">
        <v>141875</v>
      </c>
      <c r="E29">
        <v>900</v>
      </c>
      <c r="F29" t="s">
        <v>183</v>
      </c>
      <c r="G29" t="s">
        <v>214</v>
      </c>
      <c r="H29" t="s">
        <v>214</v>
      </c>
    </row>
    <row r="30" spans="1:8" x14ac:dyDescent="0.25">
      <c r="A30" t="s">
        <v>213</v>
      </c>
      <c r="B30">
        <v>205830</v>
      </c>
      <c r="C30">
        <v>1190</v>
      </c>
      <c r="D30" t="s">
        <v>184</v>
      </c>
      <c r="G30">
        <v>1190</v>
      </c>
      <c r="H30" t="s">
        <v>214</v>
      </c>
    </row>
    <row r="31" spans="1:8" x14ac:dyDescent="0.25">
      <c r="A31" t="s">
        <v>213</v>
      </c>
      <c r="B31">
        <v>214775</v>
      </c>
      <c r="C31">
        <v>1390</v>
      </c>
      <c r="D31" t="s">
        <v>178</v>
      </c>
      <c r="G31">
        <v>1390</v>
      </c>
      <c r="H31" t="s">
        <v>214</v>
      </c>
    </row>
    <row r="32" spans="1:8" x14ac:dyDescent="0.25">
      <c r="A32" t="s">
        <v>213</v>
      </c>
      <c r="B32">
        <v>214776</v>
      </c>
      <c r="C32">
        <v>3590</v>
      </c>
      <c r="D32" t="s">
        <v>178</v>
      </c>
      <c r="G32">
        <v>1390</v>
      </c>
      <c r="H32" t="s">
        <v>214</v>
      </c>
    </row>
    <row r="33" spans="1:8" x14ac:dyDescent="0.25">
      <c r="A33" t="s">
        <v>213</v>
      </c>
      <c r="B33">
        <v>214777</v>
      </c>
      <c r="C33">
        <v>3590</v>
      </c>
      <c r="D33" t="s">
        <v>178</v>
      </c>
      <c r="G33">
        <v>1390</v>
      </c>
      <c r="H33" t="s">
        <v>214</v>
      </c>
    </row>
    <row r="34" spans="1:8" x14ac:dyDescent="0.25">
      <c r="A34" t="s">
        <v>213</v>
      </c>
      <c r="B34">
        <v>214778</v>
      </c>
      <c r="C34">
        <v>3590</v>
      </c>
      <c r="D34" t="s">
        <v>178</v>
      </c>
      <c r="G34">
        <v>1390</v>
      </c>
      <c r="H34" t="s">
        <v>214</v>
      </c>
    </row>
    <row r="35" spans="1:8" x14ac:dyDescent="0.25">
      <c r="A35" t="s">
        <v>213</v>
      </c>
      <c r="B35">
        <v>214779</v>
      </c>
      <c r="C35">
        <v>3590</v>
      </c>
      <c r="D35" t="s">
        <v>178</v>
      </c>
      <c r="G35">
        <v>1390</v>
      </c>
      <c r="H35" t="s">
        <v>214</v>
      </c>
    </row>
    <row r="36" spans="1:8" x14ac:dyDescent="0.25">
      <c r="A36" t="s">
        <v>213</v>
      </c>
      <c r="B36">
        <v>214780</v>
      </c>
      <c r="C36">
        <v>3590</v>
      </c>
      <c r="D36" t="s">
        <v>178</v>
      </c>
      <c r="G36">
        <v>1390</v>
      </c>
      <c r="H36" t="s">
        <v>214</v>
      </c>
    </row>
    <row r="37" spans="1:8" x14ac:dyDescent="0.25">
      <c r="A37" t="s">
        <v>213</v>
      </c>
      <c r="B37">
        <v>214781</v>
      </c>
      <c r="C37">
        <v>3590</v>
      </c>
      <c r="D37" t="s">
        <v>178</v>
      </c>
      <c r="G37">
        <v>1390</v>
      </c>
      <c r="H37" t="s">
        <v>214</v>
      </c>
    </row>
    <row r="38" spans="1:8" x14ac:dyDescent="0.25">
      <c r="A38" t="s">
        <v>213</v>
      </c>
      <c r="B38">
        <v>214782</v>
      </c>
      <c r="C38">
        <v>3590</v>
      </c>
      <c r="D38" t="s">
        <v>178</v>
      </c>
      <c r="G38">
        <v>1390</v>
      </c>
      <c r="H38" t="s">
        <v>214</v>
      </c>
    </row>
    <row r="39" spans="1:8" x14ac:dyDescent="0.25">
      <c r="A39" t="s">
        <v>213</v>
      </c>
      <c r="B39">
        <v>214783</v>
      </c>
      <c r="C39">
        <v>3590</v>
      </c>
      <c r="D39" t="s">
        <v>178</v>
      </c>
      <c r="G39">
        <v>1390</v>
      </c>
      <c r="H39" t="s">
        <v>214</v>
      </c>
    </row>
    <row r="40" spans="1:8" x14ac:dyDescent="0.25">
      <c r="A40" t="s">
        <v>213</v>
      </c>
      <c r="B40">
        <v>214784</v>
      </c>
      <c r="C40">
        <v>3590</v>
      </c>
      <c r="D40" t="s">
        <v>178</v>
      </c>
      <c r="G40">
        <v>1390</v>
      </c>
      <c r="H40" t="s">
        <v>214</v>
      </c>
    </row>
    <row r="41" spans="1:8" x14ac:dyDescent="0.25">
      <c r="A41" t="s">
        <v>213</v>
      </c>
      <c r="B41">
        <v>214785</v>
      </c>
      <c r="C41">
        <v>3590</v>
      </c>
      <c r="D41" t="s">
        <v>178</v>
      </c>
      <c r="G41">
        <v>1390</v>
      </c>
      <c r="H41" t="s">
        <v>214</v>
      </c>
    </row>
    <row r="42" spans="1:8" x14ac:dyDescent="0.25">
      <c r="A42" t="s">
        <v>213</v>
      </c>
      <c r="B42">
        <v>214786</v>
      </c>
      <c r="C42">
        <v>3590</v>
      </c>
      <c r="D42" t="s">
        <v>178</v>
      </c>
      <c r="G42">
        <v>1390</v>
      </c>
      <c r="H42" t="s">
        <v>214</v>
      </c>
    </row>
    <row r="43" spans="1:8" x14ac:dyDescent="0.25">
      <c r="A43" t="s">
        <v>213</v>
      </c>
      <c r="B43">
        <v>214787</v>
      </c>
      <c r="C43">
        <v>3590</v>
      </c>
      <c r="D43" t="s">
        <v>178</v>
      </c>
      <c r="G43">
        <v>1390</v>
      </c>
      <c r="H43" t="s">
        <v>214</v>
      </c>
    </row>
    <row r="44" spans="1:8" x14ac:dyDescent="0.25">
      <c r="A44" t="s">
        <v>213</v>
      </c>
      <c r="B44">
        <v>214788</v>
      </c>
      <c r="C44">
        <v>3590</v>
      </c>
      <c r="D44" t="s">
        <v>178</v>
      </c>
      <c r="G44">
        <v>1390</v>
      </c>
      <c r="H44" t="s">
        <v>214</v>
      </c>
    </row>
    <row r="45" spans="1:8" x14ac:dyDescent="0.25">
      <c r="A45" t="s">
        <v>213</v>
      </c>
      <c r="B45">
        <v>214789</v>
      </c>
      <c r="C45">
        <v>3590</v>
      </c>
      <c r="D45" t="s">
        <v>178</v>
      </c>
      <c r="G45">
        <v>1390</v>
      </c>
      <c r="H45" t="s">
        <v>214</v>
      </c>
    </row>
    <row r="46" spans="1:8" x14ac:dyDescent="0.25">
      <c r="A46" t="s">
        <v>213</v>
      </c>
      <c r="B46">
        <v>214790</v>
      </c>
      <c r="C46">
        <v>3590</v>
      </c>
      <c r="D46" t="s">
        <v>178</v>
      </c>
      <c r="G46">
        <v>1390</v>
      </c>
      <c r="H46" t="s">
        <v>214</v>
      </c>
    </row>
    <row r="47" spans="1:8" x14ac:dyDescent="0.25">
      <c r="A47" t="s">
        <v>213</v>
      </c>
      <c r="B47">
        <v>214791</v>
      </c>
      <c r="C47">
        <v>3590</v>
      </c>
      <c r="D47" t="s">
        <v>178</v>
      </c>
      <c r="G47">
        <v>1390</v>
      </c>
      <c r="H47" t="s">
        <v>214</v>
      </c>
    </row>
    <row r="48" spans="1:8" x14ac:dyDescent="0.25">
      <c r="A48" t="s">
        <v>213</v>
      </c>
      <c r="B48">
        <v>214792</v>
      </c>
      <c r="C48">
        <v>3590</v>
      </c>
      <c r="D48" t="s">
        <v>178</v>
      </c>
      <c r="G48">
        <v>1390</v>
      </c>
      <c r="H48" t="s">
        <v>214</v>
      </c>
    </row>
    <row r="49" spans="1:8" x14ac:dyDescent="0.25">
      <c r="A49" t="s">
        <v>213</v>
      </c>
      <c r="B49">
        <v>214793</v>
      </c>
      <c r="C49">
        <v>3590</v>
      </c>
      <c r="D49" t="s">
        <v>178</v>
      </c>
      <c r="G49">
        <v>1390</v>
      </c>
      <c r="H49" t="s">
        <v>214</v>
      </c>
    </row>
    <row r="50" spans="1:8" x14ac:dyDescent="0.25">
      <c r="A50" t="s">
        <v>213</v>
      </c>
      <c r="B50">
        <v>214794</v>
      </c>
      <c r="C50">
        <v>3590</v>
      </c>
      <c r="D50" t="s">
        <v>178</v>
      </c>
      <c r="G50">
        <v>1390</v>
      </c>
      <c r="H50" t="s">
        <v>214</v>
      </c>
    </row>
    <row r="51" spans="1:8" x14ac:dyDescent="0.25">
      <c r="A51" t="s">
        <v>213</v>
      </c>
      <c r="B51">
        <v>214795</v>
      </c>
      <c r="C51">
        <v>3590</v>
      </c>
      <c r="D51" t="s">
        <v>178</v>
      </c>
      <c r="G51">
        <v>1390</v>
      </c>
      <c r="H51" t="s">
        <v>214</v>
      </c>
    </row>
    <row r="52" spans="1:8" x14ac:dyDescent="0.25">
      <c r="A52" t="s">
        <v>213</v>
      </c>
      <c r="B52">
        <v>214796</v>
      </c>
      <c r="C52">
        <v>3590</v>
      </c>
      <c r="D52" t="s">
        <v>178</v>
      </c>
      <c r="G52">
        <v>1390</v>
      </c>
      <c r="H52" t="s">
        <v>214</v>
      </c>
    </row>
    <row r="53" spans="1:8" x14ac:dyDescent="0.25">
      <c r="A53" t="s">
        <v>213</v>
      </c>
      <c r="B53">
        <v>214797</v>
      </c>
      <c r="C53">
        <v>3590</v>
      </c>
      <c r="D53" t="s">
        <v>178</v>
      </c>
      <c r="G53">
        <v>1390</v>
      </c>
      <c r="H53" t="s">
        <v>214</v>
      </c>
    </row>
    <row r="54" spans="1:8" x14ac:dyDescent="0.25">
      <c r="A54" t="s">
        <v>213</v>
      </c>
      <c r="B54">
        <v>214798</v>
      </c>
      <c r="C54">
        <v>3590</v>
      </c>
      <c r="D54" t="s">
        <v>178</v>
      </c>
      <c r="G54">
        <v>1390</v>
      </c>
      <c r="H54" t="s">
        <v>214</v>
      </c>
    </row>
    <row r="55" spans="1:8" x14ac:dyDescent="0.25">
      <c r="A55" t="s">
        <v>213</v>
      </c>
      <c r="B55">
        <v>214799</v>
      </c>
      <c r="C55">
        <v>3590</v>
      </c>
      <c r="D55" t="s">
        <v>178</v>
      </c>
      <c r="G55">
        <v>1390</v>
      </c>
      <c r="H55" t="s">
        <v>214</v>
      </c>
    </row>
    <row r="56" spans="1:8" x14ac:dyDescent="0.25">
      <c r="A56" t="s">
        <v>213</v>
      </c>
      <c r="B56">
        <v>214800</v>
      </c>
      <c r="C56">
        <v>3590</v>
      </c>
      <c r="D56" t="s">
        <v>178</v>
      </c>
      <c r="G56">
        <v>1390</v>
      </c>
      <c r="H56" t="s">
        <v>214</v>
      </c>
    </row>
    <row r="57" spans="1:8" x14ac:dyDescent="0.25">
      <c r="A57" t="s">
        <v>213</v>
      </c>
      <c r="B57">
        <v>214801</v>
      </c>
      <c r="C57">
        <v>3590</v>
      </c>
      <c r="D57" t="s">
        <v>178</v>
      </c>
      <c r="G57">
        <v>1390</v>
      </c>
      <c r="H57" t="s">
        <v>214</v>
      </c>
    </row>
    <row r="58" spans="1:8" x14ac:dyDescent="0.25">
      <c r="A58" t="s">
        <v>213</v>
      </c>
      <c r="B58">
        <v>214802</v>
      </c>
      <c r="C58">
        <v>3590</v>
      </c>
      <c r="D58" t="s">
        <v>178</v>
      </c>
      <c r="G58">
        <v>1390</v>
      </c>
      <c r="H58" t="s">
        <v>214</v>
      </c>
    </row>
    <row r="59" spans="1:8" x14ac:dyDescent="0.25">
      <c r="A59" t="s">
        <v>213</v>
      </c>
      <c r="B59">
        <v>214803</v>
      </c>
      <c r="C59">
        <v>3590</v>
      </c>
      <c r="D59" t="s">
        <v>178</v>
      </c>
      <c r="G59">
        <v>1390</v>
      </c>
      <c r="H59" t="s">
        <v>214</v>
      </c>
    </row>
    <row r="60" spans="1:8" x14ac:dyDescent="0.25">
      <c r="A60" t="s">
        <v>213</v>
      </c>
      <c r="B60">
        <v>214804</v>
      </c>
      <c r="C60">
        <v>3590</v>
      </c>
      <c r="D60" t="s">
        <v>178</v>
      </c>
      <c r="G60">
        <v>1390</v>
      </c>
      <c r="H60" t="s">
        <v>214</v>
      </c>
    </row>
    <row r="61" spans="1:8" x14ac:dyDescent="0.25">
      <c r="A61" t="s">
        <v>213</v>
      </c>
      <c r="B61">
        <v>214805</v>
      </c>
      <c r="C61">
        <v>3590</v>
      </c>
      <c r="D61" t="s">
        <v>178</v>
      </c>
      <c r="G61">
        <v>1390</v>
      </c>
      <c r="H61" t="s">
        <v>214</v>
      </c>
    </row>
    <row r="62" spans="1:8" x14ac:dyDescent="0.25">
      <c r="A62" t="s">
        <v>213</v>
      </c>
      <c r="B62">
        <v>214806</v>
      </c>
      <c r="C62">
        <v>3590</v>
      </c>
      <c r="D62" t="s">
        <v>178</v>
      </c>
      <c r="G62">
        <v>1390</v>
      </c>
      <c r="H62" t="s">
        <v>214</v>
      </c>
    </row>
    <row r="63" spans="1:8" x14ac:dyDescent="0.25">
      <c r="A63" t="s">
        <v>213</v>
      </c>
      <c r="B63">
        <v>214874</v>
      </c>
      <c r="G63" t="s">
        <v>214</v>
      </c>
      <c r="H63" t="s">
        <v>214</v>
      </c>
    </row>
    <row r="64" spans="1:8" x14ac:dyDescent="0.25">
      <c r="A64" t="s">
        <v>213</v>
      </c>
      <c r="B64">
        <v>214875</v>
      </c>
      <c r="G64" t="s">
        <v>214</v>
      </c>
      <c r="H64" t="s">
        <v>214</v>
      </c>
    </row>
    <row r="65" spans="1:8" x14ac:dyDescent="0.25">
      <c r="A65" t="s">
        <v>213</v>
      </c>
      <c r="B65">
        <v>214876</v>
      </c>
      <c r="G65" t="s">
        <v>214</v>
      </c>
      <c r="H65" t="s">
        <v>214</v>
      </c>
    </row>
    <row r="66" spans="1:8" x14ac:dyDescent="0.25">
      <c r="A66" t="s">
        <v>213</v>
      </c>
      <c r="B66">
        <v>214877</v>
      </c>
      <c r="G66" t="s">
        <v>214</v>
      </c>
      <c r="H66" t="s">
        <v>214</v>
      </c>
    </row>
    <row r="67" spans="1:8" x14ac:dyDescent="0.25">
      <c r="A67" t="s">
        <v>213</v>
      </c>
      <c r="B67">
        <v>214878</v>
      </c>
      <c r="G67" t="s">
        <v>214</v>
      </c>
      <c r="H67" t="s">
        <v>214</v>
      </c>
    </row>
    <row r="68" spans="1:8" x14ac:dyDescent="0.25">
      <c r="A68" t="s">
        <v>213</v>
      </c>
      <c r="B68">
        <v>214879</v>
      </c>
      <c r="G68" t="s">
        <v>214</v>
      </c>
      <c r="H68" t="s">
        <v>214</v>
      </c>
    </row>
    <row r="69" spans="1:8" x14ac:dyDescent="0.25">
      <c r="A69" t="s">
        <v>213</v>
      </c>
      <c r="B69">
        <v>214880</v>
      </c>
      <c r="G69" t="s">
        <v>214</v>
      </c>
      <c r="H69" t="s">
        <v>214</v>
      </c>
    </row>
    <row r="70" spans="1:8" x14ac:dyDescent="0.25">
      <c r="A70" t="s">
        <v>213</v>
      </c>
      <c r="B70">
        <v>214881</v>
      </c>
      <c r="G70" t="s">
        <v>214</v>
      </c>
      <c r="H70" t="s">
        <v>214</v>
      </c>
    </row>
    <row r="71" spans="1:8" x14ac:dyDescent="0.25">
      <c r="A71" t="s">
        <v>213</v>
      </c>
      <c r="B71">
        <v>214882</v>
      </c>
      <c r="G71" t="s">
        <v>214</v>
      </c>
      <c r="H71" t="s">
        <v>214</v>
      </c>
    </row>
    <row r="72" spans="1:8" x14ac:dyDescent="0.25">
      <c r="A72" t="s">
        <v>213</v>
      </c>
      <c r="B72">
        <v>214883</v>
      </c>
      <c r="G72" t="s">
        <v>214</v>
      </c>
      <c r="H72" t="s">
        <v>214</v>
      </c>
    </row>
    <row r="73" spans="1:8" x14ac:dyDescent="0.25">
      <c r="A73" t="s">
        <v>213</v>
      </c>
      <c r="B73">
        <v>214884</v>
      </c>
      <c r="G73" t="s">
        <v>214</v>
      </c>
      <c r="H73" t="s">
        <v>214</v>
      </c>
    </row>
    <row r="74" spans="1:8" x14ac:dyDescent="0.25">
      <c r="A74" t="s">
        <v>213</v>
      </c>
      <c r="B74">
        <v>214885</v>
      </c>
      <c r="G74" t="s">
        <v>214</v>
      </c>
      <c r="H74" t="s">
        <v>214</v>
      </c>
    </row>
    <row r="75" spans="1:8" x14ac:dyDescent="0.25">
      <c r="A75" t="s">
        <v>213</v>
      </c>
      <c r="B75">
        <v>214886</v>
      </c>
      <c r="G75" t="s">
        <v>214</v>
      </c>
      <c r="H75" t="s">
        <v>214</v>
      </c>
    </row>
    <row r="76" spans="1:8" x14ac:dyDescent="0.25">
      <c r="A76" t="s">
        <v>213</v>
      </c>
      <c r="B76">
        <v>214887</v>
      </c>
      <c r="G76" t="s">
        <v>214</v>
      </c>
      <c r="H76" t="s">
        <v>214</v>
      </c>
    </row>
    <row r="77" spans="1:8" x14ac:dyDescent="0.25">
      <c r="A77" t="s">
        <v>213</v>
      </c>
      <c r="B77">
        <v>214888</v>
      </c>
      <c r="G77" t="s">
        <v>214</v>
      </c>
      <c r="H77" t="s">
        <v>214</v>
      </c>
    </row>
    <row r="78" spans="1:8" x14ac:dyDescent="0.25">
      <c r="A78" t="s">
        <v>213</v>
      </c>
      <c r="B78">
        <v>214889</v>
      </c>
      <c r="G78" t="s">
        <v>214</v>
      </c>
      <c r="H78" t="s">
        <v>214</v>
      </c>
    </row>
    <row r="79" spans="1:8" x14ac:dyDescent="0.25">
      <c r="A79" t="s">
        <v>213</v>
      </c>
      <c r="B79">
        <v>214890</v>
      </c>
      <c r="G79" t="s">
        <v>214</v>
      </c>
      <c r="H79" t="s">
        <v>214</v>
      </c>
    </row>
    <row r="80" spans="1:8" x14ac:dyDescent="0.25">
      <c r="A80" t="s">
        <v>213</v>
      </c>
      <c r="B80">
        <v>214891</v>
      </c>
      <c r="G80" t="s">
        <v>214</v>
      </c>
      <c r="H80" t="s">
        <v>214</v>
      </c>
    </row>
    <row r="81" spans="1:8" x14ac:dyDescent="0.25">
      <c r="A81" t="s">
        <v>213</v>
      </c>
      <c r="B81">
        <v>214892</v>
      </c>
      <c r="G81" t="s">
        <v>214</v>
      </c>
      <c r="H81" t="s">
        <v>214</v>
      </c>
    </row>
    <row r="82" spans="1:8" x14ac:dyDescent="0.25">
      <c r="A82" t="s">
        <v>213</v>
      </c>
      <c r="B82">
        <v>214893</v>
      </c>
      <c r="G82" t="s">
        <v>214</v>
      </c>
      <c r="H82" t="s">
        <v>214</v>
      </c>
    </row>
    <row r="83" spans="1:8" x14ac:dyDescent="0.25">
      <c r="A83" t="s">
        <v>213</v>
      </c>
      <c r="B83">
        <v>214894</v>
      </c>
      <c r="G83" t="s">
        <v>214</v>
      </c>
      <c r="H83" t="s">
        <v>214</v>
      </c>
    </row>
    <row r="84" spans="1:8" x14ac:dyDescent="0.25">
      <c r="A84" t="s">
        <v>213</v>
      </c>
      <c r="B84">
        <v>214895</v>
      </c>
      <c r="G84" t="s">
        <v>214</v>
      </c>
      <c r="H84" t="s">
        <v>214</v>
      </c>
    </row>
    <row r="85" spans="1:8" x14ac:dyDescent="0.25">
      <c r="A85" t="s">
        <v>213</v>
      </c>
      <c r="B85">
        <v>214896</v>
      </c>
      <c r="G85" t="s">
        <v>214</v>
      </c>
      <c r="H85" t="s">
        <v>214</v>
      </c>
    </row>
    <row r="86" spans="1:8" x14ac:dyDescent="0.25">
      <c r="A86" t="s">
        <v>213</v>
      </c>
      <c r="B86">
        <v>214897</v>
      </c>
      <c r="G86" t="s">
        <v>214</v>
      </c>
      <c r="H86" t="s">
        <v>214</v>
      </c>
    </row>
    <row r="87" spans="1:8" x14ac:dyDescent="0.25">
      <c r="A87" t="s">
        <v>213</v>
      </c>
      <c r="B87">
        <v>214898</v>
      </c>
      <c r="G87" t="s">
        <v>214</v>
      </c>
      <c r="H87" t="s">
        <v>214</v>
      </c>
    </row>
    <row r="88" spans="1:8" x14ac:dyDescent="0.25">
      <c r="A88" t="s">
        <v>213</v>
      </c>
      <c r="B88">
        <v>214899</v>
      </c>
      <c r="G88" t="s">
        <v>214</v>
      </c>
      <c r="H88" t="s">
        <v>214</v>
      </c>
    </row>
    <row r="89" spans="1:8" x14ac:dyDescent="0.25">
      <c r="A89" t="s">
        <v>213</v>
      </c>
      <c r="B89">
        <v>214900</v>
      </c>
      <c r="G89" t="s">
        <v>214</v>
      </c>
      <c r="H89" t="s">
        <v>214</v>
      </c>
    </row>
    <row r="90" spans="1:8" x14ac:dyDescent="0.25">
      <c r="A90" t="s">
        <v>213</v>
      </c>
      <c r="B90">
        <v>214901</v>
      </c>
      <c r="G90" t="s">
        <v>214</v>
      </c>
      <c r="H90" t="s">
        <v>214</v>
      </c>
    </row>
    <row r="91" spans="1:8" x14ac:dyDescent="0.25">
      <c r="A91" t="s">
        <v>213</v>
      </c>
      <c r="B91">
        <v>214902</v>
      </c>
      <c r="G91" t="s">
        <v>214</v>
      </c>
      <c r="H91" t="s">
        <v>214</v>
      </c>
    </row>
    <row r="92" spans="1:8" x14ac:dyDescent="0.25">
      <c r="A92" t="s">
        <v>213</v>
      </c>
      <c r="B92">
        <v>214903</v>
      </c>
      <c r="G92" t="s">
        <v>214</v>
      </c>
      <c r="H92" t="s">
        <v>214</v>
      </c>
    </row>
    <row r="93" spans="1:8" x14ac:dyDescent="0.25">
      <c r="A93" t="s">
        <v>213</v>
      </c>
      <c r="B93">
        <v>214904</v>
      </c>
      <c r="G93" t="s">
        <v>214</v>
      </c>
      <c r="H93" t="s">
        <v>214</v>
      </c>
    </row>
    <row r="94" spans="1:8" x14ac:dyDescent="0.25">
      <c r="A94" t="s">
        <v>213</v>
      </c>
      <c r="B94">
        <v>214905</v>
      </c>
      <c r="G94" t="s">
        <v>214</v>
      </c>
      <c r="H94" t="s">
        <v>214</v>
      </c>
    </row>
    <row r="95" spans="1:8" x14ac:dyDescent="0.25">
      <c r="A95" t="s">
        <v>213</v>
      </c>
      <c r="B95">
        <v>216145</v>
      </c>
      <c r="G95" t="s">
        <v>214</v>
      </c>
      <c r="H95" t="s">
        <v>214</v>
      </c>
    </row>
    <row r="96" spans="1:8" x14ac:dyDescent="0.25">
      <c r="A96" t="s">
        <v>213</v>
      </c>
      <c r="B96">
        <v>216146</v>
      </c>
      <c r="G96" t="s">
        <v>214</v>
      </c>
      <c r="H96" t="s">
        <v>214</v>
      </c>
    </row>
    <row r="97" spans="1:8" x14ac:dyDescent="0.25">
      <c r="A97" t="s">
        <v>213</v>
      </c>
      <c r="B97">
        <v>216963</v>
      </c>
      <c r="C97">
        <v>1290</v>
      </c>
      <c r="D97" t="s">
        <v>179</v>
      </c>
      <c r="G97">
        <v>1290</v>
      </c>
      <c r="H97" t="s">
        <v>214</v>
      </c>
    </row>
    <row r="98" spans="1:8" x14ac:dyDescent="0.25">
      <c r="A98" t="s">
        <v>213</v>
      </c>
      <c r="B98">
        <v>216964</v>
      </c>
      <c r="C98">
        <v>3490</v>
      </c>
      <c r="D98" t="s">
        <v>179</v>
      </c>
      <c r="G98">
        <v>1290</v>
      </c>
      <c r="H98" t="s">
        <v>214</v>
      </c>
    </row>
    <row r="99" spans="1:8" x14ac:dyDescent="0.25">
      <c r="A99" t="s">
        <v>213</v>
      </c>
      <c r="B99">
        <v>216965</v>
      </c>
      <c r="C99">
        <v>3490</v>
      </c>
      <c r="D99" t="s">
        <v>179</v>
      </c>
      <c r="G99">
        <v>1290</v>
      </c>
      <c r="H99" t="s">
        <v>214</v>
      </c>
    </row>
    <row r="100" spans="1:8" x14ac:dyDescent="0.25">
      <c r="A100" t="s">
        <v>213</v>
      </c>
      <c r="B100">
        <v>216966</v>
      </c>
      <c r="C100">
        <v>3490</v>
      </c>
      <c r="D100" t="s">
        <v>179</v>
      </c>
      <c r="G100">
        <v>1290</v>
      </c>
      <c r="H100" t="s">
        <v>214</v>
      </c>
    </row>
    <row r="101" spans="1:8" x14ac:dyDescent="0.25">
      <c r="A101" t="s">
        <v>213</v>
      </c>
      <c r="B101">
        <v>216967</v>
      </c>
      <c r="C101">
        <v>3490</v>
      </c>
      <c r="D101" t="s">
        <v>179</v>
      </c>
      <c r="G101">
        <v>1290</v>
      </c>
      <c r="H101" t="s">
        <v>214</v>
      </c>
    </row>
    <row r="102" spans="1:8" x14ac:dyDescent="0.25">
      <c r="A102" t="s">
        <v>213</v>
      </c>
      <c r="B102">
        <v>216968</v>
      </c>
      <c r="C102">
        <v>3490</v>
      </c>
      <c r="D102" t="s">
        <v>179</v>
      </c>
      <c r="G102">
        <v>1290</v>
      </c>
      <c r="H102" t="s">
        <v>214</v>
      </c>
    </row>
    <row r="103" spans="1:8" x14ac:dyDescent="0.25">
      <c r="A103" t="s">
        <v>213</v>
      </c>
      <c r="B103">
        <v>216969</v>
      </c>
      <c r="C103">
        <v>3490</v>
      </c>
      <c r="D103" t="s">
        <v>179</v>
      </c>
      <c r="G103">
        <v>1290</v>
      </c>
      <c r="H103" t="s">
        <v>214</v>
      </c>
    </row>
    <row r="104" spans="1:8" x14ac:dyDescent="0.25">
      <c r="A104" t="s">
        <v>213</v>
      </c>
      <c r="B104">
        <v>216970</v>
      </c>
      <c r="C104">
        <v>3490</v>
      </c>
      <c r="D104" t="s">
        <v>179</v>
      </c>
      <c r="G104">
        <v>1290</v>
      </c>
      <c r="H104" t="s">
        <v>214</v>
      </c>
    </row>
    <row r="105" spans="1:8" x14ac:dyDescent="0.25">
      <c r="A105" t="s">
        <v>213</v>
      </c>
      <c r="B105">
        <v>216971</v>
      </c>
      <c r="C105">
        <v>3490</v>
      </c>
      <c r="D105" t="s">
        <v>179</v>
      </c>
      <c r="G105">
        <v>1290</v>
      </c>
      <c r="H105" t="s">
        <v>214</v>
      </c>
    </row>
    <row r="106" spans="1:8" x14ac:dyDescent="0.25">
      <c r="A106" t="s">
        <v>213</v>
      </c>
      <c r="B106">
        <v>216972</v>
      </c>
      <c r="C106">
        <v>3490</v>
      </c>
      <c r="D106" t="s">
        <v>179</v>
      </c>
      <c r="G106">
        <v>1290</v>
      </c>
      <c r="H106" t="s">
        <v>214</v>
      </c>
    </row>
    <row r="107" spans="1:8" x14ac:dyDescent="0.25">
      <c r="A107" t="s">
        <v>213</v>
      </c>
      <c r="B107">
        <v>216973</v>
      </c>
      <c r="C107">
        <v>3490</v>
      </c>
      <c r="D107" t="s">
        <v>179</v>
      </c>
      <c r="G107">
        <v>1290</v>
      </c>
      <c r="H107" t="s">
        <v>214</v>
      </c>
    </row>
    <row r="108" spans="1:8" x14ac:dyDescent="0.25">
      <c r="A108" t="s">
        <v>213</v>
      </c>
      <c r="B108">
        <v>216974</v>
      </c>
      <c r="C108">
        <v>3490</v>
      </c>
      <c r="D108" t="s">
        <v>179</v>
      </c>
      <c r="G108">
        <v>1290</v>
      </c>
      <c r="H108" t="s">
        <v>214</v>
      </c>
    </row>
    <row r="109" spans="1:8" x14ac:dyDescent="0.25">
      <c r="A109" t="s">
        <v>213</v>
      </c>
      <c r="B109">
        <v>216975</v>
      </c>
      <c r="C109">
        <v>3490</v>
      </c>
      <c r="D109" t="s">
        <v>179</v>
      </c>
      <c r="G109">
        <v>1290</v>
      </c>
      <c r="H109" t="s">
        <v>214</v>
      </c>
    </row>
    <row r="110" spans="1:8" x14ac:dyDescent="0.25">
      <c r="A110" t="s">
        <v>213</v>
      </c>
      <c r="B110">
        <v>216976</v>
      </c>
      <c r="C110">
        <v>3490</v>
      </c>
      <c r="D110" t="s">
        <v>179</v>
      </c>
      <c r="G110">
        <v>1290</v>
      </c>
      <c r="H110" t="s">
        <v>214</v>
      </c>
    </row>
    <row r="111" spans="1:8" x14ac:dyDescent="0.25">
      <c r="A111" t="s">
        <v>213</v>
      </c>
      <c r="B111">
        <v>216977</v>
      </c>
      <c r="C111">
        <v>3490</v>
      </c>
      <c r="D111" t="s">
        <v>179</v>
      </c>
      <c r="G111">
        <v>1290</v>
      </c>
      <c r="H111" t="s">
        <v>214</v>
      </c>
    </row>
    <row r="112" spans="1:8" x14ac:dyDescent="0.25">
      <c r="A112" t="s">
        <v>213</v>
      </c>
      <c r="B112">
        <v>216978</v>
      </c>
      <c r="C112">
        <v>3490</v>
      </c>
      <c r="D112" t="s">
        <v>179</v>
      </c>
      <c r="G112">
        <v>1290</v>
      </c>
      <c r="H112" t="s">
        <v>214</v>
      </c>
    </row>
    <row r="113" spans="1:8" x14ac:dyDescent="0.25">
      <c r="A113" t="s">
        <v>213</v>
      </c>
      <c r="B113">
        <v>216979</v>
      </c>
      <c r="C113">
        <v>3490</v>
      </c>
      <c r="D113" t="s">
        <v>179</v>
      </c>
      <c r="G113">
        <v>1290</v>
      </c>
      <c r="H113" t="s">
        <v>214</v>
      </c>
    </row>
    <row r="114" spans="1:8" x14ac:dyDescent="0.25">
      <c r="A114" t="s">
        <v>213</v>
      </c>
      <c r="B114">
        <v>216980</v>
      </c>
      <c r="C114">
        <v>3490</v>
      </c>
      <c r="D114" t="s">
        <v>179</v>
      </c>
      <c r="G114">
        <v>1290</v>
      </c>
      <c r="H114" t="s">
        <v>214</v>
      </c>
    </row>
    <row r="115" spans="1:8" x14ac:dyDescent="0.25">
      <c r="A115" t="s">
        <v>213</v>
      </c>
      <c r="B115">
        <v>216981</v>
      </c>
      <c r="C115">
        <v>3490</v>
      </c>
      <c r="D115" t="s">
        <v>179</v>
      </c>
      <c r="G115">
        <v>1290</v>
      </c>
      <c r="H115" t="s">
        <v>214</v>
      </c>
    </row>
    <row r="116" spans="1:8" x14ac:dyDescent="0.25">
      <c r="A116" t="s">
        <v>213</v>
      </c>
      <c r="B116">
        <v>216982</v>
      </c>
      <c r="C116">
        <v>3490</v>
      </c>
      <c r="D116" t="s">
        <v>179</v>
      </c>
      <c r="G116">
        <v>1290</v>
      </c>
      <c r="H116" t="s">
        <v>214</v>
      </c>
    </row>
    <row r="117" spans="1:8" x14ac:dyDescent="0.25">
      <c r="A117" t="s">
        <v>213</v>
      </c>
      <c r="B117">
        <v>216983</v>
      </c>
      <c r="C117">
        <v>3490</v>
      </c>
      <c r="D117" t="s">
        <v>179</v>
      </c>
      <c r="G117">
        <v>1290</v>
      </c>
      <c r="H117" t="s">
        <v>214</v>
      </c>
    </row>
    <row r="118" spans="1:8" x14ac:dyDescent="0.25">
      <c r="A118" t="s">
        <v>213</v>
      </c>
      <c r="B118">
        <v>216984</v>
      </c>
      <c r="C118">
        <v>3490</v>
      </c>
      <c r="D118" t="s">
        <v>179</v>
      </c>
      <c r="G118">
        <v>1290</v>
      </c>
      <c r="H118" t="s">
        <v>214</v>
      </c>
    </row>
    <row r="119" spans="1:8" x14ac:dyDescent="0.25">
      <c r="A119" t="s">
        <v>213</v>
      </c>
      <c r="B119">
        <v>216985</v>
      </c>
      <c r="C119">
        <v>3490</v>
      </c>
      <c r="D119" t="s">
        <v>179</v>
      </c>
      <c r="G119">
        <v>1290</v>
      </c>
      <c r="H119" t="s">
        <v>214</v>
      </c>
    </row>
    <row r="120" spans="1:8" x14ac:dyDescent="0.25">
      <c r="A120" t="s">
        <v>213</v>
      </c>
      <c r="B120">
        <v>216986</v>
      </c>
      <c r="C120">
        <v>3490</v>
      </c>
      <c r="D120" t="s">
        <v>179</v>
      </c>
      <c r="G120">
        <v>1290</v>
      </c>
      <c r="H120" t="s">
        <v>214</v>
      </c>
    </row>
    <row r="121" spans="1:8" x14ac:dyDescent="0.25">
      <c r="A121" t="s">
        <v>213</v>
      </c>
      <c r="B121">
        <v>216987</v>
      </c>
      <c r="C121">
        <v>3490</v>
      </c>
      <c r="D121" t="s">
        <v>179</v>
      </c>
      <c r="G121">
        <v>1290</v>
      </c>
      <c r="H121" t="s">
        <v>214</v>
      </c>
    </row>
    <row r="122" spans="1:8" x14ac:dyDescent="0.25">
      <c r="A122" t="s">
        <v>213</v>
      </c>
      <c r="B122">
        <v>216988</v>
      </c>
      <c r="C122">
        <v>3490</v>
      </c>
      <c r="D122" t="s">
        <v>179</v>
      </c>
      <c r="G122">
        <v>1290</v>
      </c>
      <c r="H122" t="s">
        <v>214</v>
      </c>
    </row>
    <row r="123" spans="1:8" x14ac:dyDescent="0.25">
      <c r="A123" t="s">
        <v>213</v>
      </c>
      <c r="B123">
        <v>216989</v>
      </c>
      <c r="C123">
        <v>3490</v>
      </c>
      <c r="D123" t="s">
        <v>179</v>
      </c>
      <c r="G123">
        <v>1290</v>
      </c>
      <c r="H123" t="s">
        <v>214</v>
      </c>
    </row>
    <row r="124" spans="1:8" x14ac:dyDescent="0.25">
      <c r="A124" t="s">
        <v>213</v>
      </c>
      <c r="B124">
        <v>216990</v>
      </c>
      <c r="C124">
        <v>3490</v>
      </c>
      <c r="D124" t="s">
        <v>179</v>
      </c>
      <c r="G124">
        <v>1290</v>
      </c>
      <c r="H124" t="s">
        <v>214</v>
      </c>
    </row>
    <row r="125" spans="1:8" x14ac:dyDescent="0.25">
      <c r="A125" t="s">
        <v>213</v>
      </c>
      <c r="B125">
        <v>216991</v>
      </c>
      <c r="C125">
        <v>3490</v>
      </c>
      <c r="D125" t="s">
        <v>179</v>
      </c>
      <c r="G125">
        <v>1290</v>
      </c>
      <c r="H125" t="s">
        <v>214</v>
      </c>
    </row>
    <row r="126" spans="1:8" x14ac:dyDescent="0.25">
      <c r="A126" t="s">
        <v>213</v>
      </c>
      <c r="B126">
        <v>216992</v>
      </c>
      <c r="C126">
        <v>3490</v>
      </c>
      <c r="D126" t="s">
        <v>179</v>
      </c>
      <c r="G126">
        <v>1290</v>
      </c>
      <c r="H126" t="s">
        <v>214</v>
      </c>
    </row>
    <row r="127" spans="1:8" x14ac:dyDescent="0.25">
      <c r="A127" t="s">
        <v>213</v>
      </c>
      <c r="B127">
        <v>216993</v>
      </c>
      <c r="C127">
        <v>3490</v>
      </c>
      <c r="D127" t="s">
        <v>179</v>
      </c>
      <c r="G127">
        <v>1290</v>
      </c>
      <c r="H127" t="s">
        <v>214</v>
      </c>
    </row>
    <row r="128" spans="1:8" x14ac:dyDescent="0.25">
      <c r="A128" t="s">
        <v>213</v>
      </c>
      <c r="B128">
        <v>216994</v>
      </c>
      <c r="C128">
        <v>3490</v>
      </c>
      <c r="D128" t="s">
        <v>179</v>
      </c>
      <c r="G128">
        <v>1290</v>
      </c>
      <c r="H128" t="s">
        <v>214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84317F-9A13-4F1A-A047-C1CFBA4FE0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  <vt:lpstr>Кат!_ФильтрБазыДанных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User947</dc:creator>
  <cp:lastModifiedBy>Snab TimeTurbo</cp:lastModifiedBy>
  <dcterms:created xsi:type="dcterms:W3CDTF">2015-06-05T18:19:34Z</dcterms:created>
  <dcterms:modified xsi:type="dcterms:W3CDTF">2024-07-10T10:00:10Z</dcterms:modified>
</cp:coreProperties>
</file>