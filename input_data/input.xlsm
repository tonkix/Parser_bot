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filterPrivacy="1"/>
  <xr:revisionPtr revIDLastSave="0" documentId="13_ncr:1_{C3F7D0A4-A73F-4431-8CA6-AE695C88A26C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рдан" sheetId="3" r:id="rId1"/>
    <sheet name="Кардан Выгр Кат" sheetId="1" r:id="rId2"/>
    <sheet name="Генераторы" sheetId="5" r:id="rId3"/>
    <sheet name="Генер Выгр Кат" sheetId="6" r:id="rId4"/>
    <sheet name="Парсинг" sheetId="4" r:id="rId5"/>
    <sheet name="ссылки" sheetId="7" r:id="rId6"/>
  </sheets>
  <definedNames>
    <definedName name="_xlnm._FilterDatabase" localSheetId="2" hidden="1">Генераторы!$A$2:$X$2</definedName>
    <definedName name="_xlnm._FilterDatabase" localSheetId="0" hidden="1">Кардан!$A$2:$T$21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1" i="5" l="1"/>
  <c r="V9" i="5"/>
  <c r="K21" i="3"/>
  <c r="J21" i="3" s="1"/>
  <c r="K20" i="3"/>
  <c r="J20" i="3" s="1"/>
  <c r="K19" i="3"/>
  <c r="J19" i="3" s="1"/>
  <c r="K18" i="3"/>
  <c r="J18" i="3" s="1"/>
  <c r="K17" i="3"/>
  <c r="J17" i="3" s="1"/>
  <c r="K16" i="3"/>
  <c r="J16" i="3" s="1"/>
  <c r="K15" i="3"/>
  <c r="J15" i="3" s="1"/>
  <c r="K14" i="3"/>
  <c r="J14" i="3" s="1"/>
  <c r="K13" i="3"/>
  <c r="J13" i="3" s="1"/>
  <c r="K12" i="3"/>
  <c r="J12" i="3" s="1"/>
  <c r="K11" i="3"/>
  <c r="J11" i="3" s="1"/>
  <c r="K10" i="3"/>
  <c r="J10" i="3" s="1"/>
  <c r="K9" i="3"/>
  <c r="J9" i="3" s="1"/>
  <c r="K8" i="3"/>
  <c r="J8" i="3" s="1"/>
  <c r="K7" i="3"/>
  <c r="J7" i="3" s="1"/>
  <c r="K6" i="3"/>
  <c r="J6" i="3" s="1"/>
  <c r="K5" i="3"/>
  <c r="J5" i="3" s="1"/>
  <c r="K4" i="3"/>
  <c r="J4" i="3" s="1"/>
  <c r="S12" i="5"/>
  <c r="S11" i="5"/>
  <c r="S10" i="5"/>
  <c r="S9" i="5"/>
  <c r="S8" i="5"/>
  <c r="S7" i="5"/>
  <c r="S6" i="5"/>
  <c r="S5" i="5"/>
  <c r="S4" i="5"/>
  <c r="S3" i="5"/>
  <c r="O12" i="5" l="1"/>
  <c r="O11" i="5"/>
  <c r="O10" i="5"/>
  <c r="O9" i="5"/>
  <c r="O8" i="5"/>
  <c r="O7" i="5"/>
  <c r="O6" i="5"/>
  <c r="O5" i="5"/>
  <c r="O4" i="5"/>
  <c r="O3" i="5"/>
  <c r="L12" i="5"/>
  <c r="L11" i="5"/>
  <c r="L10" i="5"/>
  <c r="L9" i="5"/>
  <c r="L8" i="5"/>
  <c r="L7" i="5"/>
  <c r="L6" i="5"/>
  <c r="L5" i="5"/>
  <c r="L4" i="5"/>
  <c r="L3" i="5"/>
  <c r="I12" i="5"/>
  <c r="I11" i="5"/>
  <c r="I9" i="5"/>
  <c r="I7" i="5"/>
  <c r="I5" i="5"/>
  <c r="I3" i="5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B3" i="5"/>
  <c r="C3" i="5"/>
  <c r="D3" i="5"/>
  <c r="E3" i="5"/>
  <c r="F3" i="5"/>
  <c r="G3" i="5"/>
  <c r="V3" i="5"/>
  <c r="W3" i="5" s="1"/>
  <c r="B4" i="5"/>
  <c r="C4" i="5"/>
  <c r="D4" i="5"/>
  <c r="N3" i="6" s="1"/>
  <c r="E4" i="5"/>
  <c r="F4" i="5"/>
  <c r="G4" i="5"/>
  <c r="V4" i="5"/>
  <c r="W4" i="5" s="1"/>
  <c r="B5" i="5"/>
  <c r="C5" i="5"/>
  <c r="D5" i="5"/>
  <c r="N4" i="6" s="1"/>
  <c r="E5" i="5"/>
  <c r="F5" i="5"/>
  <c r="G5" i="5"/>
  <c r="V5" i="5"/>
  <c r="W5" i="5" s="1"/>
  <c r="B6" i="5"/>
  <c r="C6" i="5"/>
  <c r="D6" i="5"/>
  <c r="N5" i="6" s="1"/>
  <c r="E6" i="5"/>
  <c r="F6" i="5"/>
  <c r="G6" i="5"/>
  <c r="V6" i="5"/>
  <c r="W6" i="5" s="1"/>
  <c r="B7" i="5"/>
  <c r="C7" i="5"/>
  <c r="D7" i="5"/>
  <c r="N6" i="6" s="1"/>
  <c r="E7" i="5"/>
  <c r="F7" i="5"/>
  <c r="G7" i="5"/>
  <c r="V7" i="5"/>
  <c r="W7" i="5" s="1"/>
  <c r="B8" i="5"/>
  <c r="C8" i="5"/>
  <c r="D8" i="5"/>
  <c r="N7" i="6" s="1"/>
  <c r="E8" i="5"/>
  <c r="F8" i="5"/>
  <c r="G8" i="5"/>
  <c r="V8" i="5"/>
  <c r="W8" i="5" s="1"/>
  <c r="B9" i="5"/>
  <c r="C9" i="5"/>
  <c r="D9" i="5"/>
  <c r="N8" i="6" s="1"/>
  <c r="E9" i="5"/>
  <c r="F9" i="5"/>
  <c r="G9" i="5"/>
  <c r="B10" i="5"/>
  <c r="C10" i="5"/>
  <c r="D10" i="5"/>
  <c r="N9" i="6" s="1"/>
  <c r="E10" i="5"/>
  <c r="F10" i="5"/>
  <c r="G10" i="5"/>
  <c r="V10" i="5"/>
  <c r="W10" i="5" s="1"/>
  <c r="B11" i="5"/>
  <c r="C11" i="5"/>
  <c r="D11" i="5"/>
  <c r="N10" i="6" s="1"/>
  <c r="E11" i="5"/>
  <c r="F11" i="5"/>
  <c r="W11" i="5" s="1"/>
  <c r="G11" i="5"/>
  <c r="B12" i="5"/>
  <c r="C12" i="5"/>
  <c r="D12" i="5"/>
  <c r="N11" i="6" s="1"/>
  <c r="E12" i="5"/>
  <c r="F12" i="5"/>
  <c r="G12" i="5"/>
  <c r="V12" i="5"/>
  <c r="W12" i="5" s="1"/>
  <c r="V15" i="5"/>
  <c r="K3" i="3"/>
  <c r="S17" i="3"/>
  <c r="S18" i="3"/>
  <c r="S20" i="3"/>
  <c r="S21" i="3"/>
  <c r="S11" i="3"/>
  <c r="S10" i="3"/>
  <c r="S9" i="3"/>
  <c r="S8" i="3"/>
  <c r="S7" i="3"/>
  <c r="S6" i="3"/>
  <c r="S3" i="3"/>
  <c r="P3" i="3"/>
  <c r="P7" i="3"/>
  <c r="P8" i="3"/>
  <c r="P9" i="3"/>
  <c r="P10" i="3"/>
  <c r="P12" i="3"/>
  <c r="P14" i="3"/>
  <c r="P15" i="3"/>
  <c r="P17" i="3"/>
  <c r="P18" i="3"/>
  <c r="P20" i="3"/>
  <c r="P21" i="3"/>
  <c r="M18" i="3"/>
  <c r="M16" i="3"/>
  <c r="M15" i="3"/>
  <c r="M14" i="3"/>
  <c r="M13" i="3"/>
  <c r="M12" i="3"/>
  <c r="M11" i="3"/>
  <c r="M10" i="3"/>
  <c r="M9" i="3"/>
  <c r="M8" i="3"/>
  <c r="M7" i="3"/>
  <c r="M6" i="3"/>
  <c r="M3" i="3"/>
  <c r="N2" i="6" l="1"/>
  <c r="W9" i="5"/>
  <c r="X9" i="5" s="1"/>
  <c r="Y3" i="5"/>
  <c r="Y10" i="5"/>
  <c r="X10" i="5"/>
  <c r="X3" i="5"/>
  <c r="Y4" i="5"/>
  <c r="X4" i="5"/>
  <c r="X8" i="5"/>
  <c r="X7" i="5"/>
  <c r="Y7" i="5"/>
  <c r="X11" i="5"/>
  <c r="Y11" i="5"/>
  <c r="Y5" i="5"/>
  <c r="X5" i="5"/>
  <c r="X12" i="5"/>
  <c r="Y12" i="5"/>
  <c r="X6" i="5"/>
  <c r="Y6" i="5"/>
  <c r="Y8" i="5"/>
  <c r="J3" i="3"/>
  <c r="H10" i="3"/>
  <c r="G10" i="3"/>
  <c r="B4" i="3"/>
  <c r="C4" i="3"/>
  <c r="D4" i="3"/>
  <c r="E4" i="3"/>
  <c r="B5" i="3"/>
  <c r="C5" i="3"/>
  <c r="D5" i="3"/>
  <c r="E5" i="3"/>
  <c r="B6" i="3"/>
  <c r="C6" i="3"/>
  <c r="D6" i="3"/>
  <c r="E6" i="3"/>
  <c r="B7" i="3"/>
  <c r="C7" i="3"/>
  <c r="D7" i="3"/>
  <c r="E7" i="3"/>
  <c r="B8" i="3"/>
  <c r="C8" i="3"/>
  <c r="D8" i="3"/>
  <c r="E8" i="3"/>
  <c r="B9" i="3"/>
  <c r="C9" i="3"/>
  <c r="D9" i="3"/>
  <c r="E9" i="3"/>
  <c r="B10" i="3"/>
  <c r="C10" i="3"/>
  <c r="D10" i="3"/>
  <c r="E10" i="3"/>
  <c r="B11" i="3"/>
  <c r="C11" i="3"/>
  <c r="D11" i="3"/>
  <c r="E11" i="3"/>
  <c r="B12" i="3"/>
  <c r="C12" i="3"/>
  <c r="D12" i="3"/>
  <c r="E12" i="3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G4" i="3"/>
  <c r="I4" i="3" s="1"/>
  <c r="H4" i="3"/>
  <c r="G5" i="3"/>
  <c r="I5" i="3" s="1"/>
  <c r="H5" i="3"/>
  <c r="G6" i="3"/>
  <c r="H6" i="3"/>
  <c r="G7" i="3"/>
  <c r="H7" i="3"/>
  <c r="G8" i="3"/>
  <c r="H8" i="3"/>
  <c r="G9" i="3"/>
  <c r="I9" i="3" s="1"/>
  <c r="H9" i="3"/>
  <c r="G11" i="3"/>
  <c r="H11" i="3"/>
  <c r="G12" i="3"/>
  <c r="H12" i="3"/>
  <c r="G13" i="3"/>
  <c r="H13" i="3"/>
  <c r="G14" i="3"/>
  <c r="H14" i="3"/>
  <c r="G15" i="3"/>
  <c r="H15" i="3"/>
  <c r="G16" i="3"/>
  <c r="I16" i="3" s="1"/>
  <c r="H16" i="3"/>
  <c r="G17" i="3"/>
  <c r="H17" i="3"/>
  <c r="G18" i="3"/>
  <c r="H18" i="3"/>
  <c r="G19" i="3"/>
  <c r="I19" i="3" s="1"/>
  <c r="H19" i="3"/>
  <c r="G20" i="3"/>
  <c r="H20" i="3"/>
  <c r="G21" i="3"/>
  <c r="H21" i="3"/>
  <c r="H3" i="3"/>
  <c r="G3" i="3"/>
  <c r="E3" i="3"/>
  <c r="D3" i="3"/>
  <c r="B3" i="3"/>
  <c r="C3" i="3"/>
  <c r="Y9" i="5" l="1"/>
  <c r="I11" i="3"/>
  <c r="I8" i="3"/>
  <c r="I10" i="3"/>
  <c r="I7" i="3"/>
  <c r="I21" i="3"/>
  <c r="I6" i="3"/>
  <c r="I20" i="3"/>
  <c r="I3" i="3"/>
  <c r="I18" i="3"/>
  <c r="I17" i="3"/>
  <c r="I15" i="3"/>
  <c r="I14" i="3"/>
  <c r="I13" i="3"/>
  <c r="I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K3" authorId="0" shapeId="0" xr:uid="{A00583C8-C828-459E-B970-6E9D3772C67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8185</t>
        </r>
      </text>
    </comment>
    <comment ref="N3" authorId="0" shapeId="0" xr:uid="{3BE33B79-3FD0-437A-AA65-3D7D9432A54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7675</t>
        </r>
      </text>
    </comment>
    <comment ref="Q3" authorId="0" shapeId="0" xr:uid="{7EF3CEEE-B1EC-463A-A1C5-BEFA2CDC8F7A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8131</t>
        </r>
      </text>
    </comment>
    <comment ref="U3" authorId="0" shapeId="0" xr:uid="{62EC3638-FC4B-4A0C-A47C-4B28AF9269F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7941</t>
        </r>
      </text>
    </comment>
    <comment ref="K4" authorId="0" shapeId="0" xr:uid="{AD3B2794-479F-43A5-A694-7A96173BF0A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8069</t>
        </r>
      </text>
    </comment>
    <comment ref="N4" authorId="0" shapeId="0" xr:uid="{180AA863-8EE9-4CBD-BADE-43D663B87A2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8225</t>
        </r>
      </text>
    </comment>
    <comment ref="Q4" authorId="0" shapeId="0" xr:uid="{D085A481-180A-4BB2-990C-9FA54EC7E92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8716</t>
        </r>
      </text>
    </comment>
    <comment ref="U4" authorId="0" shapeId="0" xr:uid="{C0FF3279-9907-46C6-80EA-AA97371A2C9A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7405</t>
        </r>
      </text>
    </comment>
    <comment ref="K5" authorId="0" shapeId="0" xr:uid="{0747B75F-CF37-494C-AE18-504801B2F5A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9424</t>
        </r>
      </text>
    </comment>
    <comment ref="N5" authorId="0" shapeId="0" xr:uid="{15EE3BE1-B43E-4DE8-BF6C-5D4E501D39B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8255</t>
        </r>
      </text>
    </comment>
    <comment ref="Q5" authorId="0" shapeId="0" xr:uid="{F1F86CCC-E9A2-40F7-96BC-1DD7FB21D0E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8719</t>
        </r>
      </text>
    </comment>
    <comment ref="U5" authorId="0" shapeId="0" xr:uid="{6FB79C75-07DC-4F04-ACE9-D85E88DA303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9462</t>
        </r>
      </text>
    </comment>
    <comment ref="K6" authorId="0" shapeId="0" xr:uid="{18DEABFC-D5AF-4889-96D8-783E0347B13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8859</t>
        </r>
      </text>
    </comment>
    <comment ref="N6" authorId="0" shapeId="0" xr:uid="{0BE3B39C-E99D-436D-865E-153FEA7A7C1F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9220</t>
        </r>
      </text>
    </comment>
    <comment ref="Q6" authorId="0" shapeId="0" xr:uid="{06121BF9-7150-49A9-B8DB-BA38D751D27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9684</t>
        </r>
      </text>
    </comment>
    <comment ref="U6" authorId="0" shapeId="0" xr:uid="{DAB424D1-C147-4789-B91A-956550FF910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9517</t>
        </r>
      </text>
    </comment>
    <comment ref="K7" authorId="0" shapeId="0" xr:uid="{0D39535C-4527-4DE7-BD13-1B0F08A58F5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8553</t>
        </r>
      </text>
    </comment>
    <comment ref="N7" authorId="0" shapeId="0" xr:uid="{1426A0F0-6A86-45CF-98EC-5B95B5DE63B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8940</t>
        </r>
      </text>
    </comment>
    <comment ref="Q7" authorId="0" shapeId="0" xr:uid="{D271C6ED-9BEF-4923-A800-FF8C4EC6079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9317</t>
        </r>
      </text>
    </comment>
    <comment ref="U7" authorId="0" shapeId="0" xr:uid="{E33C6F9B-D2D9-44A0-899D-FF64AB0AE64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9097</t>
        </r>
      </text>
    </comment>
    <comment ref="N8" authorId="0" shapeId="0" xr:uid="{5DE076A2-6752-4AAC-8986-D0A6F02832F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9270</t>
        </r>
      </text>
    </comment>
    <comment ref="Q8" authorId="0" shapeId="0" xr:uid="{A1A8CE81-AC0E-42AF-B36F-8BFAE1066AD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9642</t>
        </r>
      </text>
    </comment>
    <comment ref="U8" authorId="0" shapeId="0" xr:uid="{4E5C8140-28BF-45D1-A889-0A8F71D6E3B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10067</t>
        </r>
      </text>
    </comment>
    <comment ref="K9" authorId="0" shapeId="0" xr:uid="{6C771B28-FADA-4A3C-8A07-2F44F7E5EEDF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8635</t>
        </r>
      </text>
    </comment>
    <comment ref="N9" authorId="0" shapeId="0" xr:uid="{CBFEB1AA-2C64-4EA2-9AC9-D9F93C98301A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7635</t>
        </r>
      </text>
    </comment>
    <comment ref="Q9" authorId="0" shapeId="0" xr:uid="{F84315CD-9801-45C8-BBB8-59454861BAFF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7976</t>
        </r>
      </text>
    </comment>
    <comment ref="U9" authorId="0" shapeId="0" xr:uid="{C27F012B-5FC3-43C4-A89C-C01BDC115B5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6361</t>
        </r>
      </text>
    </comment>
    <comment ref="N10" authorId="0" shapeId="0" xr:uid="{F04EAE51-E34A-454F-805F-AF6EDBAA2CA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8255</t>
        </r>
      </text>
    </comment>
    <comment ref="Q10" authorId="0" shapeId="0" xr:uid="{3A2DA925-A576-4CC5-9100-299352323DB6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8104</t>
        </r>
      </text>
    </comment>
    <comment ref="U10" authorId="0" shapeId="0" xr:uid="{6674537D-EFD7-406E-B355-97A7775C9E6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9895</t>
        </r>
      </text>
    </comment>
    <comment ref="K11" authorId="0" shapeId="0" xr:uid="{7974FAB3-D496-4CCC-99AE-22081B6FFCB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8095</t>
        </r>
      </text>
    </comment>
    <comment ref="N11" authorId="0" shapeId="0" xr:uid="{F377422F-F079-4C9E-867D-4170C889660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7160</t>
        </r>
      </text>
    </comment>
    <comment ref="Q11" authorId="0" shapeId="0" xr:uid="{D0CA58AF-1793-4BE5-88E5-C5DC831C8A8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7612</t>
        </r>
      </text>
    </comment>
    <comment ref="U11" authorId="0" shapeId="0" xr:uid="{51A17B60-A8E4-4335-BB73-9F06616786D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6361</t>
        </r>
      </text>
    </comment>
    <comment ref="K12" authorId="0" shapeId="0" xr:uid="{F0E875B8-9189-44B5-8048-3B120214B8C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9115</t>
        </r>
      </text>
    </comment>
    <comment ref="N12" authorId="0" shapeId="0" xr:uid="{5B6CB7DE-2EFD-4CC6-A374-AACAED2BC05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8060</t>
        </r>
      </text>
    </comment>
    <comment ref="Q12" authorId="0" shapeId="0" xr:uid="{0D513176-9230-4554-BE34-7A5ABF03415A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8524</t>
        </r>
      </text>
    </comment>
    <comment ref="U12" authorId="0" shapeId="0" xr:uid="{0C929F45-0E2C-4A19-9862-38B9CB35696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7941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24" authorId="0" shapeId="0" xr:uid="{F62E6DBA-CF22-4ACA-B335-38EC3BD28C5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8185</t>
        </r>
      </text>
    </comment>
    <comment ref="C24" authorId="0" shapeId="0" xr:uid="{D515ED79-BB8C-4D6E-8BD4-A009F71E96F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7675</t>
        </r>
      </text>
    </comment>
    <comment ref="D24" authorId="0" shapeId="0" xr:uid="{CE815155-8594-46B3-A49D-8D532DB6012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8131</t>
        </r>
      </text>
    </comment>
    <comment ref="E24" authorId="0" shapeId="0" xr:uid="{38E10CB9-3E51-4C7B-ABA3-B9B7223909F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7941</t>
        </r>
      </text>
    </comment>
    <comment ref="B25" authorId="0" shapeId="0" xr:uid="{376F0E19-4572-4160-A836-13AC3609A2D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8069</t>
        </r>
      </text>
    </comment>
    <comment ref="C25" authorId="0" shapeId="0" xr:uid="{FE830695-D045-4BDE-AA67-D0A3456D216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8225</t>
        </r>
      </text>
    </comment>
    <comment ref="D25" authorId="0" shapeId="0" xr:uid="{0366630A-0EC1-41CA-B0B7-D831AC48E429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8716</t>
        </r>
      </text>
    </comment>
    <comment ref="E25" authorId="0" shapeId="0" xr:uid="{63F7C16B-73B3-4026-84EC-8A44DEA2282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7405</t>
        </r>
      </text>
    </comment>
    <comment ref="B26" authorId="0" shapeId="0" xr:uid="{7AE3BBF9-A6E0-449B-8FB1-DF1536061AB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9424</t>
        </r>
      </text>
    </comment>
    <comment ref="C26" authorId="0" shapeId="0" xr:uid="{52EC452D-C2D9-4B2C-91D2-9A934FCF5B7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8255</t>
        </r>
      </text>
    </comment>
    <comment ref="D26" authorId="0" shapeId="0" xr:uid="{74B7B38C-C67D-470E-B10C-3D9446403AE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8719</t>
        </r>
      </text>
    </comment>
    <comment ref="E26" authorId="0" shapeId="0" xr:uid="{9F877C08-741C-49F3-ACDA-7949783A305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9462</t>
        </r>
      </text>
    </comment>
    <comment ref="B27" authorId="0" shapeId="0" xr:uid="{20C5A8ED-F443-4ACA-AD28-EA531A4F523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8859</t>
        </r>
      </text>
    </comment>
    <comment ref="C27" authorId="0" shapeId="0" xr:uid="{D09AE976-3D51-45AB-A42C-AEAAE0C93D7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9220</t>
        </r>
      </text>
    </comment>
    <comment ref="D27" authorId="0" shapeId="0" xr:uid="{6EE20C3C-75D6-4E81-9117-98EFC9987C99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9684</t>
        </r>
      </text>
    </comment>
    <comment ref="E27" authorId="0" shapeId="0" xr:uid="{876BC2A5-788F-46D0-B7B8-E961AA3C7006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9517</t>
        </r>
      </text>
    </comment>
    <comment ref="B28" authorId="0" shapeId="0" xr:uid="{C81E076C-6553-4E0C-A156-776579C1497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8553</t>
        </r>
      </text>
    </comment>
    <comment ref="C28" authorId="0" shapeId="0" xr:uid="{B676EBC4-CDB9-43DF-B0BF-322E5692A1F6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8940</t>
        </r>
      </text>
    </comment>
    <comment ref="D28" authorId="0" shapeId="0" xr:uid="{B21F9C13-CA45-4460-B178-67BB9B0BFDE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9317</t>
        </r>
      </text>
    </comment>
    <comment ref="E28" authorId="0" shapeId="0" xr:uid="{0FA9528E-C1B6-4DB2-81BC-47E36CFFE7E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9097</t>
        </r>
      </text>
    </comment>
    <comment ref="C29" authorId="0" shapeId="0" xr:uid="{DE593128-1E89-4DB5-BE6D-DC413F1CB76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9270</t>
        </r>
      </text>
    </comment>
    <comment ref="D29" authorId="0" shapeId="0" xr:uid="{E3DDA17B-8189-4A1B-AF0E-13460E98116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9642</t>
        </r>
      </text>
    </comment>
    <comment ref="E29" authorId="0" shapeId="0" xr:uid="{0C6CDF0C-F512-4B63-B357-AD4789B0BA36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10067</t>
        </r>
      </text>
    </comment>
    <comment ref="B30" authorId="0" shapeId="0" xr:uid="{028B6CEF-C20E-415E-9134-11B73C1F464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8635</t>
        </r>
      </text>
    </comment>
    <comment ref="C30" authorId="0" shapeId="0" xr:uid="{E914143A-35A0-42AF-BEFB-D164C630C282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7635</t>
        </r>
      </text>
    </comment>
    <comment ref="D30" authorId="0" shapeId="0" xr:uid="{37F8B679-AD1C-45FC-A242-A0FD466374D9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7976</t>
        </r>
      </text>
    </comment>
    <comment ref="E30" authorId="0" shapeId="0" xr:uid="{1027A607-C8CC-422D-B112-EA8B29DB0B5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6361</t>
        </r>
      </text>
    </comment>
    <comment ref="C31" authorId="0" shapeId="0" xr:uid="{169554C4-6626-4C73-97CA-0DF7BB9F99B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8255</t>
        </r>
      </text>
    </comment>
    <comment ref="D31" authorId="0" shapeId="0" xr:uid="{826F4EDC-86D4-4B13-BEB1-872CCB46064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8104</t>
        </r>
      </text>
    </comment>
    <comment ref="E31" authorId="0" shapeId="0" xr:uid="{6E69E8EC-E1E9-4C3A-9121-FBCA2A9A2D7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9895</t>
        </r>
      </text>
    </comment>
    <comment ref="B32" authorId="0" shapeId="0" xr:uid="{0A4CEE56-A53F-4C16-8FC9-7D92354AF41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8095</t>
        </r>
      </text>
    </comment>
    <comment ref="C32" authorId="0" shapeId="0" xr:uid="{47FEB46F-375A-42A2-BF08-067A3CDDA32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7160</t>
        </r>
      </text>
    </comment>
    <comment ref="D32" authorId="0" shapeId="0" xr:uid="{5262FCBB-0ADA-4F35-8002-E7A595A8F026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7612</t>
        </r>
      </text>
    </comment>
    <comment ref="E32" authorId="0" shapeId="0" xr:uid="{FB349A88-EC9F-4548-90E6-1D735411134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6361</t>
        </r>
      </text>
    </comment>
    <comment ref="B33" authorId="0" shapeId="0" xr:uid="{1993FAAE-64F8-49B2-91F2-7ED3DBF36FE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9115</t>
        </r>
      </text>
    </comment>
    <comment ref="C33" authorId="0" shapeId="0" xr:uid="{3EB27202-0537-4CCF-9A88-763D9F521376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8060</t>
        </r>
      </text>
    </comment>
    <comment ref="D33" authorId="0" shapeId="0" xr:uid="{C266C79D-23C0-4B4F-9F80-DC69B4A183F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8524</t>
        </r>
      </text>
    </comment>
    <comment ref="E33" authorId="0" shapeId="0" xr:uid="{77A2587C-53E5-4961-ADC1-2D39BD0EBAB9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7941</t>
        </r>
      </text>
    </comment>
  </commentList>
</comments>
</file>

<file path=xl/sharedStrings.xml><?xml version="1.0" encoding="utf-8"?>
<sst xmlns="http://schemas.openxmlformats.org/spreadsheetml/2006/main" count="557" uniqueCount="241">
  <si>
    <t>ID</t>
  </si>
  <si>
    <t>Код</t>
  </si>
  <si>
    <t>Наименование элемента</t>
  </si>
  <si>
    <t>Y / N</t>
  </si>
  <si>
    <t>Каталожный номер</t>
  </si>
  <si>
    <t>Артикул поставщика</t>
  </si>
  <si>
    <t>Поставщик</t>
  </si>
  <si>
    <t>Закуп</t>
  </si>
  <si>
    <t>Розница</t>
  </si>
  <si>
    <t>Ссылка на конкурентов</t>
  </si>
  <si>
    <t>Кол-во</t>
  </si>
  <si>
    <t>Под заказ</t>
  </si>
  <si>
    <t>Y</t>
  </si>
  <si>
    <t>21050220001202</t>
  </si>
  <si>
    <t>стандарт</t>
  </si>
  <si>
    <t>1</t>
  </si>
  <si>
    <t>21050220001280</t>
  </si>
  <si>
    <t>21050220001201</t>
  </si>
  <si>
    <t>21310220101020</t>
  </si>
  <si>
    <t>21310220101010</t>
  </si>
  <si>
    <t>21214220101200</t>
  </si>
  <si>
    <t>21214-2201012-00</t>
  </si>
  <si>
    <t>https://motorring.ru/product/933</t>
  </si>
  <si>
    <t>21214220101210</t>
  </si>
  <si>
    <t>21214-2201012-10</t>
  </si>
  <si>
    <t>https://motorring.ru/product/10313-val-kardannyy-zadniy-2121-214-krestovine-lada-4h4-niva</t>
  </si>
  <si>
    <t>21214220301200</t>
  </si>
  <si>
    <t>21214-2203012-00</t>
  </si>
  <si>
    <t>https://motorring.ru/product/929</t>
  </si>
  <si>
    <t>21214220301210</t>
  </si>
  <si>
    <t>21214-2203012-10</t>
  </si>
  <si>
    <t>https://motorring.ru/product/10314-kardannyy-val-peredniy-krestovine-syzrany-lada-niva</t>
  </si>
  <si>
    <t>21050220001200</t>
  </si>
  <si>
    <t>21214220101211</t>
  </si>
  <si>
    <t>21230220101211</t>
  </si>
  <si>
    <t>21214220301211</t>
  </si>
  <si>
    <t>21230220201003</t>
  </si>
  <si>
    <t>21211220202501</t>
  </si>
  <si>
    <t>21211220202500</t>
  </si>
  <si>
    <t>21211-2202025-00</t>
  </si>
  <si>
    <t>21050220202500</t>
  </si>
  <si>
    <t>2105-2202025-00</t>
  </si>
  <si>
    <t>https://motorring.ru/product/924-krestovina-kardannogo-vala-sbore-vaz-2101-2107</t>
  </si>
  <si>
    <t>21214220116800</t>
  </si>
  <si>
    <t>21310220101000</t>
  </si>
  <si>
    <t>РС2</t>
  </si>
  <si>
    <t>4</t>
  </si>
  <si>
    <t>РС3</t>
  </si>
  <si>
    <t>21214220116000</t>
  </si>
  <si>
    <t>21010220202300</t>
  </si>
  <si>
    <t>Наименование</t>
  </si>
  <si>
    <t>Кат. Номер</t>
  </si>
  <si>
    <t>MR</t>
  </si>
  <si>
    <t>https://motorring.ru/product/40055-val-kardannyy-usilenniy-sbore-vaz-2104-2105-2107</t>
  </si>
  <si>
    <t>https://motorring.ru/product/17238-val-kardannyy-sbore-shrus-lada-niva-4h4-5-dverey</t>
  </si>
  <si>
    <t>https://motorring.ru/product/921-val-kardannyy-sbore-vaz-2104-2105-2107</t>
  </si>
  <si>
    <t>https://motorring.ru/product/40057-val-kardannyy-zadniy-2121-214-gofra-lada-4h4-niva</t>
  </si>
  <si>
    <t>https://motorring.ru/product/17240-val-kardannyy-zadniy-zaschitnoy-gofroy-kardan-shevrole-niva</t>
  </si>
  <si>
    <t>https://motorring.ru/product/17239-val-kardannyy-peredniy-zaschitnoy-gofroy-kardan-lada-niva</t>
  </si>
  <si>
    <t>https://motorring.ru/product/17743-val-kardannyy-promeghutochnyy-shevrole-niva</t>
  </si>
  <si>
    <t>https://motorring.ru/product/18103-krestovina-sbore-bez-shtucera-lada-niva-21214-2131-nadeghda</t>
  </si>
  <si>
    <t>https://33sport.ru/catalog/transmissiya/krestoviny-_kardannye_valy_vaz/val_kardannyy_2105-2200012-02_-usilennyy-_kardan/</t>
  </si>
  <si>
    <t>https://33sport.ru/catalog/4kh4_off_road_niva/kardannyy_val_niva/val_kardannyy_zadniy_21214_so_shrusom_zao_kardan/</t>
  </si>
  <si>
    <t>https://33sport.ru/catalog/4kh4_off_road_niva/kardannyy_val_niva/val_kardannyy_zadniy_2121_214_na_krestovine_zao_kardan/</t>
  </si>
  <si>
    <t>https://33sport.ru/catalog/4kh4_off_road_niva/kardannyy_val_niva/val_kardannyy_peredniy_21214_so_shrusom_zao_kardan/</t>
  </si>
  <si>
    <t>https://33sport.ru/catalog/4kh4_off_road_niva/kardannyy_val_niva/val_kardannyy_peredniy_2121_214_na_krestovine_zao_kardan/</t>
  </si>
  <si>
    <t>https://33sport.ru/catalog/transmissiya/krestoviny-_kardannye_valy_vaz/val_kardannyy_privoda_zadnego_mosta_-gofra-_21214-2201012-11_kardan/</t>
  </si>
  <si>
    <t>https://33sport.ru/catalog/transmissiya/krestoviny-_kardannye_valy_vaz/val_kardannyy_privoda_perednego_mosta_21214-2203012-11_kardan/</t>
  </si>
  <si>
    <t>https://33sport.ru/catalog/transmissiya/krestoviny-_kardannye_valy_vaz/val_kardannyy_promezhutochnyy_v_sbore_vaz_2123-2202010-03_original_kardan/</t>
  </si>
  <si>
    <t>https://33sport.ru/catalog/transmissiya/krestoviny-_kardannye_valy_vaz/rem-komplekt-dlya-kardana-na-shrusakh-vaz-21214-2123-kardan-21214-2201160-00-/</t>
  </si>
  <si>
    <t>https://33sport.ru/catalog/transmissiya/komplektuyushchie_kpp_vaz/flanets_elastichnoy_mufty_vaz_2101-2202023-00_kardan/</t>
  </si>
  <si>
    <t>https://33sport.ru/catalog/transmissiya/krestoviny-_kardannye_valy_vaz/krestovina_ao_-kardan-kardannogo_vala_v_sbore_vaz_2105-2202025/</t>
  </si>
  <si>
    <t>https://33sport.ru/catalog/transmissiya/krestoviny-_kardannye_valy_vaz/krestovina-zao-kardan-kardannogo-vala-v-sbore-niva-21211-2202026-00/</t>
  </si>
  <si>
    <t>33s</t>
  </si>
  <si>
    <t>https://www.avtoall.ru/val_kardannyiy_vaz_2101_2107_zao_kardan-240418/</t>
  </si>
  <si>
    <t>https://www.avtoall.ru/val_kardannyiy_vaz_2120_2131_v_sbore__shrus__zao_kardan-249845/</t>
  </si>
  <si>
    <t>https://www.avtoall.ru/val_kardannyiy_vaz_21214_zadniiy_2123_n_o__shrus__kardan_zao-090798/</t>
  </si>
  <si>
    <t>https://www.avtoall.ru/val_kardannyiy_vaz_2121_214_zadniiy_zao__kardan_-000531/</t>
  </si>
  <si>
    <t>https://www.avtoall.ru/val_kardannyiy_vaz_21214_peredniiy_n_o__shrus__kardan_zao-090986/</t>
  </si>
  <si>
    <t>https://www.avtoall.ru/val_kardannyiy_vaz_2121_214_peredniiy_zao__kardan_-000532/</t>
  </si>
  <si>
    <t>https://www.avtoall.ru/krestovina_vaz_21213_vala_kardannogo_zao_kardan-137160/</t>
  </si>
  <si>
    <t>https://www.avtoall.ru/krestovina_vaz_2101_07_vala_kardannogo_zao_kardan-011497/</t>
  </si>
  <si>
    <t>https://www.avtoall.ru/shrus_vaz_21214_2123_vala_kardannogo_v_sbore_kardan_zao-090995/</t>
  </si>
  <si>
    <t>https://www.avtoall.ru/flanec_vaz_2101_lastichnoiy_mufty_k_kardannomu_valu_kardan_zao-003606/</t>
  </si>
  <si>
    <t>AvtoALL</t>
  </si>
  <si>
    <t>Вал карданный привода заднего моста (Гофра) 21214-2201012-11 КАРДАН</t>
  </si>
  <si>
    <t>Вал карданный задний 2121-214 на крестовине. АО КАРДАН 21214-2201012-10</t>
  </si>
  <si>
    <t>Крестовина АО "Кардан" карданного вала в сборе ВАЗ 2105-2202025</t>
  </si>
  <si>
    <t>Вал карданный с усиленными крестовинами в сборе для ВАЗ 2101-2107</t>
  </si>
  <si>
    <t>Крестовина ВАЗ-21213 вала карданного ЗАО Кардан</t>
  </si>
  <si>
    <t>Фланец эластичной муфты ВАЗ 2101-2202023-00 КАРДАН</t>
  </si>
  <si>
    <t>Вал карданный передний (короткий) КАРДАН на ШРУСах для Лада 4х4, Нива Легенд</t>
  </si>
  <si>
    <t>Вал карданный задний с защитной гофрой КАРДАН для Лада 4х4, Нива Легенд, Шевроле/Лада Нива, Нива Тревел</t>
  </si>
  <si>
    <t>Вал карданный в сборе для ВАЗ 2101-2107</t>
  </si>
  <si>
    <t>Вал карданный передний (короткий) КАРДАН с защитной гофрой для Лада 4х4, Нива Легенд</t>
  </si>
  <si>
    <t>Вал карданный ВАЗ-21214 задний,2123 Н/О (ШРУС) КАРДАН ЗАО</t>
  </si>
  <si>
    <t>Вал карданный задний 21214 со ШРУСом. АО "КАРДАН" г.Сызрань. 21214-2201012-00</t>
  </si>
  <si>
    <t>Вал карданный привода переднего моста с гофрой 21214-2203012-11 КАРДАН</t>
  </si>
  <si>
    <t>Фланец ВАЗ-2101 эластичной муфты к карданному валу КАРДАН ЗАО</t>
  </si>
  <si>
    <t>Вал карданный задний КАРДАН на ШРУСах в сборе для 5-дверных Лада 4х4, Нива Легенд</t>
  </si>
  <si>
    <t>Вал карданный промежуточный в сборе ВАЗ 2123-2202010-03 ОРИГИНАЛ КАРДАН</t>
  </si>
  <si>
    <t>Карданный вал передний (короткий) КАРДАН на крестовине для Лада 4х4, Нива Легенд</t>
  </si>
  <si>
    <t>Крестовина ВАЗ-2101-07 вала карданного ЗАО Кардан</t>
  </si>
  <si>
    <t>Вал карданный ВАЗ-2101-2107 ЗАО КАРДАН</t>
  </si>
  <si>
    <t>Ремонтный комплект для кардана на шрусах ВАЗ-21214, 2123 (КАРДАН ) 21214-2201160-00</t>
  </si>
  <si>
    <t>ШРУС ВАЗ-21214,2123 вала карданного в сборе КАРДАН ЗАО</t>
  </si>
  <si>
    <t>Вал карданный 21214 (длинный) КАРДАН на ШРУСах для Лада 4х4, Нива Легенд, Нива Тревел, Шевроле Нива</t>
  </si>
  <si>
    <t>Вал карданный ВАЗ-2120,2131 в сборе (ШРУС) ЗАО КАРДАН</t>
  </si>
  <si>
    <t>Вал карданный передний 21214 со ШРУСом. АО "КАРДАН" г.Сызрань. 21214-2203012-00</t>
  </si>
  <si>
    <t>Промежуточный карданный вал КАРДАН для Шевроле Нива, Лада Нива Тревел</t>
  </si>
  <si>
    <t>Вал карданный ВАЗ-2121-214 передний ЗАО "Кардан"</t>
  </si>
  <si>
    <t>Вал карданный 2105-2200012-02 (усиленный) КАРДАН</t>
  </si>
  <si>
    <t>Крестовина АО "Кардан" карданного вала в сборе НИВА (21211220202500)</t>
  </si>
  <si>
    <t>Вал карданный передний 2121-214 на крестовине. АО КАРДАН 21214-2203012-10</t>
  </si>
  <si>
    <t>Вал карданный 21214 (длинный) КАРДАН с гофрой для Лада 4х4, Нива Легенд, Нива Тревел, Шевроле Нива</t>
  </si>
  <si>
    <t>Вал карданный ВАЗ-21214 передний Н/О (ШРУС) КАРДАН ЗАО</t>
  </si>
  <si>
    <t>Вал карданный ВАЗ-2121-214 задний ЗАО "Кардан"</t>
  </si>
  <si>
    <t>Вал карданный 21214 (длинный) КАРДАН на крестовине для Лада 4х4, Нива Легенд, Нива Тревел, Шевроле Нива</t>
  </si>
  <si>
    <t>Крестовина карданного вала КАРДАН в сборе для ВАЗ 2101-2107, Лада 4х4 (Нива)</t>
  </si>
  <si>
    <t>https://www.ozon.ru/product/generator-1117-1119-90a-avtovaz-firm-upak-11190370101003-562561608/</t>
  </si>
  <si>
    <t>https://autodemic.ru/product/generator-lada-kalina-90-a</t>
  </si>
  <si>
    <t>https://original-detal.ru/catalog/elektrooborudovanie/elektrooborudovanie_dvigatelya/generatory/generatory_1/vaz_1118_2190_2170/440175/</t>
  </si>
  <si>
    <t>https://www.avtoall.ru/generator_vaz_1118_1119_2112_2170_2190_14v_90a_avtovaz-152723/</t>
  </si>
  <si>
    <t>https://autodemic.ru/product/generator-vaz-2113-2115-lada-priora-90-a</t>
  </si>
  <si>
    <t>https://original-detal.ru/catalog/elektrooborudovanie/elektrooborudovanie_dvigatelya/generatory/generatory_1/vaz_2108_15_2110_12/440177/</t>
  </si>
  <si>
    <t>https://www.avtoall.ru/generator_vaz_2108_2115_2170_shkiv_poliklinovoiy_14v_90a_avtovaz-670867/</t>
  </si>
  <si>
    <t>https://autodemic.ru/product/generator-chevrolet-niva-80-a-2</t>
  </si>
  <si>
    <t>https://original-detal.ru/catalog/elektrooborudovanie/elektrooborudovanie_dvigatelya/generatory/generatory_1/chevrolet_niva_vaz_2123/183521/</t>
  </si>
  <si>
    <t>https://www.ozon.ru/product/generator-lada-21214-80-90a-3701010-03-21214370101003-647780649/</t>
  </si>
  <si>
    <t>https://autodemic.ru/product/generator-lada-4x4-80-a-do-2003-gv</t>
  </si>
  <si>
    <t>https://original-detal.ru/catalog/elektrooborudovanie/elektrooborudovanie_dvigatelya/generatory/generatory_1/vaz_2101_07_2121_21214_1/183520/</t>
  </si>
  <si>
    <t>https://www.avtoall.ru/generator_vaz_21214__19___injektor_14v_80a_avtovaz-171140/</t>
  </si>
  <si>
    <t>https://www.ozon.ru/product/lada-generator-v-sbore-art-21230370101084-1-sht-1256260493/</t>
  </si>
  <si>
    <t>https://autodemic.ru/product/generator-chevrolet-niva-120-a</t>
  </si>
  <si>
    <t>https://original-detal.ru/catalog/elektrooborudovanie/elektrooborudovanie_dvigatelya/generatory/generatory_1/chevrolet_niva_vaz_2123/204431/</t>
  </si>
  <si>
    <t>https://www.ozon.ru/product/generator-vaz-2108-2109-21099-2110-2111-2112-2113-2114-2115-2170-120a-original-188797423/</t>
  </si>
  <si>
    <t>https://autodemic.ru/product/generator-vaz-2108-2115-lada-priora-120-a</t>
  </si>
  <si>
    <t>https://original-detal.ru/catalog/elektrooborudovanie/elektrooborudovanie_dvigatelya/generatory/generatory_1/vaz_2108_15_2110_12/439439/</t>
  </si>
  <si>
    <t>https://standart-detail.ru/products/generator-vaz-2108-09-vaz-2113-15-2110-12-vaz-2170-priora-120-a-21120370101084</t>
  </si>
  <si>
    <t>https://www.ozon.ru/product/generator-2170-125a-21700370101082-1-sht-495894641/</t>
  </si>
  <si>
    <t>https://autodemic.ru/product/generator-lada-priora-kalina-granta-115-a</t>
  </si>
  <si>
    <t>https://original-detal.ru/catalog/elektrooborudovanie/elektrooborudovanie_dvigatelya/generatory/generatory_1/vaz_1118_2190_2170/439171/</t>
  </si>
  <si>
    <t>https://bi-bi.ru/product/e0000036951</t>
  </si>
  <si>
    <t>https://autodemic.ru/product/generator-chevrolet-niva-100-a-s-092003gv</t>
  </si>
  <si>
    <t>https://xn--80aal0a.xn--80asehdb/shop/niva-chevrolet/electrical-equipment-niva-chevrolet/33766-generator-pramo-jelektro-110a-dlja-lada-niva-travel-chevrolet.html</t>
  </si>
  <si>
    <t>https://www.ozon.ru/product/generator-lada-21214-100a-3701010-83-21214370101083-647783721/</t>
  </si>
  <si>
    <t>https://autodemic.ru/product/generator-v-sbore-lada-4x4</t>
  </si>
  <si>
    <t>https://original-detal.ru/catalog/elektrooborudovanie/elektrooborudovanie_dvigatelya/generatory/generatory_1/vaz_2101_07_2121_21214_1/439515/</t>
  </si>
  <si>
    <t>https://bi-bi.ru/product/e0000036360</t>
  </si>
  <si>
    <t>https://www.ozon.ru/product/generator-vaz-2108-2109-21099-2110-2111-2112-2113-2114-2115-2170-100a-original-188797422/</t>
  </si>
  <si>
    <t>https://autodemic.ru/product/generator-vaz-2108-2115-lada-priora-100-a</t>
  </si>
  <si>
    <t>https://original-detal.ru/catalog/elektrooborudovanie/elektrooborudovanie_dvigatelya/generatory/generatory_1/vaz_1118_2190_2170/183557/</t>
  </si>
  <si>
    <t>https://standart-detail.ru/products/generator-vaz-2108-09-vaz-2113-15-vaz-2110-12-vaz-2170-priora-100-a-21120370101083</t>
  </si>
  <si>
    <t>Ст Р</t>
  </si>
  <si>
    <t>Ст З</t>
  </si>
  <si>
    <t>https://original-detal.ru/catalog/elektrooborudovanie/elektrooborudovanie_dvigatelya/generatory/generatory_1/vaz_1118_2190_2170/440175/;https://www.avtoall.ru/generator_vaz_1118_1119_2112_2170_2190_14v_90a_avtovaz-152723/</t>
  </si>
  <si>
    <t>11190370101003</t>
  </si>
  <si>
    <t>21120370101008</t>
  </si>
  <si>
    <t>21230370101082</t>
  </si>
  <si>
    <t>https://www.avtoall.ru/generator_vaz_21214__19___injektor_14v_80a_avtovaz-171140/;https://original-detal.ru/catalog/elektrooborudovanie/elektrooborudovanie_dvigatelya/generatory/generatory_1/vaz_2101_07_2121_21214_1/183520/;https://bi-bi.ru/product/e0000035683</t>
  </si>
  <si>
    <t>21214370101003</t>
  </si>
  <si>
    <t>21230370101084</t>
  </si>
  <si>
    <t>21120370101084</t>
  </si>
  <si>
    <t>21700370101082</t>
  </si>
  <si>
    <t>21230370101083</t>
  </si>
  <si>
    <t>21214370101083</t>
  </si>
  <si>
    <t>21120370101083</t>
  </si>
  <si>
    <t>Ряд</t>
  </si>
  <si>
    <t>Генератор ВАЗ-1118,1119,2112,2170,2190 14В 90А АвтоВАЗ</t>
  </si>
  <si>
    <t>Генератор ВАЗ-21214 (19-) инжектор 14В 80А АвтоВАЗ</t>
  </si>
  <si>
    <t>Генератор ВАЗ-2108-2115,2170 шкив поликлиновой 14В 90А АвтоВАЗ</t>
  </si>
  <si>
    <t>Генератор ВАЗ-2108-2110-2115 (инж.дв.) (90 А) (фирм. упак. LADA) 21120-3701010-08</t>
  </si>
  <si>
    <t>Генератор ВАЗ-2108 … -2112, LADA Samara и Priora (120 А)</t>
  </si>
  <si>
    <t>Генератор ВАЗ-21214 (100А) (фирм. упак. LADA) 21214-3701010-83</t>
  </si>
  <si>
    <t>Генератор LADA Samara и Priora (90 А)</t>
  </si>
  <si>
    <t>Генератор ВАЗ-2123 Шевроле Нива (с 09.2003г.в.) (14В/100А) (фирм. упак. LADA) 21230-3701010-83</t>
  </si>
  <si>
    <t>Генератор LADA 4x4, ВАЗ-2104 … -2107 (до 2003 г.в.) 80 А</t>
  </si>
  <si>
    <t>Генератор ВАЗ-2108-2110-2115 (120А) (фирм. упак. LADA) 21120-3701010-84</t>
  </si>
  <si>
    <t>Генератор LADA Kalina I (90 А)</t>
  </si>
  <si>
    <t>Генератор ВАЗ-1118, 2170, 2190 (фирм. упак. LADA) 21700-3701010-82</t>
  </si>
  <si>
    <t>Генератор ВАЗ-2108 … -2112, LADA Samara и Priora (100 А)</t>
  </si>
  <si>
    <t>Генератор ВАЗ-2101 …-2107 и LADA 4x4</t>
  </si>
  <si>
    <t>Генератор Chevrolet NIVA (80 А)</t>
  </si>
  <si>
    <t>Генератор Chevrolet NIVA (120 А)</t>
  </si>
  <si>
    <t>Генератор Chevrolet NIVA (с 09.2003 г.в.) 100 А</t>
  </si>
  <si>
    <t>Генератор LADA Priora, Kalina II и Granta (115 А)</t>
  </si>
  <si>
    <t>Генератор ВАЗ-2123 Шевроле-Нива (120А) (фирм. упак. LADA) 21230-3701010-84</t>
  </si>
  <si>
    <t>Генератор ВАЗ-21214,2123 (80 А) (до 2003 г.) (фирм. упак. LADA) 21214-3701010-03</t>
  </si>
  <si>
    <t>Генератор ВАЗ-2108-2110-2115,2170 (инж.дв.) (100 А) (фирм. упак. LADA) 21120-3701010-83</t>
  </si>
  <si>
    <t>Генератор ВАЗ-1118-19 (90 А) (фирм. упак. LADA) 11190-3701010-03</t>
  </si>
  <si>
    <t>Генератор "Прамо-Электро (110А) для Lada Niva Travel, Chevrolet (оригинал)</t>
  </si>
  <si>
    <t>0</t>
  </si>
  <si>
    <t>Мин</t>
  </si>
  <si>
    <t>N</t>
  </si>
  <si>
    <t>Генератор LADA 21214 100А 3701010-83 21214370101083</t>
  </si>
  <si>
    <t>Генератор LADA 21214 80/90А 3701010-03 21214370101003</t>
  </si>
  <si>
    <t>Генератор ВАЗ 2108-2115, 2170 (100А) ORIGINAL</t>
  </si>
  <si>
    <t>LADA Генератор в сборе, арт. 21230370101084, 1 шт.</t>
  </si>
  <si>
    <t>LADA Генератор в сборе, арт. 21120370101008</t>
  </si>
  <si>
    <t>Генератор 1117-1119 (90А) "АвтоВАЗ" (фирм. упак.) 11190370101003</t>
  </si>
  <si>
    <t>https://www.ozon.ru/product/lada-generator-lada-21120370101008-art-21120370101008-753680143/</t>
  </si>
  <si>
    <t>2</t>
  </si>
  <si>
    <t>Крестовина КАРДАН в сборе без штуцера для Лада 4х4 (Нива), Надежда, Шевроле Нива</t>
  </si>
  <si>
    <t>6</t>
  </si>
  <si>
    <t>Генератор 100А ВАЗ 2108-21099, 2113-2115, 2110-2112, Приора (инжектор) LADA 21120-3701010-83</t>
  </si>
  <si>
    <t>Генератор 14В, 130А ВАЗ-2108-09, ВАЗ 2113-15, 2110-12, Приора ELTRA 5102.3771-30</t>
  </si>
  <si>
    <t>Генератор АвтоВАЗ 110А для ВАЗ 2101-2107, Лада Нива 4х4</t>
  </si>
  <si>
    <t>Генератор АвтоВАЗ 110А для ВАЗ 2108-21099, 2110-2112, 2113-2115, Лада Приора</t>
  </si>
  <si>
    <t>Генератор АвтоВАЗ 110А для Шевроле Нива</t>
  </si>
  <si>
    <t>Генератор АвтоВАЗ 125А для Лада Приора, Гранта, Гранта FL, Калина 2</t>
  </si>
  <si>
    <t>Генератор АвтоВАЗ 130А для ВАЗ 2108-21099, 2110-2112, 2113-2115, Лада Приора</t>
  </si>
  <si>
    <t>Генератор АвтоВАЗ 130А для Шевроле Нива</t>
  </si>
  <si>
    <t>Генератор АвтоВАЗ 21214 80А для ВАЗ 2104-2107, Лада Нива 4х4, Шевроле Нива до 2003 г. в.</t>
  </si>
  <si>
    <t>Генератор АвтоВАЗ 80А для Шевроле Нива с 2003 г. в.</t>
  </si>
  <si>
    <t>Генератор АвтоВАЗ 90А для ВАЗ 2108-21099, 2110-2112, 2113-2115, Лада Приора</t>
  </si>
  <si>
    <t>Генератор АвтоВАЗ 90А для Лада Калина</t>
  </si>
  <si>
    <t>Вал карданный в сборе на крестовине Кардан  для ВАЗ 2101-2107</t>
  </si>
  <si>
    <t>Вал карданный Кардан в сборе для ВАЗ 2101-2107</t>
  </si>
  <si>
    <t>Вал карданный Кардан в сборе для ВИС 2345</t>
  </si>
  <si>
    <t>Вал карданный КАРДАН в сборе на ШРУС для ВАЗ 2101-2107</t>
  </si>
  <si>
    <t>Вал карданный КАРДАН задний в сборе со ШРУСом для Лада Нива 4x4</t>
  </si>
  <si>
    <t>Вал карданный Кардан задний с ШРУСами для Лада Нива 4x4, Нива 4x4 Урбан, Шевроле Нива</t>
  </si>
  <si>
    <t>Вал карданный КАРДАН задний, на крестовине для Лада Нива 4х4</t>
  </si>
  <si>
    <t>Вал карданный КАРДАН передний с ШРУСами для Лада Нива 4х4, Шевроле Нива</t>
  </si>
  <si>
    <t>Вал карданный Кардан передний, на крестовине для Лада Нива 4х4</t>
  </si>
  <si>
    <t>Карданный вал КАРДАН задний с гофрой для Лада Нива 4х4</t>
  </si>
  <si>
    <t>Карданный вал КАРДАН задний с гофрой для Шевроле Нива</t>
  </si>
  <si>
    <t>Карданный вал КАРДАН передний с гофрой для Лада Нива 4х4</t>
  </si>
  <si>
    <t>Карданный вал промежуточный ЗАО Кардан для Шевроле Нива</t>
  </si>
  <si>
    <t>Крестовина карданного вала Ваз 2101-2107 КАРДАН</t>
  </si>
  <si>
    <t>Крестовина карданного вала КАРДАН без штуцера для ВАЗ Лада Нива 4х4, Шевроле Нива</t>
  </si>
  <si>
    <t>Крестовина карданного вала КАРДАН для ВАЗ Лада Нива 4х4, Шевроле Нива</t>
  </si>
  <si>
    <t>Пыльник ШРУСа карданного вала КАРДАН для Лада Нива 4х4</t>
  </si>
  <si>
    <t>Распродажа Вал карданный КАРДАН задний в сборе со ШРУСом для Лада Нива 4x4</t>
  </si>
  <si>
    <t>Распродажа Вал карданный КАРДАН задний, на крестовине для Лада Нива 4х4</t>
  </si>
  <si>
    <t>Распродажа Крестовина карданного вала КАРДАН для ВАЗ 2101-2107</t>
  </si>
  <si>
    <t>Ремкомплект ШРУС карданного вала КАРДАН для Лада Нива 4х4</t>
  </si>
  <si>
    <t>Фланец эластичной муфты КАРДАН передний для ВАЗ 2101-2107</t>
  </si>
  <si>
    <t>https://www.ozon.ru/product/lada-generator-v-sbore-art-21230370101082-765345772/</t>
  </si>
  <si>
    <t>https://www.ozon.ru/product/generator-vaz-2123-110a-avtovaz-5112-3771-10-v-up-1412340171/</t>
  </si>
  <si>
    <t>РЦ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</si>
</sst>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name val="Calibri"/>
      <family val="2"/>
      <charset val="204"/>
    </font>
    <font>
      <sz val="11"/>
      <name val="Calibri"/>
      <family val="2"/>
      <charset val="204"/>
    </font>
    <font>
      <sz val="11"/>
      <color rgb="FF9C5700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7030A0"/>
      </right>
      <top/>
      <bottom/>
      <diagonal/>
    </border>
    <border>
      <left/>
      <right style="double">
        <color theme="5" tint="-0.24994659260841701"/>
      </right>
      <top/>
      <bottom/>
      <diagonal/>
    </border>
  </borders>
  <cellStyleXfs count="15">
    <xf numFmtId="0" fontId="0" fillId="0" borderId="0"/>
    <xf numFmtId="9" fontId="1" fillId="0" borderId="0" applyFont="0" applyFill="0" applyBorder="0" applyAlignment="0" applyProtection="0"/>
    <xf numFmtId="0" fontId="10" fillId="7" borderId="5" applyNumberFormat="0" applyBorder="0" applyAlignment="0" applyProtection="0"/>
    <xf numFmtId="0" fontId="10" fillId="2" borderId="6" applyNumberFormat="0" applyBorder="0" applyAlignment="0" applyProtection="0"/>
    <xf numFmtId="0" fontId="10" fillId="8" borderId="7" applyNumberFormat="0" applyBorder="0" applyAlignment="0" applyProtection="0"/>
    <xf numFmtId="0" fontId="10" fillId="9" borderId="4" applyNumberFormat="0" applyBorder="0" applyAlignment="0" applyProtection="0"/>
    <xf numFmtId="0" fontId="5" fillId="0" borderId="8" applyNumberFormat="0" applyAlignment="0" applyProtection="0"/>
    <xf numFmtId="0" fontId="6" fillId="0" borderId="9" applyNumberFormat="0" applyAlignment="0" applyProtection="0"/>
    <xf numFmtId="0" fontId="7" fillId="0" borderId="10" applyNumberFormat="0" applyAlignment="0" applyProtection="0"/>
    <xf numFmtId="0" fontId="5" fillId="4" borderId="11" applyNumberFormat="0" applyProtection="0">
      <alignment horizontal="center" vertical="center"/>
    </xf>
    <xf numFmtId="0" fontId="8" fillId="5" borderId="12" applyNumberFormat="0" applyAlignment="0" applyProtection="0"/>
    <xf numFmtId="0" fontId="9" fillId="6" borderId="0" applyNumberFormat="0" applyBorder="0" applyAlignment="0" applyProtection="0"/>
    <xf numFmtId="0" fontId="1" fillId="0" borderId="0"/>
    <xf numFmtId="0" fontId="11" fillId="10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66">
    <xf numFmtId="0" fontId="1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0" fontId="3" fillId="0" borderId="1" xfId="0" applyFont="1" applyBorder="1" applyAlignment="1" applyProtection="1">
      <alignment horizontal="left" vertical="top" wrapText="1"/>
    </xf>
    <xf numFmtId="1" fontId="0" fillId="0" borderId="2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3" borderId="4" xfId="0" applyFont="1" applyFill="1" applyBorder="1" applyAlignment="1">
      <alignment horizontal="left" vertical="top" wrapText="1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2" fillId="0" borderId="1" xfId="0" applyFont="1" applyBorder="1" applyAlignment="1" applyProtection="1">
      <alignment horizontal="left" vertical="top" wrapText="1"/>
    </xf>
    <xf numFmtId="0" fontId="5" fillId="0" borderId="8" xfId="6" applyAlignment="1">
      <alignment horizontal="left"/>
    </xf>
    <xf numFmtId="0" fontId="1" fillId="0" borderId="4" xfId="0" applyFont="1" applyBorder="1" applyAlignment="1" applyProtection="1">
      <alignment horizontal="left" vertical="top" wrapText="1"/>
    </xf>
    <xf numFmtId="0" fontId="4" fillId="2" borderId="4" xfId="0" applyFont="1" applyFill="1" applyBorder="1" applyAlignment="1">
      <alignment horizontal="left"/>
    </xf>
    <xf numFmtId="9" fontId="0" fillId="0" borderId="4" xfId="1" applyFont="1" applyBorder="1" applyAlignment="1">
      <alignment horizontal="left"/>
    </xf>
    <xf numFmtId="0" fontId="2" fillId="0" borderId="4" xfId="0" applyFont="1" applyBorder="1" applyAlignment="1" applyProtection="1">
      <alignment horizontal="left" vertical="top" wrapText="1"/>
    </xf>
    <xf numFmtId="0" fontId="6" fillId="0" borderId="9" xfId="7" applyAlignment="1" applyProtection="1">
      <alignment horizontal="left" vertical="top" wrapText="1"/>
    </xf>
    <xf numFmtId="0" fontId="7" fillId="0" borderId="10" xfId="8" applyAlignment="1" applyProtection="1">
      <alignment horizontal="left" vertical="top" wrapText="1"/>
    </xf>
    <xf numFmtId="0" fontId="1" fillId="0" borderId="0" xfId="0" applyFont="1" applyAlignment="1" applyProtection="1">
      <alignment horizontal="left" vertical="top" wrapText="1"/>
    </xf>
    <xf numFmtId="0" fontId="2" fillId="0" borderId="4" xfId="0" applyFont="1" applyBorder="1" applyAlignment="1" applyProtection="1">
      <alignment horizontal="left" vertical="top" wrapText="1"/>
    </xf>
    <xf numFmtId="0" fontId="0" fillId="0" borderId="13" xfId="0" applyBorder="1" applyAlignment="1" applyProtection="1">
      <alignment horizontal="left" vertical="top" wrapText="1"/>
    </xf>
    <xf numFmtId="0" fontId="0" fillId="0" borderId="14" xfId="0" applyBorder="1" applyAlignment="1">
      <alignment horizontal="left"/>
    </xf>
    <xf numFmtId="0" fontId="11" fillId="10" borderId="4" xfId="13" applyBorder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1" fontId="1" fillId="0" borderId="0" xfId="0" applyNumberFormat="1" applyFont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9" fontId="1" fillId="0" borderId="0" xfId="1" applyFont="1" applyAlignment="1" applyProtection="1">
      <alignment horizontal="left" vertical="top" wrapText="1"/>
    </xf>
    <xf numFmtId="0" fontId="12" fillId="0" borderId="0" xfId="14" applyAlignment="1" applyProtection="1">
      <alignment horizontal="left"/>
    </xf>
    <xf numFmtId="0" fontId="0" fillId="0" borderId="0" xfId="0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1" fontId="0" fillId="0" borderId="4" xfId="0" applyNumberFormat="1" applyBorder="1" applyAlignment="1">
      <alignment horizontal="left"/>
    </xf>
    <xf numFmtId="1" fontId="0" fillId="0" borderId="4" xfId="0" applyNumberForma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12" fillId="0" borderId="0" xfId="14" applyFill="1" applyAlignment="1"/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1" fontId="2" fillId="3" borderId="4" xfId="0" applyNumberFormat="1" applyFont="1" applyFill="1" applyBorder="1" applyAlignment="1">
      <alignment horizontal="left" vertical="top" wrapText="1"/>
    </xf>
    <xf numFmtId="1" fontId="0" fillId="0" borderId="0" xfId="0" applyNumberFormat="1" applyAlignment="1">
      <alignment horizontal="left"/>
    </xf>
    <xf numFmtId="0" fontId="0" fillId="0" borderId="15" xfId="0" applyBorder="1" applyAlignment="1">
      <alignment horizontal="left"/>
    </xf>
    <xf numFmtId="0" fontId="1" fillId="0" borderId="0" xfId="0" applyFont="1" applyAlignment="1" applyProtection="1">
      <alignment horizontal="left" vertical="top" wrapText="1"/>
    </xf>
    <xf numFmtId="0" fontId="0" fillId="0" borderId="15" xfId="0" applyBorder="1" applyAlignment="1" applyProtection="1">
      <alignment horizontal="left" vertical="top" wrapText="1"/>
    </xf>
    <xf numFmtId="0" fontId="6" fillId="0" borderId="16" xfId="7" applyBorder="1" applyAlignment="1" applyProtection="1">
      <alignment horizontal="left" vertical="top" wrapText="1"/>
    </xf>
    <xf numFmtId="0" fontId="11" fillId="10" borderId="15" xfId="13" applyBorder="1" applyAlignment="1">
      <alignment horizontal="left"/>
    </xf>
    <xf numFmtId="0" fontId="1" fillId="0" borderId="15" xfId="0" applyFont="1" applyBorder="1" applyAlignment="1" applyProtection="1">
      <alignment horizontal="left" vertical="top" wrapText="1"/>
    </xf>
    <xf numFmtId="0" fontId="7" fillId="0" borderId="17" xfId="8" applyBorder="1" applyAlignment="1" applyProtection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1" fillId="0" borderId="0" xfId="0" applyFont="1" applyAlignment="1" applyProtection="1">
      <alignment horizontal="left" vertical="top" wrapText="1"/>
    </xf>
    <xf numFmtId="0" fontId="2" fillId="0" borderId="4" xfId="0" applyFont="1" applyBorder="1" applyAlignment="1" applyProtection="1">
      <alignment horizontal="left" vertical="top" wrapText="1"/>
    </xf>
    <xf numFmtId="0" fontId="0" fillId="0" borderId="0" xfId="0"/>
    <xf numFmtId="0" fontId="5" fillId="0" borderId="8" xfId="6" applyAlignment="1">
      <alignment horizontal="left" wrapText="1"/>
    </xf>
    <xf numFmtId="0" fontId="7" fillId="0" borderId="10" xfId="8" applyAlignment="1">
      <alignment horizontal="left" wrapText="1"/>
    </xf>
    <xf numFmtId="0" fontId="6" fillId="0" borderId="9" xfId="7" applyAlignment="1">
      <alignment horizontal="left" wrapText="1"/>
    </xf>
    <xf numFmtId="0" fontId="0" fillId="0" borderId="0" xfId="0"/>
    <xf numFmtId="0" fontId="0" fillId="0" borderId="0" xfId="0"/>
    <xf numFmtId="0" fontId="2" fillId="0" borderId="4" xfId="0" applyFont="1" applyBorder="1" applyAlignment="1" applyProtection="1">
      <alignment horizontal="left" vertical="top" wrapText="1"/>
    </xf>
    <xf numFmtId="1" fontId="0" fillId="0" borderId="4" xfId="0" applyNumberFormat="1" applyBorder="1" applyAlignment="1" applyProtection="1">
      <alignment horizontal="left" vertical="top" wrapText="1"/>
    </xf>
    <xf numFmtId="0" fontId="0" fillId="0" borderId="4" xfId="0" applyBorder="1" applyAlignment="1" applyProtection="1">
      <alignment horizontal="left" vertical="top" wrapText="1"/>
    </xf>
    <xf numFmtId="1" fontId="2" fillId="2" borderId="4" xfId="0" applyNumberFormat="1" applyFont="1" applyFill="1" applyBorder="1" applyAlignment="1" applyProtection="1">
      <alignment horizontal="left" vertical="top" wrapText="1"/>
    </xf>
    <xf numFmtId="0" fontId="2" fillId="0" borderId="4" xfId="0" applyFont="1" applyBorder="1" applyAlignment="1" applyProtection="1">
      <alignment horizontal="left" vertical="top" wrapText="1"/>
    </xf>
    <xf numFmtId="1" fontId="0" fillId="0" borderId="4" xfId="0" applyNumberFormat="1" applyBorder="1" applyAlignment="1" applyProtection="1">
      <alignment horizontal="left" vertical="top" wrapText="1"/>
    </xf>
    <xf numFmtId="0" fontId="0" fillId="0" borderId="4" xfId="0" applyBorder="1" applyAlignment="1" applyProtection="1">
      <alignment horizontal="left" vertical="top" wrapText="1"/>
    </xf>
    <xf numFmtId="1" fontId="2" fillId="2" borderId="4" xfId="0" applyNumberFormat="1" applyFont="1" applyFill="1" applyBorder="1" applyAlignment="1" applyProtection="1">
      <alignment horizontal="left" vertical="top" wrapText="1"/>
    </xf>
    <xf numFmtId="0" fontId="2" fillId="2" borderId="4" xfId="0" applyFont="1" applyFill="1" applyBorder="1" applyAlignment="1">
      <alignment horizontal="left" vertical="top" wrapText="1"/>
    </xf>
    <xf numFmtId="0" fontId="1" fillId="2" borderId="4" xfId="0" applyFont="1" applyFill="1" applyBorder="1" applyAlignment="1">
      <alignment horizontal="left" vertical="top" wrapText="1"/>
    </xf>
  </cellXfs>
  <cellStyles count="15">
    <cellStyle name="Акцент1" xfId="6" builtinId="29" customBuiltin="1"/>
    <cellStyle name="Акцент2" xfId="7" builtinId="33" customBuiltin="1"/>
    <cellStyle name="Акцент3" xfId="8" builtinId="37" customBuiltin="1"/>
    <cellStyle name="Акцент4" xfId="9" builtinId="41" customBuiltin="1"/>
    <cellStyle name="Акцент5" xfId="10" builtinId="45" customBuiltin="1"/>
    <cellStyle name="Акцент6" xfId="11" builtinId="49" customBuiltin="1"/>
    <cellStyle name="Гиперссылка" xfId="14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Нейтральный" xfId="13" builtinId="28"/>
    <cellStyle name="Обычный" xfId="0" builtinId="0"/>
    <cellStyle name="Обычный 6" xfId="12" xr:uid="{D3D60211-D40A-4F10-A3EE-7D3931BECEDB}"/>
    <cellStyle name="Процентный" xfId="1" builtinId="5"/>
  </cellStyles>
  <dxfs count="15">
    <dxf>
      <fill>
        <patternFill patternType="none">
          <fgColor indexed="64"/>
          <bgColor indexed="65"/>
        </patternFill>
      </fill>
    </dxf>
    <dxf>
      <fill>
        <patternFill patternType="lightDown">
          <f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ont>
        <b/>
        <i val="0"/>
        <color auto="1"/>
      </font>
      <fill>
        <patternFill patternType="lightDown">
          <fgColor rgb="FFFF0000"/>
          <bgColor auto="1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original-detal.ru/catalog/elektrooborudovanie/elektrooborudovanie_dvigatelya/generatory/generatory_1/vaz_2108_15_2110_12/439439/" TargetMode="External"/><Relationship Id="rId18" Type="http://schemas.openxmlformats.org/officeDocument/2006/relationships/hyperlink" Target="https://original-detal.ru/catalog/elektrooborudovanie/elektrooborudovanie_dvigatelya/generatory/generatory_1/vaz_1118_2190_2170/440175/" TargetMode="External"/><Relationship Id="rId26" Type="http://schemas.openxmlformats.org/officeDocument/2006/relationships/hyperlink" Target="https://autodemic.ru/product/generator-chevrolet-niva-80-a-2" TargetMode="External"/><Relationship Id="rId39" Type="http://schemas.openxmlformats.org/officeDocument/2006/relationships/comments" Target="../comments1.xml"/><Relationship Id="rId21" Type="http://schemas.openxmlformats.org/officeDocument/2006/relationships/hyperlink" Target="https://autodemic.ru/product/generator-chevrolet-niva-100-a-s-092003gv" TargetMode="External"/><Relationship Id="rId34" Type="http://schemas.openxmlformats.org/officeDocument/2006/relationships/hyperlink" Target="https://www.ozon.ru/product/generator-lada-21214-80-90a-3701010-03-21214370101003-647780649/" TargetMode="External"/><Relationship Id="rId7" Type="http://schemas.openxmlformats.org/officeDocument/2006/relationships/hyperlink" Target="https://www.avtoall.ru/generator_vaz_2108_2115_2170_shkiv_poliklinovoiy_14v_90a_avtovaz-670867/" TargetMode="External"/><Relationship Id="rId12" Type="http://schemas.openxmlformats.org/officeDocument/2006/relationships/hyperlink" Target="https://original-detal.ru/catalog/elektrooborudovanie/elektrooborudovanie_dvigatelya/generatory/generatory_1/vaz_1118_2190_2170/439171/" TargetMode="External"/><Relationship Id="rId17" Type="http://schemas.openxmlformats.org/officeDocument/2006/relationships/hyperlink" Target="https://original-detal.ru/catalog/elektrooborudovanie/elektrooborudovanie_dvigatelya/generatory/generatory_1/vaz_2108_15_2110_12/440177/" TargetMode="External"/><Relationship Id="rId25" Type="http://schemas.openxmlformats.org/officeDocument/2006/relationships/hyperlink" Target="https://autodemic.ru/product/generator-lada-4x4-80-a-do-2003-gv" TargetMode="External"/><Relationship Id="rId33" Type="http://schemas.openxmlformats.org/officeDocument/2006/relationships/hyperlink" Target="https://www.ozon.ru/product/lada-generator-v-sbore-art-21230370101084-1-sht-1256260493/" TargetMode="External"/><Relationship Id="rId38" Type="http://schemas.openxmlformats.org/officeDocument/2006/relationships/vmlDrawing" Target="../drawings/vmlDrawing1.vml"/><Relationship Id="rId2" Type="http://schemas.openxmlformats.org/officeDocument/2006/relationships/hyperlink" Target="https://bi-bi.ru/product/e0000036360" TargetMode="External"/><Relationship Id="rId16" Type="http://schemas.openxmlformats.org/officeDocument/2006/relationships/hyperlink" Target="https://original-detal.ru/catalog/elektrooborudovanie/elektrooborudovanie_dvigatelya/generatory/generatory_1/chevrolet_niva_vaz_2123/183521/" TargetMode="External"/><Relationship Id="rId20" Type="http://schemas.openxmlformats.org/officeDocument/2006/relationships/hyperlink" Target="https://autodemic.ru/product/generator-v-sbore-lada-4x4" TargetMode="External"/><Relationship Id="rId29" Type="http://schemas.openxmlformats.org/officeDocument/2006/relationships/hyperlink" Target="https://www.ozon.ru/product/generator-vaz-2108-2109-21099-2110-2111-2112-2113-2114-2115-2170-100a-original-188797422/" TargetMode="External"/><Relationship Id="rId1" Type="http://schemas.openxmlformats.org/officeDocument/2006/relationships/hyperlink" Target="https://standart-detail.ru/products/generator-vaz-2108-09-vaz-2113-15-vaz-2110-12-vaz-2170-priora-100-a-21120370101083" TargetMode="External"/><Relationship Id="rId6" Type="http://schemas.openxmlformats.org/officeDocument/2006/relationships/hyperlink" Target="https://www.avtoall.ru/generator_vaz_21214__19___injektor_14v_80a_avtovaz-171140/" TargetMode="External"/><Relationship Id="rId11" Type="http://schemas.openxmlformats.org/officeDocument/2006/relationships/hyperlink" Target="https://original-detal.ru/catalog/elektrooborudovanie/elektrooborudovanie_dvigatelya/generatory/generatory_1/chevrolet_niva_vaz_2123/183521/" TargetMode="External"/><Relationship Id="rId24" Type="http://schemas.openxmlformats.org/officeDocument/2006/relationships/hyperlink" Target="https://autodemic.ru/product/generator-chevrolet-niva-120-a" TargetMode="External"/><Relationship Id="rId32" Type="http://schemas.openxmlformats.org/officeDocument/2006/relationships/hyperlink" Target="https://www.ozon.ru/product/generator-vaz-2108-2109-21099-2110-2111-2112-2113-2114-2115-2170-120a-original-188797423/" TargetMode="External"/><Relationship Id="rId37" Type="http://schemas.openxmlformats.org/officeDocument/2006/relationships/printerSettings" Target="../printerSettings/printerSettings1.bin"/><Relationship Id="rId5" Type="http://schemas.openxmlformats.org/officeDocument/2006/relationships/hyperlink" Target="https://standart-detail.ru/products/generator-vaz-2108-09-vaz-2113-15-2110-12-vaz-2170-priora-120-a-21120370101084" TargetMode="External"/><Relationship Id="rId15" Type="http://schemas.openxmlformats.org/officeDocument/2006/relationships/hyperlink" Target="https://original-detal.ru/catalog/elektrooborudovanie/elektrooborudovanie_dvigatelya/generatory/generatory_1/vaz_2101_07_2121_21214_1/183520/" TargetMode="External"/><Relationship Id="rId23" Type="http://schemas.openxmlformats.org/officeDocument/2006/relationships/hyperlink" Target="https://autodemic.ru/product/generator-vaz-2108-2115-lada-priora-120-a" TargetMode="External"/><Relationship Id="rId28" Type="http://schemas.openxmlformats.org/officeDocument/2006/relationships/hyperlink" Target="https://autodemic.ru/product/generator-lada-kalina-90-a" TargetMode="External"/><Relationship Id="rId36" Type="http://schemas.openxmlformats.org/officeDocument/2006/relationships/hyperlink" Target="https://www.ozon.ru/product/generator-1117-1119-90a-avtovaz-firm-upak-11190370101003-562561608/" TargetMode="External"/><Relationship Id="rId10" Type="http://schemas.openxmlformats.org/officeDocument/2006/relationships/hyperlink" Target="https://original-detal.ru/catalog/elektrooborudovanie/elektrooborudovanie_dvigatelya/generatory/generatory_1/vaz_2101_07_2121_21214_1/439515/" TargetMode="External"/><Relationship Id="rId19" Type="http://schemas.openxmlformats.org/officeDocument/2006/relationships/hyperlink" Target="https://autodemic.ru/product/generator-vaz-2108-2115-lada-priora-100-a" TargetMode="External"/><Relationship Id="rId31" Type="http://schemas.openxmlformats.org/officeDocument/2006/relationships/hyperlink" Target="https://www.ozon.ru/product/generator-2170-125a-21700370101082-1-sht-495894641/" TargetMode="External"/><Relationship Id="rId4" Type="http://schemas.openxmlformats.org/officeDocument/2006/relationships/hyperlink" Target="https://bi-bi.ru/product/e0000036951" TargetMode="External"/><Relationship Id="rId9" Type="http://schemas.openxmlformats.org/officeDocument/2006/relationships/hyperlink" Target="https://original-detal.ru/catalog/elektrooborudovanie/elektrooborudovanie_dvigatelya/generatory/generatory_1/vaz_1118_2190_2170/183557/" TargetMode="External"/><Relationship Id="rId14" Type="http://schemas.openxmlformats.org/officeDocument/2006/relationships/hyperlink" Target="https://original-detal.ru/catalog/elektrooborudovanie/elektrooborudovanie_dvigatelya/generatory/generatory_1/chevrolet_niva_vaz_2123/204431/" TargetMode="External"/><Relationship Id="rId22" Type="http://schemas.openxmlformats.org/officeDocument/2006/relationships/hyperlink" Target="https://autodemic.ru/product/generator-lada-priora-kalina-granta-115-a" TargetMode="External"/><Relationship Id="rId27" Type="http://schemas.openxmlformats.org/officeDocument/2006/relationships/hyperlink" Target="https://autodemic.ru/product/generator-vaz-2113-2115-lada-priora-90-a" TargetMode="External"/><Relationship Id="rId30" Type="http://schemas.openxmlformats.org/officeDocument/2006/relationships/hyperlink" Target="https://www.ozon.ru/product/generator-lada-21214-100a-3701010-83-21214370101083-647783721/" TargetMode="External"/><Relationship Id="rId35" Type="http://schemas.openxmlformats.org/officeDocument/2006/relationships/hyperlink" Target="https://www.ozon.ru/product/lada-generator-lada-21120370101008-art-21120370101008-753680143/" TargetMode="External"/><Relationship Id="rId8" Type="http://schemas.openxmlformats.org/officeDocument/2006/relationships/hyperlink" Target="https://www.avtoall.ru/generator_vaz_1118_1119_2112_2170_2190_14v_90a_avtovaz-152723/" TargetMode="External"/><Relationship Id="rId3" Type="http://schemas.openxmlformats.org/officeDocument/2006/relationships/hyperlink" Target="https://&#1083;&#1072;&#1076;&#1072;.&#1086;&#1085;&#1083;&#1072;&#1081;&#1085;/shop/niva-chevrolet/electrical-equipment-niva-chevrolet/33766-generator-pramo-jelektro-110a-dlja-lada-niva-travel-chevrolet.html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original-detal.ru/catalog/elektrooborudovanie/elektrooborudovanie_dvigatelya/generatory/generatory_1/vaz_2108_15_2110_12/439439/" TargetMode="External"/><Relationship Id="rId18" Type="http://schemas.openxmlformats.org/officeDocument/2006/relationships/hyperlink" Target="https://original-detal.ru/catalog/elektrooborudovanie/elektrooborudovanie_dvigatelya/generatory/generatory_1/vaz_1118_2190_2170/440175/" TargetMode="External"/><Relationship Id="rId26" Type="http://schemas.openxmlformats.org/officeDocument/2006/relationships/hyperlink" Target="https://autodemic.ru/product/generator-chevrolet-niva-80-a-2" TargetMode="External"/><Relationship Id="rId21" Type="http://schemas.openxmlformats.org/officeDocument/2006/relationships/hyperlink" Target="https://autodemic.ru/product/generator-chevrolet-niva-100-a-s-092003gv" TargetMode="External"/><Relationship Id="rId34" Type="http://schemas.openxmlformats.org/officeDocument/2006/relationships/hyperlink" Target="https://www.ozon.ru/product/generator-lada-21214-80-90a-3701010-03-21214370101003-647780649/" TargetMode="External"/><Relationship Id="rId7" Type="http://schemas.openxmlformats.org/officeDocument/2006/relationships/hyperlink" Target="https://www.avtoall.ru/generator_vaz_2108_2115_2170_shkiv_poliklinovoiy_14v_90a_avtovaz-670867/" TargetMode="External"/><Relationship Id="rId12" Type="http://schemas.openxmlformats.org/officeDocument/2006/relationships/hyperlink" Target="https://original-detal.ru/catalog/elektrooborudovanie/elektrooborudovanie_dvigatelya/generatory/generatory_1/vaz_1118_2190_2170/439171/" TargetMode="External"/><Relationship Id="rId17" Type="http://schemas.openxmlformats.org/officeDocument/2006/relationships/hyperlink" Target="https://original-detal.ru/catalog/elektrooborudovanie/elektrooborudovanie_dvigatelya/generatory/generatory_1/vaz_2108_15_2110_12/440177/" TargetMode="External"/><Relationship Id="rId25" Type="http://schemas.openxmlformats.org/officeDocument/2006/relationships/hyperlink" Target="https://autodemic.ru/product/generator-lada-4x4-80-a-do-2003-gv" TargetMode="External"/><Relationship Id="rId33" Type="http://schemas.openxmlformats.org/officeDocument/2006/relationships/hyperlink" Target="https://www.ozon.ru/product/lada-generator-v-sbore-art-21230370101084-1-sht-1256260493/" TargetMode="External"/><Relationship Id="rId38" Type="http://schemas.openxmlformats.org/officeDocument/2006/relationships/comments" Target="../comments2.xml"/><Relationship Id="rId2" Type="http://schemas.openxmlformats.org/officeDocument/2006/relationships/hyperlink" Target="https://bi-bi.ru/product/e0000036360" TargetMode="External"/><Relationship Id="rId16" Type="http://schemas.openxmlformats.org/officeDocument/2006/relationships/hyperlink" Target="https://original-detal.ru/catalog/elektrooborudovanie/elektrooborudovanie_dvigatelya/generatory/generatory_1/chevrolet_niva_vaz_2123/183521/" TargetMode="External"/><Relationship Id="rId20" Type="http://schemas.openxmlformats.org/officeDocument/2006/relationships/hyperlink" Target="https://autodemic.ru/product/generator-v-sbore-lada-4x4" TargetMode="External"/><Relationship Id="rId29" Type="http://schemas.openxmlformats.org/officeDocument/2006/relationships/hyperlink" Target="https://www.ozon.ru/product/generator-vaz-2108-2109-21099-2110-2111-2112-2113-2114-2115-2170-100a-original-188797422/" TargetMode="External"/><Relationship Id="rId1" Type="http://schemas.openxmlformats.org/officeDocument/2006/relationships/hyperlink" Target="https://standart-detail.ru/products/generator-vaz-2108-09-vaz-2113-15-vaz-2110-12-vaz-2170-priora-100-a-21120370101083" TargetMode="External"/><Relationship Id="rId6" Type="http://schemas.openxmlformats.org/officeDocument/2006/relationships/hyperlink" Target="https://www.avtoall.ru/generator_vaz_21214__19___injektor_14v_80a_avtovaz-171140/" TargetMode="External"/><Relationship Id="rId11" Type="http://schemas.openxmlformats.org/officeDocument/2006/relationships/hyperlink" Target="https://original-detal.ru/catalog/elektrooborudovanie/elektrooborudovanie_dvigatelya/generatory/generatory_1/chevrolet_niva_vaz_2123/183521/" TargetMode="External"/><Relationship Id="rId24" Type="http://schemas.openxmlformats.org/officeDocument/2006/relationships/hyperlink" Target="https://autodemic.ru/product/generator-chevrolet-niva-120-a" TargetMode="External"/><Relationship Id="rId32" Type="http://schemas.openxmlformats.org/officeDocument/2006/relationships/hyperlink" Target="https://www.ozon.ru/product/generator-vaz-2108-2109-21099-2110-2111-2112-2113-2114-2115-2170-120a-original-188797423/" TargetMode="External"/><Relationship Id="rId37" Type="http://schemas.openxmlformats.org/officeDocument/2006/relationships/vmlDrawing" Target="../drawings/vmlDrawing2.vml"/><Relationship Id="rId5" Type="http://schemas.openxmlformats.org/officeDocument/2006/relationships/hyperlink" Target="https://standart-detail.ru/products/generator-vaz-2108-09-vaz-2113-15-2110-12-vaz-2170-priora-120-a-21120370101084" TargetMode="External"/><Relationship Id="rId15" Type="http://schemas.openxmlformats.org/officeDocument/2006/relationships/hyperlink" Target="https://original-detal.ru/catalog/elektrooborudovanie/elektrooborudovanie_dvigatelya/generatory/generatory_1/vaz_2101_07_2121_21214_1/183520/" TargetMode="External"/><Relationship Id="rId23" Type="http://schemas.openxmlformats.org/officeDocument/2006/relationships/hyperlink" Target="https://autodemic.ru/product/generator-vaz-2108-2115-lada-priora-120-a" TargetMode="External"/><Relationship Id="rId28" Type="http://schemas.openxmlformats.org/officeDocument/2006/relationships/hyperlink" Target="https://autodemic.ru/product/generator-lada-kalina-90-a" TargetMode="External"/><Relationship Id="rId36" Type="http://schemas.openxmlformats.org/officeDocument/2006/relationships/hyperlink" Target="https://www.ozon.ru/product/generator-1117-1119-90a-avtovaz-firm-upak-11190370101003-562561608/" TargetMode="External"/><Relationship Id="rId10" Type="http://schemas.openxmlformats.org/officeDocument/2006/relationships/hyperlink" Target="https://original-detal.ru/catalog/elektrooborudovanie/elektrooborudovanie_dvigatelya/generatory/generatory_1/vaz_2101_07_2121_21214_1/439515/" TargetMode="External"/><Relationship Id="rId19" Type="http://schemas.openxmlformats.org/officeDocument/2006/relationships/hyperlink" Target="https://autodemic.ru/product/generator-vaz-2108-2115-lada-priora-100-a" TargetMode="External"/><Relationship Id="rId31" Type="http://schemas.openxmlformats.org/officeDocument/2006/relationships/hyperlink" Target="https://www.ozon.ru/product/generator-2170-125a-21700370101082-1-sht-495894641/" TargetMode="External"/><Relationship Id="rId4" Type="http://schemas.openxmlformats.org/officeDocument/2006/relationships/hyperlink" Target="https://bi-bi.ru/product/e0000036951" TargetMode="External"/><Relationship Id="rId9" Type="http://schemas.openxmlformats.org/officeDocument/2006/relationships/hyperlink" Target="https://original-detal.ru/catalog/elektrooborudovanie/elektrooborudovanie_dvigatelya/generatory/generatory_1/vaz_1118_2190_2170/183557/" TargetMode="External"/><Relationship Id="rId14" Type="http://schemas.openxmlformats.org/officeDocument/2006/relationships/hyperlink" Target="https://original-detal.ru/catalog/elektrooborudovanie/elektrooborudovanie_dvigatelya/generatory/generatory_1/chevrolet_niva_vaz_2123/204431/" TargetMode="External"/><Relationship Id="rId22" Type="http://schemas.openxmlformats.org/officeDocument/2006/relationships/hyperlink" Target="https://autodemic.ru/product/generator-lada-priora-kalina-granta-115-a" TargetMode="External"/><Relationship Id="rId27" Type="http://schemas.openxmlformats.org/officeDocument/2006/relationships/hyperlink" Target="https://autodemic.ru/product/generator-vaz-2113-2115-lada-priora-90-a" TargetMode="External"/><Relationship Id="rId30" Type="http://schemas.openxmlformats.org/officeDocument/2006/relationships/hyperlink" Target="https://www.ozon.ru/product/generator-lada-21214-100a-3701010-83-21214370101083-647783721/" TargetMode="External"/><Relationship Id="rId35" Type="http://schemas.openxmlformats.org/officeDocument/2006/relationships/hyperlink" Target="https://www.ozon.ru/product/lada-generator-lada-21120370101008-art-21120370101008-753680143/" TargetMode="External"/><Relationship Id="rId8" Type="http://schemas.openxmlformats.org/officeDocument/2006/relationships/hyperlink" Target="https://www.avtoall.ru/generator_vaz_1118_1119_2112_2170_2190_14v_90a_avtovaz-152723/" TargetMode="External"/><Relationship Id="rId3" Type="http://schemas.openxmlformats.org/officeDocument/2006/relationships/hyperlink" Target="https://&#1083;&#1072;&#1076;&#1072;.&#1086;&#1085;&#1083;&#1072;&#1081;&#1085;/shop/niva-chevrolet/electrical-equipment-niva-chevrolet/33766-generator-pramo-jelektro-110a-dlja-lada-niva-travel-chevrole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FEF25-E7AD-4668-B116-2807476FA40D}">
  <sheetPr>
    <outlinePr summaryBelow="0"/>
  </sheetPr>
  <dimension ref="A1:T21"/>
  <sheetViews>
    <sheetView tabSelected="1" showRuler="0" zoomScaleNormal="100" workbookViewId="0">
      <pane ySplit="2" topLeftCell="A3" activePane="bottomLeft" state="frozen"/>
      <selection pane="bottomLeft" activeCell="C6" sqref="C6"/>
    </sheetView>
  </sheetViews>
  <sheetFormatPr defaultRowHeight="15" x14ac:dyDescent="0.25"/>
  <cols>
    <col min="1" max="2" width="7" bestFit="1" customWidth="1"/>
    <col min="3" max="3" width="33.28515625" customWidth="1"/>
    <col min="4" max="4" width="2" bestFit="1" customWidth="1"/>
    <col min="5" max="5" width="15.140625" bestFit="1" customWidth="1"/>
    <col min="6" max="6" width="11.140625" bestFit="1" customWidth="1"/>
    <col min="7" max="8" width="6" bestFit="1" customWidth="1"/>
    <col min="9" max="9" width="6.28515625" bestFit="1" customWidth="1"/>
    <col min="10" max="10" width="6" bestFit="1" customWidth="1"/>
    <col min="11" max="11" width="7.42578125" bestFit="1" customWidth="1"/>
    <col min="12" max="12" width="6.28515625" bestFit="1" customWidth="1"/>
    <col min="13" max="13" width="6.28515625" style="18" customWidth="1"/>
    <col min="14" max="14" width="31.5703125" customWidth="1"/>
    <col min="15" max="15" width="6.140625" bestFit="1" customWidth="1"/>
    <col min="16" max="16" width="6.140625" style="18" customWidth="1"/>
    <col min="17" max="17" width="36" customWidth="1"/>
    <col min="18" max="18" width="10.42578125" bestFit="1" customWidth="1"/>
    <col min="19" max="19" width="10.42578125" style="18" customWidth="1"/>
    <col min="20" max="20" width="35.140625" customWidth="1"/>
  </cols>
  <sheetData>
    <row r="1" spans="1:20" x14ac:dyDescent="0.25">
      <c r="B1" s="5">
        <v>2</v>
      </c>
      <c r="C1" s="5">
        <v>3</v>
      </c>
      <c r="D1" s="6">
        <v>4</v>
      </c>
      <c r="E1" s="6">
        <v>5</v>
      </c>
      <c r="G1" s="6">
        <v>8</v>
      </c>
      <c r="H1" s="6">
        <v>9</v>
      </c>
      <c r="I1" s="6"/>
      <c r="J1" s="6"/>
      <c r="K1" s="6"/>
      <c r="L1" s="6"/>
      <c r="M1" s="6"/>
    </row>
    <row r="2" spans="1:20" s="1" customFormat="1" x14ac:dyDescent="0.25">
      <c r="A2" s="2" t="s">
        <v>0</v>
      </c>
      <c r="B2" s="7" t="s">
        <v>1</v>
      </c>
      <c r="C2" s="7" t="s">
        <v>50</v>
      </c>
      <c r="D2" s="7"/>
      <c r="E2" s="7" t="s">
        <v>51</v>
      </c>
      <c r="F2" s="2" t="s">
        <v>6</v>
      </c>
      <c r="G2" s="7"/>
      <c r="H2" s="7"/>
      <c r="I2" s="7"/>
      <c r="J2" s="7"/>
      <c r="K2" s="7" t="s">
        <v>192</v>
      </c>
      <c r="L2" s="10" t="s">
        <v>52</v>
      </c>
      <c r="M2" s="19"/>
      <c r="N2" s="10" t="s">
        <v>52</v>
      </c>
      <c r="O2" s="10" t="s">
        <v>73</v>
      </c>
      <c r="P2" s="19"/>
      <c r="Q2" s="10" t="s">
        <v>73</v>
      </c>
      <c r="R2" s="15" t="s">
        <v>84</v>
      </c>
      <c r="S2" s="19"/>
      <c r="T2" s="15" t="s">
        <v>84</v>
      </c>
    </row>
    <row r="3" spans="1:20" ht="60.75" thickBot="1" x14ac:dyDescent="0.3">
      <c r="A3" s="32">
        <v>376516</v>
      </c>
      <c r="B3" s="8">
        <f>VLOOKUP($A3,'Кардан Выгр Кат'!$A:$R,B$1,0)</f>
        <v>376516</v>
      </c>
      <c r="C3" s="9" t="str">
        <f>VLOOKUP($A3,'Кардан Выгр Кат'!$A:$R,C$1,0)</f>
        <v>Вал карданный Кардан в сборе для ВАЗ 2101-2107</v>
      </c>
      <c r="D3" s="8" t="str">
        <f>VLOOKUP($A3,'Кардан Выгр Кат'!$A:$R,D$1,0)</f>
        <v>Y</v>
      </c>
      <c r="E3" s="8" t="str">
        <f>VLOOKUP($A3,'Кардан Выгр Кат'!$A:$R,E$1,0)</f>
        <v>21050220001202</v>
      </c>
      <c r="F3" s="4" t="s">
        <v>14</v>
      </c>
      <c r="G3" s="13">
        <f>VLOOKUP($A3,'Кардан Выгр Кат'!$A:$R,G$1,0)</f>
        <v>13019</v>
      </c>
      <c r="H3" s="8">
        <f>VLOOKUP($A3,'Кардан Выгр Кат'!$A:$R,H$1,0)</f>
        <v>16990</v>
      </c>
      <c r="I3" s="14">
        <f>IF(J3&lt;&gt;"",J3/G3-1,"")</f>
        <v>7.4583301328827067E-2</v>
      </c>
      <c r="J3" s="13">
        <f>ROUNDUP(K3,-2)-10</f>
        <v>13990</v>
      </c>
      <c r="K3" s="8">
        <f>MIN(L3,O3,R3)</f>
        <v>13990</v>
      </c>
      <c r="L3" s="51">
        <v>13990</v>
      </c>
      <c r="M3" s="22">
        <f>VLOOKUP(N3,Парсинг!$A:$C,3,0)</f>
        <v>13990</v>
      </c>
      <c r="N3" s="20" t="s">
        <v>53</v>
      </c>
      <c r="O3" s="53">
        <v>16990</v>
      </c>
      <c r="P3" s="22">
        <f>VLOOKUP(Q3,Парсинг!$A:$C,3,0)</f>
        <v>16990</v>
      </c>
      <c r="Q3" s="12" t="s">
        <v>61</v>
      </c>
      <c r="R3" s="52">
        <v>14750</v>
      </c>
      <c r="S3" s="22">
        <f>VLOOKUP(T3,Парсинг!$A:$C,3,0)</f>
        <v>14750</v>
      </c>
      <c r="T3" s="12" t="s">
        <v>74</v>
      </c>
    </row>
    <row r="4" spans="1:20" ht="30.75" thickTop="1" x14ac:dyDescent="0.25">
      <c r="A4" s="3">
        <v>376530</v>
      </c>
      <c r="B4" s="8">
        <f>VLOOKUP($A4,'Кардан Выгр Кат'!$A:$R,B$1,0)</f>
        <v>376530</v>
      </c>
      <c r="C4" s="9" t="str">
        <f>VLOOKUP($A4,'Кардан Выгр Кат'!$A:$R,C$1,0)</f>
        <v>Вал карданный Кардан в сборе для ВИС 2345</v>
      </c>
      <c r="D4" s="8" t="str">
        <f>VLOOKUP($A4,'Кардан Выгр Кат'!$A:$R,D$1,0)</f>
        <v>Y</v>
      </c>
      <c r="E4" s="8" t="str">
        <f>VLOOKUP($A4,'Кардан Выгр Кат'!$A:$R,E$1,0)</f>
        <v>21050220001280</v>
      </c>
      <c r="F4" s="4" t="s">
        <v>14</v>
      </c>
      <c r="G4" s="13">
        <f>VLOOKUP($A4,'Кардан Выгр Кат'!$A:$R,G$1,0)</f>
        <v>11633</v>
      </c>
      <c r="H4" s="8">
        <f>VLOOKUP($A4,'Кардан Выгр Кат'!$A:$R,H$1,0)</f>
        <v>15190</v>
      </c>
      <c r="I4" s="14">
        <f t="shared" ref="I4:I21" si="0">IF(J4&lt;&gt;"",J4/G4-1,"")</f>
        <v>-1.0008596234849136</v>
      </c>
      <c r="J4" s="13">
        <f t="shared" ref="J4:J21" si="1">ROUNDUP(K4,-2)-10</f>
        <v>-10</v>
      </c>
      <c r="K4" s="8">
        <f t="shared" ref="K4:K21" si="2">MIN(L4,O4,R4)</f>
        <v>0</v>
      </c>
      <c r="L4" s="8"/>
      <c r="M4" s="21"/>
      <c r="N4" s="4"/>
      <c r="O4" s="12"/>
      <c r="P4" s="12"/>
      <c r="Q4" s="12"/>
      <c r="R4" s="12"/>
      <c r="S4" s="12"/>
      <c r="T4" s="12"/>
    </row>
    <row r="5" spans="1:20" ht="30" x14ac:dyDescent="0.25">
      <c r="A5" s="3">
        <v>139011</v>
      </c>
      <c r="B5" s="8">
        <f>VLOOKUP($A5,'Кардан Выгр Кат'!$A:$R,B$1,0)</f>
        <v>38326</v>
      </c>
      <c r="C5" s="9" t="str">
        <f>VLOOKUP($A5,'Кардан Выгр Кат'!$A:$R,C$1,0)</f>
        <v>Вал карданный КАРДАН в сборе на ШРУС для ВАЗ 2101-2107</v>
      </c>
      <c r="D5" s="8" t="str">
        <f>VLOOKUP($A5,'Кардан Выгр Кат'!$A:$R,D$1,0)</f>
        <v>Y</v>
      </c>
      <c r="E5" s="8" t="str">
        <f>VLOOKUP($A5,'Кардан Выгр Кат'!$A:$R,E$1,0)</f>
        <v>21050220001201</v>
      </c>
      <c r="F5" s="4" t="s">
        <v>14</v>
      </c>
      <c r="G5" s="13">
        <f>VLOOKUP($A5,'Кардан Выгр Кат'!$A:$R,G$1,0)</f>
        <v>17424</v>
      </c>
      <c r="H5" s="8">
        <f>VLOOKUP($A5,'Кардан Выгр Кат'!$A:$R,H$1,0)</f>
        <v>22690</v>
      </c>
      <c r="I5" s="14">
        <f t="shared" si="0"/>
        <v>-1.0005739210284665</v>
      </c>
      <c r="J5" s="13">
        <f t="shared" si="1"/>
        <v>-10</v>
      </c>
      <c r="K5" s="8">
        <f t="shared" si="2"/>
        <v>0</v>
      </c>
      <c r="L5" s="8"/>
      <c r="M5" s="8"/>
      <c r="N5" s="4"/>
      <c r="O5" s="12"/>
      <c r="P5" s="12"/>
      <c r="Q5" s="12"/>
      <c r="R5" s="12"/>
      <c r="S5" s="12"/>
      <c r="T5" s="12"/>
    </row>
    <row r="6" spans="1:20" ht="45.75" thickBot="1" x14ac:dyDescent="0.3">
      <c r="A6" s="3">
        <v>139012</v>
      </c>
      <c r="B6" s="8">
        <f>VLOOKUP($A6,'Кардан Выгр Кат'!$A:$R,B$1,0)</f>
        <v>31352</v>
      </c>
      <c r="C6" s="9" t="str">
        <f>VLOOKUP($A6,'Кардан Выгр Кат'!$A:$R,C$1,0)</f>
        <v>Вал карданный КАРДАН задний в сборе со ШРУСом для Лада Нива 4x4</v>
      </c>
      <c r="D6" s="8" t="str">
        <f>VLOOKUP($A6,'Кардан Выгр Кат'!$A:$R,D$1,0)</f>
        <v>Y</v>
      </c>
      <c r="E6" s="8" t="str">
        <f>VLOOKUP($A6,'Кардан Выгр Кат'!$A:$R,E$1,0)</f>
        <v>21310220101020</v>
      </c>
      <c r="F6" s="4" t="s">
        <v>14</v>
      </c>
      <c r="G6" s="13">
        <f>VLOOKUP($A6,'Кардан Выгр Кат'!$A:$R,G$1,0)</f>
        <v>17523</v>
      </c>
      <c r="H6" s="8">
        <f>VLOOKUP($A6,'Кардан Выгр Кат'!$A:$R,H$1,0)</f>
        <v>24990</v>
      </c>
      <c r="I6" s="14">
        <f t="shared" si="0"/>
        <v>0.42612566341379909</v>
      </c>
      <c r="J6" s="13">
        <f t="shared" si="1"/>
        <v>24990</v>
      </c>
      <c r="K6" s="8">
        <f t="shared" si="2"/>
        <v>24990</v>
      </c>
      <c r="L6" s="11">
        <v>24990</v>
      </c>
      <c r="M6" s="22">
        <f>VLOOKUP(N6,Парсинг!$A:$C,3,0)</f>
        <v>24990</v>
      </c>
      <c r="N6" s="4" t="s">
        <v>54</v>
      </c>
      <c r="O6" s="12"/>
      <c r="P6" s="12"/>
      <c r="Q6" s="12"/>
      <c r="R6" s="17">
        <v>31110</v>
      </c>
      <c r="S6" s="22">
        <f>VLOOKUP(T6,Парсинг!$A:$C,3,0)</f>
        <v>31110</v>
      </c>
      <c r="T6" s="12" t="s">
        <v>75</v>
      </c>
    </row>
    <row r="7" spans="1:20" ht="61.5" thickTop="1" thickBot="1" x14ac:dyDescent="0.3">
      <c r="A7" s="3">
        <v>139013</v>
      </c>
      <c r="B7" s="8">
        <f>VLOOKUP($A7,'Кардан Выгр Кат'!$A:$R,B$1,0)</f>
        <v>21781</v>
      </c>
      <c r="C7" s="9" t="str">
        <f>VLOOKUP($A7,'Кардан Выгр Кат'!$A:$R,C$1,0)</f>
        <v>Вал карданный Кардан задний с ШРУСами для Лада Нива 4x4, Нива 4x4 Урбан, Шевроле Нива</v>
      </c>
      <c r="D7" s="8" t="str">
        <f>VLOOKUP($A7,'Кардан Выгр Кат'!$A:$R,D$1,0)</f>
        <v>Y</v>
      </c>
      <c r="E7" s="8" t="str">
        <f>VLOOKUP($A7,'Кардан Выгр Кат'!$A:$R,E$1,0)</f>
        <v>21214220101200</v>
      </c>
      <c r="F7" s="4" t="s">
        <v>14</v>
      </c>
      <c r="G7" s="13">
        <f>VLOOKUP($A7,'Кардан Выгр Кат'!$A:$R,G$1,0)</f>
        <v>12185</v>
      </c>
      <c r="H7" s="8">
        <f>VLOOKUP($A7,'Кардан Выгр Кат'!$A:$R,H$1,0)</f>
        <v>15890</v>
      </c>
      <c r="I7" s="14">
        <f t="shared" si="0"/>
        <v>0.35330324169060323</v>
      </c>
      <c r="J7" s="13">
        <f t="shared" si="1"/>
        <v>16490</v>
      </c>
      <c r="K7" s="8">
        <f t="shared" si="2"/>
        <v>16500</v>
      </c>
      <c r="L7" s="11">
        <v>17290</v>
      </c>
      <c r="M7" s="22">
        <f>VLOOKUP(N7,Парсинг!$A:$C,3,0)</f>
        <v>17290</v>
      </c>
      <c r="N7" s="4" t="s">
        <v>22</v>
      </c>
      <c r="O7" s="16">
        <v>16500</v>
      </c>
      <c r="P7" s="22">
        <f>VLOOKUP(Q7,Парсинг!$A:$C,3,0)</f>
        <v>16500</v>
      </c>
      <c r="Q7" s="12" t="s">
        <v>62</v>
      </c>
      <c r="R7" s="17">
        <v>17770</v>
      </c>
      <c r="S7" s="22">
        <f>VLOOKUP(T7,Парсинг!$A:$C,3,0)</f>
        <v>17770</v>
      </c>
      <c r="T7" s="12" t="s">
        <v>76</v>
      </c>
    </row>
    <row r="8" spans="1:20" ht="61.5" thickTop="1" thickBot="1" x14ac:dyDescent="0.3">
      <c r="A8" s="3">
        <v>139014</v>
      </c>
      <c r="B8" s="8">
        <f>VLOOKUP($A8,'Кардан Выгр Кат'!$A:$R,B$1,0)</f>
        <v>13011</v>
      </c>
      <c r="C8" s="9" t="str">
        <f>VLOOKUP($A8,'Кардан Выгр Кат'!$A:$R,C$1,0)</f>
        <v>Вал карданный КАРДАН задний, на крестовине для Лада Нива 4х4</v>
      </c>
      <c r="D8" s="8" t="str">
        <f>VLOOKUP($A8,'Кардан Выгр Кат'!$A:$R,D$1,0)</f>
        <v>Y</v>
      </c>
      <c r="E8" s="8" t="str">
        <f>VLOOKUP($A8,'Кардан Выгр Кат'!$A:$R,E$1,0)</f>
        <v>21214220101210</v>
      </c>
      <c r="F8" s="4" t="s">
        <v>14</v>
      </c>
      <c r="G8" s="13">
        <f>VLOOKUP($A8,'Кардан Выгр Кат'!$A:$R,G$1,0)</f>
        <v>8910</v>
      </c>
      <c r="H8" s="8">
        <f>VLOOKUP($A8,'Кардан Выгр Кат'!$A:$R,H$1,0)</f>
        <v>12090</v>
      </c>
      <c r="I8" s="14">
        <f t="shared" si="0"/>
        <v>0.16610549943883268</v>
      </c>
      <c r="J8" s="13">
        <f t="shared" si="1"/>
        <v>10390</v>
      </c>
      <c r="K8" s="8">
        <f t="shared" si="2"/>
        <v>10400</v>
      </c>
      <c r="L8" s="11">
        <v>10990</v>
      </c>
      <c r="M8" s="22">
        <f>VLOOKUP(N8,Парсинг!$A:$C,3,0)</f>
        <v>10990</v>
      </c>
      <c r="N8" s="4" t="s">
        <v>25</v>
      </c>
      <c r="O8" s="16">
        <v>10400</v>
      </c>
      <c r="P8" s="22">
        <f>VLOOKUP(Q8,Парсинг!$A:$C,3,0)</f>
        <v>10400</v>
      </c>
      <c r="Q8" s="12" t="s">
        <v>63</v>
      </c>
      <c r="R8" s="17">
        <v>12450</v>
      </c>
      <c r="S8" s="22">
        <f>VLOOKUP(T8,Парсинг!$A:$C,3,0)</f>
        <v>12450</v>
      </c>
      <c r="T8" s="12" t="s">
        <v>77</v>
      </c>
    </row>
    <row r="9" spans="1:20" ht="61.5" thickTop="1" thickBot="1" x14ac:dyDescent="0.3">
      <c r="A9" s="3">
        <v>139015</v>
      </c>
      <c r="B9" s="8">
        <f>VLOOKUP($A9,'Кардан Выгр Кат'!$A:$R,B$1,0)</f>
        <v>21780</v>
      </c>
      <c r="C9" s="9" t="str">
        <f>VLOOKUP($A9,'Кардан Выгр Кат'!$A:$R,C$1,0)</f>
        <v>Вал карданный КАРДАН передний с ШРУСами для Лада Нива 4х4, Шевроле Нива</v>
      </c>
      <c r="D9" s="8" t="str">
        <f>VLOOKUP($A9,'Кардан Выгр Кат'!$A:$R,D$1,0)</f>
        <v>Y</v>
      </c>
      <c r="E9" s="8" t="str">
        <f>VLOOKUP($A9,'Кардан Выгр Кат'!$A:$R,E$1,0)</f>
        <v>21214220301200</v>
      </c>
      <c r="F9" s="4" t="s">
        <v>14</v>
      </c>
      <c r="G9" s="13">
        <f>VLOOKUP($A9,'Кардан Выгр Кат'!$A:$R,G$1,0)</f>
        <v>11534</v>
      </c>
      <c r="H9" s="8">
        <f>VLOOKUP($A9,'Кардан Выгр Кат'!$A:$R,H$1,0)</f>
        <v>14990</v>
      </c>
      <c r="I9" s="14">
        <f t="shared" si="0"/>
        <v>8.2885382347841263E-2</v>
      </c>
      <c r="J9" s="13">
        <f t="shared" si="1"/>
        <v>12490</v>
      </c>
      <c r="K9" s="8">
        <f t="shared" si="2"/>
        <v>12480</v>
      </c>
      <c r="L9" s="11">
        <v>15190</v>
      </c>
      <c r="M9" s="22">
        <f>VLOOKUP(N9,Парсинг!$A:$C,3,0)</f>
        <v>15190</v>
      </c>
      <c r="N9" s="4" t="s">
        <v>28</v>
      </c>
      <c r="O9" s="16">
        <v>12480</v>
      </c>
      <c r="P9" s="22">
        <f>VLOOKUP(Q9,Парсинг!$A:$C,3,0)</f>
        <v>12480</v>
      </c>
      <c r="Q9" s="12" t="s">
        <v>64</v>
      </c>
      <c r="R9" s="17">
        <v>17110</v>
      </c>
      <c r="S9" s="22">
        <f>VLOOKUP(T9,Парсинг!$A:$C,3,0)</f>
        <v>17110</v>
      </c>
      <c r="T9" s="12" t="s">
        <v>78</v>
      </c>
    </row>
    <row r="10" spans="1:20" ht="61.5" thickTop="1" thickBot="1" x14ac:dyDescent="0.3">
      <c r="A10" s="3">
        <v>139016</v>
      </c>
      <c r="B10" s="8">
        <f>VLOOKUP($A10,'Кардан Выгр Кат'!$A:$R,B$1,0)</f>
        <v>13012</v>
      </c>
      <c r="C10" s="9" t="str">
        <f>VLOOKUP($A10,'Кардан Выгр Кат'!$A:$R,C$1,0)</f>
        <v>Вал карданный Кардан передний, на крестовине для Лада Нива 4х4</v>
      </c>
      <c r="D10" s="8" t="str">
        <f>VLOOKUP($A10,'Кардан Выгр Кат'!$A:$R,D$1,0)</f>
        <v>Y</v>
      </c>
      <c r="E10" s="8" t="str">
        <f>VLOOKUP($A10,'Кардан Выгр Кат'!$A:$R,E$1,0)</f>
        <v>21214220301210</v>
      </c>
      <c r="F10" s="4" t="s">
        <v>14</v>
      </c>
      <c r="G10" s="13">
        <f>VLOOKUP($A10,'Кардан Выгр Кат'!$A:$R,G$1,0)</f>
        <v>9396</v>
      </c>
      <c r="H10" s="8">
        <f>VLOOKUP($A10,'Кардан Выгр Кат'!$A:$R,H$1,0)</f>
        <v>12690</v>
      </c>
      <c r="I10" s="14">
        <f t="shared" si="0"/>
        <v>8.450404427415914E-2</v>
      </c>
      <c r="J10" s="13">
        <f t="shared" si="1"/>
        <v>10190</v>
      </c>
      <c r="K10" s="8">
        <f t="shared" si="2"/>
        <v>10150</v>
      </c>
      <c r="L10" s="11">
        <v>14290</v>
      </c>
      <c r="M10" s="22">
        <f>VLOOKUP(N10,Парсинг!$A:$C,3,0)</f>
        <v>14290</v>
      </c>
      <c r="N10" s="4" t="s">
        <v>31</v>
      </c>
      <c r="O10" s="16">
        <v>10150</v>
      </c>
      <c r="P10" s="22">
        <f>VLOOKUP(Q10,Парсинг!$A:$C,3,0)</f>
        <v>10150</v>
      </c>
      <c r="Q10" s="12" t="s">
        <v>65</v>
      </c>
      <c r="R10" s="17">
        <v>12010</v>
      </c>
      <c r="S10" s="22">
        <f>VLOOKUP(T10,Парсинг!$A:$C,3,0)</f>
        <v>12010</v>
      </c>
      <c r="T10" s="12" t="s">
        <v>79</v>
      </c>
    </row>
    <row r="11" spans="1:20" ht="46.5" thickTop="1" thickBot="1" x14ac:dyDescent="0.3">
      <c r="A11" s="3">
        <v>139029</v>
      </c>
      <c r="B11" s="8">
        <f>VLOOKUP($A11,'Кардан Выгр Кат'!$A:$R,B$1,0)</f>
        <v>43972</v>
      </c>
      <c r="C11" s="9" t="str">
        <f>VLOOKUP($A11,'Кардан Выгр Кат'!$A:$R,C$1,0)</f>
        <v>Вал карданный в сборе на крестовине Кардан  для ВАЗ 2101-2107</v>
      </c>
      <c r="D11" s="8" t="str">
        <f>VLOOKUP($A11,'Кардан Выгр Кат'!$A:$R,D$1,0)</f>
        <v>Y</v>
      </c>
      <c r="E11" s="8" t="str">
        <f>VLOOKUP($A11,'Кардан Выгр Кат'!$A:$R,E$1,0)</f>
        <v>21050220001200</v>
      </c>
      <c r="F11" s="4" t="s">
        <v>14</v>
      </c>
      <c r="G11" s="13">
        <f>VLOOKUP($A11,'Кардан Выгр Кат'!$A:$R,G$1,0)</f>
        <v>10935</v>
      </c>
      <c r="H11" s="8">
        <f>VLOOKUP($A11,'Кардан Выгр Кат'!$A:$R,H$1,0)</f>
        <v>14290</v>
      </c>
      <c r="I11" s="14">
        <f t="shared" si="0"/>
        <v>0.16963877457704624</v>
      </c>
      <c r="J11" s="13">
        <f t="shared" si="1"/>
        <v>12790</v>
      </c>
      <c r="K11" s="8">
        <f t="shared" si="2"/>
        <v>12790</v>
      </c>
      <c r="L11" s="11">
        <v>12790</v>
      </c>
      <c r="M11" s="22">
        <f>VLOOKUP(N11,Парсинг!$A:$C,3,0)</f>
        <v>12790</v>
      </c>
      <c r="N11" s="4" t="s">
        <v>55</v>
      </c>
      <c r="O11" s="12"/>
      <c r="P11" s="12"/>
      <c r="Q11" s="12"/>
      <c r="R11" s="17">
        <v>14750</v>
      </c>
      <c r="S11" s="22">
        <f>VLOOKUP(T11,Парсинг!$A:$C,3,0)</f>
        <v>14750</v>
      </c>
      <c r="T11" s="12" t="s">
        <v>74</v>
      </c>
    </row>
    <row r="12" spans="1:20" ht="76.5" thickTop="1" thickBot="1" x14ac:dyDescent="0.3">
      <c r="A12" s="3">
        <v>376875</v>
      </c>
      <c r="B12" s="8">
        <f>VLOOKUP($A12,'Кардан Выгр Кат'!$A:$R,B$1,0)</f>
        <v>376875</v>
      </c>
      <c r="C12" s="9" t="str">
        <f>VLOOKUP($A12,'Кардан Выгр Кат'!$A:$R,C$1,0)</f>
        <v>Карданный вал КАРДАН задний с гофрой для Лада Нива 4х4</v>
      </c>
      <c r="D12" s="8" t="str">
        <f>VLOOKUP($A12,'Кардан Выгр Кат'!$A:$R,D$1,0)</f>
        <v>Y</v>
      </c>
      <c r="E12" s="8" t="str">
        <f>VLOOKUP($A12,'Кардан Выгр Кат'!$A:$R,E$1,0)</f>
        <v>21214220101211</v>
      </c>
      <c r="F12" s="4" t="s">
        <v>14</v>
      </c>
      <c r="G12" s="13">
        <f>VLOOKUP($A12,'Кардан Выгр Кат'!$A:$R,G$1,0)</f>
        <v>8549</v>
      </c>
      <c r="H12" s="8">
        <f>VLOOKUP($A12,'Кардан Выгр Кат'!$A:$R,H$1,0)</f>
        <v>10790</v>
      </c>
      <c r="I12" s="14">
        <f t="shared" si="0"/>
        <v>0.26213592233009719</v>
      </c>
      <c r="J12" s="13">
        <f t="shared" si="1"/>
        <v>10790</v>
      </c>
      <c r="K12" s="8">
        <f t="shared" si="2"/>
        <v>10790</v>
      </c>
      <c r="L12" s="11">
        <v>10790</v>
      </c>
      <c r="M12" s="22">
        <f>VLOOKUP(N12,Парсинг!$A:$C,3,0)</f>
        <v>10790</v>
      </c>
      <c r="N12" s="4" t="s">
        <v>56</v>
      </c>
      <c r="O12" s="16">
        <v>12350</v>
      </c>
      <c r="P12" s="22">
        <f>VLOOKUP(Q12,Парсинг!$A:$C,3,0)</f>
        <v>12350</v>
      </c>
      <c r="Q12" s="12" t="s">
        <v>66</v>
      </c>
      <c r="R12" s="12"/>
      <c r="S12" s="12"/>
      <c r="T12" s="12"/>
    </row>
    <row r="13" spans="1:20" ht="61.5" thickTop="1" thickBot="1" x14ac:dyDescent="0.3">
      <c r="A13" s="3">
        <v>376876</v>
      </c>
      <c r="B13" s="8">
        <f>VLOOKUP($A13,'Кардан Выгр Кат'!$A:$R,B$1,0)</f>
        <v>376876</v>
      </c>
      <c r="C13" s="9" t="str">
        <f>VLOOKUP($A13,'Кардан Выгр Кат'!$A:$R,C$1,0)</f>
        <v>Карданный вал КАРДАН задний с гофрой для Шевроле Нива</v>
      </c>
      <c r="D13" s="8" t="str">
        <f>VLOOKUP($A13,'Кардан Выгр Кат'!$A:$R,D$1,0)</f>
        <v>Y</v>
      </c>
      <c r="E13" s="8" t="str">
        <f>VLOOKUP($A13,'Кардан Выгр Кат'!$A:$R,E$1,0)</f>
        <v>21230220101211</v>
      </c>
      <c r="F13" s="4" t="s">
        <v>14</v>
      </c>
      <c r="G13" s="13">
        <f>VLOOKUP($A13,'Кардан Выгр Кат'!$A:$R,G$1,0)</f>
        <v>9025</v>
      </c>
      <c r="H13" s="8">
        <f>VLOOKUP($A13,'Кардан Выгр Кат'!$A:$R,H$1,0)</f>
        <v>12190</v>
      </c>
      <c r="I13" s="14">
        <f t="shared" si="0"/>
        <v>0.18448753462603884</v>
      </c>
      <c r="J13" s="13">
        <f t="shared" si="1"/>
        <v>10690</v>
      </c>
      <c r="K13" s="8">
        <f t="shared" si="2"/>
        <v>10690</v>
      </c>
      <c r="L13" s="11">
        <v>10690</v>
      </c>
      <c r="M13" s="22">
        <f>VLOOKUP(N13,Парсинг!$A:$C,3,0)</f>
        <v>10690</v>
      </c>
      <c r="N13" s="4" t="s">
        <v>57</v>
      </c>
      <c r="O13" s="12"/>
      <c r="P13" s="12"/>
      <c r="Q13" s="12"/>
      <c r="R13" s="12"/>
      <c r="S13" s="12"/>
      <c r="T13" s="12"/>
    </row>
    <row r="14" spans="1:20" ht="76.5" thickTop="1" thickBot="1" x14ac:dyDescent="0.3">
      <c r="A14" s="3">
        <v>376815</v>
      </c>
      <c r="B14" s="8">
        <f>VLOOKUP($A14,'Кардан Выгр Кат'!$A:$R,B$1,0)</f>
        <v>376815</v>
      </c>
      <c r="C14" s="9" t="str">
        <f>VLOOKUP($A14,'Кардан Выгр Кат'!$A:$R,C$1,0)</f>
        <v>Карданный вал КАРДАН передний с гофрой для Лада Нива 4х4</v>
      </c>
      <c r="D14" s="8" t="str">
        <f>VLOOKUP($A14,'Кардан Выгр Кат'!$A:$R,D$1,0)</f>
        <v>Y</v>
      </c>
      <c r="E14" s="8" t="str">
        <f>VLOOKUP($A14,'Кардан Выгр Кат'!$A:$R,E$1,0)</f>
        <v>21214220301211</v>
      </c>
      <c r="F14" s="4" t="s">
        <v>14</v>
      </c>
      <c r="G14" s="13">
        <f>VLOOKUP($A14,'Кардан Выгр Кат'!$A:$R,G$1,0)</f>
        <v>8549</v>
      </c>
      <c r="H14" s="8">
        <f>VLOOKUP($A14,'Кардан Выгр Кат'!$A:$R,H$1,0)</f>
        <v>10890</v>
      </c>
      <c r="I14" s="14">
        <f t="shared" si="0"/>
        <v>0.27383319686513041</v>
      </c>
      <c r="J14" s="13">
        <f t="shared" si="1"/>
        <v>10890</v>
      </c>
      <c r="K14" s="8">
        <f t="shared" si="2"/>
        <v>10890</v>
      </c>
      <c r="L14" s="11">
        <v>10890</v>
      </c>
      <c r="M14" s="22">
        <f>VLOOKUP(N14,Парсинг!$A:$C,3,0)</f>
        <v>10890</v>
      </c>
      <c r="N14" s="4" t="s">
        <v>58</v>
      </c>
      <c r="O14" s="16">
        <v>12350</v>
      </c>
      <c r="P14" s="22">
        <f>VLOOKUP(Q14,Парсинг!$A:$C,3,0)</f>
        <v>12350</v>
      </c>
      <c r="Q14" s="12" t="s">
        <v>67</v>
      </c>
      <c r="R14" s="12"/>
      <c r="S14" s="12"/>
      <c r="T14" s="12"/>
    </row>
    <row r="15" spans="1:20" ht="76.5" thickTop="1" thickBot="1" x14ac:dyDescent="0.3">
      <c r="A15" s="3">
        <v>155722</v>
      </c>
      <c r="B15" s="8">
        <f>VLOOKUP($A15,'Кардан Выгр Кат'!$A:$R,B$1,0)</f>
        <v>21863</v>
      </c>
      <c r="C15" s="9" t="str">
        <f>VLOOKUP($A15,'Кардан Выгр Кат'!$A:$R,C$1,0)</f>
        <v>Карданный вал промежуточный ЗАО Кардан для Шевроле Нива</v>
      </c>
      <c r="D15" s="8" t="str">
        <f>VLOOKUP($A15,'Кардан Выгр Кат'!$A:$R,D$1,0)</f>
        <v>Y</v>
      </c>
      <c r="E15" s="8" t="str">
        <f>VLOOKUP($A15,'Кардан Выгр Кат'!$A:$R,E$1,0)</f>
        <v>21230220201003</v>
      </c>
      <c r="F15" s="4" t="s">
        <v>14</v>
      </c>
      <c r="G15" s="13">
        <f>VLOOKUP($A15,'Кардан Выгр Кат'!$A:$R,G$1,0)</f>
        <v>8294</v>
      </c>
      <c r="H15" s="8">
        <f>VLOOKUP($A15,'Кардан Выгр Кат'!$A:$R,H$1,0)</f>
        <v>10890</v>
      </c>
      <c r="I15" s="14">
        <f t="shared" si="0"/>
        <v>0.31299734748010599</v>
      </c>
      <c r="J15" s="13">
        <f t="shared" si="1"/>
        <v>10890</v>
      </c>
      <c r="K15" s="8">
        <f t="shared" si="2"/>
        <v>10890</v>
      </c>
      <c r="L15" s="11">
        <v>10890</v>
      </c>
      <c r="M15" s="22">
        <f>VLOOKUP(N15,Парсинг!$A:$C,3,0)</f>
        <v>10890</v>
      </c>
      <c r="N15" s="4" t="s">
        <v>59</v>
      </c>
      <c r="O15" s="16">
        <v>12900</v>
      </c>
      <c r="P15" s="22">
        <f>VLOOKUP(Q15,Парсинг!$A:$C,3,0)</f>
        <v>12900</v>
      </c>
      <c r="Q15" s="12" t="s">
        <v>68</v>
      </c>
      <c r="R15" s="12"/>
      <c r="S15" s="12"/>
      <c r="T15" s="12"/>
    </row>
    <row r="16" spans="1:20" ht="46.5" thickTop="1" thickBot="1" x14ac:dyDescent="0.3">
      <c r="A16" s="3">
        <v>376810</v>
      </c>
      <c r="B16" s="8">
        <f>VLOOKUP($A16,'Кардан Выгр Кат'!$A:$R,B$1,0)</f>
        <v>376810</v>
      </c>
      <c r="C16" s="9" t="str">
        <f>VLOOKUP($A16,'Кардан Выгр Кат'!$A:$R,C$1,0)</f>
        <v>Крестовина карданного вала КАРДАН без штуцера для ВАЗ Лада Нива 4х4, Шевроле Нива</v>
      </c>
      <c r="D16" s="8" t="str">
        <f>VLOOKUP($A16,'Кардан Выгр Кат'!$A:$R,D$1,0)</f>
        <v>Y</v>
      </c>
      <c r="E16" s="8" t="str">
        <f>VLOOKUP($A16,'Кардан Выгр Кат'!$A:$R,E$1,0)</f>
        <v>21211220202501</v>
      </c>
      <c r="F16" s="4" t="s">
        <v>14</v>
      </c>
      <c r="G16" s="13">
        <f>VLOOKUP($A16,'Кардан Выгр Кат'!$A:$R,G$1,0)</f>
        <v>862</v>
      </c>
      <c r="H16" s="8">
        <f>VLOOKUP($A16,'Кардан Выгр Кат'!$A:$R,H$1,0)</f>
        <v>1390</v>
      </c>
      <c r="I16" s="14">
        <f t="shared" si="0"/>
        <v>-8.3526682134570818E-2</v>
      </c>
      <c r="J16" s="13">
        <f t="shared" si="1"/>
        <v>790</v>
      </c>
      <c r="K16" s="8">
        <f t="shared" si="2"/>
        <v>749</v>
      </c>
      <c r="L16" s="11">
        <v>749</v>
      </c>
      <c r="M16" s="22">
        <f>VLOOKUP(N16,Парсинг!$A:$C,3,0)</f>
        <v>749</v>
      </c>
      <c r="N16" s="4" t="s">
        <v>60</v>
      </c>
      <c r="O16" s="12"/>
      <c r="P16" s="12"/>
      <c r="Q16" s="12"/>
      <c r="R16" s="12"/>
      <c r="S16" s="12"/>
      <c r="T16" s="12"/>
    </row>
    <row r="17" spans="1:20" ht="76.5" thickTop="1" thickBot="1" x14ac:dyDescent="0.3">
      <c r="A17" s="3">
        <v>160520</v>
      </c>
      <c r="B17" s="8">
        <f>VLOOKUP($A17,'Кардан Выгр Кат'!$A:$R,B$1,0)</f>
        <v>4373</v>
      </c>
      <c r="C17" s="9" t="str">
        <f>VLOOKUP($A17,'Кардан Выгр Кат'!$A:$R,C$1,0)</f>
        <v>Крестовина карданного вала КАРДАН для ВАЗ Лада Нива 4х4, Шевроле Нива</v>
      </c>
      <c r="D17" s="8" t="str">
        <f>VLOOKUP($A17,'Кардан Выгр Кат'!$A:$R,D$1,0)</f>
        <v>Y</v>
      </c>
      <c r="E17" s="8" t="str">
        <f>VLOOKUP($A17,'Кардан Выгр Кат'!$A:$R,E$1,0)</f>
        <v>21211220202500</v>
      </c>
      <c r="F17" s="4" t="s">
        <v>14</v>
      </c>
      <c r="G17" s="13">
        <f>VLOOKUP($A17,'Кардан Выгр Кат'!$A:$R,G$1,0)</f>
        <v>842</v>
      </c>
      <c r="H17" s="8">
        <f>VLOOKUP($A17,'Кардан Выгр Кат'!$A:$R,H$1,0)</f>
        <v>1390</v>
      </c>
      <c r="I17" s="14">
        <f t="shared" si="0"/>
        <v>0.29453681710213786</v>
      </c>
      <c r="J17" s="13">
        <f t="shared" si="1"/>
        <v>1090</v>
      </c>
      <c r="K17" s="8">
        <f t="shared" si="2"/>
        <v>1015</v>
      </c>
      <c r="L17" s="8"/>
      <c r="M17" s="8"/>
      <c r="N17" s="4"/>
      <c r="O17" s="16">
        <v>1015</v>
      </c>
      <c r="P17" s="22">
        <f>VLOOKUP(Q17,Парсинг!$A:$C,3,0)</f>
        <v>1015</v>
      </c>
      <c r="Q17" s="12" t="s">
        <v>72</v>
      </c>
      <c r="R17" s="17">
        <v>1720</v>
      </c>
      <c r="S17" s="22">
        <f>VLOOKUP(T17,Парсинг!$A:$C,3,0)</f>
        <v>1720</v>
      </c>
      <c r="T17" s="12" t="s">
        <v>80</v>
      </c>
    </row>
    <row r="18" spans="1:20" ht="91.5" thickTop="1" thickBot="1" x14ac:dyDescent="0.3">
      <c r="A18" s="3">
        <v>160519</v>
      </c>
      <c r="B18" s="8">
        <f>VLOOKUP($A18,'Кардан Выгр Кат'!$A:$R,B$1,0)</f>
        <v>4372</v>
      </c>
      <c r="C18" s="9" t="str">
        <f>VLOOKUP($A18,'Кардан Выгр Кат'!$A:$R,C$1,0)</f>
        <v>Крестовина карданного вала Ваз 2101-2107 КАРДАН</v>
      </c>
      <c r="D18" s="8" t="str">
        <f>VLOOKUP($A18,'Кардан Выгр Кат'!$A:$R,D$1,0)</f>
        <v>Y</v>
      </c>
      <c r="E18" s="8" t="str">
        <f>VLOOKUP($A18,'Кардан Выгр Кат'!$A:$R,E$1,0)</f>
        <v>21050220202500</v>
      </c>
      <c r="F18" s="4" t="s">
        <v>14</v>
      </c>
      <c r="G18" s="13">
        <f>VLOOKUP($A18,'Кардан Выгр Кат'!$A:$R,G$1,0)</f>
        <v>585</v>
      </c>
      <c r="H18" s="8">
        <f>VLOOKUP($A18,'Кардан Выгр Кат'!$A:$R,H$1,0)</f>
        <v>909</v>
      </c>
      <c r="I18" s="14">
        <f t="shared" si="0"/>
        <v>0.35042735042735051</v>
      </c>
      <c r="J18" s="13">
        <f t="shared" si="1"/>
        <v>790</v>
      </c>
      <c r="K18" s="8">
        <f t="shared" si="2"/>
        <v>728</v>
      </c>
      <c r="L18" s="11">
        <v>890</v>
      </c>
      <c r="M18" s="22">
        <f>VLOOKUP(N18,Парсинг!$A:$C,3,0)</f>
        <v>890</v>
      </c>
      <c r="N18" s="4" t="s">
        <v>42</v>
      </c>
      <c r="O18" s="16">
        <v>728</v>
      </c>
      <c r="P18" s="22">
        <f>VLOOKUP(Q18,Парсинг!$A:$C,3,0)</f>
        <v>728</v>
      </c>
      <c r="Q18" s="12" t="s">
        <v>71</v>
      </c>
      <c r="R18" s="17">
        <v>940</v>
      </c>
      <c r="S18" s="22">
        <f>VLOOKUP(T18,Парсинг!$A:$C,3,0)</f>
        <v>940</v>
      </c>
      <c r="T18" s="12" t="s">
        <v>81</v>
      </c>
    </row>
    <row r="19" spans="1:20" ht="30.75" thickTop="1" x14ac:dyDescent="0.25">
      <c r="A19" s="3">
        <v>376871</v>
      </c>
      <c r="B19" s="8">
        <f>VLOOKUP($A19,'Кардан Выгр Кат'!$A:$R,B$1,0)</f>
        <v>376871</v>
      </c>
      <c r="C19" s="9" t="str">
        <f>VLOOKUP($A19,'Кардан Выгр Кат'!$A:$R,C$1,0)</f>
        <v>Пыльник ШРУСа карданного вала КАРДАН для Лада Нива 4х4</v>
      </c>
      <c r="D19" s="8" t="str">
        <f>VLOOKUP($A19,'Кардан Выгр Кат'!$A:$R,D$1,0)</f>
        <v>Y</v>
      </c>
      <c r="E19" s="8" t="str">
        <f>VLOOKUP($A19,'Кардан Выгр Кат'!$A:$R,E$1,0)</f>
        <v>21214220116800</v>
      </c>
      <c r="F19" s="4" t="s">
        <v>14</v>
      </c>
      <c r="G19" s="13">
        <f>VLOOKUP($A19,'Кардан Выгр Кат'!$A:$R,G$1,0)</f>
        <v>406</v>
      </c>
      <c r="H19" s="8">
        <f>VLOOKUP($A19,'Кардан Выгр Кат'!$A:$R,H$1,0)</f>
        <v>649</v>
      </c>
      <c r="I19" s="14">
        <f t="shared" si="0"/>
        <v>-1.0246305418719213</v>
      </c>
      <c r="J19" s="13">
        <f t="shared" si="1"/>
        <v>-10</v>
      </c>
      <c r="K19" s="8">
        <f t="shared" si="2"/>
        <v>0</v>
      </c>
      <c r="L19" s="8"/>
      <c r="M19" s="8"/>
      <c r="N19" s="4"/>
      <c r="O19" s="12"/>
      <c r="P19" s="12"/>
      <c r="Q19" s="12"/>
      <c r="R19" s="12"/>
      <c r="S19" s="12"/>
      <c r="T19" s="12"/>
    </row>
    <row r="20" spans="1:20" ht="75.75" thickBot="1" x14ac:dyDescent="0.3">
      <c r="A20" s="3">
        <v>376869</v>
      </c>
      <c r="B20" s="8">
        <f>VLOOKUP($A20,'Кардан Выгр Кат'!$A:$R,B$1,0)</f>
        <v>376869</v>
      </c>
      <c r="C20" s="9" t="str">
        <f>VLOOKUP($A20,'Кардан Выгр Кат'!$A:$R,C$1,0)</f>
        <v>Ремкомплект ШРУС карданного вала КАРДАН для Лада Нива 4х4</v>
      </c>
      <c r="D20" s="8" t="str">
        <f>VLOOKUP($A20,'Кардан Выгр Кат'!$A:$R,D$1,0)</f>
        <v>Y</v>
      </c>
      <c r="E20" s="8" t="str">
        <f>VLOOKUP($A20,'Кардан Выгр Кат'!$A:$R,E$1,0)</f>
        <v>21214220116000</v>
      </c>
      <c r="F20" s="4" t="s">
        <v>14</v>
      </c>
      <c r="G20" s="13">
        <f>VLOOKUP($A20,'Кардан Выгр Кат'!$A:$R,G$1,0)</f>
        <v>6069</v>
      </c>
      <c r="H20" s="8">
        <f>VLOOKUP($A20,'Кардан Выгр Кат'!$A:$R,H$1,0)</f>
        <v>8190</v>
      </c>
      <c r="I20" s="14">
        <f t="shared" si="0"/>
        <v>6.9368924040204227E-2</v>
      </c>
      <c r="J20" s="13">
        <f t="shared" si="1"/>
        <v>6490</v>
      </c>
      <c r="K20" s="8">
        <f t="shared" si="2"/>
        <v>6500</v>
      </c>
      <c r="L20" s="8"/>
      <c r="M20" s="8"/>
      <c r="N20" s="4"/>
      <c r="O20" s="16">
        <v>6500</v>
      </c>
      <c r="P20" s="22">
        <f>VLOOKUP(Q20,Парсинг!$A:$C,3,0)</f>
        <v>6500</v>
      </c>
      <c r="Q20" s="12" t="s">
        <v>69</v>
      </c>
      <c r="R20" s="17">
        <v>8710</v>
      </c>
      <c r="S20" s="22">
        <f>VLOOKUP(T20,Парсинг!$A:$C,3,0)</f>
        <v>8710</v>
      </c>
      <c r="T20" s="12" t="s">
        <v>82</v>
      </c>
    </row>
    <row r="21" spans="1:20" ht="60.75" thickTop="1" x14ac:dyDescent="0.25">
      <c r="A21" s="3">
        <v>376807</v>
      </c>
      <c r="B21" s="8">
        <f>VLOOKUP($A21,'Кардан Выгр Кат'!$A:$R,B$1,0)</f>
        <v>376807</v>
      </c>
      <c r="C21" s="9" t="str">
        <f>VLOOKUP($A21,'Кардан Выгр Кат'!$A:$R,C$1,0)</f>
        <v>Фланец эластичной муфты КАРДАН передний для ВАЗ 2101-2107</v>
      </c>
      <c r="D21" s="8" t="str">
        <f>VLOOKUP($A21,'Кардан Выгр Кат'!$A:$R,D$1,0)</f>
        <v>Y</v>
      </c>
      <c r="E21" s="8" t="str">
        <f>VLOOKUP($A21,'Кардан Выгр Кат'!$A:$R,E$1,0)</f>
        <v>21010220202300</v>
      </c>
      <c r="F21" s="4" t="s">
        <v>14</v>
      </c>
      <c r="G21" s="13">
        <f>VLOOKUP($A21,'Кардан Выгр Кат'!$A:$R,G$1,0)</f>
        <v>921</v>
      </c>
      <c r="H21" s="8">
        <f>VLOOKUP($A21,'Кардан Выгр Кат'!$A:$R,H$1,0)</f>
        <v>1490</v>
      </c>
      <c r="I21" s="14">
        <f t="shared" si="0"/>
        <v>0.40065146579804556</v>
      </c>
      <c r="J21" s="13">
        <f t="shared" si="1"/>
        <v>1290</v>
      </c>
      <c r="K21" s="8">
        <f t="shared" si="2"/>
        <v>1260</v>
      </c>
      <c r="L21" s="40"/>
      <c r="M21" s="40"/>
      <c r="N21" s="42"/>
      <c r="O21" s="43">
        <v>1260</v>
      </c>
      <c r="P21" s="44">
        <f>VLOOKUP(Q21,Парсинг!$A:$C,3,0)</f>
        <v>1260</v>
      </c>
      <c r="Q21" s="45" t="s">
        <v>70</v>
      </c>
      <c r="R21" s="46">
        <v>1470</v>
      </c>
      <c r="S21" s="44">
        <f>VLOOKUP(T21,Парсинг!$A:$C,3,0)</f>
        <v>1470</v>
      </c>
      <c r="T21" s="45" t="s">
        <v>83</v>
      </c>
    </row>
  </sheetData>
  <sheetProtection formatCells="0" formatColumns="0" formatRows="0" insertColumns="0" insertRows="0" insertHyperlinks="0" deleteColumns="0" deleteRows="0" sort="0" autoFilter="0" pivotTables="0"/>
  <autoFilter ref="A2:T21" xr:uid="{B57FEF25-E7AD-4668-B116-2807476FA40D}"/>
  <conditionalFormatting sqref="L4:L21 O4:O21 R4:R21">
    <cfRule type="expression" dxfId="13" priority="6">
      <formula>NOT(EXACT(L4,M4))</formula>
    </cfRule>
  </conditionalFormatting>
  <conditionalFormatting sqref="A3:A21">
    <cfRule type="expression" dxfId="12" priority="5">
      <formula>EXACT(H3,J3)</formula>
    </cfRule>
  </conditionalFormatting>
  <conditionalFormatting sqref="I3:I21">
    <cfRule type="cellIs" dxfId="11" priority="4" operator="lessThan">
      <formula>0.2</formula>
    </cfRule>
  </conditionalFormatting>
  <conditionalFormatting sqref="L3:L21">
    <cfRule type="expression" dxfId="10" priority="3">
      <formula>L3&lt;&gt;M3</formula>
    </cfRule>
  </conditionalFormatting>
  <conditionalFormatting sqref="O3:O21">
    <cfRule type="expression" dxfId="9" priority="2">
      <formula>O3&lt;&gt;P3</formula>
    </cfRule>
  </conditionalFormatting>
  <conditionalFormatting sqref="R3:R21">
    <cfRule type="expression" dxfId="8" priority="1">
      <formula>R3&lt;&gt;S3</formula>
    </cfRule>
  </conditionalFormatting>
  <pageMargins left="0.7" right="0.7" top="0.75" bottom="0.75" header="0.3" footer="0.3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N23"/>
  <sheetViews>
    <sheetView showRuler="0" zoomScaleNormal="100" workbookViewId="0">
      <pane ySplit="1" topLeftCell="A17" activePane="bottomLeft" state="frozen"/>
      <selection pane="bottomLeft" activeCell="N21" sqref="N21"/>
    </sheetView>
  </sheetViews>
  <sheetFormatPr defaultRowHeight="15" x14ac:dyDescent="0.25"/>
  <cols>
    <col min="1" max="2" width="7.7109375" customWidth="1"/>
    <col min="3" max="3" width="33.28515625" customWidth="1"/>
    <col min="4" max="4" width="3.28515625" customWidth="1"/>
    <col min="5" max="6" width="22.28515625" customWidth="1"/>
    <col min="7" max="7" width="8.85546875" customWidth="1"/>
    <col min="8" max="9" width="7.7109375" customWidth="1"/>
    <col min="10" max="10" width="22.28515625" customWidth="1"/>
    <col min="11" max="13" width="5.5703125" customWidth="1"/>
  </cols>
  <sheetData>
    <row r="1" spans="1:14" s="1" customFormat="1" ht="45" x14ac:dyDescent="0.25">
      <c r="A1" s="60" t="s">
        <v>0</v>
      </c>
      <c r="B1" s="60" t="s">
        <v>1</v>
      </c>
      <c r="C1" s="60" t="s">
        <v>2</v>
      </c>
      <c r="D1" s="60" t="s">
        <v>3</v>
      </c>
      <c r="E1" s="60" t="s">
        <v>4</v>
      </c>
      <c r="F1" s="60" t="s">
        <v>5</v>
      </c>
      <c r="G1" s="60" t="s">
        <v>6</v>
      </c>
      <c r="H1" s="60" t="s">
        <v>7</v>
      </c>
      <c r="I1" s="60" t="s">
        <v>8</v>
      </c>
      <c r="J1" s="60" t="s">
        <v>9</v>
      </c>
      <c r="K1" s="60" t="s">
        <v>10</v>
      </c>
      <c r="L1" s="60" t="s">
        <v>167</v>
      </c>
      <c r="M1" s="60" t="s">
        <v>11</v>
      </c>
    </row>
    <row r="2" spans="1:14" ht="45" x14ac:dyDescent="0.25">
      <c r="A2" s="61">
        <v>139029</v>
      </c>
      <c r="B2" s="61">
        <v>43972</v>
      </c>
      <c r="C2" s="62" t="s">
        <v>216</v>
      </c>
      <c r="D2" s="62" t="s">
        <v>12</v>
      </c>
      <c r="E2" s="62" t="s">
        <v>32</v>
      </c>
      <c r="F2" s="62" t="s">
        <v>32</v>
      </c>
      <c r="G2" s="62" t="s">
        <v>14</v>
      </c>
      <c r="H2" s="63">
        <v>10935</v>
      </c>
      <c r="I2" s="63">
        <v>14290</v>
      </c>
      <c r="J2" s="62"/>
      <c r="K2" s="62" t="s">
        <v>15</v>
      </c>
      <c r="L2" s="62"/>
      <c r="M2" s="62"/>
      <c r="N2">
        <f>VLOOKUP(A2,Кардан!A:A,1,0)</f>
        <v>139029</v>
      </c>
    </row>
    <row r="3" spans="1:14" ht="75" x14ac:dyDescent="0.25">
      <c r="A3" s="61">
        <v>376516</v>
      </c>
      <c r="B3" s="61">
        <v>376516</v>
      </c>
      <c r="C3" s="62" t="s">
        <v>217</v>
      </c>
      <c r="D3" s="62" t="s">
        <v>12</v>
      </c>
      <c r="E3" s="62" t="s">
        <v>13</v>
      </c>
      <c r="F3" s="62"/>
      <c r="G3" s="62" t="s">
        <v>14</v>
      </c>
      <c r="H3" s="63">
        <v>13019</v>
      </c>
      <c r="I3" s="63">
        <v>16990</v>
      </c>
      <c r="J3" s="62" t="s">
        <v>53</v>
      </c>
      <c r="K3" s="62" t="s">
        <v>15</v>
      </c>
      <c r="L3" s="62"/>
      <c r="M3" s="62"/>
      <c r="N3" s="41">
        <f>VLOOKUP(A3,Кардан!A:A,1,0)</f>
        <v>376516</v>
      </c>
    </row>
    <row r="4" spans="1:14" ht="30" x14ac:dyDescent="0.25">
      <c r="A4" s="61">
        <v>376530</v>
      </c>
      <c r="B4" s="61">
        <v>376530</v>
      </c>
      <c r="C4" s="62" t="s">
        <v>218</v>
      </c>
      <c r="D4" s="62" t="s">
        <v>12</v>
      </c>
      <c r="E4" s="62" t="s">
        <v>16</v>
      </c>
      <c r="F4" s="62"/>
      <c r="G4" s="62" t="s">
        <v>14</v>
      </c>
      <c r="H4" s="63">
        <v>11633</v>
      </c>
      <c r="I4" s="63">
        <v>15190</v>
      </c>
      <c r="J4" s="62"/>
      <c r="K4" s="62" t="s">
        <v>15</v>
      </c>
      <c r="L4" s="62"/>
      <c r="M4" s="62"/>
      <c r="N4" s="41">
        <f>VLOOKUP(A4,Кардан!A:A,1,0)</f>
        <v>376530</v>
      </c>
    </row>
    <row r="5" spans="1:14" ht="30" x14ac:dyDescent="0.25">
      <c r="A5" s="61">
        <v>139011</v>
      </c>
      <c r="B5" s="61">
        <v>38326</v>
      </c>
      <c r="C5" s="62" t="s">
        <v>219</v>
      </c>
      <c r="D5" s="62" t="s">
        <v>12</v>
      </c>
      <c r="E5" s="62" t="s">
        <v>17</v>
      </c>
      <c r="F5" s="62" t="s">
        <v>17</v>
      </c>
      <c r="G5" s="62" t="s">
        <v>14</v>
      </c>
      <c r="H5" s="63">
        <v>17424</v>
      </c>
      <c r="I5" s="63">
        <v>22690</v>
      </c>
      <c r="J5" s="62"/>
      <c r="K5" s="62" t="s">
        <v>15</v>
      </c>
      <c r="L5" s="62"/>
      <c r="M5" s="62"/>
      <c r="N5" s="41">
        <f>VLOOKUP(A5,Кардан!A:A,1,0)</f>
        <v>139011</v>
      </c>
    </row>
    <row r="6" spans="1:14" ht="45" x14ac:dyDescent="0.25">
      <c r="A6" s="61">
        <v>139012</v>
      </c>
      <c r="B6" s="61">
        <v>31352</v>
      </c>
      <c r="C6" s="62" t="s">
        <v>220</v>
      </c>
      <c r="D6" s="62" t="s">
        <v>12</v>
      </c>
      <c r="E6" s="62" t="s">
        <v>18</v>
      </c>
      <c r="F6" s="62" t="s">
        <v>19</v>
      </c>
      <c r="G6" s="62" t="s">
        <v>14</v>
      </c>
      <c r="H6" s="63">
        <v>17523</v>
      </c>
      <c r="I6" s="63">
        <v>24990</v>
      </c>
      <c r="J6" s="62"/>
      <c r="K6" s="62" t="s">
        <v>15</v>
      </c>
      <c r="L6" s="62"/>
      <c r="M6" s="62"/>
      <c r="N6" s="41">
        <f>VLOOKUP(A6,Кардан!A:A,1,0)</f>
        <v>139012</v>
      </c>
    </row>
    <row r="7" spans="1:14" ht="45" x14ac:dyDescent="0.25">
      <c r="A7" s="61">
        <v>139013</v>
      </c>
      <c r="B7" s="61">
        <v>21781</v>
      </c>
      <c r="C7" s="62" t="s">
        <v>221</v>
      </c>
      <c r="D7" s="62" t="s">
        <v>12</v>
      </c>
      <c r="E7" s="62" t="s">
        <v>20</v>
      </c>
      <c r="F7" s="62" t="s">
        <v>21</v>
      </c>
      <c r="G7" s="62" t="s">
        <v>14</v>
      </c>
      <c r="H7" s="63">
        <v>12185</v>
      </c>
      <c r="I7" s="63">
        <v>15890</v>
      </c>
      <c r="J7" s="62" t="s">
        <v>22</v>
      </c>
      <c r="K7" s="62" t="s">
        <v>15</v>
      </c>
      <c r="L7" s="62"/>
      <c r="M7" s="62"/>
      <c r="N7" s="41">
        <f>VLOOKUP(A7,Кардан!A:A,1,0)</f>
        <v>139013</v>
      </c>
    </row>
    <row r="8" spans="1:14" ht="75" x14ac:dyDescent="0.25">
      <c r="A8" s="61">
        <v>139014</v>
      </c>
      <c r="B8" s="61">
        <v>13011</v>
      </c>
      <c r="C8" s="62" t="s">
        <v>222</v>
      </c>
      <c r="D8" s="62" t="s">
        <v>12</v>
      </c>
      <c r="E8" s="62" t="s">
        <v>23</v>
      </c>
      <c r="F8" s="62" t="s">
        <v>24</v>
      </c>
      <c r="G8" s="62" t="s">
        <v>14</v>
      </c>
      <c r="H8" s="63">
        <v>8910</v>
      </c>
      <c r="I8" s="63">
        <v>12090</v>
      </c>
      <c r="J8" s="62" t="s">
        <v>25</v>
      </c>
      <c r="K8" s="62" t="s">
        <v>15</v>
      </c>
      <c r="L8" s="62"/>
      <c r="M8" s="62"/>
      <c r="N8" s="41">
        <f>VLOOKUP(A8,Кардан!A:A,1,0)</f>
        <v>139014</v>
      </c>
    </row>
    <row r="9" spans="1:14" ht="45" x14ac:dyDescent="0.25">
      <c r="A9" s="61">
        <v>139015</v>
      </c>
      <c r="B9" s="61">
        <v>21780</v>
      </c>
      <c r="C9" s="62" t="s">
        <v>223</v>
      </c>
      <c r="D9" s="62" t="s">
        <v>12</v>
      </c>
      <c r="E9" s="62" t="s">
        <v>26</v>
      </c>
      <c r="F9" s="62" t="s">
        <v>27</v>
      </c>
      <c r="G9" s="62" t="s">
        <v>14</v>
      </c>
      <c r="H9" s="63">
        <v>11534</v>
      </c>
      <c r="I9" s="63">
        <v>14990</v>
      </c>
      <c r="J9" s="62" t="s">
        <v>28</v>
      </c>
      <c r="K9" s="62" t="s">
        <v>15</v>
      </c>
      <c r="L9" s="62"/>
      <c r="M9" s="62"/>
      <c r="N9" s="41">
        <f>VLOOKUP(A9,Кардан!A:A,1,0)</f>
        <v>139015</v>
      </c>
    </row>
    <row r="10" spans="1:14" ht="75" x14ac:dyDescent="0.25">
      <c r="A10" s="61">
        <v>139016</v>
      </c>
      <c r="B10" s="61">
        <v>13012</v>
      </c>
      <c r="C10" s="62" t="s">
        <v>224</v>
      </c>
      <c r="D10" s="62" t="s">
        <v>12</v>
      </c>
      <c r="E10" s="62" t="s">
        <v>29</v>
      </c>
      <c r="F10" s="62" t="s">
        <v>30</v>
      </c>
      <c r="G10" s="62" t="s">
        <v>14</v>
      </c>
      <c r="H10" s="63">
        <v>9396</v>
      </c>
      <c r="I10" s="63">
        <v>12690</v>
      </c>
      <c r="J10" s="62" t="s">
        <v>31</v>
      </c>
      <c r="K10" s="62" t="s">
        <v>15</v>
      </c>
      <c r="L10" s="62"/>
      <c r="M10" s="62"/>
      <c r="N10" s="41">
        <f>VLOOKUP(A10,Кардан!A:A,1,0)</f>
        <v>139016</v>
      </c>
    </row>
    <row r="11" spans="1:14" ht="30" x14ac:dyDescent="0.25">
      <c r="A11" s="61">
        <v>376875</v>
      </c>
      <c r="B11" s="61">
        <v>376875</v>
      </c>
      <c r="C11" s="62" t="s">
        <v>225</v>
      </c>
      <c r="D11" s="62" t="s">
        <v>12</v>
      </c>
      <c r="E11" s="62" t="s">
        <v>33</v>
      </c>
      <c r="F11" s="62"/>
      <c r="G11" s="62" t="s">
        <v>14</v>
      </c>
      <c r="H11" s="63">
        <v>8549</v>
      </c>
      <c r="I11" s="63">
        <v>10790</v>
      </c>
      <c r="J11" s="62"/>
      <c r="K11" s="62" t="s">
        <v>15</v>
      </c>
      <c r="L11" s="62"/>
      <c r="M11" s="62"/>
      <c r="N11" s="41">
        <f>VLOOKUP(A11,Кардан!A:A,1,0)</f>
        <v>376875</v>
      </c>
    </row>
    <row r="12" spans="1:14" ht="30" x14ac:dyDescent="0.25">
      <c r="A12" s="61">
        <v>376876</v>
      </c>
      <c r="B12" s="61">
        <v>376876</v>
      </c>
      <c r="C12" s="62" t="s">
        <v>226</v>
      </c>
      <c r="D12" s="62" t="s">
        <v>12</v>
      </c>
      <c r="E12" s="62" t="s">
        <v>34</v>
      </c>
      <c r="F12" s="62"/>
      <c r="G12" s="62" t="s">
        <v>14</v>
      </c>
      <c r="H12" s="63">
        <v>9025</v>
      </c>
      <c r="I12" s="63">
        <v>12190</v>
      </c>
      <c r="J12" s="62"/>
      <c r="K12" s="62" t="s">
        <v>15</v>
      </c>
      <c r="L12" s="62"/>
      <c r="M12" s="62"/>
      <c r="N12" s="41">
        <f>VLOOKUP(A12,Кардан!A:A,1,0)</f>
        <v>376876</v>
      </c>
    </row>
    <row r="13" spans="1:14" ht="30" x14ac:dyDescent="0.25">
      <c r="A13" s="61">
        <v>376815</v>
      </c>
      <c r="B13" s="61">
        <v>376815</v>
      </c>
      <c r="C13" s="62" t="s">
        <v>227</v>
      </c>
      <c r="D13" s="62" t="s">
        <v>12</v>
      </c>
      <c r="E13" s="62" t="s">
        <v>35</v>
      </c>
      <c r="F13" s="62"/>
      <c r="G13" s="62" t="s">
        <v>14</v>
      </c>
      <c r="H13" s="63">
        <v>8549</v>
      </c>
      <c r="I13" s="63">
        <v>10890</v>
      </c>
      <c r="J13" s="62"/>
      <c r="K13" s="62" t="s">
        <v>15</v>
      </c>
      <c r="L13" s="62"/>
      <c r="M13" s="62"/>
      <c r="N13" s="41">
        <f>VLOOKUP(A13,Кардан!A:A,1,0)</f>
        <v>376815</v>
      </c>
    </row>
    <row r="14" spans="1:14" ht="30" x14ac:dyDescent="0.25">
      <c r="A14" s="61">
        <v>155722</v>
      </c>
      <c r="B14" s="61">
        <v>21863</v>
      </c>
      <c r="C14" s="62" t="s">
        <v>228</v>
      </c>
      <c r="D14" s="62" t="s">
        <v>12</v>
      </c>
      <c r="E14" s="62" t="s">
        <v>36</v>
      </c>
      <c r="F14" s="62" t="s">
        <v>36</v>
      </c>
      <c r="G14" s="62" t="s">
        <v>14</v>
      </c>
      <c r="H14" s="63">
        <v>8294</v>
      </c>
      <c r="I14" s="63">
        <v>10890</v>
      </c>
      <c r="J14" s="62"/>
      <c r="K14" s="62" t="s">
        <v>15</v>
      </c>
      <c r="L14" s="62"/>
      <c r="M14" s="62"/>
      <c r="N14" s="41">
        <f>VLOOKUP(A14,Кардан!A:A,1,0)</f>
        <v>155722</v>
      </c>
    </row>
    <row r="15" spans="1:14" ht="60" x14ac:dyDescent="0.25">
      <c r="A15" s="61">
        <v>160519</v>
      </c>
      <c r="B15" s="61">
        <v>4372</v>
      </c>
      <c r="C15" s="62" t="s">
        <v>229</v>
      </c>
      <c r="D15" s="62" t="s">
        <v>12</v>
      </c>
      <c r="E15" s="62" t="s">
        <v>40</v>
      </c>
      <c r="F15" s="62" t="s">
        <v>41</v>
      </c>
      <c r="G15" s="62" t="s">
        <v>14</v>
      </c>
      <c r="H15" s="63">
        <v>585</v>
      </c>
      <c r="I15" s="63">
        <v>909</v>
      </c>
      <c r="J15" s="62" t="s">
        <v>42</v>
      </c>
      <c r="K15" s="62" t="s">
        <v>15</v>
      </c>
      <c r="L15" s="62"/>
      <c r="M15" s="62"/>
      <c r="N15" s="41">
        <f>VLOOKUP(A15,Кардан!A:A,1,0)</f>
        <v>160519</v>
      </c>
    </row>
    <row r="16" spans="1:14" ht="45" x14ac:dyDescent="0.25">
      <c r="A16" s="61">
        <v>376810</v>
      </c>
      <c r="B16" s="61">
        <v>376810</v>
      </c>
      <c r="C16" s="62" t="s">
        <v>230</v>
      </c>
      <c r="D16" s="62" t="s">
        <v>12</v>
      </c>
      <c r="E16" s="62" t="s">
        <v>37</v>
      </c>
      <c r="F16" s="62"/>
      <c r="G16" s="62" t="s">
        <v>14</v>
      </c>
      <c r="H16" s="63">
        <v>862</v>
      </c>
      <c r="I16" s="63">
        <v>1390</v>
      </c>
      <c r="J16" s="62"/>
      <c r="K16" s="62" t="s">
        <v>15</v>
      </c>
      <c r="L16" s="62"/>
      <c r="M16" s="62"/>
      <c r="N16" s="41">
        <f>VLOOKUP(A16,Кардан!A:A,1,0)</f>
        <v>376810</v>
      </c>
    </row>
    <row r="17" spans="1:14" ht="45" x14ac:dyDescent="0.25">
      <c r="A17" s="61">
        <v>160520</v>
      </c>
      <c r="B17" s="61">
        <v>4373</v>
      </c>
      <c r="C17" s="62" t="s">
        <v>231</v>
      </c>
      <c r="D17" s="62" t="s">
        <v>12</v>
      </c>
      <c r="E17" s="62" t="s">
        <v>38</v>
      </c>
      <c r="F17" s="62" t="s">
        <v>39</v>
      </c>
      <c r="G17" s="62" t="s">
        <v>14</v>
      </c>
      <c r="H17" s="63">
        <v>842</v>
      </c>
      <c r="I17" s="63">
        <v>1390</v>
      </c>
      <c r="J17" s="62"/>
      <c r="K17" s="62" t="s">
        <v>15</v>
      </c>
      <c r="L17" s="62"/>
      <c r="M17" s="62"/>
      <c r="N17" s="41">
        <f>VLOOKUP(A17,Кардан!A:A,1,0)</f>
        <v>160520</v>
      </c>
    </row>
    <row r="18" spans="1:14" ht="30" x14ac:dyDescent="0.25">
      <c r="A18" s="61">
        <v>376871</v>
      </c>
      <c r="B18" s="61">
        <v>376871</v>
      </c>
      <c r="C18" s="62" t="s">
        <v>232</v>
      </c>
      <c r="D18" s="62" t="s">
        <v>12</v>
      </c>
      <c r="E18" s="62" t="s">
        <v>43</v>
      </c>
      <c r="F18" s="62"/>
      <c r="G18" s="62" t="s">
        <v>14</v>
      </c>
      <c r="H18" s="63">
        <v>406</v>
      </c>
      <c r="I18" s="63">
        <v>649</v>
      </c>
      <c r="J18" s="62"/>
      <c r="K18" s="62" t="s">
        <v>15</v>
      </c>
      <c r="L18" s="62"/>
      <c r="M18" s="62"/>
      <c r="N18" s="41">
        <f>VLOOKUP(A18,Кардан!A:A,1,0)</f>
        <v>376871</v>
      </c>
    </row>
    <row r="19" spans="1:14" ht="45" x14ac:dyDescent="0.25">
      <c r="A19" s="61">
        <v>373766</v>
      </c>
      <c r="B19" s="61">
        <v>31352</v>
      </c>
      <c r="C19" s="62" t="s">
        <v>233</v>
      </c>
      <c r="D19" s="62" t="s">
        <v>12</v>
      </c>
      <c r="E19" s="62" t="s">
        <v>44</v>
      </c>
      <c r="F19" s="62" t="s">
        <v>19</v>
      </c>
      <c r="G19" s="62" t="s">
        <v>45</v>
      </c>
      <c r="H19" s="63">
        <v>17523</v>
      </c>
      <c r="I19" s="63">
        <v>22990</v>
      </c>
      <c r="J19" s="62"/>
      <c r="K19" s="62" t="s">
        <v>201</v>
      </c>
      <c r="L19" s="62" t="s">
        <v>46</v>
      </c>
      <c r="M19" s="62"/>
      <c r="N19" s="41" t="e">
        <f>VLOOKUP(A19,Кардан!A:A,1,0)</f>
        <v>#N/A</v>
      </c>
    </row>
    <row r="20" spans="1:14" ht="75" x14ac:dyDescent="0.25">
      <c r="A20" s="61">
        <v>354239</v>
      </c>
      <c r="B20" s="61">
        <v>13011</v>
      </c>
      <c r="C20" s="62" t="s">
        <v>234</v>
      </c>
      <c r="D20" s="62" t="s">
        <v>12</v>
      </c>
      <c r="E20" s="62" t="s">
        <v>23</v>
      </c>
      <c r="F20" s="62" t="s">
        <v>24</v>
      </c>
      <c r="G20" s="62" t="s">
        <v>45</v>
      </c>
      <c r="H20" s="63">
        <v>8474</v>
      </c>
      <c r="I20" s="63">
        <v>11790</v>
      </c>
      <c r="J20" s="62" t="s">
        <v>25</v>
      </c>
      <c r="K20" s="62" t="s">
        <v>15</v>
      </c>
      <c r="L20" s="62" t="s">
        <v>46</v>
      </c>
      <c r="M20" s="62"/>
      <c r="N20" s="41" t="e">
        <f>VLOOKUP(A20,Кардан!A:A,1,0)</f>
        <v>#N/A</v>
      </c>
    </row>
    <row r="21" spans="1:14" ht="60" x14ac:dyDescent="0.25">
      <c r="A21" s="61">
        <v>354492</v>
      </c>
      <c r="B21" s="61">
        <v>4372</v>
      </c>
      <c r="C21" s="62" t="s">
        <v>235</v>
      </c>
      <c r="D21" s="62" t="s">
        <v>193</v>
      </c>
      <c r="E21" s="62" t="s">
        <v>40</v>
      </c>
      <c r="F21" s="62" t="s">
        <v>41</v>
      </c>
      <c r="G21" s="62" t="s">
        <v>47</v>
      </c>
      <c r="H21" s="63">
        <v>509</v>
      </c>
      <c r="I21" s="63">
        <v>819</v>
      </c>
      <c r="J21" s="62" t="s">
        <v>42</v>
      </c>
      <c r="K21" s="62" t="s">
        <v>191</v>
      </c>
      <c r="L21" s="62"/>
      <c r="M21" s="62"/>
      <c r="N21" s="41" t="e">
        <f>VLOOKUP(A21,Кардан!A:A,1,0)</f>
        <v>#N/A</v>
      </c>
    </row>
    <row r="22" spans="1:14" ht="30" x14ac:dyDescent="0.25">
      <c r="A22" s="61">
        <v>376869</v>
      </c>
      <c r="B22" s="61">
        <v>376869</v>
      </c>
      <c r="C22" s="62" t="s">
        <v>236</v>
      </c>
      <c r="D22" s="62" t="s">
        <v>12</v>
      </c>
      <c r="E22" s="62" t="s">
        <v>48</v>
      </c>
      <c r="F22" s="62"/>
      <c r="G22" s="62" t="s">
        <v>14</v>
      </c>
      <c r="H22" s="63">
        <v>6069</v>
      </c>
      <c r="I22" s="63">
        <v>8190</v>
      </c>
      <c r="J22" s="62"/>
      <c r="K22" s="62" t="s">
        <v>15</v>
      </c>
      <c r="L22" s="62"/>
      <c r="M22" s="62"/>
      <c r="N22" s="41">
        <f>VLOOKUP(A22,Кардан!A:A,1,0)</f>
        <v>376869</v>
      </c>
    </row>
    <row r="23" spans="1:14" ht="45" x14ac:dyDescent="0.25">
      <c r="A23" s="61">
        <v>376807</v>
      </c>
      <c r="B23" s="61">
        <v>376807</v>
      </c>
      <c r="C23" s="62" t="s">
        <v>237</v>
      </c>
      <c r="D23" s="62" t="s">
        <v>12</v>
      </c>
      <c r="E23" s="62" t="s">
        <v>49</v>
      </c>
      <c r="F23" s="62"/>
      <c r="G23" s="62" t="s">
        <v>14</v>
      </c>
      <c r="H23" s="63">
        <v>921</v>
      </c>
      <c r="I23" s="63">
        <v>1490</v>
      </c>
      <c r="J23" s="62"/>
      <c r="K23" s="62" t="s">
        <v>15</v>
      </c>
      <c r="L23" s="62"/>
      <c r="M23" s="62"/>
      <c r="N23" s="41">
        <f>VLOOKUP(A23,Кардан!A:A,1,0)</f>
        <v>376807</v>
      </c>
    </row>
  </sheetData>
  <sheetProtection formatCells="0" formatColumns="0" formatRows="0" insertColumns="0" insertRows="0" insertHyperlinks="0" deleteColumns="0" deleteRows="0" sort="0" autoFilter="0" pivotTables="0"/>
  <autoFilter ref="A1:M1" xr:uid="{00000000-0009-0000-0000-000000000000}"/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C6D72-7CE3-4D65-9FAA-05AD2CE4F1E2}">
  <sheetPr>
    <outlinePr summaryBelow="0"/>
  </sheetPr>
  <dimension ref="A1:Y15"/>
  <sheetViews>
    <sheetView showRuler="0" zoomScaleNormal="100" workbookViewId="0">
      <pane ySplit="2" topLeftCell="A3" activePane="bottomLeft" state="frozen"/>
      <selection activeCell="R1" activeCellId="1" sqref="A1:A1048576 R1:R1048576"/>
      <selection pane="bottomLeft" activeCell="W2" sqref="W2"/>
    </sheetView>
  </sheetViews>
  <sheetFormatPr defaultRowHeight="15" x14ac:dyDescent="0.25"/>
  <cols>
    <col min="1" max="2" width="7" style="23" bestFit="1" customWidth="1"/>
    <col min="3" max="3" width="32.42578125" style="23" bestFit="1" customWidth="1"/>
    <col min="4" max="4" width="4.7109375" style="23" bestFit="1" customWidth="1"/>
    <col min="5" max="5" width="15.140625" style="23" bestFit="1" customWidth="1"/>
    <col min="6" max="6" width="6.7109375" style="25" bestFit="1" customWidth="1"/>
    <col min="7" max="7" width="6.85546875" style="25" bestFit="1" customWidth="1"/>
    <col min="8" max="8" width="7.42578125" style="23" bestFit="1" customWidth="1"/>
    <col min="9" max="9" width="6" style="23" bestFit="1" customWidth="1"/>
    <col min="10" max="10" width="7.42578125" style="23" customWidth="1"/>
    <col min="11" max="11" width="24.140625" style="24" customWidth="1"/>
    <col min="12" max="12" width="5.5703125" style="24" bestFit="1" customWidth="1"/>
    <col min="13" max="13" width="7.42578125" style="23" customWidth="1"/>
    <col min="14" max="14" width="24.140625" style="24" customWidth="1"/>
    <col min="15" max="15" width="5.5703125" style="24" bestFit="1" customWidth="1"/>
    <col min="16" max="16" width="7.42578125" style="23" customWidth="1"/>
    <col min="17" max="17" width="24.140625" style="24" customWidth="1"/>
    <col min="18" max="19" width="7.42578125" style="24" bestFit="1" customWidth="1"/>
    <col min="20" max="20" width="7.42578125" style="23" customWidth="1"/>
    <col min="21" max="21" width="24.140625" style="24" customWidth="1"/>
    <col min="22" max="23" width="9.140625" style="23"/>
    <col min="24" max="24" width="11.5703125" style="23" bestFit="1" customWidth="1"/>
    <col min="25" max="16384" width="9.140625" style="23"/>
  </cols>
  <sheetData>
    <row r="1" spans="1:25" x14ac:dyDescent="0.25">
      <c r="B1" s="5">
        <v>2</v>
      </c>
      <c r="C1" s="5">
        <v>3</v>
      </c>
      <c r="D1" s="6">
        <v>4</v>
      </c>
      <c r="E1" s="6">
        <v>5</v>
      </c>
      <c r="F1" s="39">
        <v>8</v>
      </c>
      <c r="G1" s="39">
        <v>9</v>
      </c>
    </row>
    <row r="2" spans="1:25" s="35" customFormat="1" x14ac:dyDescent="0.25">
      <c r="A2" s="37" t="s">
        <v>0</v>
      </c>
      <c r="B2" s="7" t="s">
        <v>1</v>
      </c>
      <c r="C2" s="7" t="s">
        <v>50</v>
      </c>
      <c r="D2" s="7"/>
      <c r="E2" s="7" t="s">
        <v>51</v>
      </c>
      <c r="F2" s="38" t="s">
        <v>154</v>
      </c>
      <c r="G2" s="38" t="s">
        <v>153</v>
      </c>
      <c r="H2" s="37" t="s">
        <v>10</v>
      </c>
      <c r="I2" s="47"/>
      <c r="J2" s="35">
        <v>1</v>
      </c>
      <c r="K2" s="36" t="s">
        <v>9</v>
      </c>
      <c r="L2" s="36"/>
      <c r="M2" s="35">
        <v>2</v>
      </c>
      <c r="N2" s="36" t="s">
        <v>9</v>
      </c>
      <c r="O2" s="36"/>
      <c r="P2" s="35">
        <v>3</v>
      </c>
      <c r="Q2" s="36" t="s">
        <v>9</v>
      </c>
      <c r="R2" s="36"/>
      <c r="S2" s="36"/>
      <c r="T2" s="35">
        <v>4</v>
      </c>
      <c r="U2" s="36" t="s">
        <v>9</v>
      </c>
      <c r="W2" s="64" t="s">
        <v>240</v>
      </c>
    </row>
    <row r="3" spans="1:25" ht="45" x14ac:dyDescent="0.25">
      <c r="A3" s="32">
        <v>379943</v>
      </c>
      <c r="B3" s="8">
        <f>VLOOKUP($A3,'Генер Выгр Кат'!$A:$R,B$1,0)</f>
        <v>379943</v>
      </c>
      <c r="C3" s="9" t="str">
        <f>VLOOKUP($A3,'Генер Выгр Кат'!$A:$R,C$1,0)</f>
        <v>Генератор АвтоВАЗ 110А для ВАЗ 2108-21099, 2110-2112, 2113-2115, Лада Приора</v>
      </c>
      <c r="D3" s="8" t="str">
        <f>VLOOKUP($A3,'Генер Выгр Кат'!$A:$R,D$1,0)</f>
        <v>Y</v>
      </c>
      <c r="E3" s="8" t="str">
        <f>VLOOKUP($A3,'Генер Выгр Кат'!$A:$R,E$1,0)</f>
        <v>21120370101083</v>
      </c>
      <c r="F3" s="31">
        <f>VLOOKUP($A3,'Генер Выгр Кат'!$A:$R,F$1,0)</f>
        <v>5588</v>
      </c>
      <c r="G3" s="31">
        <f>VLOOKUP($A3,'Генер Выгр Кат'!$A:$R,G$1,0)</f>
        <v>7590</v>
      </c>
      <c r="H3" s="30" t="s">
        <v>15</v>
      </c>
      <c r="I3" s="22">
        <f>VLOOKUP(K3,Парсинг!$A:$C,3,0)</f>
        <v>8185</v>
      </c>
      <c r="J3" s="29">
        <v>8185</v>
      </c>
      <c r="K3" s="28" t="s">
        <v>152</v>
      </c>
      <c r="L3" s="22">
        <f>VLOOKUP(N3,Парсинг!$A:$C,3,0)</f>
        <v>7675</v>
      </c>
      <c r="M3" s="29">
        <v>7675</v>
      </c>
      <c r="N3" s="28" t="s">
        <v>151</v>
      </c>
      <c r="O3" s="22">
        <f>VLOOKUP(Q3,Парсинг!$A:$C,3,0)</f>
        <v>8131</v>
      </c>
      <c r="P3" s="29">
        <v>8131</v>
      </c>
      <c r="Q3" s="28" t="s">
        <v>150</v>
      </c>
      <c r="R3" s="29"/>
      <c r="S3" s="22">
        <f>VLOOKUP(U3,Парсинг!$A:$C,3,0)</f>
        <v>7446</v>
      </c>
      <c r="T3" s="29">
        <v>7446</v>
      </c>
      <c r="U3" s="34" t="s">
        <v>149</v>
      </c>
      <c r="V3" s="23">
        <f t="shared" ref="V3:V11" si="0">MIN(J3,M3,P3,T3)</f>
        <v>7446</v>
      </c>
      <c r="W3" s="65">
        <f t="shared" ref="W3:W12" si="1">ROUNDUP(V3,-2)-10</f>
        <v>7490</v>
      </c>
      <c r="X3" s="27">
        <f t="shared" ref="X3:X12" si="2">W3/F3-1</f>
        <v>0.34037222619899787</v>
      </c>
      <c r="Y3" s="25">
        <f t="shared" ref="Y3:Y12" si="3">W3-G3</f>
        <v>-100</v>
      </c>
    </row>
    <row r="4" spans="1:25" ht="30" x14ac:dyDescent="0.25">
      <c r="A4" s="32">
        <v>380013</v>
      </c>
      <c r="B4" s="8">
        <f>VLOOKUP($A4,'Генер Выгр Кат'!$A:$R,B$1,0)</f>
        <v>380013</v>
      </c>
      <c r="C4" s="9" t="str">
        <f>VLOOKUP($A4,'Генер Выгр Кат'!$A:$R,C$1,0)</f>
        <v>Генератор АвтоВАЗ 110А для ВАЗ 2101-2107, Лада Нива 4х4</v>
      </c>
      <c r="D4" s="8" t="str">
        <f>VLOOKUP($A4,'Генер Выгр Кат'!$A:$R,D$1,0)</f>
        <v>Y</v>
      </c>
      <c r="E4" s="8" t="str">
        <f>VLOOKUP($A4,'Генер Выгр Кат'!$A:$R,E$1,0)</f>
        <v>21214370101083</v>
      </c>
      <c r="F4" s="31">
        <f>VLOOKUP($A4,'Генер Выгр Кат'!$A:$R,F$1,0)</f>
        <v>6205</v>
      </c>
      <c r="G4" s="31">
        <f>VLOOKUP($A4,'Генер Выгр Кат'!$A:$R,G$1,0)</f>
        <v>8390</v>
      </c>
      <c r="H4" s="30" t="s">
        <v>15</v>
      </c>
      <c r="I4" s="29"/>
      <c r="J4" s="29">
        <v>8069</v>
      </c>
      <c r="K4" s="28" t="s">
        <v>148</v>
      </c>
      <c r="L4" s="22">
        <f>VLOOKUP(N4,Парсинг!$A:$C,3,0)</f>
        <v>8255</v>
      </c>
      <c r="M4" s="29">
        <v>8255</v>
      </c>
      <c r="N4" s="28" t="s">
        <v>147</v>
      </c>
      <c r="O4" s="22">
        <f>VLOOKUP(Q4,Парсинг!$A:$C,3,0)</f>
        <v>8716</v>
      </c>
      <c r="P4" s="29">
        <v>8716</v>
      </c>
      <c r="Q4" s="28" t="s">
        <v>146</v>
      </c>
      <c r="R4" s="29"/>
      <c r="S4" s="22">
        <f>VLOOKUP(U4,Парсинг!$A:$C,3,0)</f>
        <v>7970</v>
      </c>
      <c r="T4" s="29">
        <v>7970</v>
      </c>
      <c r="U4" s="28" t="s">
        <v>145</v>
      </c>
      <c r="V4" s="23">
        <f t="shared" si="0"/>
        <v>7970</v>
      </c>
      <c r="W4" s="65">
        <f t="shared" si="1"/>
        <v>7990</v>
      </c>
      <c r="X4" s="27">
        <f t="shared" si="2"/>
        <v>0.28767123287671237</v>
      </c>
      <c r="Y4" s="25">
        <f t="shared" si="3"/>
        <v>-400</v>
      </c>
    </row>
    <row r="5" spans="1:25" ht="30" x14ac:dyDescent="0.25">
      <c r="A5" s="32">
        <v>379961</v>
      </c>
      <c r="B5" s="8">
        <f>VLOOKUP($A5,'Генер Выгр Кат'!$A:$R,B$1,0)</f>
        <v>379961</v>
      </c>
      <c r="C5" s="9" t="str">
        <f>VLOOKUP($A5,'Генер Выгр Кат'!$A:$R,C$1,0)</f>
        <v>Генератор АвтоВАЗ 110А для Шевроле Нива</v>
      </c>
      <c r="D5" s="8" t="str">
        <f>VLOOKUP($A5,'Генер Выгр Кат'!$A:$R,D$1,0)</f>
        <v>Y</v>
      </c>
      <c r="E5" s="8" t="str">
        <f>VLOOKUP($A5,'Генер Выгр Кат'!$A:$R,E$1,0)</f>
        <v>21230370101083</v>
      </c>
      <c r="F5" s="31">
        <f>VLOOKUP($A5,'Генер Выгр Кат'!$A:$R,F$1,0)</f>
        <v>5951</v>
      </c>
      <c r="G5" s="31">
        <f>VLOOKUP($A5,'Генер Выгр Кат'!$A:$R,G$1,0)</f>
        <v>8090</v>
      </c>
      <c r="H5" s="30" t="s">
        <v>15</v>
      </c>
      <c r="I5" s="22">
        <f>VLOOKUP(K5,Парсинг!$A:$C,3,0)</f>
        <v>10257</v>
      </c>
      <c r="J5" s="29">
        <v>10257</v>
      </c>
      <c r="K5" s="28" t="s">
        <v>144</v>
      </c>
      <c r="L5" s="22">
        <f>VLOOKUP(N5,Парсинг!$A:$C,3,0)</f>
        <v>8255</v>
      </c>
      <c r="M5" s="29">
        <v>8255</v>
      </c>
      <c r="N5" s="28" t="s">
        <v>127</v>
      </c>
      <c r="O5" s="22">
        <f>VLOOKUP(Q5,Парсинг!$A:$C,3,0)</f>
        <v>8719</v>
      </c>
      <c r="P5" s="29">
        <v>8719</v>
      </c>
      <c r="Q5" s="28" t="s">
        <v>143</v>
      </c>
      <c r="R5" s="29"/>
      <c r="S5" s="22" t="e">
        <f>VLOOKUP(U5,Парсинг!$A:$C,3,0)</f>
        <v>#N/A</v>
      </c>
      <c r="T5" s="29">
        <v>7542</v>
      </c>
      <c r="U5" s="28" t="s">
        <v>239</v>
      </c>
      <c r="V5" s="23">
        <f t="shared" si="0"/>
        <v>7542</v>
      </c>
      <c r="W5" s="65">
        <f t="shared" si="1"/>
        <v>7590</v>
      </c>
      <c r="X5" s="27">
        <f t="shared" si="2"/>
        <v>0.27541589648798515</v>
      </c>
      <c r="Y5" s="25">
        <f t="shared" si="3"/>
        <v>-500</v>
      </c>
    </row>
    <row r="6" spans="1:25" ht="45" x14ac:dyDescent="0.25">
      <c r="A6" s="32">
        <v>355457</v>
      </c>
      <c r="B6" s="8">
        <f>VLOOKUP($A6,'Генер Выгр Кат'!$A:$R,B$1,0)</f>
        <v>355457</v>
      </c>
      <c r="C6" s="9" t="str">
        <f>VLOOKUP($A6,'Генер Выгр Кат'!$A:$R,C$1,0)</f>
        <v>Генератор АвтоВАЗ 125А для Лада Приора, Гранта, Гранта FL, Калина 2</v>
      </c>
      <c r="D6" s="8" t="str">
        <f>VLOOKUP($A6,'Генер Выгр Кат'!$A:$R,D$1,0)</f>
        <v>Y</v>
      </c>
      <c r="E6" s="8" t="str">
        <f>VLOOKUP($A6,'Генер Выгр Кат'!$A:$R,E$1,0)</f>
        <v>21700370101082</v>
      </c>
      <c r="F6" s="31">
        <f>VLOOKUP($A6,'Генер Выгр Кат'!$A:$R,F$1,0)</f>
        <v>6933</v>
      </c>
      <c r="G6" s="31">
        <f>VLOOKUP($A6,'Генер Выгр Кат'!$A:$R,G$1,0)</f>
        <v>9390</v>
      </c>
      <c r="H6" s="30" t="s">
        <v>15</v>
      </c>
      <c r="I6" s="29"/>
      <c r="J6" s="29">
        <v>8859</v>
      </c>
      <c r="K6" s="28" t="s">
        <v>142</v>
      </c>
      <c r="L6" s="22">
        <f>VLOOKUP(N6,Парсинг!$A:$C,3,0)</f>
        <v>9220</v>
      </c>
      <c r="M6" s="29">
        <v>9220</v>
      </c>
      <c r="N6" s="28" t="s">
        <v>141</v>
      </c>
      <c r="O6" s="22">
        <f>VLOOKUP(Q6,Парсинг!$A:$C,3,0)</f>
        <v>9684</v>
      </c>
      <c r="P6" s="29">
        <v>9684</v>
      </c>
      <c r="Q6" s="28" t="s">
        <v>140</v>
      </c>
      <c r="R6" s="29"/>
      <c r="S6" s="22" t="e">
        <f>VLOOKUP(U6,Парсинг!$A:$C,3,0)</f>
        <v>#N/A</v>
      </c>
      <c r="T6" s="29">
        <v>10424</v>
      </c>
      <c r="U6" s="28" t="s">
        <v>139</v>
      </c>
      <c r="V6" s="23">
        <f t="shared" si="0"/>
        <v>8859</v>
      </c>
      <c r="W6" s="65">
        <f t="shared" si="1"/>
        <v>8890</v>
      </c>
      <c r="X6" s="27">
        <f t="shared" si="2"/>
        <v>0.2822731862108756</v>
      </c>
      <c r="Y6" s="25">
        <f t="shared" si="3"/>
        <v>-500</v>
      </c>
    </row>
    <row r="7" spans="1:25" ht="45" x14ac:dyDescent="0.25">
      <c r="A7" s="32">
        <v>379960</v>
      </c>
      <c r="B7" s="8">
        <f>VLOOKUP($A7,'Генер Выгр Кат'!$A:$R,B$1,0)</f>
        <v>379960</v>
      </c>
      <c r="C7" s="9" t="str">
        <f>VLOOKUP($A7,'Генер Выгр Кат'!$A:$R,C$1,0)</f>
        <v>Генератор АвтоВАЗ 130А для ВАЗ 2108-21099, 2110-2112, 2113-2115, Лада Приора</v>
      </c>
      <c r="D7" s="8" t="str">
        <f>VLOOKUP($A7,'Генер Выгр Кат'!$A:$R,D$1,0)</f>
        <v>Y</v>
      </c>
      <c r="E7" s="8" t="str">
        <f>VLOOKUP($A7,'Генер Выгр Кат'!$A:$R,E$1,0)</f>
        <v>21120370101084</v>
      </c>
      <c r="F7" s="31">
        <f>VLOOKUP($A7,'Генер Выгр Кат'!$A:$R,F$1,0)</f>
        <v>6446</v>
      </c>
      <c r="G7" s="31">
        <f>VLOOKUP($A7,'Генер Выгр Кат'!$A:$R,G$1,0)</f>
        <v>8790</v>
      </c>
      <c r="H7" s="30" t="s">
        <v>15</v>
      </c>
      <c r="I7" s="22">
        <f>VLOOKUP(K7,Парсинг!$A:$C,3,0)</f>
        <v>8553</v>
      </c>
      <c r="J7" s="29">
        <v>8553</v>
      </c>
      <c r="K7" s="28" t="s">
        <v>138</v>
      </c>
      <c r="L7" s="22">
        <f>VLOOKUP(N7,Парсинг!$A:$C,3,0)</f>
        <v>8940</v>
      </c>
      <c r="M7" s="29">
        <v>8940</v>
      </c>
      <c r="N7" s="28" t="s">
        <v>137</v>
      </c>
      <c r="O7" s="22">
        <f>VLOOKUP(Q7,Парсинг!$A:$C,3,0)</f>
        <v>9317</v>
      </c>
      <c r="P7" s="29">
        <v>9317</v>
      </c>
      <c r="Q7" s="28" t="s">
        <v>136</v>
      </c>
      <c r="R7" s="29"/>
      <c r="S7" s="22" t="e">
        <f>VLOOKUP(U7,Парсинг!$A:$C,3,0)</f>
        <v>#N/A</v>
      </c>
      <c r="T7" s="29">
        <v>8537</v>
      </c>
      <c r="U7" s="28" t="s">
        <v>135</v>
      </c>
      <c r="V7" s="23">
        <f t="shared" si="0"/>
        <v>8537</v>
      </c>
      <c r="W7" s="65">
        <f t="shared" si="1"/>
        <v>8590</v>
      </c>
      <c r="X7" s="27">
        <f t="shared" si="2"/>
        <v>0.33260937015203229</v>
      </c>
      <c r="Y7" s="25">
        <f t="shared" si="3"/>
        <v>-200</v>
      </c>
    </row>
    <row r="8" spans="1:25" ht="30" x14ac:dyDescent="0.25">
      <c r="A8" s="32">
        <v>380012</v>
      </c>
      <c r="B8" s="8">
        <f>VLOOKUP($A8,'Генер Выгр Кат'!$A:$R,B$1,0)</f>
        <v>380012</v>
      </c>
      <c r="C8" s="9" t="str">
        <f>VLOOKUP($A8,'Генер Выгр Кат'!$A:$R,C$1,0)</f>
        <v>Генератор АвтоВАЗ 130А для Шевроле Нива</v>
      </c>
      <c r="D8" s="8" t="str">
        <f>VLOOKUP($A8,'Генер Выгр Кат'!$A:$R,D$1,0)</f>
        <v>Y</v>
      </c>
      <c r="E8" s="8" t="str">
        <f>VLOOKUP($A8,'Генер Выгр Кат'!$A:$R,E$1,0)</f>
        <v>21230370101084</v>
      </c>
      <c r="F8" s="31">
        <f>VLOOKUP($A8,'Генер Выгр Кат'!$A:$R,F$1,0)</f>
        <v>6753</v>
      </c>
      <c r="G8" s="31">
        <f>VLOOKUP($A8,'Генер Выгр Кат'!$A:$R,G$1,0)</f>
        <v>9190</v>
      </c>
      <c r="H8" s="30" t="s">
        <v>15</v>
      </c>
      <c r="I8" s="29"/>
      <c r="J8" s="29"/>
      <c r="K8" s="33"/>
      <c r="L8" s="22">
        <f>VLOOKUP(N8,Парсинг!$A:$C,3,0)</f>
        <v>9270</v>
      </c>
      <c r="M8" s="29">
        <v>9270</v>
      </c>
      <c r="N8" s="28" t="s">
        <v>134</v>
      </c>
      <c r="O8" s="22">
        <f>VLOOKUP(Q8,Парсинг!$A:$C,3,0)</f>
        <v>9642</v>
      </c>
      <c r="P8" s="29">
        <v>9642</v>
      </c>
      <c r="Q8" s="28" t="s">
        <v>133</v>
      </c>
      <c r="R8" s="29"/>
      <c r="S8" s="22">
        <f>VLOOKUP(U8,Парсинг!$A:$C,3,0)</f>
        <v>13398</v>
      </c>
      <c r="T8" s="29">
        <v>13398</v>
      </c>
      <c r="U8" s="28" t="s">
        <v>132</v>
      </c>
      <c r="V8" s="23">
        <f t="shared" si="0"/>
        <v>9270</v>
      </c>
      <c r="W8" s="65">
        <f t="shared" si="1"/>
        <v>9290</v>
      </c>
      <c r="X8" s="27">
        <f t="shared" si="2"/>
        <v>0.3756848807937212</v>
      </c>
      <c r="Y8" s="25">
        <f t="shared" si="3"/>
        <v>100</v>
      </c>
    </row>
    <row r="9" spans="1:25" ht="45" x14ac:dyDescent="0.25">
      <c r="A9" s="32">
        <v>355437</v>
      </c>
      <c r="B9" s="8">
        <f>VLOOKUP($A9,'Генер Выгр Кат'!$A:$R,B$1,0)</f>
        <v>355437</v>
      </c>
      <c r="C9" s="9" t="str">
        <f>VLOOKUP($A9,'Генер Выгр Кат'!$A:$R,C$1,0)</f>
        <v>Генератор АвтоВАЗ 21214 80А для ВАЗ 2104-2107, Лада Нива 4х4, Шевроле Нива до 2003 г. в.</v>
      </c>
      <c r="D9" s="8" t="str">
        <f>VLOOKUP($A9,'Генер Выгр Кат'!$A:$R,D$1,0)</f>
        <v>Y</v>
      </c>
      <c r="E9" s="8" t="str">
        <f>VLOOKUP($A9,'Генер Выгр Кат'!$A:$R,E$1,0)</f>
        <v>21214370101003</v>
      </c>
      <c r="F9" s="31">
        <f>VLOOKUP($A9,'Генер Выгр Кат'!$A:$R,F$1,0)</f>
        <v>5504</v>
      </c>
      <c r="G9" s="31">
        <f>VLOOKUP($A9,'Генер Выгр Кат'!$A:$R,G$1,0)</f>
        <v>7490</v>
      </c>
      <c r="H9" s="30" t="s">
        <v>15</v>
      </c>
      <c r="I9" s="22">
        <f>VLOOKUP(K9,Парсинг!$A:$C,3,0)</f>
        <v>8375</v>
      </c>
      <c r="J9" s="29">
        <v>8375</v>
      </c>
      <c r="K9" s="28" t="s">
        <v>131</v>
      </c>
      <c r="L9" s="22">
        <f>VLOOKUP(N9,Парсинг!$A:$C,3,0)</f>
        <v>7635</v>
      </c>
      <c r="M9" s="29">
        <v>7635</v>
      </c>
      <c r="N9" s="28" t="s">
        <v>130</v>
      </c>
      <c r="O9" s="22">
        <f>VLOOKUP(Q9,Парсинг!$A:$C,3,0)</f>
        <v>7976</v>
      </c>
      <c r="P9" s="29">
        <v>7976</v>
      </c>
      <c r="Q9" s="28" t="s">
        <v>129</v>
      </c>
      <c r="R9" s="29"/>
      <c r="S9" s="22">
        <f>VLOOKUP(U9,Парсинг!$A:$C,3,0)</f>
        <v>6909</v>
      </c>
      <c r="T9" s="29">
        <v>6909</v>
      </c>
      <c r="U9" s="28" t="s">
        <v>128</v>
      </c>
      <c r="V9" s="23">
        <f t="shared" si="0"/>
        <v>6909</v>
      </c>
      <c r="W9" s="65">
        <f t="shared" si="1"/>
        <v>6990</v>
      </c>
      <c r="X9" s="27">
        <f t="shared" si="2"/>
        <v>0.26998546511627897</v>
      </c>
      <c r="Y9" s="25">
        <f t="shared" si="3"/>
        <v>-500</v>
      </c>
    </row>
    <row r="10" spans="1:25" ht="30" x14ac:dyDescent="0.25">
      <c r="A10" s="32">
        <v>355436</v>
      </c>
      <c r="B10" s="8">
        <f>VLOOKUP($A10,'Генер Выгр Кат'!$A:$R,B$1,0)</f>
        <v>355436</v>
      </c>
      <c r="C10" s="9" t="str">
        <f>VLOOKUP($A10,'Генер Выгр Кат'!$A:$R,C$1,0)</f>
        <v>Генератор АвтоВАЗ 80А для Шевроле Нива с 2003 г. в.</v>
      </c>
      <c r="D10" s="8" t="str">
        <f>VLOOKUP($A10,'Генер Выгр Кат'!$A:$R,D$1,0)</f>
        <v>Y</v>
      </c>
      <c r="E10" s="8" t="str">
        <f>VLOOKUP($A10,'Генер Выгр Кат'!$A:$R,E$1,0)</f>
        <v>21230370101082</v>
      </c>
      <c r="F10" s="31">
        <f>VLOOKUP($A10,'Генер Выгр Кат'!$A:$R,F$1,0)</f>
        <v>5730</v>
      </c>
      <c r="G10" s="31">
        <f>VLOOKUP($A10,'Генер Выгр Кат'!$A:$R,G$1,0)</f>
        <v>7790</v>
      </c>
      <c r="H10" s="30" t="s">
        <v>15</v>
      </c>
      <c r="I10" s="29"/>
      <c r="J10" s="29"/>
      <c r="K10" s="33"/>
      <c r="L10" s="22">
        <f>VLOOKUP(N10,Парсинг!$A:$C,3,0)</f>
        <v>8255</v>
      </c>
      <c r="M10" s="29">
        <v>8255</v>
      </c>
      <c r="N10" s="28" t="s">
        <v>127</v>
      </c>
      <c r="O10" s="22">
        <f>VLOOKUP(Q10,Парсинг!$A:$C,3,0)</f>
        <v>8142</v>
      </c>
      <c r="P10" s="29">
        <v>8142</v>
      </c>
      <c r="Q10" s="28" t="s">
        <v>126</v>
      </c>
      <c r="R10" s="29"/>
      <c r="S10" s="22" t="e">
        <f>VLOOKUP(U10,Парсинг!$A:$C,3,0)</f>
        <v>#N/A</v>
      </c>
      <c r="T10" s="29">
        <v>10290</v>
      </c>
      <c r="U10" s="28" t="s">
        <v>238</v>
      </c>
      <c r="V10" s="23">
        <f>MIN(J10,M10,P10,T10)</f>
        <v>8142</v>
      </c>
      <c r="W10" s="65">
        <f t="shared" si="1"/>
        <v>8190</v>
      </c>
      <c r="X10" s="27">
        <f t="shared" si="2"/>
        <v>0.42931937172774859</v>
      </c>
      <c r="Y10" s="25">
        <f t="shared" si="3"/>
        <v>400</v>
      </c>
    </row>
    <row r="11" spans="1:25" ht="45" x14ac:dyDescent="0.25">
      <c r="A11" s="32">
        <v>355461</v>
      </c>
      <c r="B11" s="8">
        <f>VLOOKUP($A11,'Генер Выгр Кат'!$A:$R,B$1,0)</f>
        <v>355461</v>
      </c>
      <c r="C11" s="9" t="str">
        <f>VLOOKUP($A11,'Генер Выгр Кат'!$A:$R,C$1,0)</f>
        <v>Генератор АвтоВАЗ 90А для ВАЗ 2108-21099, 2110-2112, 2113-2115, Лада Приора</v>
      </c>
      <c r="D11" s="8" t="str">
        <f>VLOOKUP($A11,'Генер Выгр Кат'!$A:$R,D$1,0)</f>
        <v>Y</v>
      </c>
      <c r="E11" s="8" t="str">
        <f>VLOOKUP($A11,'Генер Выгр Кат'!$A:$R,E$1,0)</f>
        <v>21120370101008</v>
      </c>
      <c r="F11" s="31">
        <f>VLOOKUP($A11,'Генер Выгр Кат'!$A:$R,F$1,0)</f>
        <v>5216</v>
      </c>
      <c r="G11" s="31">
        <f>VLOOKUP($A11,'Генер Выгр Кат'!$A:$R,G$1,0)</f>
        <v>7090</v>
      </c>
      <c r="H11" s="30" t="s">
        <v>15</v>
      </c>
      <c r="I11" s="22">
        <f>VLOOKUP(K11,Парсинг!$A:$C,3,0)</f>
        <v>8095</v>
      </c>
      <c r="J11" s="29">
        <v>8095</v>
      </c>
      <c r="K11" s="28" t="s">
        <v>125</v>
      </c>
      <c r="L11" s="22">
        <f>VLOOKUP(N11,Парсинг!$A:$C,3,0)</f>
        <v>7160</v>
      </c>
      <c r="M11" s="29">
        <v>7160</v>
      </c>
      <c r="N11" s="28" t="s">
        <v>124</v>
      </c>
      <c r="O11" s="22">
        <f>VLOOKUP(Q11,Парсинг!$A:$C,3,0)</f>
        <v>7612</v>
      </c>
      <c r="P11" s="29">
        <v>7612</v>
      </c>
      <c r="Q11" s="28" t="s">
        <v>123</v>
      </c>
      <c r="R11" s="29"/>
      <c r="S11" s="22">
        <f>VLOOKUP(U11,Парсинг!$A:$C,3,0)</f>
        <v>6827</v>
      </c>
      <c r="T11" s="29">
        <v>6827</v>
      </c>
      <c r="U11" s="28" t="s">
        <v>200</v>
      </c>
      <c r="V11" s="23">
        <f t="shared" si="0"/>
        <v>6827</v>
      </c>
      <c r="W11" s="65">
        <f t="shared" si="1"/>
        <v>6890</v>
      </c>
      <c r="X11" s="27">
        <f t="shared" si="2"/>
        <v>0.3209355828220859</v>
      </c>
      <c r="Y11" s="25">
        <f t="shared" si="3"/>
        <v>-200</v>
      </c>
    </row>
    <row r="12" spans="1:25" ht="30" x14ac:dyDescent="0.25">
      <c r="A12" s="32">
        <v>355463</v>
      </c>
      <c r="B12" s="8">
        <f>VLOOKUP($A12,'Генер Выгр Кат'!$A:$R,B$1,0)</f>
        <v>355463</v>
      </c>
      <c r="C12" s="9" t="str">
        <f>VLOOKUP($A12,'Генер Выгр Кат'!$A:$R,C$1,0)</f>
        <v>Генератор АвтоВАЗ 90А для Лада Калина</v>
      </c>
      <c r="D12" s="8" t="str">
        <f>VLOOKUP($A12,'Генер Выгр Кат'!$A:$R,D$1,0)</f>
        <v>Y</v>
      </c>
      <c r="E12" s="8" t="str">
        <f>VLOOKUP($A12,'Генер Выгр Кат'!$A:$R,E$1,0)</f>
        <v>11190370101003</v>
      </c>
      <c r="F12" s="31">
        <f>VLOOKUP($A12,'Генер Выгр Кат'!$A:$R,F$1,0)</f>
        <v>5811</v>
      </c>
      <c r="G12" s="31">
        <f>VLOOKUP($A12,'Генер Выгр Кат'!$A:$R,G$1,0)</f>
        <v>7890</v>
      </c>
      <c r="H12" s="30" t="s">
        <v>15</v>
      </c>
      <c r="I12" s="22">
        <f>VLOOKUP(K12,Парсинг!$A:$C,3,0)</f>
        <v>9115</v>
      </c>
      <c r="J12" s="29">
        <v>9115</v>
      </c>
      <c r="K12" s="28" t="s">
        <v>122</v>
      </c>
      <c r="L12" s="22">
        <f>VLOOKUP(N12,Парсинг!$A:$C,3,0)</f>
        <v>8060</v>
      </c>
      <c r="M12" s="29">
        <v>8060</v>
      </c>
      <c r="N12" s="28" t="s">
        <v>121</v>
      </c>
      <c r="O12" s="22">
        <f>VLOOKUP(Q12,Парсинг!$A:$C,3,0)</f>
        <v>8524</v>
      </c>
      <c r="P12" s="29">
        <v>8524</v>
      </c>
      <c r="Q12" s="28" t="s">
        <v>120</v>
      </c>
      <c r="R12" s="29"/>
      <c r="S12" s="22">
        <f>VLOOKUP(U12,Парсинг!$A:$C,3,0)</f>
        <v>8609</v>
      </c>
      <c r="T12" s="29">
        <v>8609</v>
      </c>
      <c r="U12" s="28" t="s">
        <v>119</v>
      </c>
      <c r="V12" s="23">
        <f>MIN(J12,M12,P12,T12)</f>
        <v>8060</v>
      </c>
      <c r="W12" s="65">
        <f t="shared" si="1"/>
        <v>8090</v>
      </c>
      <c r="X12" s="27">
        <f t="shared" si="2"/>
        <v>0.39218723111340559</v>
      </c>
      <c r="Y12" s="25">
        <f t="shared" si="3"/>
        <v>200</v>
      </c>
    </row>
    <row r="15" spans="1:25" x14ac:dyDescent="0.25">
      <c r="V15" s="26">
        <f>F15*1.24</f>
        <v>0</v>
      </c>
    </row>
  </sheetData>
  <sheetProtection formatCells="0" formatColumns="0" formatRows="0" insertColumns="0" insertRows="0" insertHyperlinks="0" deleteColumns="0" deleteRows="0" sort="0" autoFilter="0" pivotTables="0"/>
  <autoFilter ref="A2:X2" xr:uid="{00000000-0001-0000-0000-000000000000}"/>
  <conditionalFormatting sqref="X3:X12">
    <cfRule type="cellIs" dxfId="7" priority="6" operator="lessThan">
      <formula>0.2</formula>
    </cfRule>
  </conditionalFormatting>
  <conditionalFormatting sqref="J3:J12">
    <cfRule type="expression" dxfId="6" priority="5">
      <formula>J3&lt;&gt;I3</formula>
    </cfRule>
  </conditionalFormatting>
  <conditionalFormatting sqref="A3:A12">
    <cfRule type="expression" dxfId="5" priority="4">
      <formula>EXACT(G3,W3)</formula>
    </cfRule>
  </conditionalFormatting>
  <conditionalFormatting sqref="M3:M12">
    <cfRule type="expression" dxfId="4" priority="3">
      <formula>L3&lt;&gt;M3</formula>
    </cfRule>
  </conditionalFormatting>
  <conditionalFormatting sqref="P3:P12">
    <cfRule type="expression" dxfId="3" priority="2">
      <formula>O3&lt;&gt;P3</formula>
    </cfRule>
  </conditionalFormatting>
  <conditionalFormatting sqref="T3:T12">
    <cfRule type="expression" dxfId="2" priority="1">
      <formula>S3&lt;&gt;T3</formula>
    </cfRule>
  </conditionalFormatting>
  <hyperlinks>
    <hyperlink ref="K3" r:id="rId1" xr:uid="{53E08B34-C55D-4CFF-9A91-1F64C0CD703D}"/>
    <hyperlink ref="K4" r:id="rId2" xr:uid="{7379D28E-DF24-4798-8B85-BC9BD65CB9B3}"/>
    <hyperlink ref="K5" r:id="rId3" xr:uid="{7328B06A-7260-4529-B5D2-3604F144C926}"/>
    <hyperlink ref="K6" r:id="rId4" xr:uid="{203D27A9-148D-4980-BA65-378A0E2A4729}"/>
    <hyperlink ref="K7" r:id="rId5" xr:uid="{C05E4ED0-BDC0-4B65-860D-E44BB4098212}"/>
    <hyperlink ref="K9" r:id="rId6" xr:uid="{CFE276D0-0EF9-48BE-8D39-C80EF4274FB1}"/>
    <hyperlink ref="K11" r:id="rId7" xr:uid="{4F42A3D6-D5B9-4E9A-B220-ECA272D643EA}"/>
    <hyperlink ref="K12" r:id="rId8" xr:uid="{E45C634A-E42A-4D42-9604-9241CD0FEA78}"/>
    <hyperlink ref="N3" r:id="rId9" xr:uid="{0A559790-C81E-484B-BD91-0C0BEFAEDEAD}"/>
    <hyperlink ref="N4" r:id="rId10" xr:uid="{80C54388-2D86-4139-A38D-91A39ACF60D8}"/>
    <hyperlink ref="N5" r:id="rId11" xr:uid="{9B0057F0-46A3-44E2-8285-3BE19B0EBCC1}"/>
    <hyperlink ref="N6" r:id="rId12" xr:uid="{7BF5CE7B-6F6F-4BA8-A884-9B43D5120438}"/>
    <hyperlink ref="N7" r:id="rId13" xr:uid="{77B9EA09-AD22-4CBF-88B8-A54D1617F1B6}"/>
    <hyperlink ref="N8" r:id="rId14" xr:uid="{B35AAAFC-BFAC-4ADB-BF41-92C275044BAF}"/>
    <hyperlink ref="N9" r:id="rId15" xr:uid="{ED941526-54A5-411C-B703-F8D85FC54878}"/>
    <hyperlink ref="N10" r:id="rId16" xr:uid="{1B7AD053-7BE0-4744-AF74-F5B295917AE0}"/>
    <hyperlink ref="N11" r:id="rId17" xr:uid="{3D15B4A4-F74A-4815-9268-C0009FD9512A}"/>
    <hyperlink ref="N12" r:id="rId18" xr:uid="{E6722FFF-D3D2-4DD3-9F2A-F17718E09E78}"/>
    <hyperlink ref="Q3" r:id="rId19" xr:uid="{57CD5E4F-B35A-4549-B05F-51F175944F6F}"/>
    <hyperlink ref="Q4" r:id="rId20" xr:uid="{5785DB0E-1679-4FD6-B98C-01A2DA887D01}"/>
    <hyperlink ref="Q5" r:id="rId21" xr:uid="{83102A50-76D9-461C-8585-3EDBB583E6D3}"/>
    <hyperlink ref="Q6" r:id="rId22" xr:uid="{CA481AAF-822C-4E31-868C-FD2221CC40B6}"/>
    <hyperlink ref="Q7" r:id="rId23" xr:uid="{905AD59E-1CE3-4F66-A9FB-B50ACE509236}"/>
    <hyperlink ref="Q8" r:id="rId24" xr:uid="{CBF7C8A8-6441-4686-B504-2A75C29B540E}"/>
    <hyperlink ref="Q9" r:id="rId25" xr:uid="{D630E94F-72C2-4A35-A1BB-0B4A809D3247}"/>
    <hyperlink ref="Q10" r:id="rId26" xr:uid="{FBDFBB35-11AC-4774-BF3F-518F623AF910}"/>
    <hyperlink ref="Q11" r:id="rId27" xr:uid="{1854A522-FB2E-4C48-9CA4-7B9B0838FFB5}"/>
    <hyperlink ref="Q12" r:id="rId28" xr:uid="{2D61F750-B1FF-476B-878F-CDAA292423A9}"/>
    <hyperlink ref="U3" r:id="rId29" xr:uid="{A4065917-684B-466D-9AA4-35ABE38096C2}"/>
    <hyperlink ref="U4" r:id="rId30" xr:uid="{232900AD-4660-4379-A39D-E11AC27205EF}"/>
    <hyperlink ref="U6" r:id="rId31" xr:uid="{FDE522F9-C93E-4BC6-8159-54AF5658BA97}"/>
    <hyperlink ref="U7" r:id="rId32" xr:uid="{D962318B-BF2B-42B3-B83D-4BF5FE9A403D}"/>
    <hyperlink ref="U8" r:id="rId33" xr:uid="{204922E7-AF65-4868-98C8-9F957ED1EAC9}"/>
    <hyperlink ref="U9" r:id="rId34" xr:uid="{9B1A13F5-0025-4472-8598-48FC8601545B}"/>
    <hyperlink ref="U11" r:id="rId35" xr:uid="{84155BFA-05A8-4368-B405-6EAAF3E80A9D}"/>
    <hyperlink ref="U12" r:id="rId36" xr:uid="{D318408E-A012-4CD0-8C8F-9F255DF8F0E3}"/>
  </hyperlinks>
  <pageMargins left="0.7" right="0.7" top="0.75" bottom="0.75" header="0.3" footer="0.3"/>
  <pageSetup orientation="portrait" r:id="rId37"/>
  <headerFooter alignWithMargins="0"/>
  <legacyDrawing r:id="rId3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D987C-79E4-41DC-994A-B7BCE9D30C37}">
  <sheetPr>
    <outlinePr summaryBelow="0"/>
  </sheetPr>
  <dimension ref="A1:N11"/>
  <sheetViews>
    <sheetView showRuler="0" zoomScaleNormal="100" workbookViewId="0">
      <pane ySplit="1" topLeftCell="A2" activePane="bottomLeft" state="frozen"/>
      <selection activeCell="R1" activeCellId="1" sqref="A1:A1048576 R1:R1048576"/>
      <selection pane="bottomLeft" sqref="A1:M11"/>
    </sheetView>
  </sheetViews>
  <sheetFormatPr defaultRowHeight="15" x14ac:dyDescent="0.25"/>
  <cols>
    <col min="1" max="2" width="7" style="23" bestFit="1" customWidth="1"/>
    <col min="3" max="3" width="32.42578125" style="23" bestFit="1" customWidth="1"/>
    <col min="4" max="4" width="4.7109375" style="23" bestFit="1" customWidth="1"/>
    <col min="5" max="5" width="21.85546875" style="23" bestFit="1" customWidth="1"/>
    <col min="6" max="6" width="22.42578125" style="23" bestFit="1" customWidth="1"/>
    <col min="7" max="7" width="11.140625" style="23" bestFit="1" customWidth="1"/>
    <col min="8" max="8" width="8.42578125" style="23" bestFit="1" customWidth="1"/>
    <col min="9" max="9" width="9.85546875" style="23" bestFit="1" customWidth="1"/>
    <col min="10" max="10" width="61.85546875" style="23" customWidth="1"/>
    <col min="11" max="11" width="7.42578125" style="23" bestFit="1" customWidth="1"/>
    <col min="12" max="12" width="7.5703125" style="23" bestFit="1" customWidth="1"/>
    <col min="13" max="13" width="7.140625" style="23" bestFit="1" customWidth="1"/>
    <col min="14" max="14" width="2" style="23" bestFit="1" customWidth="1"/>
    <col min="15" max="16384" width="9.140625" style="23"/>
  </cols>
  <sheetData>
    <row r="1" spans="1:14" s="35" customFormat="1" ht="30" x14ac:dyDescent="0.25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5</v>
      </c>
      <c r="G1" s="56" t="s">
        <v>6</v>
      </c>
      <c r="H1" s="56" t="s">
        <v>7</v>
      </c>
      <c r="I1" s="56" t="s">
        <v>8</v>
      </c>
      <c r="J1" s="56" t="s">
        <v>9</v>
      </c>
      <c r="K1" s="56" t="s">
        <v>10</v>
      </c>
      <c r="L1" s="56" t="s">
        <v>167</v>
      </c>
      <c r="M1" s="56" t="s">
        <v>11</v>
      </c>
    </row>
    <row r="2" spans="1:14" ht="30" x14ac:dyDescent="0.25">
      <c r="A2" s="57">
        <v>380013</v>
      </c>
      <c r="B2" s="57">
        <v>380013</v>
      </c>
      <c r="C2" s="58" t="s">
        <v>206</v>
      </c>
      <c r="D2" s="58" t="s">
        <v>12</v>
      </c>
      <c r="E2" s="58" t="s">
        <v>165</v>
      </c>
      <c r="F2" s="58"/>
      <c r="G2" s="58" t="s">
        <v>14</v>
      </c>
      <c r="H2" s="59">
        <v>6205</v>
      </c>
      <c r="I2" s="59">
        <v>8390</v>
      </c>
      <c r="J2" s="58"/>
      <c r="K2" s="58" t="s">
        <v>15</v>
      </c>
      <c r="L2" s="58"/>
      <c r="M2" s="58"/>
      <c r="N2" s="23" t="str">
        <f>VLOOKUP(A2,Генераторы!A:D,4,0)</f>
        <v>Y</v>
      </c>
    </row>
    <row r="3" spans="1:14" ht="45" x14ac:dyDescent="0.25">
      <c r="A3" s="57">
        <v>379943</v>
      </c>
      <c r="B3" s="57">
        <v>379943</v>
      </c>
      <c r="C3" s="58" t="s">
        <v>207</v>
      </c>
      <c r="D3" s="58" t="s">
        <v>12</v>
      </c>
      <c r="E3" s="58" t="s">
        <v>166</v>
      </c>
      <c r="F3" s="58"/>
      <c r="G3" s="58" t="s">
        <v>14</v>
      </c>
      <c r="H3" s="59">
        <v>5588</v>
      </c>
      <c r="I3" s="59">
        <v>7590</v>
      </c>
      <c r="J3" s="58"/>
      <c r="K3" s="58" t="s">
        <v>15</v>
      </c>
      <c r="L3" s="58"/>
      <c r="M3" s="58"/>
      <c r="N3" s="23" t="str">
        <f>VLOOKUP(A3,Генераторы!A:D,4,0)</f>
        <v>Y</v>
      </c>
    </row>
    <row r="4" spans="1:14" ht="30" x14ac:dyDescent="0.25">
      <c r="A4" s="57">
        <v>379961</v>
      </c>
      <c r="B4" s="57">
        <v>379961</v>
      </c>
      <c r="C4" s="58" t="s">
        <v>208</v>
      </c>
      <c r="D4" s="58" t="s">
        <v>12</v>
      </c>
      <c r="E4" s="58" t="s">
        <v>164</v>
      </c>
      <c r="F4" s="58"/>
      <c r="G4" s="58" t="s">
        <v>14</v>
      </c>
      <c r="H4" s="59">
        <v>5951</v>
      </c>
      <c r="I4" s="59">
        <v>8090</v>
      </c>
      <c r="J4" s="58"/>
      <c r="K4" s="58" t="s">
        <v>15</v>
      </c>
      <c r="L4" s="58"/>
      <c r="M4" s="58"/>
      <c r="N4" s="23" t="str">
        <f>VLOOKUP(A4,Генераторы!A:D,4,0)</f>
        <v>Y</v>
      </c>
    </row>
    <row r="5" spans="1:14" ht="45" x14ac:dyDescent="0.25">
      <c r="A5" s="57">
        <v>355457</v>
      </c>
      <c r="B5" s="57">
        <v>355457</v>
      </c>
      <c r="C5" s="58" t="s">
        <v>209</v>
      </c>
      <c r="D5" s="58" t="s">
        <v>12</v>
      </c>
      <c r="E5" s="58" t="s">
        <v>163</v>
      </c>
      <c r="F5" s="58"/>
      <c r="G5" s="58" t="s">
        <v>14</v>
      </c>
      <c r="H5" s="59">
        <v>6933</v>
      </c>
      <c r="I5" s="59">
        <v>9390</v>
      </c>
      <c r="J5" s="58" t="s">
        <v>141</v>
      </c>
      <c r="K5" s="58" t="s">
        <v>15</v>
      </c>
      <c r="L5" s="58" t="s">
        <v>203</v>
      </c>
      <c r="M5" s="58"/>
      <c r="N5" s="23" t="str">
        <f>VLOOKUP(A5,Генераторы!A:D,4,0)</f>
        <v>Y</v>
      </c>
    </row>
    <row r="6" spans="1:14" ht="45" x14ac:dyDescent="0.25">
      <c r="A6" s="57">
        <v>379960</v>
      </c>
      <c r="B6" s="57">
        <v>379960</v>
      </c>
      <c r="C6" s="58" t="s">
        <v>210</v>
      </c>
      <c r="D6" s="58" t="s">
        <v>12</v>
      </c>
      <c r="E6" s="58" t="s">
        <v>162</v>
      </c>
      <c r="F6" s="58"/>
      <c r="G6" s="58" t="s">
        <v>14</v>
      </c>
      <c r="H6" s="59">
        <v>6446</v>
      </c>
      <c r="I6" s="59">
        <v>8790</v>
      </c>
      <c r="J6" s="58"/>
      <c r="K6" s="58" t="s">
        <v>15</v>
      </c>
      <c r="L6" s="58"/>
      <c r="M6" s="58"/>
      <c r="N6" s="23" t="str">
        <f>VLOOKUP(A6,Генераторы!A:D,4,0)</f>
        <v>Y</v>
      </c>
    </row>
    <row r="7" spans="1:14" ht="30" x14ac:dyDescent="0.25">
      <c r="A7" s="57">
        <v>380012</v>
      </c>
      <c r="B7" s="57">
        <v>380012</v>
      </c>
      <c r="C7" s="58" t="s">
        <v>211</v>
      </c>
      <c r="D7" s="58" t="s">
        <v>12</v>
      </c>
      <c r="E7" s="58" t="s">
        <v>161</v>
      </c>
      <c r="F7" s="58"/>
      <c r="G7" s="58" t="s">
        <v>14</v>
      </c>
      <c r="H7" s="59">
        <v>6753</v>
      </c>
      <c r="I7" s="59">
        <v>9190</v>
      </c>
      <c r="J7" s="58"/>
      <c r="K7" s="58" t="s">
        <v>15</v>
      </c>
      <c r="L7" s="58"/>
      <c r="M7" s="58"/>
      <c r="N7" s="23" t="str">
        <f>VLOOKUP(A7,Генераторы!A:D,4,0)</f>
        <v>Y</v>
      </c>
    </row>
    <row r="8" spans="1:14" ht="75" x14ac:dyDescent="0.25">
      <c r="A8" s="57">
        <v>355437</v>
      </c>
      <c r="B8" s="57">
        <v>355437</v>
      </c>
      <c r="C8" s="58" t="s">
        <v>212</v>
      </c>
      <c r="D8" s="58" t="s">
        <v>12</v>
      </c>
      <c r="E8" s="58" t="s">
        <v>160</v>
      </c>
      <c r="F8" s="58"/>
      <c r="G8" s="58" t="s">
        <v>14</v>
      </c>
      <c r="H8" s="59">
        <v>5504</v>
      </c>
      <c r="I8" s="59">
        <v>7490</v>
      </c>
      <c r="J8" s="58" t="s">
        <v>159</v>
      </c>
      <c r="K8" s="58" t="s">
        <v>15</v>
      </c>
      <c r="L8" s="58"/>
      <c r="M8" s="58"/>
      <c r="N8" s="23" t="str">
        <f>VLOOKUP(A8,Генераторы!A:D,4,0)</f>
        <v>Y</v>
      </c>
    </row>
    <row r="9" spans="1:14" ht="45" x14ac:dyDescent="0.25">
      <c r="A9" s="57">
        <v>355436</v>
      </c>
      <c r="B9" s="57">
        <v>355436</v>
      </c>
      <c r="C9" s="58" t="s">
        <v>213</v>
      </c>
      <c r="D9" s="58" t="s">
        <v>12</v>
      </c>
      <c r="E9" s="58" t="s">
        <v>158</v>
      </c>
      <c r="F9" s="58"/>
      <c r="G9" s="58" t="s">
        <v>14</v>
      </c>
      <c r="H9" s="59">
        <v>5730</v>
      </c>
      <c r="I9" s="59">
        <v>7790</v>
      </c>
      <c r="J9" s="58" t="s">
        <v>127</v>
      </c>
      <c r="K9" s="58" t="s">
        <v>15</v>
      </c>
      <c r="L9" s="58"/>
      <c r="M9" s="58"/>
      <c r="N9" s="23" t="str">
        <f>VLOOKUP(A9,Генераторы!A:D,4,0)</f>
        <v>Y</v>
      </c>
    </row>
    <row r="10" spans="1:14" ht="45" x14ac:dyDescent="0.25">
      <c r="A10" s="57">
        <v>355461</v>
      </c>
      <c r="B10" s="57">
        <v>355461</v>
      </c>
      <c r="C10" s="58" t="s">
        <v>214</v>
      </c>
      <c r="D10" s="58" t="s">
        <v>12</v>
      </c>
      <c r="E10" s="58" t="s">
        <v>157</v>
      </c>
      <c r="F10" s="58"/>
      <c r="G10" s="58" t="s">
        <v>14</v>
      </c>
      <c r="H10" s="59">
        <v>5216</v>
      </c>
      <c r="I10" s="59">
        <v>7090</v>
      </c>
      <c r="J10" s="58" t="s">
        <v>125</v>
      </c>
      <c r="K10" s="58" t="s">
        <v>15</v>
      </c>
      <c r="L10" s="58"/>
      <c r="M10" s="58"/>
      <c r="N10" s="23" t="str">
        <f>VLOOKUP(A10,Генераторы!A:D,4,0)</f>
        <v>Y</v>
      </c>
    </row>
    <row r="11" spans="1:14" ht="75" x14ac:dyDescent="0.25">
      <c r="A11" s="57">
        <v>355463</v>
      </c>
      <c r="B11" s="57">
        <v>355463</v>
      </c>
      <c r="C11" s="58" t="s">
        <v>215</v>
      </c>
      <c r="D11" s="58" t="s">
        <v>12</v>
      </c>
      <c r="E11" s="58" t="s">
        <v>156</v>
      </c>
      <c r="F11" s="58"/>
      <c r="G11" s="58" t="s">
        <v>14</v>
      </c>
      <c r="H11" s="59">
        <v>5811</v>
      </c>
      <c r="I11" s="59">
        <v>7890</v>
      </c>
      <c r="J11" s="58" t="s">
        <v>155</v>
      </c>
      <c r="K11" s="58" t="s">
        <v>15</v>
      </c>
      <c r="L11" s="58"/>
      <c r="M11" s="58"/>
      <c r="N11" s="23" t="str">
        <f>VLOOKUP(A11,Генераторы!A:D,4,0)</f>
        <v>Y</v>
      </c>
    </row>
  </sheetData>
  <sheetProtection formatCells="0" formatColumns="0" formatRows="0" insertColumns="0" insertRows="0" insertHyperlinks="0" deleteColumns="0" deleteRows="0" sort="0" autoFilter="0" pivotTables="0"/>
  <autoFilter ref="A1:M1" xr:uid="{00000000-0009-0000-0000-000000000000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FF9B-7A6A-45EE-9419-2C345F2E581A}">
  <dimension ref="A1:C70"/>
  <sheetViews>
    <sheetView workbookViewId="0">
      <selection activeCell="I65" sqref="I65"/>
    </sheetView>
  </sheetViews>
  <sheetFormatPr defaultRowHeight="15" x14ac:dyDescent="0.25"/>
  <cols>
    <col min="1" max="1" width="64.5703125" customWidth="1"/>
  </cols>
  <sheetData>
    <row r="1" spans="1:3" x14ac:dyDescent="0.25">
      <c r="A1" s="55" t="s">
        <v>79</v>
      </c>
      <c r="B1" s="55" t="s">
        <v>110</v>
      </c>
      <c r="C1" s="55">
        <v>12010</v>
      </c>
    </row>
    <row r="2" spans="1:3" x14ac:dyDescent="0.25">
      <c r="A2" s="55" t="s">
        <v>59</v>
      </c>
      <c r="B2" s="55" t="s">
        <v>109</v>
      </c>
      <c r="C2" s="55">
        <v>10890</v>
      </c>
    </row>
    <row r="3" spans="1:3" x14ac:dyDescent="0.25">
      <c r="A3" s="55" t="s">
        <v>81</v>
      </c>
      <c r="B3" s="55" t="s">
        <v>102</v>
      </c>
      <c r="C3" s="55">
        <v>940</v>
      </c>
    </row>
    <row r="4" spans="1:3" x14ac:dyDescent="0.25">
      <c r="A4" s="55" t="s">
        <v>64</v>
      </c>
      <c r="B4" s="55" t="s">
        <v>108</v>
      </c>
      <c r="C4" s="55">
        <v>12480</v>
      </c>
    </row>
    <row r="5" spans="1:3" x14ac:dyDescent="0.25">
      <c r="A5" s="55" t="s">
        <v>28</v>
      </c>
      <c r="B5" s="55" t="s">
        <v>91</v>
      </c>
      <c r="C5" s="55">
        <v>15190</v>
      </c>
    </row>
    <row r="6" spans="1:3" x14ac:dyDescent="0.25">
      <c r="A6" s="55" t="s">
        <v>151</v>
      </c>
      <c r="B6" s="55" t="s">
        <v>188</v>
      </c>
      <c r="C6" s="55">
        <v>7675</v>
      </c>
    </row>
    <row r="7" spans="1:3" x14ac:dyDescent="0.25">
      <c r="A7" s="55" t="s">
        <v>60</v>
      </c>
      <c r="B7" s="55" t="s">
        <v>202</v>
      </c>
      <c r="C7" s="55">
        <v>749</v>
      </c>
    </row>
    <row r="8" spans="1:3" x14ac:dyDescent="0.25">
      <c r="A8" s="55" t="s">
        <v>141</v>
      </c>
      <c r="B8" s="55" t="s">
        <v>179</v>
      </c>
      <c r="C8" s="55">
        <v>9220</v>
      </c>
    </row>
    <row r="9" spans="1:3" x14ac:dyDescent="0.25">
      <c r="A9" s="55" t="s">
        <v>140</v>
      </c>
      <c r="B9" s="55" t="s">
        <v>185</v>
      </c>
      <c r="C9" s="55">
        <v>9684</v>
      </c>
    </row>
    <row r="10" spans="1:3" x14ac:dyDescent="0.25">
      <c r="A10" s="55" t="s">
        <v>124</v>
      </c>
      <c r="B10" s="55" t="s">
        <v>171</v>
      </c>
      <c r="C10" s="55">
        <v>7160</v>
      </c>
    </row>
    <row r="11" spans="1:3" x14ac:dyDescent="0.25">
      <c r="A11" s="55" t="s">
        <v>119</v>
      </c>
      <c r="B11" s="55" t="s">
        <v>199</v>
      </c>
      <c r="C11" s="55">
        <v>8609</v>
      </c>
    </row>
    <row r="12" spans="1:3" x14ac:dyDescent="0.25">
      <c r="A12" s="55" t="s">
        <v>76</v>
      </c>
      <c r="B12" s="55" t="s">
        <v>95</v>
      </c>
      <c r="C12" s="55">
        <v>17770</v>
      </c>
    </row>
    <row r="13" spans="1:3" x14ac:dyDescent="0.25">
      <c r="A13" s="55" t="s">
        <v>53</v>
      </c>
      <c r="B13" s="55" t="s">
        <v>88</v>
      </c>
      <c r="C13" s="55">
        <v>13990</v>
      </c>
    </row>
    <row r="14" spans="1:3" x14ac:dyDescent="0.25">
      <c r="A14" s="55" t="s">
        <v>78</v>
      </c>
      <c r="B14" s="55" t="s">
        <v>115</v>
      </c>
      <c r="C14" s="55">
        <v>17110</v>
      </c>
    </row>
    <row r="15" spans="1:3" x14ac:dyDescent="0.25">
      <c r="A15" s="55" t="s">
        <v>71</v>
      </c>
      <c r="B15" s="55" t="s">
        <v>87</v>
      </c>
      <c r="C15" s="55">
        <v>728</v>
      </c>
    </row>
    <row r="16" spans="1:3" x14ac:dyDescent="0.25">
      <c r="A16" s="55" t="s">
        <v>147</v>
      </c>
      <c r="B16" s="55" t="s">
        <v>173</v>
      </c>
      <c r="C16" s="55">
        <v>8255</v>
      </c>
    </row>
    <row r="17" spans="1:3" x14ac:dyDescent="0.25">
      <c r="A17" s="55" t="s">
        <v>31</v>
      </c>
      <c r="B17" s="55" t="s">
        <v>101</v>
      </c>
      <c r="C17" s="55">
        <v>14290</v>
      </c>
    </row>
    <row r="18" spans="1:3" x14ac:dyDescent="0.25">
      <c r="A18" s="55" t="s">
        <v>130</v>
      </c>
      <c r="B18" s="55" t="s">
        <v>187</v>
      </c>
      <c r="C18" s="55">
        <v>7635</v>
      </c>
    </row>
    <row r="19" spans="1:3" x14ac:dyDescent="0.25">
      <c r="A19" s="55" t="s">
        <v>121</v>
      </c>
      <c r="B19" s="55" t="s">
        <v>189</v>
      </c>
      <c r="C19" s="55">
        <v>8060</v>
      </c>
    </row>
    <row r="20" spans="1:3" x14ac:dyDescent="0.25">
      <c r="A20" s="55" t="s">
        <v>144</v>
      </c>
      <c r="B20" s="55" t="s">
        <v>190</v>
      </c>
      <c r="C20" s="55">
        <v>10257</v>
      </c>
    </row>
    <row r="21" spans="1:3" x14ac:dyDescent="0.25">
      <c r="A21" s="55" t="s">
        <v>66</v>
      </c>
      <c r="B21" s="55" t="s">
        <v>85</v>
      </c>
      <c r="C21" s="55">
        <v>12350</v>
      </c>
    </row>
    <row r="22" spans="1:3" x14ac:dyDescent="0.25">
      <c r="A22" s="55" t="s">
        <v>25</v>
      </c>
      <c r="B22" s="55" t="s">
        <v>117</v>
      </c>
      <c r="C22" s="55">
        <v>10990</v>
      </c>
    </row>
    <row r="23" spans="1:3" x14ac:dyDescent="0.25">
      <c r="A23" s="55" t="s">
        <v>128</v>
      </c>
      <c r="B23" s="55" t="s">
        <v>195</v>
      </c>
      <c r="C23" s="55">
        <v>6909</v>
      </c>
    </row>
    <row r="24" spans="1:3" x14ac:dyDescent="0.25">
      <c r="A24" s="55" t="s">
        <v>68</v>
      </c>
      <c r="B24" s="55" t="s">
        <v>100</v>
      </c>
      <c r="C24" s="55">
        <v>12900</v>
      </c>
    </row>
    <row r="25" spans="1:3" x14ac:dyDescent="0.25">
      <c r="A25" s="55" t="s">
        <v>72</v>
      </c>
      <c r="B25" s="55" t="s">
        <v>112</v>
      </c>
      <c r="C25" s="55">
        <v>1015</v>
      </c>
    </row>
    <row r="26" spans="1:3" x14ac:dyDescent="0.25">
      <c r="A26" s="55" t="s">
        <v>127</v>
      </c>
      <c r="B26" s="55" t="s">
        <v>175</v>
      </c>
      <c r="C26" s="55">
        <v>8255</v>
      </c>
    </row>
    <row r="27" spans="1:3" x14ac:dyDescent="0.25">
      <c r="A27" s="55" t="s">
        <v>74</v>
      </c>
      <c r="B27" s="55" t="s">
        <v>103</v>
      </c>
      <c r="C27" s="55">
        <v>14750</v>
      </c>
    </row>
    <row r="28" spans="1:3" x14ac:dyDescent="0.25">
      <c r="A28" s="55" t="s">
        <v>42</v>
      </c>
      <c r="B28" s="55" t="s">
        <v>118</v>
      </c>
      <c r="C28" s="55">
        <v>890</v>
      </c>
    </row>
    <row r="29" spans="1:3" x14ac:dyDescent="0.25">
      <c r="A29" s="55" t="s">
        <v>125</v>
      </c>
      <c r="B29" s="55" t="s">
        <v>170</v>
      </c>
      <c r="C29" s="55">
        <v>8095</v>
      </c>
    </row>
    <row r="30" spans="1:3" x14ac:dyDescent="0.25">
      <c r="A30" s="55" t="s">
        <v>65</v>
      </c>
      <c r="B30" s="55" t="s">
        <v>113</v>
      </c>
      <c r="C30" s="55">
        <v>10150</v>
      </c>
    </row>
    <row r="31" spans="1:3" x14ac:dyDescent="0.25">
      <c r="A31" s="55" t="s">
        <v>67</v>
      </c>
      <c r="B31" s="55" t="s">
        <v>97</v>
      </c>
      <c r="C31" s="55">
        <v>12350</v>
      </c>
    </row>
    <row r="32" spans="1:3" x14ac:dyDescent="0.25">
      <c r="A32" s="55" t="s">
        <v>136</v>
      </c>
      <c r="B32" s="55" t="s">
        <v>172</v>
      </c>
      <c r="C32" s="55">
        <v>9317</v>
      </c>
    </row>
    <row r="33" spans="1:3" x14ac:dyDescent="0.25">
      <c r="A33" s="55" t="s">
        <v>62</v>
      </c>
      <c r="B33" s="55" t="s">
        <v>96</v>
      </c>
      <c r="C33" s="55">
        <v>16500</v>
      </c>
    </row>
    <row r="34" spans="1:3" x14ac:dyDescent="0.25">
      <c r="A34" s="55" t="s">
        <v>82</v>
      </c>
      <c r="B34" s="55" t="s">
        <v>105</v>
      </c>
      <c r="C34" s="55">
        <v>8710</v>
      </c>
    </row>
    <row r="35" spans="1:3" x14ac:dyDescent="0.25">
      <c r="A35" s="55" t="s">
        <v>83</v>
      </c>
      <c r="B35" s="55" t="s">
        <v>98</v>
      </c>
      <c r="C35" s="55">
        <v>1470</v>
      </c>
    </row>
    <row r="36" spans="1:3" x14ac:dyDescent="0.25">
      <c r="A36" s="55" t="s">
        <v>152</v>
      </c>
      <c r="B36" s="55" t="s">
        <v>204</v>
      </c>
      <c r="C36" s="55">
        <v>8185</v>
      </c>
    </row>
    <row r="37" spans="1:3" x14ac:dyDescent="0.25">
      <c r="A37" s="55" t="s">
        <v>77</v>
      </c>
      <c r="B37" s="55" t="s">
        <v>116</v>
      </c>
      <c r="C37" s="55">
        <v>12450</v>
      </c>
    </row>
    <row r="38" spans="1:3" x14ac:dyDescent="0.25">
      <c r="A38" s="55" t="s">
        <v>122</v>
      </c>
      <c r="B38" s="55" t="s">
        <v>168</v>
      </c>
      <c r="C38" s="55">
        <v>9115</v>
      </c>
    </row>
    <row r="39" spans="1:3" x14ac:dyDescent="0.25">
      <c r="A39" s="55" t="s">
        <v>132</v>
      </c>
      <c r="B39" s="55" t="s">
        <v>197</v>
      </c>
      <c r="C39" s="55">
        <v>13398</v>
      </c>
    </row>
    <row r="40" spans="1:3" x14ac:dyDescent="0.25">
      <c r="A40" s="55" t="s">
        <v>129</v>
      </c>
      <c r="B40" s="55" t="s">
        <v>176</v>
      </c>
      <c r="C40" s="55">
        <v>7976</v>
      </c>
    </row>
    <row r="41" spans="1:3" x14ac:dyDescent="0.25">
      <c r="A41" s="55" t="s">
        <v>55</v>
      </c>
      <c r="B41" s="55" t="s">
        <v>93</v>
      </c>
      <c r="C41" s="55">
        <v>12790</v>
      </c>
    </row>
    <row r="42" spans="1:3" x14ac:dyDescent="0.25">
      <c r="A42" s="55" t="s">
        <v>123</v>
      </c>
      <c r="B42" s="55" t="s">
        <v>174</v>
      </c>
      <c r="C42" s="55">
        <v>7612</v>
      </c>
    </row>
    <row r="43" spans="1:3" x14ac:dyDescent="0.25">
      <c r="A43" s="55" t="s">
        <v>61</v>
      </c>
      <c r="B43" s="55" t="s">
        <v>111</v>
      </c>
      <c r="C43" s="55">
        <v>16990</v>
      </c>
    </row>
    <row r="44" spans="1:3" x14ac:dyDescent="0.25">
      <c r="A44" s="55" t="s">
        <v>126</v>
      </c>
      <c r="B44" s="55" t="s">
        <v>182</v>
      </c>
      <c r="C44" s="55">
        <v>8142</v>
      </c>
    </row>
    <row r="45" spans="1:3" x14ac:dyDescent="0.25">
      <c r="A45" s="55" t="s">
        <v>133</v>
      </c>
      <c r="B45" s="55" t="s">
        <v>183</v>
      </c>
      <c r="C45" s="55">
        <v>9642</v>
      </c>
    </row>
    <row r="46" spans="1:3" x14ac:dyDescent="0.25">
      <c r="A46" s="55" t="s">
        <v>145</v>
      </c>
      <c r="B46" s="55" t="s">
        <v>194</v>
      </c>
      <c r="C46" s="55">
        <v>7970</v>
      </c>
    </row>
    <row r="47" spans="1:3" x14ac:dyDescent="0.25">
      <c r="A47" s="55" t="s">
        <v>69</v>
      </c>
      <c r="B47" s="55" t="s">
        <v>104</v>
      </c>
      <c r="C47" s="55">
        <v>6500</v>
      </c>
    </row>
    <row r="48" spans="1:3" x14ac:dyDescent="0.25">
      <c r="A48" s="55" t="s">
        <v>143</v>
      </c>
      <c r="B48" s="55" t="s">
        <v>184</v>
      </c>
      <c r="C48" s="55">
        <v>8719</v>
      </c>
    </row>
    <row r="49" spans="1:3" x14ac:dyDescent="0.25">
      <c r="A49" s="55" t="s">
        <v>134</v>
      </c>
      <c r="B49" s="55" t="s">
        <v>186</v>
      </c>
      <c r="C49" s="55">
        <v>9270</v>
      </c>
    </row>
    <row r="50" spans="1:3" x14ac:dyDescent="0.25">
      <c r="A50" s="55" t="s">
        <v>137</v>
      </c>
      <c r="B50" s="55" t="s">
        <v>177</v>
      </c>
      <c r="C50" s="55">
        <v>8940</v>
      </c>
    </row>
    <row r="51" spans="1:3" x14ac:dyDescent="0.25">
      <c r="A51" s="55" t="s">
        <v>149</v>
      </c>
      <c r="B51" s="55" t="s">
        <v>196</v>
      </c>
      <c r="C51" s="55">
        <v>7446</v>
      </c>
    </row>
    <row r="52" spans="1:3" x14ac:dyDescent="0.25">
      <c r="A52" s="55" t="s">
        <v>150</v>
      </c>
      <c r="B52" s="55" t="s">
        <v>180</v>
      </c>
      <c r="C52" s="55">
        <v>8131</v>
      </c>
    </row>
    <row r="53" spans="1:3" x14ac:dyDescent="0.25">
      <c r="A53" s="55" t="s">
        <v>70</v>
      </c>
      <c r="B53" s="55" t="s">
        <v>90</v>
      </c>
      <c r="C53" s="55">
        <v>1260</v>
      </c>
    </row>
    <row r="54" spans="1:3" x14ac:dyDescent="0.25">
      <c r="A54" s="55" t="s">
        <v>22</v>
      </c>
      <c r="B54" s="55" t="s">
        <v>106</v>
      </c>
      <c r="C54" s="55">
        <v>17290</v>
      </c>
    </row>
    <row r="55" spans="1:3" x14ac:dyDescent="0.25">
      <c r="A55" s="55" t="s">
        <v>120</v>
      </c>
      <c r="B55" s="55" t="s">
        <v>178</v>
      </c>
      <c r="C55" s="55">
        <v>8524</v>
      </c>
    </row>
    <row r="56" spans="1:3" x14ac:dyDescent="0.25">
      <c r="A56" s="55" t="s">
        <v>200</v>
      </c>
      <c r="B56" s="55" t="s">
        <v>198</v>
      </c>
      <c r="C56" s="55">
        <v>6827</v>
      </c>
    </row>
    <row r="57" spans="1:3" x14ac:dyDescent="0.25">
      <c r="A57" s="55" t="s">
        <v>80</v>
      </c>
      <c r="B57" s="55" t="s">
        <v>89</v>
      </c>
      <c r="C57" s="55">
        <v>1720</v>
      </c>
    </row>
    <row r="58" spans="1:3" x14ac:dyDescent="0.25">
      <c r="A58" s="55" t="s">
        <v>57</v>
      </c>
      <c r="B58" s="55" t="s">
        <v>92</v>
      </c>
      <c r="C58" s="55">
        <v>10690</v>
      </c>
    </row>
    <row r="59" spans="1:3" x14ac:dyDescent="0.25">
      <c r="A59" s="55" t="s">
        <v>58</v>
      </c>
      <c r="B59" s="55" t="s">
        <v>94</v>
      </c>
      <c r="C59" s="55">
        <v>10890</v>
      </c>
    </row>
    <row r="60" spans="1:3" x14ac:dyDescent="0.25">
      <c r="A60" s="55" t="s">
        <v>131</v>
      </c>
      <c r="B60" s="55" t="s">
        <v>169</v>
      </c>
      <c r="C60" s="55">
        <v>8375</v>
      </c>
    </row>
    <row r="61" spans="1:3" x14ac:dyDescent="0.25">
      <c r="A61" s="55" t="s">
        <v>63</v>
      </c>
      <c r="B61" s="55" t="s">
        <v>86</v>
      </c>
      <c r="C61" s="55">
        <v>10400</v>
      </c>
    </row>
    <row r="62" spans="1:3" x14ac:dyDescent="0.25">
      <c r="A62" s="55" t="s">
        <v>75</v>
      </c>
      <c r="B62" s="55" t="s">
        <v>107</v>
      </c>
      <c r="C62" s="55">
        <v>31110</v>
      </c>
    </row>
    <row r="63" spans="1:3" x14ac:dyDescent="0.25">
      <c r="A63" s="55" t="s">
        <v>146</v>
      </c>
      <c r="B63" s="55" t="s">
        <v>181</v>
      </c>
      <c r="C63" s="55">
        <v>8716</v>
      </c>
    </row>
    <row r="64" spans="1:3" x14ac:dyDescent="0.25">
      <c r="A64" s="55" t="s">
        <v>56</v>
      </c>
      <c r="B64" s="55" t="s">
        <v>114</v>
      </c>
      <c r="C64" s="55">
        <v>10790</v>
      </c>
    </row>
    <row r="65" spans="1:3" x14ac:dyDescent="0.25">
      <c r="A65" s="55" t="s">
        <v>138</v>
      </c>
      <c r="B65" s="55" t="s">
        <v>205</v>
      </c>
      <c r="C65" s="55">
        <v>8553</v>
      </c>
    </row>
    <row r="66" spans="1:3" x14ac:dyDescent="0.25">
      <c r="A66" s="55" t="s">
        <v>54</v>
      </c>
      <c r="B66" s="55" t="s">
        <v>99</v>
      </c>
      <c r="C66" s="55">
        <v>24990</v>
      </c>
    </row>
    <row r="67" spans="1:3" x14ac:dyDescent="0.25">
      <c r="A67" s="54"/>
      <c r="B67" s="54"/>
      <c r="C67" s="54"/>
    </row>
    <row r="68" spans="1:3" x14ac:dyDescent="0.25">
      <c r="A68" s="54"/>
      <c r="B68" s="54"/>
      <c r="C68" s="54"/>
    </row>
    <row r="69" spans="1:3" x14ac:dyDescent="0.25">
      <c r="A69" s="54"/>
      <c r="B69" s="54"/>
      <c r="C69" s="54"/>
    </row>
    <row r="70" spans="1:3" x14ac:dyDescent="0.25">
      <c r="A70" s="50"/>
      <c r="B70" s="50"/>
      <c r="C70" s="5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4E8D6-2BD1-4EF1-B8C5-847A2DB82340}">
  <dimension ref="A2:E33"/>
  <sheetViews>
    <sheetView topLeftCell="A19" workbookViewId="0">
      <selection activeCell="C40" sqref="C40"/>
    </sheetView>
  </sheetViews>
  <sheetFormatPr defaultRowHeight="15" x14ac:dyDescent="0.25"/>
  <cols>
    <col min="1" max="1" width="7" style="48" bestFit="1" customWidth="1"/>
    <col min="2" max="2" width="41.7109375" style="48" bestFit="1" customWidth="1"/>
    <col min="3" max="3" width="44" style="48" customWidth="1"/>
    <col min="4" max="4" width="42.5703125" style="48" customWidth="1"/>
    <col min="5" max="5" width="59.140625" customWidth="1"/>
  </cols>
  <sheetData>
    <row r="2" spans="1:4" x14ac:dyDescent="0.25">
      <c r="A2" s="2" t="s">
        <v>0</v>
      </c>
      <c r="B2" s="10" t="s">
        <v>52</v>
      </c>
      <c r="C2" s="10" t="s">
        <v>73</v>
      </c>
      <c r="D2" s="49" t="s">
        <v>84</v>
      </c>
    </row>
    <row r="3" spans="1:4" ht="45" x14ac:dyDescent="0.25">
      <c r="A3" s="3">
        <v>376516</v>
      </c>
      <c r="B3" s="20" t="s">
        <v>53</v>
      </c>
      <c r="C3" s="12" t="s">
        <v>61</v>
      </c>
      <c r="D3" s="12" t="s">
        <v>74</v>
      </c>
    </row>
    <row r="4" spans="1:4" x14ac:dyDescent="0.25">
      <c r="A4" s="3">
        <v>376530</v>
      </c>
      <c r="B4" s="4"/>
      <c r="C4" s="12"/>
      <c r="D4" s="12"/>
    </row>
    <row r="5" spans="1:4" x14ac:dyDescent="0.25">
      <c r="A5" s="3">
        <v>139011</v>
      </c>
      <c r="B5" s="4"/>
      <c r="C5" s="12"/>
      <c r="D5" s="12"/>
    </row>
    <row r="6" spans="1:4" ht="45" x14ac:dyDescent="0.25">
      <c r="A6" s="3">
        <v>139012</v>
      </c>
      <c r="B6" s="4" t="s">
        <v>54</v>
      </c>
      <c r="C6" s="12"/>
      <c r="D6" s="12" t="s">
        <v>75</v>
      </c>
    </row>
    <row r="7" spans="1:4" ht="45" x14ac:dyDescent="0.25">
      <c r="A7" s="3">
        <v>139013</v>
      </c>
      <c r="B7" s="4" t="s">
        <v>22</v>
      </c>
      <c r="C7" s="12" t="s">
        <v>62</v>
      </c>
      <c r="D7" s="12" t="s">
        <v>76</v>
      </c>
    </row>
    <row r="8" spans="1:4" ht="45" x14ac:dyDescent="0.25">
      <c r="A8" s="3">
        <v>139014</v>
      </c>
      <c r="B8" s="4" t="s">
        <v>25</v>
      </c>
      <c r="C8" s="12" t="s">
        <v>63</v>
      </c>
      <c r="D8" s="12" t="s">
        <v>77</v>
      </c>
    </row>
    <row r="9" spans="1:4" ht="45" x14ac:dyDescent="0.25">
      <c r="A9" s="3">
        <v>139015</v>
      </c>
      <c r="B9" s="4" t="s">
        <v>28</v>
      </c>
      <c r="C9" s="12" t="s">
        <v>64</v>
      </c>
      <c r="D9" s="12" t="s">
        <v>78</v>
      </c>
    </row>
    <row r="10" spans="1:4" ht="45" x14ac:dyDescent="0.25">
      <c r="A10" s="3">
        <v>139016</v>
      </c>
      <c r="B10" s="4" t="s">
        <v>31</v>
      </c>
      <c r="C10" s="12" t="s">
        <v>65</v>
      </c>
      <c r="D10" s="12" t="s">
        <v>79</v>
      </c>
    </row>
    <row r="11" spans="1:4" ht="30" x14ac:dyDescent="0.25">
      <c r="A11" s="3">
        <v>139029</v>
      </c>
      <c r="B11" s="4" t="s">
        <v>55</v>
      </c>
      <c r="C11" s="12"/>
      <c r="D11" s="12" t="s">
        <v>74</v>
      </c>
    </row>
    <row r="12" spans="1:4" ht="75" x14ac:dyDescent="0.25">
      <c r="A12" s="3">
        <v>376875</v>
      </c>
      <c r="B12" s="4" t="s">
        <v>56</v>
      </c>
      <c r="C12" s="12" t="s">
        <v>66</v>
      </c>
      <c r="D12" s="12"/>
    </row>
    <row r="13" spans="1:4" ht="45" x14ac:dyDescent="0.25">
      <c r="A13" s="3">
        <v>376876</v>
      </c>
      <c r="B13" s="4" t="s">
        <v>57</v>
      </c>
      <c r="C13" s="12"/>
      <c r="D13" s="12"/>
    </row>
    <row r="14" spans="1:4" ht="60" x14ac:dyDescent="0.25">
      <c r="A14" s="3">
        <v>376815</v>
      </c>
      <c r="B14" s="4" t="s">
        <v>58</v>
      </c>
      <c r="C14" s="12" t="s">
        <v>67</v>
      </c>
      <c r="D14" s="12"/>
    </row>
    <row r="15" spans="1:4" ht="75" x14ac:dyDescent="0.25">
      <c r="A15" s="3">
        <v>155722</v>
      </c>
      <c r="B15" s="4" t="s">
        <v>59</v>
      </c>
      <c r="C15" s="12" t="s">
        <v>68</v>
      </c>
      <c r="D15" s="12"/>
    </row>
    <row r="16" spans="1:4" ht="45" x14ac:dyDescent="0.25">
      <c r="A16" s="3">
        <v>376810</v>
      </c>
      <c r="B16" s="4" t="s">
        <v>60</v>
      </c>
      <c r="C16" s="12"/>
      <c r="D16" s="12"/>
    </row>
    <row r="17" spans="1:5" ht="60" x14ac:dyDescent="0.25">
      <c r="A17" s="3">
        <v>160520</v>
      </c>
      <c r="B17" s="4"/>
      <c r="C17" s="12" t="s">
        <v>72</v>
      </c>
      <c r="D17" s="12" t="s">
        <v>80</v>
      </c>
    </row>
    <row r="18" spans="1:5" ht="60" x14ac:dyDescent="0.25">
      <c r="A18" s="3">
        <v>160519</v>
      </c>
      <c r="B18" s="4" t="s">
        <v>42</v>
      </c>
      <c r="C18" s="12" t="s">
        <v>71</v>
      </c>
      <c r="D18" s="12" t="s">
        <v>81</v>
      </c>
    </row>
    <row r="19" spans="1:5" x14ac:dyDescent="0.25">
      <c r="A19" s="3">
        <v>376871</v>
      </c>
      <c r="B19" s="4"/>
      <c r="C19" s="12"/>
      <c r="D19" s="12"/>
    </row>
    <row r="20" spans="1:5" ht="60" x14ac:dyDescent="0.25">
      <c r="A20" s="3">
        <v>376869</v>
      </c>
      <c r="B20" s="4"/>
      <c r="C20" s="12" t="s">
        <v>69</v>
      </c>
      <c r="D20" s="12" t="s">
        <v>82</v>
      </c>
    </row>
    <row r="21" spans="1:5" ht="45" x14ac:dyDescent="0.25">
      <c r="A21" s="3">
        <v>376807</v>
      </c>
      <c r="B21" s="42"/>
      <c r="C21" s="45" t="s">
        <v>70</v>
      </c>
      <c r="D21" s="45" t="s">
        <v>83</v>
      </c>
    </row>
    <row r="23" spans="1:5" x14ac:dyDescent="0.25">
      <c r="A23" s="37" t="s">
        <v>0</v>
      </c>
      <c r="B23" s="36" t="s">
        <v>9</v>
      </c>
      <c r="C23" s="36" t="s">
        <v>9</v>
      </c>
      <c r="D23" s="36" t="s">
        <v>9</v>
      </c>
      <c r="E23" s="36" t="s">
        <v>9</v>
      </c>
    </row>
    <row r="24" spans="1:5" x14ac:dyDescent="0.25">
      <c r="A24" s="32">
        <v>379943</v>
      </c>
      <c r="B24" s="28" t="s">
        <v>152</v>
      </c>
      <c r="C24" s="28" t="s">
        <v>151</v>
      </c>
      <c r="D24" s="28" t="s">
        <v>150</v>
      </c>
      <c r="E24" s="34" t="s">
        <v>149</v>
      </c>
    </row>
    <row r="25" spans="1:5" x14ac:dyDescent="0.25">
      <c r="A25" s="32">
        <v>380013</v>
      </c>
      <c r="B25" s="28" t="s">
        <v>148</v>
      </c>
      <c r="C25" s="28" t="s">
        <v>147</v>
      </c>
      <c r="D25" s="28" t="s">
        <v>146</v>
      </c>
      <c r="E25" s="28" t="s">
        <v>145</v>
      </c>
    </row>
    <row r="26" spans="1:5" x14ac:dyDescent="0.25">
      <c r="A26" s="32">
        <v>379961</v>
      </c>
      <c r="B26" s="28" t="s">
        <v>144</v>
      </c>
      <c r="C26" s="28" t="s">
        <v>127</v>
      </c>
      <c r="D26" s="28" t="s">
        <v>143</v>
      </c>
      <c r="E26" s="28" t="s">
        <v>239</v>
      </c>
    </row>
    <row r="27" spans="1:5" x14ac:dyDescent="0.25">
      <c r="A27" s="32">
        <v>355457</v>
      </c>
      <c r="B27" s="28" t="s">
        <v>142</v>
      </c>
      <c r="C27" s="28" t="s">
        <v>141</v>
      </c>
      <c r="D27" s="28" t="s">
        <v>140</v>
      </c>
      <c r="E27" s="28" t="s">
        <v>139</v>
      </c>
    </row>
    <row r="28" spans="1:5" x14ac:dyDescent="0.25">
      <c r="A28" s="32">
        <v>379960</v>
      </c>
      <c r="B28" s="28" t="s">
        <v>138</v>
      </c>
      <c r="C28" s="28" t="s">
        <v>137</v>
      </c>
      <c r="D28" s="28" t="s">
        <v>136</v>
      </c>
      <c r="E28" s="28" t="s">
        <v>135</v>
      </c>
    </row>
    <row r="29" spans="1:5" x14ac:dyDescent="0.25">
      <c r="A29" s="32">
        <v>380012</v>
      </c>
      <c r="B29" s="33"/>
      <c r="C29" s="28" t="s">
        <v>134</v>
      </c>
      <c r="D29" s="28" t="s">
        <v>133</v>
      </c>
      <c r="E29" s="28" t="s">
        <v>132</v>
      </c>
    </row>
    <row r="30" spans="1:5" x14ac:dyDescent="0.25">
      <c r="A30" s="32">
        <v>355437</v>
      </c>
      <c r="B30" s="28" t="s">
        <v>131</v>
      </c>
      <c r="C30" s="28" t="s">
        <v>130</v>
      </c>
      <c r="D30" s="28" t="s">
        <v>129</v>
      </c>
      <c r="E30" s="28" t="s">
        <v>128</v>
      </c>
    </row>
    <row r="31" spans="1:5" x14ac:dyDescent="0.25">
      <c r="A31" s="32">
        <v>355436</v>
      </c>
      <c r="B31" s="33"/>
      <c r="C31" s="28" t="s">
        <v>127</v>
      </c>
      <c r="D31" s="28" t="s">
        <v>126</v>
      </c>
      <c r="E31" s="28" t="s">
        <v>238</v>
      </c>
    </row>
    <row r="32" spans="1:5" x14ac:dyDescent="0.25">
      <c r="A32" s="32">
        <v>355461</v>
      </c>
      <c r="B32" s="28" t="s">
        <v>125</v>
      </c>
      <c r="C32" s="28" t="s">
        <v>124</v>
      </c>
      <c r="D32" s="28" t="s">
        <v>123</v>
      </c>
      <c r="E32" s="28" t="s">
        <v>200</v>
      </c>
    </row>
    <row r="33" spans="1:5" x14ac:dyDescent="0.25">
      <c r="A33" s="32">
        <v>355463</v>
      </c>
      <c r="B33" s="28" t="s">
        <v>122</v>
      </c>
      <c r="C33" s="28" t="s">
        <v>121</v>
      </c>
      <c r="D33" s="28" t="s">
        <v>120</v>
      </c>
      <c r="E33" s="28" t="s">
        <v>119</v>
      </c>
    </row>
  </sheetData>
  <conditionalFormatting sqref="A24:A33">
    <cfRule type="expression" dxfId="1" priority="1">
      <formula>EXACT(G24,W24)</formula>
    </cfRule>
  </conditionalFormatting>
  <hyperlinks>
    <hyperlink ref="B24" r:id="rId1" xr:uid="{B7D9BA09-3C8F-42E5-8AE9-76EE48EB4CA7}"/>
    <hyperlink ref="B25" r:id="rId2" xr:uid="{07C9AF98-1733-44FB-B789-48C0F75790EE}"/>
    <hyperlink ref="B26" r:id="rId3" xr:uid="{5FC2C1BB-F4A2-48E1-A5E1-658B2BC54281}"/>
    <hyperlink ref="B27" r:id="rId4" xr:uid="{36E2E497-F956-4919-AC2C-1733E1AD4202}"/>
    <hyperlink ref="B28" r:id="rId5" xr:uid="{7CAF712D-8913-4AA3-8882-B8A1CBE5F102}"/>
    <hyperlink ref="B30" r:id="rId6" xr:uid="{78350163-57D7-405B-82F5-D4FA37D9CEB8}"/>
    <hyperlink ref="B32" r:id="rId7" xr:uid="{B106CB8D-FF1A-4696-A6A8-15B53C188AFA}"/>
    <hyperlink ref="B33" r:id="rId8" xr:uid="{CF87D3FA-8BF2-4194-B5B1-BB4CE45886A5}"/>
    <hyperlink ref="C24" r:id="rId9" xr:uid="{18921E1A-61D3-4796-81C6-6F3975B73FE7}"/>
    <hyperlink ref="C25" r:id="rId10" xr:uid="{B67E68E6-1032-4CF9-8A8C-CD70F631AFDE}"/>
    <hyperlink ref="C26" r:id="rId11" xr:uid="{377D2370-89DD-4833-A776-2615B4BF5A4E}"/>
    <hyperlink ref="C27" r:id="rId12" xr:uid="{BFEE2C97-DCF1-4BAF-8101-AE94403CCB57}"/>
    <hyperlink ref="C28" r:id="rId13" xr:uid="{F259C120-0AE5-45BD-A54F-3512BF18C12D}"/>
    <hyperlink ref="C29" r:id="rId14" xr:uid="{F813FC05-2B15-4339-A676-27E572C8884D}"/>
    <hyperlink ref="C30" r:id="rId15" xr:uid="{3C155F23-0883-475E-8882-F3CD569E8336}"/>
    <hyperlink ref="C31" r:id="rId16" xr:uid="{886E2F25-208F-4B55-AF02-51E717D3F585}"/>
    <hyperlink ref="C32" r:id="rId17" xr:uid="{34D321D2-991D-4CC1-9020-D398B83C88B3}"/>
    <hyperlink ref="C33" r:id="rId18" xr:uid="{2E9FDECC-A897-462B-899C-445D5E9545A2}"/>
    <hyperlink ref="D24" r:id="rId19" xr:uid="{A1B20CC3-BA84-402A-96B9-24150285796C}"/>
    <hyperlink ref="D25" r:id="rId20" xr:uid="{58436147-79C5-44E5-ADC9-AAA7CBD94792}"/>
    <hyperlink ref="D26" r:id="rId21" xr:uid="{7EBD7748-4C9D-49A1-A981-3F82A1AEF396}"/>
    <hyperlink ref="D27" r:id="rId22" xr:uid="{13837DCB-AC00-44DD-ABD5-0CE8CCE09AA1}"/>
    <hyperlink ref="D28" r:id="rId23" xr:uid="{F23031AE-495E-46EF-B826-BB3998FBC2DE}"/>
    <hyperlink ref="D29" r:id="rId24" xr:uid="{51F2A5BE-2128-491F-847D-60EE66CF9A29}"/>
    <hyperlink ref="D30" r:id="rId25" xr:uid="{D4F266EB-0273-4EAC-BC73-92F098E891F8}"/>
    <hyperlink ref="D31" r:id="rId26" xr:uid="{24D5C737-582C-4F2C-8A0A-CF5C2889B418}"/>
    <hyperlink ref="D32" r:id="rId27" xr:uid="{AD166385-0952-4742-9E0B-1EDB0792A85A}"/>
    <hyperlink ref="D33" r:id="rId28" xr:uid="{D50BA852-93A3-4AED-8927-B7C74F7DE5BC}"/>
    <hyperlink ref="E24" r:id="rId29" xr:uid="{7B575F13-AAB7-492C-83E8-63B862B60210}"/>
    <hyperlink ref="E25" r:id="rId30" xr:uid="{AFB7BFA6-A168-45FB-89AF-E81F65BE1BD2}"/>
    <hyperlink ref="E27" r:id="rId31" xr:uid="{FA7D80EF-D157-49D3-AF37-E74111A2CF08}"/>
    <hyperlink ref="E28" r:id="rId32" xr:uid="{D4A7D28C-C9F1-4318-AE27-26449AB42AA3}"/>
    <hyperlink ref="E29" r:id="rId33" xr:uid="{19461CE0-FBB8-4A13-AA9D-40B19E0B0274}"/>
    <hyperlink ref="E30" r:id="rId34" xr:uid="{48A03920-7914-4679-A87D-54F760B4DB2A}"/>
    <hyperlink ref="E32" r:id="rId35" xr:uid="{F7E801CC-BCA4-49AF-9148-8FC3A2363DE3}"/>
    <hyperlink ref="E33" r:id="rId36" xr:uid="{E435E152-836B-4FA5-928B-D90C7CF4E56A}"/>
  </hyperlinks>
  <pageMargins left="0.7" right="0.7" top="0.75" bottom="0.75" header="0.3" footer="0.3"/>
  <legacyDrawing r:id="rId3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Кардан</vt:lpstr>
      <vt:lpstr>Кардан Выгр Кат</vt:lpstr>
      <vt:lpstr>Генераторы</vt:lpstr>
      <vt:lpstr>Генер Выгр Кат</vt:lpstr>
      <vt:lpstr>Парсинг</vt:lpstr>
      <vt:lpstr>ссылки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2024-07-02T15:05:58Z</dcterms:created>
  <dcterms:modified xsi:type="dcterms:W3CDTF">2024-09-02T13:44:17Z</dcterms:modified>
</cp:coreProperties>
</file>