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filterPrivacy="1"/>
  <xr:revisionPtr revIDLastSave="0" documentId="13_ncr:1_{2D2B1D50-4098-4718-9071-E3FD77FA40CF}" xr6:coauthVersionLast="47" xr6:coauthVersionMax="47" xr10:uidLastSave="{00000000-0000-0000-0000-000000000000}"/>
  <bookViews>
    <workbookView xWindow="28680" yWindow="-120" windowWidth="29040" windowHeight="15990" activeTab="5" xr2:uid="{00000000-000D-0000-FFFF-FFFF00000000}"/>
  </bookViews>
  <sheets>
    <sheet name="Кат" sheetId="3" r:id="rId1"/>
    <sheet name="Торг" sheetId="4" r:id="rId2"/>
    <sheet name="Наценка" sheetId="5" r:id="rId3"/>
    <sheet name="Выгр Кат" sheetId="1" r:id="rId4"/>
    <sheet name="Выгр Торг" sheetId="2" r:id="rId5"/>
    <sheet name="ссылки" sheetId="6" r:id="rId6"/>
    <sheet name="Из ГУГЛа" sheetId="7" r:id="rId7"/>
  </sheets>
  <definedNames>
    <definedName name="_xlnm._FilterDatabase" localSheetId="3" hidden="1">'Выгр Кат'!$A$1:$O$1</definedName>
    <definedName name="_xlnm._FilterDatabase" localSheetId="0" hidden="1">Кат!$A$2:$AC$2</definedName>
    <definedName name="_xlnm._FilterDatabase" localSheetId="1" hidden="1">Торг!$A$2:$AB$264</definedName>
    <definedName name="ExternalData_1" localSheetId="6" hidden="1">'Из ГУГЛа'!$A$1:$R$1070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01" i="6" l="1"/>
  <c r="B900" i="6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3" i="4"/>
  <c r="Z487" i="3"/>
  <c r="V549" i="3"/>
  <c r="V542" i="3"/>
  <c r="V496" i="3"/>
  <c r="V468" i="3"/>
  <c r="V467" i="3"/>
  <c r="V441" i="3"/>
  <c r="V440" i="3"/>
  <c r="V375" i="3"/>
  <c r="V374" i="3"/>
  <c r="V359" i="3"/>
  <c r="V313" i="3"/>
  <c r="V279" i="3"/>
  <c r="V274" i="3"/>
  <c r="V273" i="3"/>
  <c r="V250" i="3"/>
  <c r="V246" i="3"/>
  <c r="V245" i="3"/>
  <c r="V237" i="3"/>
  <c r="V234" i="3"/>
  <c r="V233" i="3"/>
  <c r="V217" i="3"/>
  <c r="V179" i="3"/>
  <c r="V177" i="3"/>
  <c r="V109" i="3"/>
  <c r="V98" i="3"/>
  <c r="V97" i="3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2" i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3" i="3"/>
  <c r="V799" i="3" l="1"/>
  <c r="V771" i="3"/>
  <c r="V770" i="3"/>
  <c r="V766" i="3"/>
  <c r="V662" i="3"/>
  <c r="V661" i="3"/>
  <c r="V660" i="3"/>
  <c r="V656" i="3"/>
  <c r="V655" i="3"/>
  <c r="V654" i="3"/>
  <c r="V653" i="3"/>
  <c r="V652" i="3"/>
  <c r="V651" i="3"/>
  <c r="V650" i="3"/>
  <c r="V592" i="3"/>
  <c r="V588" i="3"/>
  <c r="V586" i="3"/>
  <c r="V585" i="3"/>
  <c r="V584" i="3"/>
  <c r="V525" i="3"/>
  <c r="V435" i="3"/>
  <c r="V434" i="3"/>
  <c r="V433" i="3"/>
  <c r="V432" i="3"/>
  <c r="V431" i="3"/>
  <c r="V430" i="3"/>
  <c r="V429" i="3"/>
  <c r="V428" i="3"/>
  <c r="V427" i="3"/>
  <c r="V425" i="3"/>
  <c r="V424" i="3"/>
  <c r="V421" i="3"/>
  <c r="V420" i="3"/>
  <c r="V419" i="3"/>
  <c r="V418" i="3"/>
  <c r="V417" i="3"/>
  <c r="V199" i="3"/>
  <c r="V186" i="3"/>
  <c r="V185" i="3"/>
  <c r="V182" i="3"/>
  <c r="V181" i="3"/>
  <c r="V180" i="3"/>
  <c r="V178" i="3"/>
  <c r="V176" i="3"/>
  <c r="V175" i="3"/>
  <c r="V174" i="3"/>
  <c r="V173" i="3"/>
  <c r="V172" i="3"/>
  <c r="V171" i="3"/>
  <c r="V170" i="3"/>
  <c r="V169" i="3"/>
  <c r="V168" i="3"/>
  <c r="V167" i="3"/>
  <c r="V166" i="3"/>
  <c r="V165" i="3"/>
  <c r="V164" i="3"/>
  <c r="V163" i="3"/>
  <c r="V161" i="3"/>
  <c r="V160" i="3"/>
  <c r="V159" i="3"/>
  <c r="V158" i="3"/>
  <c r="V157" i="3"/>
  <c r="V156" i="3"/>
  <c r="V155" i="3"/>
  <c r="V154" i="3"/>
  <c r="V152" i="3"/>
  <c r="V68" i="3"/>
  <c r="V65" i="3"/>
  <c r="V64" i="3"/>
  <c r="V58" i="3"/>
  <c r="V56" i="3"/>
  <c r="V49" i="3"/>
  <c r="V48" i="3"/>
  <c r="V30" i="3"/>
  <c r="V25" i="3"/>
  <c r="V12" i="3"/>
  <c r="V801" i="3" l="1"/>
  <c r="V790" i="3"/>
  <c r="V789" i="3"/>
  <c r="V788" i="3"/>
  <c r="V783" i="3"/>
  <c r="V782" i="3"/>
  <c r="V778" i="3"/>
  <c r="V777" i="3"/>
  <c r="V775" i="3"/>
  <c r="V774" i="3"/>
  <c r="V773" i="3"/>
  <c r="V768" i="3"/>
  <c r="V764" i="3"/>
  <c r="V763" i="3"/>
  <c r="V761" i="3"/>
  <c r="V760" i="3"/>
  <c r="V757" i="3"/>
  <c r="V756" i="3"/>
  <c r="V755" i="3"/>
  <c r="V754" i="3"/>
  <c r="V752" i="3"/>
  <c r="V751" i="3"/>
  <c r="V740" i="3"/>
  <c r="V736" i="3"/>
  <c r="V735" i="3"/>
  <c r="V734" i="3"/>
  <c r="V733" i="3"/>
  <c r="V730" i="3"/>
  <c r="V726" i="3"/>
  <c r="V724" i="3"/>
  <c r="V721" i="3"/>
  <c r="V719" i="3"/>
  <c r="V718" i="3"/>
  <c r="V717" i="3"/>
  <c r="V716" i="3"/>
  <c r="V715" i="3"/>
  <c r="V713" i="3"/>
  <c r="V712" i="3"/>
  <c r="V711" i="3"/>
  <c r="V702" i="3"/>
  <c r="V701" i="3"/>
  <c r="V700" i="3"/>
  <c r="V699" i="3"/>
  <c r="V696" i="3"/>
  <c r="V693" i="3"/>
  <c r="V692" i="3"/>
  <c r="V691" i="3"/>
  <c r="V687" i="3"/>
  <c r="V682" i="3"/>
  <c r="V681" i="3"/>
  <c r="V680" i="3"/>
  <c r="V675" i="3"/>
  <c r="V673" i="3"/>
  <c r="V671" i="3"/>
  <c r="V670" i="3"/>
  <c r="V666" i="3"/>
  <c r="V665" i="3"/>
  <c r="V659" i="3"/>
  <c r="V658" i="3"/>
  <c r="V657" i="3"/>
  <c r="V646" i="3"/>
  <c r="V645" i="3"/>
  <c r="V639" i="3"/>
  <c r="V638" i="3"/>
  <c r="V637" i="3"/>
  <c r="V636" i="3"/>
  <c r="V635" i="3"/>
  <c r="V629" i="3"/>
  <c r="V628" i="3"/>
  <c r="V627" i="3"/>
  <c r="V625" i="3"/>
  <c r="V615" i="3"/>
  <c r="V612" i="3"/>
  <c r="V611" i="3"/>
  <c r="V610" i="3"/>
  <c r="V609" i="3"/>
  <c r="V606" i="3"/>
  <c r="V605" i="3"/>
  <c r="V597" i="3"/>
  <c r="V596" i="3"/>
  <c r="V594" i="3"/>
  <c r="V591" i="3"/>
  <c r="V590" i="3"/>
  <c r="V580" i="3"/>
  <c r="V578" i="3"/>
  <c r="V577" i="3"/>
  <c r="V576" i="3"/>
  <c r="V575" i="3"/>
  <c r="V574" i="3"/>
  <c r="V573" i="3"/>
  <c r="V570" i="3"/>
  <c r="V566" i="3"/>
  <c r="V563" i="3"/>
  <c r="V562" i="3"/>
  <c r="V560" i="3"/>
  <c r="V558" i="3"/>
  <c r="V557" i="3"/>
  <c r="V553" i="3"/>
  <c r="V550" i="3"/>
  <c r="V548" i="3"/>
  <c r="V547" i="3"/>
  <c r="V543" i="3"/>
  <c r="V537" i="3"/>
  <c r="V536" i="3"/>
  <c r="V535" i="3"/>
  <c r="V534" i="3"/>
  <c r="V529" i="3"/>
  <c r="V527" i="3"/>
  <c r="V520" i="3"/>
  <c r="V518" i="3"/>
  <c r="V516" i="3"/>
  <c r="V513" i="3"/>
  <c r="V512" i="3"/>
  <c r="V511" i="3"/>
  <c r="V507" i="3"/>
  <c r="V506" i="3"/>
  <c r="V505" i="3"/>
  <c r="V502" i="3"/>
  <c r="V498" i="3"/>
  <c r="V495" i="3"/>
  <c r="V494" i="3"/>
  <c r="V493" i="3"/>
  <c r="V492" i="3"/>
  <c r="V491" i="3"/>
  <c r="V490" i="3"/>
  <c r="V489" i="3"/>
  <c r="V488" i="3"/>
  <c r="V486" i="3"/>
  <c r="V485" i="3"/>
  <c r="V483" i="3"/>
  <c r="V482" i="3"/>
  <c r="V481" i="3"/>
  <c r="V480" i="3"/>
  <c r="V477" i="3"/>
  <c r="V476" i="3"/>
  <c r="V472" i="3"/>
  <c r="V471" i="3"/>
  <c r="V470" i="3"/>
  <c r="V469" i="3"/>
  <c r="V466" i="3"/>
  <c r="V463" i="3"/>
  <c r="V460" i="3"/>
  <c r="V457" i="3"/>
  <c r="V456" i="3"/>
  <c r="V455" i="3"/>
  <c r="V454" i="3"/>
  <c r="V453" i="3"/>
  <c r="V452" i="3"/>
  <c r="V450" i="3"/>
  <c r="V449" i="3"/>
  <c r="V447" i="3"/>
  <c r="V415" i="3"/>
  <c r="V414" i="3"/>
  <c r="V412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4" i="3"/>
  <c r="V393" i="3"/>
  <c r="V392" i="3"/>
  <c r="V391" i="3"/>
  <c r="V387" i="3"/>
  <c r="V385" i="3"/>
  <c r="V384" i="3"/>
  <c r="V377" i="3"/>
  <c r="V369" i="3"/>
  <c r="V367" i="3"/>
  <c r="V366" i="3"/>
  <c r="V364" i="3"/>
  <c r="V363" i="3"/>
  <c r="V362" i="3"/>
  <c r="V360" i="3"/>
  <c r="V356" i="3"/>
  <c r="V352" i="3"/>
  <c r="V347" i="3"/>
  <c r="V343" i="3"/>
  <c r="V341" i="3"/>
  <c r="V330" i="3"/>
  <c r="V326" i="3"/>
  <c r="V321" i="3"/>
  <c r="V320" i="3"/>
  <c r="V318" i="3"/>
  <c r="V317" i="3"/>
  <c r="V311" i="3"/>
  <c r="V310" i="3"/>
  <c r="V306" i="3"/>
  <c r="V305" i="3"/>
  <c r="V295" i="3"/>
  <c r="V293" i="3"/>
  <c r="V292" i="3"/>
  <c r="V291" i="3"/>
  <c r="V288" i="3"/>
  <c r="V287" i="3"/>
  <c r="V285" i="3"/>
  <c r="V282" i="3"/>
  <c r="V277" i="3"/>
  <c r="V276" i="3"/>
  <c r="V272" i="3"/>
  <c r="V271" i="3"/>
  <c r="V267" i="3"/>
  <c r="V266" i="3"/>
  <c r="V265" i="3"/>
  <c r="V264" i="3"/>
  <c r="V263" i="3"/>
  <c r="V251" i="3"/>
  <c r="V248" i="3"/>
  <c r="V244" i="3"/>
  <c r="V243" i="3"/>
  <c r="V242" i="3"/>
  <c r="V240" i="3"/>
  <c r="V239" i="3"/>
  <c r="V238" i="3"/>
  <c r="V236" i="3"/>
  <c r="V235" i="3"/>
  <c r="V231" i="3"/>
  <c r="V229" i="3"/>
  <c r="V227" i="3"/>
  <c r="V226" i="3"/>
  <c r="V225" i="3"/>
  <c r="V224" i="3"/>
  <c r="V223" i="3"/>
  <c r="V215" i="3"/>
  <c r="V213" i="3"/>
  <c r="V211" i="3"/>
  <c r="V208" i="3"/>
  <c r="V207" i="3"/>
  <c r="V206" i="3"/>
  <c r="V205" i="3"/>
  <c r="V204" i="3"/>
  <c r="V203" i="3"/>
  <c r="V202" i="3"/>
  <c r="V201" i="3"/>
  <c r="V195" i="3"/>
  <c r="V194" i="3"/>
  <c r="V184" i="3"/>
  <c r="V144" i="3"/>
  <c r="V138" i="3"/>
  <c r="V127" i="3"/>
  <c r="V126" i="3"/>
  <c r="V123" i="3"/>
  <c r="V122" i="3"/>
  <c r="V121" i="3"/>
  <c r="V120" i="3"/>
  <c r="V119" i="3"/>
  <c r="V118" i="3"/>
  <c r="V117" i="3"/>
  <c r="V116" i="3"/>
  <c r="V115" i="3"/>
  <c r="V114" i="3"/>
  <c r="V113" i="3"/>
  <c r="V112" i="3"/>
  <c r="V111" i="3"/>
  <c r="V110" i="3"/>
  <c r="V108" i="3"/>
  <c r="V106" i="3"/>
  <c r="V104" i="3"/>
  <c r="V96" i="3"/>
  <c r="V95" i="3"/>
  <c r="V94" i="3"/>
  <c r="V93" i="3"/>
  <c r="V92" i="3"/>
  <c r="V91" i="3"/>
  <c r="V89" i="3"/>
  <c r="V84" i="3"/>
  <c r="V82" i="3"/>
  <c r="V81" i="3"/>
  <c r="V79" i="3"/>
  <c r="V78" i="3"/>
  <c r="V76" i="3"/>
  <c r="V75" i="3"/>
  <c r="V69" i="3"/>
  <c r="V67" i="3"/>
  <c r="V62" i="3"/>
  <c r="V61" i="3"/>
  <c r="V55" i="3"/>
  <c r="V53" i="3"/>
  <c r="V52" i="3"/>
  <c r="V51" i="3"/>
  <c r="V47" i="3"/>
  <c r="V43" i="3"/>
  <c r="V42" i="3"/>
  <c r="V41" i="3"/>
  <c r="V38" i="3"/>
  <c r="V35" i="3"/>
  <c r="V34" i="3"/>
  <c r="V32" i="3"/>
  <c r="V31" i="3"/>
  <c r="V29" i="3"/>
  <c r="V24" i="3"/>
  <c r="V23" i="3"/>
  <c r="V21" i="3"/>
  <c r="V19" i="3"/>
  <c r="V18" i="3"/>
  <c r="V17" i="3"/>
  <c r="V16" i="3"/>
  <c r="V15" i="3"/>
  <c r="V11" i="3"/>
  <c r="V9" i="3"/>
  <c r="V8" i="3"/>
  <c r="V7" i="3"/>
  <c r="V6" i="3"/>
  <c r="V4" i="3"/>
  <c r="V3" i="3"/>
  <c r="W3" i="4"/>
  <c r="W264" i="4"/>
  <c r="W263" i="4"/>
  <c r="W262" i="4"/>
  <c r="W261" i="4"/>
  <c r="W260" i="4"/>
  <c r="W259" i="4"/>
  <c r="W258" i="4"/>
  <c r="W257" i="4"/>
  <c r="W256" i="4"/>
  <c r="W255" i="4"/>
  <c r="W254" i="4"/>
  <c r="W253" i="4"/>
  <c r="W251" i="4"/>
  <c r="W250" i="4"/>
  <c r="W249" i="4"/>
  <c r="W248" i="4"/>
  <c r="W247" i="4"/>
  <c r="W246" i="4"/>
  <c r="W245" i="4"/>
  <c r="W244" i="4"/>
  <c r="W243" i="4"/>
  <c r="W242" i="4"/>
  <c r="W241" i="4"/>
  <c r="W240" i="4"/>
  <c r="W239" i="4"/>
  <c r="W238" i="4"/>
  <c r="W237" i="4"/>
  <c r="W236" i="4"/>
  <c r="W235" i="4"/>
  <c r="W234" i="4"/>
  <c r="W233" i="4"/>
  <c r="W232" i="4"/>
  <c r="W231" i="4"/>
  <c r="W230" i="4"/>
  <c r="W229" i="4"/>
  <c r="W228" i="4"/>
  <c r="W227" i="4"/>
  <c r="W226" i="4"/>
  <c r="W225" i="4"/>
  <c r="W224" i="4"/>
  <c r="W223" i="4"/>
  <c r="W222" i="4"/>
  <c r="W221" i="4"/>
  <c r="W220" i="4"/>
  <c r="W219" i="4"/>
  <c r="W218" i="4"/>
  <c r="W217" i="4"/>
  <c r="W216" i="4"/>
  <c r="W215" i="4"/>
  <c r="W214" i="4"/>
  <c r="W213" i="4"/>
  <c r="W212" i="4"/>
  <c r="W211" i="4"/>
  <c r="W210" i="4"/>
  <c r="W209" i="4"/>
  <c r="W208" i="4"/>
  <c r="W207" i="4"/>
  <c r="W206" i="4"/>
  <c r="W205" i="4"/>
  <c r="W204" i="4"/>
  <c r="W203" i="4"/>
  <c r="W202" i="4"/>
  <c r="W201" i="4"/>
  <c r="W200" i="4"/>
  <c r="W199" i="4"/>
  <c r="W198" i="4"/>
  <c r="W197" i="4"/>
  <c r="W196" i="4"/>
  <c r="W195" i="4"/>
  <c r="W194" i="4"/>
  <c r="W193" i="4"/>
  <c r="W192" i="4"/>
  <c r="W191" i="4"/>
  <c r="W190" i="4"/>
  <c r="W189" i="4"/>
  <c r="W188" i="4"/>
  <c r="W187" i="4"/>
  <c r="W186" i="4"/>
  <c r="W185" i="4"/>
  <c r="W184" i="4"/>
  <c r="W183" i="4"/>
  <c r="W182" i="4"/>
  <c r="W181" i="4"/>
  <c r="W180" i="4"/>
  <c r="W179" i="4"/>
  <c r="W178" i="4"/>
  <c r="W177" i="4"/>
  <c r="W176" i="4"/>
  <c r="W175" i="4"/>
  <c r="W174" i="4"/>
  <c r="W173" i="4"/>
  <c r="W172" i="4"/>
  <c r="W171" i="4"/>
  <c r="W170" i="4"/>
  <c r="W169" i="4"/>
  <c r="W168" i="4"/>
  <c r="W167" i="4"/>
  <c r="W166" i="4"/>
  <c r="W165" i="4"/>
  <c r="W164" i="4"/>
  <c r="W163" i="4"/>
  <c r="W162" i="4"/>
  <c r="W161" i="4"/>
  <c r="W160" i="4"/>
  <c r="W159" i="4"/>
  <c r="W158" i="4"/>
  <c r="W157" i="4"/>
  <c r="W156" i="4"/>
  <c r="W155" i="4"/>
  <c r="W154" i="4"/>
  <c r="W153" i="4"/>
  <c r="W152" i="4"/>
  <c r="W151" i="4"/>
  <c r="W150" i="4"/>
  <c r="W149" i="4"/>
  <c r="W148" i="4"/>
  <c r="W147" i="4"/>
  <c r="W146" i="4"/>
  <c r="W145" i="4"/>
  <c r="W144" i="4"/>
  <c r="W143" i="4"/>
  <c r="W142" i="4"/>
  <c r="W141" i="4"/>
  <c r="W140" i="4"/>
  <c r="W139" i="4"/>
  <c r="W138" i="4"/>
  <c r="W137" i="4"/>
  <c r="W136" i="4"/>
  <c r="W135" i="4"/>
  <c r="W134" i="4"/>
  <c r="W133" i="4"/>
  <c r="W132" i="4"/>
  <c r="W131" i="4"/>
  <c r="W130" i="4"/>
  <c r="W129" i="4"/>
  <c r="W128" i="4"/>
  <c r="W127" i="4"/>
  <c r="W126" i="4"/>
  <c r="W125" i="4"/>
  <c r="W124" i="4"/>
  <c r="W123" i="4"/>
  <c r="W122" i="4"/>
  <c r="W121" i="4"/>
  <c r="W120" i="4"/>
  <c r="W119" i="4"/>
  <c r="W118" i="4"/>
  <c r="W117" i="4"/>
  <c r="W116" i="4"/>
  <c r="W115" i="4"/>
  <c r="W114" i="4"/>
  <c r="W113" i="4"/>
  <c r="W112" i="4"/>
  <c r="W111" i="4"/>
  <c r="W110" i="4"/>
  <c r="W109" i="4"/>
  <c r="W108" i="4"/>
  <c r="W107" i="4"/>
  <c r="W106" i="4"/>
  <c r="W105" i="4"/>
  <c r="W104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2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4" i="4"/>
  <c r="AA99" i="4"/>
  <c r="AA98" i="4"/>
  <c r="I1" i="4" l="1"/>
  <c r="J1" i="4"/>
  <c r="J1" i="3"/>
  <c r="I1" i="3"/>
  <c r="K1" i="4"/>
  <c r="O4" i="4"/>
  <c r="K4" i="4" s="1"/>
  <c r="P4" i="4"/>
  <c r="O5" i="4"/>
  <c r="K5" i="4" s="1"/>
  <c r="P5" i="4"/>
  <c r="O6" i="4"/>
  <c r="K6" i="4" s="1"/>
  <c r="P6" i="4"/>
  <c r="O7" i="4"/>
  <c r="K7" i="4" s="1"/>
  <c r="V7" i="4" s="1"/>
  <c r="P7" i="4"/>
  <c r="O8" i="4"/>
  <c r="K8" i="4" s="1"/>
  <c r="V8" i="4" s="1"/>
  <c r="P8" i="4"/>
  <c r="O9" i="4"/>
  <c r="P9" i="4"/>
  <c r="O10" i="4"/>
  <c r="K10" i="4" s="1"/>
  <c r="P10" i="4"/>
  <c r="O11" i="4"/>
  <c r="K11" i="4" s="1"/>
  <c r="P11" i="4"/>
  <c r="O12" i="4"/>
  <c r="K12" i="4" s="1"/>
  <c r="P12" i="4"/>
  <c r="O13" i="4"/>
  <c r="K13" i="4" s="1"/>
  <c r="V13" i="4" s="1"/>
  <c r="P13" i="4"/>
  <c r="O14" i="4"/>
  <c r="K14" i="4" s="1"/>
  <c r="L14" i="4" s="1"/>
  <c r="P14" i="4"/>
  <c r="O15" i="4"/>
  <c r="P15" i="4"/>
  <c r="O16" i="4"/>
  <c r="K16" i="4" s="1"/>
  <c r="P16" i="4"/>
  <c r="O17" i="4"/>
  <c r="K17" i="4" s="1"/>
  <c r="P17" i="4"/>
  <c r="O18" i="4"/>
  <c r="K18" i="4" s="1"/>
  <c r="P18" i="4"/>
  <c r="O19" i="4"/>
  <c r="K19" i="4" s="1"/>
  <c r="V19" i="4" s="1"/>
  <c r="P19" i="4"/>
  <c r="O20" i="4"/>
  <c r="K20" i="4" s="1"/>
  <c r="V20" i="4" s="1"/>
  <c r="P20" i="4"/>
  <c r="O21" i="4"/>
  <c r="P21" i="4"/>
  <c r="O22" i="4"/>
  <c r="K22" i="4" s="1"/>
  <c r="P22" i="4"/>
  <c r="O23" i="4"/>
  <c r="K23" i="4" s="1"/>
  <c r="P23" i="4"/>
  <c r="O24" i="4"/>
  <c r="K24" i="4" s="1"/>
  <c r="P24" i="4"/>
  <c r="O25" i="4"/>
  <c r="K25" i="4" s="1"/>
  <c r="V25" i="4" s="1"/>
  <c r="P25" i="4"/>
  <c r="O26" i="4"/>
  <c r="K26" i="4" s="1"/>
  <c r="L26" i="4" s="1"/>
  <c r="P26" i="4"/>
  <c r="O27" i="4"/>
  <c r="P27" i="4"/>
  <c r="O28" i="4"/>
  <c r="K28" i="4" s="1"/>
  <c r="P28" i="4"/>
  <c r="O29" i="4"/>
  <c r="K29" i="4" s="1"/>
  <c r="P29" i="4"/>
  <c r="O30" i="4"/>
  <c r="K30" i="4" s="1"/>
  <c r="P30" i="4"/>
  <c r="O31" i="4"/>
  <c r="K31" i="4" s="1"/>
  <c r="V31" i="4" s="1"/>
  <c r="P31" i="4"/>
  <c r="O32" i="4"/>
  <c r="K32" i="4" s="1"/>
  <c r="V32" i="4" s="1"/>
  <c r="P32" i="4"/>
  <c r="O33" i="4"/>
  <c r="P33" i="4"/>
  <c r="O34" i="4"/>
  <c r="K34" i="4" s="1"/>
  <c r="P34" i="4"/>
  <c r="O35" i="4"/>
  <c r="K35" i="4" s="1"/>
  <c r="P35" i="4"/>
  <c r="O36" i="4"/>
  <c r="K36" i="4" s="1"/>
  <c r="P36" i="4"/>
  <c r="O37" i="4"/>
  <c r="K37" i="4" s="1"/>
  <c r="V37" i="4" s="1"/>
  <c r="P37" i="4"/>
  <c r="O38" i="4"/>
  <c r="K38" i="4" s="1"/>
  <c r="V38" i="4" s="1"/>
  <c r="P38" i="4"/>
  <c r="O39" i="4"/>
  <c r="P39" i="4"/>
  <c r="O40" i="4"/>
  <c r="K40" i="4" s="1"/>
  <c r="P40" i="4"/>
  <c r="O41" i="4"/>
  <c r="K41" i="4" s="1"/>
  <c r="P41" i="4"/>
  <c r="O42" i="4"/>
  <c r="K42" i="4" s="1"/>
  <c r="P42" i="4"/>
  <c r="O43" i="4"/>
  <c r="K43" i="4" s="1"/>
  <c r="P43" i="4"/>
  <c r="O44" i="4"/>
  <c r="K44" i="4" s="1"/>
  <c r="V44" i="4" s="1"/>
  <c r="P44" i="4"/>
  <c r="O45" i="4"/>
  <c r="P45" i="4"/>
  <c r="O46" i="4"/>
  <c r="K46" i="4" s="1"/>
  <c r="P46" i="4"/>
  <c r="O47" i="4"/>
  <c r="K47" i="4" s="1"/>
  <c r="P47" i="4"/>
  <c r="O48" i="4"/>
  <c r="K48" i="4" s="1"/>
  <c r="P48" i="4"/>
  <c r="O49" i="4"/>
  <c r="K49" i="4" s="1"/>
  <c r="V49" i="4" s="1"/>
  <c r="P49" i="4"/>
  <c r="O50" i="4"/>
  <c r="K50" i="4" s="1"/>
  <c r="Q50" i="4" s="1"/>
  <c r="P50" i="4"/>
  <c r="O51" i="4"/>
  <c r="P51" i="4"/>
  <c r="O52" i="4"/>
  <c r="K52" i="4" s="1"/>
  <c r="P52" i="4"/>
  <c r="O53" i="4"/>
  <c r="K53" i="4" s="1"/>
  <c r="P53" i="4"/>
  <c r="O54" i="4"/>
  <c r="K54" i="4" s="1"/>
  <c r="P54" i="4"/>
  <c r="O55" i="4"/>
  <c r="K55" i="4" s="1"/>
  <c r="P55" i="4"/>
  <c r="O56" i="4"/>
  <c r="K56" i="4" s="1"/>
  <c r="V56" i="4" s="1"/>
  <c r="P56" i="4"/>
  <c r="O57" i="4"/>
  <c r="P57" i="4"/>
  <c r="O58" i="4"/>
  <c r="K58" i="4" s="1"/>
  <c r="P58" i="4"/>
  <c r="O59" i="4"/>
  <c r="K59" i="4" s="1"/>
  <c r="P59" i="4"/>
  <c r="O60" i="4"/>
  <c r="K60" i="4" s="1"/>
  <c r="P60" i="4"/>
  <c r="O61" i="4"/>
  <c r="K61" i="4" s="1"/>
  <c r="V61" i="4" s="1"/>
  <c r="P61" i="4"/>
  <c r="O62" i="4"/>
  <c r="K62" i="4" s="1"/>
  <c r="V62" i="4" s="1"/>
  <c r="P62" i="4"/>
  <c r="O63" i="4"/>
  <c r="P63" i="4"/>
  <c r="O64" i="4"/>
  <c r="K64" i="4" s="1"/>
  <c r="P64" i="4"/>
  <c r="O65" i="4"/>
  <c r="K65" i="4" s="1"/>
  <c r="P65" i="4"/>
  <c r="O66" i="4"/>
  <c r="K66" i="4" s="1"/>
  <c r="P66" i="4"/>
  <c r="O67" i="4"/>
  <c r="K67" i="4" s="1"/>
  <c r="V67" i="4" s="1"/>
  <c r="P67" i="4"/>
  <c r="O68" i="4"/>
  <c r="K68" i="4" s="1"/>
  <c r="V68" i="4" s="1"/>
  <c r="P68" i="4"/>
  <c r="O69" i="4"/>
  <c r="P69" i="4"/>
  <c r="O70" i="4"/>
  <c r="K70" i="4" s="1"/>
  <c r="L70" i="4" s="1"/>
  <c r="M70" i="4" s="1"/>
  <c r="N70" i="4" s="1"/>
  <c r="P70" i="4"/>
  <c r="O71" i="4"/>
  <c r="K71" i="4" s="1"/>
  <c r="P71" i="4"/>
  <c r="O72" i="4"/>
  <c r="K72" i="4" s="1"/>
  <c r="P72" i="4"/>
  <c r="O73" i="4"/>
  <c r="K73" i="4" s="1"/>
  <c r="V73" i="4" s="1"/>
  <c r="P73" i="4"/>
  <c r="O74" i="4"/>
  <c r="K74" i="4" s="1"/>
  <c r="V74" i="4" s="1"/>
  <c r="P74" i="4"/>
  <c r="O75" i="4"/>
  <c r="P75" i="4"/>
  <c r="O76" i="4"/>
  <c r="K76" i="4" s="1"/>
  <c r="P76" i="4"/>
  <c r="O77" i="4"/>
  <c r="K77" i="4" s="1"/>
  <c r="Q77" i="4" s="1"/>
  <c r="P77" i="4"/>
  <c r="O78" i="4"/>
  <c r="K78" i="4" s="1"/>
  <c r="P78" i="4"/>
  <c r="O79" i="4"/>
  <c r="K79" i="4" s="1"/>
  <c r="V79" i="4" s="1"/>
  <c r="P79" i="4"/>
  <c r="O80" i="4"/>
  <c r="K80" i="4" s="1"/>
  <c r="P80" i="4"/>
  <c r="O81" i="4"/>
  <c r="P81" i="4"/>
  <c r="O82" i="4"/>
  <c r="K82" i="4" s="1"/>
  <c r="P82" i="4"/>
  <c r="O83" i="4"/>
  <c r="K83" i="4" s="1"/>
  <c r="P83" i="4"/>
  <c r="O84" i="4"/>
  <c r="K84" i="4" s="1"/>
  <c r="P84" i="4"/>
  <c r="O85" i="4"/>
  <c r="K85" i="4" s="1"/>
  <c r="V85" i="4" s="1"/>
  <c r="P85" i="4"/>
  <c r="O86" i="4"/>
  <c r="K86" i="4" s="1"/>
  <c r="L86" i="4" s="1"/>
  <c r="P86" i="4"/>
  <c r="O87" i="4"/>
  <c r="P87" i="4"/>
  <c r="O88" i="4"/>
  <c r="K88" i="4" s="1"/>
  <c r="P88" i="4"/>
  <c r="O89" i="4"/>
  <c r="K89" i="4" s="1"/>
  <c r="L89" i="4" s="1"/>
  <c r="M89" i="4" s="1"/>
  <c r="N89" i="4" s="1"/>
  <c r="P89" i="4"/>
  <c r="O90" i="4"/>
  <c r="K90" i="4" s="1"/>
  <c r="P90" i="4"/>
  <c r="O91" i="4"/>
  <c r="K91" i="4" s="1"/>
  <c r="V91" i="4" s="1"/>
  <c r="P91" i="4"/>
  <c r="O92" i="4"/>
  <c r="K92" i="4" s="1"/>
  <c r="V92" i="4" s="1"/>
  <c r="P92" i="4"/>
  <c r="O93" i="4"/>
  <c r="P93" i="4"/>
  <c r="O94" i="4"/>
  <c r="K94" i="4" s="1"/>
  <c r="P94" i="4"/>
  <c r="O95" i="4"/>
  <c r="K95" i="4" s="1"/>
  <c r="P95" i="4"/>
  <c r="O96" i="4"/>
  <c r="K96" i="4" s="1"/>
  <c r="P96" i="4"/>
  <c r="O97" i="4"/>
  <c r="K97" i="4" s="1"/>
  <c r="V97" i="4" s="1"/>
  <c r="P97" i="4"/>
  <c r="O98" i="4"/>
  <c r="K98" i="4" s="1"/>
  <c r="Q98" i="4" s="1"/>
  <c r="P98" i="4"/>
  <c r="O99" i="4"/>
  <c r="P99" i="4"/>
  <c r="O100" i="4"/>
  <c r="K100" i="4" s="1"/>
  <c r="L100" i="4" s="1"/>
  <c r="M100" i="4" s="1"/>
  <c r="N100" i="4" s="1"/>
  <c r="R100" i="4" s="1"/>
  <c r="P100" i="4"/>
  <c r="O101" i="4"/>
  <c r="K101" i="4" s="1"/>
  <c r="P101" i="4"/>
  <c r="O102" i="4"/>
  <c r="K102" i="4" s="1"/>
  <c r="P102" i="4"/>
  <c r="O103" i="4"/>
  <c r="K103" i="4" s="1"/>
  <c r="P103" i="4"/>
  <c r="O104" i="4"/>
  <c r="K104" i="4" s="1"/>
  <c r="Q104" i="4" s="1"/>
  <c r="P104" i="4"/>
  <c r="O105" i="4"/>
  <c r="P105" i="4"/>
  <c r="O106" i="4"/>
  <c r="K106" i="4" s="1"/>
  <c r="P106" i="4"/>
  <c r="O107" i="4"/>
  <c r="K107" i="4" s="1"/>
  <c r="P107" i="4"/>
  <c r="O108" i="4"/>
  <c r="K108" i="4" s="1"/>
  <c r="L108" i="4" s="1"/>
  <c r="M108" i="4" s="1"/>
  <c r="N108" i="4" s="1"/>
  <c r="P108" i="4"/>
  <c r="O109" i="4"/>
  <c r="K109" i="4" s="1"/>
  <c r="V109" i="4" s="1"/>
  <c r="P109" i="4"/>
  <c r="O110" i="4"/>
  <c r="K110" i="4" s="1"/>
  <c r="Q110" i="4" s="1"/>
  <c r="P110" i="4"/>
  <c r="O111" i="4"/>
  <c r="P111" i="4"/>
  <c r="O112" i="4"/>
  <c r="K112" i="4" s="1"/>
  <c r="P112" i="4"/>
  <c r="O113" i="4"/>
  <c r="K113" i="4" s="1"/>
  <c r="P113" i="4"/>
  <c r="O114" i="4"/>
  <c r="K114" i="4" s="1"/>
  <c r="P114" i="4"/>
  <c r="O115" i="4"/>
  <c r="K115" i="4" s="1"/>
  <c r="V115" i="4" s="1"/>
  <c r="P115" i="4"/>
  <c r="O116" i="4"/>
  <c r="K116" i="4" s="1"/>
  <c r="V116" i="4" s="1"/>
  <c r="P116" i="4"/>
  <c r="O117" i="4"/>
  <c r="P117" i="4"/>
  <c r="O118" i="4"/>
  <c r="K118" i="4" s="1"/>
  <c r="P118" i="4"/>
  <c r="O119" i="4"/>
  <c r="K119" i="4" s="1"/>
  <c r="P119" i="4"/>
  <c r="O120" i="4"/>
  <c r="K120" i="4" s="1"/>
  <c r="P120" i="4"/>
  <c r="O121" i="4"/>
  <c r="K121" i="4" s="1"/>
  <c r="V121" i="4" s="1"/>
  <c r="P121" i="4"/>
  <c r="O122" i="4"/>
  <c r="K122" i="4" s="1"/>
  <c r="L122" i="4" s="1"/>
  <c r="P122" i="4"/>
  <c r="O123" i="4"/>
  <c r="P123" i="4"/>
  <c r="O124" i="4"/>
  <c r="K124" i="4" s="1"/>
  <c r="P124" i="4"/>
  <c r="O125" i="4"/>
  <c r="K125" i="4" s="1"/>
  <c r="P125" i="4"/>
  <c r="O126" i="4"/>
  <c r="K126" i="4" s="1"/>
  <c r="P126" i="4"/>
  <c r="O127" i="4"/>
  <c r="K127" i="4" s="1"/>
  <c r="V127" i="4" s="1"/>
  <c r="P127" i="4"/>
  <c r="O128" i="4"/>
  <c r="K128" i="4" s="1"/>
  <c r="Q128" i="4" s="1"/>
  <c r="P128" i="4"/>
  <c r="O129" i="4"/>
  <c r="P129" i="4"/>
  <c r="O130" i="4"/>
  <c r="K130" i="4" s="1"/>
  <c r="P130" i="4"/>
  <c r="O131" i="4"/>
  <c r="K131" i="4" s="1"/>
  <c r="P131" i="4"/>
  <c r="O132" i="4"/>
  <c r="K132" i="4" s="1"/>
  <c r="P132" i="4"/>
  <c r="O133" i="4"/>
  <c r="K133" i="4" s="1"/>
  <c r="V133" i="4" s="1"/>
  <c r="P133" i="4"/>
  <c r="O134" i="4"/>
  <c r="K134" i="4" s="1"/>
  <c r="V134" i="4" s="1"/>
  <c r="P134" i="4"/>
  <c r="O135" i="4"/>
  <c r="P135" i="4"/>
  <c r="O136" i="4"/>
  <c r="K136" i="4" s="1"/>
  <c r="Q136" i="4" s="1"/>
  <c r="P136" i="4"/>
  <c r="O137" i="4"/>
  <c r="K137" i="4" s="1"/>
  <c r="P137" i="4"/>
  <c r="O138" i="4"/>
  <c r="K138" i="4" s="1"/>
  <c r="P138" i="4"/>
  <c r="O139" i="4"/>
  <c r="K139" i="4" s="1"/>
  <c r="V139" i="4" s="1"/>
  <c r="P139" i="4"/>
  <c r="O140" i="4"/>
  <c r="K140" i="4" s="1"/>
  <c r="V140" i="4" s="1"/>
  <c r="P140" i="4"/>
  <c r="O141" i="4"/>
  <c r="P141" i="4"/>
  <c r="O142" i="4"/>
  <c r="K142" i="4" s="1"/>
  <c r="P142" i="4"/>
  <c r="O143" i="4"/>
  <c r="K143" i="4" s="1"/>
  <c r="P143" i="4"/>
  <c r="O144" i="4"/>
  <c r="K144" i="4" s="1"/>
  <c r="P144" i="4"/>
  <c r="O145" i="4"/>
  <c r="K145" i="4" s="1"/>
  <c r="V145" i="4" s="1"/>
  <c r="P145" i="4"/>
  <c r="O146" i="4"/>
  <c r="K146" i="4" s="1"/>
  <c r="L146" i="4" s="1"/>
  <c r="P146" i="4"/>
  <c r="O147" i="4"/>
  <c r="P147" i="4"/>
  <c r="O148" i="4"/>
  <c r="K148" i="4" s="1"/>
  <c r="P148" i="4"/>
  <c r="O149" i="4"/>
  <c r="K149" i="4" s="1"/>
  <c r="L149" i="4" s="1"/>
  <c r="M149" i="4" s="1"/>
  <c r="N149" i="4" s="1"/>
  <c r="S149" i="4" s="1"/>
  <c r="P149" i="4"/>
  <c r="O150" i="4"/>
  <c r="K150" i="4" s="1"/>
  <c r="P150" i="4"/>
  <c r="O151" i="4"/>
  <c r="K151" i="4" s="1"/>
  <c r="V151" i="4" s="1"/>
  <c r="P151" i="4"/>
  <c r="O152" i="4"/>
  <c r="K152" i="4" s="1"/>
  <c r="V152" i="4" s="1"/>
  <c r="P152" i="4"/>
  <c r="O153" i="4"/>
  <c r="P153" i="4"/>
  <c r="O154" i="4"/>
  <c r="K154" i="4" s="1"/>
  <c r="P154" i="4"/>
  <c r="O155" i="4"/>
  <c r="K155" i="4" s="1"/>
  <c r="P155" i="4"/>
  <c r="O156" i="4"/>
  <c r="K156" i="4" s="1"/>
  <c r="P156" i="4"/>
  <c r="O157" i="4"/>
  <c r="K157" i="4" s="1"/>
  <c r="Q157" i="4" s="1"/>
  <c r="P157" i="4"/>
  <c r="O158" i="4"/>
  <c r="K158" i="4" s="1"/>
  <c r="L158" i="4" s="1"/>
  <c r="P158" i="4"/>
  <c r="O159" i="4"/>
  <c r="P159" i="4"/>
  <c r="O160" i="4"/>
  <c r="K160" i="4" s="1"/>
  <c r="P160" i="4"/>
  <c r="O161" i="4"/>
  <c r="K161" i="4" s="1"/>
  <c r="P161" i="4"/>
  <c r="O162" i="4"/>
  <c r="K162" i="4" s="1"/>
  <c r="P162" i="4"/>
  <c r="O163" i="4"/>
  <c r="K163" i="4" s="1"/>
  <c r="V163" i="4" s="1"/>
  <c r="P163" i="4"/>
  <c r="O164" i="4"/>
  <c r="K164" i="4" s="1"/>
  <c r="Q164" i="4" s="1"/>
  <c r="P164" i="4"/>
  <c r="O165" i="4"/>
  <c r="P165" i="4"/>
  <c r="O166" i="4"/>
  <c r="K166" i="4" s="1"/>
  <c r="L166" i="4" s="1"/>
  <c r="P166" i="4"/>
  <c r="O167" i="4"/>
  <c r="K167" i="4" s="1"/>
  <c r="P167" i="4"/>
  <c r="O168" i="4"/>
  <c r="K168" i="4" s="1"/>
  <c r="L168" i="4" s="1"/>
  <c r="M168" i="4" s="1"/>
  <c r="N168" i="4" s="1"/>
  <c r="P168" i="4"/>
  <c r="O169" i="4"/>
  <c r="K169" i="4" s="1"/>
  <c r="L169" i="4" s="1"/>
  <c r="M169" i="4" s="1"/>
  <c r="N169" i="4" s="1"/>
  <c r="S169" i="4" s="1"/>
  <c r="P169" i="4"/>
  <c r="O170" i="4"/>
  <c r="K170" i="4" s="1"/>
  <c r="L170" i="4" s="1"/>
  <c r="P170" i="4"/>
  <c r="O171" i="4"/>
  <c r="K171" i="4" s="1"/>
  <c r="P171" i="4"/>
  <c r="O172" i="4"/>
  <c r="K172" i="4" s="1"/>
  <c r="L172" i="4" s="1"/>
  <c r="M172" i="4" s="1"/>
  <c r="N172" i="4" s="1"/>
  <c r="R172" i="4" s="1"/>
  <c r="P172" i="4"/>
  <c r="O173" i="4"/>
  <c r="K173" i="4" s="1"/>
  <c r="L173" i="4" s="1"/>
  <c r="M173" i="4" s="1"/>
  <c r="N173" i="4" s="1"/>
  <c r="S173" i="4" s="1"/>
  <c r="P173" i="4"/>
  <c r="O174" i="4"/>
  <c r="K174" i="4" s="1"/>
  <c r="P174" i="4"/>
  <c r="O175" i="4"/>
  <c r="K175" i="4" s="1"/>
  <c r="L175" i="4" s="1"/>
  <c r="M175" i="4" s="1"/>
  <c r="N175" i="4" s="1"/>
  <c r="P175" i="4"/>
  <c r="O176" i="4"/>
  <c r="K176" i="4" s="1"/>
  <c r="Q176" i="4" s="1"/>
  <c r="P176" i="4"/>
  <c r="O177" i="4"/>
  <c r="K177" i="4" s="1"/>
  <c r="L177" i="4" s="1"/>
  <c r="M177" i="4" s="1"/>
  <c r="N177" i="4" s="1"/>
  <c r="S177" i="4" s="1"/>
  <c r="P177" i="4"/>
  <c r="O178" i="4"/>
  <c r="K178" i="4" s="1"/>
  <c r="L178" i="4" s="1"/>
  <c r="P178" i="4"/>
  <c r="O179" i="4"/>
  <c r="K179" i="4" s="1"/>
  <c r="Q179" i="4" s="1"/>
  <c r="P179" i="4"/>
  <c r="O180" i="4"/>
  <c r="K180" i="4" s="1"/>
  <c r="P180" i="4"/>
  <c r="O181" i="4"/>
  <c r="K181" i="4" s="1"/>
  <c r="V181" i="4" s="1"/>
  <c r="P181" i="4"/>
  <c r="O182" i="4"/>
  <c r="K182" i="4" s="1"/>
  <c r="L182" i="4" s="1"/>
  <c r="P182" i="4"/>
  <c r="O183" i="4"/>
  <c r="P183" i="4"/>
  <c r="O184" i="4"/>
  <c r="K184" i="4" s="1"/>
  <c r="L184" i="4" s="1"/>
  <c r="P184" i="4"/>
  <c r="O185" i="4"/>
  <c r="K185" i="4" s="1"/>
  <c r="P185" i="4"/>
  <c r="O186" i="4"/>
  <c r="K186" i="4" s="1"/>
  <c r="P186" i="4"/>
  <c r="O187" i="4"/>
  <c r="K187" i="4" s="1"/>
  <c r="V187" i="4" s="1"/>
  <c r="P187" i="4"/>
  <c r="O188" i="4"/>
  <c r="K188" i="4" s="1"/>
  <c r="L188" i="4" s="1"/>
  <c r="M188" i="4" s="1"/>
  <c r="N188" i="4" s="1"/>
  <c r="P188" i="4"/>
  <c r="O189" i="4"/>
  <c r="P189" i="4"/>
  <c r="O190" i="4"/>
  <c r="K190" i="4" s="1"/>
  <c r="Q190" i="4" s="1"/>
  <c r="P190" i="4"/>
  <c r="O191" i="4"/>
  <c r="K191" i="4" s="1"/>
  <c r="P191" i="4"/>
  <c r="O192" i="4"/>
  <c r="K192" i="4" s="1"/>
  <c r="P192" i="4"/>
  <c r="O193" i="4"/>
  <c r="K193" i="4" s="1"/>
  <c r="L193" i="4" s="1"/>
  <c r="M193" i="4" s="1"/>
  <c r="N193" i="4" s="1"/>
  <c r="S193" i="4" s="1"/>
  <c r="P193" i="4"/>
  <c r="O194" i="4"/>
  <c r="K194" i="4" s="1"/>
  <c r="L194" i="4" s="1"/>
  <c r="P194" i="4"/>
  <c r="O195" i="4"/>
  <c r="K195" i="4" s="1"/>
  <c r="P195" i="4"/>
  <c r="O196" i="4"/>
  <c r="K196" i="4" s="1"/>
  <c r="P196" i="4"/>
  <c r="O197" i="4"/>
  <c r="K197" i="4" s="1"/>
  <c r="P197" i="4"/>
  <c r="O198" i="4"/>
  <c r="K198" i="4" s="1"/>
  <c r="P198" i="4"/>
  <c r="O199" i="4"/>
  <c r="K199" i="4" s="1"/>
  <c r="L199" i="4" s="1"/>
  <c r="M199" i="4" s="1"/>
  <c r="N199" i="4" s="1"/>
  <c r="P199" i="4"/>
  <c r="O200" i="4"/>
  <c r="K200" i="4" s="1"/>
  <c r="L200" i="4" s="1"/>
  <c r="M200" i="4" s="1"/>
  <c r="N200" i="4" s="1"/>
  <c r="P200" i="4"/>
  <c r="O201" i="4"/>
  <c r="P201" i="4"/>
  <c r="O202" i="4"/>
  <c r="K202" i="4" s="1"/>
  <c r="P202" i="4"/>
  <c r="O203" i="4"/>
  <c r="K203" i="4" s="1"/>
  <c r="P203" i="4"/>
  <c r="O204" i="4"/>
  <c r="K204" i="4" s="1"/>
  <c r="P204" i="4"/>
  <c r="O205" i="4"/>
  <c r="K205" i="4" s="1"/>
  <c r="L205" i="4" s="1"/>
  <c r="M205" i="4" s="1"/>
  <c r="N205" i="4" s="1"/>
  <c r="S205" i="4" s="1"/>
  <c r="P205" i="4"/>
  <c r="O206" i="4"/>
  <c r="K206" i="4" s="1"/>
  <c r="V206" i="4" s="1"/>
  <c r="P206" i="4"/>
  <c r="O207" i="4"/>
  <c r="P207" i="4"/>
  <c r="O208" i="4"/>
  <c r="K208" i="4" s="1"/>
  <c r="P208" i="4"/>
  <c r="O209" i="4"/>
  <c r="K209" i="4" s="1"/>
  <c r="P209" i="4"/>
  <c r="O210" i="4"/>
  <c r="K210" i="4" s="1"/>
  <c r="P210" i="4"/>
  <c r="O211" i="4"/>
  <c r="K211" i="4" s="1"/>
  <c r="L211" i="4" s="1"/>
  <c r="M211" i="4" s="1"/>
  <c r="N211" i="4" s="1"/>
  <c r="P211" i="4"/>
  <c r="O212" i="4"/>
  <c r="K212" i="4" s="1"/>
  <c r="L212" i="4" s="1"/>
  <c r="M212" i="4" s="1"/>
  <c r="N212" i="4" s="1"/>
  <c r="P212" i="4"/>
  <c r="O213" i="4"/>
  <c r="K213" i="4" s="1"/>
  <c r="P213" i="4"/>
  <c r="O214" i="4"/>
  <c r="K214" i="4" s="1"/>
  <c r="P214" i="4"/>
  <c r="O215" i="4"/>
  <c r="K215" i="4" s="1"/>
  <c r="P215" i="4"/>
  <c r="O216" i="4"/>
  <c r="K216" i="4" s="1"/>
  <c r="P216" i="4"/>
  <c r="O217" i="4"/>
  <c r="K217" i="4" s="1"/>
  <c r="L217" i="4" s="1"/>
  <c r="M217" i="4" s="1"/>
  <c r="N217" i="4" s="1"/>
  <c r="S217" i="4" s="1"/>
  <c r="P217" i="4"/>
  <c r="O218" i="4"/>
  <c r="K218" i="4" s="1"/>
  <c r="L218" i="4" s="1"/>
  <c r="P218" i="4"/>
  <c r="O219" i="4"/>
  <c r="P219" i="4"/>
  <c r="O220" i="4"/>
  <c r="K220" i="4" s="1"/>
  <c r="P220" i="4"/>
  <c r="O221" i="4"/>
  <c r="K221" i="4" s="1"/>
  <c r="P221" i="4"/>
  <c r="O222" i="4"/>
  <c r="K222" i="4" s="1"/>
  <c r="P222" i="4"/>
  <c r="O223" i="4"/>
  <c r="K223" i="4" s="1"/>
  <c r="L223" i="4" s="1"/>
  <c r="M223" i="4" s="1"/>
  <c r="N223" i="4" s="1"/>
  <c r="P223" i="4"/>
  <c r="O224" i="4"/>
  <c r="K224" i="4" s="1"/>
  <c r="L224" i="4" s="1"/>
  <c r="M224" i="4" s="1"/>
  <c r="N224" i="4" s="1"/>
  <c r="P224" i="4"/>
  <c r="O225" i="4"/>
  <c r="P225" i="4"/>
  <c r="O226" i="4"/>
  <c r="K226" i="4" s="1"/>
  <c r="P226" i="4"/>
  <c r="O227" i="4"/>
  <c r="K227" i="4" s="1"/>
  <c r="P227" i="4"/>
  <c r="O228" i="4"/>
  <c r="K228" i="4" s="1"/>
  <c r="P228" i="4"/>
  <c r="O229" i="4"/>
  <c r="K229" i="4" s="1"/>
  <c r="L229" i="4" s="1"/>
  <c r="M229" i="4" s="1"/>
  <c r="N229" i="4" s="1"/>
  <c r="S229" i="4" s="1"/>
  <c r="P229" i="4"/>
  <c r="O230" i="4"/>
  <c r="K230" i="4" s="1"/>
  <c r="P230" i="4"/>
  <c r="O231" i="4"/>
  <c r="P231" i="4"/>
  <c r="O232" i="4"/>
  <c r="K232" i="4" s="1"/>
  <c r="P232" i="4"/>
  <c r="O233" i="4"/>
  <c r="K233" i="4" s="1"/>
  <c r="P233" i="4"/>
  <c r="O234" i="4"/>
  <c r="K234" i="4" s="1"/>
  <c r="P234" i="4"/>
  <c r="O235" i="4"/>
  <c r="K235" i="4" s="1"/>
  <c r="L235" i="4" s="1"/>
  <c r="M235" i="4" s="1"/>
  <c r="N235" i="4" s="1"/>
  <c r="P235" i="4"/>
  <c r="O236" i="4"/>
  <c r="K236" i="4" s="1"/>
  <c r="L236" i="4" s="1"/>
  <c r="M236" i="4" s="1"/>
  <c r="N236" i="4" s="1"/>
  <c r="P236" i="4"/>
  <c r="O237" i="4"/>
  <c r="P237" i="4"/>
  <c r="O238" i="4"/>
  <c r="K238" i="4" s="1"/>
  <c r="P238" i="4"/>
  <c r="O239" i="4"/>
  <c r="K239" i="4" s="1"/>
  <c r="P239" i="4"/>
  <c r="O240" i="4"/>
  <c r="K240" i="4" s="1"/>
  <c r="P240" i="4"/>
  <c r="O241" i="4"/>
  <c r="K241" i="4" s="1"/>
  <c r="L241" i="4" s="1"/>
  <c r="M241" i="4" s="1"/>
  <c r="N241" i="4" s="1"/>
  <c r="P241" i="4"/>
  <c r="O242" i="4"/>
  <c r="K242" i="4" s="1"/>
  <c r="Q242" i="4" s="1"/>
  <c r="P242" i="4"/>
  <c r="O243" i="4"/>
  <c r="P243" i="4"/>
  <c r="O244" i="4"/>
  <c r="K244" i="4" s="1"/>
  <c r="P244" i="4"/>
  <c r="O245" i="4"/>
  <c r="K245" i="4" s="1"/>
  <c r="P245" i="4"/>
  <c r="O246" i="4"/>
  <c r="K246" i="4" s="1"/>
  <c r="P246" i="4"/>
  <c r="O247" i="4"/>
  <c r="K247" i="4" s="1"/>
  <c r="L247" i="4" s="1"/>
  <c r="M247" i="4" s="1"/>
  <c r="N247" i="4" s="1"/>
  <c r="P247" i="4"/>
  <c r="O248" i="4"/>
  <c r="K248" i="4" s="1"/>
  <c r="L248" i="4" s="1"/>
  <c r="M248" i="4" s="1"/>
  <c r="N248" i="4" s="1"/>
  <c r="P248" i="4"/>
  <c r="O249" i="4"/>
  <c r="P249" i="4"/>
  <c r="O250" i="4"/>
  <c r="K250" i="4" s="1"/>
  <c r="P250" i="4"/>
  <c r="O251" i="4"/>
  <c r="K251" i="4" s="1"/>
  <c r="P251" i="4"/>
  <c r="O252" i="4"/>
  <c r="K252" i="4" s="1"/>
  <c r="P252" i="4"/>
  <c r="O253" i="4"/>
  <c r="K253" i="4" s="1"/>
  <c r="L253" i="4" s="1"/>
  <c r="M253" i="4" s="1"/>
  <c r="N253" i="4" s="1"/>
  <c r="P253" i="4"/>
  <c r="O254" i="4"/>
  <c r="K254" i="4" s="1"/>
  <c r="L254" i="4" s="1"/>
  <c r="P254" i="4"/>
  <c r="O255" i="4"/>
  <c r="P255" i="4"/>
  <c r="O256" i="4"/>
  <c r="K256" i="4" s="1"/>
  <c r="P256" i="4"/>
  <c r="O257" i="4"/>
  <c r="K257" i="4" s="1"/>
  <c r="P257" i="4"/>
  <c r="O258" i="4"/>
  <c r="K258" i="4" s="1"/>
  <c r="P258" i="4"/>
  <c r="O259" i="4"/>
  <c r="K259" i="4" s="1"/>
  <c r="L259" i="4" s="1"/>
  <c r="M259" i="4" s="1"/>
  <c r="N259" i="4" s="1"/>
  <c r="R259" i="4" s="1"/>
  <c r="P259" i="4"/>
  <c r="O260" i="4"/>
  <c r="K260" i="4" s="1"/>
  <c r="V260" i="4" s="1"/>
  <c r="P260" i="4"/>
  <c r="O261" i="4"/>
  <c r="P261" i="4"/>
  <c r="O262" i="4"/>
  <c r="K262" i="4" s="1"/>
  <c r="P262" i="4"/>
  <c r="O263" i="4"/>
  <c r="K263" i="4" s="1"/>
  <c r="P263" i="4"/>
  <c r="O264" i="4"/>
  <c r="K264" i="4" s="1"/>
  <c r="P264" i="4"/>
  <c r="P3" i="4"/>
  <c r="O3" i="4"/>
  <c r="K3" i="4" s="1"/>
  <c r="L3" i="4" s="1"/>
  <c r="M3" i="4" s="1"/>
  <c r="N3" i="4" s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C4" i="4"/>
  <c r="D4" i="4"/>
  <c r="E4" i="4"/>
  <c r="F4" i="4"/>
  <c r="G4" i="4"/>
  <c r="H4" i="4"/>
  <c r="V4" i="4"/>
  <c r="C5" i="4"/>
  <c r="D5" i="4"/>
  <c r="E5" i="4"/>
  <c r="F5" i="4"/>
  <c r="G5" i="4"/>
  <c r="H5" i="4"/>
  <c r="V5" i="4"/>
  <c r="C6" i="4"/>
  <c r="D6" i="4"/>
  <c r="E6" i="4"/>
  <c r="F6" i="4"/>
  <c r="G6" i="4"/>
  <c r="H6" i="4"/>
  <c r="V6" i="4"/>
  <c r="C7" i="4"/>
  <c r="D7" i="4"/>
  <c r="E7" i="4"/>
  <c r="F7" i="4"/>
  <c r="G7" i="4"/>
  <c r="H7" i="4"/>
  <c r="C8" i="4"/>
  <c r="D8" i="4"/>
  <c r="E8" i="4"/>
  <c r="F8" i="4"/>
  <c r="G8" i="4"/>
  <c r="H8" i="4"/>
  <c r="C9" i="4"/>
  <c r="D9" i="4"/>
  <c r="E9" i="4"/>
  <c r="F9" i="4"/>
  <c r="G9" i="4"/>
  <c r="H9" i="4"/>
  <c r="C10" i="4"/>
  <c r="D10" i="4"/>
  <c r="E10" i="4"/>
  <c r="F10" i="4"/>
  <c r="G10" i="4"/>
  <c r="H10" i="4"/>
  <c r="V10" i="4"/>
  <c r="C11" i="4"/>
  <c r="D11" i="4"/>
  <c r="E11" i="4"/>
  <c r="F11" i="4"/>
  <c r="G11" i="4"/>
  <c r="H11" i="4"/>
  <c r="V11" i="4"/>
  <c r="C12" i="4"/>
  <c r="D12" i="4"/>
  <c r="E12" i="4"/>
  <c r="F12" i="4"/>
  <c r="G12" i="4"/>
  <c r="H12" i="4"/>
  <c r="V12" i="4"/>
  <c r="C13" i="4"/>
  <c r="D13" i="4"/>
  <c r="E13" i="4"/>
  <c r="F13" i="4"/>
  <c r="G13" i="4"/>
  <c r="H13" i="4"/>
  <c r="C14" i="4"/>
  <c r="D14" i="4"/>
  <c r="E14" i="4"/>
  <c r="F14" i="4"/>
  <c r="G14" i="4"/>
  <c r="H14" i="4"/>
  <c r="C15" i="4"/>
  <c r="D15" i="4"/>
  <c r="E15" i="4"/>
  <c r="F15" i="4"/>
  <c r="G15" i="4"/>
  <c r="H15" i="4"/>
  <c r="C16" i="4"/>
  <c r="D16" i="4"/>
  <c r="E16" i="4"/>
  <c r="F16" i="4"/>
  <c r="G16" i="4"/>
  <c r="H16" i="4"/>
  <c r="V16" i="4"/>
  <c r="C17" i="4"/>
  <c r="D17" i="4"/>
  <c r="E17" i="4"/>
  <c r="F17" i="4"/>
  <c r="G17" i="4"/>
  <c r="H17" i="4"/>
  <c r="V17" i="4"/>
  <c r="C18" i="4"/>
  <c r="D18" i="4"/>
  <c r="E18" i="4"/>
  <c r="F18" i="4"/>
  <c r="G18" i="4"/>
  <c r="H18" i="4"/>
  <c r="V18" i="4"/>
  <c r="C19" i="4"/>
  <c r="D19" i="4"/>
  <c r="E19" i="4"/>
  <c r="F19" i="4"/>
  <c r="G19" i="4"/>
  <c r="H19" i="4"/>
  <c r="C20" i="4"/>
  <c r="D20" i="4"/>
  <c r="E20" i="4"/>
  <c r="F20" i="4"/>
  <c r="G20" i="4"/>
  <c r="H20" i="4"/>
  <c r="C21" i="4"/>
  <c r="D21" i="4"/>
  <c r="E21" i="4"/>
  <c r="F21" i="4"/>
  <c r="G21" i="4"/>
  <c r="H21" i="4"/>
  <c r="V21" i="4"/>
  <c r="C22" i="4"/>
  <c r="D22" i="4"/>
  <c r="E22" i="4"/>
  <c r="F22" i="4"/>
  <c r="G22" i="4"/>
  <c r="H22" i="4"/>
  <c r="V22" i="4"/>
  <c r="C23" i="4"/>
  <c r="D23" i="4"/>
  <c r="E23" i="4"/>
  <c r="F23" i="4"/>
  <c r="G23" i="4"/>
  <c r="H23" i="4"/>
  <c r="V23" i="4"/>
  <c r="C24" i="4"/>
  <c r="D24" i="4"/>
  <c r="E24" i="4"/>
  <c r="F24" i="4"/>
  <c r="G24" i="4"/>
  <c r="H24" i="4"/>
  <c r="V24" i="4"/>
  <c r="C25" i="4"/>
  <c r="D25" i="4"/>
  <c r="E25" i="4"/>
  <c r="F25" i="4"/>
  <c r="G25" i="4"/>
  <c r="H25" i="4"/>
  <c r="C26" i="4"/>
  <c r="D26" i="4"/>
  <c r="E26" i="4"/>
  <c r="F26" i="4"/>
  <c r="G26" i="4"/>
  <c r="H26" i="4"/>
  <c r="C27" i="4"/>
  <c r="D27" i="4"/>
  <c r="E27" i="4"/>
  <c r="F27" i="4"/>
  <c r="G27" i="4"/>
  <c r="H27" i="4"/>
  <c r="C28" i="4"/>
  <c r="D28" i="4"/>
  <c r="E28" i="4"/>
  <c r="F28" i="4"/>
  <c r="G28" i="4"/>
  <c r="H28" i="4"/>
  <c r="V28" i="4"/>
  <c r="C29" i="4"/>
  <c r="D29" i="4"/>
  <c r="E29" i="4"/>
  <c r="F29" i="4"/>
  <c r="G29" i="4"/>
  <c r="H29" i="4"/>
  <c r="V29" i="4"/>
  <c r="C30" i="4"/>
  <c r="D30" i="4"/>
  <c r="E30" i="4"/>
  <c r="F30" i="4"/>
  <c r="G30" i="4"/>
  <c r="H30" i="4"/>
  <c r="V30" i="4"/>
  <c r="C31" i="4"/>
  <c r="D31" i="4"/>
  <c r="E31" i="4"/>
  <c r="F31" i="4"/>
  <c r="G31" i="4"/>
  <c r="H31" i="4"/>
  <c r="C32" i="4"/>
  <c r="D32" i="4"/>
  <c r="E32" i="4"/>
  <c r="F32" i="4"/>
  <c r="G32" i="4"/>
  <c r="H32" i="4"/>
  <c r="C33" i="4"/>
  <c r="D33" i="4"/>
  <c r="E33" i="4"/>
  <c r="F33" i="4"/>
  <c r="G33" i="4"/>
  <c r="H33" i="4"/>
  <c r="C34" i="4"/>
  <c r="D34" i="4"/>
  <c r="E34" i="4"/>
  <c r="F34" i="4"/>
  <c r="G34" i="4"/>
  <c r="H34" i="4"/>
  <c r="V34" i="4"/>
  <c r="C35" i="4"/>
  <c r="D35" i="4"/>
  <c r="E35" i="4"/>
  <c r="F35" i="4"/>
  <c r="G35" i="4"/>
  <c r="H35" i="4"/>
  <c r="V35" i="4"/>
  <c r="C36" i="4"/>
  <c r="D36" i="4"/>
  <c r="E36" i="4"/>
  <c r="F36" i="4"/>
  <c r="G36" i="4"/>
  <c r="H36" i="4"/>
  <c r="V36" i="4"/>
  <c r="C37" i="4"/>
  <c r="D37" i="4"/>
  <c r="E37" i="4"/>
  <c r="F37" i="4"/>
  <c r="G37" i="4"/>
  <c r="H37" i="4"/>
  <c r="C38" i="4"/>
  <c r="D38" i="4"/>
  <c r="E38" i="4"/>
  <c r="F38" i="4"/>
  <c r="G38" i="4"/>
  <c r="H38" i="4"/>
  <c r="C39" i="4"/>
  <c r="D39" i="4"/>
  <c r="E39" i="4"/>
  <c r="F39" i="4"/>
  <c r="G39" i="4"/>
  <c r="H39" i="4"/>
  <c r="V39" i="4"/>
  <c r="C40" i="4"/>
  <c r="D40" i="4"/>
  <c r="E40" i="4"/>
  <c r="F40" i="4"/>
  <c r="G40" i="4"/>
  <c r="H40" i="4"/>
  <c r="V40" i="4"/>
  <c r="C41" i="4"/>
  <c r="D41" i="4"/>
  <c r="E41" i="4"/>
  <c r="F41" i="4"/>
  <c r="G41" i="4"/>
  <c r="H41" i="4"/>
  <c r="V41" i="4"/>
  <c r="C42" i="4"/>
  <c r="D42" i="4"/>
  <c r="E42" i="4"/>
  <c r="F42" i="4"/>
  <c r="G42" i="4"/>
  <c r="H42" i="4"/>
  <c r="V42" i="4"/>
  <c r="C43" i="4"/>
  <c r="D43" i="4"/>
  <c r="E43" i="4"/>
  <c r="F43" i="4"/>
  <c r="G43" i="4"/>
  <c r="H43" i="4"/>
  <c r="V43" i="4"/>
  <c r="C44" i="4"/>
  <c r="D44" i="4"/>
  <c r="E44" i="4"/>
  <c r="F44" i="4"/>
  <c r="G44" i="4"/>
  <c r="H44" i="4"/>
  <c r="C45" i="4"/>
  <c r="D45" i="4"/>
  <c r="E45" i="4"/>
  <c r="F45" i="4"/>
  <c r="G45" i="4"/>
  <c r="H45" i="4"/>
  <c r="C46" i="4"/>
  <c r="D46" i="4"/>
  <c r="E46" i="4"/>
  <c r="F46" i="4"/>
  <c r="G46" i="4"/>
  <c r="H46" i="4"/>
  <c r="V46" i="4"/>
  <c r="C47" i="4"/>
  <c r="D47" i="4"/>
  <c r="E47" i="4"/>
  <c r="F47" i="4"/>
  <c r="G47" i="4"/>
  <c r="H47" i="4"/>
  <c r="V47" i="4"/>
  <c r="C48" i="4"/>
  <c r="D48" i="4"/>
  <c r="E48" i="4"/>
  <c r="F48" i="4"/>
  <c r="G48" i="4"/>
  <c r="H48" i="4"/>
  <c r="V48" i="4"/>
  <c r="C49" i="4"/>
  <c r="D49" i="4"/>
  <c r="E49" i="4"/>
  <c r="F49" i="4"/>
  <c r="G49" i="4"/>
  <c r="H49" i="4"/>
  <c r="C50" i="4"/>
  <c r="D50" i="4"/>
  <c r="E50" i="4"/>
  <c r="F50" i="4"/>
  <c r="G50" i="4"/>
  <c r="H50" i="4"/>
  <c r="C51" i="4"/>
  <c r="D51" i="4"/>
  <c r="E51" i="4"/>
  <c r="F51" i="4"/>
  <c r="G51" i="4"/>
  <c r="H51" i="4"/>
  <c r="C52" i="4"/>
  <c r="D52" i="4"/>
  <c r="E52" i="4"/>
  <c r="F52" i="4"/>
  <c r="G52" i="4"/>
  <c r="H52" i="4"/>
  <c r="V52" i="4"/>
  <c r="C53" i="4"/>
  <c r="D53" i="4"/>
  <c r="E53" i="4"/>
  <c r="F53" i="4"/>
  <c r="G53" i="4"/>
  <c r="H53" i="4"/>
  <c r="V53" i="4"/>
  <c r="C54" i="4"/>
  <c r="D54" i="4"/>
  <c r="E54" i="4"/>
  <c r="F54" i="4"/>
  <c r="G54" i="4"/>
  <c r="H54" i="4"/>
  <c r="V54" i="4"/>
  <c r="C55" i="4"/>
  <c r="D55" i="4"/>
  <c r="E55" i="4"/>
  <c r="F55" i="4"/>
  <c r="G55" i="4"/>
  <c r="H55" i="4"/>
  <c r="V55" i="4"/>
  <c r="C56" i="4"/>
  <c r="D56" i="4"/>
  <c r="E56" i="4"/>
  <c r="F56" i="4"/>
  <c r="G56" i="4"/>
  <c r="H56" i="4"/>
  <c r="C57" i="4"/>
  <c r="D57" i="4"/>
  <c r="E57" i="4"/>
  <c r="F57" i="4"/>
  <c r="G57" i="4"/>
  <c r="H57" i="4"/>
  <c r="C58" i="4"/>
  <c r="D58" i="4"/>
  <c r="E58" i="4"/>
  <c r="F58" i="4"/>
  <c r="G58" i="4"/>
  <c r="H58" i="4"/>
  <c r="V58" i="4"/>
  <c r="C59" i="4"/>
  <c r="D59" i="4"/>
  <c r="E59" i="4"/>
  <c r="F59" i="4"/>
  <c r="G59" i="4"/>
  <c r="H59" i="4"/>
  <c r="V59" i="4"/>
  <c r="C60" i="4"/>
  <c r="D60" i="4"/>
  <c r="E60" i="4"/>
  <c r="F60" i="4"/>
  <c r="G60" i="4"/>
  <c r="H60" i="4"/>
  <c r="V60" i="4"/>
  <c r="C61" i="4"/>
  <c r="D61" i="4"/>
  <c r="E61" i="4"/>
  <c r="F61" i="4"/>
  <c r="G61" i="4"/>
  <c r="H61" i="4"/>
  <c r="C62" i="4"/>
  <c r="D62" i="4"/>
  <c r="E62" i="4"/>
  <c r="F62" i="4"/>
  <c r="G62" i="4"/>
  <c r="H62" i="4"/>
  <c r="C63" i="4"/>
  <c r="D63" i="4"/>
  <c r="E63" i="4"/>
  <c r="F63" i="4"/>
  <c r="G63" i="4"/>
  <c r="H63" i="4"/>
  <c r="C64" i="4"/>
  <c r="D64" i="4"/>
  <c r="E64" i="4"/>
  <c r="F64" i="4"/>
  <c r="G64" i="4"/>
  <c r="H64" i="4"/>
  <c r="V64" i="4"/>
  <c r="C65" i="4"/>
  <c r="D65" i="4"/>
  <c r="E65" i="4"/>
  <c r="F65" i="4"/>
  <c r="G65" i="4"/>
  <c r="H65" i="4"/>
  <c r="V65" i="4"/>
  <c r="C66" i="4"/>
  <c r="D66" i="4"/>
  <c r="E66" i="4"/>
  <c r="F66" i="4"/>
  <c r="G66" i="4"/>
  <c r="H66" i="4"/>
  <c r="V66" i="4"/>
  <c r="C67" i="4"/>
  <c r="D67" i="4"/>
  <c r="E67" i="4"/>
  <c r="F67" i="4"/>
  <c r="G67" i="4"/>
  <c r="H67" i="4"/>
  <c r="C68" i="4"/>
  <c r="D68" i="4"/>
  <c r="E68" i="4"/>
  <c r="F68" i="4"/>
  <c r="G68" i="4"/>
  <c r="H68" i="4"/>
  <c r="C69" i="4"/>
  <c r="D69" i="4"/>
  <c r="E69" i="4"/>
  <c r="F69" i="4"/>
  <c r="G69" i="4"/>
  <c r="H69" i="4"/>
  <c r="C70" i="4"/>
  <c r="D70" i="4"/>
  <c r="E70" i="4"/>
  <c r="F70" i="4"/>
  <c r="G70" i="4"/>
  <c r="H70" i="4"/>
  <c r="Q70" i="4"/>
  <c r="V70" i="4"/>
  <c r="C71" i="4"/>
  <c r="D71" i="4"/>
  <c r="E71" i="4"/>
  <c r="F71" i="4"/>
  <c r="G71" i="4"/>
  <c r="H71" i="4"/>
  <c r="V71" i="4"/>
  <c r="C72" i="4"/>
  <c r="D72" i="4"/>
  <c r="E72" i="4"/>
  <c r="F72" i="4"/>
  <c r="G72" i="4"/>
  <c r="H72" i="4"/>
  <c r="V72" i="4"/>
  <c r="C73" i="4"/>
  <c r="D73" i="4"/>
  <c r="E73" i="4"/>
  <c r="F73" i="4"/>
  <c r="G73" i="4"/>
  <c r="H73" i="4"/>
  <c r="C74" i="4"/>
  <c r="D74" i="4"/>
  <c r="E74" i="4"/>
  <c r="F74" i="4"/>
  <c r="G74" i="4"/>
  <c r="H74" i="4"/>
  <c r="C75" i="4"/>
  <c r="D75" i="4"/>
  <c r="E75" i="4"/>
  <c r="F75" i="4"/>
  <c r="G75" i="4"/>
  <c r="H75" i="4"/>
  <c r="C76" i="4"/>
  <c r="D76" i="4"/>
  <c r="E76" i="4"/>
  <c r="F76" i="4"/>
  <c r="G76" i="4"/>
  <c r="H76" i="4"/>
  <c r="V76" i="4"/>
  <c r="C77" i="4"/>
  <c r="D77" i="4"/>
  <c r="E77" i="4"/>
  <c r="F77" i="4"/>
  <c r="G77" i="4"/>
  <c r="H77" i="4"/>
  <c r="L77" i="4"/>
  <c r="M77" i="4" s="1"/>
  <c r="N77" i="4" s="1"/>
  <c r="V77" i="4"/>
  <c r="C78" i="4"/>
  <c r="D78" i="4"/>
  <c r="E78" i="4"/>
  <c r="F78" i="4"/>
  <c r="G78" i="4"/>
  <c r="H78" i="4"/>
  <c r="V78" i="4"/>
  <c r="C79" i="4"/>
  <c r="D79" i="4"/>
  <c r="E79" i="4"/>
  <c r="F79" i="4"/>
  <c r="G79" i="4"/>
  <c r="H79" i="4"/>
  <c r="C80" i="4"/>
  <c r="D80" i="4"/>
  <c r="E80" i="4"/>
  <c r="F80" i="4"/>
  <c r="G80" i="4"/>
  <c r="H80" i="4"/>
  <c r="V80" i="4"/>
  <c r="C81" i="4"/>
  <c r="D81" i="4"/>
  <c r="E81" i="4"/>
  <c r="F81" i="4"/>
  <c r="G81" i="4"/>
  <c r="H81" i="4"/>
  <c r="C82" i="4"/>
  <c r="D82" i="4"/>
  <c r="E82" i="4"/>
  <c r="F82" i="4"/>
  <c r="G82" i="4"/>
  <c r="H82" i="4"/>
  <c r="V82" i="4"/>
  <c r="C83" i="4"/>
  <c r="D83" i="4"/>
  <c r="E83" i="4"/>
  <c r="F83" i="4"/>
  <c r="G83" i="4"/>
  <c r="H83" i="4"/>
  <c r="V83" i="4"/>
  <c r="C84" i="4"/>
  <c r="D84" i="4"/>
  <c r="E84" i="4"/>
  <c r="F84" i="4"/>
  <c r="G84" i="4"/>
  <c r="H84" i="4"/>
  <c r="V84" i="4"/>
  <c r="C85" i="4"/>
  <c r="D85" i="4"/>
  <c r="E85" i="4"/>
  <c r="F85" i="4"/>
  <c r="G85" i="4"/>
  <c r="H85" i="4"/>
  <c r="C86" i="4"/>
  <c r="D86" i="4"/>
  <c r="E86" i="4"/>
  <c r="F86" i="4"/>
  <c r="G86" i="4"/>
  <c r="H86" i="4"/>
  <c r="C87" i="4"/>
  <c r="D87" i="4"/>
  <c r="E87" i="4"/>
  <c r="F87" i="4"/>
  <c r="G87" i="4"/>
  <c r="H87" i="4"/>
  <c r="C88" i="4"/>
  <c r="D88" i="4"/>
  <c r="E88" i="4"/>
  <c r="F88" i="4"/>
  <c r="G88" i="4"/>
  <c r="H88" i="4"/>
  <c r="V88" i="4"/>
  <c r="C89" i="4"/>
  <c r="D89" i="4"/>
  <c r="E89" i="4"/>
  <c r="F89" i="4"/>
  <c r="G89" i="4"/>
  <c r="H89" i="4"/>
  <c r="Q89" i="4"/>
  <c r="V89" i="4"/>
  <c r="C90" i="4"/>
  <c r="D90" i="4"/>
  <c r="E90" i="4"/>
  <c r="F90" i="4"/>
  <c r="G90" i="4"/>
  <c r="H90" i="4"/>
  <c r="V90" i="4"/>
  <c r="C91" i="4"/>
  <c r="D91" i="4"/>
  <c r="E91" i="4"/>
  <c r="F91" i="4"/>
  <c r="G91" i="4"/>
  <c r="H91" i="4"/>
  <c r="C92" i="4"/>
  <c r="D92" i="4"/>
  <c r="E92" i="4"/>
  <c r="F92" i="4"/>
  <c r="G92" i="4"/>
  <c r="H92" i="4"/>
  <c r="C93" i="4"/>
  <c r="D93" i="4"/>
  <c r="E93" i="4"/>
  <c r="F93" i="4"/>
  <c r="G93" i="4"/>
  <c r="H93" i="4"/>
  <c r="C94" i="4"/>
  <c r="D94" i="4"/>
  <c r="E94" i="4"/>
  <c r="F94" i="4"/>
  <c r="G94" i="4"/>
  <c r="H94" i="4"/>
  <c r="V94" i="4"/>
  <c r="C95" i="4"/>
  <c r="D95" i="4"/>
  <c r="E95" i="4"/>
  <c r="F95" i="4"/>
  <c r="G95" i="4"/>
  <c r="H95" i="4"/>
  <c r="V95" i="4"/>
  <c r="C96" i="4"/>
  <c r="D96" i="4"/>
  <c r="E96" i="4"/>
  <c r="F96" i="4"/>
  <c r="G96" i="4"/>
  <c r="H96" i="4"/>
  <c r="V96" i="4"/>
  <c r="C97" i="4"/>
  <c r="D97" i="4"/>
  <c r="E97" i="4"/>
  <c r="F97" i="4"/>
  <c r="G97" i="4"/>
  <c r="H97" i="4"/>
  <c r="C98" i="4"/>
  <c r="D98" i="4"/>
  <c r="E98" i="4"/>
  <c r="F98" i="4"/>
  <c r="G98" i="4"/>
  <c r="H98" i="4"/>
  <c r="C99" i="4"/>
  <c r="D99" i="4"/>
  <c r="E99" i="4"/>
  <c r="F99" i="4"/>
  <c r="G99" i="4"/>
  <c r="H99" i="4"/>
  <c r="C100" i="4"/>
  <c r="D100" i="4"/>
  <c r="E100" i="4"/>
  <c r="F100" i="4"/>
  <c r="G100" i="4"/>
  <c r="H100" i="4"/>
  <c r="Q100" i="4"/>
  <c r="V100" i="4"/>
  <c r="C101" i="4"/>
  <c r="D101" i="4"/>
  <c r="E101" i="4"/>
  <c r="F101" i="4"/>
  <c r="G101" i="4"/>
  <c r="H101" i="4"/>
  <c r="V101" i="4"/>
  <c r="C102" i="4"/>
  <c r="D102" i="4"/>
  <c r="E102" i="4"/>
  <c r="F102" i="4"/>
  <c r="G102" i="4"/>
  <c r="H102" i="4"/>
  <c r="V102" i="4"/>
  <c r="C103" i="4"/>
  <c r="D103" i="4"/>
  <c r="E103" i="4"/>
  <c r="F103" i="4"/>
  <c r="G103" i="4"/>
  <c r="H103" i="4"/>
  <c r="V103" i="4"/>
  <c r="C104" i="4"/>
  <c r="D104" i="4"/>
  <c r="E104" i="4"/>
  <c r="F104" i="4"/>
  <c r="G104" i="4"/>
  <c r="H104" i="4"/>
  <c r="C105" i="4"/>
  <c r="D105" i="4"/>
  <c r="E105" i="4"/>
  <c r="F105" i="4"/>
  <c r="G105" i="4"/>
  <c r="H105" i="4"/>
  <c r="C106" i="4"/>
  <c r="D106" i="4"/>
  <c r="E106" i="4"/>
  <c r="F106" i="4"/>
  <c r="G106" i="4"/>
  <c r="H106" i="4"/>
  <c r="V106" i="4"/>
  <c r="C107" i="4"/>
  <c r="D107" i="4"/>
  <c r="E107" i="4"/>
  <c r="F107" i="4"/>
  <c r="G107" i="4"/>
  <c r="H107" i="4"/>
  <c r="V107" i="4"/>
  <c r="C108" i="4"/>
  <c r="D108" i="4"/>
  <c r="E108" i="4"/>
  <c r="F108" i="4"/>
  <c r="G108" i="4"/>
  <c r="H108" i="4"/>
  <c r="Q108" i="4"/>
  <c r="V108" i="4"/>
  <c r="C109" i="4"/>
  <c r="D109" i="4"/>
  <c r="E109" i="4"/>
  <c r="F109" i="4"/>
  <c r="G109" i="4"/>
  <c r="H109" i="4"/>
  <c r="C110" i="4"/>
  <c r="D110" i="4"/>
  <c r="E110" i="4"/>
  <c r="F110" i="4"/>
  <c r="G110" i="4"/>
  <c r="H110" i="4"/>
  <c r="C111" i="4"/>
  <c r="D111" i="4"/>
  <c r="E111" i="4"/>
  <c r="F111" i="4"/>
  <c r="G111" i="4"/>
  <c r="H111" i="4"/>
  <c r="C112" i="4"/>
  <c r="D112" i="4"/>
  <c r="E112" i="4"/>
  <c r="F112" i="4"/>
  <c r="G112" i="4"/>
  <c r="H112" i="4"/>
  <c r="V112" i="4"/>
  <c r="C113" i="4"/>
  <c r="D113" i="4"/>
  <c r="E113" i="4"/>
  <c r="F113" i="4"/>
  <c r="G113" i="4"/>
  <c r="H113" i="4"/>
  <c r="V113" i="4"/>
  <c r="C114" i="4"/>
  <c r="D114" i="4"/>
  <c r="E114" i="4"/>
  <c r="F114" i="4"/>
  <c r="G114" i="4"/>
  <c r="H114" i="4"/>
  <c r="V114" i="4"/>
  <c r="C115" i="4"/>
  <c r="D115" i="4"/>
  <c r="E115" i="4"/>
  <c r="F115" i="4"/>
  <c r="G115" i="4"/>
  <c r="H115" i="4"/>
  <c r="C116" i="4"/>
  <c r="D116" i="4"/>
  <c r="E116" i="4"/>
  <c r="F116" i="4"/>
  <c r="G116" i="4"/>
  <c r="H116" i="4"/>
  <c r="C117" i="4"/>
  <c r="D117" i="4"/>
  <c r="E117" i="4"/>
  <c r="F117" i="4"/>
  <c r="G117" i="4"/>
  <c r="H117" i="4"/>
  <c r="C118" i="4"/>
  <c r="D118" i="4"/>
  <c r="E118" i="4"/>
  <c r="F118" i="4"/>
  <c r="G118" i="4"/>
  <c r="H118" i="4"/>
  <c r="V118" i="4"/>
  <c r="C119" i="4"/>
  <c r="D119" i="4"/>
  <c r="E119" i="4"/>
  <c r="F119" i="4"/>
  <c r="G119" i="4"/>
  <c r="H119" i="4"/>
  <c r="L119" i="4"/>
  <c r="V119" i="4"/>
  <c r="C120" i="4"/>
  <c r="D120" i="4"/>
  <c r="E120" i="4"/>
  <c r="F120" i="4"/>
  <c r="G120" i="4"/>
  <c r="H120" i="4"/>
  <c r="Q120" i="4"/>
  <c r="V120" i="4"/>
  <c r="C121" i="4"/>
  <c r="D121" i="4"/>
  <c r="E121" i="4"/>
  <c r="F121" i="4"/>
  <c r="G121" i="4"/>
  <c r="H121" i="4"/>
  <c r="C122" i="4"/>
  <c r="D122" i="4"/>
  <c r="E122" i="4"/>
  <c r="F122" i="4"/>
  <c r="G122" i="4"/>
  <c r="H122" i="4"/>
  <c r="C123" i="4"/>
  <c r="D123" i="4"/>
  <c r="E123" i="4"/>
  <c r="F123" i="4"/>
  <c r="G123" i="4"/>
  <c r="H123" i="4"/>
  <c r="C124" i="4"/>
  <c r="D124" i="4"/>
  <c r="E124" i="4"/>
  <c r="F124" i="4"/>
  <c r="G124" i="4"/>
  <c r="H124" i="4"/>
  <c r="V124" i="4"/>
  <c r="C125" i="4"/>
  <c r="D125" i="4"/>
  <c r="E125" i="4"/>
  <c r="F125" i="4"/>
  <c r="G125" i="4"/>
  <c r="H125" i="4"/>
  <c r="V125" i="4"/>
  <c r="C126" i="4"/>
  <c r="D126" i="4"/>
  <c r="E126" i="4"/>
  <c r="F126" i="4"/>
  <c r="G126" i="4"/>
  <c r="H126" i="4"/>
  <c r="V126" i="4"/>
  <c r="C127" i="4"/>
  <c r="D127" i="4"/>
  <c r="E127" i="4"/>
  <c r="F127" i="4"/>
  <c r="G127" i="4"/>
  <c r="H127" i="4"/>
  <c r="C128" i="4"/>
  <c r="D128" i="4"/>
  <c r="E128" i="4"/>
  <c r="F128" i="4"/>
  <c r="G128" i="4"/>
  <c r="H128" i="4"/>
  <c r="C129" i="4"/>
  <c r="D129" i="4"/>
  <c r="E129" i="4"/>
  <c r="F129" i="4"/>
  <c r="G129" i="4"/>
  <c r="H129" i="4"/>
  <c r="C130" i="4"/>
  <c r="D130" i="4"/>
  <c r="E130" i="4"/>
  <c r="F130" i="4"/>
  <c r="G130" i="4"/>
  <c r="H130" i="4"/>
  <c r="V130" i="4"/>
  <c r="C131" i="4"/>
  <c r="D131" i="4"/>
  <c r="E131" i="4"/>
  <c r="F131" i="4"/>
  <c r="G131" i="4"/>
  <c r="H131" i="4"/>
  <c r="V131" i="4"/>
  <c r="C132" i="4"/>
  <c r="D132" i="4"/>
  <c r="E132" i="4"/>
  <c r="F132" i="4"/>
  <c r="G132" i="4"/>
  <c r="H132" i="4"/>
  <c r="L132" i="4"/>
  <c r="V132" i="4"/>
  <c r="C133" i="4"/>
  <c r="D133" i="4"/>
  <c r="E133" i="4"/>
  <c r="F133" i="4"/>
  <c r="G133" i="4"/>
  <c r="H133" i="4"/>
  <c r="C134" i="4"/>
  <c r="D134" i="4"/>
  <c r="E134" i="4"/>
  <c r="F134" i="4"/>
  <c r="G134" i="4"/>
  <c r="H134" i="4"/>
  <c r="C135" i="4"/>
  <c r="D135" i="4"/>
  <c r="E135" i="4"/>
  <c r="F135" i="4"/>
  <c r="G135" i="4"/>
  <c r="H135" i="4"/>
  <c r="C136" i="4"/>
  <c r="D136" i="4"/>
  <c r="E136" i="4"/>
  <c r="F136" i="4"/>
  <c r="G136" i="4"/>
  <c r="H136" i="4"/>
  <c r="L136" i="4"/>
  <c r="M136" i="4" s="1"/>
  <c r="N136" i="4" s="1"/>
  <c r="V136" i="4"/>
  <c r="C137" i="4"/>
  <c r="D137" i="4"/>
  <c r="E137" i="4"/>
  <c r="F137" i="4"/>
  <c r="G137" i="4"/>
  <c r="H137" i="4"/>
  <c r="Q137" i="4"/>
  <c r="V137" i="4"/>
  <c r="C138" i="4"/>
  <c r="D138" i="4"/>
  <c r="E138" i="4"/>
  <c r="F138" i="4"/>
  <c r="G138" i="4"/>
  <c r="H138" i="4"/>
  <c r="V138" i="4"/>
  <c r="C139" i="4"/>
  <c r="D139" i="4"/>
  <c r="E139" i="4"/>
  <c r="F139" i="4"/>
  <c r="G139" i="4"/>
  <c r="H139" i="4"/>
  <c r="C140" i="4"/>
  <c r="D140" i="4"/>
  <c r="E140" i="4"/>
  <c r="F140" i="4"/>
  <c r="G140" i="4"/>
  <c r="H140" i="4"/>
  <c r="C141" i="4"/>
  <c r="D141" i="4"/>
  <c r="E141" i="4"/>
  <c r="F141" i="4"/>
  <c r="G141" i="4"/>
  <c r="H141" i="4"/>
  <c r="C142" i="4"/>
  <c r="D142" i="4"/>
  <c r="E142" i="4"/>
  <c r="F142" i="4"/>
  <c r="G142" i="4"/>
  <c r="H142" i="4"/>
  <c r="V142" i="4"/>
  <c r="C143" i="4"/>
  <c r="D143" i="4"/>
  <c r="E143" i="4"/>
  <c r="F143" i="4"/>
  <c r="G143" i="4"/>
  <c r="H143" i="4"/>
  <c r="V143" i="4"/>
  <c r="C144" i="4"/>
  <c r="D144" i="4"/>
  <c r="E144" i="4"/>
  <c r="F144" i="4"/>
  <c r="G144" i="4"/>
  <c r="H144" i="4"/>
  <c r="V144" i="4"/>
  <c r="C145" i="4"/>
  <c r="D145" i="4"/>
  <c r="E145" i="4"/>
  <c r="F145" i="4"/>
  <c r="G145" i="4"/>
  <c r="H145" i="4"/>
  <c r="L145" i="4"/>
  <c r="M145" i="4" s="1"/>
  <c r="N145" i="4" s="1"/>
  <c r="C146" i="4"/>
  <c r="D146" i="4"/>
  <c r="E146" i="4"/>
  <c r="F146" i="4"/>
  <c r="G146" i="4"/>
  <c r="H146" i="4"/>
  <c r="C147" i="4"/>
  <c r="D147" i="4"/>
  <c r="E147" i="4"/>
  <c r="F147" i="4"/>
  <c r="G147" i="4"/>
  <c r="H147" i="4"/>
  <c r="C148" i="4"/>
  <c r="D148" i="4"/>
  <c r="E148" i="4"/>
  <c r="F148" i="4"/>
  <c r="G148" i="4"/>
  <c r="H148" i="4"/>
  <c r="L148" i="4"/>
  <c r="V148" i="4"/>
  <c r="C149" i="4"/>
  <c r="D149" i="4"/>
  <c r="E149" i="4"/>
  <c r="F149" i="4"/>
  <c r="G149" i="4"/>
  <c r="H149" i="4"/>
  <c r="Q149" i="4"/>
  <c r="V149" i="4"/>
  <c r="C150" i="4"/>
  <c r="D150" i="4"/>
  <c r="E150" i="4"/>
  <c r="F150" i="4"/>
  <c r="G150" i="4"/>
  <c r="H150" i="4"/>
  <c r="V150" i="4"/>
  <c r="C151" i="4"/>
  <c r="D151" i="4"/>
  <c r="E151" i="4"/>
  <c r="F151" i="4"/>
  <c r="G151" i="4"/>
  <c r="H151" i="4"/>
  <c r="C152" i="4"/>
  <c r="D152" i="4"/>
  <c r="E152" i="4"/>
  <c r="F152" i="4"/>
  <c r="G152" i="4"/>
  <c r="H152" i="4"/>
  <c r="C153" i="4"/>
  <c r="D153" i="4"/>
  <c r="E153" i="4"/>
  <c r="F153" i="4"/>
  <c r="G153" i="4"/>
  <c r="H153" i="4"/>
  <c r="C154" i="4"/>
  <c r="D154" i="4"/>
  <c r="E154" i="4"/>
  <c r="F154" i="4"/>
  <c r="G154" i="4"/>
  <c r="H154" i="4"/>
  <c r="V154" i="4"/>
  <c r="C155" i="4"/>
  <c r="D155" i="4"/>
  <c r="E155" i="4"/>
  <c r="F155" i="4"/>
  <c r="G155" i="4"/>
  <c r="H155" i="4"/>
  <c r="V155" i="4"/>
  <c r="C156" i="4"/>
  <c r="D156" i="4"/>
  <c r="E156" i="4"/>
  <c r="F156" i="4"/>
  <c r="G156" i="4"/>
  <c r="H156" i="4"/>
  <c r="V156" i="4"/>
  <c r="C157" i="4"/>
  <c r="D157" i="4"/>
  <c r="E157" i="4"/>
  <c r="F157" i="4"/>
  <c r="G157" i="4"/>
  <c r="H157" i="4"/>
  <c r="L157" i="4"/>
  <c r="M157" i="4" s="1"/>
  <c r="N157" i="4" s="1"/>
  <c r="S157" i="4" s="1"/>
  <c r="C158" i="4"/>
  <c r="D158" i="4"/>
  <c r="E158" i="4"/>
  <c r="F158" i="4"/>
  <c r="G158" i="4"/>
  <c r="H158" i="4"/>
  <c r="C159" i="4"/>
  <c r="D159" i="4"/>
  <c r="E159" i="4"/>
  <c r="F159" i="4"/>
  <c r="G159" i="4"/>
  <c r="H159" i="4"/>
  <c r="C160" i="4"/>
  <c r="D160" i="4"/>
  <c r="E160" i="4"/>
  <c r="F160" i="4"/>
  <c r="G160" i="4"/>
  <c r="H160" i="4"/>
  <c r="Q160" i="4"/>
  <c r="V160" i="4"/>
  <c r="C161" i="4"/>
  <c r="D161" i="4"/>
  <c r="E161" i="4"/>
  <c r="F161" i="4"/>
  <c r="G161" i="4"/>
  <c r="H161" i="4"/>
  <c r="L161" i="4"/>
  <c r="M161" i="4" s="1"/>
  <c r="N161" i="4" s="1"/>
  <c r="S161" i="4" s="1"/>
  <c r="Q161" i="4"/>
  <c r="V161" i="4"/>
  <c r="C162" i="4"/>
  <c r="D162" i="4"/>
  <c r="E162" i="4"/>
  <c r="F162" i="4"/>
  <c r="G162" i="4"/>
  <c r="H162" i="4"/>
  <c r="V162" i="4"/>
  <c r="C163" i="4"/>
  <c r="D163" i="4"/>
  <c r="E163" i="4"/>
  <c r="F163" i="4"/>
  <c r="G163" i="4"/>
  <c r="H163" i="4"/>
  <c r="C164" i="4"/>
  <c r="D164" i="4"/>
  <c r="E164" i="4"/>
  <c r="F164" i="4"/>
  <c r="G164" i="4"/>
  <c r="H164" i="4"/>
  <c r="C165" i="4"/>
  <c r="D165" i="4"/>
  <c r="E165" i="4"/>
  <c r="F165" i="4"/>
  <c r="G165" i="4"/>
  <c r="H165" i="4"/>
  <c r="C166" i="4"/>
  <c r="D166" i="4"/>
  <c r="E166" i="4"/>
  <c r="F166" i="4"/>
  <c r="G166" i="4"/>
  <c r="H166" i="4"/>
  <c r="M166" i="4"/>
  <c r="N166" i="4" s="1"/>
  <c r="Q166" i="4"/>
  <c r="V166" i="4"/>
  <c r="C167" i="4"/>
  <c r="D167" i="4"/>
  <c r="E167" i="4"/>
  <c r="F167" i="4"/>
  <c r="G167" i="4"/>
  <c r="H167" i="4"/>
  <c r="V167" i="4"/>
  <c r="C168" i="4"/>
  <c r="D168" i="4"/>
  <c r="E168" i="4"/>
  <c r="F168" i="4"/>
  <c r="G168" i="4"/>
  <c r="H168" i="4"/>
  <c r="Q168" i="4"/>
  <c r="V168" i="4"/>
  <c r="C169" i="4"/>
  <c r="D169" i="4"/>
  <c r="E169" i="4"/>
  <c r="F169" i="4"/>
  <c r="G169" i="4"/>
  <c r="H169" i="4"/>
  <c r="C170" i="4"/>
  <c r="D170" i="4"/>
  <c r="E170" i="4"/>
  <c r="F170" i="4"/>
  <c r="G170" i="4"/>
  <c r="H170" i="4"/>
  <c r="C171" i="4"/>
  <c r="D171" i="4"/>
  <c r="E171" i="4"/>
  <c r="F171" i="4"/>
  <c r="G171" i="4"/>
  <c r="H171" i="4"/>
  <c r="L171" i="4"/>
  <c r="V171" i="4"/>
  <c r="C172" i="4"/>
  <c r="D172" i="4"/>
  <c r="E172" i="4"/>
  <c r="F172" i="4"/>
  <c r="G172" i="4"/>
  <c r="H172" i="4"/>
  <c r="Q172" i="4"/>
  <c r="V172" i="4"/>
  <c r="C173" i="4"/>
  <c r="D173" i="4"/>
  <c r="E173" i="4"/>
  <c r="F173" i="4"/>
  <c r="G173" i="4"/>
  <c r="H173" i="4"/>
  <c r="Q173" i="4"/>
  <c r="V173" i="4"/>
  <c r="C174" i="4"/>
  <c r="D174" i="4"/>
  <c r="E174" i="4"/>
  <c r="F174" i="4"/>
  <c r="G174" i="4"/>
  <c r="H174" i="4"/>
  <c r="L174" i="4"/>
  <c r="M174" i="4" s="1"/>
  <c r="N174" i="4" s="1"/>
  <c r="Q174" i="4"/>
  <c r="V174" i="4"/>
  <c r="C175" i="4"/>
  <c r="D175" i="4"/>
  <c r="E175" i="4"/>
  <c r="F175" i="4"/>
  <c r="G175" i="4"/>
  <c r="H175" i="4"/>
  <c r="C176" i="4"/>
  <c r="D176" i="4"/>
  <c r="E176" i="4"/>
  <c r="F176" i="4"/>
  <c r="G176" i="4"/>
  <c r="H176" i="4"/>
  <c r="C177" i="4"/>
  <c r="D177" i="4"/>
  <c r="E177" i="4"/>
  <c r="F177" i="4"/>
  <c r="G177" i="4"/>
  <c r="H177" i="4"/>
  <c r="Q177" i="4"/>
  <c r="V177" i="4"/>
  <c r="C178" i="4"/>
  <c r="D178" i="4"/>
  <c r="E178" i="4"/>
  <c r="F178" i="4"/>
  <c r="G178" i="4"/>
  <c r="H178" i="4"/>
  <c r="M178" i="4"/>
  <c r="N178" i="4" s="1"/>
  <c r="Q178" i="4"/>
  <c r="V178" i="4"/>
  <c r="C179" i="4"/>
  <c r="D179" i="4"/>
  <c r="E179" i="4"/>
  <c r="F179" i="4"/>
  <c r="G179" i="4"/>
  <c r="H179" i="4"/>
  <c r="L179" i="4"/>
  <c r="M179" i="4" s="1"/>
  <c r="N179" i="4" s="1"/>
  <c r="V179" i="4"/>
  <c r="C180" i="4"/>
  <c r="D180" i="4"/>
  <c r="E180" i="4"/>
  <c r="F180" i="4"/>
  <c r="G180" i="4"/>
  <c r="H180" i="4"/>
  <c r="L180" i="4"/>
  <c r="M180" i="4" s="1"/>
  <c r="N180" i="4" s="1"/>
  <c r="Q180" i="4"/>
  <c r="V180" i="4"/>
  <c r="C181" i="4"/>
  <c r="D181" i="4"/>
  <c r="E181" i="4"/>
  <c r="F181" i="4"/>
  <c r="G181" i="4"/>
  <c r="H181" i="4"/>
  <c r="C182" i="4"/>
  <c r="D182" i="4"/>
  <c r="E182" i="4"/>
  <c r="F182" i="4"/>
  <c r="G182" i="4"/>
  <c r="H182" i="4"/>
  <c r="C183" i="4"/>
  <c r="D183" i="4"/>
  <c r="E183" i="4"/>
  <c r="F183" i="4"/>
  <c r="G183" i="4"/>
  <c r="H183" i="4"/>
  <c r="C184" i="4"/>
  <c r="D184" i="4"/>
  <c r="E184" i="4"/>
  <c r="F184" i="4"/>
  <c r="G184" i="4"/>
  <c r="H184" i="4"/>
  <c r="M184" i="4"/>
  <c r="N184" i="4" s="1"/>
  <c r="R184" i="4" s="1"/>
  <c r="Q184" i="4"/>
  <c r="V184" i="4"/>
  <c r="C185" i="4"/>
  <c r="D185" i="4"/>
  <c r="E185" i="4"/>
  <c r="F185" i="4"/>
  <c r="G185" i="4"/>
  <c r="H185" i="4"/>
  <c r="V185" i="4"/>
  <c r="C186" i="4"/>
  <c r="D186" i="4"/>
  <c r="E186" i="4"/>
  <c r="F186" i="4"/>
  <c r="G186" i="4"/>
  <c r="H186" i="4"/>
  <c r="L186" i="4"/>
  <c r="M186" i="4" s="1"/>
  <c r="N186" i="4" s="1"/>
  <c r="Q186" i="4"/>
  <c r="V186" i="4"/>
  <c r="C187" i="4"/>
  <c r="D187" i="4"/>
  <c r="E187" i="4"/>
  <c r="F187" i="4"/>
  <c r="G187" i="4"/>
  <c r="H187" i="4"/>
  <c r="Q187" i="4"/>
  <c r="C188" i="4"/>
  <c r="D188" i="4"/>
  <c r="E188" i="4"/>
  <c r="F188" i="4"/>
  <c r="G188" i="4"/>
  <c r="H188" i="4"/>
  <c r="C189" i="4"/>
  <c r="D189" i="4"/>
  <c r="E189" i="4"/>
  <c r="F189" i="4"/>
  <c r="G189" i="4"/>
  <c r="H189" i="4"/>
  <c r="C190" i="4"/>
  <c r="D190" i="4"/>
  <c r="E190" i="4"/>
  <c r="F190" i="4"/>
  <c r="G190" i="4"/>
  <c r="H190" i="4"/>
  <c r="L190" i="4"/>
  <c r="M190" i="4" s="1"/>
  <c r="N190" i="4" s="1"/>
  <c r="V190" i="4"/>
  <c r="C191" i="4"/>
  <c r="D191" i="4"/>
  <c r="E191" i="4"/>
  <c r="F191" i="4"/>
  <c r="G191" i="4"/>
  <c r="H191" i="4"/>
  <c r="L191" i="4"/>
  <c r="M191" i="4" s="1"/>
  <c r="N191" i="4" s="1"/>
  <c r="Q191" i="4"/>
  <c r="V191" i="4"/>
  <c r="C192" i="4"/>
  <c r="D192" i="4"/>
  <c r="E192" i="4"/>
  <c r="F192" i="4"/>
  <c r="G192" i="4"/>
  <c r="H192" i="4"/>
  <c r="L192" i="4"/>
  <c r="M192" i="4" s="1"/>
  <c r="N192" i="4" s="1"/>
  <c r="Q192" i="4"/>
  <c r="V192" i="4"/>
  <c r="C193" i="4"/>
  <c r="D193" i="4"/>
  <c r="E193" i="4"/>
  <c r="F193" i="4"/>
  <c r="G193" i="4"/>
  <c r="H193" i="4"/>
  <c r="V193" i="4"/>
  <c r="C194" i="4"/>
  <c r="D194" i="4"/>
  <c r="E194" i="4"/>
  <c r="F194" i="4"/>
  <c r="G194" i="4"/>
  <c r="H194" i="4"/>
  <c r="C195" i="4"/>
  <c r="D195" i="4"/>
  <c r="E195" i="4"/>
  <c r="F195" i="4"/>
  <c r="G195" i="4"/>
  <c r="H195" i="4"/>
  <c r="L195" i="4"/>
  <c r="M195" i="4" s="1"/>
  <c r="N195" i="4" s="1"/>
  <c r="Q195" i="4"/>
  <c r="V195" i="4"/>
  <c r="C196" i="4"/>
  <c r="D196" i="4"/>
  <c r="E196" i="4"/>
  <c r="F196" i="4"/>
  <c r="G196" i="4"/>
  <c r="H196" i="4"/>
  <c r="L196" i="4"/>
  <c r="M196" i="4" s="1"/>
  <c r="N196" i="4" s="1"/>
  <c r="R196" i="4" s="1"/>
  <c r="Q196" i="4"/>
  <c r="V196" i="4"/>
  <c r="C197" i="4"/>
  <c r="D197" i="4"/>
  <c r="E197" i="4"/>
  <c r="F197" i="4"/>
  <c r="G197" i="4"/>
  <c r="H197" i="4"/>
  <c r="L197" i="4"/>
  <c r="M197" i="4" s="1"/>
  <c r="N197" i="4" s="1"/>
  <c r="S197" i="4" s="1"/>
  <c r="Q197" i="4"/>
  <c r="V197" i="4"/>
  <c r="C198" i="4"/>
  <c r="D198" i="4"/>
  <c r="E198" i="4"/>
  <c r="F198" i="4"/>
  <c r="G198" i="4"/>
  <c r="H198" i="4"/>
  <c r="L198" i="4"/>
  <c r="M198" i="4" s="1"/>
  <c r="N198" i="4" s="1"/>
  <c r="Q198" i="4"/>
  <c r="V198" i="4"/>
  <c r="C199" i="4"/>
  <c r="D199" i="4"/>
  <c r="E199" i="4"/>
  <c r="F199" i="4"/>
  <c r="G199" i="4"/>
  <c r="H199" i="4"/>
  <c r="C200" i="4"/>
  <c r="D200" i="4"/>
  <c r="E200" i="4"/>
  <c r="F200" i="4"/>
  <c r="G200" i="4"/>
  <c r="H200" i="4"/>
  <c r="V200" i="4"/>
  <c r="C201" i="4"/>
  <c r="D201" i="4"/>
  <c r="E201" i="4"/>
  <c r="F201" i="4"/>
  <c r="G201" i="4"/>
  <c r="H201" i="4"/>
  <c r="C202" i="4"/>
  <c r="D202" i="4"/>
  <c r="E202" i="4"/>
  <c r="F202" i="4"/>
  <c r="G202" i="4"/>
  <c r="H202" i="4"/>
  <c r="L202" i="4"/>
  <c r="M202" i="4" s="1"/>
  <c r="N202" i="4" s="1"/>
  <c r="Q202" i="4"/>
  <c r="V202" i="4"/>
  <c r="C203" i="4"/>
  <c r="D203" i="4"/>
  <c r="E203" i="4"/>
  <c r="F203" i="4"/>
  <c r="G203" i="4"/>
  <c r="H203" i="4"/>
  <c r="L203" i="4"/>
  <c r="M203" i="4" s="1"/>
  <c r="N203" i="4" s="1"/>
  <c r="Q203" i="4"/>
  <c r="V203" i="4"/>
  <c r="C204" i="4"/>
  <c r="D204" i="4"/>
  <c r="E204" i="4"/>
  <c r="F204" i="4"/>
  <c r="G204" i="4"/>
  <c r="H204" i="4"/>
  <c r="L204" i="4"/>
  <c r="M204" i="4" s="1"/>
  <c r="N204" i="4" s="1"/>
  <c r="Q204" i="4"/>
  <c r="V204" i="4"/>
  <c r="C205" i="4"/>
  <c r="D205" i="4"/>
  <c r="E205" i="4"/>
  <c r="F205" i="4"/>
  <c r="G205" i="4"/>
  <c r="H205" i="4"/>
  <c r="C206" i="4"/>
  <c r="D206" i="4"/>
  <c r="E206" i="4"/>
  <c r="F206" i="4"/>
  <c r="G206" i="4"/>
  <c r="H206" i="4"/>
  <c r="C207" i="4"/>
  <c r="D207" i="4"/>
  <c r="E207" i="4"/>
  <c r="F207" i="4"/>
  <c r="G207" i="4"/>
  <c r="H207" i="4"/>
  <c r="C208" i="4"/>
  <c r="D208" i="4"/>
  <c r="E208" i="4"/>
  <c r="F208" i="4"/>
  <c r="G208" i="4"/>
  <c r="H208" i="4"/>
  <c r="L208" i="4"/>
  <c r="M208" i="4" s="1"/>
  <c r="N208" i="4" s="1"/>
  <c r="R208" i="4" s="1"/>
  <c r="Q208" i="4"/>
  <c r="V208" i="4"/>
  <c r="C209" i="4"/>
  <c r="D209" i="4"/>
  <c r="E209" i="4"/>
  <c r="F209" i="4"/>
  <c r="G209" i="4"/>
  <c r="H209" i="4"/>
  <c r="L209" i="4"/>
  <c r="M209" i="4" s="1"/>
  <c r="N209" i="4" s="1"/>
  <c r="S209" i="4" s="1"/>
  <c r="Q209" i="4"/>
  <c r="V209" i="4"/>
  <c r="C210" i="4"/>
  <c r="D210" i="4"/>
  <c r="E210" i="4"/>
  <c r="F210" i="4"/>
  <c r="G210" i="4"/>
  <c r="H210" i="4"/>
  <c r="L210" i="4"/>
  <c r="M210" i="4" s="1"/>
  <c r="N210" i="4" s="1"/>
  <c r="Q210" i="4"/>
  <c r="V210" i="4"/>
  <c r="C211" i="4"/>
  <c r="D211" i="4"/>
  <c r="E211" i="4"/>
  <c r="F211" i="4"/>
  <c r="G211" i="4"/>
  <c r="H211" i="4"/>
  <c r="C212" i="4"/>
  <c r="D212" i="4"/>
  <c r="E212" i="4"/>
  <c r="F212" i="4"/>
  <c r="G212" i="4"/>
  <c r="H212" i="4"/>
  <c r="C213" i="4"/>
  <c r="D213" i="4"/>
  <c r="E213" i="4"/>
  <c r="F213" i="4"/>
  <c r="G213" i="4"/>
  <c r="H213" i="4"/>
  <c r="L213" i="4"/>
  <c r="M213" i="4" s="1"/>
  <c r="N213" i="4" s="1"/>
  <c r="S213" i="4" s="1"/>
  <c r="Q213" i="4"/>
  <c r="V213" i="4"/>
  <c r="C214" i="4"/>
  <c r="D214" i="4"/>
  <c r="E214" i="4"/>
  <c r="F214" i="4"/>
  <c r="G214" i="4"/>
  <c r="H214" i="4"/>
  <c r="L214" i="4"/>
  <c r="M214" i="4" s="1"/>
  <c r="N214" i="4" s="1"/>
  <c r="Q214" i="4"/>
  <c r="V214" i="4"/>
  <c r="C215" i="4"/>
  <c r="D215" i="4"/>
  <c r="E215" i="4"/>
  <c r="F215" i="4"/>
  <c r="G215" i="4"/>
  <c r="H215" i="4"/>
  <c r="L215" i="4"/>
  <c r="M215" i="4" s="1"/>
  <c r="N215" i="4" s="1"/>
  <c r="Q215" i="4"/>
  <c r="V215" i="4"/>
  <c r="C216" i="4"/>
  <c r="D216" i="4"/>
  <c r="E216" i="4"/>
  <c r="F216" i="4"/>
  <c r="G216" i="4"/>
  <c r="H216" i="4"/>
  <c r="L216" i="4"/>
  <c r="M216" i="4" s="1"/>
  <c r="N216" i="4" s="1"/>
  <c r="Q216" i="4"/>
  <c r="V216" i="4"/>
  <c r="C217" i="4"/>
  <c r="D217" i="4"/>
  <c r="E217" i="4"/>
  <c r="F217" i="4"/>
  <c r="G217" i="4"/>
  <c r="H217" i="4"/>
  <c r="C218" i="4"/>
  <c r="D218" i="4"/>
  <c r="E218" i="4"/>
  <c r="F218" i="4"/>
  <c r="G218" i="4"/>
  <c r="H218" i="4"/>
  <c r="C219" i="4"/>
  <c r="D219" i="4"/>
  <c r="E219" i="4"/>
  <c r="F219" i="4"/>
  <c r="G219" i="4"/>
  <c r="H219" i="4"/>
  <c r="C220" i="4"/>
  <c r="D220" i="4"/>
  <c r="E220" i="4"/>
  <c r="F220" i="4"/>
  <c r="G220" i="4"/>
  <c r="H220" i="4"/>
  <c r="L220" i="4"/>
  <c r="M220" i="4" s="1"/>
  <c r="N220" i="4" s="1"/>
  <c r="Q220" i="4"/>
  <c r="V220" i="4"/>
  <c r="C221" i="4"/>
  <c r="D221" i="4"/>
  <c r="E221" i="4"/>
  <c r="F221" i="4"/>
  <c r="G221" i="4"/>
  <c r="H221" i="4"/>
  <c r="L221" i="4"/>
  <c r="M221" i="4" s="1"/>
  <c r="N221" i="4" s="1"/>
  <c r="S221" i="4" s="1"/>
  <c r="Q221" i="4"/>
  <c r="V221" i="4"/>
  <c r="C222" i="4"/>
  <c r="D222" i="4"/>
  <c r="E222" i="4"/>
  <c r="F222" i="4"/>
  <c r="G222" i="4"/>
  <c r="H222" i="4"/>
  <c r="L222" i="4"/>
  <c r="M222" i="4" s="1"/>
  <c r="N222" i="4" s="1"/>
  <c r="Q222" i="4"/>
  <c r="V222" i="4"/>
  <c r="C223" i="4"/>
  <c r="D223" i="4"/>
  <c r="E223" i="4"/>
  <c r="F223" i="4"/>
  <c r="G223" i="4"/>
  <c r="H223" i="4"/>
  <c r="C224" i="4"/>
  <c r="D224" i="4"/>
  <c r="E224" i="4"/>
  <c r="F224" i="4"/>
  <c r="G224" i="4"/>
  <c r="H224" i="4"/>
  <c r="C225" i="4"/>
  <c r="D225" i="4"/>
  <c r="E225" i="4"/>
  <c r="F225" i="4"/>
  <c r="G225" i="4"/>
  <c r="H225" i="4"/>
  <c r="C226" i="4"/>
  <c r="D226" i="4"/>
  <c r="E226" i="4"/>
  <c r="F226" i="4"/>
  <c r="G226" i="4"/>
  <c r="H226" i="4"/>
  <c r="L226" i="4"/>
  <c r="M226" i="4" s="1"/>
  <c r="N226" i="4" s="1"/>
  <c r="Q226" i="4"/>
  <c r="V226" i="4"/>
  <c r="C227" i="4"/>
  <c r="D227" i="4"/>
  <c r="E227" i="4"/>
  <c r="F227" i="4"/>
  <c r="G227" i="4"/>
  <c r="H227" i="4"/>
  <c r="L227" i="4"/>
  <c r="M227" i="4" s="1"/>
  <c r="N227" i="4" s="1"/>
  <c r="R227" i="4" s="1"/>
  <c r="Q227" i="4"/>
  <c r="V227" i="4"/>
  <c r="C228" i="4"/>
  <c r="D228" i="4"/>
  <c r="E228" i="4"/>
  <c r="F228" i="4"/>
  <c r="G228" i="4"/>
  <c r="H228" i="4"/>
  <c r="L228" i="4"/>
  <c r="M228" i="4" s="1"/>
  <c r="N228" i="4" s="1"/>
  <c r="Q228" i="4"/>
  <c r="V228" i="4"/>
  <c r="C229" i="4"/>
  <c r="D229" i="4"/>
  <c r="E229" i="4"/>
  <c r="F229" i="4"/>
  <c r="G229" i="4"/>
  <c r="H229" i="4"/>
  <c r="C230" i="4"/>
  <c r="D230" i="4"/>
  <c r="E230" i="4"/>
  <c r="F230" i="4"/>
  <c r="G230" i="4"/>
  <c r="H230" i="4"/>
  <c r="V230" i="4"/>
  <c r="C231" i="4"/>
  <c r="D231" i="4"/>
  <c r="E231" i="4"/>
  <c r="F231" i="4"/>
  <c r="G231" i="4"/>
  <c r="H231" i="4"/>
  <c r="C232" i="4"/>
  <c r="D232" i="4"/>
  <c r="E232" i="4"/>
  <c r="F232" i="4"/>
  <c r="G232" i="4"/>
  <c r="H232" i="4"/>
  <c r="L232" i="4"/>
  <c r="M232" i="4" s="1"/>
  <c r="N232" i="4" s="1"/>
  <c r="R232" i="4" s="1"/>
  <c r="Q232" i="4"/>
  <c r="V232" i="4"/>
  <c r="C233" i="4"/>
  <c r="D233" i="4"/>
  <c r="E233" i="4"/>
  <c r="F233" i="4"/>
  <c r="G233" i="4"/>
  <c r="H233" i="4"/>
  <c r="L233" i="4"/>
  <c r="M233" i="4" s="1"/>
  <c r="N233" i="4" s="1"/>
  <c r="Q233" i="4"/>
  <c r="V233" i="4"/>
  <c r="C234" i="4"/>
  <c r="D234" i="4"/>
  <c r="E234" i="4"/>
  <c r="F234" i="4"/>
  <c r="G234" i="4"/>
  <c r="H234" i="4"/>
  <c r="L234" i="4"/>
  <c r="M234" i="4" s="1"/>
  <c r="N234" i="4" s="1"/>
  <c r="Q234" i="4"/>
  <c r="V234" i="4"/>
  <c r="C235" i="4"/>
  <c r="D235" i="4"/>
  <c r="E235" i="4"/>
  <c r="F235" i="4"/>
  <c r="G235" i="4"/>
  <c r="H235" i="4"/>
  <c r="C236" i="4"/>
  <c r="D236" i="4"/>
  <c r="E236" i="4"/>
  <c r="F236" i="4"/>
  <c r="G236" i="4"/>
  <c r="H236" i="4"/>
  <c r="C237" i="4"/>
  <c r="D237" i="4"/>
  <c r="E237" i="4"/>
  <c r="F237" i="4"/>
  <c r="G237" i="4"/>
  <c r="H237" i="4"/>
  <c r="C238" i="4"/>
  <c r="D238" i="4"/>
  <c r="E238" i="4"/>
  <c r="F238" i="4"/>
  <c r="G238" i="4"/>
  <c r="H238" i="4"/>
  <c r="L238" i="4"/>
  <c r="M238" i="4" s="1"/>
  <c r="N238" i="4" s="1"/>
  <c r="Q238" i="4"/>
  <c r="V238" i="4"/>
  <c r="C239" i="4"/>
  <c r="D239" i="4"/>
  <c r="E239" i="4"/>
  <c r="F239" i="4"/>
  <c r="G239" i="4"/>
  <c r="H239" i="4"/>
  <c r="L239" i="4"/>
  <c r="M239" i="4" s="1"/>
  <c r="N239" i="4" s="1"/>
  <c r="R239" i="4" s="1"/>
  <c r="Q239" i="4"/>
  <c r="V239" i="4"/>
  <c r="C240" i="4"/>
  <c r="D240" i="4"/>
  <c r="E240" i="4"/>
  <c r="F240" i="4"/>
  <c r="G240" i="4"/>
  <c r="H240" i="4"/>
  <c r="L240" i="4"/>
  <c r="M240" i="4" s="1"/>
  <c r="N240" i="4" s="1"/>
  <c r="Q240" i="4"/>
  <c r="V240" i="4"/>
  <c r="C241" i="4"/>
  <c r="D241" i="4"/>
  <c r="E241" i="4"/>
  <c r="F241" i="4"/>
  <c r="G241" i="4"/>
  <c r="H241" i="4"/>
  <c r="C242" i="4"/>
  <c r="D242" i="4"/>
  <c r="E242" i="4"/>
  <c r="F242" i="4"/>
  <c r="G242" i="4"/>
  <c r="H242" i="4"/>
  <c r="C243" i="4"/>
  <c r="D243" i="4"/>
  <c r="E243" i="4"/>
  <c r="F243" i="4"/>
  <c r="G243" i="4"/>
  <c r="H243" i="4"/>
  <c r="C244" i="4"/>
  <c r="D244" i="4"/>
  <c r="E244" i="4"/>
  <c r="F244" i="4"/>
  <c r="G244" i="4"/>
  <c r="H244" i="4"/>
  <c r="L244" i="4"/>
  <c r="M244" i="4" s="1"/>
  <c r="N244" i="4" s="1"/>
  <c r="R244" i="4" s="1"/>
  <c r="Q244" i="4"/>
  <c r="V244" i="4"/>
  <c r="C245" i="4"/>
  <c r="D245" i="4"/>
  <c r="E245" i="4"/>
  <c r="F245" i="4"/>
  <c r="G245" i="4"/>
  <c r="H245" i="4"/>
  <c r="L245" i="4"/>
  <c r="M245" i="4" s="1"/>
  <c r="N245" i="4" s="1"/>
  <c r="Q245" i="4"/>
  <c r="V245" i="4"/>
  <c r="C246" i="4"/>
  <c r="D246" i="4"/>
  <c r="E246" i="4"/>
  <c r="F246" i="4"/>
  <c r="G246" i="4"/>
  <c r="H246" i="4"/>
  <c r="L246" i="4"/>
  <c r="M246" i="4" s="1"/>
  <c r="N246" i="4" s="1"/>
  <c r="Q246" i="4"/>
  <c r="V246" i="4"/>
  <c r="C247" i="4"/>
  <c r="D247" i="4"/>
  <c r="E247" i="4"/>
  <c r="F247" i="4"/>
  <c r="G247" i="4"/>
  <c r="H247" i="4"/>
  <c r="C248" i="4"/>
  <c r="D248" i="4"/>
  <c r="E248" i="4"/>
  <c r="F248" i="4"/>
  <c r="G248" i="4"/>
  <c r="H248" i="4"/>
  <c r="C249" i="4"/>
  <c r="D249" i="4"/>
  <c r="E249" i="4"/>
  <c r="F249" i="4"/>
  <c r="G249" i="4"/>
  <c r="H249" i="4"/>
  <c r="C250" i="4"/>
  <c r="D250" i="4"/>
  <c r="E250" i="4"/>
  <c r="F250" i="4"/>
  <c r="G250" i="4"/>
  <c r="H250" i="4"/>
  <c r="L250" i="4"/>
  <c r="M250" i="4" s="1"/>
  <c r="N250" i="4" s="1"/>
  <c r="Q250" i="4"/>
  <c r="V250" i="4"/>
  <c r="C251" i="4"/>
  <c r="D251" i="4"/>
  <c r="E251" i="4"/>
  <c r="F251" i="4"/>
  <c r="G251" i="4"/>
  <c r="H251" i="4"/>
  <c r="L251" i="4"/>
  <c r="M251" i="4" s="1"/>
  <c r="N251" i="4" s="1"/>
  <c r="R251" i="4" s="1"/>
  <c r="Q251" i="4"/>
  <c r="V251" i="4"/>
  <c r="C252" i="4"/>
  <c r="D252" i="4"/>
  <c r="E252" i="4"/>
  <c r="F252" i="4"/>
  <c r="G252" i="4"/>
  <c r="H252" i="4"/>
  <c r="L252" i="4"/>
  <c r="M252" i="4" s="1"/>
  <c r="N252" i="4" s="1"/>
  <c r="Q252" i="4"/>
  <c r="V252" i="4"/>
  <c r="C253" i="4"/>
  <c r="D253" i="4"/>
  <c r="E253" i="4"/>
  <c r="F253" i="4"/>
  <c r="G253" i="4"/>
  <c r="H253" i="4"/>
  <c r="C254" i="4"/>
  <c r="D254" i="4"/>
  <c r="E254" i="4"/>
  <c r="F254" i="4"/>
  <c r="G254" i="4"/>
  <c r="H254" i="4"/>
  <c r="C255" i="4"/>
  <c r="D255" i="4"/>
  <c r="E255" i="4"/>
  <c r="F255" i="4"/>
  <c r="G255" i="4"/>
  <c r="H255" i="4"/>
  <c r="C256" i="4"/>
  <c r="D256" i="4"/>
  <c r="E256" i="4"/>
  <c r="F256" i="4"/>
  <c r="G256" i="4"/>
  <c r="H256" i="4"/>
  <c r="L256" i="4"/>
  <c r="M256" i="4" s="1"/>
  <c r="N256" i="4" s="1"/>
  <c r="Q256" i="4"/>
  <c r="V256" i="4"/>
  <c r="C257" i="4"/>
  <c r="D257" i="4"/>
  <c r="E257" i="4"/>
  <c r="F257" i="4"/>
  <c r="G257" i="4"/>
  <c r="H257" i="4"/>
  <c r="L257" i="4"/>
  <c r="M257" i="4" s="1"/>
  <c r="N257" i="4" s="1"/>
  <c r="Q257" i="4"/>
  <c r="V257" i="4"/>
  <c r="C258" i="4"/>
  <c r="D258" i="4"/>
  <c r="E258" i="4"/>
  <c r="F258" i="4"/>
  <c r="G258" i="4"/>
  <c r="H258" i="4"/>
  <c r="L258" i="4"/>
  <c r="M258" i="4" s="1"/>
  <c r="N258" i="4" s="1"/>
  <c r="Q258" i="4"/>
  <c r="V258" i="4"/>
  <c r="C259" i="4"/>
  <c r="D259" i="4"/>
  <c r="E259" i="4"/>
  <c r="F259" i="4"/>
  <c r="G259" i="4"/>
  <c r="H259" i="4"/>
  <c r="C260" i="4"/>
  <c r="D260" i="4"/>
  <c r="E260" i="4"/>
  <c r="F260" i="4"/>
  <c r="G260" i="4"/>
  <c r="H260" i="4"/>
  <c r="C261" i="4"/>
  <c r="D261" i="4"/>
  <c r="E261" i="4"/>
  <c r="F261" i="4"/>
  <c r="G261" i="4"/>
  <c r="H261" i="4"/>
  <c r="C262" i="4"/>
  <c r="D262" i="4"/>
  <c r="E262" i="4"/>
  <c r="F262" i="4"/>
  <c r="G262" i="4"/>
  <c r="H262" i="4"/>
  <c r="L262" i="4"/>
  <c r="M262" i="4" s="1"/>
  <c r="N262" i="4" s="1"/>
  <c r="R262" i="4" s="1"/>
  <c r="Q262" i="4"/>
  <c r="V262" i="4"/>
  <c r="C263" i="4"/>
  <c r="D263" i="4"/>
  <c r="E263" i="4"/>
  <c r="F263" i="4"/>
  <c r="G263" i="4"/>
  <c r="H263" i="4"/>
  <c r="L263" i="4"/>
  <c r="M263" i="4" s="1"/>
  <c r="N263" i="4" s="1"/>
  <c r="R263" i="4" s="1"/>
  <c r="Q263" i="4"/>
  <c r="V263" i="4"/>
  <c r="C264" i="4"/>
  <c r="D264" i="4"/>
  <c r="E264" i="4"/>
  <c r="F264" i="4"/>
  <c r="G264" i="4"/>
  <c r="H264" i="4"/>
  <c r="L264" i="4"/>
  <c r="M264" i="4" s="1"/>
  <c r="N264" i="4" s="1"/>
  <c r="Q264" i="4"/>
  <c r="V264" i="4"/>
  <c r="H3" i="4"/>
  <c r="G3" i="3"/>
  <c r="G3" i="4"/>
  <c r="F3" i="4"/>
  <c r="E3" i="4"/>
  <c r="C3" i="4"/>
  <c r="D3" i="4"/>
  <c r="A3" i="4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B4" i="3"/>
  <c r="C4" i="3"/>
  <c r="D4" i="3"/>
  <c r="O5" i="1" s="1"/>
  <c r="E4" i="3"/>
  <c r="F4" i="3"/>
  <c r="N4" i="3"/>
  <c r="J4" i="3" s="1"/>
  <c r="K4" i="3" s="1"/>
  <c r="L4" i="3" s="1"/>
  <c r="M4" i="3" s="1"/>
  <c r="R4" i="3" s="1"/>
  <c r="O4" i="3"/>
  <c r="B5" i="3"/>
  <c r="C5" i="3"/>
  <c r="D5" i="3"/>
  <c r="O6" i="1" s="1"/>
  <c r="E5" i="3"/>
  <c r="F5" i="3"/>
  <c r="N5" i="3"/>
  <c r="J5" i="3" s="1"/>
  <c r="O5" i="3"/>
  <c r="U5" i="3"/>
  <c r="B6" i="3"/>
  <c r="C6" i="3"/>
  <c r="D6" i="3"/>
  <c r="O7" i="1" s="1"/>
  <c r="E6" i="3"/>
  <c r="F6" i="3"/>
  <c r="N6" i="3"/>
  <c r="J6" i="3" s="1"/>
  <c r="U6" i="3" s="1"/>
  <c r="O6" i="3"/>
  <c r="B7" i="3"/>
  <c r="C7" i="3"/>
  <c r="D7" i="3"/>
  <c r="O8" i="1" s="1"/>
  <c r="E7" i="3"/>
  <c r="F7" i="3"/>
  <c r="N7" i="3"/>
  <c r="J7" i="3" s="1"/>
  <c r="K7" i="3" s="1"/>
  <c r="O7" i="3"/>
  <c r="B8" i="3"/>
  <c r="C8" i="3"/>
  <c r="D8" i="3"/>
  <c r="O9" i="1" s="1"/>
  <c r="E8" i="3"/>
  <c r="F8" i="3"/>
  <c r="N8" i="3"/>
  <c r="O8" i="3"/>
  <c r="B9" i="3"/>
  <c r="C9" i="3"/>
  <c r="D9" i="3"/>
  <c r="O10" i="1" s="1"/>
  <c r="E9" i="3"/>
  <c r="F9" i="3"/>
  <c r="N9" i="3"/>
  <c r="O9" i="3"/>
  <c r="B10" i="3"/>
  <c r="C10" i="3"/>
  <c r="D10" i="3"/>
  <c r="O11" i="1" s="1"/>
  <c r="E10" i="3"/>
  <c r="F10" i="3"/>
  <c r="N10" i="3"/>
  <c r="O10" i="3"/>
  <c r="U10" i="3"/>
  <c r="B11" i="3"/>
  <c r="C11" i="3"/>
  <c r="D11" i="3"/>
  <c r="O12" i="1" s="1"/>
  <c r="E11" i="3"/>
  <c r="F11" i="3"/>
  <c r="N11" i="3"/>
  <c r="O11" i="3"/>
  <c r="B12" i="3"/>
  <c r="C12" i="3"/>
  <c r="D12" i="3"/>
  <c r="O13" i="1" s="1"/>
  <c r="E12" i="3"/>
  <c r="F12" i="3"/>
  <c r="N12" i="3"/>
  <c r="J12" i="3" s="1"/>
  <c r="P12" i="3" s="1"/>
  <c r="O12" i="3"/>
  <c r="B13" i="3"/>
  <c r="C13" i="3"/>
  <c r="D13" i="3"/>
  <c r="O14" i="1" s="1"/>
  <c r="E13" i="3"/>
  <c r="F13" i="3"/>
  <c r="N13" i="3"/>
  <c r="J13" i="3" s="1"/>
  <c r="K13" i="3" s="1"/>
  <c r="L13" i="3" s="1"/>
  <c r="M13" i="3" s="1"/>
  <c r="R13" i="3" s="1"/>
  <c r="O13" i="3"/>
  <c r="U13" i="3"/>
  <c r="B14" i="3"/>
  <c r="C14" i="3"/>
  <c r="D14" i="3"/>
  <c r="O15" i="1" s="1"/>
  <c r="E14" i="3"/>
  <c r="F14" i="3"/>
  <c r="N14" i="3"/>
  <c r="J14" i="3" s="1"/>
  <c r="O14" i="3"/>
  <c r="U14" i="3"/>
  <c r="B15" i="3"/>
  <c r="C15" i="3"/>
  <c r="D15" i="3"/>
  <c r="O16" i="1" s="1"/>
  <c r="E15" i="3"/>
  <c r="F15" i="3"/>
  <c r="N15" i="3"/>
  <c r="J15" i="3" s="1"/>
  <c r="K15" i="3" s="1"/>
  <c r="L15" i="3" s="1"/>
  <c r="M15" i="3" s="1"/>
  <c r="R15" i="3" s="1"/>
  <c r="O15" i="3"/>
  <c r="B16" i="3"/>
  <c r="C16" i="3"/>
  <c r="D16" i="3"/>
  <c r="O17" i="1" s="1"/>
  <c r="E16" i="3"/>
  <c r="F16" i="3"/>
  <c r="N16" i="3"/>
  <c r="O16" i="3"/>
  <c r="B17" i="3"/>
  <c r="C17" i="3"/>
  <c r="D17" i="3"/>
  <c r="O18" i="1" s="1"/>
  <c r="E17" i="3"/>
  <c r="F17" i="3"/>
  <c r="N17" i="3"/>
  <c r="J17" i="3" s="1"/>
  <c r="U17" i="3" s="1"/>
  <c r="O17" i="3"/>
  <c r="B18" i="3"/>
  <c r="C18" i="3"/>
  <c r="D18" i="3"/>
  <c r="O19" i="1" s="1"/>
  <c r="E18" i="3"/>
  <c r="F18" i="3"/>
  <c r="N18" i="3"/>
  <c r="J18" i="3" s="1"/>
  <c r="K18" i="3" s="1"/>
  <c r="L18" i="3" s="1"/>
  <c r="M18" i="3" s="1"/>
  <c r="O18" i="3"/>
  <c r="B19" i="3"/>
  <c r="C19" i="3"/>
  <c r="D19" i="3"/>
  <c r="O20" i="1" s="1"/>
  <c r="E19" i="3"/>
  <c r="F19" i="3"/>
  <c r="N19" i="3"/>
  <c r="O19" i="3"/>
  <c r="B20" i="3"/>
  <c r="C20" i="3"/>
  <c r="D20" i="3"/>
  <c r="O21" i="1" s="1"/>
  <c r="E20" i="3"/>
  <c r="F20" i="3"/>
  <c r="N20" i="3"/>
  <c r="J20" i="3" s="1"/>
  <c r="K20" i="3" s="1"/>
  <c r="L20" i="3" s="1"/>
  <c r="M20" i="3" s="1"/>
  <c r="R20" i="3" s="1"/>
  <c r="T20" i="3" s="1"/>
  <c r="O20" i="3"/>
  <c r="U20" i="3"/>
  <c r="B21" i="3"/>
  <c r="C21" i="3"/>
  <c r="D21" i="3"/>
  <c r="O22" i="1" s="1"/>
  <c r="E21" i="3"/>
  <c r="F21" i="3"/>
  <c r="N21" i="3"/>
  <c r="O21" i="3"/>
  <c r="B22" i="3"/>
  <c r="C22" i="3"/>
  <c r="D22" i="3"/>
  <c r="O23" i="1" s="1"/>
  <c r="E22" i="3"/>
  <c r="F22" i="3"/>
  <c r="N22" i="3"/>
  <c r="O22" i="3"/>
  <c r="U22" i="3"/>
  <c r="B23" i="3"/>
  <c r="C23" i="3"/>
  <c r="D23" i="3"/>
  <c r="O24" i="1" s="1"/>
  <c r="E23" i="3"/>
  <c r="F23" i="3"/>
  <c r="N23" i="3"/>
  <c r="O23" i="3"/>
  <c r="B24" i="3"/>
  <c r="C24" i="3"/>
  <c r="D24" i="3"/>
  <c r="O25" i="1" s="1"/>
  <c r="E24" i="3"/>
  <c r="F24" i="3"/>
  <c r="N24" i="3"/>
  <c r="J24" i="3" s="1"/>
  <c r="K24" i="3" s="1"/>
  <c r="L24" i="3" s="1"/>
  <c r="M24" i="3" s="1"/>
  <c r="O24" i="3"/>
  <c r="B25" i="3"/>
  <c r="C25" i="3"/>
  <c r="D25" i="3"/>
  <c r="O26" i="1" s="1"/>
  <c r="E25" i="3"/>
  <c r="F25" i="3"/>
  <c r="N25" i="3"/>
  <c r="J25" i="3" s="1"/>
  <c r="K25" i="3" s="1"/>
  <c r="L25" i="3" s="1"/>
  <c r="M25" i="3" s="1"/>
  <c r="O25" i="3"/>
  <c r="B26" i="3"/>
  <c r="C26" i="3"/>
  <c r="D26" i="3"/>
  <c r="O27" i="1" s="1"/>
  <c r="E26" i="3"/>
  <c r="F26" i="3"/>
  <c r="N26" i="3"/>
  <c r="J26" i="3" s="1"/>
  <c r="O26" i="3"/>
  <c r="U26" i="3"/>
  <c r="B27" i="3"/>
  <c r="C27" i="3"/>
  <c r="D27" i="3"/>
  <c r="O28" i="1" s="1"/>
  <c r="E27" i="3"/>
  <c r="F27" i="3"/>
  <c r="N27" i="3"/>
  <c r="O27" i="3"/>
  <c r="U27" i="3"/>
  <c r="B28" i="3"/>
  <c r="C28" i="3"/>
  <c r="D28" i="3"/>
  <c r="O29" i="1" s="1"/>
  <c r="E28" i="3"/>
  <c r="F28" i="3"/>
  <c r="N28" i="3"/>
  <c r="J28" i="3" s="1"/>
  <c r="K28" i="3" s="1"/>
  <c r="L28" i="3" s="1"/>
  <c r="M28" i="3" s="1"/>
  <c r="R28" i="3" s="1"/>
  <c r="O28" i="3"/>
  <c r="U28" i="3"/>
  <c r="B29" i="3"/>
  <c r="C29" i="3"/>
  <c r="D29" i="3"/>
  <c r="O30" i="1" s="1"/>
  <c r="E29" i="3"/>
  <c r="F29" i="3"/>
  <c r="N29" i="3"/>
  <c r="J29" i="3" s="1"/>
  <c r="U29" i="3" s="1"/>
  <c r="O29" i="3"/>
  <c r="B30" i="3"/>
  <c r="C30" i="3"/>
  <c r="D30" i="3"/>
  <c r="O31" i="1" s="1"/>
  <c r="E30" i="3"/>
  <c r="F30" i="3"/>
  <c r="N30" i="3"/>
  <c r="O30" i="3"/>
  <c r="B31" i="3"/>
  <c r="C31" i="3"/>
  <c r="D31" i="3"/>
  <c r="O32" i="1" s="1"/>
  <c r="E31" i="3"/>
  <c r="F31" i="3"/>
  <c r="N31" i="3"/>
  <c r="O31" i="3"/>
  <c r="B32" i="3"/>
  <c r="C32" i="3"/>
  <c r="D32" i="3"/>
  <c r="O33" i="1" s="1"/>
  <c r="E32" i="3"/>
  <c r="F32" i="3"/>
  <c r="N32" i="3"/>
  <c r="O32" i="3"/>
  <c r="B33" i="3"/>
  <c r="C33" i="3"/>
  <c r="D33" i="3"/>
  <c r="O34" i="1" s="1"/>
  <c r="E33" i="3"/>
  <c r="F33" i="3"/>
  <c r="N33" i="3"/>
  <c r="O33" i="3"/>
  <c r="U33" i="3"/>
  <c r="B34" i="3"/>
  <c r="C34" i="3"/>
  <c r="D34" i="3"/>
  <c r="O35" i="1" s="1"/>
  <c r="E34" i="3"/>
  <c r="F34" i="3"/>
  <c r="N34" i="3"/>
  <c r="O34" i="3"/>
  <c r="B35" i="3"/>
  <c r="C35" i="3"/>
  <c r="D35" i="3"/>
  <c r="O36" i="1" s="1"/>
  <c r="E35" i="3"/>
  <c r="F35" i="3"/>
  <c r="N35" i="3"/>
  <c r="J35" i="3" s="1"/>
  <c r="K35" i="3" s="1"/>
  <c r="L35" i="3" s="1"/>
  <c r="M35" i="3" s="1"/>
  <c r="R35" i="3" s="1"/>
  <c r="O35" i="3"/>
  <c r="B36" i="3"/>
  <c r="C36" i="3"/>
  <c r="D36" i="3"/>
  <c r="O37" i="1" s="1"/>
  <c r="E36" i="3"/>
  <c r="F36" i="3"/>
  <c r="N36" i="3"/>
  <c r="J36" i="3" s="1"/>
  <c r="K36" i="3" s="1"/>
  <c r="L36" i="3" s="1"/>
  <c r="M36" i="3" s="1"/>
  <c r="R36" i="3" s="1"/>
  <c r="O36" i="3"/>
  <c r="U36" i="3"/>
  <c r="B37" i="3"/>
  <c r="C37" i="3"/>
  <c r="D37" i="3"/>
  <c r="O38" i="1" s="1"/>
  <c r="E37" i="3"/>
  <c r="F37" i="3"/>
  <c r="N37" i="3"/>
  <c r="J37" i="3" s="1"/>
  <c r="O37" i="3"/>
  <c r="U37" i="3"/>
  <c r="B38" i="3"/>
  <c r="C38" i="3"/>
  <c r="D38" i="3"/>
  <c r="O39" i="1" s="1"/>
  <c r="E38" i="3"/>
  <c r="F38" i="3"/>
  <c r="N38" i="3"/>
  <c r="O38" i="3"/>
  <c r="B39" i="3"/>
  <c r="C39" i="3"/>
  <c r="D39" i="3"/>
  <c r="O40" i="1" s="1"/>
  <c r="E39" i="3"/>
  <c r="F39" i="3"/>
  <c r="N39" i="3"/>
  <c r="O39" i="3"/>
  <c r="U39" i="3"/>
  <c r="B40" i="3"/>
  <c r="C40" i="3"/>
  <c r="D40" i="3"/>
  <c r="O41" i="1" s="1"/>
  <c r="E40" i="3"/>
  <c r="F40" i="3"/>
  <c r="N40" i="3"/>
  <c r="J40" i="3" s="1"/>
  <c r="K40" i="3" s="1"/>
  <c r="L40" i="3" s="1"/>
  <c r="M40" i="3" s="1"/>
  <c r="R40" i="3" s="1"/>
  <c r="O40" i="3"/>
  <c r="U40" i="3"/>
  <c r="B41" i="3"/>
  <c r="C41" i="3"/>
  <c r="D41" i="3"/>
  <c r="O42" i="1" s="1"/>
  <c r="E41" i="3"/>
  <c r="F41" i="3"/>
  <c r="N41" i="3"/>
  <c r="J41" i="3" s="1"/>
  <c r="P41" i="3" s="1"/>
  <c r="O41" i="3"/>
  <c r="B42" i="3"/>
  <c r="C42" i="3"/>
  <c r="D42" i="3"/>
  <c r="O43" i="1" s="1"/>
  <c r="E42" i="3"/>
  <c r="F42" i="3"/>
  <c r="N42" i="3"/>
  <c r="O42" i="3"/>
  <c r="B43" i="3"/>
  <c r="C43" i="3"/>
  <c r="D43" i="3"/>
  <c r="O44" i="1" s="1"/>
  <c r="E43" i="3"/>
  <c r="F43" i="3"/>
  <c r="N43" i="3"/>
  <c r="O43" i="3"/>
  <c r="B44" i="3"/>
  <c r="C44" i="3"/>
  <c r="D44" i="3"/>
  <c r="O45" i="1" s="1"/>
  <c r="E44" i="3"/>
  <c r="F44" i="3"/>
  <c r="N44" i="3"/>
  <c r="O44" i="3"/>
  <c r="U44" i="3"/>
  <c r="B45" i="3"/>
  <c r="C45" i="3"/>
  <c r="D45" i="3"/>
  <c r="O46" i="1" s="1"/>
  <c r="E45" i="3"/>
  <c r="F45" i="3"/>
  <c r="N45" i="3"/>
  <c r="O45" i="3"/>
  <c r="U45" i="3"/>
  <c r="B46" i="3"/>
  <c r="C46" i="3"/>
  <c r="D46" i="3"/>
  <c r="O47" i="1" s="1"/>
  <c r="E46" i="3"/>
  <c r="F46" i="3"/>
  <c r="N46" i="3"/>
  <c r="J46" i="3" s="1"/>
  <c r="O46" i="3"/>
  <c r="U46" i="3"/>
  <c r="B47" i="3"/>
  <c r="C47" i="3"/>
  <c r="D47" i="3"/>
  <c r="O48" i="1" s="1"/>
  <c r="E47" i="3"/>
  <c r="F47" i="3"/>
  <c r="N47" i="3"/>
  <c r="J47" i="3" s="1"/>
  <c r="K47" i="3" s="1"/>
  <c r="L47" i="3" s="1"/>
  <c r="M47" i="3" s="1"/>
  <c r="R47" i="3" s="1"/>
  <c r="O47" i="3"/>
  <c r="B48" i="3"/>
  <c r="C48" i="3"/>
  <c r="D48" i="3"/>
  <c r="O49" i="1" s="1"/>
  <c r="E48" i="3"/>
  <c r="F48" i="3"/>
  <c r="N48" i="3"/>
  <c r="J48" i="3" s="1"/>
  <c r="K48" i="3" s="1"/>
  <c r="L48" i="3" s="1"/>
  <c r="M48" i="3" s="1"/>
  <c r="R48" i="3" s="1"/>
  <c r="O48" i="3"/>
  <c r="B49" i="3"/>
  <c r="C49" i="3"/>
  <c r="D49" i="3"/>
  <c r="O50" i="1" s="1"/>
  <c r="E49" i="3"/>
  <c r="F49" i="3"/>
  <c r="N49" i="3"/>
  <c r="J49" i="3" s="1"/>
  <c r="U49" i="3" s="1"/>
  <c r="O49" i="3"/>
  <c r="B50" i="3"/>
  <c r="C50" i="3"/>
  <c r="D50" i="3"/>
  <c r="O51" i="1" s="1"/>
  <c r="E50" i="3"/>
  <c r="F50" i="3"/>
  <c r="N50" i="3"/>
  <c r="J50" i="3" s="1"/>
  <c r="K50" i="3" s="1"/>
  <c r="L50" i="3" s="1"/>
  <c r="M50" i="3" s="1"/>
  <c r="R50" i="3" s="1"/>
  <c r="S50" i="3" s="1"/>
  <c r="O50" i="3"/>
  <c r="U50" i="3"/>
  <c r="B51" i="3"/>
  <c r="C51" i="3"/>
  <c r="D51" i="3"/>
  <c r="O52" i="1" s="1"/>
  <c r="E51" i="3"/>
  <c r="F51" i="3"/>
  <c r="N51" i="3"/>
  <c r="J51" i="3" s="1"/>
  <c r="K51" i="3" s="1"/>
  <c r="L51" i="3" s="1"/>
  <c r="M51" i="3" s="1"/>
  <c r="R51" i="3" s="1"/>
  <c r="O51" i="3"/>
  <c r="B52" i="3"/>
  <c r="C52" i="3"/>
  <c r="D52" i="3"/>
  <c r="O53" i="1" s="1"/>
  <c r="E52" i="3"/>
  <c r="F52" i="3"/>
  <c r="N52" i="3"/>
  <c r="O52" i="3"/>
  <c r="B53" i="3"/>
  <c r="C53" i="3"/>
  <c r="D53" i="3"/>
  <c r="O54" i="1" s="1"/>
  <c r="E53" i="3"/>
  <c r="F53" i="3"/>
  <c r="N53" i="3"/>
  <c r="O53" i="3"/>
  <c r="B54" i="3"/>
  <c r="C54" i="3"/>
  <c r="D54" i="3"/>
  <c r="O55" i="1" s="1"/>
  <c r="E54" i="3"/>
  <c r="F54" i="3"/>
  <c r="N54" i="3"/>
  <c r="O54" i="3"/>
  <c r="U54" i="3"/>
  <c r="B55" i="3"/>
  <c r="C55" i="3"/>
  <c r="D55" i="3"/>
  <c r="O56" i="1" s="1"/>
  <c r="E55" i="3"/>
  <c r="F55" i="3"/>
  <c r="N55" i="3"/>
  <c r="O55" i="3"/>
  <c r="B56" i="3"/>
  <c r="C56" i="3"/>
  <c r="D56" i="3"/>
  <c r="O57" i="1" s="1"/>
  <c r="E56" i="3"/>
  <c r="F56" i="3"/>
  <c r="N56" i="3"/>
  <c r="O56" i="3"/>
  <c r="B57" i="3"/>
  <c r="C57" i="3"/>
  <c r="D57" i="3"/>
  <c r="O58" i="1" s="1"/>
  <c r="E57" i="3"/>
  <c r="F57" i="3"/>
  <c r="N57" i="3"/>
  <c r="O57" i="3"/>
  <c r="U57" i="3"/>
  <c r="B58" i="3"/>
  <c r="C58" i="3"/>
  <c r="D58" i="3"/>
  <c r="O59" i="1" s="1"/>
  <c r="E58" i="3"/>
  <c r="F58" i="3"/>
  <c r="N58" i="3"/>
  <c r="O58" i="3"/>
  <c r="B59" i="3"/>
  <c r="C59" i="3"/>
  <c r="D59" i="3"/>
  <c r="O60" i="1" s="1"/>
  <c r="E59" i="3"/>
  <c r="F59" i="3"/>
  <c r="N59" i="3"/>
  <c r="O59" i="3"/>
  <c r="U59" i="3"/>
  <c r="B60" i="3"/>
  <c r="C60" i="3"/>
  <c r="D60" i="3"/>
  <c r="O61" i="1" s="1"/>
  <c r="E60" i="3"/>
  <c r="F60" i="3"/>
  <c r="N60" i="3"/>
  <c r="J60" i="3" s="1"/>
  <c r="K60" i="3" s="1"/>
  <c r="L60" i="3" s="1"/>
  <c r="M60" i="3" s="1"/>
  <c r="R60" i="3" s="1"/>
  <c r="O60" i="3"/>
  <c r="U60" i="3"/>
  <c r="B61" i="3"/>
  <c r="C61" i="3"/>
  <c r="D61" i="3"/>
  <c r="O62" i="1" s="1"/>
  <c r="E61" i="3"/>
  <c r="F61" i="3"/>
  <c r="N61" i="3"/>
  <c r="J61" i="3" s="1"/>
  <c r="U61" i="3" s="1"/>
  <c r="O61" i="3"/>
  <c r="B62" i="3"/>
  <c r="C62" i="3"/>
  <c r="D62" i="3"/>
  <c r="O63" i="1" s="1"/>
  <c r="E62" i="3"/>
  <c r="F62" i="3"/>
  <c r="N62" i="3"/>
  <c r="J62" i="3" s="1"/>
  <c r="K62" i="3" s="1"/>
  <c r="L62" i="3" s="1"/>
  <c r="M62" i="3" s="1"/>
  <c r="R62" i="3" s="1"/>
  <c r="T62" i="3" s="1"/>
  <c r="O62" i="3"/>
  <c r="B63" i="3"/>
  <c r="C63" i="3"/>
  <c r="D63" i="3"/>
  <c r="O64" i="1" s="1"/>
  <c r="E63" i="3"/>
  <c r="F63" i="3"/>
  <c r="N63" i="3"/>
  <c r="J63" i="3" s="1"/>
  <c r="K63" i="3" s="1"/>
  <c r="L63" i="3" s="1"/>
  <c r="M63" i="3" s="1"/>
  <c r="R63" i="3" s="1"/>
  <c r="O63" i="3"/>
  <c r="U63" i="3"/>
  <c r="B64" i="3"/>
  <c r="C64" i="3"/>
  <c r="D64" i="3"/>
  <c r="O65" i="1" s="1"/>
  <c r="E64" i="3"/>
  <c r="F64" i="3"/>
  <c r="N64" i="3"/>
  <c r="O64" i="3"/>
  <c r="B65" i="3"/>
  <c r="C65" i="3"/>
  <c r="D65" i="3"/>
  <c r="O66" i="1" s="1"/>
  <c r="E65" i="3"/>
  <c r="F65" i="3"/>
  <c r="N65" i="3"/>
  <c r="O65" i="3"/>
  <c r="B66" i="3"/>
  <c r="C66" i="3"/>
  <c r="D66" i="3"/>
  <c r="O67" i="1" s="1"/>
  <c r="E66" i="3"/>
  <c r="F66" i="3"/>
  <c r="N66" i="3"/>
  <c r="O66" i="3"/>
  <c r="U66" i="3"/>
  <c r="B67" i="3"/>
  <c r="C67" i="3"/>
  <c r="D67" i="3"/>
  <c r="O68" i="1" s="1"/>
  <c r="E67" i="3"/>
  <c r="F67" i="3"/>
  <c r="N67" i="3"/>
  <c r="O67" i="3"/>
  <c r="B68" i="3"/>
  <c r="C68" i="3"/>
  <c r="D68" i="3"/>
  <c r="O69" i="1" s="1"/>
  <c r="E68" i="3"/>
  <c r="F68" i="3"/>
  <c r="N68" i="3"/>
  <c r="O68" i="3"/>
  <c r="B69" i="3"/>
  <c r="C69" i="3"/>
  <c r="D69" i="3"/>
  <c r="O70" i="1" s="1"/>
  <c r="E69" i="3"/>
  <c r="F69" i="3"/>
  <c r="N69" i="3"/>
  <c r="O69" i="3"/>
  <c r="B70" i="3"/>
  <c r="C70" i="3"/>
  <c r="D70" i="3"/>
  <c r="O71" i="1" s="1"/>
  <c r="E70" i="3"/>
  <c r="F70" i="3"/>
  <c r="N70" i="3"/>
  <c r="J70" i="3" s="1"/>
  <c r="K70" i="3" s="1"/>
  <c r="L70" i="3" s="1"/>
  <c r="M70" i="3" s="1"/>
  <c r="R70" i="3" s="1"/>
  <c r="O70" i="3"/>
  <c r="U70" i="3"/>
  <c r="B71" i="3"/>
  <c r="C71" i="3"/>
  <c r="D71" i="3"/>
  <c r="O72" i="1" s="1"/>
  <c r="E71" i="3"/>
  <c r="F71" i="3"/>
  <c r="N71" i="3"/>
  <c r="J71" i="3" s="1"/>
  <c r="K71" i="3" s="1"/>
  <c r="L71" i="3" s="1"/>
  <c r="M71" i="3" s="1"/>
  <c r="R71" i="3" s="1"/>
  <c r="O71" i="3"/>
  <c r="U71" i="3"/>
  <c r="B72" i="3"/>
  <c r="C72" i="3"/>
  <c r="D72" i="3"/>
  <c r="O73" i="1" s="1"/>
  <c r="E72" i="3"/>
  <c r="F72" i="3"/>
  <c r="N72" i="3"/>
  <c r="J72" i="3" s="1"/>
  <c r="K72" i="3" s="1"/>
  <c r="L72" i="3" s="1"/>
  <c r="M72" i="3" s="1"/>
  <c r="O72" i="3"/>
  <c r="U72" i="3"/>
  <c r="B73" i="3"/>
  <c r="C73" i="3"/>
  <c r="D73" i="3"/>
  <c r="O74" i="1" s="1"/>
  <c r="E73" i="3"/>
  <c r="F73" i="3"/>
  <c r="N73" i="3"/>
  <c r="J73" i="3" s="1"/>
  <c r="O73" i="3"/>
  <c r="U73" i="3"/>
  <c r="B74" i="3"/>
  <c r="C74" i="3"/>
  <c r="D74" i="3"/>
  <c r="O75" i="1" s="1"/>
  <c r="E74" i="3"/>
  <c r="F74" i="3"/>
  <c r="N74" i="3"/>
  <c r="J74" i="3" s="1"/>
  <c r="K74" i="3" s="1"/>
  <c r="L74" i="3" s="1"/>
  <c r="M74" i="3" s="1"/>
  <c r="R74" i="3" s="1"/>
  <c r="O74" i="3"/>
  <c r="U74" i="3"/>
  <c r="B75" i="3"/>
  <c r="C75" i="3"/>
  <c r="D75" i="3"/>
  <c r="O76" i="1" s="1"/>
  <c r="E75" i="3"/>
  <c r="F75" i="3"/>
  <c r="N75" i="3"/>
  <c r="O75" i="3"/>
  <c r="B76" i="3"/>
  <c r="C76" i="3"/>
  <c r="D76" i="3"/>
  <c r="O77" i="1" s="1"/>
  <c r="E76" i="3"/>
  <c r="F76" i="3"/>
  <c r="N76" i="3"/>
  <c r="O76" i="3"/>
  <c r="O78" i="1"/>
  <c r="O79" i="1"/>
  <c r="B77" i="3"/>
  <c r="C77" i="3"/>
  <c r="D77" i="3"/>
  <c r="O80" i="1" s="1"/>
  <c r="E77" i="3"/>
  <c r="F77" i="3"/>
  <c r="N77" i="3"/>
  <c r="O77" i="3"/>
  <c r="U77" i="3"/>
  <c r="B78" i="3"/>
  <c r="C78" i="3"/>
  <c r="D78" i="3"/>
  <c r="O81" i="1" s="1"/>
  <c r="E78" i="3"/>
  <c r="F78" i="3"/>
  <c r="N78" i="3"/>
  <c r="O78" i="3"/>
  <c r="B79" i="3"/>
  <c r="C79" i="3"/>
  <c r="D79" i="3"/>
  <c r="O82" i="1" s="1"/>
  <c r="E79" i="3"/>
  <c r="F79" i="3"/>
  <c r="N79" i="3"/>
  <c r="O79" i="3"/>
  <c r="B80" i="3"/>
  <c r="C80" i="3"/>
  <c r="D80" i="3"/>
  <c r="O83" i="1" s="1"/>
  <c r="E80" i="3"/>
  <c r="F80" i="3"/>
  <c r="N80" i="3"/>
  <c r="O80" i="3"/>
  <c r="U80" i="3"/>
  <c r="B81" i="3"/>
  <c r="C81" i="3"/>
  <c r="D81" i="3"/>
  <c r="O84" i="1" s="1"/>
  <c r="E81" i="3"/>
  <c r="F81" i="3"/>
  <c r="N81" i="3"/>
  <c r="J81" i="3" s="1"/>
  <c r="K81" i="3" s="1"/>
  <c r="L81" i="3" s="1"/>
  <c r="M81" i="3" s="1"/>
  <c r="R81" i="3" s="1"/>
  <c r="O81" i="3"/>
  <c r="B82" i="3"/>
  <c r="C82" i="3"/>
  <c r="D82" i="3"/>
  <c r="O85" i="1" s="1"/>
  <c r="E82" i="3"/>
  <c r="F82" i="3"/>
  <c r="N82" i="3"/>
  <c r="J82" i="3" s="1"/>
  <c r="K82" i="3" s="1"/>
  <c r="L82" i="3" s="1"/>
  <c r="M82" i="3" s="1"/>
  <c r="O82" i="3"/>
  <c r="B83" i="3"/>
  <c r="C83" i="3"/>
  <c r="D83" i="3"/>
  <c r="O86" i="1" s="1"/>
  <c r="E83" i="3"/>
  <c r="F83" i="3"/>
  <c r="N83" i="3"/>
  <c r="J83" i="3" s="1"/>
  <c r="O83" i="3"/>
  <c r="U83" i="3"/>
  <c r="B84" i="3"/>
  <c r="C84" i="3"/>
  <c r="D84" i="3"/>
  <c r="O87" i="1" s="1"/>
  <c r="E84" i="3"/>
  <c r="F84" i="3"/>
  <c r="N84" i="3"/>
  <c r="O84" i="3"/>
  <c r="B85" i="3"/>
  <c r="C85" i="3"/>
  <c r="D85" i="3"/>
  <c r="O88" i="1" s="1"/>
  <c r="E85" i="3"/>
  <c r="F85" i="3"/>
  <c r="N85" i="3"/>
  <c r="O85" i="3"/>
  <c r="U85" i="3"/>
  <c r="B86" i="3"/>
  <c r="C86" i="3"/>
  <c r="D86" i="3"/>
  <c r="O89" i="1" s="1"/>
  <c r="E86" i="3"/>
  <c r="F86" i="3"/>
  <c r="N86" i="3"/>
  <c r="O86" i="3"/>
  <c r="U86" i="3"/>
  <c r="B87" i="3"/>
  <c r="C87" i="3"/>
  <c r="D87" i="3"/>
  <c r="O90" i="1" s="1"/>
  <c r="E87" i="3"/>
  <c r="F87" i="3"/>
  <c r="N87" i="3"/>
  <c r="O87" i="3"/>
  <c r="U87" i="3"/>
  <c r="B88" i="3"/>
  <c r="C88" i="3"/>
  <c r="D88" i="3"/>
  <c r="O91" i="1" s="1"/>
  <c r="E88" i="3"/>
  <c r="F88" i="3"/>
  <c r="N88" i="3"/>
  <c r="O88" i="3"/>
  <c r="U88" i="3"/>
  <c r="B89" i="3"/>
  <c r="C89" i="3"/>
  <c r="D89" i="3"/>
  <c r="O92" i="1" s="1"/>
  <c r="E89" i="3"/>
  <c r="F89" i="3"/>
  <c r="N89" i="3"/>
  <c r="O89" i="3"/>
  <c r="B90" i="3"/>
  <c r="C90" i="3"/>
  <c r="D90" i="3"/>
  <c r="O93" i="1" s="1"/>
  <c r="E90" i="3"/>
  <c r="F90" i="3"/>
  <c r="N90" i="3"/>
  <c r="O90" i="3"/>
  <c r="U90" i="3"/>
  <c r="B91" i="3"/>
  <c r="C91" i="3"/>
  <c r="D91" i="3"/>
  <c r="O94" i="1" s="1"/>
  <c r="E91" i="3"/>
  <c r="F91" i="3"/>
  <c r="N91" i="3"/>
  <c r="O91" i="3"/>
  <c r="B92" i="3"/>
  <c r="C92" i="3"/>
  <c r="D92" i="3"/>
  <c r="O95" i="1" s="1"/>
  <c r="E92" i="3"/>
  <c r="F92" i="3"/>
  <c r="N92" i="3"/>
  <c r="J92" i="3" s="1"/>
  <c r="K92" i="3" s="1"/>
  <c r="L92" i="3" s="1"/>
  <c r="M92" i="3" s="1"/>
  <c r="R92" i="3" s="1"/>
  <c r="O92" i="3"/>
  <c r="B93" i="3"/>
  <c r="C93" i="3"/>
  <c r="D93" i="3"/>
  <c r="O96" i="1" s="1"/>
  <c r="E93" i="3"/>
  <c r="F93" i="3"/>
  <c r="N93" i="3"/>
  <c r="O93" i="3"/>
  <c r="B94" i="3"/>
  <c r="C94" i="3"/>
  <c r="D94" i="3"/>
  <c r="O97" i="1" s="1"/>
  <c r="E94" i="3"/>
  <c r="F94" i="3"/>
  <c r="N94" i="3"/>
  <c r="J94" i="3" s="1"/>
  <c r="K94" i="3" s="1"/>
  <c r="L94" i="3" s="1"/>
  <c r="M94" i="3" s="1"/>
  <c r="R94" i="3" s="1"/>
  <c r="O94" i="3"/>
  <c r="B95" i="3"/>
  <c r="C95" i="3"/>
  <c r="D95" i="3"/>
  <c r="O98" i="1" s="1"/>
  <c r="E95" i="3"/>
  <c r="F95" i="3"/>
  <c r="N95" i="3"/>
  <c r="J95" i="3" s="1"/>
  <c r="U95" i="3" s="1"/>
  <c r="O95" i="3"/>
  <c r="B96" i="3"/>
  <c r="C96" i="3"/>
  <c r="D96" i="3"/>
  <c r="O99" i="1" s="1"/>
  <c r="E96" i="3"/>
  <c r="F96" i="3"/>
  <c r="N96" i="3"/>
  <c r="O96" i="3"/>
  <c r="B97" i="3"/>
  <c r="C97" i="3"/>
  <c r="D97" i="3"/>
  <c r="O100" i="1" s="1"/>
  <c r="E97" i="3"/>
  <c r="F97" i="3"/>
  <c r="N97" i="3"/>
  <c r="O97" i="3"/>
  <c r="B98" i="3"/>
  <c r="C98" i="3"/>
  <c r="D98" i="3"/>
  <c r="O101" i="1" s="1"/>
  <c r="E98" i="3"/>
  <c r="F98" i="3"/>
  <c r="N98" i="3"/>
  <c r="O98" i="3"/>
  <c r="B99" i="3"/>
  <c r="C99" i="3"/>
  <c r="D99" i="3"/>
  <c r="O102" i="1" s="1"/>
  <c r="E99" i="3"/>
  <c r="F99" i="3"/>
  <c r="N99" i="3"/>
  <c r="O99" i="3"/>
  <c r="U99" i="3"/>
  <c r="B100" i="3"/>
  <c r="C100" i="3"/>
  <c r="D100" i="3"/>
  <c r="O103" i="1" s="1"/>
  <c r="E100" i="3"/>
  <c r="F100" i="3"/>
  <c r="N100" i="3"/>
  <c r="O100" i="3"/>
  <c r="U100" i="3"/>
  <c r="B101" i="3"/>
  <c r="C101" i="3"/>
  <c r="D101" i="3"/>
  <c r="O104" i="1" s="1"/>
  <c r="E101" i="3"/>
  <c r="F101" i="3"/>
  <c r="N101" i="3"/>
  <c r="O101" i="3"/>
  <c r="U101" i="3"/>
  <c r="B102" i="3"/>
  <c r="C102" i="3"/>
  <c r="D102" i="3"/>
  <c r="O105" i="1" s="1"/>
  <c r="E102" i="3"/>
  <c r="F102" i="3"/>
  <c r="N102" i="3"/>
  <c r="O102" i="3"/>
  <c r="U102" i="3"/>
  <c r="B103" i="3"/>
  <c r="C103" i="3"/>
  <c r="D103" i="3"/>
  <c r="O106" i="1" s="1"/>
  <c r="E103" i="3"/>
  <c r="F103" i="3"/>
  <c r="N103" i="3"/>
  <c r="O103" i="3"/>
  <c r="U103" i="3"/>
  <c r="B104" i="3"/>
  <c r="C104" i="3"/>
  <c r="D104" i="3"/>
  <c r="O107" i="1" s="1"/>
  <c r="E104" i="3"/>
  <c r="F104" i="3"/>
  <c r="N104" i="3"/>
  <c r="O104" i="3"/>
  <c r="B105" i="3"/>
  <c r="C105" i="3"/>
  <c r="D105" i="3"/>
  <c r="O108" i="1" s="1"/>
  <c r="E105" i="3"/>
  <c r="F105" i="3"/>
  <c r="N105" i="3"/>
  <c r="J105" i="3" s="1"/>
  <c r="K105" i="3" s="1"/>
  <c r="L105" i="3" s="1"/>
  <c r="M105" i="3" s="1"/>
  <c r="R105" i="3" s="1"/>
  <c r="O105" i="3"/>
  <c r="U105" i="3"/>
  <c r="B106" i="3"/>
  <c r="C106" i="3"/>
  <c r="D106" i="3"/>
  <c r="O109" i="1" s="1"/>
  <c r="E106" i="3"/>
  <c r="F106" i="3"/>
  <c r="N106" i="3"/>
  <c r="J106" i="3" s="1"/>
  <c r="U106" i="3" s="1"/>
  <c r="O106" i="3"/>
  <c r="B107" i="3"/>
  <c r="C107" i="3"/>
  <c r="D107" i="3"/>
  <c r="O110" i="1" s="1"/>
  <c r="E107" i="3"/>
  <c r="F107" i="3"/>
  <c r="N107" i="3"/>
  <c r="O107" i="3"/>
  <c r="U107" i="3"/>
  <c r="B108" i="3"/>
  <c r="C108" i="3"/>
  <c r="D108" i="3"/>
  <c r="O111" i="1" s="1"/>
  <c r="E108" i="3"/>
  <c r="F108" i="3"/>
  <c r="N108" i="3"/>
  <c r="O108" i="3"/>
  <c r="B109" i="3"/>
  <c r="C109" i="3"/>
  <c r="D109" i="3"/>
  <c r="O112" i="1" s="1"/>
  <c r="E109" i="3"/>
  <c r="F109" i="3"/>
  <c r="N109" i="3"/>
  <c r="O109" i="3"/>
  <c r="B110" i="3"/>
  <c r="C110" i="3"/>
  <c r="D110" i="3"/>
  <c r="O113" i="1" s="1"/>
  <c r="E110" i="3"/>
  <c r="F110" i="3"/>
  <c r="N110" i="3"/>
  <c r="J110" i="3" s="1"/>
  <c r="K110" i="3" s="1"/>
  <c r="L110" i="3" s="1"/>
  <c r="M110" i="3" s="1"/>
  <c r="R110" i="3" s="1"/>
  <c r="O110" i="3"/>
  <c r="B111" i="3"/>
  <c r="C111" i="3"/>
  <c r="D111" i="3"/>
  <c r="O114" i="1" s="1"/>
  <c r="E111" i="3"/>
  <c r="F111" i="3"/>
  <c r="N111" i="3"/>
  <c r="O111" i="3"/>
  <c r="B112" i="3"/>
  <c r="C112" i="3"/>
  <c r="D112" i="3"/>
  <c r="O115" i="1" s="1"/>
  <c r="E112" i="3"/>
  <c r="F112" i="3"/>
  <c r="N112" i="3"/>
  <c r="O112" i="3"/>
  <c r="B113" i="3"/>
  <c r="C113" i="3"/>
  <c r="D113" i="3"/>
  <c r="O116" i="1" s="1"/>
  <c r="E113" i="3"/>
  <c r="F113" i="3"/>
  <c r="N113" i="3"/>
  <c r="O113" i="3"/>
  <c r="B114" i="3"/>
  <c r="C114" i="3"/>
  <c r="D114" i="3"/>
  <c r="O117" i="1" s="1"/>
  <c r="E114" i="3"/>
  <c r="F114" i="3"/>
  <c r="N114" i="3"/>
  <c r="O114" i="3"/>
  <c r="B115" i="3"/>
  <c r="C115" i="3"/>
  <c r="D115" i="3"/>
  <c r="O118" i="1" s="1"/>
  <c r="E115" i="3"/>
  <c r="F115" i="3"/>
  <c r="N115" i="3"/>
  <c r="J115" i="3" s="1"/>
  <c r="K115" i="3" s="1"/>
  <c r="L115" i="3" s="1"/>
  <c r="M115" i="3" s="1"/>
  <c r="R115" i="3" s="1"/>
  <c r="O115" i="3"/>
  <c r="B116" i="3"/>
  <c r="C116" i="3"/>
  <c r="D116" i="3"/>
  <c r="O119" i="1" s="1"/>
  <c r="E116" i="3"/>
  <c r="F116" i="3"/>
  <c r="N116" i="3"/>
  <c r="J116" i="3" s="1"/>
  <c r="K116" i="3" s="1"/>
  <c r="L116" i="3" s="1"/>
  <c r="M116" i="3" s="1"/>
  <c r="R116" i="3" s="1"/>
  <c r="O116" i="3"/>
  <c r="B117" i="3"/>
  <c r="C117" i="3"/>
  <c r="D117" i="3"/>
  <c r="O120" i="1" s="1"/>
  <c r="E117" i="3"/>
  <c r="F117" i="3"/>
  <c r="N117" i="3"/>
  <c r="J117" i="3" s="1"/>
  <c r="K117" i="3" s="1"/>
  <c r="L117" i="3" s="1"/>
  <c r="M117" i="3" s="1"/>
  <c r="O117" i="3"/>
  <c r="B118" i="3"/>
  <c r="C118" i="3"/>
  <c r="D118" i="3"/>
  <c r="O121" i="1" s="1"/>
  <c r="E118" i="3"/>
  <c r="F118" i="3"/>
  <c r="N118" i="3"/>
  <c r="J118" i="3" s="1"/>
  <c r="K118" i="3" s="1"/>
  <c r="O118" i="3"/>
  <c r="B119" i="3"/>
  <c r="C119" i="3"/>
  <c r="D119" i="3"/>
  <c r="O122" i="1" s="1"/>
  <c r="E119" i="3"/>
  <c r="F119" i="3"/>
  <c r="N119" i="3"/>
  <c r="O119" i="3"/>
  <c r="B120" i="3"/>
  <c r="C120" i="3"/>
  <c r="D120" i="3"/>
  <c r="O123" i="1" s="1"/>
  <c r="E120" i="3"/>
  <c r="F120" i="3"/>
  <c r="N120" i="3"/>
  <c r="O120" i="3"/>
  <c r="B121" i="3"/>
  <c r="C121" i="3"/>
  <c r="D121" i="3"/>
  <c r="O124" i="1" s="1"/>
  <c r="E121" i="3"/>
  <c r="F121" i="3"/>
  <c r="N121" i="3"/>
  <c r="O121" i="3"/>
  <c r="B122" i="3"/>
  <c r="C122" i="3"/>
  <c r="D122" i="3"/>
  <c r="O125" i="1" s="1"/>
  <c r="E122" i="3"/>
  <c r="F122" i="3"/>
  <c r="N122" i="3"/>
  <c r="O122" i="3"/>
  <c r="B123" i="3"/>
  <c r="C123" i="3"/>
  <c r="D123" i="3"/>
  <c r="O126" i="1" s="1"/>
  <c r="E123" i="3"/>
  <c r="F123" i="3"/>
  <c r="N123" i="3"/>
  <c r="O123" i="3"/>
  <c r="B124" i="3"/>
  <c r="C124" i="3"/>
  <c r="D124" i="3"/>
  <c r="O127" i="1" s="1"/>
  <c r="E124" i="3"/>
  <c r="F124" i="3"/>
  <c r="N124" i="3"/>
  <c r="O124" i="3"/>
  <c r="U124" i="3"/>
  <c r="B125" i="3"/>
  <c r="C125" i="3"/>
  <c r="D125" i="3"/>
  <c r="O128" i="1" s="1"/>
  <c r="E125" i="3"/>
  <c r="F125" i="3"/>
  <c r="N125" i="3"/>
  <c r="O125" i="3"/>
  <c r="U125" i="3"/>
  <c r="B126" i="3"/>
  <c r="C126" i="3"/>
  <c r="D126" i="3"/>
  <c r="O129" i="1" s="1"/>
  <c r="E126" i="3"/>
  <c r="F126" i="3"/>
  <c r="N126" i="3"/>
  <c r="J126" i="3" s="1"/>
  <c r="K126" i="3" s="1"/>
  <c r="O126" i="3"/>
  <c r="B127" i="3"/>
  <c r="C127" i="3"/>
  <c r="D127" i="3"/>
  <c r="O130" i="1" s="1"/>
  <c r="E127" i="3"/>
  <c r="F127" i="3"/>
  <c r="N127" i="3"/>
  <c r="O127" i="3"/>
  <c r="B128" i="3"/>
  <c r="C128" i="3"/>
  <c r="D128" i="3"/>
  <c r="O131" i="1" s="1"/>
  <c r="E128" i="3"/>
  <c r="F128" i="3"/>
  <c r="N128" i="3"/>
  <c r="O128" i="3"/>
  <c r="U128" i="3"/>
  <c r="B129" i="3"/>
  <c r="C129" i="3"/>
  <c r="D129" i="3"/>
  <c r="O132" i="1" s="1"/>
  <c r="E129" i="3"/>
  <c r="F129" i="3"/>
  <c r="N129" i="3"/>
  <c r="J129" i="3" s="1"/>
  <c r="K129" i="3" s="1"/>
  <c r="L129" i="3" s="1"/>
  <c r="M129" i="3" s="1"/>
  <c r="R129" i="3" s="1"/>
  <c r="O129" i="3"/>
  <c r="U129" i="3"/>
  <c r="B130" i="3"/>
  <c r="C130" i="3"/>
  <c r="D130" i="3"/>
  <c r="O133" i="1" s="1"/>
  <c r="E130" i="3"/>
  <c r="F130" i="3"/>
  <c r="N130" i="3"/>
  <c r="O130" i="3"/>
  <c r="U130" i="3"/>
  <c r="B131" i="3"/>
  <c r="C131" i="3"/>
  <c r="D131" i="3"/>
  <c r="O134" i="1" s="1"/>
  <c r="E131" i="3"/>
  <c r="F131" i="3"/>
  <c r="N131" i="3"/>
  <c r="O131" i="3"/>
  <c r="U131" i="3"/>
  <c r="B132" i="3"/>
  <c r="C132" i="3"/>
  <c r="D132" i="3"/>
  <c r="O135" i="1" s="1"/>
  <c r="E132" i="3"/>
  <c r="F132" i="3"/>
  <c r="N132" i="3"/>
  <c r="O132" i="3"/>
  <c r="U132" i="3"/>
  <c r="B133" i="3"/>
  <c r="C133" i="3"/>
  <c r="D133" i="3"/>
  <c r="O136" i="1" s="1"/>
  <c r="E133" i="3"/>
  <c r="F133" i="3"/>
  <c r="N133" i="3"/>
  <c r="J133" i="3" s="1"/>
  <c r="K133" i="3" s="1"/>
  <c r="L133" i="3" s="1"/>
  <c r="M133" i="3" s="1"/>
  <c r="O133" i="3"/>
  <c r="U133" i="3"/>
  <c r="B134" i="3"/>
  <c r="C134" i="3"/>
  <c r="D134" i="3"/>
  <c r="O137" i="1" s="1"/>
  <c r="E134" i="3"/>
  <c r="F134" i="3"/>
  <c r="N134" i="3"/>
  <c r="J134" i="3" s="1"/>
  <c r="O134" i="3"/>
  <c r="U134" i="3"/>
  <c r="B135" i="3"/>
  <c r="C135" i="3"/>
  <c r="D135" i="3"/>
  <c r="O138" i="1" s="1"/>
  <c r="E135" i="3"/>
  <c r="F135" i="3"/>
  <c r="N135" i="3"/>
  <c r="O135" i="3"/>
  <c r="U135" i="3"/>
  <c r="B136" i="3"/>
  <c r="C136" i="3"/>
  <c r="D136" i="3"/>
  <c r="O139" i="1" s="1"/>
  <c r="E136" i="3"/>
  <c r="F136" i="3"/>
  <c r="N136" i="3"/>
  <c r="O136" i="3"/>
  <c r="U136" i="3"/>
  <c r="B137" i="3"/>
  <c r="C137" i="3"/>
  <c r="D137" i="3"/>
  <c r="O140" i="1" s="1"/>
  <c r="E137" i="3"/>
  <c r="F137" i="3"/>
  <c r="N137" i="3"/>
  <c r="J137" i="3" s="1"/>
  <c r="K137" i="3" s="1"/>
  <c r="L137" i="3" s="1"/>
  <c r="M137" i="3" s="1"/>
  <c r="R137" i="3" s="1"/>
  <c r="O137" i="3"/>
  <c r="U137" i="3"/>
  <c r="B138" i="3"/>
  <c r="C138" i="3"/>
  <c r="D138" i="3"/>
  <c r="O141" i="1" s="1"/>
  <c r="E138" i="3"/>
  <c r="F138" i="3"/>
  <c r="N138" i="3"/>
  <c r="O138" i="3"/>
  <c r="B139" i="3"/>
  <c r="C139" i="3"/>
  <c r="D139" i="3"/>
  <c r="O142" i="1" s="1"/>
  <c r="E139" i="3"/>
  <c r="F139" i="3"/>
  <c r="N139" i="3"/>
  <c r="O139" i="3"/>
  <c r="U139" i="3"/>
  <c r="B140" i="3"/>
  <c r="C140" i="3"/>
  <c r="D140" i="3"/>
  <c r="O143" i="1" s="1"/>
  <c r="E140" i="3"/>
  <c r="F140" i="3"/>
  <c r="N140" i="3"/>
  <c r="O140" i="3"/>
  <c r="U140" i="3"/>
  <c r="B141" i="3"/>
  <c r="C141" i="3"/>
  <c r="D141" i="3"/>
  <c r="O144" i="1" s="1"/>
  <c r="E141" i="3"/>
  <c r="F141" i="3"/>
  <c r="N141" i="3"/>
  <c r="O141" i="3"/>
  <c r="U141" i="3"/>
  <c r="B142" i="3"/>
  <c r="C142" i="3"/>
  <c r="D142" i="3"/>
  <c r="O145" i="1" s="1"/>
  <c r="E142" i="3"/>
  <c r="F142" i="3"/>
  <c r="N142" i="3"/>
  <c r="O142" i="3"/>
  <c r="U142" i="3"/>
  <c r="B143" i="3"/>
  <c r="C143" i="3"/>
  <c r="D143" i="3"/>
  <c r="O146" i="1" s="1"/>
  <c r="E143" i="3"/>
  <c r="F143" i="3"/>
  <c r="N143" i="3"/>
  <c r="O143" i="3"/>
  <c r="U143" i="3"/>
  <c r="B144" i="3"/>
  <c r="C144" i="3"/>
  <c r="D144" i="3"/>
  <c r="O147" i="1" s="1"/>
  <c r="E144" i="3"/>
  <c r="F144" i="3"/>
  <c r="N144" i="3"/>
  <c r="O144" i="3"/>
  <c r="B145" i="3"/>
  <c r="C145" i="3"/>
  <c r="D145" i="3"/>
  <c r="O148" i="1" s="1"/>
  <c r="E145" i="3"/>
  <c r="F145" i="3"/>
  <c r="N145" i="3"/>
  <c r="O145" i="3"/>
  <c r="U145" i="3"/>
  <c r="B146" i="3"/>
  <c r="C146" i="3"/>
  <c r="D146" i="3"/>
  <c r="O149" i="1" s="1"/>
  <c r="E146" i="3"/>
  <c r="F146" i="3"/>
  <c r="N146" i="3"/>
  <c r="J146" i="3" s="1"/>
  <c r="O146" i="3"/>
  <c r="U146" i="3"/>
  <c r="B147" i="3"/>
  <c r="C147" i="3"/>
  <c r="D147" i="3"/>
  <c r="O150" i="1" s="1"/>
  <c r="E147" i="3"/>
  <c r="F147" i="3"/>
  <c r="N147" i="3"/>
  <c r="O147" i="3"/>
  <c r="U147" i="3"/>
  <c r="B148" i="3"/>
  <c r="C148" i="3"/>
  <c r="D148" i="3"/>
  <c r="O151" i="1" s="1"/>
  <c r="E148" i="3"/>
  <c r="F148" i="3"/>
  <c r="N148" i="3"/>
  <c r="O148" i="3"/>
  <c r="U148" i="3"/>
  <c r="B149" i="3"/>
  <c r="C149" i="3"/>
  <c r="D149" i="3"/>
  <c r="O152" i="1" s="1"/>
  <c r="E149" i="3"/>
  <c r="F149" i="3"/>
  <c r="N149" i="3"/>
  <c r="O149" i="3"/>
  <c r="U149" i="3"/>
  <c r="B150" i="3"/>
  <c r="C150" i="3"/>
  <c r="D150" i="3"/>
  <c r="O153" i="1" s="1"/>
  <c r="E150" i="3"/>
  <c r="F150" i="3"/>
  <c r="N150" i="3"/>
  <c r="O150" i="3"/>
  <c r="U150" i="3"/>
  <c r="B151" i="3"/>
  <c r="C151" i="3"/>
  <c r="D151" i="3"/>
  <c r="O154" i="1" s="1"/>
  <c r="E151" i="3"/>
  <c r="F151" i="3"/>
  <c r="N151" i="3"/>
  <c r="O151" i="3"/>
  <c r="U151" i="3"/>
  <c r="B152" i="3"/>
  <c r="C152" i="3"/>
  <c r="D152" i="3"/>
  <c r="O155" i="1" s="1"/>
  <c r="E152" i="3"/>
  <c r="F152" i="3"/>
  <c r="N152" i="3"/>
  <c r="O152" i="3"/>
  <c r="B153" i="3"/>
  <c r="C153" i="3"/>
  <c r="D153" i="3"/>
  <c r="O156" i="1" s="1"/>
  <c r="E153" i="3"/>
  <c r="F153" i="3"/>
  <c r="N153" i="3"/>
  <c r="O153" i="3"/>
  <c r="U153" i="3"/>
  <c r="B154" i="3"/>
  <c r="C154" i="3"/>
  <c r="D154" i="3"/>
  <c r="O157" i="1" s="1"/>
  <c r="E154" i="3"/>
  <c r="F154" i="3"/>
  <c r="N154" i="3"/>
  <c r="O154" i="3"/>
  <c r="B155" i="3"/>
  <c r="C155" i="3"/>
  <c r="D155" i="3"/>
  <c r="O158" i="1" s="1"/>
  <c r="E155" i="3"/>
  <c r="F155" i="3"/>
  <c r="N155" i="3"/>
  <c r="O155" i="3"/>
  <c r="B156" i="3"/>
  <c r="C156" i="3"/>
  <c r="D156" i="3"/>
  <c r="O159" i="1" s="1"/>
  <c r="E156" i="3"/>
  <c r="F156" i="3"/>
  <c r="N156" i="3"/>
  <c r="J156" i="3" s="1"/>
  <c r="K156" i="3" s="1"/>
  <c r="L156" i="3" s="1"/>
  <c r="M156" i="3" s="1"/>
  <c r="O156" i="3"/>
  <c r="B157" i="3"/>
  <c r="C157" i="3"/>
  <c r="D157" i="3"/>
  <c r="O160" i="1" s="1"/>
  <c r="E157" i="3"/>
  <c r="F157" i="3"/>
  <c r="N157" i="3"/>
  <c r="J157" i="3" s="1"/>
  <c r="K157" i="3" s="1"/>
  <c r="L157" i="3" s="1"/>
  <c r="M157" i="3" s="1"/>
  <c r="O157" i="3"/>
  <c r="B158" i="3"/>
  <c r="C158" i="3"/>
  <c r="D158" i="3"/>
  <c r="O161" i="1" s="1"/>
  <c r="E158" i="3"/>
  <c r="F158" i="3"/>
  <c r="N158" i="3"/>
  <c r="J158" i="3" s="1"/>
  <c r="U158" i="3" s="1"/>
  <c r="O158" i="3"/>
  <c r="B159" i="3"/>
  <c r="C159" i="3"/>
  <c r="D159" i="3"/>
  <c r="O162" i="1" s="1"/>
  <c r="E159" i="3"/>
  <c r="F159" i="3"/>
  <c r="N159" i="3"/>
  <c r="J159" i="3" s="1"/>
  <c r="K159" i="3" s="1"/>
  <c r="L159" i="3" s="1"/>
  <c r="M159" i="3" s="1"/>
  <c r="R159" i="3" s="1"/>
  <c r="O159" i="3"/>
  <c r="B160" i="3"/>
  <c r="C160" i="3"/>
  <c r="D160" i="3"/>
  <c r="O163" i="1" s="1"/>
  <c r="E160" i="3"/>
  <c r="F160" i="3"/>
  <c r="N160" i="3"/>
  <c r="O160" i="3"/>
  <c r="B161" i="3"/>
  <c r="C161" i="3"/>
  <c r="D161" i="3"/>
  <c r="O164" i="1" s="1"/>
  <c r="E161" i="3"/>
  <c r="F161" i="3"/>
  <c r="N161" i="3"/>
  <c r="O161" i="3"/>
  <c r="B162" i="3"/>
  <c r="C162" i="3"/>
  <c r="D162" i="3"/>
  <c r="O165" i="1" s="1"/>
  <c r="E162" i="3"/>
  <c r="F162" i="3"/>
  <c r="N162" i="3"/>
  <c r="O162" i="3"/>
  <c r="U162" i="3"/>
  <c r="B163" i="3"/>
  <c r="C163" i="3"/>
  <c r="D163" i="3"/>
  <c r="O166" i="1" s="1"/>
  <c r="E163" i="3"/>
  <c r="F163" i="3"/>
  <c r="N163" i="3"/>
  <c r="O163" i="3"/>
  <c r="B164" i="3"/>
  <c r="C164" i="3"/>
  <c r="D164" i="3"/>
  <c r="O167" i="1" s="1"/>
  <c r="E164" i="3"/>
  <c r="F164" i="3"/>
  <c r="N164" i="3"/>
  <c r="O164" i="3"/>
  <c r="B165" i="3"/>
  <c r="C165" i="3"/>
  <c r="D165" i="3"/>
  <c r="O168" i="1" s="1"/>
  <c r="E165" i="3"/>
  <c r="F165" i="3"/>
  <c r="N165" i="3"/>
  <c r="O165" i="3"/>
  <c r="B166" i="3"/>
  <c r="C166" i="3"/>
  <c r="D166" i="3"/>
  <c r="O169" i="1" s="1"/>
  <c r="E166" i="3"/>
  <c r="F166" i="3"/>
  <c r="N166" i="3"/>
  <c r="O166" i="3"/>
  <c r="B167" i="3"/>
  <c r="C167" i="3"/>
  <c r="D167" i="3"/>
  <c r="O170" i="1" s="1"/>
  <c r="E167" i="3"/>
  <c r="F167" i="3"/>
  <c r="N167" i="3"/>
  <c r="O167" i="3"/>
  <c r="B168" i="3"/>
  <c r="C168" i="3"/>
  <c r="D168" i="3"/>
  <c r="O171" i="1" s="1"/>
  <c r="E168" i="3"/>
  <c r="F168" i="3"/>
  <c r="N168" i="3"/>
  <c r="O168" i="3"/>
  <c r="B169" i="3"/>
  <c r="C169" i="3"/>
  <c r="D169" i="3"/>
  <c r="O172" i="1" s="1"/>
  <c r="E169" i="3"/>
  <c r="F169" i="3"/>
  <c r="N169" i="3"/>
  <c r="J169" i="3" s="1"/>
  <c r="K169" i="3" s="1"/>
  <c r="L169" i="3" s="1"/>
  <c r="M169" i="3" s="1"/>
  <c r="O169" i="3"/>
  <c r="B170" i="3"/>
  <c r="C170" i="3"/>
  <c r="D170" i="3"/>
  <c r="O173" i="1" s="1"/>
  <c r="E170" i="3"/>
  <c r="F170" i="3"/>
  <c r="N170" i="3"/>
  <c r="J170" i="3" s="1"/>
  <c r="U170" i="3" s="1"/>
  <c r="O170" i="3"/>
  <c r="B171" i="3"/>
  <c r="C171" i="3"/>
  <c r="D171" i="3"/>
  <c r="O174" i="1" s="1"/>
  <c r="E171" i="3"/>
  <c r="F171" i="3"/>
  <c r="N171" i="3"/>
  <c r="J171" i="3" s="1"/>
  <c r="K171" i="3" s="1"/>
  <c r="L171" i="3" s="1"/>
  <c r="M171" i="3" s="1"/>
  <c r="R171" i="3" s="1"/>
  <c r="O171" i="3"/>
  <c r="B172" i="3"/>
  <c r="C172" i="3"/>
  <c r="D172" i="3"/>
  <c r="O175" i="1" s="1"/>
  <c r="E172" i="3"/>
  <c r="F172" i="3"/>
  <c r="N172" i="3"/>
  <c r="O172" i="3"/>
  <c r="B173" i="3"/>
  <c r="C173" i="3"/>
  <c r="D173" i="3"/>
  <c r="O176" i="1" s="1"/>
  <c r="E173" i="3"/>
  <c r="F173" i="3"/>
  <c r="N173" i="3"/>
  <c r="J173" i="3" s="1"/>
  <c r="K173" i="3" s="1"/>
  <c r="O173" i="3"/>
  <c r="B174" i="3"/>
  <c r="C174" i="3"/>
  <c r="D174" i="3"/>
  <c r="O177" i="1" s="1"/>
  <c r="E174" i="3"/>
  <c r="F174" i="3"/>
  <c r="N174" i="3"/>
  <c r="J174" i="3" s="1"/>
  <c r="K174" i="3" s="1"/>
  <c r="L174" i="3" s="1"/>
  <c r="M174" i="3" s="1"/>
  <c r="O174" i="3"/>
  <c r="B175" i="3"/>
  <c r="C175" i="3"/>
  <c r="D175" i="3"/>
  <c r="O178" i="1" s="1"/>
  <c r="E175" i="3"/>
  <c r="F175" i="3"/>
  <c r="N175" i="3"/>
  <c r="O175" i="3"/>
  <c r="B176" i="3"/>
  <c r="C176" i="3"/>
  <c r="D176" i="3"/>
  <c r="O179" i="1" s="1"/>
  <c r="E176" i="3"/>
  <c r="F176" i="3"/>
  <c r="N176" i="3"/>
  <c r="O176" i="3"/>
  <c r="B177" i="3"/>
  <c r="C177" i="3"/>
  <c r="D177" i="3"/>
  <c r="O180" i="1" s="1"/>
  <c r="E177" i="3"/>
  <c r="F177" i="3"/>
  <c r="N177" i="3"/>
  <c r="O177" i="3"/>
  <c r="B178" i="3"/>
  <c r="C178" i="3"/>
  <c r="D178" i="3"/>
  <c r="O181" i="1" s="1"/>
  <c r="E178" i="3"/>
  <c r="F178" i="3"/>
  <c r="N178" i="3"/>
  <c r="O178" i="3"/>
  <c r="B179" i="3"/>
  <c r="C179" i="3"/>
  <c r="D179" i="3"/>
  <c r="O182" i="1" s="1"/>
  <c r="E179" i="3"/>
  <c r="F179" i="3"/>
  <c r="N179" i="3"/>
  <c r="O179" i="3"/>
  <c r="B180" i="3"/>
  <c r="C180" i="3"/>
  <c r="D180" i="3"/>
  <c r="O183" i="1" s="1"/>
  <c r="E180" i="3"/>
  <c r="F180" i="3"/>
  <c r="N180" i="3"/>
  <c r="J180" i="3" s="1"/>
  <c r="K180" i="3" s="1"/>
  <c r="L180" i="3" s="1"/>
  <c r="M180" i="3" s="1"/>
  <c r="O180" i="3"/>
  <c r="B181" i="3"/>
  <c r="C181" i="3"/>
  <c r="D181" i="3"/>
  <c r="O184" i="1" s="1"/>
  <c r="E181" i="3"/>
  <c r="F181" i="3"/>
  <c r="N181" i="3"/>
  <c r="J181" i="3" s="1"/>
  <c r="K181" i="3" s="1"/>
  <c r="L181" i="3" s="1"/>
  <c r="M181" i="3" s="1"/>
  <c r="O181" i="3"/>
  <c r="B182" i="3"/>
  <c r="C182" i="3"/>
  <c r="D182" i="3"/>
  <c r="O185" i="1" s="1"/>
  <c r="E182" i="3"/>
  <c r="F182" i="3"/>
  <c r="N182" i="3"/>
  <c r="J182" i="3" s="1"/>
  <c r="U182" i="3" s="1"/>
  <c r="O182" i="3"/>
  <c r="B183" i="3"/>
  <c r="C183" i="3"/>
  <c r="D183" i="3"/>
  <c r="O186" i="1" s="1"/>
  <c r="E183" i="3"/>
  <c r="F183" i="3"/>
  <c r="N183" i="3"/>
  <c r="O183" i="3"/>
  <c r="U183" i="3"/>
  <c r="B184" i="3"/>
  <c r="C184" i="3"/>
  <c r="D184" i="3"/>
  <c r="O187" i="1" s="1"/>
  <c r="E184" i="3"/>
  <c r="F184" i="3"/>
  <c r="N184" i="3"/>
  <c r="O184" i="3"/>
  <c r="B185" i="3"/>
  <c r="C185" i="3"/>
  <c r="D185" i="3"/>
  <c r="O188" i="1" s="1"/>
  <c r="E185" i="3"/>
  <c r="F185" i="3"/>
  <c r="N185" i="3"/>
  <c r="O185" i="3"/>
  <c r="B186" i="3"/>
  <c r="C186" i="3"/>
  <c r="D186" i="3"/>
  <c r="O189" i="1" s="1"/>
  <c r="E186" i="3"/>
  <c r="F186" i="3"/>
  <c r="N186" i="3"/>
  <c r="O186" i="3"/>
  <c r="B187" i="3"/>
  <c r="C187" i="3"/>
  <c r="D187" i="3"/>
  <c r="O190" i="1" s="1"/>
  <c r="E187" i="3"/>
  <c r="F187" i="3"/>
  <c r="N187" i="3"/>
  <c r="O187" i="3"/>
  <c r="U187" i="3"/>
  <c r="B188" i="3"/>
  <c r="C188" i="3"/>
  <c r="D188" i="3"/>
  <c r="O191" i="1" s="1"/>
  <c r="E188" i="3"/>
  <c r="F188" i="3"/>
  <c r="N188" i="3"/>
  <c r="O188" i="3"/>
  <c r="U188" i="3"/>
  <c r="B189" i="3"/>
  <c r="C189" i="3"/>
  <c r="D189" i="3"/>
  <c r="O192" i="1" s="1"/>
  <c r="E189" i="3"/>
  <c r="F189" i="3"/>
  <c r="N189" i="3"/>
  <c r="O189" i="3"/>
  <c r="U189" i="3"/>
  <c r="B190" i="3"/>
  <c r="C190" i="3"/>
  <c r="D190" i="3"/>
  <c r="O193" i="1" s="1"/>
  <c r="E190" i="3"/>
  <c r="F190" i="3"/>
  <c r="N190" i="3"/>
  <c r="O190" i="3"/>
  <c r="U190" i="3"/>
  <c r="B191" i="3"/>
  <c r="C191" i="3"/>
  <c r="D191" i="3"/>
  <c r="O194" i="1" s="1"/>
  <c r="E191" i="3"/>
  <c r="F191" i="3"/>
  <c r="N191" i="3"/>
  <c r="O191" i="3"/>
  <c r="U191" i="3"/>
  <c r="B192" i="3"/>
  <c r="C192" i="3"/>
  <c r="D192" i="3"/>
  <c r="O195" i="1" s="1"/>
  <c r="E192" i="3"/>
  <c r="F192" i="3"/>
  <c r="N192" i="3"/>
  <c r="O192" i="3"/>
  <c r="U192" i="3"/>
  <c r="B193" i="3"/>
  <c r="C193" i="3"/>
  <c r="D193" i="3"/>
  <c r="O196" i="1" s="1"/>
  <c r="E193" i="3"/>
  <c r="F193" i="3"/>
  <c r="N193" i="3"/>
  <c r="J193" i="3" s="1"/>
  <c r="K193" i="3" s="1"/>
  <c r="L193" i="3" s="1"/>
  <c r="M193" i="3" s="1"/>
  <c r="O193" i="3"/>
  <c r="U193" i="3"/>
  <c r="B194" i="3"/>
  <c r="C194" i="3"/>
  <c r="D194" i="3"/>
  <c r="O197" i="1" s="1"/>
  <c r="E194" i="3"/>
  <c r="F194" i="3"/>
  <c r="N194" i="3"/>
  <c r="J194" i="3" s="1"/>
  <c r="U194" i="3" s="1"/>
  <c r="O194" i="3"/>
  <c r="B195" i="3"/>
  <c r="C195" i="3"/>
  <c r="D195" i="3"/>
  <c r="O198" i="1" s="1"/>
  <c r="E195" i="3"/>
  <c r="F195" i="3"/>
  <c r="N195" i="3"/>
  <c r="J195" i="3" s="1"/>
  <c r="K195" i="3" s="1"/>
  <c r="L195" i="3" s="1"/>
  <c r="M195" i="3" s="1"/>
  <c r="R195" i="3" s="1"/>
  <c r="O195" i="3"/>
  <c r="B196" i="3"/>
  <c r="C196" i="3"/>
  <c r="D196" i="3"/>
  <c r="O199" i="1" s="1"/>
  <c r="E196" i="3"/>
  <c r="F196" i="3"/>
  <c r="N196" i="3"/>
  <c r="O196" i="3"/>
  <c r="U196" i="3"/>
  <c r="B197" i="3"/>
  <c r="C197" i="3"/>
  <c r="D197" i="3"/>
  <c r="O200" i="1" s="1"/>
  <c r="E197" i="3"/>
  <c r="F197" i="3"/>
  <c r="N197" i="3"/>
  <c r="J197" i="3" s="1"/>
  <c r="K197" i="3" s="1"/>
  <c r="L197" i="3" s="1"/>
  <c r="M197" i="3" s="1"/>
  <c r="R197" i="3" s="1"/>
  <c r="O197" i="3"/>
  <c r="U197" i="3"/>
  <c r="B198" i="3"/>
  <c r="C198" i="3"/>
  <c r="D198" i="3"/>
  <c r="O201" i="1" s="1"/>
  <c r="E198" i="3"/>
  <c r="F198" i="3"/>
  <c r="N198" i="3"/>
  <c r="J198" i="3" s="1"/>
  <c r="K198" i="3" s="1"/>
  <c r="L198" i="3" s="1"/>
  <c r="M198" i="3" s="1"/>
  <c r="O198" i="3"/>
  <c r="U198" i="3"/>
  <c r="B199" i="3"/>
  <c r="C199" i="3"/>
  <c r="D199" i="3"/>
  <c r="O202" i="1" s="1"/>
  <c r="E199" i="3"/>
  <c r="F199" i="3"/>
  <c r="N199" i="3"/>
  <c r="O199" i="3"/>
  <c r="B200" i="3"/>
  <c r="C200" i="3"/>
  <c r="D200" i="3"/>
  <c r="O203" i="1" s="1"/>
  <c r="E200" i="3"/>
  <c r="F200" i="3"/>
  <c r="N200" i="3"/>
  <c r="O200" i="3"/>
  <c r="U200" i="3"/>
  <c r="B201" i="3"/>
  <c r="C201" i="3"/>
  <c r="D201" i="3"/>
  <c r="O204" i="1" s="1"/>
  <c r="E201" i="3"/>
  <c r="F201" i="3"/>
  <c r="N201" i="3"/>
  <c r="O201" i="3"/>
  <c r="B202" i="3"/>
  <c r="C202" i="3"/>
  <c r="D202" i="3"/>
  <c r="O205" i="1" s="1"/>
  <c r="E202" i="3"/>
  <c r="F202" i="3"/>
  <c r="N202" i="3"/>
  <c r="O202" i="3"/>
  <c r="B203" i="3"/>
  <c r="C203" i="3"/>
  <c r="D203" i="3"/>
  <c r="O206" i="1" s="1"/>
  <c r="E203" i="3"/>
  <c r="F203" i="3"/>
  <c r="N203" i="3"/>
  <c r="O203" i="3"/>
  <c r="B204" i="3"/>
  <c r="C204" i="3"/>
  <c r="D204" i="3"/>
  <c r="O207" i="1" s="1"/>
  <c r="E204" i="3"/>
  <c r="F204" i="3"/>
  <c r="N204" i="3"/>
  <c r="O204" i="3"/>
  <c r="B205" i="3"/>
  <c r="C205" i="3"/>
  <c r="D205" i="3"/>
  <c r="O208" i="1" s="1"/>
  <c r="E205" i="3"/>
  <c r="F205" i="3"/>
  <c r="N205" i="3"/>
  <c r="J205" i="3" s="1"/>
  <c r="K205" i="3" s="1"/>
  <c r="L205" i="3" s="1"/>
  <c r="M205" i="3" s="1"/>
  <c r="O205" i="3"/>
  <c r="B206" i="3"/>
  <c r="C206" i="3"/>
  <c r="D206" i="3"/>
  <c r="O209" i="1" s="1"/>
  <c r="E206" i="3"/>
  <c r="F206" i="3"/>
  <c r="N206" i="3"/>
  <c r="J206" i="3" s="1"/>
  <c r="U206" i="3" s="1"/>
  <c r="O206" i="3"/>
  <c r="B207" i="3"/>
  <c r="C207" i="3"/>
  <c r="D207" i="3"/>
  <c r="O210" i="1" s="1"/>
  <c r="E207" i="3"/>
  <c r="F207" i="3"/>
  <c r="N207" i="3"/>
  <c r="O207" i="3"/>
  <c r="B208" i="3"/>
  <c r="C208" i="3"/>
  <c r="D208" i="3"/>
  <c r="O211" i="1" s="1"/>
  <c r="E208" i="3"/>
  <c r="F208" i="3"/>
  <c r="N208" i="3"/>
  <c r="O208" i="3"/>
  <c r="B209" i="3"/>
  <c r="C209" i="3"/>
  <c r="D209" i="3"/>
  <c r="O212" i="1" s="1"/>
  <c r="E209" i="3"/>
  <c r="F209" i="3"/>
  <c r="N209" i="3"/>
  <c r="J209" i="3" s="1"/>
  <c r="O209" i="3"/>
  <c r="U209" i="3"/>
  <c r="B210" i="3"/>
  <c r="C210" i="3"/>
  <c r="D210" i="3"/>
  <c r="O213" i="1" s="1"/>
  <c r="E210" i="3"/>
  <c r="F210" i="3"/>
  <c r="N210" i="3"/>
  <c r="O210" i="3"/>
  <c r="U210" i="3"/>
  <c r="B211" i="3"/>
  <c r="C211" i="3"/>
  <c r="D211" i="3"/>
  <c r="O214" i="1" s="1"/>
  <c r="E211" i="3"/>
  <c r="F211" i="3"/>
  <c r="N211" i="3"/>
  <c r="O211" i="3"/>
  <c r="B212" i="3"/>
  <c r="C212" i="3"/>
  <c r="D212" i="3"/>
  <c r="O215" i="1" s="1"/>
  <c r="E212" i="3"/>
  <c r="F212" i="3"/>
  <c r="N212" i="3"/>
  <c r="O212" i="3"/>
  <c r="U212" i="3"/>
  <c r="B213" i="3"/>
  <c r="C213" i="3"/>
  <c r="D213" i="3"/>
  <c r="O216" i="1" s="1"/>
  <c r="E213" i="3"/>
  <c r="F213" i="3"/>
  <c r="N213" i="3"/>
  <c r="J213" i="3" s="1"/>
  <c r="K213" i="3" s="1"/>
  <c r="L213" i="3" s="1"/>
  <c r="M213" i="3" s="1"/>
  <c r="O213" i="3"/>
  <c r="B214" i="3"/>
  <c r="C214" i="3"/>
  <c r="D214" i="3"/>
  <c r="O217" i="1" s="1"/>
  <c r="E214" i="3"/>
  <c r="F214" i="3"/>
  <c r="N214" i="3"/>
  <c r="O214" i="3"/>
  <c r="U214" i="3"/>
  <c r="B215" i="3"/>
  <c r="C215" i="3"/>
  <c r="D215" i="3"/>
  <c r="O218" i="1" s="1"/>
  <c r="E215" i="3"/>
  <c r="F215" i="3"/>
  <c r="N215" i="3"/>
  <c r="J215" i="3" s="1"/>
  <c r="K215" i="3" s="1"/>
  <c r="O215" i="3"/>
  <c r="B216" i="3"/>
  <c r="C216" i="3"/>
  <c r="D216" i="3"/>
  <c r="O219" i="1" s="1"/>
  <c r="E216" i="3"/>
  <c r="F216" i="3"/>
  <c r="N216" i="3"/>
  <c r="J216" i="3" s="1"/>
  <c r="K216" i="3" s="1"/>
  <c r="L216" i="3" s="1"/>
  <c r="M216" i="3" s="1"/>
  <c r="O216" i="3"/>
  <c r="U216" i="3"/>
  <c r="B217" i="3"/>
  <c r="C217" i="3"/>
  <c r="D217" i="3"/>
  <c r="O220" i="1" s="1"/>
  <c r="E217" i="3"/>
  <c r="F217" i="3"/>
  <c r="N217" i="3"/>
  <c r="J217" i="3" s="1"/>
  <c r="K217" i="3" s="1"/>
  <c r="L217" i="3" s="1"/>
  <c r="M217" i="3" s="1"/>
  <c r="O217" i="3"/>
  <c r="B218" i="3"/>
  <c r="C218" i="3"/>
  <c r="D218" i="3"/>
  <c r="O221" i="1" s="1"/>
  <c r="E218" i="3"/>
  <c r="F218" i="3"/>
  <c r="N218" i="3"/>
  <c r="J218" i="3" s="1"/>
  <c r="O218" i="3"/>
  <c r="U218" i="3"/>
  <c r="B219" i="3"/>
  <c r="C219" i="3"/>
  <c r="D219" i="3"/>
  <c r="O222" i="1" s="1"/>
  <c r="E219" i="3"/>
  <c r="F219" i="3"/>
  <c r="N219" i="3"/>
  <c r="J219" i="3" s="1"/>
  <c r="K219" i="3" s="1"/>
  <c r="L219" i="3" s="1"/>
  <c r="M219" i="3" s="1"/>
  <c r="R219" i="3" s="1"/>
  <c r="O219" i="3"/>
  <c r="U219" i="3"/>
  <c r="B220" i="3"/>
  <c r="C220" i="3"/>
  <c r="D220" i="3"/>
  <c r="O223" i="1" s="1"/>
  <c r="E220" i="3"/>
  <c r="F220" i="3"/>
  <c r="N220" i="3"/>
  <c r="O220" i="3"/>
  <c r="U220" i="3"/>
  <c r="B221" i="3"/>
  <c r="C221" i="3"/>
  <c r="D221" i="3"/>
  <c r="O224" i="1" s="1"/>
  <c r="E221" i="3"/>
  <c r="F221" i="3"/>
  <c r="N221" i="3"/>
  <c r="O221" i="3"/>
  <c r="U221" i="3"/>
  <c r="B222" i="3"/>
  <c r="C222" i="3"/>
  <c r="D222" i="3"/>
  <c r="O225" i="1" s="1"/>
  <c r="E222" i="3"/>
  <c r="F222" i="3"/>
  <c r="N222" i="3"/>
  <c r="J222" i="3" s="1"/>
  <c r="K222" i="3" s="1"/>
  <c r="L222" i="3" s="1"/>
  <c r="M222" i="3" s="1"/>
  <c r="O222" i="3"/>
  <c r="U222" i="3"/>
  <c r="B223" i="3"/>
  <c r="C223" i="3"/>
  <c r="D223" i="3"/>
  <c r="O226" i="1" s="1"/>
  <c r="E223" i="3"/>
  <c r="F223" i="3"/>
  <c r="N223" i="3"/>
  <c r="O223" i="3"/>
  <c r="B224" i="3"/>
  <c r="C224" i="3"/>
  <c r="D224" i="3"/>
  <c r="O227" i="1" s="1"/>
  <c r="E224" i="3"/>
  <c r="F224" i="3"/>
  <c r="N224" i="3"/>
  <c r="O224" i="3"/>
  <c r="B225" i="3"/>
  <c r="C225" i="3"/>
  <c r="D225" i="3"/>
  <c r="O228" i="1" s="1"/>
  <c r="E225" i="3"/>
  <c r="F225" i="3"/>
  <c r="N225" i="3"/>
  <c r="O225" i="3"/>
  <c r="B226" i="3"/>
  <c r="C226" i="3"/>
  <c r="D226" i="3"/>
  <c r="O229" i="1" s="1"/>
  <c r="E226" i="3"/>
  <c r="F226" i="3"/>
  <c r="N226" i="3"/>
  <c r="O226" i="3"/>
  <c r="B227" i="3"/>
  <c r="C227" i="3"/>
  <c r="D227" i="3"/>
  <c r="O230" i="1" s="1"/>
  <c r="E227" i="3"/>
  <c r="F227" i="3"/>
  <c r="N227" i="3"/>
  <c r="O227" i="3"/>
  <c r="B228" i="3"/>
  <c r="C228" i="3"/>
  <c r="D228" i="3"/>
  <c r="O231" i="1" s="1"/>
  <c r="E228" i="3"/>
  <c r="F228" i="3"/>
  <c r="N228" i="3"/>
  <c r="O228" i="3"/>
  <c r="U228" i="3"/>
  <c r="B229" i="3"/>
  <c r="C229" i="3"/>
  <c r="D229" i="3"/>
  <c r="O232" i="1" s="1"/>
  <c r="E229" i="3"/>
  <c r="F229" i="3"/>
  <c r="N229" i="3"/>
  <c r="J229" i="3" s="1"/>
  <c r="K229" i="3" s="1"/>
  <c r="L229" i="3" s="1"/>
  <c r="M229" i="3" s="1"/>
  <c r="O229" i="3"/>
  <c r="B230" i="3"/>
  <c r="C230" i="3"/>
  <c r="D230" i="3"/>
  <c r="O233" i="1" s="1"/>
  <c r="E230" i="3"/>
  <c r="F230" i="3"/>
  <c r="N230" i="3"/>
  <c r="J230" i="3" s="1"/>
  <c r="O230" i="3"/>
  <c r="U230" i="3"/>
  <c r="B231" i="3"/>
  <c r="C231" i="3"/>
  <c r="D231" i="3"/>
  <c r="O234" i="1" s="1"/>
  <c r="E231" i="3"/>
  <c r="F231" i="3"/>
  <c r="N231" i="3"/>
  <c r="O231" i="3"/>
  <c r="B232" i="3"/>
  <c r="C232" i="3"/>
  <c r="D232" i="3"/>
  <c r="O235" i="1" s="1"/>
  <c r="E232" i="3"/>
  <c r="F232" i="3"/>
  <c r="N232" i="3"/>
  <c r="O232" i="3"/>
  <c r="U232" i="3"/>
  <c r="B233" i="3"/>
  <c r="C233" i="3"/>
  <c r="D233" i="3"/>
  <c r="O236" i="1" s="1"/>
  <c r="E233" i="3"/>
  <c r="F233" i="3"/>
  <c r="N233" i="3"/>
  <c r="O233" i="3"/>
  <c r="B234" i="3"/>
  <c r="C234" i="3"/>
  <c r="D234" i="3"/>
  <c r="O237" i="1" s="1"/>
  <c r="E234" i="3"/>
  <c r="F234" i="3"/>
  <c r="N234" i="3"/>
  <c r="J234" i="3" s="1"/>
  <c r="K234" i="3" s="1"/>
  <c r="L234" i="3" s="1"/>
  <c r="M234" i="3" s="1"/>
  <c r="O234" i="3"/>
  <c r="B235" i="3"/>
  <c r="C235" i="3"/>
  <c r="D235" i="3"/>
  <c r="O238" i="1" s="1"/>
  <c r="E235" i="3"/>
  <c r="F235" i="3"/>
  <c r="N235" i="3"/>
  <c r="J235" i="3" s="1"/>
  <c r="K235" i="3" s="1"/>
  <c r="L235" i="3" s="1"/>
  <c r="M235" i="3" s="1"/>
  <c r="R235" i="3" s="1"/>
  <c r="O235" i="3"/>
  <c r="B236" i="3"/>
  <c r="C236" i="3"/>
  <c r="D236" i="3"/>
  <c r="O239" i="1" s="1"/>
  <c r="E236" i="3"/>
  <c r="F236" i="3"/>
  <c r="N236" i="3"/>
  <c r="O236" i="3"/>
  <c r="B237" i="3"/>
  <c r="C237" i="3"/>
  <c r="D237" i="3"/>
  <c r="O240" i="1" s="1"/>
  <c r="E237" i="3"/>
  <c r="F237" i="3"/>
  <c r="N237" i="3"/>
  <c r="O237" i="3"/>
  <c r="B238" i="3"/>
  <c r="C238" i="3"/>
  <c r="D238" i="3"/>
  <c r="O241" i="1" s="1"/>
  <c r="E238" i="3"/>
  <c r="F238" i="3"/>
  <c r="N238" i="3"/>
  <c r="O238" i="3"/>
  <c r="B239" i="3"/>
  <c r="C239" i="3"/>
  <c r="D239" i="3"/>
  <c r="O242" i="1" s="1"/>
  <c r="E239" i="3"/>
  <c r="F239" i="3"/>
  <c r="N239" i="3"/>
  <c r="J239" i="3" s="1"/>
  <c r="K239" i="3" s="1"/>
  <c r="O239" i="3"/>
  <c r="B240" i="3"/>
  <c r="C240" i="3"/>
  <c r="D240" i="3"/>
  <c r="O243" i="1" s="1"/>
  <c r="E240" i="3"/>
  <c r="F240" i="3"/>
  <c r="N240" i="3"/>
  <c r="J240" i="3" s="1"/>
  <c r="K240" i="3" s="1"/>
  <c r="O240" i="3"/>
  <c r="B241" i="3"/>
  <c r="C241" i="3"/>
  <c r="D241" i="3"/>
  <c r="O244" i="1" s="1"/>
  <c r="E241" i="3"/>
  <c r="F241" i="3"/>
  <c r="N241" i="3"/>
  <c r="J241" i="3" s="1"/>
  <c r="K241" i="3" s="1"/>
  <c r="L241" i="3" s="1"/>
  <c r="M241" i="3" s="1"/>
  <c r="R241" i="3" s="1"/>
  <c r="O241" i="3"/>
  <c r="U241" i="3"/>
  <c r="B242" i="3"/>
  <c r="C242" i="3"/>
  <c r="D242" i="3"/>
  <c r="O245" i="1" s="1"/>
  <c r="E242" i="3"/>
  <c r="F242" i="3"/>
  <c r="N242" i="3"/>
  <c r="J242" i="3" s="1"/>
  <c r="K242" i="3" s="1"/>
  <c r="L242" i="3" s="1"/>
  <c r="M242" i="3" s="1"/>
  <c r="O242" i="3"/>
  <c r="B243" i="3"/>
  <c r="C243" i="3"/>
  <c r="D243" i="3"/>
  <c r="O246" i="1" s="1"/>
  <c r="E243" i="3"/>
  <c r="F243" i="3"/>
  <c r="N243" i="3"/>
  <c r="O243" i="3"/>
  <c r="B244" i="3"/>
  <c r="C244" i="3"/>
  <c r="D244" i="3"/>
  <c r="O247" i="1" s="1"/>
  <c r="E244" i="3"/>
  <c r="F244" i="3"/>
  <c r="N244" i="3"/>
  <c r="O244" i="3"/>
  <c r="B245" i="3"/>
  <c r="C245" i="3"/>
  <c r="D245" i="3"/>
  <c r="O248" i="1" s="1"/>
  <c r="E245" i="3"/>
  <c r="F245" i="3"/>
  <c r="N245" i="3"/>
  <c r="O245" i="3"/>
  <c r="B246" i="3"/>
  <c r="C246" i="3"/>
  <c r="D246" i="3"/>
  <c r="O249" i="1" s="1"/>
  <c r="E246" i="3"/>
  <c r="F246" i="3"/>
  <c r="N246" i="3"/>
  <c r="O246" i="3"/>
  <c r="B247" i="3"/>
  <c r="C247" i="3"/>
  <c r="D247" i="3"/>
  <c r="O250" i="1" s="1"/>
  <c r="E247" i="3"/>
  <c r="F247" i="3"/>
  <c r="N247" i="3"/>
  <c r="O247" i="3"/>
  <c r="U247" i="3"/>
  <c r="B248" i="3"/>
  <c r="C248" i="3"/>
  <c r="D248" i="3"/>
  <c r="O251" i="1" s="1"/>
  <c r="E248" i="3"/>
  <c r="F248" i="3"/>
  <c r="N248" i="3"/>
  <c r="O248" i="3"/>
  <c r="B249" i="3"/>
  <c r="C249" i="3"/>
  <c r="D249" i="3"/>
  <c r="O252" i="1" s="1"/>
  <c r="E249" i="3"/>
  <c r="F249" i="3"/>
  <c r="N249" i="3"/>
  <c r="O249" i="3"/>
  <c r="U249" i="3"/>
  <c r="B250" i="3"/>
  <c r="C250" i="3"/>
  <c r="D250" i="3"/>
  <c r="O253" i="1" s="1"/>
  <c r="E250" i="3"/>
  <c r="F250" i="3"/>
  <c r="N250" i="3"/>
  <c r="O250" i="3"/>
  <c r="B251" i="3"/>
  <c r="C251" i="3"/>
  <c r="D251" i="3"/>
  <c r="O254" i="1" s="1"/>
  <c r="E251" i="3"/>
  <c r="F251" i="3"/>
  <c r="N251" i="3"/>
  <c r="O251" i="3"/>
  <c r="B252" i="3"/>
  <c r="C252" i="3"/>
  <c r="D252" i="3"/>
  <c r="O255" i="1" s="1"/>
  <c r="E252" i="3"/>
  <c r="F252" i="3"/>
  <c r="N252" i="3"/>
  <c r="O252" i="3"/>
  <c r="U252" i="3"/>
  <c r="B253" i="3"/>
  <c r="C253" i="3"/>
  <c r="D253" i="3"/>
  <c r="O256" i="1" s="1"/>
  <c r="E253" i="3"/>
  <c r="F253" i="3"/>
  <c r="N253" i="3"/>
  <c r="J253" i="3" s="1"/>
  <c r="K253" i="3" s="1"/>
  <c r="L253" i="3" s="1"/>
  <c r="M253" i="3" s="1"/>
  <c r="R253" i="3" s="1"/>
  <c r="O253" i="3"/>
  <c r="U253" i="3"/>
  <c r="B254" i="3"/>
  <c r="C254" i="3"/>
  <c r="D254" i="3"/>
  <c r="O257" i="1" s="1"/>
  <c r="E254" i="3"/>
  <c r="F254" i="3"/>
  <c r="N254" i="3"/>
  <c r="J254" i="3" s="1"/>
  <c r="K254" i="3" s="1"/>
  <c r="L254" i="3" s="1"/>
  <c r="M254" i="3" s="1"/>
  <c r="O254" i="3"/>
  <c r="U254" i="3"/>
  <c r="B255" i="3"/>
  <c r="C255" i="3"/>
  <c r="D255" i="3"/>
  <c r="O258" i="1" s="1"/>
  <c r="E255" i="3"/>
  <c r="F255" i="3"/>
  <c r="N255" i="3"/>
  <c r="O255" i="3"/>
  <c r="U255" i="3"/>
  <c r="B256" i="3"/>
  <c r="C256" i="3"/>
  <c r="D256" i="3"/>
  <c r="O259" i="1" s="1"/>
  <c r="E256" i="3"/>
  <c r="F256" i="3"/>
  <c r="N256" i="3"/>
  <c r="O256" i="3"/>
  <c r="U256" i="3"/>
  <c r="B257" i="3"/>
  <c r="C257" i="3"/>
  <c r="D257" i="3"/>
  <c r="O260" i="1" s="1"/>
  <c r="E257" i="3"/>
  <c r="F257" i="3"/>
  <c r="N257" i="3"/>
  <c r="O257" i="3"/>
  <c r="U257" i="3"/>
  <c r="B258" i="3"/>
  <c r="C258" i="3"/>
  <c r="D258" i="3"/>
  <c r="O261" i="1" s="1"/>
  <c r="E258" i="3"/>
  <c r="F258" i="3"/>
  <c r="N258" i="3"/>
  <c r="O258" i="3"/>
  <c r="U258" i="3"/>
  <c r="B259" i="3"/>
  <c r="C259" i="3"/>
  <c r="D259" i="3"/>
  <c r="O262" i="1" s="1"/>
  <c r="E259" i="3"/>
  <c r="F259" i="3"/>
  <c r="N259" i="3"/>
  <c r="J259" i="3" s="1"/>
  <c r="K259" i="3" s="1"/>
  <c r="L259" i="3" s="1"/>
  <c r="M259" i="3" s="1"/>
  <c r="O259" i="3"/>
  <c r="U259" i="3"/>
  <c r="B260" i="3"/>
  <c r="C260" i="3"/>
  <c r="D260" i="3"/>
  <c r="O263" i="1" s="1"/>
  <c r="E260" i="3"/>
  <c r="F260" i="3"/>
  <c r="N260" i="3"/>
  <c r="J260" i="3" s="1"/>
  <c r="K260" i="3" s="1"/>
  <c r="L260" i="3" s="1"/>
  <c r="M260" i="3" s="1"/>
  <c r="R260" i="3" s="1"/>
  <c r="O260" i="3"/>
  <c r="U260" i="3"/>
  <c r="B261" i="3"/>
  <c r="C261" i="3"/>
  <c r="D261" i="3"/>
  <c r="O264" i="1" s="1"/>
  <c r="E261" i="3"/>
  <c r="F261" i="3"/>
  <c r="N261" i="3"/>
  <c r="O261" i="3"/>
  <c r="U261" i="3"/>
  <c r="B262" i="3"/>
  <c r="C262" i="3"/>
  <c r="D262" i="3"/>
  <c r="O265" i="1" s="1"/>
  <c r="E262" i="3"/>
  <c r="F262" i="3"/>
  <c r="N262" i="3"/>
  <c r="O262" i="3"/>
  <c r="U262" i="3"/>
  <c r="B263" i="3"/>
  <c r="C263" i="3"/>
  <c r="D263" i="3"/>
  <c r="O266" i="1" s="1"/>
  <c r="E263" i="3"/>
  <c r="F263" i="3"/>
  <c r="N263" i="3"/>
  <c r="J263" i="3" s="1"/>
  <c r="K263" i="3" s="1"/>
  <c r="O263" i="3"/>
  <c r="B264" i="3"/>
  <c r="C264" i="3"/>
  <c r="D264" i="3"/>
  <c r="O267" i="1" s="1"/>
  <c r="E264" i="3"/>
  <c r="F264" i="3"/>
  <c r="N264" i="3"/>
  <c r="O264" i="3"/>
  <c r="B265" i="3"/>
  <c r="C265" i="3"/>
  <c r="D265" i="3"/>
  <c r="O268" i="1" s="1"/>
  <c r="E265" i="3"/>
  <c r="F265" i="3"/>
  <c r="N265" i="3"/>
  <c r="J265" i="3" s="1"/>
  <c r="K265" i="3" s="1"/>
  <c r="L265" i="3" s="1"/>
  <c r="M265" i="3" s="1"/>
  <c r="R265" i="3" s="1"/>
  <c r="O265" i="3"/>
  <c r="B266" i="3"/>
  <c r="C266" i="3"/>
  <c r="D266" i="3"/>
  <c r="O269" i="1" s="1"/>
  <c r="E266" i="3"/>
  <c r="F266" i="3"/>
  <c r="N266" i="3"/>
  <c r="J266" i="3" s="1"/>
  <c r="K266" i="3" s="1"/>
  <c r="L266" i="3" s="1"/>
  <c r="M266" i="3" s="1"/>
  <c r="O266" i="3"/>
  <c r="B267" i="3"/>
  <c r="C267" i="3"/>
  <c r="D267" i="3"/>
  <c r="O270" i="1" s="1"/>
  <c r="E267" i="3"/>
  <c r="F267" i="3"/>
  <c r="N267" i="3"/>
  <c r="J267" i="3" s="1"/>
  <c r="K267" i="3" s="1"/>
  <c r="L267" i="3" s="1"/>
  <c r="M267" i="3" s="1"/>
  <c r="R267" i="3" s="1"/>
  <c r="O267" i="3"/>
  <c r="B268" i="3"/>
  <c r="C268" i="3"/>
  <c r="D268" i="3"/>
  <c r="O271" i="1" s="1"/>
  <c r="E268" i="3"/>
  <c r="F268" i="3"/>
  <c r="N268" i="3"/>
  <c r="J268" i="3" s="1"/>
  <c r="K268" i="3" s="1"/>
  <c r="L268" i="3" s="1"/>
  <c r="M268" i="3" s="1"/>
  <c r="R268" i="3" s="1"/>
  <c r="O268" i="3"/>
  <c r="U268" i="3"/>
  <c r="B269" i="3"/>
  <c r="C269" i="3"/>
  <c r="D269" i="3"/>
  <c r="O272" i="1" s="1"/>
  <c r="E269" i="3"/>
  <c r="F269" i="3"/>
  <c r="N269" i="3"/>
  <c r="O269" i="3"/>
  <c r="U269" i="3"/>
  <c r="B270" i="3"/>
  <c r="C270" i="3"/>
  <c r="D270" i="3"/>
  <c r="O273" i="1" s="1"/>
  <c r="E270" i="3"/>
  <c r="F270" i="3"/>
  <c r="N270" i="3"/>
  <c r="O270" i="3"/>
  <c r="U270" i="3"/>
  <c r="B271" i="3"/>
  <c r="C271" i="3"/>
  <c r="D271" i="3"/>
  <c r="O274" i="1" s="1"/>
  <c r="E271" i="3"/>
  <c r="F271" i="3"/>
  <c r="N271" i="3"/>
  <c r="J271" i="3" s="1"/>
  <c r="K271" i="3" s="1"/>
  <c r="L271" i="3" s="1"/>
  <c r="M271" i="3" s="1"/>
  <c r="O271" i="3"/>
  <c r="B272" i="3"/>
  <c r="C272" i="3"/>
  <c r="D272" i="3"/>
  <c r="O275" i="1" s="1"/>
  <c r="E272" i="3"/>
  <c r="F272" i="3"/>
  <c r="N272" i="3"/>
  <c r="O272" i="3"/>
  <c r="B273" i="3"/>
  <c r="C273" i="3"/>
  <c r="D273" i="3"/>
  <c r="O276" i="1" s="1"/>
  <c r="E273" i="3"/>
  <c r="F273" i="3"/>
  <c r="N273" i="3"/>
  <c r="O273" i="3"/>
  <c r="B274" i="3"/>
  <c r="C274" i="3"/>
  <c r="D274" i="3"/>
  <c r="O277" i="1" s="1"/>
  <c r="E274" i="3"/>
  <c r="F274" i="3"/>
  <c r="N274" i="3"/>
  <c r="O274" i="3"/>
  <c r="B275" i="3"/>
  <c r="C275" i="3"/>
  <c r="D275" i="3"/>
  <c r="O278" i="1" s="1"/>
  <c r="E275" i="3"/>
  <c r="F275" i="3"/>
  <c r="N275" i="3"/>
  <c r="J275" i="3" s="1"/>
  <c r="K275" i="3" s="1"/>
  <c r="L275" i="3" s="1"/>
  <c r="M275" i="3" s="1"/>
  <c r="O275" i="3"/>
  <c r="U275" i="3"/>
  <c r="B276" i="3"/>
  <c r="C276" i="3"/>
  <c r="D276" i="3"/>
  <c r="O279" i="1" s="1"/>
  <c r="E276" i="3"/>
  <c r="F276" i="3"/>
  <c r="N276" i="3"/>
  <c r="O276" i="3"/>
  <c r="B277" i="3"/>
  <c r="C277" i="3"/>
  <c r="D277" i="3"/>
  <c r="O280" i="1" s="1"/>
  <c r="E277" i="3"/>
  <c r="F277" i="3"/>
  <c r="N277" i="3"/>
  <c r="J277" i="3" s="1"/>
  <c r="K277" i="3" s="1"/>
  <c r="L277" i="3" s="1"/>
  <c r="M277" i="3" s="1"/>
  <c r="R277" i="3" s="1"/>
  <c r="O277" i="3"/>
  <c r="B278" i="3"/>
  <c r="C278" i="3"/>
  <c r="D278" i="3"/>
  <c r="O281" i="1" s="1"/>
  <c r="E278" i="3"/>
  <c r="F278" i="3"/>
  <c r="N278" i="3"/>
  <c r="J278" i="3" s="1"/>
  <c r="K278" i="3" s="1"/>
  <c r="L278" i="3" s="1"/>
  <c r="M278" i="3" s="1"/>
  <c r="O278" i="3"/>
  <c r="U278" i="3"/>
  <c r="B279" i="3"/>
  <c r="C279" i="3"/>
  <c r="D279" i="3"/>
  <c r="O282" i="1" s="1"/>
  <c r="E279" i="3"/>
  <c r="F279" i="3"/>
  <c r="N279" i="3"/>
  <c r="O279" i="3"/>
  <c r="B280" i="3"/>
  <c r="C280" i="3"/>
  <c r="D280" i="3"/>
  <c r="O283" i="1" s="1"/>
  <c r="E280" i="3"/>
  <c r="F280" i="3"/>
  <c r="N280" i="3"/>
  <c r="O280" i="3"/>
  <c r="U280" i="3"/>
  <c r="B281" i="3"/>
  <c r="C281" i="3"/>
  <c r="D281" i="3"/>
  <c r="O284" i="1" s="1"/>
  <c r="E281" i="3"/>
  <c r="F281" i="3"/>
  <c r="N281" i="3"/>
  <c r="O281" i="3"/>
  <c r="U281" i="3"/>
  <c r="B282" i="3"/>
  <c r="C282" i="3"/>
  <c r="D282" i="3"/>
  <c r="O285" i="1" s="1"/>
  <c r="E282" i="3"/>
  <c r="F282" i="3"/>
  <c r="N282" i="3"/>
  <c r="O282" i="3"/>
  <c r="B283" i="3"/>
  <c r="C283" i="3"/>
  <c r="D283" i="3"/>
  <c r="O286" i="1" s="1"/>
  <c r="E283" i="3"/>
  <c r="F283" i="3"/>
  <c r="N283" i="3"/>
  <c r="O283" i="3"/>
  <c r="U283" i="3"/>
  <c r="B284" i="3"/>
  <c r="C284" i="3"/>
  <c r="D284" i="3"/>
  <c r="O287" i="1" s="1"/>
  <c r="E284" i="3"/>
  <c r="F284" i="3"/>
  <c r="N284" i="3"/>
  <c r="J284" i="3" s="1"/>
  <c r="K284" i="3" s="1"/>
  <c r="L284" i="3" s="1"/>
  <c r="M284" i="3" s="1"/>
  <c r="R284" i="3" s="1"/>
  <c r="O284" i="3"/>
  <c r="U284" i="3"/>
  <c r="B285" i="3"/>
  <c r="C285" i="3"/>
  <c r="D285" i="3"/>
  <c r="O288" i="1" s="1"/>
  <c r="E285" i="3"/>
  <c r="F285" i="3"/>
  <c r="N285" i="3"/>
  <c r="O285" i="3"/>
  <c r="B286" i="3"/>
  <c r="C286" i="3"/>
  <c r="D286" i="3"/>
  <c r="O289" i="1" s="1"/>
  <c r="E286" i="3"/>
  <c r="F286" i="3"/>
  <c r="N286" i="3"/>
  <c r="O286" i="3"/>
  <c r="U286" i="3"/>
  <c r="B287" i="3"/>
  <c r="C287" i="3"/>
  <c r="D287" i="3"/>
  <c r="O290" i="1" s="1"/>
  <c r="E287" i="3"/>
  <c r="F287" i="3"/>
  <c r="N287" i="3"/>
  <c r="O287" i="3"/>
  <c r="B288" i="3"/>
  <c r="C288" i="3"/>
  <c r="D288" i="3"/>
  <c r="O291" i="1" s="1"/>
  <c r="E288" i="3"/>
  <c r="F288" i="3"/>
  <c r="N288" i="3"/>
  <c r="O288" i="3"/>
  <c r="B289" i="3"/>
  <c r="C289" i="3"/>
  <c r="D289" i="3"/>
  <c r="O292" i="1" s="1"/>
  <c r="E289" i="3"/>
  <c r="F289" i="3"/>
  <c r="N289" i="3"/>
  <c r="J289" i="3" s="1"/>
  <c r="K289" i="3" s="1"/>
  <c r="L289" i="3" s="1"/>
  <c r="M289" i="3" s="1"/>
  <c r="R289" i="3" s="1"/>
  <c r="O289" i="3"/>
  <c r="U289" i="3"/>
  <c r="B290" i="3"/>
  <c r="C290" i="3"/>
  <c r="D290" i="3"/>
  <c r="O293" i="1" s="1"/>
  <c r="E290" i="3"/>
  <c r="F290" i="3"/>
  <c r="N290" i="3"/>
  <c r="J290" i="3" s="1"/>
  <c r="K290" i="3" s="1"/>
  <c r="L290" i="3" s="1"/>
  <c r="M290" i="3" s="1"/>
  <c r="O290" i="3"/>
  <c r="U290" i="3"/>
  <c r="B291" i="3"/>
  <c r="C291" i="3"/>
  <c r="D291" i="3"/>
  <c r="O294" i="1" s="1"/>
  <c r="E291" i="3"/>
  <c r="F291" i="3"/>
  <c r="N291" i="3"/>
  <c r="O291" i="3"/>
  <c r="B292" i="3"/>
  <c r="C292" i="3"/>
  <c r="D292" i="3"/>
  <c r="O295" i="1" s="1"/>
  <c r="E292" i="3"/>
  <c r="F292" i="3"/>
  <c r="N292" i="3"/>
  <c r="O292" i="3"/>
  <c r="B293" i="3"/>
  <c r="C293" i="3"/>
  <c r="D293" i="3"/>
  <c r="O296" i="1" s="1"/>
  <c r="E293" i="3"/>
  <c r="F293" i="3"/>
  <c r="N293" i="3"/>
  <c r="O293" i="3"/>
  <c r="B294" i="3"/>
  <c r="C294" i="3"/>
  <c r="D294" i="3"/>
  <c r="O297" i="1" s="1"/>
  <c r="E294" i="3"/>
  <c r="F294" i="3"/>
  <c r="N294" i="3"/>
  <c r="O294" i="3"/>
  <c r="U294" i="3"/>
  <c r="B295" i="3"/>
  <c r="C295" i="3"/>
  <c r="D295" i="3"/>
  <c r="O298" i="1" s="1"/>
  <c r="E295" i="3"/>
  <c r="F295" i="3"/>
  <c r="N295" i="3"/>
  <c r="O295" i="3"/>
  <c r="B296" i="3"/>
  <c r="C296" i="3"/>
  <c r="D296" i="3"/>
  <c r="O299" i="1" s="1"/>
  <c r="E296" i="3"/>
  <c r="F296" i="3"/>
  <c r="N296" i="3"/>
  <c r="O296" i="3"/>
  <c r="U296" i="3"/>
  <c r="B297" i="3"/>
  <c r="C297" i="3"/>
  <c r="D297" i="3"/>
  <c r="O300" i="1" s="1"/>
  <c r="E297" i="3"/>
  <c r="F297" i="3"/>
  <c r="N297" i="3"/>
  <c r="O297" i="3"/>
  <c r="U297" i="3"/>
  <c r="B298" i="3"/>
  <c r="C298" i="3"/>
  <c r="D298" i="3"/>
  <c r="O301" i="1" s="1"/>
  <c r="E298" i="3"/>
  <c r="F298" i="3"/>
  <c r="N298" i="3"/>
  <c r="O298" i="3"/>
  <c r="U298" i="3"/>
  <c r="B299" i="3"/>
  <c r="C299" i="3"/>
  <c r="D299" i="3"/>
  <c r="O302" i="1" s="1"/>
  <c r="E299" i="3"/>
  <c r="F299" i="3"/>
  <c r="N299" i="3"/>
  <c r="O299" i="3"/>
  <c r="U299" i="3"/>
  <c r="B300" i="3"/>
  <c r="C300" i="3"/>
  <c r="D300" i="3"/>
  <c r="O303" i="1" s="1"/>
  <c r="E300" i="3"/>
  <c r="F300" i="3"/>
  <c r="N300" i="3"/>
  <c r="O300" i="3"/>
  <c r="U300" i="3"/>
  <c r="B301" i="3"/>
  <c r="C301" i="3"/>
  <c r="D301" i="3"/>
  <c r="O304" i="1" s="1"/>
  <c r="E301" i="3"/>
  <c r="F301" i="3"/>
  <c r="N301" i="3"/>
  <c r="J301" i="3" s="1"/>
  <c r="K301" i="3" s="1"/>
  <c r="L301" i="3" s="1"/>
  <c r="M301" i="3" s="1"/>
  <c r="R301" i="3" s="1"/>
  <c r="O301" i="3"/>
  <c r="U301" i="3"/>
  <c r="B302" i="3"/>
  <c r="C302" i="3"/>
  <c r="D302" i="3"/>
  <c r="O305" i="1" s="1"/>
  <c r="E302" i="3"/>
  <c r="F302" i="3"/>
  <c r="N302" i="3"/>
  <c r="O302" i="3"/>
  <c r="U302" i="3"/>
  <c r="B303" i="3"/>
  <c r="C303" i="3"/>
  <c r="D303" i="3"/>
  <c r="O306" i="1" s="1"/>
  <c r="E303" i="3"/>
  <c r="F303" i="3"/>
  <c r="N303" i="3"/>
  <c r="O303" i="3"/>
  <c r="U303" i="3"/>
  <c r="B304" i="3"/>
  <c r="C304" i="3"/>
  <c r="D304" i="3"/>
  <c r="O307" i="1" s="1"/>
  <c r="E304" i="3"/>
  <c r="F304" i="3"/>
  <c r="N304" i="3"/>
  <c r="O304" i="3"/>
  <c r="U304" i="3"/>
  <c r="B305" i="3"/>
  <c r="C305" i="3"/>
  <c r="D305" i="3"/>
  <c r="O308" i="1" s="1"/>
  <c r="E305" i="3"/>
  <c r="F305" i="3"/>
  <c r="N305" i="3"/>
  <c r="O305" i="3"/>
  <c r="B306" i="3"/>
  <c r="C306" i="3"/>
  <c r="D306" i="3"/>
  <c r="O309" i="1" s="1"/>
  <c r="E306" i="3"/>
  <c r="F306" i="3"/>
  <c r="N306" i="3"/>
  <c r="O306" i="3"/>
  <c r="B307" i="3"/>
  <c r="C307" i="3"/>
  <c r="D307" i="3"/>
  <c r="O310" i="1" s="1"/>
  <c r="E307" i="3"/>
  <c r="F307" i="3"/>
  <c r="N307" i="3"/>
  <c r="O307" i="3"/>
  <c r="U307" i="3"/>
  <c r="B308" i="3"/>
  <c r="C308" i="3"/>
  <c r="D308" i="3"/>
  <c r="O311" i="1" s="1"/>
  <c r="E308" i="3"/>
  <c r="F308" i="3"/>
  <c r="N308" i="3"/>
  <c r="O308" i="3"/>
  <c r="U308" i="3"/>
  <c r="B309" i="3"/>
  <c r="C309" i="3"/>
  <c r="D309" i="3"/>
  <c r="O312" i="1" s="1"/>
  <c r="E309" i="3"/>
  <c r="F309" i="3"/>
  <c r="N309" i="3"/>
  <c r="O309" i="3"/>
  <c r="U309" i="3"/>
  <c r="B310" i="3"/>
  <c r="C310" i="3"/>
  <c r="D310" i="3"/>
  <c r="O313" i="1" s="1"/>
  <c r="E310" i="3"/>
  <c r="F310" i="3"/>
  <c r="N310" i="3"/>
  <c r="O310" i="3"/>
  <c r="B311" i="3"/>
  <c r="C311" i="3"/>
  <c r="D311" i="3"/>
  <c r="O314" i="1" s="1"/>
  <c r="E311" i="3"/>
  <c r="F311" i="3"/>
  <c r="N311" i="3"/>
  <c r="O311" i="3"/>
  <c r="B312" i="3"/>
  <c r="C312" i="3"/>
  <c r="D312" i="3"/>
  <c r="O315" i="1" s="1"/>
  <c r="E312" i="3"/>
  <c r="F312" i="3"/>
  <c r="N312" i="3"/>
  <c r="O312" i="3"/>
  <c r="U312" i="3"/>
  <c r="B313" i="3"/>
  <c r="C313" i="3"/>
  <c r="D313" i="3"/>
  <c r="O316" i="1" s="1"/>
  <c r="E313" i="3"/>
  <c r="F313" i="3"/>
  <c r="N313" i="3"/>
  <c r="O313" i="3"/>
  <c r="B314" i="3"/>
  <c r="C314" i="3"/>
  <c r="D314" i="3"/>
  <c r="O317" i="1" s="1"/>
  <c r="E314" i="3"/>
  <c r="F314" i="3"/>
  <c r="N314" i="3"/>
  <c r="O314" i="3"/>
  <c r="U314" i="3"/>
  <c r="B315" i="3"/>
  <c r="C315" i="3"/>
  <c r="D315" i="3"/>
  <c r="O318" i="1" s="1"/>
  <c r="E315" i="3"/>
  <c r="F315" i="3"/>
  <c r="N315" i="3"/>
  <c r="J315" i="3" s="1"/>
  <c r="K315" i="3" s="1"/>
  <c r="L315" i="3" s="1"/>
  <c r="M315" i="3" s="1"/>
  <c r="R315" i="3" s="1"/>
  <c r="O315" i="3"/>
  <c r="U315" i="3"/>
  <c r="B316" i="3"/>
  <c r="C316" i="3"/>
  <c r="D316" i="3"/>
  <c r="O319" i="1" s="1"/>
  <c r="E316" i="3"/>
  <c r="F316" i="3"/>
  <c r="N316" i="3"/>
  <c r="J316" i="3" s="1"/>
  <c r="K316" i="3" s="1"/>
  <c r="L316" i="3" s="1"/>
  <c r="M316" i="3" s="1"/>
  <c r="R316" i="3" s="1"/>
  <c r="O316" i="3"/>
  <c r="U316" i="3"/>
  <c r="B317" i="3"/>
  <c r="C317" i="3"/>
  <c r="D317" i="3"/>
  <c r="O320" i="1" s="1"/>
  <c r="E317" i="3"/>
  <c r="F317" i="3"/>
  <c r="N317" i="3"/>
  <c r="O317" i="3"/>
  <c r="B318" i="3"/>
  <c r="C318" i="3"/>
  <c r="D318" i="3"/>
  <c r="O321" i="1" s="1"/>
  <c r="E318" i="3"/>
  <c r="F318" i="3"/>
  <c r="N318" i="3"/>
  <c r="O318" i="3"/>
  <c r="B319" i="3"/>
  <c r="C319" i="3"/>
  <c r="D319" i="3"/>
  <c r="O322" i="1" s="1"/>
  <c r="E319" i="3"/>
  <c r="F319" i="3"/>
  <c r="N319" i="3"/>
  <c r="J319" i="3" s="1"/>
  <c r="K319" i="3" s="1"/>
  <c r="L319" i="3" s="1"/>
  <c r="M319" i="3" s="1"/>
  <c r="O319" i="3"/>
  <c r="U319" i="3"/>
  <c r="B320" i="3"/>
  <c r="C320" i="3"/>
  <c r="D320" i="3"/>
  <c r="O323" i="1" s="1"/>
  <c r="E320" i="3"/>
  <c r="F320" i="3"/>
  <c r="N320" i="3"/>
  <c r="J320" i="3" s="1"/>
  <c r="K320" i="3" s="1"/>
  <c r="L320" i="3" s="1"/>
  <c r="M320" i="3" s="1"/>
  <c r="R320" i="3" s="1"/>
  <c r="O320" i="3"/>
  <c r="B321" i="3"/>
  <c r="C321" i="3"/>
  <c r="D321" i="3"/>
  <c r="O324" i="1" s="1"/>
  <c r="E321" i="3"/>
  <c r="F321" i="3"/>
  <c r="N321" i="3"/>
  <c r="O321" i="3"/>
  <c r="B322" i="3"/>
  <c r="C322" i="3"/>
  <c r="D322" i="3"/>
  <c r="O325" i="1" s="1"/>
  <c r="E322" i="3"/>
  <c r="F322" i="3"/>
  <c r="N322" i="3"/>
  <c r="O322" i="3"/>
  <c r="U322" i="3"/>
  <c r="B323" i="3"/>
  <c r="C323" i="3"/>
  <c r="D323" i="3"/>
  <c r="O326" i="1" s="1"/>
  <c r="E323" i="3"/>
  <c r="F323" i="3"/>
  <c r="N323" i="3"/>
  <c r="O323" i="3"/>
  <c r="U323" i="3"/>
  <c r="B324" i="3"/>
  <c r="C324" i="3"/>
  <c r="D324" i="3"/>
  <c r="O327" i="1" s="1"/>
  <c r="E324" i="3"/>
  <c r="F324" i="3"/>
  <c r="N324" i="3"/>
  <c r="J324" i="3" s="1"/>
  <c r="K324" i="3" s="1"/>
  <c r="L324" i="3" s="1"/>
  <c r="M324" i="3" s="1"/>
  <c r="R324" i="3" s="1"/>
  <c r="S324" i="3" s="1"/>
  <c r="O324" i="3"/>
  <c r="U324" i="3"/>
  <c r="B325" i="3"/>
  <c r="C325" i="3"/>
  <c r="D325" i="3"/>
  <c r="O328" i="1" s="1"/>
  <c r="E325" i="3"/>
  <c r="F325" i="3"/>
  <c r="N325" i="3"/>
  <c r="J325" i="3" s="1"/>
  <c r="K325" i="3" s="1"/>
  <c r="L325" i="3" s="1"/>
  <c r="M325" i="3" s="1"/>
  <c r="R325" i="3" s="1"/>
  <c r="O325" i="3"/>
  <c r="U325" i="3"/>
  <c r="B326" i="3"/>
  <c r="C326" i="3"/>
  <c r="D326" i="3"/>
  <c r="O329" i="1" s="1"/>
  <c r="E326" i="3"/>
  <c r="F326" i="3"/>
  <c r="N326" i="3"/>
  <c r="J326" i="3" s="1"/>
  <c r="K326" i="3" s="1"/>
  <c r="L326" i="3" s="1"/>
  <c r="M326" i="3" s="1"/>
  <c r="O326" i="3"/>
  <c r="B327" i="3"/>
  <c r="C327" i="3"/>
  <c r="D327" i="3"/>
  <c r="O330" i="1" s="1"/>
  <c r="E327" i="3"/>
  <c r="F327" i="3"/>
  <c r="N327" i="3"/>
  <c r="O327" i="3"/>
  <c r="U327" i="3"/>
  <c r="B328" i="3"/>
  <c r="C328" i="3"/>
  <c r="D328" i="3"/>
  <c r="O331" i="1" s="1"/>
  <c r="E328" i="3"/>
  <c r="F328" i="3"/>
  <c r="N328" i="3"/>
  <c r="O328" i="3"/>
  <c r="U328" i="3"/>
  <c r="B329" i="3"/>
  <c r="C329" i="3"/>
  <c r="D329" i="3"/>
  <c r="O332" i="1" s="1"/>
  <c r="E329" i="3"/>
  <c r="F329" i="3"/>
  <c r="N329" i="3"/>
  <c r="O329" i="3"/>
  <c r="U329" i="3"/>
  <c r="B330" i="3"/>
  <c r="C330" i="3"/>
  <c r="D330" i="3"/>
  <c r="O333" i="1" s="1"/>
  <c r="E330" i="3"/>
  <c r="F330" i="3"/>
  <c r="N330" i="3"/>
  <c r="O330" i="3"/>
  <c r="B331" i="3"/>
  <c r="C331" i="3"/>
  <c r="D331" i="3"/>
  <c r="O334" i="1" s="1"/>
  <c r="E331" i="3"/>
  <c r="F331" i="3"/>
  <c r="N331" i="3"/>
  <c r="O331" i="3"/>
  <c r="U331" i="3"/>
  <c r="B332" i="3"/>
  <c r="C332" i="3"/>
  <c r="D332" i="3"/>
  <c r="O335" i="1" s="1"/>
  <c r="E332" i="3"/>
  <c r="F332" i="3"/>
  <c r="N332" i="3"/>
  <c r="O332" i="3"/>
  <c r="U332" i="3"/>
  <c r="B333" i="3"/>
  <c r="C333" i="3"/>
  <c r="D333" i="3"/>
  <c r="O336" i="1" s="1"/>
  <c r="E333" i="3"/>
  <c r="F333" i="3"/>
  <c r="N333" i="3"/>
  <c r="O333" i="3"/>
  <c r="U333" i="3"/>
  <c r="B334" i="3"/>
  <c r="C334" i="3"/>
  <c r="D334" i="3"/>
  <c r="O337" i="1" s="1"/>
  <c r="E334" i="3"/>
  <c r="F334" i="3"/>
  <c r="N334" i="3"/>
  <c r="O334" i="3"/>
  <c r="U334" i="3"/>
  <c r="B335" i="3"/>
  <c r="C335" i="3"/>
  <c r="D335" i="3"/>
  <c r="O338" i="1" s="1"/>
  <c r="E335" i="3"/>
  <c r="F335" i="3"/>
  <c r="N335" i="3"/>
  <c r="O335" i="3"/>
  <c r="U335" i="3"/>
  <c r="B336" i="3"/>
  <c r="C336" i="3"/>
  <c r="D336" i="3"/>
  <c r="O339" i="1" s="1"/>
  <c r="E336" i="3"/>
  <c r="F336" i="3"/>
  <c r="N336" i="3"/>
  <c r="J336" i="3" s="1"/>
  <c r="K336" i="3" s="1"/>
  <c r="L336" i="3" s="1"/>
  <c r="M336" i="3" s="1"/>
  <c r="R336" i="3" s="1"/>
  <c r="S336" i="3" s="1"/>
  <c r="O336" i="3"/>
  <c r="U336" i="3"/>
  <c r="B337" i="3"/>
  <c r="C337" i="3"/>
  <c r="D337" i="3"/>
  <c r="O340" i="1" s="1"/>
  <c r="E337" i="3"/>
  <c r="F337" i="3"/>
  <c r="N337" i="3"/>
  <c r="J337" i="3" s="1"/>
  <c r="K337" i="3" s="1"/>
  <c r="L337" i="3" s="1"/>
  <c r="M337" i="3" s="1"/>
  <c r="R337" i="3" s="1"/>
  <c r="O337" i="3"/>
  <c r="U337" i="3"/>
  <c r="B338" i="3"/>
  <c r="C338" i="3"/>
  <c r="D338" i="3"/>
  <c r="O341" i="1" s="1"/>
  <c r="E338" i="3"/>
  <c r="F338" i="3"/>
  <c r="N338" i="3"/>
  <c r="O338" i="3"/>
  <c r="U338" i="3"/>
  <c r="B339" i="3"/>
  <c r="C339" i="3"/>
  <c r="D339" i="3"/>
  <c r="O342" i="1" s="1"/>
  <c r="E339" i="3"/>
  <c r="F339" i="3"/>
  <c r="N339" i="3"/>
  <c r="O339" i="3"/>
  <c r="U339" i="3"/>
  <c r="B340" i="3"/>
  <c r="C340" i="3"/>
  <c r="D340" i="3"/>
  <c r="O343" i="1" s="1"/>
  <c r="E340" i="3"/>
  <c r="F340" i="3"/>
  <c r="N340" i="3"/>
  <c r="O340" i="3"/>
  <c r="U340" i="3"/>
  <c r="B341" i="3"/>
  <c r="C341" i="3"/>
  <c r="D341" i="3"/>
  <c r="O344" i="1" s="1"/>
  <c r="E341" i="3"/>
  <c r="F341" i="3"/>
  <c r="N341" i="3"/>
  <c r="O341" i="3"/>
  <c r="B342" i="3"/>
  <c r="C342" i="3"/>
  <c r="D342" i="3"/>
  <c r="O345" i="1" s="1"/>
  <c r="E342" i="3"/>
  <c r="F342" i="3"/>
  <c r="N342" i="3"/>
  <c r="O342" i="3"/>
  <c r="U342" i="3"/>
  <c r="B343" i="3"/>
  <c r="C343" i="3"/>
  <c r="D343" i="3"/>
  <c r="O346" i="1" s="1"/>
  <c r="E343" i="3"/>
  <c r="F343" i="3"/>
  <c r="N343" i="3"/>
  <c r="O343" i="3"/>
  <c r="B344" i="3"/>
  <c r="C344" i="3"/>
  <c r="D344" i="3"/>
  <c r="O347" i="1" s="1"/>
  <c r="E344" i="3"/>
  <c r="F344" i="3"/>
  <c r="N344" i="3"/>
  <c r="O344" i="3"/>
  <c r="U344" i="3"/>
  <c r="B345" i="3"/>
  <c r="C345" i="3"/>
  <c r="D345" i="3"/>
  <c r="O348" i="1" s="1"/>
  <c r="E345" i="3"/>
  <c r="F345" i="3"/>
  <c r="N345" i="3"/>
  <c r="O345" i="3"/>
  <c r="U345" i="3"/>
  <c r="B346" i="3"/>
  <c r="C346" i="3"/>
  <c r="D346" i="3"/>
  <c r="O349" i="1" s="1"/>
  <c r="E346" i="3"/>
  <c r="F346" i="3"/>
  <c r="N346" i="3"/>
  <c r="O346" i="3"/>
  <c r="U346" i="3"/>
  <c r="B347" i="3"/>
  <c r="C347" i="3"/>
  <c r="D347" i="3"/>
  <c r="O350" i="1" s="1"/>
  <c r="E347" i="3"/>
  <c r="F347" i="3"/>
  <c r="N347" i="3"/>
  <c r="O347" i="3"/>
  <c r="B348" i="3"/>
  <c r="C348" i="3"/>
  <c r="D348" i="3"/>
  <c r="O351" i="1" s="1"/>
  <c r="E348" i="3"/>
  <c r="F348" i="3"/>
  <c r="N348" i="3"/>
  <c r="O348" i="3"/>
  <c r="U348" i="3"/>
  <c r="B349" i="3"/>
  <c r="C349" i="3"/>
  <c r="D349" i="3"/>
  <c r="O352" i="1" s="1"/>
  <c r="E349" i="3"/>
  <c r="F349" i="3"/>
  <c r="N349" i="3"/>
  <c r="J349" i="3" s="1"/>
  <c r="K349" i="3" s="1"/>
  <c r="L349" i="3" s="1"/>
  <c r="M349" i="3" s="1"/>
  <c r="R349" i="3" s="1"/>
  <c r="O349" i="3"/>
  <c r="U349" i="3"/>
  <c r="B350" i="3"/>
  <c r="C350" i="3"/>
  <c r="D350" i="3"/>
  <c r="O353" i="1" s="1"/>
  <c r="E350" i="3"/>
  <c r="F350" i="3"/>
  <c r="N350" i="3"/>
  <c r="O350" i="3"/>
  <c r="U350" i="3"/>
  <c r="B351" i="3"/>
  <c r="C351" i="3"/>
  <c r="D351" i="3"/>
  <c r="O354" i="1" s="1"/>
  <c r="E351" i="3"/>
  <c r="F351" i="3"/>
  <c r="N351" i="3"/>
  <c r="O351" i="3"/>
  <c r="U351" i="3"/>
  <c r="B352" i="3"/>
  <c r="C352" i="3"/>
  <c r="D352" i="3"/>
  <c r="O355" i="1" s="1"/>
  <c r="E352" i="3"/>
  <c r="F352" i="3"/>
  <c r="N352" i="3"/>
  <c r="O352" i="3"/>
  <c r="B353" i="3"/>
  <c r="C353" i="3"/>
  <c r="D353" i="3"/>
  <c r="O356" i="1" s="1"/>
  <c r="E353" i="3"/>
  <c r="F353" i="3"/>
  <c r="N353" i="3"/>
  <c r="O353" i="3"/>
  <c r="U353" i="3"/>
  <c r="B354" i="3"/>
  <c r="C354" i="3"/>
  <c r="D354" i="3"/>
  <c r="O357" i="1" s="1"/>
  <c r="E354" i="3"/>
  <c r="F354" i="3"/>
  <c r="N354" i="3"/>
  <c r="O354" i="3"/>
  <c r="U354" i="3"/>
  <c r="B355" i="3"/>
  <c r="C355" i="3"/>
  <c r="D355" i="3"/>
  <c r="O358" i="1" s="1"/>
  <c r="E355" i="3"/>
  <c r="F355" i="3"/>
  <c r="N355" i="3"/>
  <c r="O355" i="3"/>
  <c r="U355" i="3"/>
  <c r="B356" i="3"/>
  <c r="C356" i="3"/>
  <c r="D356" i="3"/>
  <c r="O359" i="1" s="1"/>
  <c r="E356" i="3"/>
  <c r="F356" i="3"/>
  <c r="N356" i="3"/>
  <c r="O356" i="3"/>
  <c r="B357" i="3"/>
  <c r="C357" i="3"/>
  <c r="D357" i="3"/>
  <c r="O360" i="1" s="1"/>
  <c r="E357" i="3"/>
  <c r="F357" i="3"/>
  <c r="N357" i="3"/>
  <c r="O357" i="3"/>
  <c r="U357" i="3"/>
  <c r="B358" i="3"/>
  <c r="C358" i="3"/>
  <c r="D358" i="3"/>
  <c r="O361" i="1" s="1"/>
  <c r="E358" i="3"/>
  <c r="F358" i="3"/>
  <c r="N358" i="3"/>
  <c r="O358" i="3"/>
  <c r="U358" i="3"/>
  <c r="B359" i="3"/>
  <c r="C359" i="3"/>
  <c r="D359" i="3"/>
  <c r="O362" i="1" s="1"/>
  <c r="E359" i="3"/>
  <c r="F359" i="3"/>
  <c r="N359" i="3"/>
  <c r="J359" i="3" s="1"/>
  <c r="K359" i="3" s="1"/>
  <c r="L359" i="3" s="1"/>
  <c r="M359" i="3" s="1"/>
  <c r="R359" i="3" s="1"/>
  <c r="O359" i="3"/>
  <c r="B360" i="3"/>
  <c r="C360" i="3"/>
  <c r="D360" i="3"/>
  <c r="O363" i="1" s="1"/>
  <c r="E360" i="3"/>
  <c r="F360" i="3"/>
  <c r="N360" i="3"/>
  <c r="O360" i="3"/>
  <c r="B361" i="3"/>
  <c r="C361" i="3"/>
  <c r="D361" i="3"/>
  <c r="O364" i="1" s="1"/>
  <c r="E361" i="3"/>
  <c r="F361" i="3"/>
  <c r="N361" i="3"/>
  <c r="J361" i="3" s="1"/>
  <c r="K361" i="3" s="1"/>
  <c r="L361" i="3" s="1"/>
  <c r="M361" i="3" s="1"/>
  <c r="R361" i="3" s="1"/>
  <c r="O361" i="3"/>
  <c r="U361" i="3"/>
  <c r="B362" i="3"/>
  <c r="C362" i="3"/>
  <c r="D362" i="3"/>
  <c r="O365" i="1" s="1"/>
  <c r="E362" i="3"/>
  <c r="F362" i="3"/>
  <c r="N362" i="3"/>
  <c r="O362" i="3"/>
  <c r="B363" i="3"/>
  <c r="C363" i="3"/>
  <c r="D363" i="3"/>
  <c r="O366" i="1" s="1"/>
  <c r="E363" i="3"/>
  <c r="F363" i="3"/>
  <c r="N363" i="3"/>
  <c r="O363" i="3"/>
  <c r="B364" i="3"/>
  <c r="C364" i="3"/>
  <c r="D364" i="3"/>
  <c r="O367" i="1" s="1"/>
  <c r="E364" i="3"/>
  <c r="F364" i="3"/>
  <c r="N364" i="3"/>
  <c r="O364" i="3"/>
  <c r="B365" i="3"/>
  <c r="C365" i="3"/>
  <c r="D365" i="3"/>
  <c r="O368" i="1" s="1"/>
  <c r="E365" i="3"/>
  <c r="F365" i="3"/>
  <c r="N365" i="3"/>
  <c r="O365" i="3"/>
  <c r="U365" i="3"/>
  <c r="B366" i="3"/>
  <c r="C366" i="3"/>
  <c r="D366" i="3"/>
  <c r="O369" i="1" s="1"/>
  <c r="E366" i="3"/>
  <c r="F366" i="3"/>
  <c r="N366" i="3"/>
  <c r="O366" i="3"/>
  <c r="B367" i="3"/>
  <c r="C367" i="3"/>
  <c r="D367" i="3"/>
  <c r="O370" i="1" s="1"/>
  <c r="E367" i="3"/>
  <c r="F367" i="3"/>
  <c r="N367" i="3"/>
  <c r="J367" i="3" s="1"/>
  <c r="K367" i="3" s="1"/>
  <c r="L367" i="3" s="1"/>
  <c r="M367" i="3" s="1"/>
  <c r="R367" i="3" s="1"/>
  <c r="T367" i="3" s="1"/>
  <c r="O367" i="3"/>
  <c r="B368" i="3"/>
  <c r="C368" i="3"/>
  <c r="D368" i="3"/>
  <c r="O371" i="1" s="1"/>
  <c r="E368" i="3"/>
  <c r="F368" i="3"/>
  <c r="N368" i="3"/>
  <c r="O368" i="3"/>
  <c r="U368" i="3"/>
  <c r="B369" i="3"/>
  <c r="C369" i="3"/>
  <c r="D369" i="3"/>
  <c r="O372" i="1" s="1"/>
  <c r="E369" i="3"/>
  <c r="F369" i="3"/>
  <c r="N369" i="3"/>
  <c r="O369" i="3"/>
  <c r="B370" i="3"/>
  <c r="C370" i="3"/>
  <c r="D370" i="3"/>
  <c r="O373" i="1" s="1"/>
  <c r="E370" i="3"/>
  <c r="F370" i="3"/>
  <c r="N370" i="3"/>
  <c r="J370" i="3" s="1"/>
  <c r="K370" i="3" s="1"/>
  <c r="O370" i="3"/>
  <c r="U370" i="3"/>
  <c r="B371" i="3"/>
  <c r="C371" i="3"/>
  <c r="D371" i="3"/>
  <c r="O374" i="1" s="1"/>
  <c r="E371" i="3"/>
  <c r="F371" i="3"/>
  <c r="N371" i="3"/>
  <c r="O371" i="3"/>
  <c r="U371" i="3"/>
  <c r="B372" i="3"/>
  <c r="C372" i="3"/>
  <c r="D372" i="3"/>
  <c r="O375" i="1" s="1"/>
  <c r="E372" i="3"/>
  <c r="F372" i="3"/>
  <c r="N372" i="3"/>
  <c r="O372" i="3"/>
  <c r="U372" i="3"/>
  <c r="B373" i="3"/>
  <c r="C373" i="3"/>
  <c r="D373" i="3"/>
  <c r="O376" i="1" s="1"/>
  <c r="E373" i="3"/>
  <c r="F373" i="3"/>
  <c r="N373" i="3"/>
  <c r="J373" i="3" s="1"/>
  <c r="K373" i="3" s="1"/>
  <c r="O373" i="3"/>
  <c r="U373" i="3"/>
  <c r="B374" i="3"/>
  <c r="C374" i="3"/>
  <c r="D374" i="3"/>
  <c r="O377" i="1" s="1"/>
  <c r="E374" i="3"/>
  <c r="F374" i="3"/>
  <c r="N374" i="3"/>
  <c r="J374" i="3" s="1"/>
  <c r="K374" i="3" s="1"/>
  <c r="L374" i="3" s="1"/>
  <c r="M374" i="3" s="1"/>
  <c r="O374" i="3"/>
  <c r="B375" i="3"/>
  <c r="C375" i="3"/>
  <c r="D375" i="3"/>
  <c r="O378" i="1" s="1"/>
  <c r="E375" i="3"/>
  <c r="F375" i="3"/>
  <c r="N375" i="3"/>
  <c r="O375" i="3"/>
  <c r="B376" i="3"/>
  <c r="C376" i="3"/>
  <c r="D376" i="3"/>
  <c r="O379" i="1" s="1"/>
  <c r="E376" i="3"/>
  <c r="F376" i="3"/>
  <c r="N376" i="3"/>
  <c r="O376" i="3"/>
  <c r="U376" i="3"/>
  <c r="B377" i="3"/>
  <c r="C377" i="3"/>
  <c r="D377" i="3"/>
  <c r="O380" i="1" s="1"/>
  <c r="E377" i="3"/>
  <c r="F377" i="3"/>
  <c r="N377" i="3"/>
  <c r="O377" i="3"/>
  <c r="B378" i="3"/>
  <c r="C378" i="3"/>
  <c r="D378" i="3"/>
  <c r="O381" i="1" s="1"/>
  <c r="E378" i="3"/>
  <c r="F378" i="3"/>
  <c r="N378" i="3"/>
  <c r="O378" i="3"/>
  <c r="U378" i="3"/>
  <c r="B379" i="3"/>
  <c r="C379" i="3"/>
  <c r="D379" i="3"/>
  <c r="O382" i="1" s="1"/>
  <c r="E379" i="3"/>
  <c r="F379" i="3"/>
  <c r="N379" i="3"/>
  <c r="O379" i="3"/>
  <c r="U379" i="3"/>
  <c r="B380" i="3"/>
  <c r="C380" i="3"/>
  <c r="D380" i="3"/>
  <c r="O383" i="1" s="1"/>
  <c r="E380" i="3"/>
  <c r="F380" i="3"/>
  <c r="N380" i="3"/>
  <c r="O380" i="3"/>
  <c r="U380" i="3"/>
  <c r="B381" i="3"/>
  <c r="C381" i="3"/>
  <c r="D381" i="3"/>
  <c r="O384" i="1" s="1"/>
  <c r="E381" i="3"/>
  <c r="F381" i="3"/>
  <c r="N381" i="3"/>
  <c r="O381" i="3"/>
  <c r="U381" i="3"/>
  <c r="B382" i="3"/>
  <c r="C382" i="3"/>
  <c r="D382" i="3"/>
  <c r="O385" i="1" s="1"/>
  <c r="E382" i="3"/>
  <c r="F382" i="3"/>
  <c r="N382" i="3"/>
  <c r="J382" i="3" s="1"/>
  <c r="K382" i="3" s="1"/>
  <c r="L382" i="3" s="1"/>
  <c r="M382" i="3" s="1"/>
  <c r="R382" i="3" s="1"/>
  <c r="O382" i="3"/>
  <c r="U382" i="3"/>
  <c r="B383" i="3"/>
  <c r="C383" i="3"/>
  <c r="D383" i="3"/>
  <c r="O386" i="1" s="1"/>
  <c r="E383" i="3"/>
  <c r="F383" i="3"/>
  <c r="N383" i="3"/>
  <c r="O383" i="3"/>
  <c r="U383" i="3"/>
  <c r="B384" i="3"/>
  <c r="C384" i="3"/>
  <c r="D384" i="3"/>
  <c r="O387" i="1" s="1"/>
  <c r="E384" i="3"/>
  <c r="F384" i="3"/>
  <c r="N384" i="3"/>
  <c r="O384" i="3"/>
  <c r="B385" i="3"/>
  <c r="C385" i="3"/>
  <c r="D385" i="3"/>
  <c r="O388" i="1" s="1"/>
  <c r="E385" i="3"/>
  <c r="F385" i="3"/>
  <c r="N385" i="3"/>
  <c r="J385" i="3" s="1"/>
  <c r="U385" i="3" s="1"/>
  <c r="O385" i="3"/>
  <c r="B386" i="3"/>
  <c r="C386" i="3"/>
  <c r="D386" i="3"/>
  <c r="O389" i="1" s="1"/>
  <c r="E386" i="3"/>
  <c r="F386" i="3"/>
  <c r="N386" i="3"/>
  <c r="J386" i="3" s="1"/>
  <c r="K386" i="3" s="1"/>
  <c r="L386" i="3" s="1"/>
  <c r="M386" i="3" s="1"/>
  <c r="O386" i="3"/>
  <c r="U386" i="3"/>
  <c r="B387" i="3"/>
  <c r="C387" i="3"/>
  <c r="D387" i="3"/>
  <c r="O390" i="1" s="1"/>
  <c r="E387" i="3"/>
  <c r="F387" i="3"/>
  <c r="N387" i="3"/>
  <c r="O387" i="3"/>
  <c r="B388" i="3"/>
  <c r="C388" i="3"/>
  <c r="D388" i="3"/>
  <c r="O391" i="1" s="1"/>
  <c r="E388" i="3"/>
  <c r="F388" i="3"/>
  <c r="N388" i="3"/>
  <c r="J388" i="3" s="1"/>
  <c r="K388" i="3" s="1"/>
  <c r="L388" i="3" s="1"/>
  <c r="M388" i="3" s="1"/>
  <c r="R388" i="3" s="1"/>
  <c r="O388" i="3"/>
  <c r="U388" i="3"/>
  <c r="B389" i="3"/>
  <c r="C389" i="3"/>
  <c r="D389" i="3"/>
  <c r="O392" i="1" s="1"/>
  <c r="E389" i="3"/>
  <c r="F389" i="3"/>
  <c r="N389" i="3"/>
  <c r="O389" i="3"/>
  <c r="U389" i="3"/>
  <c r="B390" i="3"/>
  <c r="C390" i="3"/>
  <c r="D390" i="3"/>
  <c r="O393" i="1" s="1"/>
  <c r="E390" i="3"/>
  <c r="F390" i="3"/>
  <c r="N390" i="3"/>
  <c r="O390" i="3"/>
  <c r="U390" i="3"/>
  <c r="B391" i="3"/>
  <c r="C391" i="3"/>
  <c r="D391" i="3"/>
  <c r="O394" i="1" s="1"/>
  <c r="E391" i="3"/>
  <c r="F391" i="3"/>
  <c r="N391" i="3"/>
  <c r="O391" i="3"/>
  <c r="B392" i="3"/>
  <c r="C392" i="3"/>
  <c r="D392" i="3"/>
  <c r="O395" i="1" s="1"/>
  <c r="E392" i="3"/>
  <c r="F392" i="3"/>
  <c r="N392" i="3"/>
  <c r="O392" i="3"/>
  <c r="B393" i="3"/>
  <c r="C393" i="3"/>
  <c r="D393" i="3"/>
  <c r="O396" i="1" s="1"/>
  <c r="E393" i="3"/>
  <c r="F393" i="3"/>
  <c r="N393" i="3"/>
  <c r="O393" i="3"/>
  <c r="B394" i="3"/>
  <c r="C394" i="3"/>
  <c r="D394" i="3"/>
  <c r="O397" i="1" s="1"/>
  <c r="E394" i="3"/>
  <c r="F394" i="3"/>
  <c r="N394" i="3"/>
  <c r="O394" i="3"/>
  <c r="B395" i="3"/>
  <c r="C395" i="3"/>
  <c r="D395" i="3"/>
  <c r="O398" i="1" s="1"/>
  <c r="E395" i="3"/>
  <c r="F395" i="3"/>
  <c r="N395" i="3"/>
  <c r="O395" i="3"/>
  <c r="U395" i="3"/>
  <c r="B396" i="3"/>
  <c r="C396" i="3"/>
  <c r="D396" i="3"/>
  <c r="O399" i="1" s="1"/>
  <c r="E396" i="3"/>
  <c r="F396" i="3"/>
  <c r="N396" i="3"/>
  <c r="O396" i="3"/>
  <c r="B397" i="3"/>
  <c r="C397" i="3"/>
  <c r="D397" i="3"/>
  <c r="O400" i="1" s="1"/>
  <c r="E397" i="3"/>
  <c r="F397" i="3"/>
  <c r="N397" i="3"/>
  <c r="J397" i="3" s="1"/>
  <c r="U397" i="3" s="1"/>
  <c r="O397" i="3"/>
  <c r="B398" i="3"/>
  <c r="C398" i="3"/>
  <c r="D398" i="3"/>
  <c r="O401" i="1" s="1"/>
  <c r="E398" i="3"/>
  <c r="F398" i="3"/>
  <c r="N398" i="3"/>
  <c r="J398" i="3" s="1"/>
  <c r="K398" i="3" s="1"/>
  <c r="L398" i="3" s="1"/>
  <c r="M398" i="3" s="1"/>
  <c r="O398" i="3"/>
  <c r="B399" i="3"/>
  <c r="C399" i="3"/>
  <c r="D399" i="3"/>
  <c r="O402" i="1" s="1"/>
  <c r="E399" i="3"/>
  <c r="F399" i="3"/>
  <c r="N399" i="3"/>
  <c r="O399" i="3"/>
  <c r="B400" i="3"/>
  <c r="C400" i="3"/>
  <c r="D400" i="3"/>
  <c r="O403" i="1" s="1"/>
  <c r="E400" i="3"/>
  <c r="F400" i="3"/>
  <c r="N400" i="3"/>
  <c r="O400" i="3"/>
  <c r="B401" i="3"/>
  <c r="C401" i="3"/>
  <c r="D401" i="3"/>
  <c r="O404" i="1" s="1"/>
  <c r="E401" i="3"/>
  <c r="F401" i="3"/>
  <c r="N401" i="3"/>
  <c r="O401" i="3"/>
  <c r="B402" i="3"/>
  <c r="C402" i="3"/>
  <c r="D402" i="3"/>
  <c r="O405" i="1" s="1"/>
  <c r="E402" i="3"/>
  <c r="F402" i="3"/>
  <c r="N402" i="3"/>
  <c r="O402" i="3"/>
  <c r="B403" i="3"/>
  <c r="C403" i="3"/>
  <c r="D403" i="3"/>
  <c r="O406" i="1" s="1"/>
  <c r="E403" i="3"/>
  <c r="F403" i="3"/>
  <c r="N403" i="3"/>
  <c r="J403" i="3" s="1"/>
  <c r="K403" i="3" s="1"/>
  <c r="L403" i="3" s="1"/>
  <c r="M403" i="3" s="1"/>
  <c r="R403" i="3" s="1"/>
  <c r="T403" i="3" s="1"/>
  <c r="O403" i="3"/>
  <c r="B404" i="3"/>
  <c r="C404" i="3"/>
  <c r="D404" i="3"/>
  <c r="O407" i="1" s="1"/>
  <c r="E404" i="3"/>
  <c r="F404" i="3"/>
  <c r="N404" i="3"/>
  <c r="O404" i="3"/>
  <c r="B405" i="3"/>
  <c r="C405" i="3"/>
  <c r="D405" i="3"/>
  <c r="O408" i="1" s="1"/>
  <c r="E405" i="3"/>
  <c r="F405" i="3"/>
  <c r="N405" i="3"/>
  <c r="O405" i="3"/>
  <c r="B406" i="3"/>
  <c r="C406" i="3"/>
  <c r="D406" i="3"/>
  <c r="O409" i="1" s="1"/>
  <c r="E406" i="3"/>
  <c r="F406" i="3"/>
  <c r="N406" i="3"/>
  <c r="O406" i="3"/>
  <c r="B407" i="3"/>
  <c r="C407" i="3"/>
  <c r="D407" i="3"/>
  <c r="O410" i="1" s="1"/>
  <c r="E407" i="3"/>
  <c r="F407" i="3"/>
  <c r="N407" i="3"/>
  <c r="O407" i="3"/>
  <c r="B408" i="3"/>
  <c r="C408" i="3"/>
  <c r="D408" i="3"/>
  <c r="O411" i="1" s="1"/>
  <c r="E408" i="3"/>
  <c r="F408" i="3"/>
  <c r="N408" i="3"/>
  <c r="O408" i="3"/>
  <c r="B409" i="3"/>
  <c r="C409" i="3"/>
  <c r="D409" i="3"/>
  <c r="O412" i="1" s="1"/>
  <c r="E409" i="3"/>
  <c r="F409" i="3"/>
  <c r="N409" i="3"/>
  <c r="J409" i="3" s="1"/>
  <c r="U409" i="3" s="1"/>
  <c r="O409" i="3"/>
  <c r="B410" i="3"/>
  <c r="C410" i="3"/>
  <c r="D410" i="3"/>
  <c r="O413" i="1" s="1"/>
  <c r="E410" i="3"/>
  <c r="F410" i="3"/>
  <c r="N410" i="3"/>
  <c r="O410" i="3"/>
  <c r="U410" i="3"/>
  <c r="B411" i="3"/>
  <c r="C411" i="3"/>
  <c r="D411" i="3"/>
  <c r="O414" i="1" s="1"/>
  <c r="E411" i="3"/>
  <c r="F411" i="3"/>
  <c r="N411" i="3"/>
  <c r="O411" i="3"/>
  <c r="U411" i="3"/>
  <c r="B412" i="3"/>
  <c r="C412" i="3"/>
  <c r="D412" i="3"/>
  <c r="O415" i="1" s="1"/>
  <c r="E412" i="3"/>
  <c r="F412" i="3"/>
  <c r="N412" i="3"/>
  <c r="J412" i="3" s="1"/>
  <c r="K412" i="3" s="1"/>
  <c r="L412" i="3" s="1"/>
  <c r="M412" i="3" s="1"/>
  <c r="R412" i="3" s="1"/>
  <c r="O412" i="3"/>
  <c r="B413" i="3"/>
  <c r="C413" i="3"/>
  <c r="D413" i="3"/>
  <c r="O416" i="1" s="1"/>
  <c r="E413" i="3"/>
  <c r="F413" i="3"/>
  <c r="N413" i="3"/>
  <c r="J413" i="3" s="1"/>
  <c r="K413" i="3" s="1"/>
  <c r="L413" i="3" s="1"/>
  <c r="M413" i="3" s="1"/>
  <c r="R413" i="3" s="1"/>
  <c r="O413" i="3"/>
  <c r="U413" i="3"/>
  <c r="B414" i="3"/>
  <c r="C414" i="3"/>
  <c r="D414" i="3"/>
  <c r="O417" i="1" s="1"/>
  <c r="E414" i="3"/>
  <c r="F414" i="3"/>
  <c r="N414" i="3"/>
  <c r="O414" i="3"/>
  <c r="B415" i="3"/>
  <c r="C415" i="3"/>
  <c r="D415" i="3"/>
  <c r="O418" i="1" s="1"/>
  <c r="E415" i="3"/>
  <c r="F415" i="3"/>
  <c r="N415" i="3"/>
  <c r="J415" i="3" s="1"/>
  <c r="K415" i="3" s="1"/>
  <c r="L415" i="3" s="1"/>
  <c r="M415" i="3" s="1"/>
  <c r="R415" i="3" s="1"/>
  <c r="T415" i="3" s="1"/>
  <c r="O415" i="3"/>
  <c r="B416" i="3"/>
  <c r="C416" i="3"/>
  <c r="D416" i="3"/>
  <c r="O419" i="1" s="1"/>
  <c r="E416" i="3"/>
  <c r="F416" i="3"/>
  <c r="N416" i="3"/>
  <c r="O416" i="3"/>
  <c r="U416" i="3"/>
  <c r="B417" i="3"/>
  <c r="C417" i="3"/>
  <c r="D417" i="3"/>
  <c r="O420" i="1" s="1"/>
  <c r="E417" i="3"/>
  <c r="F417" i="3"/>
  <c r="N417" i="3"/>
  <c r="O417" i="3"/>
  <c r="B418" i="3"/>
  <c r="C418" i="3"/>
  <c r="D418" i="3"/>
  <c r="O421" i="1" s="1"/>
  <c r="E418" i="3"/>
  <c r="F418" i="3"/>
  <c r="N418" i="3"/>
  <c r="O418" i="3"/>
  <c r="B419" i="3"/>
  <c r="C419" i="3"/>
  <c r="D419" i="3"/>
  <c r="O422" i="1" s="1"/>
  <c r="E419" i="3"/>
  <c r="F419" i="3"/>
  <c r="N419" i="3"/>
  <c r="O419" i="3"/>
  <c r="B420" i="3"/>
  <c r="C420" i="3"/>
  <c r="D420" i="3"/>
  <c r="O423" i="1" s="1"/>
  <c r="E420" i="3"/>
  <c r="F420" i="3"/>
  <c r="N420" i="3"/>
  <c r="O420" i="3"/>
  <c r="B421" i="3"/>
  <c r="C421" i="3"/>
  <c r="D421" i="3"/>
  <c r="O424" i="1" s="1"/>
  <c r="E421" i="3"/>
  <c r="F421" i="3"/>
  <c r="N421" i="3"/>
  <c r="J421" i="3" s="1"/>
  <c r="U421" i="3" s="1"/>
  <c r="O421" i="3"/>
  <c r="B422" i="3"/>
  <c r="C422" i="3"/>
  <c r="D422" i="3"/>
  <c r="O425" i="1" s="1"/>
  <c r="E422" i="3"/>
  <c r="F422" i="3"/>
  <c r="N422" i="3"/>
  <c r="J422" i="3" s="1"/>
  <c r="K422" i="3" s="1"/>
  <c r="L422" i="3" s="1"/>
  <c r="M422" i="3" s="1"/>
  <c r="O422" i="3"/>
  <c r="U422" i="3"/>
  <c r="B423" i="3"/>
  <c r="C423" i="3"/>
  <c r="D423" i="3"/>
  <c r="O426" i="1" s="1"/>
  <c r="E423" i="3"/>
  <c r="F423" i="3"/>
  <c r="N423" i="3"/>
  <c r="O423" i="3"/>
  <c r="U423" i="3"/>
  <c r="B424" i="3"/>
  <c r="C424" i="3"/>
  <c r="D424" i="3"/>
  <c r="O427" i="1" s="1"/>
  <c r="E424" i="3"/>
  <c r="F424" i="3"/>
  <c r="N424" i="3"/>
  <c r="O424" i="3"/>
  <c r="B425" i="3"/>
  <c r="C425" i="3"/>
  <c r="D425" i="3"/>
  <c r="O428" i="1" s="1"/>
  <c r="E425" i="3"/>
  <c r="F425" i="3"/>
  <c r="N425" i="3"/>
  <c r="O425" i="3"/>
  <c r="B426" i="3"/>
  <c r="C426" i="3"/>
  <c r="D426" i="3"/>
  <c r="O429" i="1" s="1"/>
  <c r="E426" i="3"/>
  <c r="F426" i="3"/>
  <c r="N426" i="3"/>
  <c r="O426" i="3"/>
  <c r="U426" i="3"/>
  <c r="B427" i="3"/>
  <c r="C427" i="3"/>
  <c r="D427" i="3"/>
  <c r="O430" i="1" s="1"/>
  <c r="E427" i="3"/>
  <c r="F427" i="3"/>
  <c r="N427" i="3"/>
  <c r="O427" i="3"/>
  <c r="B428" i="3"/>
  <c r="C428" i="3"/>
  <c r="D428" i="3"/>
  <c r="O431" i="1" s="1"/>
  <c r="E428" i="3"/>
  <c r="F428" i="3"/>
  <c r="N428" i="3"/>
  <c r="O428" i="3"/>
  <c r="B429" i="3"/>
  <c r="C429" i="3"/>
  <c r="D429" i="3"/>
  <c r="O432" i="1" s="1"/>
  <c r="E429" i="3"/>
  <c r="F429" i="3"/>
  <c r="N429" i="3"/>
  <c r="O429" i="3"/>
  <c r="B430" i="3"/>
  <c r="C430" i="3"/>
  <c r="D430" i="3"/>
  <c r="O433" i="1" s="1"/>
  <c r="E430" i="3"/>
  <c r="F430" i="3"/>
  <c r="N430" i="3"/>
  <c r="J430" i="3" s="1"/>
  <c r="K430" i="3" s="1"/>
  <c r="L430" i="3" s="1"/>
  <c r="M430" i="3" s="1"/>
  <c r="R430" i="3" s="1"/>
  <c r="O430" i="3"/>
  <c r="B431" i="3"/>
  <c r="C431" i="3"/>
  <c r="D431" i="3"/>
  <c r="O434" i="1" s="1"/>
  <c r="E431" i="3"/>
  <c r="F431" i="3"/>
  <c r="N431" i="3"/>
  <c r="O431" i="3"/>
  <c r="B432" i="3"/>
  <c r="C432" i="3"/>
  <c r="D432" i="3"/>
  <c r="O435" i="1" s="1"/>
  <c r="E432" i="3"/>
  <c r="F432" i="3"/>
  <c r="N432" i="3"/>
  <c r="O432" i="3"/>
  <c r="B433" i="3"/>
  <c r="C433" i="3"/>
  <c r="D433" i="3"/>
  <c r="O436" i="1" s="1"/>
  <c r="E433" i="3"/>
  <c r="F433" i="3"/>
  <c r="N433" i="3"/>
  <c r="J433" i="3" s="1"/>
  <c r="K433" i="3" s="1"/>
  <c r="O433" i="3"/>
  <c r="B434" i="3"/>
  <c r="C434" i="3"/>
  <c r="D434" i="3"/>
  <c r="O437" i="1" s="1"/>
  <c r="E434" i="3"/>
  <c r="F434" i="3"/>
  <c r="N434" i="3"/>
  <c r="J434" i="3" s="1"/>
  <c r="K434" i="3" s="1"/>
  <c r="L434" i="3" s="1"/>
  <c r="M434" i="3" s="1"/>
  <c r="O434" i="3"/>
  <c r="B435" i="3"/>
  <c r="C435" i="3"/>
  <c r="D435" i="3"/>
  <c r="O438" i="1" s="1"/>
  <c r="E435" i="3"/>
  <c r="F435" i="3"/>
  <c r="N435" i="3"/>
  <c r="O435" i="3"/>
  <c r="B436" i="3"/>
  <c r="C436" i="3"/>
  <c r="D436" i="3"/>
  <c r="O439" i="1" s="1"/>
  <c r="E436" i="3"/>
  <c r="F436" i="3"/>
  <c r="N436" i="3"/>
  <c r="O436" i="3"/>
  <c r="U436" i="3"/>
  <c r="B437" i="3"/>
  <c r="C437" i="3"/>
  <c r="D437" i="3"/>
  <c r="O440" i="1" s="1"/>
  <c r="E437" i="3"/>
  <c r="F437" i="3"/>
  <c r="N437" i="3"/>
  <c r="O437" i="3"/>
  <c r="U437" i="3"/>
  <c r="B438" i="3"/>
  <c r="C438" i="3"/>
  <c r="D438" i="3"/>
  <c r="O441" i="1" s="1"/>
  <c r="E438" i="3"/>
  <c r="F438" i="3"/>
  <c r="N438" i="3"/>
  <c r="O438" i="3"/>
  <c r="U438" i="3"/>
  <c r="B439" i="3"/>
  <c r="C439" i="3"/>
  <c r="D439" i="3"/>
  <c r="O442" i="1" s="1"/>
  <c r="E439" i="3"/>
  <c r="F439" i="3"/>
  <c r="N439" i="3"/>
  <c r="O439" i="3"/>
  <c r="U439" i="3"/>
  <c r="B440" i="3"/>
  <c r="C440" i="3"/>
  <c r="D440" i="3"/>
  <c r="O443" i="1" s="1"/>
  <c r="E440" i="3"/>
  <c r="F440" i="3"/>
  <c r="N440" i="3"/>
  <c r="O440" i="3"/>
  <c r="B441" i="3"/>
  <c r="C441" i="3"/>
  <c r="D441" i="3"/>
  <c r="O444" i="1" s="1"/>
  <c r="E441" i="3"/>
  <c r="F441" i="3"/>
  <c r="N441" i="3"/>
  <c r="O441" i="3"/>
  <c r="B442" i="3"/>
  <c r="C442" i="3"/>
  <c r="D442" i="3"/>
  <c r="O445" i="1" s="1"/>
  <c r="E442" i="3"/>
  <c r="F442" i="3"/>
  <c r="N442" i="3"/>
  <c r="O442" i="3"/>
  <c r="U442" i="3"/>
  <c r="B443" i="3"/>
  <c r="C443" i="3"/>
  <c r="D443" i="3"/>
  <c r="O446" i="1" s="1"/>
  <c r="E443" i="3"/>
  <c r="F443" i="3"/>
  <c r="N443" i="3"/>
  <c r="O443" i="3"/>
  <c r="U443" i="3"/>
  <c r="B444" i="3"/>
  <c r="C444" i="3"/>
  <c r="D444" i="3"/>
  <c r="O447" i="1" s="1"/>
  <c r="E444" i="3"/>
  <c r="F444" i="3"/>
  <c r="N444" i="3"/>
  <c r="O444" i="3"/>
  <c r="U444" i="3"/>
  <c r="B445" i="3"/>
  <c r="C445" i="3"/>
  <c r="D445" i="3"/>
  <c r="O448" i="1" s="1"/>
  <c r="E445" i="3"/>
  <c r="F445" i="3"/>
  <c r="N445" i="3"/>
  <c r="J445" i="3" s="1"/>
  <c r="O445" i="3"/>
  <c r="U445" i="3"/>
  <c r="B446" i="3"/>
  <c r="C446" i="3"/>
  <c r="D446" i="3"/>
  <c r="O449" i="1" s="1"/>
  <c r="E446" i="3"/>
  <c r="F446" i="3"/>
  <c r="N446" i="3"/>
  <c r="J446" i="3" s="1"/>
  <c r="K446" i="3" s="1"/>
  <c r="L446" i="3" s="1"/>
  <c r="M446" i="3" s="1"/>
  <c r="O446" i="3"/>
  <c r="U446" i="3"/>
  <c r="B447" i="3"/>
  <c r="C447" i="3"/>
  <c r="D447" i="3"/>
  <c r="O450" i="1" s="1"/>
  <c r="E447" i="3"/>
  <c r="F447" i="3"/>
  <c r="N447" i="3"/>
  <c r="O447" i="3"/>
  <c r="B448" i="3"/>
  <c r="C448" i="3"/>
  <c r="D448" i="3"/>
  <c r="O451" i="1" s="1"/>
  <c r="E448" i="3"/>
  <c r="F448" i="3"/>
  <c r="N448" i="3"/>
  <c r="O448" i="3"/>
  <c r="U448" i="3"/>
  <c r="B449" i="3"/>
  <c r="C449" i="3"/>
  <c r="D449" i="3"/>
  <c r="O452" i="1" s="1"/>
  <c r="E449" i="3"/>
  <c r="F449" i="3"/>
  <c r="N449" i="3"/>
  <c r="O449" i="3"/>
  <c r="B450" i="3"/>
  <c r="C450" i="3"/>
  <c r="D450" i="3"/>
  <c r="O453" i="1" s="1"/>
  <c r="E450" i="3"/>
  <c r="F450" i="3"/>
  <c r="N450" i="3"/>
  <c r="O450" i="3"/>
  <c r="B451" i="3"/>
  <c r="C451" i="3"/>
  <c r="D451" i="3"/>
  <c r="O454" i="1" s="1"/>
  <c r="E451" i="3"/>
  <c r="F451" i="3"/>
  <c r="N451" i="3"/>
  <c r="J451" i="3" s="1"/>
  <c r="K451" i="3" s="1"/>
  <c r="L451" i="3" s="1"/>
  <c r="M451" i="3" s="1"/>
  <c r="R451" i="3" s="1"/>
  <c r="T451" i="3" s="1"/>
  <c r="O451" i="3"/>
  <c r="U451" i="3"/>
  <c r="B452" i="3"/>
  <c r="C452" i="3"/>
  <c r="D452" i="3"/>
  <c r="O455" i="1" s="1"/>
  <c r="E452" i="3"/>
  <c r="F452" i="3"/>
  <c r="N452" i="3"/>
  <c r="O452" i="3"/>
  <c r="B453" i="3"/>
  <c r="C453" i="3"/>
  <c r="D453" i="3"/>
  <c r="O456" i="1" s="1"/>
  <c r="E453" i="3"/>
  <c r="F453" i="3"/>
  <c r="N453" i="3"/>
  <c r="O453" i="3"/>
  <c r="B454" i="3"/>
  <c r="C454" i="3"/>
  <c r="D454" i="3"/>
  <c r="O457" i="1" s="1"/>
  <c r="E454" i="3"/>
  <c r="F454" i="3"/>
  <c r="N454" i="3"/>
  <c r="O454" i="3"/>
  <c r="B455" i="3"/>
  <c r="C455" i="3"/>
  <c r="D455" i="3"/>
  <c r="O458" i="1" s="1"/>
  <c r="E455" i="3"/>
  <c r="F455" i="3"/>
  <c r="N455" i="3"/>
  <c r="O455" i="3"/>
  <c r="B456" i="3"/>
  <c r="C456" i="3"/>
  <c r="D456" i="3"/>
  <c r="O459" i="1" s="1"/>
  <c r="E456" i="3"/>
  <c r="F456" i="3"/>
  <c r="N456" i="3"/>
  <c r="O456" i="3"/>
  <c r="B457" i="3"/>
  <c r="C457" i="3"/>
  <c r="D457" i="3"/>
  <c r="O460" i="1" s="1"/>
  <c r="E457" i="3"/>
  <c r="F457" i="3"/>
  <c r="N457" i="3"/>
  <c r="J457" i="3" s="1"/>
  <c r="K457" i="3" s="1"/>
  <c r="O457" i="3"/>
  <c r="B458" i="3"/>
  <c r="C458" i="3"/>
  <c r="D458" i="3"/>
  <c r="O461" i="1" s="1"/>
  <c r="E458" i="3"/>
  <c r="F458" i="3"/>
  <c r="N458" i="3"/>
  <c r="O458" i="3"/>
  <c r="U458" i="3"/>
  <c r="B459" i="3"/>
  <c r="C459" i="3"/>
  <c r="D459" i="3"/>
  <c r="O462" i="1" s="1"/>
  <c r="E459" i="3"/>
  <c r="F459" i="3"/>
  <c r="N459" i="3"/>
  <c r="O459" i="3"/>
  <c r="U459" i="3"/>
  <c r="B460" i="3"/>
  <c r="C460" i="3"/>
  <c r="D460" i="3"/>
  <c r="O463" i="1" s="1"/>
  <c r="E460" i="3"/>
  <c r="F460" i="3"/>
  <c r="N460" i="3"/>
  <c r="J460" i="3" s="1"/>
  <c r="K460" i="3" s="1"/>
  <c r="L460" i="3" s="1"/>
  <c r="M460" i="3" s="1"/>
  <c r="R460" i="3" s="1"/>
  <c r="O460" i="3"/>
  <c r="B461" i="3"/>
  <c r="C461" i="3"/>
  <c r="D461" i="3"/>
  <c r="O464" i="1" s="1"/>
  <c r="E461" i="3"/>
  <c r="F461" i="3"/>
  <c r="N461" i="3"/>
  <c r="J461" i="3" s="1"/>
  <c r="K461" i="3" s="1"/>
  <c r="L461" i="3" s="1"/>
  <c r="M461" i="3" s="1"/>
  <c r="R461" i="3" s="1"/>
  <c r="O461" i="3"/>
  <c r="U461" i="3"/>
  <c r="B462" i="3"/>
  <c r="C462" i="3"/>
  <c r="D462" i="3"/>
  <c r="O465" i="1" s="1"/>
  <c r="E462" i="3"/>
  <c r="F462" i="3"/>
  <c r="N462" i="3"/>
  <c r="O462" i="3"/>
  <c r="U462" i="3"/>
  <c r="B463" i="3"/>
  <c r="C463" i="3"/>
  <c r="D463" i="3"/>
  <c r="O466" i="1" s="1"/>
  <c r="E463" i="3"/>
  <c r="F463" i="3"/>
  <c r="N463" i="3"/>
  <c r="J463" i="3" s="1"/>
  <c r="K463" i="3" s="1"/>
  <c r="L463" i="3" s="1"/>
  <c r="M463" i="3" s="1"/>
  <c r="R463" i="3" s="1"/>
  <c r="T463" i="3" s="1"/>
  <c r="O463" i="3"/>
  <c r="B464" i="3"/>
  <c r="C464" i="3"/>
  <c r="D464" i="3"/>
  <c r="O467" i="1" s="1"/>
  <c r="E464" i="3"/>
  <c r="F464" i="3"/>
  <c r="N464" i="3"/>
  <c r="O464" i="3"/>
  <c r="U464" i="3"/>
  <c r="B465" i="3"/>
  <c r="C465" i="3"/>
  <c r="D465" i="3"/>
  <c r="O468" i="1" s="1"/>
  <c r="E465" i="3"/>
  <c r="F465" i="3"/>
  <c r="N465" i="3"/>
  <c r="O465" i="3"/>
  <c r="U465" i="3"/>
  <c r="B466" i="3"/>
  <c r="C466" i="3"/>
  <c r="D466" i="3"/>
  <c r="O469" i="1" s="1"/>
  <c r="E466" i="3"/>
  <c r="F466" i="3"/>
  <c r="N466" i="3"/>
  <c r="O466" i="3"/>
  <c r="B467" i="3"/>
  <c r="C467" i="3"/>
  <c r="D467" i="3"/>
  <c r="O470" i="1" s="1"/>
  <c r="E467" i="3"/>
  <c r="F467" i="3"/>
  <c r="N467" i="3"/>
  <c r="O467" i="3"/>
  <c r="B468" i="3"/>
  <c r="C468" i="3"/>
  <c r="D468" i="3"/>
  <c r="O471" i="1" s="1"/>
  <c r="E468" i="3"/>
  <c r="F468" i="3"/>
  <c r="N468" i="3"/>
  <c r="O468" i="3"/>
  <c r="B469" i="3"/>
  <c r="C469" i="3"/>
  <c r="D469" i="3"/>
  <c r="O472" i="1" s="1"/>
  <c r="E469" i="3"/>
  <c r="F469" i="3"/>
  <c r="N469" i="3"/>
  <c r="J469" i="3" s="1"/>
  <c r="U469" i="3" s="1"/>
  <c r="O469" i="3"/>
  <c r="B470" i="3"/>
  <c r="C470" i="3"/>
  <c r="D470" i="3"/>
  <c r="O473" i="1" s="1"/>
  <c r="E470" i="3"/>
  <c r="F470" i="3"/>
  <c r="N470" i="3"/>
  <c r="J470" i="3" s="1"/>
  <c r="K470" i="3" s="1"/>
  <c r="L470" i="3" s="1"/>
  <c r="M470" i="3" s="1"/>
  <c r="O470" i="3"/>
  <c r="B471" i="3"/>
  <c r="C471" i="3"/>
  <c r="D471" i="3"/>
  <c r="O474" i="1" s="1"/>
  <c r="E471" i="3"/>
  <c r="F471" i="3"/>
  <c r="N471" i="3"/>
  <c r="O471" i="3"/>
  <c r="B472" i="3"/>
  <c r="C472" i="3"/>
  <c r="D472" i="3"/>
  <c r="O475" i="1" s="1"/>
  <c r="E472" i="3"/>
  <c r="F472" i="3"/>
  <c r="N472" i="3"/>
  <c r="O472" i="3"/>
  <c r="B473" i="3"/>
  <c r="C473" i="3"/>
  <c r="D473" i="3"/>
  <c r="O476" i="1" s="1"/>
  <c r="E473" i="3"/>
  <c r="F473" i="3"/>
  <c r="N473" i="3"/>
  <c r="O473" i="3"/>
  <c r="U473" i="3"/>
  <c r="B474" i="3"/>
  <c r="C474" i="3"/>
  <c r="D474" i="3"/>
  <c r="O477" i="1" s="1"/>
  <c r="E474" i="3"/>
  <c r="F474" i="3"/>
  <c r="N474" i="3"/>
  <c r="O474" i="3"/>
  <c r="U474" i="3"/>
  <c r="B475" i="3"/>
  <c r="C475" i="3"/>
  <c r="D475" i="3"/>
  <c r="O478" i="1" s="1"/>
  <c r="E475" i="3"/>
  <c r="F475" i="3"/>
  <c r="N475" i="3"/>
  <c r="O475" i="3"/>
  <c r="U475" i="3"/>
  <c r="B476" i="3"/>
  <c r="C476" i="3"/>
  <c r="D476" i="3"/>
  <c r="O479" i="1" s="1"/>
  <c r="E476" i="3"/>
  <c r="F476" i="3"/>
  <c r="N476" i="3"/>
  <c r="O476" i="3"/>
  <c r="B477" i="3"/>
  <c r="C477" i="3"/>
  <c r="D477" i="3"/>
  <c r="O480" i="1" s="1"/>
  <c r="E477" i="3"/>
  <c r="F477" i="3"/>
  <c r="N477" i="3"/>
  <c r="O477" i="3"/>
  <c r="B478" i="3"/>
  <c r="C478" i="3"/>
  <c r="D478" i="3"/>
  <c r="O481" i="1" s="1"/>
  <c r="E478" i="3"/>
  <c r="F478" i="3"/>
  <c r="N478" i="3"/>
  <c r="O478" i="3"/>
  <c r="U478" i="3"/>
  <c r="B479" i="3"/>
  <c r="C479" i="3"/>
  <c r="D479" i="3"/>
  <c r="O482" i="1" s="1"/>
  <c r="E479" i="3"/>
  <c r="F479" i="3"/>
  <c r="N479" i="3"/>
  <c r="O479" i="3"/>
  <c r="U479" i="3"/>
  <c r="B480" i="3"/>
  <c r="C480" i="3"/>
  <c r="D480" i="3"/>
  <c r="O483" i="1" s="1"/>
  <c r="E480" i="3"/>
  <c r="F480" i="3"/>
  <c r="N480" i="3"/>
  <c r="O480" i="3"/>
  <c r="B481" i="3"/>
  <c r="C481" i="3"/>
  <c r="D481" i="3"/>
  <c r="O484" i="1" s="1"/>
  <c r="E481" i="3"/>
  <c r="F481" i="3"/>
  <c r="N481" i="3"/>
  <c r="J481" i="3" s="1"/>
  <c r="U481" i="3" s="1"/>
  <c r="O481" i="3"/>
  <c r="B482" i="3"/>
  <c r="C482" i="3"/>
  <c r="D482" i="3"/>
  <c r="O485" i="1" s="1"/>
  <c r="E482" i="3"/>
  <c r="F482" i="3"/>
  <c r="N482" i="3"/>
  <c r="J482" i="3" s="1"/>
  <c r="U482" i="3" s="1"/>
  <c r="O482" i="3"/>
  <c r="B483" i="3"/>
  <c r="C483" i="3"/>
  <c r="D483" i="3"/>
  <c r="O486" i="1" s="1"/>
  <c r="E483" i="3"/>
  <c r="F483" i="3"/>
  <c r="N483" i="3"/>
  <c r="J483" i="3" s="1"/>
  <c r="K483" i="3" s="1"/>
  <c r="L483" i="3" s="1"/>
  <c r="M483" i="3" s="1"/>
  <c r="R483" i="3" s="1"/>
  <c r="O483" i="3"/>
  <c r="B484" i="3"/>
  <c r="C484" i="3"/>
  <c r="D484" i="3"/>
  <c r="O487" i="1" s="1"/>
  <c r="E484" i="3"/>
  <c r="F484" i="3"/>
  <c r="N484" i="3"/>
  <c r="O484" i="3"/>
  <c r="U484" i="3"/>
  <c r="B485" i="3"/>
  <c r="C485" i="3"/>
  <c r="D485" i="3"/>
  <c r="O488" i="1" s="1"/>
  <c r="E485" i="3"/>
  <c r="F485" i="3"/>
  <c r="N485" i="3"/>
  <c r="O485" i="3"/>
  <c r="B486" i="3"/>
  <c r="C486" i="3"/>
  <c r="D486" i="3"/>
  <c r="O489" i="1" s="1"/>
  <c r="E486" i="3"/>
  <c r="F486" i="3"/>
  <c r="N486" i="3"/>
  <c r="J486" i="3" s="1"/>
  <c r="K486" i="3" s="1"/>
  <c r="L486" i="3" s="1"/>
  <c r="M486" i="3" s="1"/>
  <c r="R486" i="3" s="1"/>
  <c r="O486" i="3"/>
  <c r="B487" i="3"/>
  <c r="C487" i="3"/>
  <c r="D487" i="3"/>
  <c r="O490" i="1" s="1"/>
  <c r="E487" i="3"/>
  <c r="F487" i="3"/>
  <c r="N487" i="3"/>
  <c r="O487" i="3"/>
  <c r="U487" i="3"/>
  <c r="B488" i="3"/>
  <c r="C488" i="3"/>
  <c r="D488" i="3"/>
  <c r="O491" i="1" s="1"/>
  <c r="E488" i="3"/>
  <c r="F488" i="3"/>
  <c r="N488" i="3"/>
  <c r="O488" i="3"/>
  <c r="B489" i="3"/>
  <c r="C489" i="3"/>
  <c r="D489" i="3"/>
  <c r="O492" i="1" s="1"/>
  <c r="E489" i="3"/>
  <c r="F489" i="3"/>
  <c r="N489" i="3"/>
  <c r="O489" i="3"/>
  <c r="B490" i="3"/>
  <c r="C490" i="3"/>
  <c r="D490" i="3"/>
  <c r="O493" i="1" s="1"/>
  <c r="E490" i="3"/>
  <c r="F490" i="3"/>
  <c r="N490" i="3"/>
  <c r="O490" i="3"/>
  <c r="B491" i="3"/>
  <c r="C491" i="3"/>
  <c r="D491" i="3"/>
  <c r="O494" i="1" s="1"/>
  <c r="E491" i="3"/>
  <c r="F491" i="3"/>
  <c r="N491" i="3"/>
  <c r="O491" i="3"/>
  <c r="B492" i="3"/>
  <c r="C492" i="3"/>
  <c r="D492" i="3"/>
  <c r="O495" i="1" s="1"/>
  <c r="E492" i="3"/>
  <c r="F492" i="3"/>
  <c r="N492" i="3"/>
  <c r="O492" i="3"/>
  <c r="B493" i="3"/>
  <c r="C493" i="3"/>
  <c r="D493" i="3"/>
  <c r="O496" i="1" s="1"/>
  <c r="E493" i="3"/>
  <c r="F493" i="3"/>
  <c r="N493" i="3"/>
  <c r="J493" i="3" s="1"/>
  <c r="K493" i="3" s="1"/>
  <c r="L493" i="3" s="1"/>
  <c r="M493" i="3" s="1"/>
  <c r="O493" i="3"/>
  <c r="B494" i="3"/>
  <c r="C494" i="3"/>
  <c r="D494" i="3"/>
  <c r="O497" i="1" s="1"/>
  <c r="E494" i="3"/>
  <c r="F494" i="3"/>
  <c r="N494" i="3"/>
  <c r="J494" i="3" s="1"/>
  <c r="K494" i="3" s="1"/>
  <c r="L494" i="3" s="1"/>
  <c r="M494" i="3" s="1"/>
  <c r="R494" i="3" s="1"/>
  <c r="O494" i="3"/>
  <c r="B495" i="3"/>
  <c r="C495" i="3"/>
  <c r="D495" i="3"/>
  <c r="O498" i="1" s="1"/>
  <c r="E495" i="3"/>
  <c r="F495" i="3"/>
  <c r="N495" i="3"/>
  <c r="O495" i="3"/>
  <c r="B496" i="3"/>
  <c r="C496" i="3"/>
  <c r="D496" i="3"/>
  <c r="O499" i="1" s="1"/>
  <c r="E496" i="3"/>
  <c r="F496" i="3"/>
  <c r="N496" i="3"/>
  <c r="O496" i="3"/>
  <c r="B497" i="3"/>
  <c r="C497" i="3"/>
  <c r="D497" i="3"/>
  <c r="O500" i="1" s="1"/>
  <c r="E497" i="3"/>
  <c r="F497" i="3"/>
  <c r="N497" i="3"/>
  <c r="O497" i="3"/>
  <c r="U497" i="3"/>
  <c r="B498" i="3"/>
  <c r="C498" i="3"/>
  <c r="D498" i="3"/>
  <c r="O501" i="1" s="1"/>
  <c r="E498" i="3"/>
  <c r="F498" i="3"/>
  <c r="N498" i="3"/>
  <c r="J498" i="3" s="1"/>
  <c r="K498" i="3" s="1"/>
  <c r="L498" i="3" s="1"/>
  <c r="M498" i="3" s="1"/>
  <c r="R498" i="3" s="1"/>
  <c r="O498" i="3"/>
  <c r="B499" i="3"/>
  <c r="C499" i="3"/>
  <c r="D499" i="3"/>
  <c r="O502" i="1" s="1"/>
  <c r="E499" i="3"/>
  <c r="F499" i="3"/>
  <c r="N499" i="3"/>
  <c r="O499" i="3"/>
  <c r="U499" i="3"/>
  <c r="B500" i="3"/>
  <c r="C500" i="3"/>
  <c r="D500" i="3"/>
  <c r="O503" i="1" s="1"/>
  <c r="E500" i="3"/>
  <c r="F500" i="3"/>
  <c r="N500" i="3"/>
  <c r="O500" i="3"/>
  <c r="U500" i="3"/>
  <c r="B501" i="3"/>
  <c r="C501" i="3"/>
  <c r="D501" i="3"/>
  <c r="O504" i="1" s="1"/>
  <c r="E501" i="3"/>
  <c r="F501" i="3"/>
  <c r="N501" i="3"/>
  <c r="O501" i="3"/>
  <c r="U501" i="3"/>
  <c r="B502" i="3"/>
  <c r="C502" i="3"/>
  <c r="D502" i="3"/>
  <c r="O505" i="1" s="1"/>
  <c r="E502" i="3"/>
  <c r="F502" i="3"/>
  <c r="N502" i="3"/>
  <c r="O502" i="3"/>
  <c r="B503" i="3"/>
  <c r="C503" i="3"/>
  <c r="D503" i="3"/>
  <c r="O506" i="1" s="1"/>
  <c r="E503" i="3"/>
  <c r="F503" i="3"/>
  <c r="N503" i="3"/>
  <c r="O503" i="3"/>
  <c r="U503" i="3"/>
  <c r="B504" i="3"/>
  <c r="C504" i="3"/>
  <c r="D504" i="3"/>
  <c r="O507" i="1" s="1"/>
  <c r="E504" i="3"/>
  <c r="F504" i="3"/>
  <c r="N504" i="3"/>
  <c r="O504" i="3"/>
  <c r="U504" i="3"/>
  <c r="B505" i="3"/>
  <c r="C505" i="3"/>
  <c r="D505" i="3"/>
  <c r="O508" i="1" s="1"/>
  <c r="E505" i="3"/>
  <c r="F505" i="3"/>
  <c r="N505" i="3"/>
  <c r="J505" i="3" s="1"/>
  <c r="P505" i="3" s="1"/>
  <c r="O505" i="3"/>
  <c r="B506" i="3"/>
  <c r="C506" i="3"/>
  <c r="D506" i="3"/>
  <c r="O509" i="1" s="1"/>
  <c r="E506" i="3"/>
  <c r="F506" i="3"/>
  <c r="N506" i="3"/>
  <c r="J506" i="3" s="1"/>
  <c r="K506" i="3" s="1"/>
  <c r="L506" i="3" s="1"/>
  <c r="M506" i="3" s="1"/>
  <c r="R506" i="3" s="1"/>
  <c r="O506" i="3"/>
  <c r="B507" i="3"/>
  <c r="C507" i="3"/>
  <c r="D507" i="3"/>
  <c r="O510" i="1" s="1"/>
  <c r="E507" i="3"/>
  <c r="F507" i="3"/>
  <c r="N507" i="3"/>
  <c r="O507" i="3"/>
  <c r="B508" i="3"/>
  <c r="C508" i="3"/>
  <c r="D508" i="3"/>
  <c r="O511" i="1" s="1"/>
  <c r="E508" i="3"/>
  <c r="F508" i="3"/>
  <c r="N508" i="3"/>
  <c r="O508" i="3"/>
  <c r="U508" i="3"/>
  <c r="B509" i="3"/>
  <c r="C509" i="3"/>
  <c r="D509" i="3"/>
  <c r="O512" i="1" s="1"/>
  <c r="E509" i="3"/>
  <c r="F509" i="3"/>
  <c r="N509" i="3"/>
  <c r="O509" i="3"/>
  <c r="U509" i="3"/>
  <c r="B510" i="3"/>
  <c r="C510" i="3"/>
  <c r="D510" i="3"/>
  <c r="O513" i="1" s="1"/>
  <c r="E510" i="3"/>
  <c r="F510" i="3"/>
  <c r="N510" i="3"/>
  <c r="O510" i="3"/>
  <c r="U510" i="3"/>
  <c r="B511" i="3"/>
  <c r="C511" i="3"/>
  <c r="D511" i="3"/>
  <c r="O514" i="1" s="1"/>
  <c r="E511" i="3"/>
  <c r="F511" i="3"/>
  <c r="N511" i="3"/>
  <c r="O511" i="3"/>
  <c r="B512" i="3"/>
  <c r="C512" i="3"/>
  <c r="D512" i="3"/>
  <c r="O515" i="1" s="1"/>
  <c r="E512" i="3"/>
  <c r="F512" i="3"/>
  <c r="N512" i="3"/>
  <c r="O512" i="3"/>
  <c r="B513" i="3"/>
  <c r="C513" i="3"/>
  <c r="D513" i="3"/>
  <c r="O516" i="1" s="1"/>
  <c r="E513" i="3"/>
  <c r="F513" i="3"/>
  <c r="N513" i="3"/>
  <c r="O513" i="3"/>
  <c r="B514" i="3"/>
  <c r="C514" i="3"/>
  <c r="D514" i="3"/>
  <c r="O517" i="1" s="1"/>
  <c r="E514" i="3"/>
  <c r="F514" i="3"/>
  <c r="N514" i="3"/>
  <c r="O514" i="3"/>
  <c r="U514" i="3"/>
  <c r="B515" i="3"/>
  <c r="C515" i="3"/>
  <c r="D515" i="3"/>
  <c r="O518" i="1" s="1"/>
  <c r="E515" i="3"/>
  <c r="F515" i="3"/>
  <c r="N515" i="3"/>
  <c r="O515" i="3"/>
  <c r="U515" i="3"/>
  <c r="B516" i="3"/>
  <c r="C516" i="3"/>
  <c r="D516" i="3"/>
  <c r="O519" i="1" s="1"/>
  <c r="E516" i="3"/>
  <c r="F516" i="3"/>
  <c r="N516" i="3"/>
  <c r="J516" i="3" s="1"/>
  <c r="K516" i="3" s="1"/>
  <c r="L516" i="3" s="1"/>
  <c r="M516" i="3" s="1"/>
  <c r="O516" i="3"/>
  <c r="B517" i="3"/>
  <c r="C517" i="3"/>
  <c r="D517" i="3"/>
  <c r="O520" i="1" s="1"/>
  <c r="E517" i="3"/>
  <c r="F517" i="3"/>
  <c r="N517" i="3"/>
  <c r="J517" i="3" s="1"/>
  <c r="O517" i="3"/>
  <c r="U517" i="3"/>
  <c r="B518" i="3"/>
  <c r="C518" i="3"/>
  <c r="D518" i="3"/>
  <c r="O521" i="1" s="1"/>
  <c r="E518" i="3"/>
  <c r="F518" i="3"/>
  <c r="N518" i="3"/>
  <c r="O518" i="3"/>
  <c r="B519" i="3"/>
  <c r="C519" i="3"/>
  <c r="D519" i="3"/>
  <c r="O522" i="1" s="1"/>
  <c r="E519" i="3"/>
  <c r="F519" i="3"/>
  <c r="N519" i="3"/>
  <c r="O519" i="3"/>
  <c r="U519" i="3"/>
  <c r="B520" i="3"/>
  <c r="C520" i="3"/>
  <c r="D520" i="3"/>
  <c r="O523" i="1" s="1"/>
  <c r="E520" i="3"/>
  <c r="F520" i="3"/>
  <c r="N520" i="3"/>
  <c r="O520" i="3"/>
  <c r="B521" i="3"/>
  <c r="C521" i="3"/>
  <c r="D521" i="3"/>
  <c r="O524" i="1" s="1"/>
  <c r="E521" i="3"/>
  <c r="F521" i="3"/>
  <c r="N521" i="3"/>
  <c r="O521" i="3"/>
  <c r="U521" i="3"/>
  <c r="B522" i="3"/>
  <c r="C522" i="3"/>
  <c r="D522" i="3"/>
  <c r="O525" i="1" s="1"/>
  <c r="E522" i="3"/>
  <c r="F522" i="3"/>
  <c r="N522" i="3"/>
  <c r="J522" i="3" s="1"/>
  <c r="K522" i="3" s="1"/>
  <c r="L522" i="3" s="1"/>
  <c r="M522" i="3" s="1"/>
  <c r="R522" i="3" s="1"/>
  <c r="O522" i="3"/>
  <c r="U522" i="3"/>
  <c r="B523" i="3"/>
  <c r="C523" i="3"/>
  <c r="D523" i="3"/>
  <c r="O526" i="1" s="1"/>
  <c r="E523" i="3"/>
  <c r="F523" i="3"/>
  <c r="N523" i="3"/>
  <c r="O523" i="3"/>
  <c r="U523" i="3"/>
  <c r="B524" i="3"/>
  <c r="C524" i="3"/>
  <c r="D524" i="3"/>
  <c r="O527" i="1" s="1"/>
  <c r="E524" i="3"/>
  <c r="F524" i="3"/>
  <c r="N524" i="3"/>
  <c r="O524" i="3"/>
  <c r="U524" i="3"/>
  <c r="B525" i="3"/>
  <c r="C525" i="3"/>
  <c r="D525" i="3"/>
  <c r="O528" i="1" s="1"/>
  <c r="E525" i="3"/>
  <c r="F525" i="3"/>
  <c r="N525" i="3"/>
  <c r="O525" i="3"/>
  <c r="B526" i="3"/>
  <c r="C526" i="3"/>
  <c r="D526" i="3"/>
  <c r="O529" i="1" s="1"/>
  <c r="E526" i="3"/>
  <c r="F526" i="3"/>
  <c r="N526" i="3"/>
  <c r="O526" i="3"/>
  <c r="U526" i="3"/>
  <c r="B527" i="3"/>
  <c r="C527" i="3"/>
  <c r="D527" i="3"/>
  <c r="O530" i="1" s="1"/>
  <c r="E527" i="3"/>
  <c r="F527" i="3"/>
  <c r="N527" i="3"/>
  <c r="O527" i="3"/>
  <c r="B528" i="3"/>
  <c r="C528" i="3"/>
  <c r="D528" i="3"/>
  <c r="O531" i="1" s="1"/>
  <c r="E528" i="3"/>
  <c r="F528" i="3"/>
  <c r="N528" i="3"/>
  <c r="O528" i="3"/>
  <c r="U528" i="3"/>
  <c r="B529" i="3"/>
  <c r="C529" i="3"/>
  <c r="D529" i="3"/>
  <c r="O532" i="1" s="1"/>
  <c r="E529" i="3"/>
  <c r="F529" i="3"/>
  <c r="N529" i="3"/>
  <c r="J529" i="3" s="1"/>
  <c r="K529" i="3" s="1"/>
  <c r="L529" i="3" s="1"/>
  <c r="M529" i="3" s="1"/>
  <c r="O529" i="3"/>
  <c r="B530" i="3"/>
  <c r="C530" i="3"/>
  <c r="D530" i="3"/>
  <c r="O533" i="1" s="1"/>
  <c r="E530" i="3"/>
  <c r="F530" i="3"/>
  <c r="N530" i="3"/>
  <c r="O530" i="3"/>
  <c r="U530" i="3"/>
  <c r="B531" i="3"/>
  <c r="C531" i="3"/>
  <c r="D531" i="3"/>
  <c r="O534" i="1" s="1"/>
  <c r="E531" i="3"/>
  <c r="F531" i="3"/>
  <c r="N531" i="3"/>
  <c r="O531" i="3"/>
  <c r="U531" i="3"/>
  <c r="B532" i="3"/>
  <c r="C532" i="3"/>
  <c r="D532" i="3"/>
  <c r="O535" i="1" s="1"/>
  <c r="E532" i="3"/>
  <c r="F532" i="3"/>
  <c r="N532" i="3"/>
  <c r="O532" i="3"/>
  <c r="U532" i="3"/>
  <c r="B533" i="3"/>
  <c r="C533" i="3"/>
  <c r="D533" i="3"/>
  <c r="O536" i="1" s="1"/>
  <c r="E533" i="3"/>
  <c r="F533" i="3"/>
  <c r="N533" i="3"/>
  <c r="J533" i="3" s="1"/>
  <c r="K533" i="3" s="1"/>
  <c r="O533" i="3"/>
  <c r="U533" i="3"/>
  <c r="B534" i="3"/>
  <c r="C534" i="3"/>
  <c r="D534" i="3"/>
  <c r="O537" i="1" s="1"/>
  <c r="E534" i="3"/>
  <c r="F534" i="3"/>
  <c r="N534" i="3"/>
  <c r="O534" i="3"/>
  <c r="B535" i="3"/>
  <c r="C535" i="3"/>
  <c r="D535" i="3"/>
  <c r="O538" i="1" s="1"/>
  <c r="E535" i="3"/>
  <c r="F535" i="3"/>
  <c r="N535" i="3"/>
  <c r="O535" i="3"/>
  <c r="B536" i="3"/>
  <c r="C536" i="3"/>
  <c r="D536" i="3"/>
  <c r="O539" i="1" s="1"/>
  <c r="E536" i="3"/>
  <c r="F536" i="3"/>
  <c r="N536" i="3"/>
  <c r="O536" i="3"/>
  <c r="B537" i="3"/>
  <c r="C537" i="3"/>
  <c r="D537" i="3"/>
  <c r="O540" i="1" s="1"/>
  <c r="E537" i="3"/>
  <c r="F537" i="3"/>
  <c r="N537" i="3"/>
  <c r="O537" i="3"/>
  <c r="B538" i="3"/>
  <c r="C538" i="3"/>
  <c r="D538" i="3"/>
  <c r="O541" i="1" s="1"/>
  <c r="E538" i="3"/>
  <c r="F538" i="3"/>
  <c r="N538" i="3"/>
  <c r="O538" i="3"/>
  <c r="U538" i="3"/>
  <c r="B539" i="3"/>
  <c r="C539" i="3"/>
  <c r="D539" i="3"/>
  <c r="O542" i="1" s="1"/>
  <c r="E539" i="3"/>
  <c r="F539" i="3"/>
  <c r="N539" i="3"/>
  <c r="O539" i="3"/>
  <c r="U539" i="3"/>
  <c r="B540" i="3"/>
  <c r="C540" i="3"/>
  <c r="D540" i="3"/>
  <c r="O543" i="1" s="1"/>
  <c r="E540" i="3"/>
  <c r="F540" i="3"/>
  <c r="N540" i="3"/>
  <c r="J540" i="3" s="1"/>
  <c r="K540" i="3" s="1"/>
  <c r="L540" i="3" s="1"/>
  <c r="M540" i="3" s="1"/>
  <c r="O540" i="3"/>
  <c r="U540" i="3"/>
  <c r="B541" i="3"/>
  <c r="C541" i="3"/>
  <c r="D541" i="3"/>
  <c r="O544" i="1" s="1"/>
  <c r="E541" i="3"/>
  <c r="F541" i="3"/>
  <c r="N541" i="3"/>
  <c r="J541" i="3" s="1"/>
  <c r="K541" i="3" s="1"/>
  <c r="L541" i="3" s="1"/>
  <c r="M541" i="3" s="1"/>
  <c r="O541" i="3"/>
  <c r="U541" i="3"/>
  <c r="B542" i="3"/>
  <c r="C542" i="3"/>
  <c r="D542" i="3"/>
  <c r="O545" i="1" s="1"/>
  <c r="E542" i="3"/>
  <c r="F542" i="3"/>
  <c r="N542" i="3"/>
  <c r="J542" i="3" s="1"/>
  <c r="K542" i="3" s="1"/>
  <c r="L542" i="3" s="1"/>
  <c r="M542" i="3" s="1"/>
  <c r="R542" i="3" s="1"/>
  <c r="O542" i="3"/>
  <c r="B543" i="3"/>
  <c r="C543" i="3"/>
  <c r="D543" i="3"/>
  <c r="O546" i="1" s="1"/>
  <c r="E543" i="3"/>
  <c r="F543" i="3"/>
  <c r="N543" i="3"/>
  <c r="O543" i="3"/>
  <c r="B544" i="3"/>
  <c r="C544" i="3"/>
  <c r="D544" i="3"/>
  <c r="O547" i="1" s="1"/>
  <c r="E544" i="3"/>
  <c r="F544" i="3"/>
  <c r="N544" i="3"/>
  <c r="O544" i="3"/>
  <c r="U544" i="3"/>
  <c r="B545" i="3"/>
  <c r="C545" i="3"/>
  <c r="D545" i="3"/>
  <c r="O548" i="1" s="1"/>
  <c r="E545" i="3"/>
  <c r="F545" i="3"/>
  <c r="N545" i="3"/>
  <c r="O545" i="3"/>
  <c r="U545" i="3"/>
  <c r="B546" i="3"/>
  <c r="C546" i="3"/>
  <c r="D546" i="3"/>
  <c r="O549" i="1" s="1"/>
  <c r="E546" i="3"/>
  <c r="F546" i="3"/>
  <c r="N546" i="3"/>
  <c r="J546" i="3" s="1"/>
  <c r="K546" i="3" s="1"/>
  <c r="L546" i="3" s="1"/>
  <c r="M546" i="3" s="1"/>
  <c r="R546" i="3" s="1"/>
  <c r="O546" i="3"/>
  <c r="U546" i="3"/>
  <c r="B547" i="3"/>
  <c r="C547" i="3"/>
  <c r="D547" i="3"/>
  <c r="O550" i="1" s="1"/>
  <c r="E547" i="3"/>
  <c r="F547" i="3"/>
  <c r="N547" i="3"/>
  <c r="O547" i="3"/>
  <c r="B548" i="3"/>
  <c r="C548" i="3"/>
  <c r="D548" i="3"/>
  <c r="O551" i="1" s="1"/>
  <c r="E548" i="3"/>
  <c r="F548" i="3"/>
  <c r="N548" i="3"/>
  <c r="O548" i="3"/>
  <c r="B549" i="3"/>
  <c r="C549" i="3"/>
  <c r="D549" i="3"/>
  <c r="O552" i="1" s="1"/>
  <c r="E549" i="3"/>
  <c r="F549" i="3"/>
  <c r="N549" i="3"/>
  <c r="O549" i="3"/>
  <c r="B550" i="3"/>
  <c r="C550" i="3"/>
  <c r="D550" i="3"/>
  <c r="O553" i="1" s="1"/>
  <c r="E550" i="3"/>
  <c r="F550" i="3"/>
  <c r="N550" i="3"/>
  <c r="O550" i="3"/>
  <c r="B551" i="3"/>
  <c r="C551" i="3"/>
  <c r="D551" i="3"/>
  <c r="O554" i="1" s="1"/>
  <c r="E551" i="3"/>
  <c r="F551" i="3"/>
  <c r="N551" i="3"/>
  <c r="O551" i="3"/>
  <c r="U551" i="3"/>
  <c r="B552" i="3"/>
  <c r="C552" i="3"/>
  <c r="D552" i="3"/>
  <c r="O555" i="1" s="1"/>
  <c r="E552" i="3"/>
  <c r="F552" i="3"/>
  <c r="N552" i="3"/>
  <c r="J552" i="3" s="1"/>
  <c r="K552" i="3" s="1"/>
  <c r="L552" i="3" s="1"/>
  <c r="M552" i="3" s="1"/>
  <c r="O552" i="3"/>
  <c r="U552" i="3"/>
  <c r="B553" i="3"/>
  <c r="C553" i="3"/>
  <c r="D553" i="3"/>
  <c r="O556" i="1" s="1"/>
  <c r="E553" i="3"/>
  <c r="F553" i="3"/>
  <c r="N553" i="3"/>
  <c r="J553" i="3" s="1"/>
  <c r="K553" i="3" s="1"/>
  <c r="L553" i="3" s="1"/>
  <c r="M553" i="3" s="1"/>
  <c r="O553" i="3"/>
  <c r="B554" i="3"/>
  <c r="C554" i="3"/>
  <c r="D554" i="3"/>
  <c r="O557" i="1" s="1"/>
  <c r="E554" i="3"/>
  <c r="F554" i="3"/>
  <c r="N554" i="3"/>
  <c r="J554" i="3" s="1"/>
  <c r="K554" i="3" s="1"/>
  <c r="O554" i="3"/>
  <c r="U554" i="3"/>
  <c r="B555" i="3"/>
  <c r="C555" i="3"/>
  <c r="D555" i="3"/>
  <c r="O558" i="1" s="1"/>
  <c r="E555" i="3"/>
  <c r="F555" i="3"/>
  <c r="N555" i="3"/>
  <c r="O555" i="3"/>
  <c r="U555" i="3"/>
  <c r="B556" i="3"/>
  <c r="C556" i="3"/>
  <c r="D556" i="3"/>
  <c r="O559" i="1" s="1"/>
  <c r="E556" i="3"/>
  <c r="F556" i="3"/>
  <c r="N556" i="3"/>
  <c r="O556" i="3"/>
  <c r="U556" i="3"/>
  <c r="B557" i="3"/>
  <c r="C557" i="3"/>
  <c r="D557" i="3"/>
  <c r="O560" i="1" s="1"/>
  <c r="E557" i="3"/>
  <c r="F557" i="3"/>
  <c r="N557" i="3"/>
  <c r="O557" i="3"/>
  <c r="B558" i="3"/>
  <c r="C558" i="3"/>
  <c r="D558" i="3"/>
  <c r="O561" i="1" s="1"/>
  <c r="E558" i="3"/>
  <c r="F558" i="3"/>
  <c r="N558" i="3"/>
  <c r="O558" i="3"/>
  <c r="B559" i="3"/>
  <c r="C559" i="3"/>
  <c r="D559" i="3"/>
  <c r="O562" i="1" s="1"/>
  <c r="E559" i="3"/>
  <c r="F559" i="3"/>
  <c r="N559" i="3"/>
  <c r="O559" i="3"/>
  <c r="U559" i="3"/>
  <c r="B560" i="3"/>
  <c r="C560" i="3"/>
  <c r="D560" i="3"/>
  <c r="O563" i="1" s="1"/>
  <c r="E560" i="3"/>
  <c r="F560" i="3"/>
  <c r="N560" i="3"/>
  <c r="O560" i="3"/>
  <c r="B561" i="3"/>
  <c r="C561" i="3"/>
  <c r="D561" i="3"/>
  <c r="O564" i="1" s="1"/>
  <c r="E561" i="3"/>
  <c r="F561" i="3"/>
  <c r="N561" i="3"/>
  <c r="O561" i="3"/>
  <c r="U561" i="3"/>
  <c r="B562" i="3"/>
  <c r="C562" i="3"/>
  <c r="D562" i="3"/>
  <c r="O565" i="1" s="1"/>
  <c r="E562" i="3"/>
  <c r="F562" i="3"/>
  <c r="N562" i="3"/>
  <c r="J562" i="3" s="1"/>
  <c r="K562" i="3" s="1"/>
  <c r="L562" i="3" s="1"/>
  <c r="M562" i="3" s="1"/>
  <c r="R562" i="3" s="1"/>
  <c r="O562" i="3"/>
  <c r="B563" i="3"/>
  <c r="C563" i="3"/>
  <c r="D563" i="3"/>
  <c r="O566" i="1" s="1"/>
  <c r="E563" i="3"/>
  <c r="F563" i="3"/>
  <c r="N563" i="3"/>
  <c r="O563" i="3"/>
  <c r="B564" i="3"/>
  <c r="C564" i="3"/>
  <c r="D564" i="3"/>
  <c r="O567" i="1" s="1"/>
  <c r="E564" i="3"/>
  <c r="F564" i="3"/>
  <c r="N564" i="3"/>
  <c r="O564" i="3"/>
  <c r="U564" i="3"/>
  <c r="B565" i="3"/>
  <c r="C565" i="3"/>
  <c r="D565" i="3"/>
  <c r="O568" i="1" s="1"/>
  <c r="E565" i="3"/>
  <c r="F565" i="3"/>
  <c r="N565" i="3"/>
  <c r="J565" i="3" s="1"/>
  <c r="O565" i="3"/>
  <c r="U565" i="3"/>
  <c r="B566" i="3"/>
  <c r="C566" i="3"/>
  <c r="D566" i="3"/>
  <c r="O569" i="1" s="1"/>
  <c r="E566" i="3"/>
  <c r="F566" i="3"/>
  <c r="N566" i="3"/>
  <c r="J566" i="3" s="1"/>
  <c r="K566" i="3" s="1"/>
  <c r="L566" i="3" s="1"/>
  <c r="M566" i="3" s="1"/>
  <c r="R566" i="3" s="1"/>
  <c r="O566" i="3"/>
  <c r="B567" i="3"/>
  <c r="C567" i="3"/>
  <c r="D567" i="3"/>
  <c r="O570" i="1" s="1"/>
  <c r="E567" i="3"/>
  <c r="F567" i="3"/>
  <c r="N567" i="3"/>
  <c r="O567" i="3"/>
  <c r="U567" i="3"/>
  <c r="B568" i="3"/>
  <c r="C568" i="3"/>
  <c r="D568" i="3"/>
  <c r="O571" i="1" s="1"/>
  <c r="E568" i="3"/>
  <c r="F568" i="3"/>
  <c r="N568" i="3"/>
  <c r="O568" i="3"/>
  <c r="U568" i="3"/>
  <c r="B569" i="3"/>
  <c r="C569" i="3"/>
  <c r="D569" i="3"/>
  <c r="O572" i="1" s="1"/>
  <c r="E569" i="3"/>
  <c r="F569" i="3"/>
  <c r="N569" i="3"/>
  <c r="O569" i="3"/>
  <c r="U569" i="3"/>
  <c r="B570" i="3"/>
  <c r="C570" i="3"/>
  <c r="D570" i="3"/>
  <c r="O573" i="1" s="1"/>
  <c r="E570" i="3"/>
  <c r="F570" i="3"/>
  <c r="N570" i="3"/>
  <c r="O570" i="3"/>
  <c r="B571" i="3"/>
  <c r="C571" i="3"/>
  <c r="D571" i="3"/>
  <c r="O574" i="1" s="1"/>
  <c r="E571" i="3"/>
  <c r="F571" i="3"/>
  <c r="N571" i="3"/>
  <c r="O571" i="3"/>
  <c r="U571" i="3"/>
  <c r="B572" i="3"/>
  <c r="C572" i="3"/>
  <c r="D572" i="3"/>
  <c r="O575" i="1" s="1"/>
  <c r="E572" i="3"/>
  <c r="F572" i="3"/>
  <c r="N572" i="3"/>
  <c r="O572" i="3"/>
  <c r="U572" i="3"/>
  <c r="B573" i="3"/>
  <c r="C573" i="3"/>
  <c r="D573" i="3"/>
  <c r="O576" i="1" s="1"/>
  <c r="E573" i="3"/>
  <c r="F573" i="3"/>
  <c r="N573" i="3"/>
  <c r="O573" i="3"/>
  <c r="B574" i="3"/>
  <c r="C574" i="3"/>
  <c r="D574" i="3"/>
  <c r="O577" i="1" s="1"/>
  <c r="E574" i="3"/>
  <c r="F574" i="3"/>
  <c r="N574" i="3"/>
  <c r="O574" i="3"/>
  <c r="B575" i="3"/>
  <c r="C575" i="3"/>
  <c r="D575" i="3"/>
  <c r="O578" i="1" s="1"/>
  <c r="E575" i="3"/>
  <c r="F575" i="3"/>
  <c r="N575" i="3"/>
  <c r="O575" i="3"/>
  <c r="B576" i="3"/>
  <c r="C576" i="3"/>
  <c r="D576" i="3"/>
  <c r="O579" i="1" s="1"/>
  <c r="E576" i="3"/>
  <c r="F576" i="3"/>
  <c r="N576" i="3"/>
  <c r="O576" i="3"/>
  <c r="B577" i="3"/>
  <c r="C577" i="3"/>
  <c r="D577" i="3"/>
  <c r="O580" i="1" s="1"/>
  <c r="E577" i="3"/>
  <c r="F577" i="3"/>
  <c r="N577" i="3"/>
  <c r="J577" i="3" s="1"/>
  <c r="K577" i="3" s="1"/>
  <c r="O577" i="3"/>
  <c r="B578" i="3"/>
  <c r="C578" i="3"/>
  <c r="D578" i="3"/>
  <c r="O581" i="1" s="1"/>
  <c r="E578" i="3"/>
  <c r="F578" i="3"/>
  <c r="N578" i="3"/>
  <c r="O578" i="3"/>
  <c r="B579" i="3"/>
  <c r="C579" i="3"/>
  <c r="D579" i="3"/>
  <c r="O582" i="1" s="1"/>
  <c r="E579" i="3"/>
  <c r="F579" i="3"/>
  <c r="N579" i="3"/>
  <c r="O579" i="3"/>
  <c r="U579" i="3"/>
  <c r="B580" i="3"/>
  <c r="C580" i="3"/>
  <c r="D580" i="3"/>
  <c r="O583" i="1" s="1"/>
  <c r="E580" i="3"/>
  <c r="F580" i="3"/>
  <c r="N580" i="3"/>
  <c r="O580" i="3"/>
  <c r="B581" i="3"/>
  <c r="C581" i="3"/>
  <c r="D581" i="3"/>
  <c r="O584" i="1" s="1"/>
  <c r="E581" i="3"/>
  <c r="F581" i="3"/>
  <c r="N581" i="3"/>
  <c r="O581" i="3"/>
  <c r="U581" i="3"/>
  <c r="B582" i="3"/>
  <c r="C582" i="3"/>
  <c r="D582" i="3"/>
  <c r="O585" i="1" s="1"/>
  <c r="E582" i="3"/>
  <c r="F582" i="3"/>
  <c r="N582" i="3"/>
  <c r="J582" i="3" s="1"/>
  <c r="K582" i="3" s="1"/>
  <c r="L582" i="3" s="1"/>
  <c r="M582" i="3" s="1"/>
  <c r="R582" i="3" s="1"/>
  <c r="O582" i="3"/>
  <c r="U582" i="3"/>
  <c r="B583" i="3"/>
  <c r="C583" i="3"/>
  <c r="D583" i="3"/>
  <c r="O586" i="1" s="1"/>
  <c r="E583" i="3"/>
  <c r="F583" i="3"/>
  <c r="N583" i="3"/>
  <c r="O583" i="3"/>
  <c r="U583" i="3"/>
  <c r="B584" i="3"/>
  <c r="C584" i="3"/>
  <c r="D584" i="3"/>
  <c r="O587" i="1" s="1"/>
  <c r="E584" i="3"/>
  <c r="F584" i="3"/>
  <c r="N584" i="3"/>
  <c r="O584" i="3"/>
  <c r="B585" i="3"/>
  <c r="C585" i="3"/>
  <c r="D585" i="3"/>
  <c r="O588" i="1" s="1"/>
  <c r="E585" i="3"/>
  <c r="F585" i="3"/>
  <c r="N585" i="3"/>
  <c r="O585" i="3"/>
  <c r="B586" i="3"/>
  <c r="C586" i="3"/>
  <c r="D586" i="3"/>
  <c r="O589" i="1" s="1"/>
  <c r="E586" i="3"/>
  <c r="F586" i="3"/>
  <c r="N586" i="3"/>
  <c r="O586" i="3"/>
  <c r="B587" i="3"/>
  <c r="C587" i="3"/>
  <c r="D587" i="3"/>
  <c r="O590" i="1" s="1"/>
  <c r="E587" i="3"/>
  <c r="F587" i="3"/>
  <c r="N587" i="3"/>
  <c r="O587" i="3"/>
  <c r="U587" i="3"/>
  <c r="B588" i="3"/>
  <c r="C588" i="3"/>
  <c r="D588" i="3"/>
  <c r="O591" i="1" s="1"/>
  <c r="E588" i="3"/>
  <c r="F588" i="3"/>
  <c r="N588" i="3"/>
  <c r="O588" i="3"/>
  <c r="B589" i="3"/>
  <c r="C589" i="3"/>
  <c r="D589" i="3"/>
  <c r="O592" i="1" s="1"/>
  <c r="E589" i="3"/>
  <c r="F589" i="3"/>
  <c r="N589" i="3"/>
  <c r="J589" i="3" s="1"/>
  <c r="K589" i="3" s="1"/>
  <c r="L589" i="3" s="1"/>
  <c r="M589" i="3" s="1"/>
  <c r="O589" i="3"/>
  <c r="U589" i="3"/>
  <c r="B590" i="3"/>
  <c r="C590" i="3"/>
  <c r="D590" i="3"/>
  <c r="O593" i="1" s="1"/>
  <c r="E590" i="3"/>
  <c r="F590" i="3"/>
  <c r="N590" i="3"/>
  <c r="J590" i="3" s="1"/>
  <c r="K590" i="3" s="1"/>
  <c r="L590" i="3" s="1"/>
  <c r="M590" i="3" s="1"/>
  <c r="R590" i="3" s="1"/>
  <c r="O590" i="3"/>
  <c r="B591" i="3"/>
  <c r="C591" i="3"/>
  <c r="D591" i="3"/>
  <c r="O594" i="1" s="1"/>
  <c r="E591" i="3"/>
  <c r="F591" i="3"/>
  <c r="N591" i="3"/>
  <c r="O591" i="3"/>
  <c r="B592" i="3"/>
  <c r="C592" i="3"/>
  <c r="D592" i="3"/>
  <c r="O595" i="1" s="1"/>
  <c r="E592" i="3"/>
  <c r="F592" i="3"/>
  <c r="N592" i="3"/>
  <c r="O592" i="3"/>
  <c r="B593" i="3"/>
  <c r="C593" i="3"/>
  <c r="D593" i="3"/>
  <c r="O596" i="1" s="1"/>
  <c r="E593" i="3"/>
  <c r="F593" i="3"/>
  <c r="N593" i="3"/>
  <c r="O593" i="3"/>
  <c r="U593" i="3"/>
  <c r="B594" i="3"/>
  <c r="C594" i="3"/>
  <c r="D594" i="3"/>
  <c r="O597" i="1" s="1"/>
  <c r="E594" i="3"/>
  <c r="F594" i="3"/>
  <c r="N594" i="3"/>
  <c r="O594" i="3"/>
  <c r="B595" i="3"/>
  <c r="C595" i="3"/>
  <c r="D595" i="3"/>
  <c r="O598" i="1" s="1"/>
  <c r="E595" i="3"/>
  <c r="F595" i="3"/>
  <c r="N595" i="3"/>
  <c r="O595" i="3"/>
  <c r="U595" i="3"/>
  <c r="B596" i="3"/>
  <c r="C596" i="3"/>
  <c r="D596" i="3"/>
  <c r="O599" i="1" s="1"/>
  <c r="E596" i="3"/>
  <c r="F596" i="3"/>
  <c r="N596" i="3"/>
  <c r="O596" i="3"/>
  <c r="B597" i="3"/>
  <c r="C597" i="3"/>
  <c r="D597" i="3"/>
  <c r="O600" i="1" s="1"/>
  <c r="E597" i="3"/>
  <c r="F597" i="3"/>
  <c r="N597" i="3"/>
  <c r="O597" i="3"/>
  <c r="B598" i="3"/>
  <c r="C598" i="3"/>
  <c r="D598" i="3"/>
  <c r="O601" i="1" s="1"/>
  <c r="E598" i="3"/>
  <c r="F598" i="3"/>
  <c r="N598" i="3"/>
  <c r="O598" i="3"/>
  <c r="U598" i="3"/>
  <c r="B599" i="3"/>
  <c r="C599" i="3"/>
  <c r="D599" i="3"/>
  <c r="O602" i="1" s="1"/>
  <c r="E599" i="3"/>
  <c r="F599" i="3"/>
  <c r="N599" i="3"/>
  <c r="O599" i="3"/>
  <c r="U599" i="3"/>
  <c r="B600" i="3"/>
  <c r="C600" i="3"/>
  <c r="D600" i="3"/>
  <c r="O603" i="1" s="1"/>
  <c r="E600" i="3"/>
  <c r="F600" i="3"/>
  <c r="N600" i="3"/>
  <c r="O600" i="3"/>
  <c r="U600" i="3"/>
  <c r="B601" i="3"/>
  <c r="C601" i="3"/>
  <c r="D601" i="3"/>
  <c r="O604" i="1" s="1"/>
  <c r="E601" i="3"/>
  <c r="F601" i="3"/>
  <c r="N601" i="3"/>
  <c r="J601" i="3" s="1"/>
  <c r="K601" i="3" s="1"/>
  <c r="L601" i="3" s="1"/>
  <c r="M601" i="3" s="1"/>
  <c r="O601" i="3"/>
  <c r="U601" i="3"/>
  <c r="B602" i="3"/>
  <c r="C602" i="3"/>
  <c r="D602" i="3"/>
  <c r="O605" i="1" s="1"/>
  <c r="E602" i="3"/>
  <c r="F602" i="3"/>
  <c r="N602" i="3"/>
  <c r="O602" i="3"/>
  <c r="U602" i="3"/>
  <c r="B603" i="3"/>
  <c r="C603" i="3"/>
  <c r="D603" i="3"/>
  <c r="O606" i="1" s="1"/>
  <c r="E603" i="3"/>
  <c r="F603" i="3"/>
  <c r="N603" i="3"/>
  <c r="O603" i="3"/>
  <c r="U603" i="3"/>
  <c r="B604" i="3"/>
  <c r="C604" i="3"/>
  <c r="D604" i="3"/>
  <c r="O607" i="1" s="1"/>
  <c r="E604" i="3"/>
  <c r="F604" i="3"/>
  <c r="N604" i="3"/>
  <c r="J604" i="3" s="1"/>
  <c r="K604" i="3" s="1"/>
  <c r="L604" i="3" s="1"/>
  <c r="M604" i="3" s="1"/>
  <c r="R604" i="3" s="1"/>
  <c r="O604" i="3"/>
  <c r="U604" i="3"/>
  <c r="B605" i="3"/>
  <c r="C605" i="3"/>
  <c r="D605" i="3"/>
  <c r="O608" i="1" s="1"/>
  <c r="E605" i="3"/>
  <c r="F605" i="3"/>
  <c r="N605" i="3"/>
  <c r="J605" i="3" s="1"/>
  <c r="K605" i="3" s="1"/>
  <c r="L605" i="3" s="1"/>
  <c r="M605" i="3" s="1"/>
  <c r="R605" i="3" s="1"/>
  <c r="O605" i="3"/>
  <c r="B606" i="3"/>
  <c r="C606" i="3"/>
  <c r="D606" i="3"/>
  <c r="O609" i="1" s="1"/>
  <c r="E606" i="3"/>
  <c r="F606" i="3"/>
  <c r="N606" i="3"/>
  <c r="J606" i="3" s="1"/>
  <c r="K606" i="3" s="1"/>
  <c r="L606" i="3" s="1"/>
  <c r="M606" i="3" s="1"/>
  <c r="O606" i="3"/>
  <c r="B607" i="3"/>
  <c r="C607" i="3"/>
  <c r="D607" i="3"/>
  <c r="O610" i="1" s="1"/>
  <c r="E607" i="3"/>
  <c r="F607" i="3"/>
  <c r="N607" i="3"/>
  <c r="J607" i="3" s="1"/>
  <c r="K607" i="3" s="1"/>
  <c r="L607" i="3" s="1"/>
  <c r="M607" i="3" s="1"/>
  <c r="O607" i="3"/>
  <c r="U607" i="3"/>
  <c r="B608" i="3"/>
  <c r="C608" i="3"/>
  <c r="D608" i="3"/>
  <c r="O611" i="1" s="1"/>
  <c r="E608" i="3"/>
  <c r="F608" i="3"/>
  <c r="N608" i="3"/>
  <c r="O608" i="3"/>
  <c r="U608" i="3"/>
  <c r="B609" i="3"/>
  <c r="C609" i="3"/>
  <c r="D609" i="3"/>
  <c r="O612" i="1" s="1"/>
  <c r="E609" i="3"/>
  <c r="F609" i="3"/>
  <c r="N609" i="3"/>
  <c r="O609" i="3"/>
  <c r="B610" i="3"/>
  <c r="C610" i="3"/>
  <c r="D610" i="3"/>
  <c r="O613" i="1" s="1"/>
  <c r="E610" i="3"/>
  <c r="F610" i="3"/>
  <c r="N610" i="3"/>
  <c r="J610" i="3" s="1"/>
  <c r="K610" i="3" s="1"/>
  <c r="L610" i="3" s="1"/>
  <c r="M610" i="3" s="1"/>
  <c r="O610" i="3"/>
  <c r="B611" i="3"/>
  <c r="C611" i="3"/>
  <c r="D611" i="3"/>
  <c r="O614" i="1" s="1"/>
  <c r="E611" i="3"/>
  <c r="F611" i="3"/>
  <c r="N611" i="3"/>
  <c r="O611" i="3"/>
  <c r="B612" i="3"/>
  <c r="C612" i="3"/>
  <c r="D612" i="3"/>
  <c r="O615" i="1" s="1"/>
  <c r="E612" i="3"/>
  <c r="F612" i="3"/>
  <c r="N612" i="3"/>
  <c r="O612" i="3"/>
  <c r="B613" i="3"/>
  <c r="C613" i="3"/>
  <c r="D613" i="3"/>
  <c r="O616" i="1" s="1"/>
  <c r="E613" i="3"/>
  <c r="F613" i="3"/>
  <c r="N613" i="3"/>
  <c r="O613" i="3"/>
  <c r="U613" i="3"/>
  <c r="B614" i="3"/>
  <c r="C614" i="3"/>
  <c r="D614" i="3"/>
  <c r="O617" i="1" s="1"/>
  <c r="E614" i="3"/>
  <c r="F614" i="3"/>
  <c r="N614" i="3"/>
  <c r="O614" i="3"/>
  <c r="U614" i="3"/>
  <c r="B615" i="3"/>
  <c r="C615" i="3"/>
  <c r="D615" i="3"/>
  <c r="O618" i="1" s="1"/>
  <c r="E615" i="3"/>
  <c r="F615" i="3"/>
  <c r="N615" i="3"/>
  <c r="J615" i="3" s="1"/>
  <c r="K615" i="3" s="1"/>
  <c r="L615" i="3" s="1"/>
  <c r="M615" i="3" s="1"/>
  <c r="O615" i="3"/>
  <c r="B616" i="3"/>
  <c r="C616" i="3"/>
  <c r="D616" i="3"/>
  <c r="O619" i="1" s="1"/>
  <c r="E616" i="3"/>
  <c r="F616" i="3"/>
  <c r="N616" i="3"/>
  <c r="J616" i="3" s="1"/>
  <c r="K616" i="3" s="1"/>
  <c r="L616" i="3" s="1"/>
  <c r="M616" i="3" s="1"/>
  <c r="R616" i="3" s="1"/>
  <c r="O616" i="3"/>
  <c r="U616" i="3"/>
  <c r="B617" i="3"/>
  <c r="C617" i="3"/>
  <c r="D617" i="3"/>
  <c r="O620" i="1" s="1"/>
  <c r="E617" i="3"/>
  <c r="F617" i="3"/>
  <c r="N617" i="3"/>
  <c r="O617" i="3"/>
  <c r="U617" i="3"/>
  <c r="B618" i="3"/>
  <c r="C618" i="3"/>
  <c r="D618" i="3"/>
  <c r="O621" i="1" s="1"/>
  <c r="E618" i="3"/>
  <c r="F618" i="3"/>
  <c r="N618" i="3"/>
  <c r="O618" i="3"/>
  <c r="U618" i="3"/>
  <c r="B619" i="3"/>
  <c r="C619" i="3"/>
  <c r="D619" i="3"/>
  <c r="O622" i="1" s="1"/>
  <c r="E619" i="3"/>
  <c r="F619" i="3"/>
  <c r="N619" i="3"/>
  <c r="J619" i="3" s="1"/>
  <c r="K619" i="3" s="1"/>
  <c r="L619" i="3" s="1"/>
  <c r="M619" i="3" s="1"/>
  <c r="R619" i="3" s="1"/>
  <c r="S619" i="3" s="1"/>
  <c r="O619" i="3"/>
  <c r="U619" i="3"/>
  <c r="B620" i="3"/>
  <c r="C620" i="3"/>
  <c r="D620" i="3"/>
  <c r="O623" i="1" s="1"/>
  <c r="E620" i="3"/>
  <c r="F620" i="3"/>
  <c r="N620" i="3"/>
  <c r="J620" i="3" s="1"/>
  <c r="K620" i="3" s="1"/>
  <c r="L620" i="3" s="1"/>
  <c r="M620" i="3" s="1"/>
  <c r="R620" i="3" s="1"/>
  <c r="O620" i="3"/>
  <c r="U620" i="3"/>
  <c r="B621" i="3"/>
  <c r="C621" i="3"/>
  <c r="D621" i="3"/>
  <c r="O624" i="1" s="1"/>
  <c r="E621" i="3"/>
  <c r="F621" i="3"/>
  <c r="N621" i="3"/>
  <c r="O621" i="3"/>
  <c r="U621" i="3"/>
  <c r="B622" i="3"/>
  <c r="C622" i="3"/>
  <c r="D622" i="3"/>
  <c r="O625" i="1" s="1"/>
  <c r="E622" i="3"/>
  <c r="F622" i="3"/>
  <c r="N622" i="3"/>
  <c r="O622" i="3"/>
  <c r="U622" i="3"/>
  <c r="B623" i="3"/>
  <c r="C623" i="3"/>
  <c r="D623" i="3"/>
  <c r="O626" i="1" s="1"/>
  <c r="E623" i="3"/>
  <c r="F623" i="3"/>
  <c r="N623" i="3"/>
  <c r="O623" i="3"/>
  <c r="U623" i="3"/>
  <c r="B624" i="3"/>
  <c r="C624" i="3"/>
  <c r="D624" i="3"/>
  <c r="O627" i="1" s="1"/>
  <c r="E624" i="3"/>
  <c r="F624" i="3"/>
  <c r="N624" i="3"/>
  <c r="O624" i="3"/>
  <c r="U624" i="3"/>
  <c r="B625" i="3"/>
  <c r="C625" i="3"/>
  <c r="D625" i="3"/>
  <c r="O628" i="1" s="1"/>
  <c r="E625" i="3"/>
  <c r="F625" i="3"/>
  <c r="N625" i="3"/>
  <c r="J625" i="3" s="1"/>
  <c r="K625" i="3" s="1"/>
  <c r="O625" i="3"/>
  <c r="B626" i="3"/>
  <c r="C626" i="3"/>
  <c r="D626" i="3"/>
  <c r="O629" i="1" s="1"/>
  <c r="E626" i="3"/>
  <c r="F626" i="3"/>
  <c r="N626" i="3"/>
  <c r="J626" i="3" s="1"/>
  <c r="K626" i="3" s="1"/>
  <c r="O626" i="3"/>
  <c r="U626" i="3"/>
  <c r="B627" i="3"/>
  <c r="C627" i="3"/>
  <c r="D627" i="3"/>
  <c r="O630" i="1" s="1"/>
  <c r="E627" i="3"/>
  <c r="F627" i="3"/>
  <c r="N627" i="3"/>
  <c r="O627" i="3"/>
  <c r="B628" i="3"/>
  <c r="C628" i="3"/>
  <c r="D628" i="3"/>
  <c r="O631" i="1" s="1"/>
  <c r="E628" i="3"/>
  <c r="F628" i="3"/>
  <c r="N628" i="3"/>
  <c r="O628" i="3"/>
  <c r="B629" i="3"/>
  <c r="C629" i="3"/>
  <c r="D629" i="3"/>
  <c r="O632" i="1" s="1"/>
  <c r="E629" i="3"/>
  <c r="F629" i="3"/>
  <c r="N629" i="3"/>
  <c r="J629" i="3" s="1"/>
  <c r="K629" i="3" s="1"/>
  <c r="L629" i="3" s="1"/>
  <c r="M629" i="3" s="1"/>
  <c r="O629" i="3"/>
  <c r="B630" i="3"/>
  <c r="C630" i="3"/>
  <c r="D630" i="3"/>
  <c r="O633" i="1" s="1"/>
  <c r="E630" i="3"/>
  <c r="F630" i="3"/>
  <c r="N630" i="3"/>
  <c r="O630" i="3"/>
  <c r="U630" i="3"/>
  <c r="B631" i="3"/>
  <c r="C631" i="3"/>
  <c r="D631" i="3"/>
  <c r="O634" i="1" s="1"/>
  <c r="E631" i="3"/>
  <c r="F631" i="3"/>
  <c r="N631" i="3"/>
  <c r="O631" i="3"/>
  <c r="U631" i="3"/>
  <c r="B632" i="3"/>
  <c r="C632" i="3"/>
  <c r="D632" i="3"/>
  <c r="O635" i="1" s="1"/>
  <c r="E632" i="3"/>
  <c r="F632" i="3"/>
  <c r="N632" i="3"/>
  <c r="O632" i="3"/>
  <c r="U632" i="3"/>
  <c r="B633" i="3"/>
  <c r="C633" i="3"/>
  <c r="D633" i="3"/>
  <c r="O636" i="1" s="1"/>
  <c r="E633" i="3"/>
  <c r="F633" i="3"/>
  <c r="N633" i="3"/>
  <c r="O633" i="3"/>
  <c r="U633" i="3"/>
  <c r="B634" i="3"/>
  <c r="C634" i="3"/>
  <c r="D634" i="3"/>
  <c r="O637" i="1" s="1"/>
  <c r="E634" i="3"/>
  <c r="F634" i="3"/>
  <c r="N634" i="3"/>
  <c r="J634" i="3" s="1"/>
  <c r="K634" i="3" s="1"/>
  <c r="L634" i="3" s="1"/>
  <c r="M634" i="3" s="1"/>
  <c r="R634" i="3" s="1"/>
  <c r="O634" i="3"/>
  <c r="U634" i="3"/>
  <c r="B635" i="3"/>
  <c r="C635" i="3"/>
  <c r="D635" i="3"/>
  <c r="O638" i="1" s="1"/>
  <c r="E635" i="3"/>
  <c r="F635" i="3"/>
  <c r="N635" i="3"/>
  <c r="O635" i="3"/>
  <c r="B636" i="3"/>
  <c r="C636" i="3"/>
  <c r="D636" i="3"/>
  <c r="O639" i="1" s="1"/>
  <c r="E636" i="3"/>
  <c r="F636" i="3"/>
  <c r="N636" i="3"/>
  <c r="O636" i="3"/>
  <c r="B637" i="3"/>
  <c r="C637" i="3"/>
  <c r="D637" i="3"/>
  <c r="O640" i="1" s="1"/>
  <c r="E637" i="3"/>
  <c r="F637" i="3"/>
  <c r="N637" i="3"/>
  <c r="J637" i="3" s="1"/>
  <c r="K637" i="3" s="1"/>
  <c r="O637" i="3"/>
  <c r="B638" i="3"/>
  <c r="C638" i="3"/>
  <c r="D638" i="3"/>
  <c r="O641" i="1" s="1"/>
  <c r="E638" i="3"/>
  <c r="F638" i="3"/>
  <c r="N638" i="3"/>
  <c r="J638" i="3" s="1"/>
  <c r="K638" i="3" s="1"/>
  <c r="O638" i="3"/>
  <c r="B639" i="3"/>
  <c r="C639" i="3"/>
  <c r="D639" i="3"/>
  <c r="O642" i="1" s="1"/>
  <c r="E639" i="3"/>
  <c r="F639" i="3"/>
  <c r="N639" i="3"/>
  <c r="O639" i="3"/>
  <c r="B640" i="3"/>
  <c r="C640" i="3"/>
  <c r="D640" i="3"/>
  <c r="O643" i="1" s="1"/>
  <c r="E640" i="3"/>
  <c r="F640" i="3"/>
  <c r="N640" i="3"/>
  <c r="O640" i="3"/>
  <c r="U640" i="3"/>
  <c r="B641" i="3"/>
  <c r="C641" i="3"/>
  <c r="D641" i="3"/>
  <c r="O644" i="1" s="1"/>
  <c r="E641" i="3"/>
  <c r="F641" i="3"/>
  <c r="N641" i="3"/>
  <c r="J641" i="3" s="1"/>
  <c r="K641" i="3" s="1"/>
  <c r="L641" i="3" s="1"/>
  <c r="M641" i="3" s="1"/>
  <c r="O641" i="3"/>
  <c r="U641" i="3"/>
  <c r="B642" i="3"/>
  <c r="C642" i="3"/>
  <c r="D642" i="3"/>
  <c r="O645" i="1" s="1"/>
  <c r="E642" i="3"/>
  <c r="F642" i="3"/>
  <c r="N642" i="3"/>
  <c r="O642" i="3"/>
  <c r="U642" i="3"/>
  <c r="B643" i="3"/>
  <c r="C643" i="3"/>
  <c r="D643" i="3"/>
  <c r="O646" i="1" s="1"/>
  <c r="E643" i="3"/>
  <c r="F643" i="3"/>
  <c r="N643" i="3"/>
  <c r="O643" i="3"/>
  <c r="U643" i="3"/>
  <c r="B644" i="3"/>
  <c r="C644" i="3"/>
  <c r="D644" i="3"/>
  <c r="O647" i="1" s="1"/>
  <c r="E644" i="3"/>
  <c r="F644" i="3"/>
  <c r="N644" i="3"/>
  <c r="J644" i="3" s="1"/>
  <c r="K644" i="3" s="1"/>
  <c r="L644" i="3" s="1"/>
  <c r="M644" i="3" s="1"/>
  <c r="R644" i="3" s="1"/>
  <c r="O644" i="3"/>
  <c r="U644" i="3"/>
  <c r="B645" i="3"/>
  <c r="C645" i="3"/>
  <c r="D645" i="3"/>
  <c r="O648" i="1" s="1"/>
  <c r="E645" i="3"/>
  <c r="F645" i="3"/>
  <c r="N645" i="3"/>
  <c r="O645" i="3"/>
  <c r="B646" i="3"/>
  <c r="C646" i="3"/>
  <c r="D646" i="3"/>
  <c r="O649" i="1" s="1"/>
  <c r="E646" i="3"/>
  <c r="F646" i="3"/>
  <c r="N646" i="3"/>
  <c r="O646" i="3"/>
  <c r="B647" i="3"/>
  <c r="C647" i="3"/>
  <c r="D647" i="3"/>
  <c r="O650" i="1" s="1"/>
  <c r="E647" i="3"/>
  <c r="F647" i="3"/>
  <c r="N647" i="3"/>
  <c r="O647" i="3"/>
  <c r="U647" i="3"/>
  <c r="B648" i="3"/>
  <c r="C648" i="3"/>
  <c r="D648" i="3"/>
  <c r="O651" i="1" s="1"/>
  <c r="E648" i="3"/>
  <c r="F648" i="3"/>
  <c r="N648" i="3"/>
  <c r="O648" i="3"/>
  <c r="U648" i="3"/>
  <c r="B649" i="3"/>
  <c r="C649" i="3"/>
  <c r="D649" i="3"/>
  <c r="O652" i="1" s="1"/>
  <c r="E649" i="3"/>
  <c r="F649" i="3"/>
  <c r="N649" i="3"/>
  <c r="J649" i="3" s="1"/>
  <c r="K649" i="3" s="1"/>
  <c r="O649" i="3"/>
  <c r="U649" i="3"/>
  <c r="B650" i="3"/>
  <c r="C650" i="3"/>
  <c r="D650" i="3"/>
  <c r="O653" i="1" s="1"/>
  <c r="E650" i="3"/>
  <c r="F650" i="3"/>
  <c r="N650" i="3"/>
  <c r="O650" i="3"/>
  <c r="B651" i="3"/>
  <c r="C651" i="3"/>
  <c r="D651" i="3"/>
  <c r="O654" i="1" s="1"/>
  <c r="E651" i="3"/>
  <c r="F651" i="3"/>
  <c r="N651" i="3"/>
  <c r="J651" i="3" s="1"/>
  <c r="K651" i="3" s="1"/>
  <c r="L651" i="3" s="1"/>
  <c r="M651" i="3" s="1"/>
  <c r="O651" i="3"/>
  <c r="B652" i="3"/>
  <c r="C652" i="3"/>
  <c r="D652" i="3"/>
  <c r="O655" i="1" s="1"/>
  <c r="E652" i="3"/>
  <c r="F652" i="3"/>
  <c r="N652" i="3"/>
  <c r="J652" i="3" s="1"/>
  <c r="K652" i="3" s="1"/>
  <c r="L652" i="3" s="1"/>
  <c r="M652" i="3" s="1"/>
  <c r="R652" i="3" s="1"/>
  <c r="O652" i="3"/>
  <c r="B653" i="3"/>
  <c r="C653" i="3"/>
  <c r="D653" i="3"/>
  <c r="O656" i="1" s="1"/>
  <c r="E653" i="3"/>
  <c r="F653" i="3"/>
  <c r="N653" i="3"/>
  <c r="O653" i="3"/>
  <c r="B654" i="3"/>
  <c r="C654" i="3"/>
  <c r="D654" i="3"/>
  <c r="O2" i="1" s="1"/>
  <c r="E654" i="3"/>
  <c r="F654" i="3"/>
  <c r="N654" i="3"/>
  <c r="O654" i="3"/>
  <c r="B655" i="3"/>
  <c r="C655" i="3"/>
  <c r="D655" i="3"/>
  <c r="O3" i="1" s="1"/>
  <c r="E655" i="3"/>
  <c r="F655" i="3"/>
  <c r="N655" i="3"/>
  <c r="J655" i="3" s="1"/>
  <c r="K655" i="3" s="1"/>
  <c r="L655" i="3" s="1"/>
  <c r="M655" i="3" s="1"/>
  <c r="R655" i="3" s="1"/>
  <c r="O655" i="3"/>
  <c r="B656" i="3"/>
  <c r="C656" i="3"/>
  <c r="D656" i="3"/>
  <c r="O657" i="1" s="1"/>
  <c r="E656" i="3"/>
  <c r="F656" i="3"/>
  <c r="N656" i="3"/>
  <c r="J656" i="3" s="1"/>
  <c r="K656" i="3" s="1"/>
  <c r="L656" i="3" s="1"/>
  <c r="M656" i="3" s="1"/>
  <c r="R656" i="3" s="1"/>
  <c r="O656" i="3"/>
  <c r="B657" i="3"/>
  <c r="C657" i="3"/>
  <c r="D657" i="3"/>
  <c r="O658" i="1" s="1"/>
  <c r="E657" i="3"/>
  <c r="F657" i="3"/>
  <c r="N657" i="3"/>
  <c r="O657" i="3"/>
  <c r="B658" i="3"/>
  <c r="C658" i="3"/>
  <c r="D658" i="3"/>
  <c r="O659" i="1" s="1"/>
  <c r="E658" i="3"/>
  <c r="F658" i="3"/>
  <c r="N658" i="3"/>
  <c r="O658" i="3"/>
  <c r="B659" i="3"/>
  <c r="C659" i="3"/>
  <c r="D659" i="3"/>
  <c r="O660" i="1" s="1"/>
  <c r="E659" i="3"/>
  <c r="F659" i="3"/>
  <c r="N659" i="3"/>
  <c r="J659" i="3" s="1"/>
  <c r="K659" i="3" s="1"/>
  <c r="L659" i="3" s="1"/>
  <c r="M659" i="3" s="1"/>
  <c r="O659" i="3"/>
  <c r="B660" i="3"/>
  <c r="C660" i="3"/>
  <c r="D660" i="3"/>
  <c r="O661" i="1" s="1"/>
  <c r="E660" i="3"/>
  <c r="F660" i="3"/>
  <c r="N660" i="3"/>
  <c r="O660" i="3"/>
  <c r="B661" i="3"/>
  <c r="C661" i="3"/>
  <c r="D661" i="3"/>
  <c r="O662" i="1" s="1"/>
  <c r="E661" i="3"/>
  <c r="F661" i="3"/>
  <c r="N661" i="3"/>
  <c r="J661" i="3" s="1"/>
  <c r="K661" i="3" s="1"/>
  <c r="O661" i="3"/>
  <c r="B662" i="3"/>
  <c r="C662" i="3"/>
  <c r="D662" i="3"/>
  <c r="O663" i="1" s="1"/>
  <c r="E662" i="3"/>
  <c r="F662" i="3"/>
  <c r="N662" i="3"/>
  <c r="O662" i="3"/>
  <c r="B663" i="3"/>
  <c r="C663" i="3"/>
  <c r="D663" i="3"/>
  <c r="O664" i="1" s="1"/>
  <c r="E663" i="3"/>
  <c r="F663" i="3"/>
  <c r="N663" i="3"/>
  <c r="J663" i="3" s="1"/>
  <c r="K663" i="3" s="1"/>
  <c r="L663" i="3" s="1"/>
  <c r="M663" i="3" s="1"/>
  <c r="O663" i="3"/>
  <c r="U663" i="3"/>
  <c r="B664" i="3"/>
  <c r="C664" i="3"/>
  <c r="D664" i="3"/>
  <c r="O665" i="1" s="1"/>
  <c r="E664" i="3"/>
  <c r="F664" i="3"/>
  <c r="N664" i="3"/>
  <c r="O664" i="3"/>
  <c r="U664" i="3"/>
  <c r="B665" i="3"/>
  <c r="C665" i="3"/>
  <c r="D665" i="3"/>
  <c r="O666" i="1" s="1"/>
  <c r="E665" i="3"/>
  <c r="F665" i="3"/>
  <c r="N665" i="3"/>
  <c r="O665" i="3"/>
  <c r="B666" i="3"/>
  <c r="C666" i="3"/>
  <c r="D666" i="3"/>
  <c r="O667" i="1" s="1"/>
  <c r="E666" i="3"/>
  <c r="F666" i="3"/>
  <c r="N666" i="3"/>
  <c r="O666" i="3"/>
  <c r="B667" i="3"/>
  <c r="C667" i="3"/>
  <c r="D667" i="3"/>
  <c r="O668" i="1" s="1"/>
  <c r="E667" i="3"/>
  <c r="F667" i="3"/>
  <c r="N667" i="3"/>
  <c r="J667" i="3" s="1"/>
  <c r="K667" i="3" s="1"/>
  <c r="L667" i="3" s="1"/>
  <c r="M667" i="3" s="1"/>
  <c r="R667" i="3" s="1"/>
  <c r="S667" i="3" s="1"/>
  <c r="O667" i="3"/>
  <c r="U667" i="3"/>
  <c r="B668" i="3"/>
  <c r="C668" i="3"/>
  <c r="D668" i="3"/>
  <c r="O669" i="1" s="1"/>
  <c r="E668" i="3"/>
  <c r="F668" i="3"/>
  <c r="N668" i="3"/>
  <c r="O668" i="3"/>
  <c r="U668" i="3"/>
  <c r="B669" i="3"/>
  <c r="C669" i="3"/>
  <c r="D669" i="3"/>
  <c r="O670" i="1" s="1"/>
  <c r="E669" i="3"/>
  <c r="F669" i="3"/>
  <c r="N669" i="3"/>
  <c r="O669" i="3"/>
  <c r="U669" i="3"/>
  <c r="B670" i="3"/>
  <c r="C670" i="3"/>
  <c r="D670" i="3"/>
  <c r="O671" i="1" s="1"/>
  <c r="E670" i="3"/>
  <c r="F670" i="3"/>
  <c r="N670" i="3"/>
  <c r="J670" i="3" s="1"/>
  <c r="K670" i="3" s="1"/>
  <c r="L670" i="3" s="1"/>
  <c r="M670" i="3" s="1"/>
  <c r="R670" i="3" s="1"/>
  <c r="O670" i="3"/>
  <c r="B671" i="3"/>
  <c r="C671" i="3"/>
  <c r="D671" i="3"/>
  <c r="O672" i="1" s="1"/>
  <c r="E671" i="3"/>
  <c r="F671" i="3"/>
  <c r="N671" i="3"/>
  <c r="O671" i="3"/>
  <c r="B672" i="3"/>
  <c r="C672" i="3"/>
  <c r="D672" i="3"/>
  <c r="O673" i="1" s="1"/>
  <c r="E672" i="3"/>
  <c r="F672" i="3"/>
  <c r="N672" i="3"/>
  <c r="O672" i="3"/>
  <c r="U672" i="3"/>
  <c r="B673" i="3"/>
  <c r="C673" i="3"/>
  <c r="D673" i="3"/>
  <c r="O674" i="1" s="1"/>
  <c r="E673" i="3"/>
  <c r="F673" i="3"/>
  <c r="N673" i="3"/>
  <c r="J673" i="3" s="1"/>
  <c r="K673" i="3" s="1"/>
  <c r="L673" i="3" s="1"/>
  <c r="M673" i="3" s="1"/>
  <c r="O673" i="3"/>
  <c r="B674" i="3"/>
  <c r="C674" i="3"/>
  <c r="D674" i="3"/>
  <c r="O675" i="1" s="1"/>
  <c r="E674" i="3"/>
  <c r="F674" i="3"/>
  <c r="N674" i="3"/>
  <c r="O674" i="3"/>
  <c r="U674" i="3"/>
  <c r="B675" i="3"/>
  <c r="C675" i="3"/>
  <c r="D675" i="3"/>
  <c r="O676" i="1" s="1"/>
  <c r="E675" i="3"/>
  <c r="F675" i="3"/>
  <c r="N675" i="3"/>
  <c r="O675" i="3"/>
  <c r="B676" i="3"/>
  <c r="C676" i="3"/>
  <c r="D676" i="3"/>
  <c r="O677" i="1" s="1"/>
  <c r="E676" i="3"/>
  <c r="F676" i="3"/>
  <c r="N676" i="3"/>
  <c r="O676" i="3"/>
  <c r="U676" i="3"/>
  <c r="B677" i="3"/>
  <c r="C677" i="3"/>
  <c r="D677" i="3"/>
  <c r="O678" i="1" s="1"/>
  <c r="E677" i="3"/>
  <c r="F677" i="3"/>
  <c r="N677" i="3"/>
  <c r="J677" i="3" s="1"/>
  <c r="K677" i="3" s="1"/>
  <c r="L677" i="3" s="1"/>
  <c r="M677" i="3" s="1"/>
  <c r="O677" i="3"/>
  <c r="U677" i="3"/>
  <c r="B678" i="3"/>
  <c r="C678" i="3"/>
  <c r="D678" i="3"/>
  <c r="O679" i="1" s="1"/>
  <c r="E678" i="3"/>
  <c r="F678" i="3"/>
  <c r="N678" i="3"/>
  <c r="O678" i="3"/>
  <c r="U678" i="3"/>
  <c r="B679" i="3"/>
  <c r="C679" i="3"/>
  <c r="D679" i="3"/>
  <c r="O680" i="1" s="1"/>
  <c r="E679" i="3"/>
  <c r="F679" i="3"/>
  <c r="N679" i="3"/>
  <c r="O679" i="3"/>
  <c r="U679" i="3"/>
  <c r="B680" i="3"/>
  <c r="C680" i="3"/>
  <c r="D680" i="3"/>
  <c r="O681" i="1" s="1"/>
  <c r="E680" i="3"/>
  <c r="F680" i="3"/>
  <c r="N680" i="3"/>
  <c r="O680" i="3"/>
  <c r="B681" i="3"/>
  <c r="C681" i="3"/>
  <c r="D681" i="3"/>
  <c r="O682" i="1" s="1"/>
  <c r="E681" i="3"/>
  <c r="F681" i="3"/>
  <c r="N681" i="3"/>
  <c r="O681" i="3"/>
  <c r="B682" i="3"/>
  <c r="C682" i="3"/>
  <c r="D682" i="3"/>
  <c r="O683" i="1" s="1"/>
  <c r="E682" i="3"/>
  <c r="F682" i="3"/>
  <c r="N682" i="3"/>
  <c r="O682" i="3"/>
  <c r="B683" i="3"/>
  <c r="C683" i="3"/>
  <c r="D683" i="3"/>
  <c r="O684" i="1" s="1"/>
  <c r="E683" i="3"/>
  <c r="F683" i="3"/>
  <c r="N683" i="3"/>
  <c r="O683" i="3"/>
  <c r="U683" i="3"/>
  <c r="B684" i="3"/>
  <c r="C684" i="3"/>
  <c r="D684" i="3"/>
  <c r="O685" i="1" s="1"/>
  <c r="E684" i="3"/>
  <c r="F684" i="3"/>
  <c r="N684" i="3"/>
  <c r="O684" i="3"/>
  <c r="U684" i="3"/>
  <c r="B685" i="3"/>
  <c r="C685" i="3"/>
  <c r="D685" i="3"/>
  <c r="O686" i="1" s="1"/>
  <c r="E685" i="3"/>
  <c r="F685" i="3"/>
  <c r="N685" i="3"/>
  <c r="O685" i="3"/>
  <c r="U685" i="3"/>
  <c r="B686" i="3"/>
  <c r="C686" i="3"/>
  <c r="D686" i="3"/>
  <c r="O687" i="1" s="1"/>
  <c r="E686" i="3"/>
  <c r="F686" i="3"/>
  <c r="N686" i="3"/>
  <c r="O686" i="3"/>
  <c r="U686" i="3"/>
  <c r="B687" i="3"/>
  <c r="C687" i="3"/>
  <c r="D687" i="3"/>
  <c r="O688" i="1" s="1"/>
  <c r="E687" i="3"/>
  <c r="F687" i="3"/>
  <c r="N687" i="3"/>
  <c r="J687" i="3" s="1"/>
  <c r="K687" i="3" s="1"/>
  <c r="L687" i="3" s="1"/>
  <c r="M687" i="3" s="1"/>
  <c r="R687" i="3" s="1"/>
  <c r="O687" i="3"/>
  <c r="B688" i="3"/>
  <c r="C688" i="3"/>
  <c r="D688" i="3"/>
  <c r="O689" i="1" s="1"/>
  <c r="E688" i="3"/>
  <c r="F688" i="3"/>
  <c r="N688" i="3"/>
  <c r="O688" i="3"/>
  <c r="U688" i="3"/>
  <c r="B689" i="3"/>
  <c r="C689" i="3"/>
  <c r="D689" i="3"/>
  <c r="O690" i="1" s="1"/>
  <c r="E689" i="3"/>
  <c r="F689" i="3"/>
  <c r="N689" i="3"/>
  <c r="O689" i="3"/>
  <c r="U689" i="3"/>
  <c r="B690" i="3"/>
  <c r="C690" i="3"/>
  <c r="D690" i="3"/>
  <c r="O691" i="1" s="1"/>
  <c r="E690" i="3"/>
  <c r="F690" i="3"/>
  <c r="N690" i="3"/>
  <c r="O690" i="3"/>
  <c r="U690" i="3"/>
  <c r="B691" i="3"/>
  <c r="C691" i="3"/>
  <c r="D691" i="3"/>
  <c r="O692" i="1" s="1"/>
  <c r="E691" i="3"/>
  <c r="F691" i="3"/>
  <c r="N691" i="3"/>
  <c r="O691" i="3"/>
  <c r="B692" i="3"/>
  <c r="C692" i="3"/>
  <c r="D692" i="3"/>
  <c r="O693" i="1" s="1"/>
  <c r="E692" i="3"/>
  <c r="F692" i="3"/>
  <c r="N692" i="3"/>
  <c r="J692" i="3" s="1"/>
  <c r="K692" i="3" s="1"/>
  <c r="L692" i="3" s="1"/>
  <c r="M692" i="3" s="1"/>
  <c r="R692" i="3" s="1"/>
  <c r="O692" i="3"/>
  <c r="B693" i="3"/>
  <c r="C693" i="3"/>
  <c r="D693" i="3"/>
  <c r="O694" i="1" s="1"/>
  <c r="E693" i="3"/>
  <c r="F693" i="3"/>
  <c r="N693" i="3"/>
  <c r="O693" i="3"/>
  <c r="B694" i="3"/>
  <c r="C694" i="3"/>
  <c r="D694" i="3"/>
  <c r="O695" i="1" s="1"/>
  <c r="E694" i="3"/>
  <c r="F694" i="3"/>
  <c r="N694" i="3"/>
  <c r="O694" i="3"/>
  <c r="U694" i="3"/>
  <c r="B695" i="3"/>
  <c r="C695" i="3"/>
  <c r="D695" i="3"/>
  <c r="O696" i="1" s="1"/>
  <c r="E695" i="3"/>
  <c r="F695" i="3"/>
  <c r="N695" i="3"/>
  <c r="J695" i="3" s="1"/>
  <c r="K695" i="3" s="1"/>
  <c r="O695" i="3"/>
  <c r="U695" i="3"/>
  <c r="B696" i="3"/>
  <c r="C696" i="3"/>
  <c r="D696" i="3"/>
  <c r="O697" i="1" s="1"/>
  <c r="E696" i="3"/>
  <c r="F696" i="3"/>
  <c r="N696" i="3"/>
  <c r="O696" i="3"/>
  <c r="B697" i="3"/>
  <c r="C697" i="3"/>
  <c r="D697" i="3"/>
  <c r="O698" i="1" s="1"/>
  <c r="E697" i="3"/>
  <c r="F697" i="3"/>
  <c r="N697" i="3"/>
  <c r="J697" i="3" s="1"/>
  <c r="K697" i="3" s="1"/>
  <c r="O697" i="3"/>
  <c r="U697" i="3"/>
  <c r="B698" i="3"/>
  <c r="C698" i="3"/>
  <c r="D698" i="3"/>
  <c r="O699" i="1" s="1"/>
  <c r="E698" i="3"/>
  <c r="F698" i="3"/>
  <c r="N698" i="3"/>
  <c r="O698" i="3"/>
  <c r="U698" i="3"/>
  <c r="B699" i="3"/>
  <c r="C699" i="3"/>
  <c r="D699" i="3"/>
  <c r="O700" i="1" s="1"/>
  <c r="E699" i="3"/>
  <c r="F699" i="3"/>
  <c r="N699" i="3"/>
  <c r="O699" i="3"/>
  <c r="B700" i="3"/>
  <c r="C700" i="3"/>
  <c r="D700" i="3"/>
  <c r="O701" i="1" s="1"/>
  <c r="E700" i="3"/>
  <c r="F700" i="3"/>
  <c r="N700" i="3"/>
  <c r="O700" i="3"/>
  <c r="B701" i="3"/>
  <c r="C701" i="3"/>
  <c r="D701" i="3"/>
  <c r="O702" i="1" s="1"/>
  <c r="E701" i="3"/>
  <c r="F701" i="3"/>
  <c r="N701" i="3"/>
  <c r="O701" i="3"/>
  <c r="B702" i="3"/>
  <c r="C702" i="3"/>
  <c r="D702" i="3"/>
  <c r="O703" i="1" s="1"/>
  <c r="E702" i="3"/>
  <c r="F702" i="3"/>
  <c r="N702" i="3"/>
  <c r="O702" i="3"/>
  <c r="B703" i="3"/>
  <c r="C703" i="3"/>
  <c r="D703" i="3"/>
  <c r="O704" i="1" s="1"/>
  <c r="E703" i="3"/>
  <c r="F703" i="3"/>
  <c r="N703" i="3"/>
  <c r="O703" i="3"/>
  <c r="U703" i="3"/>
  <c r="B704" i="3"/>
  <c r="C704" i="3"/>
  <c r="D704" i="3"/>
  <c r="O705" i="1" s="1"/>
  <c r="E704" i="3"/>
  <c r="F704" i="3"/>
  <c r="N704" i="3"/>
  <c r="O704" i="3"/>
  <c r="U704" i="3"/>
  <c r="B705" i="3"/>
  <c r="C705" i="3"/>
  <c r="D705" i="3"/>
  <c r="O706" i="1" s="1"/>
  <c r="E705" i="3"/>
  <c r="F705" i="3"/>
  <c r="N705" i="3"/>
  <c r="O705" i="3"/>
  <c r="U705" i="3"/>
  <c r="B706" i="3"/>
  <c r="C706" i="3"/>
  <c r="D706" i="3"/>
  <c r="O707" i="1" s="1"/>
  <c r="E706" i="3"/>
  <c r="F706" i="3"/>
  <c r="N706" i="3"/>
  <c r="J706" i="3" s="1"/>
  <c r="K706" i="3" s="1"/>
  <c r="L706" i="3" s="1"/>
  <c r="M706" i="3" s="1"/>
  <c r="R706" i="3" s="1"/>
  <c r="O706" i="3"/>
  <c r="U706" i="3"/>
  <c r="B707" i="3"/>
  <c r="C707" i="3"/>
  <c r="D707" i="3"/>
  <c r="O708" i="1" s="1"/>
  <c r="E707" i="3"/>
  <c r="F707" i="3"/>
  <c r="N707" i="3"/>
  <c r="J707" i="3" s="1"/>
  <c r="K707" i="3" s="1"/>
  <c r="L707" i="3" s="1"/>
  <c r="M707" i="3" s="1"/>
  <c r="R707" i="3" s="1"/>
  <c r="O707" i="3"/>
  <c r="U707" i="3"/>
  <c r="B708" i="3"/>
  <c r="C708" i="3"/>
  <c r="D708" i="3"/>
  <c r="O709" i="1" s="1"/>
  <c r="E708" i="3"/>
  <c r="F708" i="3"/>
  <c r="N708" i="3"/>
  <c r="O708" i="3"/>
  <c r="U708" i="3"/>
  <c r="B709" i="3"/>
  <c r="C709" i="3"/>
  <c r="D709" i="3"/>
  <c r="O710" i="1" s="1"/>
  <c r="E709" i="3"/>
  <c r="F709" i="3"/>
  <c r="N709" i="3"/>
  <c r="J709" i="3" s="1"/>
  <c r="K709" i="3" s="1"/>
  <c r="O709" i="3"/>
  <c r="U709" i="3"/>
  <c r="B710" i="3"/>
  <c r="C710" i="3"/>
  <c r="D710" i="3"/>
  <c r="O711" i="1" s="1"/>
  <c r="E710" i="3"/>
  <c r="F710" i="3"/>
  <c r="N710" i="3"/>
  <c r="O710" i="3"/>
  <c r="U710" i="3"/>
  <c r="B711" i="3"/>
  <c r="C711" i="3"/>
  <c r="D711" i="3"/>
  <c r="O712" i="1" s="1"/>
  <c r="E711" i="3"/>
  <c r="F711" i="3"/>
  <c r="N711" i="3"/>
  <c r="O711" i="3"/>
  <c r="B712" i="3"/>
  <c r="C712" i="3"/>
  <c r="D712" i="3"/>
  <c r="O713" i="1" s="1"/>
  <c r="E712" i="3"/>
  <c r="F712" i="3"/>
  <c r="N712" i="3"/>
  <c r="O712" i="3"/>
  <c r="B713" i="3"/>
  <c r="C713" i="3"/>
  <c r="D713" i="3"/>
  <c r="O714" i="1" s="1"/>
  <c r="E713" i="3"/>
  <c r="F713" i="3"/>
  <c r="N713" i="3"/>
  <c r="O713" i="3"/>
  <c r="B714" i="3"/>
  <c r="C714" i="3"/>
  <c r="D714" i="3"/>
  <c r="O715" i="1" s="1"/>
  <c r="E714" i="3"/>
  <c r="F714" i="3"/>
  <c r="N714" i="3"/>
  <c r="O714" i="3"/>
  <c r="U714" i="3"/>
  <c r="B715" i="3"/>
  <c r="C715" i="3"/>
  <c r="D715" i="3"/>
  <c r="O716" i="1" s="1"/>
  <c r="E715" i="3"/>
  <c r="F715" i="3"/>
  <c r="N715" i="3"/>
  <c r="O715" i="3"/>
  <c r="B716" i="3"/>
  <c r="C716" i="3"/>
  <c r="D716" i="3"/>
  <c r="O717" i="1" s="1"/>
  <c r="E716" i="3"/>
  <c r="F716" i="3"/>
  <c r="N716" i="3"/>
  <c r="O716" i="3"/>
  <c r="B717" i="3"/>
  <c r="C717" i="3"/>
  <c r="D717" i="3"/>
  <c r="O718" i="1" s="1"/>
  <c r="E717" i="3"/>
  <c r="F717" i="3"/>
  <c r="N717" i="3"/>
  <c r="O717" i="3"/>
  <c r="B718" i="3"/>
  <c r="C718" i="3"/>
  <c r="D718" i="3"/>
  <c r="O719" i="1" s="1"/>
  <c r="E718" i="3"/>
  <c r="F718" i="3"/>
  <c r="N718" i="3"/>
  <c r="O718" i="3"/>
  <c r="B719" i="3"/>
  <c r="C719" i="3"/>
  <c r="D719" i="3"/>
  <c r="O720" i="1" s="1"/>
  <c r="E719" i="3"/>
  <c r="F719" i="3"/>
  <c r="N719" i="3"/>
  <c r="O719" i="3"/>
  <c r="B720" i="3"/>
  <c r="C720" i="3"/>
  <c r="D720" i="3"/>
  <c r="O721" i="1" s="1"/>
  <c r="E720" i="3"/>
  <c r="F720" i="3"/>
  <c r="N720" i="3"/>
  <c r="O720" i="3"/>
  <c r="U720" i="3"/>
  <c r="B721" i="3"/>
  <c r="C721" i="3"/>
  <c r="D721" i="3"/>
  <c r="O722" i="1" s="1"/>
  <c r="E721" i="3"/>
  <c r="F721" i="3"/>
  <c r="N721" i="3"/>
  <c r="J721" i="3" s="1"/>
  <c r="K721" i="3" s="1"/>
  <c r="O721" i="3"/>
  <c r="B722" i="3"/>
  <c r="C722" i="3"/>
  <c r="D722" i="3"/>
  <c r="O723" i="1" s="1"/>
  <c r="E722" i="3"/>
  <c r="F722" i="3"/>
  <c r="N722" i="3"/>
  <c r="J722" i="3" s="1"/>
  <c r="K722" i="3" s="1"/>
  <c r="L722" i="3" s="1"/>
  <c r="M722" i="3" s="1"/>
  <c r="O722" i="3"/>
  <c r="U722" i="3"/>
  <c r="B723" i="3"/>
  <c r="C723" i="3"/>
  <c r="D723" i="3"/>
  <c r="O724" i="1" s="1"/>
  <c r="E723" i="3"/>
  <c r="F723" i="3"/>
  <c r="N723" i="3"/>
  <c r="O723" i="3"/>
  <c r="U723" i="3"/>
  <c r="B724" i="3"/>
  <c r="C724" i="3"/>
  <c r="D724" i="3"/>
  <c r="O725" i="1" s="1"/>
  <c r="E724" i="3"/>
  <c r="F724" i="3"/>
  <c r="N724" i="3"/>
  <c r="O724" i="3"/>
  <c r="B725" i="3"/>
  <c r="C725" i="3"/>
  <c r="D725" i="3"/>
  <c r="O726" i="1" s="1"/>
  <c r="E725" i="3"/>
  <c r="F725" i="3"/>
  <c r="N725" i="3"/>
  <c r="O725" i="3"/>
  <c r="U725" i="3"/>
  <c r="B726" i="3"/>
  <c r="C726" i="3"/>
  <c r="D726" i="3"/>
  <c r="O727" i="1" s="1"/>
  <c r="E726" i="3"/>
  <c r="F726" i="3"/>
  <c r="N726" i="3"/>
  <c r="O726" i="3"/>
  <c r="B727" i="3"/>
  <c r="C727" i="3"/>
  <c r="D727" i="3"/>
  <c r="O728" i="1" s="1"/>
  <c r="E727" i="3"/>
  <c r="F727" i="3"/>
  <c r="N727" i="3"/>
  <c r="O727" i="3"/>
  <c r="U727" i="3"/>
  <c r="B728" i="3"/>
  <c r="C728" i="3"/>
  <c r="D728" i="3"/>
  <c r="O729" i="1" s="1"/>
  <c r="E728" i="3"/>
  <c r="F728" i="3"/>
  <c r="N728" i="3"/>
  <c r="O728" i="3"/>
  <c r="U728" i="3"/>
  <c r="B729" i="3"/>
  <c r="C729" i="3"/>
  <c r="D729" i="3"/>
  <c r="O730" i="1" s="1"/>
  <c r="E729" i="3"/>
  <c r="F729" i="3"/>
  <c r="N729" i="3"/>
  <c r="O729" i="3"/>
  <c r="U729" i="3"/>
  <c r="B730" i="3"/>
  <c r="C730" i="3"/>
  <c r="D730" i="3"/>
  <c r="O731" i="1" s="1"/>
  <c r="E730" i="3"/>
  <c r="F730" i="3"/>
  <c r="N730" i="3"/>
  <c r="O730" i="3"/>
  <c r="B731" i="3"/>
  <c r="C731" i="3"/>
  <c r="D731" i="3"/>
  <c r="O732" i="1" s="1"/>
  <c r="E731" i="3"/>
  <c r="F731" i="3"/>
  <c r="N731" i="3"/>
  <c r="O731" i="3"/>
  <c r="U731" i="3"/>
  <c r="B732" i="3"/>
  <c r="C732" i="3"/>
  <c r="D732" i="3"/>
  <c r="O733" i="1" s="1"/>
  <c r="E732" i="3"/>
  <c r="F732" i="3"/>
  <c r="N732" i="3"/>
  <c r="O732" i="3"/>
  <c r="U732" i="3"/>
  <c r="B733" i="3"/>
  <c r="C733" i="3"/>
  <c r="D733" i="3"/>
  <c r="O734" i="1" s="1"/>
  <c r="E733" i="3"/>
  <c r="F733" i="3"/>
  <c r="N733" i="3"/>
  <c r="J733" i="3" s="1"/>
  <c r="K733" i="3" s="1"/>
  <c r="O733" i="3"/>
  <c r="B734" i="3"/>
  <c r="C734" i="3"/>
  <c r="D734" i="3"/>
  <c r="O735" i="1" s="1"/>
  <c r="E734" i="3"/>
  <c r="F734" i="3"/>
  <c r="N734" i="3"/>
  <c r="O734" i="3"/>
  <c r="B735" i="3"/>
  <c r="C735" i="3"/>
  <c r="D735" i="3"/>
  <c r="O736" i="1" s="1"/>
  <c r="E735" i="3"/>
  <c r="F735" i="3"/>
  <c r="N735" i="3"/>
  <c r="O735" i="3"/>
  <c r="B736" i="3"/>
  <c r="C736" i="3"/>
  <c r="D736" i="3"/>
  <c r="O737" i="1" s="1"/>
  <c r="E736" i="3"/>
  <c r="F736" i="3"/>
  <c r="N736" i="3"/>
  <c r="O736" i="3"/>
  <c r="B737" i="3"/>
  <c r="C737" i="3"/>
  <c r="D737" i="3"/>
  <c r="O738" i="1" s="1"/>
  <c r="E737" i="3"/>
  <c r="F737" i="3"/>
  <c r="N737" i="3"/>
  <c r="O737" i="3"/>
  <c r="U737" i="3"/>
  <c r="B738" i="3"/>
  <c r="C738" i="3"/>
  <c r="D738" i="3"/>
  <c r="O739" i="1" s="1"/>
  <c r="E738" i="3"/>
  <c r="F738" i="3"/>
  <c r="N738" i="3"/>
  <c r="J738" i="3" s="1"/>
  <c r="K738" i="3" s="1"/>
  <c r="L738" i="3" s="1"/>
  <c r="M738" i="3" s="1"/>
  <c r="R738" i="3" s="1"/>
  <c r="O738" i="3"/>
  <c r="U738" i="3"/>
  <c r="B739" i="3"/>
  <c r="C739" i="3"/>
  <c r="D739" i="3"/>
  <c r="O740" i="1" s="1"/>
  <c r="E739" i="3"/>
  <c r="F739" i="3"/>
  <c r="N739" i="3"/>
  <c r="J739" i="3" s="1"/>
  <c r="K739" i="3" s="1"/>
  <c r="L739" i="3" s="1"/>
  <c r="M739" i="3" s="1"/>
  <c r="O739" i="3"/>
  <c r="U739" i="3"/>
  <c r="B740" i="3"/>
  <c r="C740" i="3"/>
  <c r="D740" i="3"/>
  <c r="O741" i="1" s="1"/>
  <c r="E740" i="3"/>
  <c r="F740" i="3"/>
  <c r="N740" i="3"/>
  <c r="J740" i="3" s="1"/>
  <c r="K740" i="3" s="1"/>
  <c r="L740" i="3" s="1"/>
  <c r="M740" i="3" s="1"/>
  <c r="R740" i="3" s="1"/>
  <c r="O740" i="3"/>
  <c r="B741" i="3"/>
  <c r="C741" i="3"/>
  <c r="D741" i="3"/>
  <c r="O742" i="1" s="1"/>
  <c r="E741" i="3"/>
  <c r="F741" i="3"/>
  <c r="N741" i="3"/>
  <c r="O741" i="3"/>
  <c r="U741" i="3"/>
  <c r="B742" i="3"/>
  <c r="C742" i="3"/>
  <c r="D742" i="3"/>
  <c r="O743" i="1" s="1"/>
  <c r="E742" i="3"/>
  <c r="F742" i="3"/>
  <c r="N742" i="3"/>
  <c r="O742" i="3"/>
  <c r="U742" i="3"/>
  <c r="B743" i="3"/>
  <c r="C743" i="3"/>
  <c r="D743" i="3"/>
  <c r="O744" i="1" s="1"/>
  <c r="E743" i="3"/>
  <c r="F743" i="3"/>
  <c r="N743" i="3"/>
  <c r="O743" i="3"/>
  <c r="U743" i="3"/>
  <c r="B744" i="3"/>
  <c r="C744" i="3"/>
  <c r="D744" i="3"/>
  <c r="O745" i="1" s="1"/>
  <c r="E744" i="3"/>
  <c r="F744" i="3"/>
  <c r="N744" i="3"/>
  <c r="O744" i="3"/>
  <c r="U744" i="3"/>
  <c r="B745" i="3"/>
  <c r="C745" i="3"/>
  <c r="D745" i="3"/>
  <c r="O746" i="1" s="1"/>
  <c r="E745" i="3"/>
  <c r="F745" i="3"/>
  <c r="N745" i="3"/>
  <c r="J745" i="3" s="1"/>
  <c r="K745" i="3" s="1"/>
  <c r="L745" i="3" s="1"/>
  <c r="M745" i="3" s="1"/>
  <c r="R745" i="3" s="1"/>
  <c r="O745" i="3"/>
  <c r="U745" i="3"/>
  <c r="B746" i="3"/>
  <c r="C746" i="3"/>
  <c r="D746" i="3"/>
  <c r="O747" i="1" s="1"/>
  <c r="E746" i="3"/>
  <c r="F746" i="3"/>
  <c r="N746" i="3"/>
  <c r="O746" i="3"/>
  <c r="U746" i="3"/>
  <c r="B747" i="3"/>
  <c r="C747" i="3"/>
  <c r="D747" i="3"/>
  <c r="O748" i="1" s="1"/>
  <c r="E747" i="3"/>
  <c r="F747" i="3"/>
  <c r="N747" i="3"/>
  <c r="J747" i="3" s="1"/>
  <c r="K747" i="3" s="1"/>
  <c r="L747" i="3" s="1"/>
  <c r="M747" i="3" s="1"/>
  <c r="R747" i="3" s="1"/>
  <c r="O747" i="3"/>
  <c r="U747" i="3"/>
  <c r="B748" i="3"/>
  <c r="C748" i="3"/>
  <c r="D748" i="3"/>
  <c r="O749" i="1" s="1"/>
  <c r="E748" i="3"/>
  <c r="F748" i="3"/>
  <c r="N748" i="3"/>
  <c r="O748" i="3"/>
  <c r="U748" i="3"/>
  <c r="B749" i="3"/>
  <c r="C749" i="3"/>
  <c r="D749" i="3"/>
  <c r="O750" i="1" s="1"/>
  <c r="E749" i="3"/>
  <c r="F749" i="3"/>
  <c r="N749" i="3"/>
  <c r="J749" i="3" s="1"/>
  <c r="K749" i="3" s="1"/>
  <c r="L749" i="3" s="1"/>
  <c r="M749" i="3" s="1"/>
  <c r="R749" i="3" s="1"/>
  <c r="O749" i="3"/>
  <c r="U749" i="3"/>
  <c r="B750" i="3"/>
  <c r="C750" i="3"/>
  <c r="D750" i="3"/>
  <c r="O751" i="1" s="1"/>
  <c r="E750" i="3"/>
  <c r="F750" i="3"/>
  <c r="N750" i="3"/>
  <c r="J750" i="3" s="1"/>
  <c r="K750" i="3" s="1"/>
  <c r="L750" i="3" s="1"/>
  <c r="M750" i="3" s="1"/>
  <c r="R750" i="3" s="1"/>
  <c r="O750" i="3"/>
  <c r="U750" i="3"/>
  <c r="B751" i="3"/>
  <c r="C751" i="3"/>
  <c r="D751" i="3"/>
  <c r="O752" i="1" s="1"/>
  <c r="E751" i="3"/>
  <c r="F751" i="3"/>
  <c r="N751" i="3"/>
  <c r="J751" i="3" s="1"/>
  <c r="K751" i="3" s="1"/>
  <c r="L751" i="3" s="1"/>
  <c r="M751" i="3" s="1"/>
  <c r="O751" i="3"/>
  <c r="B752" i="3"/>
  <c r="C752" i="3"/>
  <c r="D752" i="3"/>
  <c r="O753" i="1" s="1"/>
  <c r="E752" i="3"/>
  <c r="F752" i="3"/>
  <c r="N752" i="3"/>
  <c r="J752" i="3" s="1"/>
  <c r="K752" i="3" s="1"/>
  <c r="L752" i="3" s="1"/>
  <c r="M752" i="3" s="1"/>
  <c r="O752" i="3"/>
  <c r="B753" i="3"/>
  <c r="C753" i="3"/>
  <c r="D753" i="3"/>
  <c r="O754" i="1" s="1"/>
  <c r="E753" i="3"/>
  <c r="F753" i="3"/>
  <c r="N753" i="3"/>
  <c r="O753" i="3"/>
  <c r="U753" i="3"/>
  <c r="B754" i="3"/>
  <c r="C754" i="3"/>
  <c r="D754" i="3"/>
  <c r="O755" i="1" s="1"/>
  <c r="E754" i="3"/>
  <c r="F754" i="3"/>
  <c r="N754" i="3"/>
  <c r="O754" i="3"/>
  <c r="B755" i="3"/>
  <c r="C755" i="3"/>
  <c r="D755" i="3"/>
  <c r="O756" i="1" s="1"/>
  <c r="E755" i="3"/>
  <c r="F755" i="3"/>
  <c r="N755" i="3"/>
  <c r="O755" i="3"/>
  <c r="B756" i="3"/>
  <c r="C756" i="3"/>
  <c r="D756" i="3"/>
  <c r="O757" i="1" s="1"/>
  <c r="E756" i="3"/>
  <c r="F756" i="3"/>
  <c r="N756" i="3"/>
  <c r="J756" i="3" s="1"/>
  <c r="K756" i="3" s="1"/>
  <c r="L756" i="3" s="1"/>
  <c r="M756" i="3" s="1"/>
  <c r="O756" i="3"/>
  <c r="B757" i="3"/>
  <c r="C757" i="3"/>
  <c r="D757" i="3"/>
  <c r="O758" i="1" s="1"/>
  <c r="E757" i="3"/>
  <c r="F757" i="3"/>
  <c r="N757" i="3"/>
  <c r="J757" i="3" s="1"/>
  <c r="K757" i="3" s="1"/>
  <c r="O757" i="3"/>
  <c r="B758" i="3"/>
  <c r="C758" i="3"/>
  <c r="D758" i="3"/>
  <c r="O759" i="1" s="1"/>
  <c r="E758" i="3"/>
  <c r="F758" i="3"/>
  <c r="N758" i="3"/>
  <c r="O758" i="3"/>
  <c r="U758" i="3"/>
  <c r="B759" i="3"/>
  <c r="C759" i="3"/>
  <c r="D759" i="3"/>
  <c r="O760" i="1" s="1"/>
  <c r="E759" i="3"/>
  <c r="F759" i="3"/>
  <c r="N759" i="3"/>
  <c r="O759" i="3"/>
  <c r="U759" i="3"/>
  <c r="B760" i="3"/>
  <c r="C760" i="3"/>
  <c r="D760" i="3"/>
  <c r="O761" i="1" s="1"/>
  <c r="E760" i="3"/>
  <c r="F760" i="3"/>
  <c r="N760" i="3"/>
  <c r="O760" i="3"/>
  <c r="B761" i="3"/>
  <c r="C761" i="3"/>
  <c r="D761" i="3"/>
  <c r="O762" i="1" s="1"/>
  <c r="E761" i="3"/>
  <c r="F761" i="3"/>
  <c r="N761" i="3"/>
  <c r="J761" i="3" s="1"/>
  <c r="K761" i="3" s="1"/>
  <c r="O761" i="3"/>
  <c r="B762" i="3"/>
  <c r="C762" i="3"/>
  <c r="D762" i="3"/>
  <c r="O763" i="1" s="1"/>
  <c r="E762" i="3"/>
  <c r="F762" i="3"/>
  <c r="N762" i="3"/>
  <c r="J762" i="3" s="1"/>
  <c r="K762" i="3" s="1"/>
  <c r="L762" i="3" s="1"/>
  <c r="M762" i="3" s="1"/>
  <c r="R762" i="3" s="1"/>
  <c r="O762" i="3"/>
  <c r="U762" i="3"/>
  <c r="B763" i="3"/>
  <c r="C763" i="3"/>
  <c r="D763" i="3"/>
  <c r="O764" i="1" s="1"/>
  <c r="E763" i="3"/>
  <c r="F763" i="3"/>
  <c r="N763" i="3"/>
  <c r="J763" i="3" s="1"/>
  <c r="K763" i="3" s="1"/>
  <c r="L763" i="3" s="1"/>
  <c r="M763" i="3" s="1"/>
  <c r="O763" i="3"/>
  <c r="B764" i="3"/>
  <c r="C764" i="3"/>
  <c r="D764" i="3"/>
  <c r="O765" i="1" s="1"/>
  <c r="E764" i="3"/>
  <c r="F764" i="3"/>
  <c r="N764" i="3"/>
  <c r="J764" i="3" s="1"/>
  <c r="K764" i="3" s="1"/>
  <c r="O764" i="3"/>
  <c r="B765" i="3"/>
  <c r="C765" i="3"/>
  <c r="D765" i="3"/>
  <c r="O766" i="1" s="1"/>
  <c r="E765" i="3"/>
  <c r="F765" i="3"/>
  <c r="N765" i="3"/>
  <c r="O765" i="3"/>
  <c r="U765" i="3"/>
  <c r="B766" i="3"/>
  <c r="C766" i="3"/>
  <c r="D766" i="3"/>
  <c r="O767" i="1" s="1"/>
  <c r="E766" i="3"/>
  <c r="F766" i="3"/>
  <c r="N766" i="3"/>
  <c r="O766" i="3"/>
  <c r="B767" i="3"/>
  <c r="C767" i="3"/>
  <c r="D767" i="3"/>
  <c r="O768" i="1" s="1"/>
  <c r="E767" i="3"/>
  <c r="F767" i="3"/>
  <c r="N767" i="3"/>
  <c r="O767" i="3"/>
  <c r="U767" i="3"/>
  <c r="B768" i="3"/>
  <c r="C768" i="3"/>
  <c r="D768" i="3"/>
  <c r="O769" i="1" s="1"/>
  <c r="E768" i="3"/>
  <c r="F768" i="3"/>
  <c r="N768" i="3"/>
  <c r="J768" i="3" s="1"/>
  <c r="K768" i="3" s="1"/>
  <c r="L768" i="3" s="1"/>
  <c r="M768" i="3" s="1"/>
  <c r="O768" i="3"/>
  <c r="B769" i="3"/>
  <c r="C769" i="3"/>
  <c r="D769" i="3"/>
  <c r="O770" i="1" s="1"/>
  <c r="E769" i="3"/>
  <c r="F769" i="3"/>
  <c r="N769" i="3"/>
  <c r="J769" i="3" s="1"/>
  <c r="K769" i="3" s="1"/>
  <c r="O769" i="3"/>
  <c r="U769" i="3"/>
  <c r="B770" i="3"/>
  <c r="C770" i="3"/>
  <c r="D770" i="3"/>
  <c r="O771" i="1" s="1"/>
  <c r="E770" i="3"/>
  <c r="F770" i="3"/>
  <c r="N770" i="3"/>
  <c r="J770" i="3" s="1"/>
  <c r="K770" i="3" s="1"/>
  <c r="L770" i="3" s="1"/>
  <c r="M770" i="3" s="1"/>
  <c r="O770" i="3"/>
  <c r="B771" i="3"/>
  <c r="C771" i="3"/>
  <c r="D771" i="3"/>
  <c r="O772" i="1" s="1"/>
  <c r="E771" i="3"/>
  <c r="F771" i="3"/>
  <c r="N771" i="3"/>
  <c r="O771" i="3"/>
  <c r="B772" i="3"/>
  <c r="C772" i="3"/>
  <c r="D772" i="3"/>
  <c r="O773" i="1" s="1"/>
  <c r="E772" i="3"/>
  <c r="F772" i="3"/>
  <c r="N772" i="3"/>
  <c r="O772" i="3"/>
  <c r="U772" i="3"/>
  <c r="B773" i="3"/>
  <c r="C773" i="3"/>
  <c r="D773" i="3"/>
  <c r="O774" i="1" s="1"/>
  <c r="E773" i="3"/>
  <c r="F773" i="3"/>
  <c r="N773" i="3"/>
  <c r="J773" i="3" s="1"/>
  <c r="K773" i="3" s="1"/>
  <c r="L773" i="3" s="1"/>
  <c r="M773" i="3" s="1"/>
  <c r="R773" i="3" s="1"/>
  <c r="O773" i="3"/>
  <c r="B774" i="3"/>
  <c r="C774" i="3"/>
  <c r="D774" i="3"/>
  <c r="O775" i="1" s="1"/>
  <c r="E774" i="3"/>
  <c r="F774" i="3"/>
  <c r="N774" i="3"/>
  <c r="J774" i="3" s="1"/>
  <c r="K774" i="3" s="1"/>
  <c r="L774" i="3" s="1"/>
  <c r="M774" i="3" s="1"/>
  <c r="R774" i="3" s="1"/>
  <c r="O774" i="3"/>
  <c r="B775" i="3"/>
  <c r="C775" i="3"/>
  <c r="D775" i="3"/>
  <c r="O776" i="1" s="1"/>
  <c r="E775" i="3"/>
  <c r="F775" i="3"/>
  <c r="N775" i="3"/>
  <c r="O775" i="3"/>
  <c r="B776" i="3"/>
  <c r="C776" i="3"/>
  <c r="D776" i="3"/>
  <c r="O777" i="1" s="1"/>
  <c r="E776" i="3"/>
  <c r="F776" i="3"/>
  <c r="N776" i="3"/>
  <c r="J776" i="3" s="1"/>
  <c r="K776" i="3" s="1"/>
  <c r="L776" i="3" s="1"/>
  <c r="M776" i="3" s="1"/>
  <c r="O776" i="3"/>
  <c r="U776" i="3"/>
  <c r="B777" i="3"/>
  <c r="C777" i="3"/>
  <c r="D777" i="3"/>
  <c r="O778" i="1" s="1"/>
  <c r="E777" i="3"/>
  <c r="F777" i="3"/>
  <c r="N777" i="3"/>
  <c r="O777" i="3"/>
  <c r="B778" i="3"/>
  <c r="C778" i="3"/>
  <c r="D778" i="3"/>
  <c r="O779" i="1" s="1"/>
  <c r="E778" i="3"/>
  <c r="F778" i="3"/>
  <c r="N778" i="3"/>
  <c r="O778" i="3"/>
  <c r="B779" i="3"/>
  <c r="C779" i="3"/>
  <c r="D779" i="3"/>
  <c r="O780" i="1" s="1"/>
  <c r="E779" i="3"/>
  <c r="F779" i="3"/>
  <c r="N779" i="3"/>
  <c r="O779" i="3"/>
  <c r="U779" i="3"/>
  <c r="B780" i="3"/>
  <c r="C780" i="3"/>
  <c r="D780" i="3"/>
  <c r="O781" i="1" s="1"/>
  <c r="E780" i="3"/>
  <c r="F780" i="3"/>
  <c r="N780" i="3"/>
  <c r="J780" i="3" s="1"/>
  <c r="K780" i="3" s="1"/>
  <c r="L780" i="3" s="1"/>
  <c r="M780" i="3" s="1"/>
  <c r="O780" i="3"/>
  <c r="U780" i="3"/>
  <c r="B781" i="3"/>
  <c r="C781" i="3"/>
  <c r="D781" i="3"/>
  <c r="O782" i="1" s="1"/>
  <c r="E781" i="3"/>
  <c r="F781" i="3"/>
  <c r="N781" i="3"/>
  <c r="J781" i="3" s="1"/>
  <c r="K781" i="3" s="1"/>
  <c r="O781" i="3"/>
  <c r="U781" i="3"/>
  <c r="B782" i="3"/>
  <c r="C782" i="3"/>
  <c r="D782" i="3"/>
  <c r="O783" i="1" s="1"/>
  <c r="E782" i="3"/>
  <c r="F782" i="3"/>
  <c r="N782" i="3"/>
  <c r="J782" i="3" s="1"/>
  <c r="K782" i="3" s="1"/>
  <c r="L782" i="3" s="1"/>
  <c r="M782" i="3" s="1"/>
  <c r="O782" i="3"/>
  <c r="B783" i="3"/>
  <c r="C783" i="3"/>
  <c r="D783" i="3"/>
  <c r="O784" i="1" s="1"/>
  <c r="E783" i="3"/>
  <c r="F783" i="3"/>
  <c r="N783" i="3"/>
  <c r="O783" i="3"/>
  <c r="B784" i="3"/>
  <c r="C784" i="3"/>
  <c r="D784" i="3"/>
  <c r="O785" i="1" s="1"/>
  <c r="E784" i="3"/>
  <c r="F784" i="3"/>
  <c r="N784" i="3"/>
  <c r="O784" i="3"/>
  <c r="U784" i="3"/>
  <c r="B785" i="3"/>
  <c r="C785" i="3"/>
  <c r="D785" i="3"/>
  <c r="O786" i="1" s="1"/>
  <c r="E785" i="3"/>
  <c r="F785" i="3"/>
  <c r="N785" i="3"/>
  <c r="O785" i="3"/>
  <c r="U785" i="3"/>
  <c r="B786" i="3"/>
  <c r="C786" i="3"/>
  <c r="D786" i="3"/>
  <c r="O787" i="1" s="1"/>
  <c r="E786" i="3"/>
  <c r="F786" i="3"/>
  <c r="N786" i="3"/>
  <c r="O786" i="3"/>
  <c r="U786" i="3"/>
  <c r="B787" i="3"/>
  <c r="C787" i="3"/>
  <c r="D787" i="3"/>
  <c r="O788" i="1" s="1"/>
  <c r="E787" i="3"/>
  <c r="F787" i="3"/>
  <c r="N787" i="3"/>
  <c r="O787" i="3"/>
  <c r="U787" i="3"/>
  <c r="B788" i="3"/>
  <c r="C788" i="3"/>
  <c r="D788" i="3"/>
  <c r="O789" i="1" s="1"/>
  <c r="E788" i="3"/>
  <c r="F788" i="3"/>
  <c r="N788" i="3"/>
  <c r="O788" i="3"/>
  <c r="B789" i="3"/>
  <c r="C789" i="3"/>
  <c r="D789" i="3"/>
  <c r="O790" i="1" s="1"/>
  <c r="E789" i="3"/>
  <c r="F789" i="3"/>
  <c r="N789" i="3"/>
  <c r="O789" i="3"/>
  <c r="B790" i="3"/>
  <c r="C790" i="3"/>
  <c r="D790" i="3"/>
  <c r="O791" i="1" s="1"/>
  <c r="E790" i="3"/>
  <c r="F790" i="3"/>
  <c r="N790" i="3"/>
  <c r="O790" i="3"/>
  <c r="B791" i="3"/>
  <c r="C791" i="3"/>
  <c r="D791" i="3"/>
  <c r="O792" i="1" s="1"/>
  <c r="E791" i="3"/>
  <c r="F791" i="3"/>
  <c r="N791" i="3"/>
  <c r="O791" i="3"/>
  <c r="U791" i="3"/>
  <c r="B792" i="3"/>
  <c r="C792" i="3"/>
  <c r="D792" i="3"/>
  <c r="O793" i="1" s="1"/>
  <c r="E792" i="3"/>
  <c r="F792" i="3"/>
  <c r="N792" i="3"/>
  <c r="O792" i="3"/>
  <c r="U792" i="3"/>
  <c r="B793" i="3"/>
  <c r="C793" i="3"/>
  <c r="D793" i="3"/>
  <c r="O794" i="1" s="1"/>
  <c r="E793" i="3"/>
  <c r="F793" i="3"/>
  <c r="N793" i="3"/>
  <c r="J793" i="3" s="1"/>
  <c r="K793" i="3" s="1"/>
  <c r="O793" i="3"/>
  <c r="U793" i="3"/>
  <c r="B794" i="3"/>
  <c r="C794" i="3"/>
  <c r="D794" i="3"/>
  <c r="O795" i="1" s="1"/>
  <c r="E794" i="3"/>
  <c r="F794" i="3"/>
  <c r="N794" i="3"/>
  <c r="J794" i="3" s="1"/>
  <c r="K794" i="3" s="1"/>
  <c r="O794" i="3"/>
  <c r="U794" i="3"/>
  <c r="B795" i="3"/>
  <c r="C795" i="3"/>
  <c r="D795" i="3"/>
  <c r="O796" i="1" s="1"/>
  <c r="E795" i="3"/>
  <c r="F795" i="3"/>
  <c r="N795" i="3"/>
  <c r="O795" i="3"/>
  <c r="U795" i="3"/>
  <c r="B796" i="3"/>
  <c r="C796" i="3"/>
  <c r="D796" i="3"/>
  <c r="O797" i="1" s="1"/>
  <c r="E796" i="3"/>
  <c r="F796" i="3"/>
  <c r="N796" i="3"/>
  <c r="O796" i="3"/>
  <c r="U796" i="3"/>
  <c r="B797" i="3"/>
  <c r="C797" i="3"/>
  <c r="D797" i="3"/>
  <c r="O798" i="1" s="1"/>
  <c r="E797" i="3"/>
  <c r="F797" i="3"/>
  <c r="N797" i="3"/>
  <c r="J797" i="3" s="1"/>
  <c r="O797" i="3"/>
  <c r="U797" i="3"/>
  <c r="B798" i="3"/>
  <c r="C798" i="3"/>
  <c r="D798" i="3"/>
  <c r="O799" i="1" s="1"/>
  <c r="E798" i="3"/>
  <c r="F798" i="3"/>
  <c r="N798" i="3"/>
  <c r="J798" i="3" s="1"/>
  <c r="K798" i="3" s="1"/>
  <c r="L798" i="3" s="1"/>
  <c r="M798" i="3" s="1"/>
  <c r="R798" i="3" s="1"/>
  <c r="O798" i="3"/>
  <c r="U798" i="3"/>
  <c r="B799" i="3"/>
  <c r="C799" i="3"/>
  <c r="D799" i="3"/>
  <c r="O800" i="1" s="1"/>
  <c r="E799" i="3"/>
  <c r="F799" i="3"/>
  <c r="N799" i="3"/>
  <c r="J799" i="3" s="1"/>
  <c r="K799" i="3" s="1"/>
  <c r="L799" i="3" s="1"/>
  <c r="M799" i="3" s="1"/>
  <c r="O799" i="3"/>
  <c r="B800" i="3"/>
  <c r="C800" i="3"/>
  <c r="D800" i="3"/>
  <c r="O801" i="1" s="1"/>
  <c r="E800" i="3"/>
  <c r="F800" i="3"/>
  <c r="N800" i="3"/>
  <c r="J800" i="3" s="1"/>
  <c r="K800" i="3" s="1"/>
  <c r="O800" i="3"/>
  <c r="U800" i="3"/>
  <c r="B801" i="3"/>
  <c r="C801" i="3"/>
  <c r="D801" i="3"/>
  <c r="O802" i="1" s="1"/>
  <c r="E801" i="3"/>
  <c r="F801" i="3"/>
  <c r="N801" i="3"/>
  <c r="O801" i="3"/>
  <c r="B802" i="3"/>
  <c r="C802" i="3"/>
  <c r="D802" i="3"/>
  <c r="O803" i="1" s="1"/>
  <c r="E802" i="3"/>
  <c r="F802" i="3"/>
  <c r="N802" i="3"/>
  <c r="O802" i="3"/>
  <c r="U802" i="3"/>
  <c r="B803" i="3"/>
  <c r="C803" i="3"/>
  <c r="D803" i="3"/>
  <c r="O804" i="1" s="1"/>
  <c r="E803" i="3"/>
  <c r="F803" i="3"/>
  <c r="N803" i="3"/>
  <c r="O803" i="3"/>
  <c r="U803" i="3"/>
  <c r="O3" i="3"/>
  <c r="N3" i="3"/>
  <c r="F3" i="3"/>
  <c r="E3" i="3"/>
  <c r="D3" i="3"/>
  <c r="O4" i="1" s="1"/>
  <c r="B3" i="3"/>
  <c r="C3" i="3"/>
  <c r="V3" i="4"/>
  <c r="Q3" i="4"/>
  <c r="Z1" i="4"/>
  <c r="Y1" i="3"/>
  <c r="Q193" i="4" l="1"/>
  <c r="V259" i="4"/>
  <c r="V253" i="4"/>
  <c r="V247" i="4"/>
  <c r="V241" i="4"/>
  <c r="V235" i="4"/>
  <c r="R216" i="4"/>
  <c r="Q259" i="4"/>
  <c r="Q253" i="4"/>
  <c r="Q247" i="4"/>
  <c r="Q241" i="4"/>
  <c r="Q235" i="4"/>
  <c r="V229" i="4"/>
  <c r="V223" i="4"/>
  <c r="V217" i="4"/>
  <c r="L187" i="4"/>
  <c r="M187" i="4" s="1"/>
  <c r="N187" i="4" s="1"/>
  <c r="Q229" i="4"/>
  <c r="Q223" i="4"/>
  <c r="Q217" i="4"/>
  <c r="R180" i="4"/>
  <c r="R204" i="4"/>
  <c r="V169" i="4"/>
  <c r="V211" i="4"/>
  <c r="V205" i="4"/>
  <c r="V175" i="4"/>
  <c r="Q169" i="4"/>
  <c r="Q211" i="4"/>
  <c r="Q205" i="4"/>
  <c r="V199" i="4"/>
  <c r="Q175" i="4"/>
  <c r="Q199" i="4"/>
  <c r="R192" i="4"/>
  <c r="V157" i="4"/>
  <c r="Q145" i="4"/>
  <c r="Q133" i="4"/>
  <c r="V224" i="4"/>
  <c r="V104" i="4"/>
  <c r="L128" i="4"/>
  <c r="M128" i="4" s="1"/>
  <c r="N128" i="4" s="1"/>
  <c r="L104" i="4"/>
  <c r="M104" i="4" s="1"/>
  <c r="N104" i="4" s="1"/>
  <c r="V128" i="4"/>
  <c r="L260" i="4"/>
  <c r="M260" i="4" s="1"/>
  <c r="N260" i="4" s="1"/>
  <c r="V158" i="4"/>
  <c r="Q200" i="4"/>
  <c r="V254" i="4"/>
  <c r="R247" i="4"/>
  <c r="V218" i="4"/>
  <c r="V146" i="4"/>
  <c r="V248" i="4"/>
  <c r="R241" i="4"/>
  <c r="Q224" i="4"/>
  <c r="Q248" i="4"/>
  <c r="V194" i="4"/>
  <c r="V188" i="4"/>
  <c r="V164" i="4"/>
  <c r="Q188" i="4"/>
  <c r="V182" i="4"/>
  <c r="V176" i="4"/>
  <c r="L164" i="4"/>
  <c r="M164" i="4" s="1"/>
  <c r="N164" i="4" s="1"/>
  <c r="V122" i="4"/>
  <c r="V110" i="4"/>
  <c r="V86" i="4"/>
  <c r="V212" i="4"/>
  <c r="L176" i="4"/>
  <c r="M176" i="4" s="1"/>
  <c r="N176" i="4" s="1"/>
  <c r="V170" i="4"/>
  <c r="V98" i="4"/>
  <c r="V236" i="4"/>
  <c r="Q212" i="4"/>
  <c r="V242" i="4"/>
  <c r="Q236" i="4"/>
  <c r="Q260" i="4"/>
  <c r="U374" i="3"/>
  <c r="U542" i="3"/>
  <c r="U217" i="3"/>
  <c r="U234" i="3"/>
  <c r="U359" i="3"/>
  <c r="J313" i="3"/>
  <c r="U651" i="3"/>
  <c r="U48" i="3"/>
  <c r="U799" i="3"/>
  <c r="U661" i="3"/>
  <c r="U434" i="3"/>
  <c r="U655" i="3"/>
  <c r="U652" i="3"/>
  <c r="U656" i="3"/>
  <c r="U770" i="3"/>
  <c r="U433" i="3"/>
  <c r="U430" i="3"/>
  <c r="U782" i="3"/>
  <c r="U761" i="3"/>
  <c r="U25" i="3"/>
  <c r="U764" i="3"/>
  <c r="U625" i="3"/>
  <c r="U773" i="3"/>
  <c r="U721" i="3"/>
  <c r="U15" i="3"/>
  <c r="U12" i="3"/>
  <c r="U18" i="3"/>
  <c r="U637" i="3"/>
  <c r="U673" i="3"/>
  <c r="U159" i="3"/>
  <c r="U117" i="3"/>
  <c r="U94" i="3"/>
  <c r="U756" i="3"/>
  <c r="U7" i="3"/>
  <c r="U4" i="3"/>
  <c r="U774" i="3"/>
  <c r="U768" i="3"/>
  <c r="U577" i="3"/>
  <c r="U24" i="3"/>
  <c r="U763" i="3"/>
  <c r="U562" i="3"/>
  <c r="U174" i="3"/>
  <c r="U733" i="3"/>
  <c r="U670" i="3"/>
  <c r="U553" i="3"/>
  <c r="U751" i="3"/>
  <c r="U757" i="3"/>
  <c r="U82" i="3"/>
  <c r="U51" i="3"/>
  <c r="U752" i="3"/>
  <c r="U740" i="3"/>
  <c r="U610" i="3"/>
  <c r="U566" i="3"/>
  <c r="U529" i="3"/>
  <c r="U505" i="3"/>
  <c r="U493" i="3"/>
  <c r="U463" i="3"/>
  <c r="U460" i="3"/>
  <c r="U457" i="3"/>
  <c r="U415" i="3"/>
  <c r="U412" i="3"/>
  <c r="U403" i="3"/>
  <c r="U367" i="3"/>
  <c r="U277" i="3"/>
  <c r="U271" i="3"/>
  <c r="U265" i="3"/>
  <c r="U235" i="3"/>
  <c r="U229" i="3"/>
  <c r="U205" i="3"/>
  <c r="U692" i="3"/>
  <c r="U659" i="3"/>
  <c r="U638" i="3"/>
  <c r="U629" i="3"/>
  <c r="U605" i="3"/>
  <c r="U590" i="3"/>
  <c r="U118" i="3"/>
  <c r="U115" i="3"/>
  <c r="U92" i="3"/>
  <c r="U506" i="3"/>
  <c r="U494" i="3"/>
  <c r="U470" i="3"/>
  <c r="U398" i="3"/>
  <c r="U326" i="3"/>
  <c r="U320" i="3"/>
  <c r="U266" i="3"/>
  <c r="U263" i="3"/>
  <c r="U242" i="3"/>
  <c r="U239" i="3"/>
  <c r="U215" i="3"/>
  <c r="U687" i="3"/>
  <c r="U615" i="3"/>
  <c r="U606" i="3"/>
  <c r="U126" i="3"/>
  <c r="U116" i="3"/>
  <c r="U110" i="3"/>
  <c r="U81" i="3"/>
  <c r="U62" i="3"/>
  <c r="U47" i="3"/>
  <c r="U41" i="3"/>
  <c r="U35" i="3"/>
  <c r="U516" i="3"/>
  <c r="U498" i="3"/>
  <c r="U486" i="3"/>
  <c r="U483" i="3"/>
  <c r="U267" i="3"/>
  <c r="U240" i="3"/>
  <c r="U213" i="3"/>
  <c r="U195" i="3"/>
  <c r="P137" i="3"/>
  <c r="P115" i="3"/>
  <c r="P687" i="3"/>
  <c r="Q629" i="3"/>
  <c r="P324" i="3"/>
  <c r="U171" i="3"/>
  <c r="U156" i="3"/>
  <c r="P336" i="3"/>
  <c r="U173" i="3"/>
  <c r="P773" i="3"/>
  <c r="P219" i="3"/>
  <c r="P780" i="3"/>
  <c r="U180" i="3"/>
  <c r="U181" i="3"/>
  <c r="U169" i="3"/>
  <c r="U157" i="3"/>
  <c r="V50" i="4"/>
  <c r="V26" i="4"/>
  <c r="V14" i="4"/>
  <c r="R168" i="4"/>
  <c r="R248" i="4"/>
  <c r="R212" i="4"/>
  <c r="R188" i="4"/>
  <c r="R176" i="4"/>
  <c r="R164" i="4"/>
  <c r="R200" i="4"/>
  <c r="L206" i="4"/>
  <c r="M206" i="4" s="1"/>
  <c r="N206" i="4" s="1"/>
  <c r="Q206" i="4"/>
  <c r="Q38" i="4"/>
  <c r="L38" i="4"/>
  <c r="M38" i="4" s="1"/>
  <c r="N38" i="4" s="1"/>
  <c r="R38" i="4" s="1"/>
  <c r="Q230" i="4"/>
  <c r="L230" i="4"/>
  <c r="L134" i="4"/>
  <c r="Q134" i="4"/>
  <c r="Q62" i="4"/>
  <c r="L62" i="4"/>
  <c r="R209" i="4"/>
  <c r="L160" i="4"/>
  <c r="M160" i="4" s="1"/>
  <c r="N160" i="4" s="1"/>
  <c r="L154" i="4"/>
  <c r="M154" i="4" s="1"/>
  <c r="N154" i="4" s="1"/>
  <c r="R154" i="4" s="1"/>
  <c r="Q154" i="4"/>
  <c r="M148" i="4"/>
  <c r="N148" i="4" s="1"/>
  <c r="Q148" i="4"/>
  <c r="L142" i="4"/>
  <c r="M142" i="4" s="1"/>
  <c r="N142" i="4" s="1"/>
  <c r="S142" i="4" s="1"/>
  <c r="Q142" i="4"/>
  <c r="L130" i="4"/>
  <c r="M130" i="4" s="1"/>
  <c r="N130" i="4" s="1"/>
  <c r="Q130" i="4"/>
  <c r="L124" i="4"/>
  <c r="M124" i="4" s="1"/>
  <c r="N124" i="4" s="1"/>
  <c r="S124" i="4" s="1"/>
  <c r="Q124" i="4"/>
  <c r="L118" i="4"/>
  <c r="M118" i="4" s="1"/>
  <c r="N118" i="4" s="1"/>
  <c r="R118" i="4" s="1"/>
  <c r="Q118" i="4"/>
  <c r="L112" i="4"/>
  <c r="M112" i="4" s="1"/>
  <c r="N112" i="4" s="1"/>
  <c r="R112" i="4" s="1"/>
  <c r="Q112" i="4"/>
  <c r="L106" i="4"/>
  <c r="M106" i="4" s="1"/>
  <c r="N106" i="4" s="1"/>
  <c r="Q106" i="4"/>
  <c r="L94" i="4"/>
  <c r="M94" i="4" s="1"/>
  <c r="N94" i="4" s="1"/>
  <c r="R94" i="4" s="1"/>
  <c r="Q94" i="4"/>
  <c r="L88" i="4"/>
  <c r="M88" i="4" s="1"/>
  <c r="N88" i="4" s="1"/>
  <c r="R88" i="4" s="1"/>
  <c r="Q88" i="4"/>
  <c r="L82" i="4"/>
  <c r="M82" i="4" s="1"/>
  <c r="N82" i="4" s="1"/>
  <c r="R82" i="4" s="1"/>
  <c r="Q82" i="4"/>
  <c r="L76" i="4"/>
  <c r="M76" i="4" s="1"/>
  <c r="N76" i="4" s="1"/>
  <c r="R76" i="4" s="1"/>
  <c r="Q76" i="4"/>
  <c r="L64" i="4"/>
  <c r="M64" i="4" s="1"/>
  <c r="N64" i="4" s="1"/>
  <c r="R64" i="4" s="1"/>
  <c r="Q64" i="4"/>
  <c r="Q58" i="4"/>
  <c r="L58" i="4"/>
  <c r="M58" i="4"/>
  <c r="N58" i="4" s="1"/>
  <c r="R58" i="4" s="1"/>
  <c r="L52" i="4"/>
  <c r="M52" i="4" s="1"/>
  <c r="N52" i="4" s="1"/>
  <c r="R52" i="4" s="1"/>
  <c r="Q52" i="4"/>
  <c r="Q46" i="4"/>
  <c r="L46" i="4"/>
  <c r="M46" i="4" s="1"/>
  <c r="N46" i="4" s="1"/>
  <c r="L40" i="4"/>
  <c r="M40" i="4" s="1"/>
  <c r="N40" i="4" s="1"/>
  <c r="Q40" i="4"/>
  <c r="L34" i="4"/>
  <c r="M34" i="4" s="1"/>
  <c r="N34" i="4" s="1"/>
  <c r="R34" i="4" s="1"/>
  <c r="Q34" i="4"/>
  <c r="L28" i="4"/>
  <c r="M28" i="4" s="1"/>
  <c r="N28" i="4" s="1"/>
  <c r="Q28" i="4"/>
  <c r="L22" i="4"/>
  <c r="M22" i="4" s="1"/>
  <c r="N22" i="4" s="1"/>
  <c r="R22" i="4" s="1"/>
  <c r="Q22" i="4"/>
  <c r="L16" i="4"/>
  <c r="M16" i="4" s="1"/>
  <c r="N16" i="4" s="1"/>
  <c r="Q16" i="4"/>
  <c r="L10" i="4"/>
  <c r="M10" i="4" s="1"/>
  <c r="N10" i="4" s="1"/>
  <c r="R10" i="4" s="1"/>
  <c r="Q10" i="4"/>
  <c r="Q4" i="4"/>
  <c r="L4" i="4"/>
  <c r="M4" i="4" s="1"/>
  <c r="N4" i="4" s="1"/>
  <c r="M171" i="4"/>
  <c r="N171" i="4" s="1"/>
  <c r="R171" i="4" s="1"/>
  <c r="Q171" i="4"/>
  <c r="S145" i="4"/>
  <c r="R145" i="4"/>
  <c r="L152" i="4"/>
  <c r="M152" i="4" s="1"/>
  <c r="N152" i="4" s="1"/>
  <c r="S152" i="4" s="1"/>
  <c r="Q152" i="4"/>
  <c r="L140" i="4"/>
  <c r="M140" i="4" s="1"/>
  <c r="N140" i="4" s="1"/>
  <c r="Q140" i="4"/>
  <c r="L116" i="4"/>
  <c r="M116" i="4" s="1"/>
  <c r="N116" i="4" s="1"/>
  <c r="R116" i="4" s="1"/>
  <c r="Q116" i="4"/>
  <c r="L92" i="4"/>
  <c r="M92" i="4" s="1"/>
  <c r="N92" i="4" s="1"/>
  <c r="R92" i="4" s="1"/>
  <c r="Q92" i="4"/>
  <c r="L80" i="4"/>
  <c r="M80" i="4" s="1"/>
  <c r="N80" i="4" s="1"/>
  <c r="Q80" i="4"/>
  <c r="L68" i="4"/>
  <c r="M68" i="4" s="1"/>
  <c r="N68" i="4" s="1"/>
  <c r="R68" i="4" s="1"/>
  <c r="Q68" i="4"/>
  <c r="L56" i="4"/>
  <c r="M56" i="4" s="1"/>
  <c r="N56" i="4" s="1"/>
  <c r="Q56" i="4"/>
  <c r="L44" i="4"/>
  <c r="M44" i="4" s="1"/>
  <c r="N44" i="4" s="1"/>
  <c r="R44" i="4" s="1"/>
  <c r="Q44" i="4"/>
  <c r="L32" i="4"/>
  <c r="M32" i="4" s="1"/>
  <c r="N32" i="4" s="1"/>
  <c r="R32" i="4" s="1"/>
  <c r="Q32" i="4"/>
  <c r="L20" i="4"/>
  <c r="M20" i="4" s="1"/>
  <c r="N20" i="4" s="1"/>
  <c r="R20" i="4" s="1"/>
  <c r="Q20" i="4"/>
  <c r="L8" i="4"/>
  <c r="M8" i="4" s="1"/>
  <c r="N8" i="4" s="1"/>
  <c r="R8" i="4" s="1"/>
  <c r="Q8" i="4"/>
  <c r="L181" i="4"/>
  <c r="M181" i="4" s="1"/>
  <c r="N181" i="4" s="1"/>
  <c r="S181" i="4" s="1"/>
  <c r="Q181" i="4"/>
  <c r="L163" i="4"/>
  <c r="M163" i="4" s="1"/>
  <c r="N163" i="4" s="1"/>
  <c r="R163" i="4" s="1"/>
  <c r="Q163" i="4"/>
  <c r="L151" i="4"/>
  <c r="M151" i="4" s="1"/>
  <c r="N151" i="4" s="1"/>
  <c r="Q151" i="4"/>
  <c r="L139" i="4"/>
  <c r="M139" i="4" s="1"/>
  <c r="N139" i="4" s="1"/>
  <c r="R139" i="4" s="1"/>
  <c r="Q139" i="4"/>
  <c r="L133" i="4"/>
  <c r="M133" i="4" s="1"/>
  <c r="N133" i="4" s="1"/>
  <c r="L127" i="4"/>
  <c r="M127" i="4" s="1"/>
  <c r="N127" i="4" s="1"/>
  <c r="Q127" i="4"/>
  <c r="L121" i="4"/>
  <c r="M121" i="4" s="1"/>
  <c r="N121" i="4" s="1"/>
  <c r="Q121" i="4"/>
  <c r="L115" i="4"/>
  <c r="M115" i="4" s="1"/>
  <c r="N115" i="4" s="1"/>
  <c r="Q115" i="4"/>
  <c r="L109" i="4"/>
  <c r="M109" i="4" s="1"/>
  <c r="N109" i="4" s="1"/>
  <c r="R109" i="4" s="1"/>
  <c r="Q109" i="4"/>
  <c r="L103" i="4"/>
  <c r="M103" i="4" s="1"/>
  <c r="N103" i="4" s="1"/>
  <c r="Q103" i="4"/>
  <c r="L97" i="4"/>
  <c r="M97" i="4" s="1"/>
  <c r="N97" i="4" s="1"/>
  <c r="Q97" i="4"/>
  <c r="L91" i="4"/>
  <c r="M91" i="4" s="1"/>
  <c r="N91" i="4" s="1"/>
  <c r="R91" i="4" s="1"/>
  <c r="Q91" i="4"/>
  <c r="L85" i="4"/>
  <c r="M85" i="4" s="1"/>
  <c r="N85" i="4" s="1"/>
  <c r="R85" i="4" s="1"/>
  <c r="Q85" i="4"/>
  <c r="L79" i="4"/>
  <c r="M79" i="4" s="1"/>
  <c r="N79" i="4" s="1"/>
  <c r="Q79" i="4"/>
  <c r="L73" i="4"/>
  <c r="M73" i="4" s="1"/>
  <c r="N73" i="4" s="1"/>
  <c r="R73" i="4" s="1"/>
  <c r="Q73" i="4"/>
  <c r="L67" i="4"/>
  <c r="M67" i="4" s="1"/>
  <c r="N67" i="4" s="1"/>
  <c r="Q67" i="4"/>
  <c r="L61" i="4"/>
  <c r="M61" i="4" s="1"/>
  <c r="N61" i="4" s="1"/>
  <c r="Q61" i="4"/>
  <c r="L55" i="4"/>
  <c r="M55" i="4" s="1"/>
  <c r="N55" i="4" s="1"/>
  <c r="R55" i="4" s="1"/>
  <c r="Q55" i="4"/>
  <c r="L49" i="4"/>
  <c r="M49" i="4" s="1"/>
  <c r="N49" i="4" s="1"/>
  <c r="R49" i="4" s="1"/>
  <c r="Q49" i="4"/>
  <c r="L43" i="4"/>
  <c r="M43" i="4" s="1"/>
  <c r="N43" i="4" s="1"/>
  <c r="Q43" i="4"/>
  <c r="L37" i="4"/>
  <c r="M37" i="4" s="1"/>
  <c r="N37" i="4" s="1"/>
  <c r="S37" i="4" s="1"/>
  <c r="Q37" i="4"/>
  <c r="L31" i="4"/>
  <c r="M31" i="4" s="1"/>
  <c r="N31" i="4" s="1"/>
  <c r="Q31" i="4"/>
  <c r="L25" i="4"/>
  <c r="M25" i="4" s="1"/>
  <c r="N25" i="4" s="1"/>
  <c r="Q25" i="4"/>
  <c r="L19" i="4"/>
  <c r="M19" i="4" s="1"/>
  <c r="N19" i="4" s="1"/>
  <c r="R19" i="4" s="1"/>
  <c r="Q19" i="4"/>
  <c r="L13" i="4"/>
  <c r="M13" i="4" s="1"/>
  <c r="N13" i="4" s="1"/>
  <c r="R13" i="4" s="1"/>
  <c r="Q13" i="4"/>
  <c r="L7" i="4"/>
  <c r="M7" i="4" s="1"/>
  <c r="N7" i="4" s="1"/>
  <c r="Q7" i="4"/>
  <c r="L162" i="4"/>
  <c r="M162" i="4" s="1"/>
  <c r="N162" i="4" s="1"/>
  <c r="Q162" i="4"/>
  <c r="L156" i="4"/>
  <c r="M156" i="4" s="1"/>
  <c r="N156" i="4" s="1"/>
  <c r="Q156" i="4"/>
  <c r="L150" i="4"/>
  <c r="M150" i="4" s="1"/>
  <c r="N150" i="4" s="1"/>
  <c r="Q150" i="4"/>
  <c r="L144" i="4"/>
  <c r="M144" i="4" s="1"/>
  <c r="N144" i="4" s="1"/>
  <c r="S144" i="4" s="1"/>
  <c r="Q144" i="4"/>
  <c r="L138" i="4"/>
  <c r="M138" i="4" s="1"/>
  <c r="N138" i="4" s="1"/>
  <c r="S138" i="4" s="1"/>
  <c r="Q138" i="4"/>
  <c r="M132" i="4"/>
  <c r="N132" i="4" s="1"/>
  <c r="Q132" i="4"/>
  <c r="L126" i="4"/>
  <c r="M126" i="4" s="1"/>
  <c r="N126" i="4" s="1"/>
  <c r="S126" i="4" s="1"/>
  <c r="Q126" i="4"/>
  <c r="L120" i="4"/>
  <c r="M120" i="4" s="1"/>
  <c r="N120" i="4" s="1"/>
  <c r="L114" i="4"/>
  <c r="M114" i="4" s="1"/>
  <c r="N114" i="4" s="1"/>
  <c r="S114" i="4" s="1"/>
  <c r="Q114" i="4"/>
  <c r="L102" i="4"/>
  <c r="M102" i="4" s="1"/>
  <c r="N102" i="4" s="1"/>
  <c r="S102" i="4" s="1"/>
  <c r="Q102" i="4"/>
  <c r="L96" i="4"/>
  <c r="M96" i="4" s="1"/>
  <c r="N96" i="4" s="1"/>
  <c r="R96" i="4" s="1"/>
  <c r="Q96" i="4"/>
  <c r="L90" i="4"/>
  <c r="M90" i="4" s="1"/>
  <c r="N90" i="4" s="1"/>
  <c r="Q90" i="4"/>
  <c r="L84" i="4"/>
  <c r="M84" i="4" s="1"/>
  <c r="N84" i="4" s="1"/>
  <c r="R84" i="4" s="1"/>
  <c r="Q84" i="4"/>
  <c r="L78" i="4"/>
  <c r="M78" i="4" s="1"/>
  <c r="N78" i="4" s="1"/>
  <c r="R78" i="4" s="1"/>
  <c r="Q78" i="4"/>
  <c r="L72" i="4"/>
  <c r="M72" i="4" s="1"/>
  <c r="N72" i="4" s="1"/>
  <c r="Q72" i="4"/>
  <c r="L66" i="4"/>
  <c r="M66" i="4" s="1"/>
  <c r="N66" i="4" s="1"/>
  <c r="Q66" i="4"/>
  <c r="L60" i="4"/>
  <c r="M60" i="4" s="1"/>
  <c r="N60" i="4" s="1"/>
  <c r="R60" i="4" s="1"/>
  <c r="Q60" i="4"/>
  <c r="L54" i="4"/>
  <c r="M54" i="4" s="1"/>
  <c r="N54" i="4" s="1"/>
  <c r="Q54" i="4"/>
  <c r="L48" i="4"/>
  <c r="M48" i="4" s="1"/>
  <c r="N48" i="4" s="1"/>
  <c r="Q48" i="4"/>
  <c r="Q42" i="4"/>
  <c r="L42" i="4"/>
  <c r="M42" i="4" s="1"/>
  <c r="N42" i="4" s="1"/>
  <c r="R42" i="4" s="1"/>
  <c r="L36" i="4"/>
  <c r="M36" i="4" s="1"/>
  <c r="N36" i="4" s="1"/>
  <c r="Q36" i="4"/>
  <c r="L30" i="4"/>
  <c r="M30" i="4" s="1"/>
  <c r="N30" i="4" s="1"/>
  <c r="R30" i="4" s="1"/>
  <c r="Q30" i="4"/>
  <c r="L24" i="4"/>
  <c r="M24" i="4" s="1"/>
  <c r="N24" i="4" s="1"/>
  <c r="R24" i="4" s="1"/>
  <c r="Q24" i="4"/>
  <c r="L18" i="4"/>
  <c r="M18" i="4" s="1"/>
  <c r="N18" i="4" s="1"/>
  <c r="R18" i="4" s="1"/>
  <c r="Q18" i="4"/>
  <c r="Q12" i="4"/>
  <c r="L12" i="4"/>
  <c r="M12" i="4" s="1"/>
  <c r="N12" i="4" s="1"/>
  <c r="R12" i="4" s="1"/>
  <c r="L6" i="4"/>
  <c r="M6" i="4" s="1"/>
  <c r="N6" i="4" s="1"/>
  <c r="Q6" i="4"/>
  <c r="L185" i="4"/>
  <c r="M185" i="4" s="1"/>
  <c r="N185" i="4" s="1"/>
  <c r="S185" i="4" s="1"/>
  <c r="T185" i="4" s="1"/>
  <c r="Q185" i="4"/>
  <c r="L167" i="4"/>
  <c r="M167" i="4" s="1"/>
  <c r="N167" i="4" s="1"/>
  <c r="Q167" i="4"/>
  <c r="L155" i="4"/>
  <c r="M155" i="4" s="1"/>
  <c r="N155" i="4" s="1"/>
  <c r="R155" i="4" s="1"/>
  <c r="Q155" i="4"/>
  <c r="L143" i="4"/>
  <c r="M143" i="4" s="1"/>
  <c r="N143" i="4" s="1"/>
  <c r="Q143" i="4"/>
  <c r="L137" i="4"/>
  <c r="M137" i="4" s="1"/>
  <c r="N137" i="4" s="1"/>
  <c r="L131" i="4"/>
  <c r="M131" i="4" s="1"/>
  <c r="N131" i="4" s="1"/>
  <c r="Q131" i="4"/>
  <c r="L125" i="4"/>
  <c r="M125" i="4" s="1"/>
  <c r="N125" i="4" s="1"/>
  <c r="Q125" i="4"/>
  <c r="M119" i="4"/>
  <c r="N119" i="4" s="1"/>
  <c r="Q119" i="4"/>
  <c r="L113" i="4"/>
  <c r="M113" i="4" s="1"/>
  <c r="N113" i="4" s="1"/>
  <c r="Q113" i="4"/>
  <c r="L107" i="4"/>
  <c r="M107" i="4" s="1"/>
  <c r="N107" i="4" s="1"/>
  <c r="R107" i="4" s="1"/>
  <c r="Q107" i="4"/>
  <c r="L101" i="4"/>
  <c r="M101" i="4" s="1"/>
  <c r="N101" i="4" s="1"/>
  <c r="R101" i="4" s="1"/>
  <c r="Q101" i="4"/>
  <c r="L95" i="4"/>
  <c r="M95" i="4" s="1"/>
  <c r="N95" i="4" s="1"/>
  <c r="R95" i="4" s="1"/>
  <c r="Q95" i="4"/>
  <c r="L83" i="4"/>
  <c r="M83" i="4" s="1"/>
  <c r="N83" i="4" s="1"/>
  <c r="Q83" i="4"/>
  <c r="L71" i="4"/>
  <c r="M71" i="4" s="1"/>
  <c r="N71" i="4" s="1"/>
  <c r="Q71" i="4"/>
  <c r="L65" i="4"/>
  <c r="M65" i="4" s="1"/>
  <c r="N65" i="4" s="1"/>
  <c r="R65" i="4" s="1"/>
  <c r="Q65" i="4"/>
  <c r="L59" i="4"/>
  <c r="M59" i="4" s="1"/>
  <c r="N59" i="4" s="1"/>
  <c r="R59" i="4" s="1"/>
  <c r="Q59" i="4"/>
  <c r="L53" i="4"/>
  <c r="M53" i="4" s="1"/>
  <c r="N53" i="4" s="1"/>
  <c r="R53" i="4" s="1"/>
  <c r="Q53" i="4"/>
  <c r="L47" i="4"/>
  <c r="M47" i="4" s="1"/>
  <c r="N47" i="4" s="1"/>
  <c r="S47" i="4" s="1"/>
  <c r="Q47" i="4"/>
  <c r="L41" i="4"/>
  <c r="M41" i="4" s="1"/>
  <c r="N41" i="4" s="1"/>
  <c r="Q41" i="4"/>
  <c r="L35" i="4"/>
  <c r="M35" i="4" s="1"/>
  <c r="N35" i="4" s="1"/>
  <c r="Q35" i="4"/>
  <c r="L29" i="4"/>
  <c r="M29" i="4" s="1"/>
  <c r="N29" i="4" s="1"/>
  <c r="S29" i="4" s="1"/>
  <c r="Q29" i="4"/>
  <c r="L23" i="4"/>
  <c r="M23" i="4" s="1"/>
  <c r="N23" i="4" s="1"/>
  <c r="S23" i="4" s="1"/>
  <c r="Q23" i="4"/>
  <c r="L17" i="4"/>
  <c r="M17" i="4" s="1"/>
  <c r="N17" i="4" s="1"/>
  <c r="R17" i="4" s="1"/>
  <c r="Q17" i="4"/>
  <c r="L11" i="4"/>
  <c r="M11" i="4" s="1"/>
  <c r="N11" i="4" s="1"/>
  <c r="R11" i="4" s="1"/>
  <c r="Q11" i="4"/>
  <c r="L5" i="4"/>
  <c r="M5" i="4" s="1"/>
  <c r="N5" i="4" s="1"/>
  <c r="Q5" i="4"/>
  <c r="K15" i="4"/>
  <c r="K27" i="4"/>
  <c r="K39" i="4"/>
  <c r="L39" i="4" s="1"/>
  <c r="M39" i="4" s="1"/>
  <c r="N39" i="4" s="1"/>
  <c r="R39" i="4" s="1"/>
  <c r="K51" i="4"/>
  <c r="K63" i="4"/>
  <c r="K75" i="4"/>
  <c r="K87" i="4"/>
  <c r="K99" i="4"/>
  <c r="K111" i="4"/>
  <c r="K123" i="4"/>
  <c r="K135" i="4"/>
  <c r="K147" i="4"/>
  <c r="K159" i="4"/>
  <c r="V159" i="4" s="1"/>
  <c r="K183" i="4"/>
  <c r="V183" i="4" s="1"/>
  <c r="K207" i="4"/>
  <c r="K219" i="4"/>
  <c r="K231" i="4"/>
  <c r="V231" i="4" s="1"/>
  <c r="K243" i="4"/>
  <c r="K255" i="4"/>
  <c r="K9" i="4"/>
  <c r="K21" i="4"/>
  <c r="L21" i="4" s="1"/>
  <c r="M21" i="4" s="1"/>
  <c r="N21" i="4" s="1"/>
  <c r="S21" i="4" s="1"/>
  <c r="K33" i="4"/>
  <c r="K45" i="4"/>
  <c r="K57" i="4"/>
  <c r="K69" i="4"/>
  <c r="K81" i="4"/>
  <c r="K93" i="4"/>
  <c r="K105" i="4"/>
  <c r="K117" i="4"/>
  <c r="K129" i="4"/>
  <c r="K141" i="4"/>
  <c r="K153" i="4"/>
  <c r="K165" i="4"/>
  <c r="K189" i="4"/>
  <c r="K201" i="4"/>
  <c r="K225" i="4"/>
  <c r="K237" i="4"/>
  <c r="K249" i="4"/>
  <c r="K261" i="4"/>
  <c r="V261" i="4" s="1"/>
  <c r="P516" i="3"/>
  <c r="P271" i="3"/>
  <c r="P195" i="3"/>
  <c r="Q540" i="3"/>
  <c r="P562" i="3"/>
  <c r="P486" i="3"/>
  <c r="P129" i="3"/>
  <c r="P776" i="3"/>
  <c r="P620" i="3"/>
  <c r="P47" i="3"/>
  <c r="P740" i="3"/>
  <c r="P670" i="3"/>
  <c r="P412" i="3"/>
  <c r="P656" i="3"/>
  <c r="K209" i="3"/>
  <c r="L209" i="3" s="1"/>
  <c r="M209" i="3" s="1"/>
  <c r="P638" i="3"/>
  <c r="P460" i="3"/>
  <c r="P173" i="3"/>
  <c r="P46" i="3"/>
  <c r="P663" i="3"/>
  <c r="P604" i="3"/>
  <c r="P71" i="3"/>
  <c r="Q71" i="3"/>
  <c r="P762" i="3"/>
  <c r="P367" i="3"/>
  <c r="P315" i="3"/>
  <c r="Q117" i="3"/>
  <c r="P159" i="3"/>
  <c r="K41" i="3"/>
  <c r="L41" i="3" s="1"/>
  <c r="M41" i="3" s="1"/>
  <c r="R41" i="3" s="1"/>
  <c r="Q677" i="3"/>
  <c r="P533" i="3"/>
  <c r="P267" i="3"/>
  <c r="P215" i="3"/>
  <c r="P126" i="3"/>
  <c r="P652" i="3"/>
  <c r="P626" i="3"/>
  <c r="P370" i="3"/>
  <c r="P259" i="3"/>
  <c r="Q81" i="3"/>
  <c r="P768" i="3"/>
  <c r="P761" i="3"/>
  <c r="P692" i="3"/>
  <c r="P610" i="3"/>
  <c r="P522" i="3"/>
  <c r="P284" i="3"/>
  <c r="L263" i="3"/>
  <c r="M263" i="3" s="1"/>
  <c r="R263" i="3" s="1"/>
  <c r="P260" i="3"/>
  <c r="P667" i="3"/>
  <c r="P275" i="3"/>
  <c r="P268" i="3"/>
  <c r="P216" i="3"/>
  <c r="P209" i="3"/>
  <c r="P174" i="3"/>
  <c r="Q82" i="3"/>
  <c r="P50" i="3"/>
  <c r="P641" i="3"/>
  <c r="P582" i="3"/>
  <c r="P451" i="3"/>
  <c r="P213" i="3"/>
  <c r="P171" i="3"/>
  <c r="P798" i="3"/>
  <c r="Q582" i="3"/>
  <c r="P359" i="3"/>
  <c r="P750" i="3"/>
  <c r="P706" i="3"/>
  <c r="P615" i="3"/>
  <c r="P589" i="3"/>
  <c r="Q486" i="3"/>
  <c r="Q412" i="3"/>
  <c r="P240" i="3"/>
  <c r="P197" i="3"/>
  <c r="P156" i="3"/>
  <c r="P17" i="3"/>
  <c r="P770" i="3"/>
  <c r="P747" i="3"/>
  <c r="P722" i="3"/>
  <c r="P629" i="3"/>
  <c r="P605" i="3"/>
  <c r="P483" i="3"/>
  <c r="P403" i="3"/>
  <c r="P234" i="3"/>
  <c r="P110" i="3"/>
  <c r="P70" i="3"/>
  <c r="P655" i="3"/>
  <c r="P619" i="3"/>
  <c r="P540" i="3"/>
  <c r="L533" i="3"/>
  <c r="M533" i="3" s="1"/>
  <c r="R533" i="3" s="1"/>
  <c r="S533" i="3" s="1"/>
  <c r="P382" i="3"/>
  <c r="P320" i="3"/>
  <c r="P263" i="3"/>
  <c r="P218" i="3"/>
  <c r="P198" i="3"/>
  <c r="P81" i="3"/>
  <c r="S655" i="3"/>
  <c r="T655" i="3"/>
  <c r="S562" i="3"/>
  <c r="T562" i="3"/>
  <c r="J705" i="3"/>
  <c r="K705" i="3" s="1"/>
  <c r="L705" i="3" s="1"/>
  <c r="M705" i="3" s="1"/>
  <c r="Q705" i="3" s="1"/>
  <c r="J671" i="3"/>
  <c r="J427" i="3"/>
  <c r="J792" i="3"/>
  <c r="K792" i="3" s="1"/>
  <c r="L792" i="3" s="1"/>
  <c r="M792" i="3" s="1"/>
  <c r="Q792" i="3" s="1"/>
  <c r="P782" i="3"/>
  <c r="J777" i="3"/>
  <c r="P752" i="3"/>
  <c r="J736" i="3"/>
  <c r="J723" i="3"/>
  <c r="J714" i="3"/>
  <c r="K714" i="3" s="1"/>
  <c r="L714" i="3" s="1"/>
  <c r="M714" i="3" s="1"/>
  <c r="Q714" i="3" s="1"/>
  <c r="J694" i="3"/>
  <c r="P694" i="3" s="1"/>
  <c r="J688" i="3"/>
  <c r="K688" i="3" s="1"/>
  <c r="L688" i="3" s="1"/>
  <c r="M688" i="3" s="1"/>
  <c r="R688" i="3" s="1"/>
  <c r="S688" i="3" s="1"/>
  <c r="J618" i="3"/>
  <c r="K618" i="3" s="1"/>
  <c r="L618" i="3" s="1"/>
  <c r="M618" i="3" s="1"/>
  <c r="Q618" i="3" s="1"/>
  <c r="J603" i="3"/>
  <c r="J599" i="3"/>
  <c r="P599" i="3" s="1"/>
  <c r="J568" i="3"/>
  <c r="K568" i="3" s="1"/>
  <c r="L568" i="3" s="1"/>
  <c r="M568" i="3" s="1"/>
  <c r="R568" i="3" s="1"/>
  <c r="J564" i="3"/>
  <c r="K564" i="3" s="1"/>
  <c r="L564" i="3" s="1"/>
  <c r="M564" i="3" s="1"/>
  <c r="R564" i="3" s="1"/>
  <c r="T564" i="3" s="1"/>
  <c r="J536" i="3"/>
  <c r="J532" i="3"/>
  <c r="K532" i="3" s="1"/>
  <c r="L532" i="3" s="1"/>
  <c r="M532" i="3" s="1"/>
  <c r="Q532" i="3" s="1"/>
  <c r="P498" i="3"/>
  <c r="J471" i="3"/>
  <c r="J420" i="3"/>
  <c r="J344" i="3"/>
  <c r="K344" i="3" s="1"/>
  <c r="L344" i="3" s="1"/>
  <c r="M344" i="3" s="1"/>
  <c r="R344" i="3" s="1"/>
  <c r="T344" i="3" s="1"/>
  <c r="J269" i="3"/>
  <c r="K269" i="3" s="1"/>
  <c r="L269" i="3" s="1"/>
  <c r="M269" i="3" s="1"/>
  <c r="R269" i="3" s="1"/>
  <c r="T269" i="3" s="1"/>
  <c r="J204" i="3"/>
  <c r="J178" i="3"/>
  <c r="U178" i="3" s="1"/>
  <c r="J42" i="3"/>
  <c r="U42" i="3" s="1"/>
  <c r="J760" i="3"/>
  <c r="J746" i="3"/>
  <c r="P746" i="3" s="1"/>
  <c r="J710" i="3"/>
  <c r="P710" i="3" s="1"/>
  <c r="J223" i="3"/>
  <c r="P799" i="3"/>
  <c r="J788" i="3"/>
  <c r="U788" i="3" s="1"/>
  <c r="J783" i="3"/>
  <c r="J778" i="3"/>
  <c r="J737" i="3"/>
  <c r="K737" i="3" s="1"/>
  <c r="L737" i="3" s="1"/>
  <c r="M737" i="3" s="1"/>
  <c r="R737" i="3" s="1"/>
  <c r="T737" i="3" s="1"/>
  <c r="J724" i="3"/>
  <c r="L695" i="3"/>
  <c r="M695" i="3" s="1"/>
  <c r="R695" i="3" s="1"/>
  <c r="S695" i="3" s="1"/>
  <c r="J689" i="3"/>
  <c r="K689" i="3" s="1"/>
  <c r="L689" i="3" s="1"/>
  <c r="M689" i="3" s="1"/>
  <c r="Q689" i="3" s="1"/>
  <c r="J672" i="3"/>
  <c r="J648" i="3"/>
  <c r="P648" i="3" s="1"/>
  <c r="J624" i="3"/>
  <c r="P624" i="3" s="1"/>
  <c r="J614" i="3"/>
  <c r="P614" i="3" s="1"/>
  <c r="J600" i="3"/>
  <c r="K600" i="3" s="1"/>
  <c r="L600" i="3" s="1"/>
  <c r="M600" i="3" s="1"/>
  <c r="R600" i="3" s="1"/>
  <c r="T600" i="3" s="1"/>
  <c r="J591" i="3"/>
  <c r="U591" i="3" s="1"/>
  <c r="J560" i="3"/>
  <c r="U560" i="3" s="1"/>
  <c r="L554" i="3"/>
  <c r="M554" i="3" s="1"/>
  <c r="R554" i="3" s="1"/>
  <c r="T554" i="3" s="1"/>
  <c r="J545" i="3"/>
  <c r="K545" i="3" s="1"/>
  <c r="L545" i="3" s="1"/>
  <c r="M545" i="3" s="1"/>
  <c r="R545" i="3" s="1"/>
  <c r="S545" i="3" s="1"/>
  <c r="J521" i="3"/>
  <c r="J487" i="3"/>
  <c r="K487" i="3" s="1"/>
  <c r="L487" i="3" s="1"/>
  <c r="M487" i="3" s="1"/>
  <c r="R487" i="3" s="1"/>
  <c r="J414" i="3"/>
  <c r="J368" i="3"/>
  <c r="J348" i="3"/>
  <c r="K348" i="3" s="1"/>
  <c r="L348" i="3" s="1"/>
  <c r="M348" i="3" s="1"/>
  <c r="R348" i="3" s="1"/>
  <c r="S348" i="3" s="1"/>
  <c r="J296" i="3"/>
  <c r="K296" i="3" s="1"/>
  <c r="L296" i="3" s="1"/>
  <c r="M296" i="3" s="1"/>
  <c r="R296" i="3" s="1"/>
  <c r="J246" i="3"/>
  <c r="J172" i="3"/>
  <c r="J632" i="3"/>
  <c r="K632" i="3" s="1"/>
  <c r="L632" i="3" s="1"/>
  <c r="M632" i="3" s="1"/>
  <c r="R632" i="3" s="1"/>
  <c r="S632" i="3" s="1"/>
  <c r="J549" i="3"/>
  <c r="U549" i="3" s="1"/>
  <c r="J258" i="3"/>
  <c r="J168" i="3"/>
  <c r="J458" i="3"/>
  <c r="K458" i="3" s="1"/>
  <c r="L458" i="3" s="1"/>
  <c r="M458" i="3" s="1"/>
  <c r="Q458" i="3" s="1"/>
  <c r="K797" i="3"/>
  <c r="L797" i="3" s="1"/>
  <c r="M797" i="3" s="1"/>
  <c r="P800" i="3"/>
  <c r="P794" i="3"/>
  <c r="P774" i="3"/>
  <c r="L761" i="3"/>
  <c r="M761" i="3" s="1"/>
  <c r="R761" i="3" s="1"/>
  <c r="J753" i="3"/>
  <c r="K753" i="3" s="1"/>
  <c r="L753" i="3" s="1"/>
  <c r="M753" i="3" s="1"/>
  <c r="Q753" i="3" s="1"/>
  <c r="P738" i="3"/>
  <c r="J720" i="3"/>
  <c r="K720" i="3" s="1"/>
  <c r="L720" i="3" s="1"/>
  <c r="M720" i="3" s="1"/>
  <c r="R720" i="3" s="1"/>
  <c r="T720" i="3" s="1"/>
  <c r="J711" i="3"/>
  <c r="U711" i="3" s="1"/>
  <c r="P707" i="3"/>
  <c r="J676" i="3"/>
  <c r="K676" i="3" s="1"/>
  <c r="L676" i="3" s="1"/>
  <c r="M676" i="3" s="1"/>
  <c r="P659" i="3"/>
  <c r="J658" i="3"/>
  <c r="J643" i="3"/>
  <c r="K643" i="3" s="1"/>
  <c r="L643" i="3" s="1"/>
  <c r="M643" i="3" s="1"/>
  <c r="R643" i="3" s="1"/>
  <c r="S643" i="3" s="1"/>
  <c r="L638" i="3"/>
  <c r="M638" i="3" s="1"/>
  <c r="R638" i="3" s="1"/>
  <c r="P634" i="3"/>
  <c r="J633" i="3"/>
  <c r="K633" i="3" s="1"/>
  <c r="L633" i="3" s="1"/>
  <c r="M633" i="3" s="1"/>
  <c r="P606" i="3"/>
  <c r="J596" i="3"/>
  <c r="J587" i="3"/>
  <c r="K587" i="3" s="1"/>
  <c r="L587" i="3" s="1"/>
  <c r="M587" i="3" s="1"/>
  <c r="R587" i="3" s="1"/>
  <c r="J578" i="3"/>
  <c r="J574" i="3"/>
  <c r="J555" i="3"/>
  <c r="J513" i="3"/>
  <c r="J499" i="3"/>
  <c r="K499" i="3" s="1"/>
  <c r="L499" i="3" s="1"/>
  <c r="M499" i="3" s="1"/>
  <c r="R499" i="3" s="1"/>
  <c r="J462" i="3"/>
  <c r="K462" i="3" s="1"/>
  <c r="L462" i="3" s="1"/>
  <c r="M462" i="3" s="1"/>
  <c r="R462" i="3" s="1"/>
  <c r="S462" i="3" s="1"/>
  <c r="J431" i="3"/>
  <c r="P415" i="3"/>
  <c r="J335" i="3"/>
  <c r="K335" i="3" s="1"/>
  <c r="L335" i="3" s="1"/>
  <c r="M335" i="3" s="1"/>
  <c r="J322" i="3"/>
  <c r="K322" i="3" s="1"/>
  <c r="L322" i="3" s="1"/>
  <c r="M322" i="3" s="1"/>
  <c r="Q322" i="3" s="1"/>
  <c r="J274" i="3"/>
  <c r="L126" i="3"/>
  <c r="M126" i="3" s="1"/>
  <c r="R126" i="3" s="1"/>
  <c r="J609" i="3"/>
  <c r="J581" i="3"/>
  <c r="K581" i="3" s="1"/>
  <c r="L581" i="3" s="1"/>
  <c r="M581" i="3" s="1"/>
  <c r="Q581" i="3" s="1"/>
  <c r="J696" i="3"/>
  <c r="J559" i="3"/>
  <c r="K559" i="3" s="1"/>
  <c r="L559" i="3" s="1"/>
  <c r="M559" i="3" s="1"/>
  <c r="Q559" i="3" s="1"/>
  <c r="J149" i="3"/>
  <c r="K149" i="3" s="1"/>
  <c r="L149" i="3" s="1"/>
  <c r="M149" i="3" s="1"/>
  <c r="R149" i="3" s="1"/>
  <c r="T149" i="3" s="1"/>
  <c r="J789" i="3"/>
  <c r="J779" i="3"/>
  <c r="P763" i="3"/>
  <c r="J748" i="3"/>
  <c r="P748" i="3" s="1"/>
  <c r="J743" i="3"/>
  <c r="K743" i="3" s="1"/>
  <c r="L743" i="3" s="1"/>
  <c r="M743" i="3" s="1"/>
  <c r="R743" i="3" s="1"/>
  <c r="S743" i="3" s="1"/>
  <c r="J729" i="3"/>
  <c r="K729" i="3" s="1"/>
  <c r="L729" i="3" s="1"/>
  <c r="M729" i="3" s="1"/>
  <c r="R729" i="3" s="1"/>
  <c r="J725" i="3"/>
  <c r="P725" i="3" s="1"/>
  <c r="J716" i="3"/>
  <c r="J702" i="3"/>
  <c r="J690" i="3"/>
  <c r="K690" i="3" s="1"/>
  <c r="L690" i="3" s="1"/>
  <c r="M690" i="3" s="1"/>
  <c r="Q690" i="3" s="1"/>
  <c r="J685" i="3"/>
  <c r="K685" i="3" s="1"/>
  <c r="J681" i="3"/>
  <c r="P677" i="3"/>
  <c r="J653" i="3"/>
  <c r="P644" i="3"/>
  <c r="J639" i="3"/>
  <c r="P616" i="3"/>
  <c r="J583" i="3"/>
  <c r="K583" i="3" s="1"/>
  <c r="L583" i="3" s="1"/>
  <c r="M583" i="3" s="1"/>
  <c r="Q583" i="3" s="1"/>
  <c r="J570" i="3"/>
  <c r="P546" i="3"/>
  <c r="J526" i="3"/>
  <c r="K526" i="3" s="1"/>
  <c r="L526" i="3" s="1"/>
  <c r="M526" i="3" s="1"/>
  <c r="R526" i="3" s="1"/>
  <c r="T526" i="3" s="1"/>
  <c r="Q522" i="3"/>
  <c r="J503" i="3"/>
  <c r="K503" i="3" s="1"/>
  <c r="L503" i="3" s="1"/>
  <c r="M503" i="3" s="1"/>
  <c r="R503" i="3" s="1"/>
  <c r="S503" i="3" s="1"/>
  <c r="J476" i="3"/>
  <c r="P463" i="3"/>
  <c r="J339" i="3"/>
  <c r="K339" i="3" s="1"/>
  <c r="L339" i="3" s="1"/>
  <c r="M339" i="3" s="1"/>
  <c r="R339" i="3" s="1"/>
  <c r="T336" i="3"/>
  <c r="J53" i="3"/>
  <c r="U53" i="3" s="1"/>
  <c r="J767" i="3"/>
  <c r="P767" i="3" s="1"/>
  <c r="J675" i="3"/>
  <c r="J715" i="3"/>
  <c r="J784" i="3"/>
  <c r="K784" i="3" s="1"/>
  <c r="L784" i="3" s="1"/>
  <c r="M784" i="3" s="1"/>
  <c r="R784" i="3" s="1"/>
  <c r="S784" i="3" s="1"/>
  <c r="P764" i="3"/>
  <c r="P749" i="3"/>
  <c r="P739" i="3"/>
  <c r="J668" i="3"/>
  <c r="K668" i="3" s="1"/>
  <c r="L668" i="3" s="1"/>
  <c r="M668" i="3" s="1"/>
  <c r="R668" i="3" s="1"/>
  <c r="S668" i="3" s="1"/>
  <c r="J611" i="3"/>
  <c r="P607" i="3"/>
  <c r="J592" i="3"/>
  <c r="J561" i="3"/>
  <c r="K561" i="3" s="1"/>
  <c r="L561" i="3" s="1"/>
  <c r="M561" i="3" s="1"/>
  <c r="R561" i="3" s="1"/>
  <c r="P552" i="3"/>
  <c r="J551" i="3"/>
  <c r="Q546" i="3"/>
  <c r="J538" i="3"/>
  <c r="K538" i="3" s="1"/>
  <c r="L538" i="3" s="1"/>
  <c r="M538" i="3" s="1"/>
  <c r="R538" i="3" s="1"/>
  <c r="T538" i="3" s="1"/>
  <c r="J534" i="3"/>
  <c r="J530" i="3"/>
  <c r="K530" i="3" s="1"/>
  <c r="L530" i="3" s="1"/>
  <c r="M530" i="3" s="1"/>
  <c r="R530" i="3" s="1"/>
  <c r="S530" i="3" s="1"/>
  <c r="J510" i="3"/>
  <c r="K510" i="3" s="1"/>
  <c r="L510" i="3" s="1"/>
  <c r="M510" i="3" s="1"/>
  <c r="R510" i="3" s="1"/>
  <c r="S510" i="3" s="1"/>
  <c r="J401" i="3"/>
  <c r="U401" i="3" s="1"/>
  <c r="J300" i="3"/>
  <c r="K300" i="3" s="1"/>
  <c r="L300" i="3" s="1"/>
  <c r="M300" i="3" s="1"/>
  <c r="R300" i="3" s="1"/>
  <c r="S300" i="3" s="1"/>
  <c r="J250" i="3"/>
  <c r="J141" i="3"/>
  <c r="K141" i="3" s="1"/>
  <c r="L141" i="3" s="1"/>
  <c r="M141" i="3" s="1"/>
  <c r="Q141" i="3" s="1"/>
  <c r="J93" i="3"/>
  <c r="J80" i="3"/>
  <c r="K80" i="3" s="1"/>
  <c r="L80" i="3" s="1"/>
  <c r="M80" i="3" s="1"/>
  <c r="R80" i="3" s="1"/>
  <c r="T80" i="3" s="1"/>
  <c r="J666" i="3"/>
  <c r="U666" i="3" s="1"/>
  <c r="J377" i="3"/>
  <c r="J732" i="3"/>
  <c r="K732" i="3" s="1"/>
  <c r="L732" i="3" s="1"/>
  <c r="M732" i="3" s="1"/>
  <c r="Q732" i="3" s="1"/>
  <c r="J628" i="3"/>
  <c r="L800" i="3"/>
  <c r="M800" i="3" s="1"/>
  <c r="Q800" i="3" s="1"/>
  <c r="J758" i="3"/>
  <c r="K758" i="3" s="1"/>
  <c r="L758" i="3" s="1"/>
  <c r="M758" i="3" s="1"/>
  <c r="Q758" i="3" s="1"/>
  <c r="J754" i="3"/>
  <c r="J712" i="3"/>
  <c r="J703" i="3"/>
  <c r="J698" i="3"/>
  <c r="J691" i="3"/>
  <c r="J686" i="3"/>
  <c r="P686" i="3" s="1"/>
  <c r="J664" i="3"/>
  <c r="J654" i="3"/>
  <c r="J635" i="3"/>
  <c r="U635" i="3" s="1"/>
  <c r="J630" i="3"/>
  <c r="K630" i="3" s="1"/>
  <c r="L630" i="3" s="1"/>
  <c r="M630" i="3" s="1"/>
  <c r="Q630" i="3" s="1"/>
  <c r="J621" i="3"/>
  <c r="K621" i="3" s="1"/>
  <c r="L621" i="3" s="1"/>
  <c r="M621" i="3" s="1"/>
  <c r="R621" i="3" s="1"/>
  <c r="J597" i="3"/>
  <c r="P597" i="3" s="1"/>
  <c r="J588" i="3"/>
  <c r="U588" i="3" s="1"/>
  <c r="J579" i="3"/>
  <c r="K579" i="3" s="1"/>
  <c r="L579" i="3" s="1"/>
  <c r="M579" i="3" s="1"/>
  <c r="R579" i="3" s="1"/>
  <c r="T579" i="3" s="1"/>
  <c r="J575" i="3"/>
  <c r="J556" i="3"/>
  <c r="K556" i="3" s="1"/>
  <c r="L556" i="3" s="1"/>
  <c r="M556" i="3" s="1"/>
  <c r="R556" i="3" s="1"/>
  <c r="J518" i="3"/>
  <c r="J507" i="3"/>
  <c r="J500" i="3"/>
  <c r="K500" i="3" s="1"/>
  <c r="L500" i="3" s="1"/>
  <c r="M500" i="3" s="1"/>
  <c r="R500" i="3" s="1"/>
  <c r="T500" i="3" s="1"/>
  <c r="J449" i="3"/>
  <c r="J436" i="3"/>
  <c r="K436" i="3" s="1"/>
  <c r="L436" i="3" s="1"/>
  <c r="M436" i="3" s="1"/>
  <c r="R436" i="3" s="1"/>
  <c r="S436" i="3" s="1"/>
  <c r="J432" i="3"/>
  <c r="U432" i="3" s="1"/>
  <c r="J369" i="3"/>
  <c r="J288" i="3"/>
  <c r="J264" i="3"/>
  <c r="U264" i="3" s="1"/>
  <c r="J8" i="3"/>
  <c r="J623" i="3"/>
  <c r="K623" i="3" s="1"/>
  <c r="L623" i="3" s="1"/>
  <c r="M623" i="3" s="1"/>
  <c r="Q623" i="3" s="1"/>
  <c r="J701" i="3"/>
  <c r="J662" i="3"/>
  <c r="U662" i="3" s="1"/>
  <c r="J569" i="3"/>
  <c r="K569" i="3" s="1"/>
  <c r="L569" i="3" s="1"/>
  <c r="M569" i="3" s="1"/>
  <c r="R569" i="3" s="1"/>
  <c r="L794" i="3"/>
  <c r="M794" i="3" s="1"/>
  <c r="Q794" i="3" s="1"/>
  <c r="J775" i="3"/>
  <c r="J734" i="3"/>
  <c r="U734" i="3" s="1"/>
  <c r="J730" i="3"/>
  <c r="J726" i="3"/>
  <c r="U726" i="3" s="1"/>
  <c r="J717" i="3"/>
  <c r="J708" i="3"/>
  <c r="K708" i="3" s="1"/>
  <c r="L708" i="3" s="1"/>
  <c r="M708" i="3" s="1"/>
  <c r="R708" i="3" s="1"/>
  <c r="S708" i="3" s="1"/>
  <c r="J682" i="3"/>
  <c r="J678" i="3"/>
  <c r="K678" i="3" s="1"/>
  <c r="L678" i="3" s="1"/>
  <c r="M678" i="3" s="1"/>
  <c r="R678" i="3" s="1"/>
  <c r="J660" i="3"/>
  <c r="J640" i="3"/>
  <c r="J584" i="3"/>
  <c r="J571" i="3"/>
  <c r="K571" i="3" s="1"/>
  <c r="L571" i="3" s="1"/>
  <c r="M571" i="3" s="1"/>
  <c r="R571" i="3" s="1"/>
  <c r="S571" i="3" s="1"/>
  <c r="Q562" i="3"/>
  <c r="J527" i="3"/>
  <c r="U527" i="3" s="1"/>
  <c r="J523" i="3"/>
  <c r="K523" i="3" s="1"/>
  <c r="L523" i="3" s="1"/>
  <c r="M523" i="3" s="1"/>
  <c r="R523" i="3" s="1"/>
  <c r="J504" i="3"/>
  <c r="J453" i="3"/>
  <c r="J419" i="3"/>
  <c r="J405" i="3"/>
  <c r="J200" i="3"/>
  <c r="J186" i="3"/>
  <c r="J122" i="3"/>
  <c r="U122" i="3" s="1"/>
  <c r="K5" i="3"/>
  <c r="L5" i="3" s="1"/>
  <c r="M5" i="3" s="1"/>
  <c r="R5" i="3" s="1"/>
  <c r="T5" i="3" s="1"/>
  <c r="P5" i="3"/>
  <c r="J772" i="3"/>
  <c r="P772" i="3" s="1"/>
  <c r="J657" i="3"/>
  <c r="J573" i="3"/>
  <c r="J283" i="3"/>
  <c r="J680" i="3"/>
  <c r="J525" i="3"/>
  <c r="J502" i="3"/>
  <c r="J491" i="3"/>
  <c r="J410" i="3"/>
  <c r="K410" i="3" s="1"/>
  <c r="L410" i="3" s="1"/>
  <c r="M410" i="3" s="1"/>
  <c r="Q410" i="3" s="1"/>
  <c r="J136" i="3"/>
  <c r="K136" i="3" s="1"/>
  <c r="L136" i="3" s="1"/>
  <c r="M136" i="3" s="1"/>
  <c r="J801" i="3"/>
  <c r="J795" i="3"/>
  <c r="K795" i="3" s="1"/>
  <c r="L795" i="3" s="1"/>
  <c r="M795" i="3" s="1"/>
  <c r="Q795" i="3" s="1"/>
  <c r="J765" i="3"/>
  <c r="P765" i="3" s="1"/>
  <c r="J744" i="3"/>
  <c r="K744" i="3" s="1"/>
  <c r="L744" i="3" s="1"/>
  <c r="M744" i="3" s="1"/>
  <c r="R744" i="3" s="1"/>
  <c r="T744" i="3" s="1"/>
  <c r="J3" i="3"/>
  <c r="J791" i="3"/>
  <c r="L764" i="3"/>
  <c r="M764" i="3" s="1"/>
  <c r="J713" i="3"/>
  <c r="Q687" i="3"/>
  <c r="J669" i="3"/>
  <c r="K669" i="3" s="1"/>
  <c r="L669" i="3" s="1"/>
  <c r="M669" i="3" s="1"/>
  <c r="Q669" i="3" s="1"/>
  <c r="Q655" i="3"/>
  <c r="J645" i="3"/>
  <c r="J636" i="3"/>
  <c r="J617" i="3"/>
  <c r="J612" i="3"/>
  <c r="J602" i="3"/>
  <c r="J593" i="3"/>
  <c r="K593" i="3" s="1"/>
  <c r="L593" i="3" s="1"/>
  <c r="M593" i="3" s="1"/>
  <c r="R593" i="3" s="1"/>
  <c r="S593" i="3" s="1"/>
  <c r="J576" i="3"/>
  <c r="U576" i="3" s="1"/>
  <c r="J563" i="3"/>
  <c r="J557" i="3"/>
  <c r="U557" i="3" s="1"/>
  <c r="J547" i="3"/>
  <c r="J543" i="3"/>
  <c r="U543" i="3" s="1"/>
  <c r="J535" i="3"/>
  <c r="J531" i="3"/>
  <c r="K531" i="3" s="1"/>
  <c r="L531" i="3" s="1"/>
  <c r="M531" i="3" s="1"/>
  <c r="R531" i="3" s="1"/>
  <c r="J511" i="3"/>
  <c r="J467" i="3"/>
  <c r="J389" i="3"/>
  <c r="K389" i="3" s="1"/>
  <c r="L389" i="3" s="1"/>
  <c r="M389" i="3" s="1"/>
  <c r="R389" i="3" s="1"/>
  <c r="T389" i="3" s="1"/>
  <c r="J376" i="3"/>
  <c r="K376" i="3" s="1"/>
  <c r="L376" i="3" s="1"/>
  <c r="M376" i="3" s="1"/>
  <c r="R376" i="3" s="1"/>
  <c r="S376" i="3" s="1"/>
  <c r="S235" i="3"/>
  <c r="T235" i="3"/>
  <c r="J228" i="3"/>
  <c r="K228" i="3" s="1"/>
  <c r="L228" i="3" s="1"/>
  <c r="M228" i="3" s="1"/>
  <c r="Q228" i="3" s="1"/>
  <c r="J154" i="3"/>
  <c r="U154" i="3" s="1"/>
  <c r="J787" i="3"/>
  <c r="K787" i="3" s="1"/>
  <c r="L787" i="3" s="1"/>
  <c r="M787" i="3" s="1"/>
  <c r="J719" i="3"/>
  <c r="J642" i="3"/>
  <c r="K642" i="3" s="1"/>
  <c r="L642" i="3" s="1"/>
  <c r="M642" i="3" s="1"/>
  <c r="Q642" i="3" s="1"/>
  <c r="J613" i="3"/>
  <c r="K613" i="3" s="1"/>
  <c r="J742" i="3"/>
  <c r="K742" i="3" s="1"/>
  <c r="L742" i="3" s="1"/>
  <c r="M742" i="3" s="1"/>
  <c r="R742" i="3" s="1"/>
  <c r="S742" i="3" s="1"/>
  <c r="J586" i="3"/>
  <c r="J441" i="3"/>
  <c r="J786" i="3"/>
  <c r="K786" i="3" s="1"/>
  <c r="L786" i="3" s="1"/>
  <c r="M786" i="3" s="1"/>
  <c r="R786" i="3" s="1"/>
  <c r="S786" i="3" s="1"/>
  <c r="J759" i="3"/>
  <c r="K759" i="3" s="1"/>
  <c r="L759" i="3" s="1"/>
  <c r="M759" i="3" s="1"/>
  <c r="Q759" i="3" s="1"/>
  <c r="J755" i="3"/>
  <c r="P751" i="3"/>
  <c r="J735" i="3"/>
  <c r="U735" i="3" s="1"/>
  <c r="J718" i="3"/>
  <c r="U718" i="3" s="1"/>
  <c r="J704" i="3"/>
  <c r="K704" i="3" s="1"/>
  <c r="L704" i="3" s="1"/>
  <c r="M704" i="3" s="1"/>
  <c r="R704" i="3" s="1"/>
  <c r="S704" i="3" s="1"/>
  <c r="J699" i="3"/>
  <c r="J683" i="3"/>
  <c r="P683" i="3" s="1"/>
  <c r="J674" i="3"/>
  <c r="K674" i="3" s="1"/>
  <c r="L674" i="3" s="1"/>
  <c r="M674" i="3" s="1"/>
  <c r="Q674" i="3" s="1"/>
  <c r="Q670" i="3"/>
  <c r="J665" i="3"/>
  <c r="U665" i="3" s="1"/>
  <c r="J650" i="3"/>
  <c r="J631" i="3"/>
  <c r="K631" i="3" s="1"/>
  <c r="L631" i="3" s="1"/>
  <c r="M631" i="3" s="1"/>
  <c r="R631" i="3" s="1"/>
  <c r="S631" i="3" s="1"/>
  <c r="L626" i="3"/>
  <c r="M626" i="3" s="1"/>
  <c r="Q626" i="3" s="1"/>
  <c r="J622" i="3"/>
  <c r="K622" i="3" s="1"/>
  <c r="L622" i="3" s="1"/>
  <c r="M622" i="3" s="1"/>
  <c r="R622" i="3" s="1"/>
  <c r="S622" i="3" s="1"/>
  <c r="J608" i="3"/>
  <c r="K608" i="3" s="1"/>
  <c r="L608" i="3" s="1"/>
  <c r="M608" i="3" s="1"/>
  <c r="R608" i="3" s="1"/>
  <c r="T608" i="3" s="1"/>
  <c r="J598" i="3"/>
  <c r="J580" i="3"/>
  <c r="J572" i="3"/>
  <c r="J567" i="3"/>
  <c r="K567" i="3" s="1"/>
  <c r="L567" i="3" s="1"/>
  <c r="M567" i="3" s="1"/>
  <c r="R567" i="3" s="1"/>
  <c r="T567" i="3" s="1"/>
  <c r="J528" i="3"/>
  <c r="J485" i="3"/>
  <c r="J440" i="3"/>
  <c r="J406" i="3"/>
  <c r="J317" i="3"/>
  <c r="J304" i="3"/>
  <c r="K304" i="3" s="1"/>
  <c r="L304" i="3" s="1"/>
  <c r="M304" i="3" s="1"/>
  <c r="R304" i="3" s="1"/>
  <c r="S304" i="3" s="1"/>
  <c r="J164" i="3"/>
  <c r="U164" i="3" s="1"/>
  <c r="J145" i="3"/>
  <c r="K145" i="3" s="1"/>
  <c r="L145" i="3" s="1"/>
  <c r="M145" i="3" s="1"/>
  <c r="R145" i="3" s="1"/>
  <c r="J128" i="3"/>
  <c r="K128" i="3" s="1"/>
  <c r="L128" i="3" s="1"/>
  <c r="M128" i="3" s="1"/>
  <c r="R128" i="3" s="1"/>
  <c r="S128" i="3" s="1"/>
  <c r="J684" i="3"/>
  <c r="K684" i="3" s="1"/>
  <c r="L684" i="3" s="1"/>
  <c r="M684" i="3" s="1"/>
  <c r="Q684" i="3" s="1"/>
  <c r="J647" i="3"/>
  <c r="J595" i="3"/>
  <c r="P595" i="3" s="1"/>
  <c r="J728" i="3"/>
  <c r="J191" i="3"/>
  <c r="P191" i="3" s="1"/>
  <c r="J790" i="3"/>
  <c r="J785" i="3"/>
  <c r="J802" i="3"/>
  <c r="K802" i="3" s="1"/>
  <c r="L802" i="3" s="1"/>
  <c r="M802" i="3" s="1"/>
  <c r="R802" i="3" s="1"/>
  <c r="J803" i="3"/>
  <c r="K803" i="3" s="1"/>
  <c r="L803" i="3" s="1"/>
  <c r="M803" i="3" s="1"/>
  <c r="R803" i="3" s="1"/>
  <c r="S803" i="3" s="1"/>
  <c r="P797" i="3"/>
  <c r="J796" i="3"/>
  <c r="K796" i="3" s="1"/>
  <c r="L796" i="3" s="1"/>
  <c r="M796" i="3" s="1"/>
  <c r="J771" i="3"/>
  <c r="J766" i="3"/>
  <c r="P756" i="3"/>
  <c r="J741" i="3"/>
  <c r="K741" i="3" s="1"/>
  <c r="L741" i="3" s="1"/>
  <c r="M741" i="3" s="1"/>
  <c r="R741" i="3" s="1"/>
  <c r="J731" i="3"/>
  <c r="K731" i="3" s="1"/>
  <c r="L731" i="3" s="1"/>
  <c r="M731" i="3" s="1"/>
  <c r="R731" i="3" s="1"/>
  <c r="S731" i="3" s="1"/>
  <c r="J727" i="3"/>
  <c r="J700" i="3"/>
  <c r="P695" i="3"/>
  <c r="J693" i="3"/>
  <c r="J679" i="3"/>
  <c r="K679" i="3" s="1"/>
  <c r="L679" i="3" s="1"/>
  <c r="M679" i="3" s="1"/>
  <c r="R679" i="3" s="1"/>
  <c r="S679" i="3" s="1"/>
  <c r="P651" i="3"/>
  <c r="J646" i="3"/>
  <c r="U646" i="3" s="1"/>
  <c r="J627" i="3"/>
  <c r="J594" i="3"/>
  <c r="J585" i="3"/>
  <c r="J558" i="3"/>
  <c r="J548" i="3"/>
  <c r="U548" i="3" s="1"/>
  <c r="J497" i="3"/>
  <c r="K497" i="3" s="1"/>
  <c r="L497" i="3" s="1"/>
  <c r="M497" i="3" s="1"/>
  <c r="R497" i="3" s="1"/>
  <c r="S497" i="3" s="1"/>
  <c r="J490" i="3"/>
  <c r="J454" i="3"/>
  <c r="J423" i="3"/>
  <c r="K423" i="3" s="1"/>
  <c r="L423" i="3" s="1"/>
  <c r="M423" i="3" s="1"/>
  <c r="R423" i="3" s="1"/>
  <c r="S423" i="3" s="1"/>
  <c r="J360" i="3"/>
  <c r="J292" i="3"/>
  <c r="J100" i="3"/>
  <c r="P100" i="3" s="1"/>
  <c r="T74" i="3"/>
  <c r="S74" i="3"/>
  <c r="J550" i="3"/>
  <c r="J520" i="3"/>
  <c r="Q498" i="3"/>
  <c r="J489" i="3"/>
  <c r="J484" i="3"/>
  <c r="J475" i="3"/>
  <c r="K475" i="3" s="1"/>
  <c r="L475" i="3" s="1"/>
  <c r="M475" i="3" s="1"/>
  <c r="R475" i="3" s="1"/>
  <c r="T475" i="3" s="1"/>
  <c r="J448" i="3"/>
  <c r="K448" i="3" s="1"/>
  <c r="L448" i="3" s="1"/>
  <c r="M448" i="3" s="1"/>
  <c r="R448" i="3" s="1"/>
  <c r="S448" i="3" s="1"/>
  <c r="J435" i="3"/>
  <c r="J426" i="3"/>
  <c r="K426" i="3" s="1"/>
  <c r="L426" i="3" s="1"/>
  <c r="M426" i="3" s="1"/>
  <c r="R426" i="3" s="1"/>
  <c r="S426" i="3" s="1"/>
  <c r="J393" i="3"/>
  <c r="J380" i="3"/>
  <c r="K380" i="3" s="1"/>
  <c r="L380" i="3" s="1"/>
  <c r="M380" i="3" s="1"/>
  <c r="J363" i="3"/>
  <c r="J355" i="3"/>
  <c r="K355" i="3" s="1"/>
  <c r="L355" i="3" s="1"/>
  <c r="M355" i="3" s="1"/>
  <c r="Q355" i="3" s="1"/>
  <c r="J351" i="3"/>
  <c r="K351" i="3" s="1"/>
  <c r="L351" i="3" s="1"/>
  <c r="M351" i="3" s="1"/>
  <c r="R351" i="3" s="1"/>
  <c r="S351" i="3" s="1"/>
  <c r="J334" i="3"/>
  <c r="K334" i="3" s="1"/>
  <c r="L334" i="3" s="1"/>
  <c r="M334" i="3" s="1"/>
  <c r="R334" i="3" s="1"/>
  <c r="J330" i="3"/>
  <c r="U330" i="3" s="1"/>
  <c r="J308" i="3"/>
  <c r="K308" i="3" s="1"/>
  <c r="L308" i="3" s="1"/>
  <c r="M308" i="3" s="1"/>
  <c r="R308" i="3" s="1"/>
  <c r="S308" i="3" s="1"/>
  <c r="J236" i="3"/>
  <c r="J231" i="3"/>
  <c r="U231" i="3" s="1"/>
  <c r="J227" i="3"/>
  <c r="J212" i="3"/>
  <c r="K212" i="3" s="1"/>
  <c r="L212" i="3" s="1"/>
  <c r="M212" i="3" s="1"/>
  <c r="R212" i="3" s="1"/>
  <c r="S212" i="3" s="1"/>
  <c r="J207" i="3"/>
  <c r="J199" i="3"/>
  <c r="J177" i="3"/>
  <c r="J163" i="3"/>
  <c r="J132" i="3"/>
  <c r="K132" i="3" s="1"/>
  <c r="L132" i="3" s="1"/>
  <c r="M132" i="3" s="1"/>
  <c r="R132" i="3" s="1"/>
  <c r="T132" i="3" s="1"/>
  <c r="J113" i="3"/>
  <c r="J108" i="3"/>
  <c r="U108" i="3" s="1"/>
  <c r="J68" i="3"/>
  <c r="J45" i="3"/>
  <c r="K45" i="3" s="1"/>
  <c r="L45" i="3" s="1"/>
  <c r="M45" i="3" s="1"/>
  <c r="Q45" i="3" s="1"/>
  <c r="K17" i="3"/>
  <c r="L17" i="3" s="1"/>
  <c r="M17" i="3" s="1"/>
  <c r="J394" i="3"/>
  <c r="J390" i="3"/>
  <c r="P390" i="3" s="1"/>
  <c r="J381" i="3"/>
  <c r="K381" i="3" s="1"/>
  <c r="L381" i="3" s="1"/>
  <c r="M381" i="3" s="1"/>
  <c r="R381" i="3" s="1"/>
  <c r="T381" i="3" s="1"/>
  <c r="J364" i="3"/>
  <c r="J356" i="3"/>
  <c r="J352" i="3"/>
  <c r="J340" i="3"/>
  <c r="J331" i="3"/>
  <c r="K331" i="3" s="1"/>
  <c r="L331" i="3" s="1"/>
  <c r="M331" i="3" s="1"/>
  <c r="R331" i="3" s="1"/>
  <c r="J309" i="3"/>
  <c r="K309" i="3" s="1"/>
  <c r="L309" i="3" s="1"/>
  <c r="M309" i="3" s="1"/>
  <c r="R309" i="3" s="1"/>
  <c r="S309" i="3" s="1"/>
  <c r="J270" i="3"/>
  <c r="J237" i="3"/>
  <c r="J232" i="3"/>
  <c r="K232" i="3" s="1"/>
  <c r="L232" i="3" s="1"/>
  <c r="M232" i="3" s="1"/>
  <c r="Q232" i="3" s="1"/>
  <c r="J208" i="3"/>
  <c r="U208" i="3" s="1"/>
  <c r="J155" i="3"/>
  <c r="J142" i="3"/>
  <c r="J114" i="3"/>
  <c r="J109" i="3"/>
  <c r="J101" i="3"/>
  <c r="P101" i="3" s="1"/>
  <c r="J96" i="3"/>
  <c r="U96" i="3" s="1"/>
  <c r="J89" i="3"/>
  <c r="J84" i="3"/>
  <c r="J69" i="3"/>
  <c r="J64" i="3"/>
  <c r="J57" i="3"/>
  <c r="R18" i="3"/>
  <c r="S18" i="3" s="1"/>
  <c r="Q18" i="3"/>
  <c r="J345" i="3"/>
  <c r="K345" i="3" s="1"/>
  <c r="L345" i="3" s="1"/>
  <c r="M345" i="3" s="1"/>
  <c r="R345" i="3" s="1"/>
  <c r="S345" i="3" s="1"/>
  <c r="J318" i="3"/>
  <c r="J279" i="3"/>
  <c r="U279" i="3" s="1"/>
  <c r="J251" i="3"/>
  <c r="J247" i="3"/>
  <c r="J224" i="3"/>
  <c r="J214" i="3"/>
  <c r="J192" i="3"/>
  <c r="K192" i="3" s="1"/>
  <c r="L192" i="3" s="1"/>
  <c r="M192" i="3" s="1"/>
  <c r="R192" i="3" s="1"/>
  <c r="J187" i="3"/>
  <c r="J179" i="3"/>
  <c r="J150" i="3"/>
  <c r="J85" i="3"/>
  <c r="K85" i="3" s="1"/>
  <c r="L85" i="3" s="1"/>
  <c r="M85" i="3" s="1"/>
  <c r="R85" i="3" s="1"/>
  <c r="T85" i="3" s="1"/>
  <c r="J65" i="3"/>
  <c r="U65" i="3" s="1"/>
  <c r="K46" i="3"/>
  <c r="L46" i="3" s="1"/>
  <c r="M46" i="3" s="1"/>
  <c r="J537" i="3"/>
  <c r="J512" i="3"/>
  <c r="U512" i="3" s="1"/>
  <c r="J508" i="3"/>
  <c r="K508" i="3" s="1"/>
  <c r="L508" i="3" s="1"/>
  <c r="M508" i="3" s="1"/>
  <c r="Q508" i="3" s="1"/>
  <c r="J495" i="3"/>
  <c r="U495" i="3" s="1"/>
  <c r="J477" i="3"/>
  <c r="U477" i="3" s="1"/>
  <c r="J472" i="3"/>
  <c r="J468" i="3"/>
  <c r="J464" i="3"/>
  <c r="J416" i="3"/>
  <c r="K416" i="3" s="1"/>
  <c r="L416" i="3" s="1"/>
  <c r="M416" i="3" s="1"/>
  <c r="Q416" i="3" s="1"/>
  <c r="J407" i="3"/>
  <c r="J402" i="3"/>
  <c r="J323" i="3"/>
  <c r="K323" i="3" s="1"/>
  <c r="L323" i="3" s="1"/>
  <c r="M323" i="3" s="1"/>
  <c r="R323" i="3" s="1"/>
  <c r="P319" i="3"/>
  <c r="J310" i="3"/>
  <c r="U310" i="3" s="1"/>
  <c r="J305" i="3"/>
  <c r="J297" i="3"/>
  <c r="K297" i="3" s="1"/>
  <c r="L297" i="3" s="1"/>
  <c r="M297" i="3" s="1"/>
  <c r="R297" i="3" s="1"/>
  <c r="S297" i="3" s="1"/>
  <c r="J293" i="3"/>
  <c r="J255" i="3"/>
  <c r="J243" i="3"/>
  <c r="P239" i="3"/>
  <c r="J238" i="3"/>
  <c r="J201" i="3"/>
  <c r="J196" i="3"/>
  <c r="K196" i="3" s="1"/>
  <c r="L196" i="3" s="1"/>
  <c r="M196" i="3" s="1"/>
  <c r="Q196" i="3" s="1"/>
  <c r="J183" i="3"/>
  <c r="K183" i="3" s="1"/>
  <c r="L183" i="3" s="1"/>
  <c r="M183" i="3" s="1"/>
  <c r="R183" i="3" s="1"/>
  <c r="T183" i="3" s="1"/>
  <c r="P180" i="3"/>
  <c r="L173" i="3"/>
  <c r="M173" i="3" s="1"/>
  <c r="R173" i="3" s="1"/>
  <c r="S173" i="3" s="1"/>
  <c r="J165" i="3"/>
  <c r="J123" i="3"/>
  <c r="J119" i="3"/>
  <c r="P116" i="3"/>
  <c r="J77" i="3"/>
  <c r="P74" i="3"/>
  <c r="K12" i="3"/>
  <c r="L12" i="3" s="1"/>
  <c r="M12" i="3" s="1"/>
  <c r="Q12" i="3" s="1"/>
  <c r="J478" i="3"/>
  <c r="P478" i="3" s="1"/>
  <c r="J459" i="3"/>
  <c r="K459" i="3" s="1"/>
  <c r="L459" i="3" s="1"/>
  <c r="M459" i="3" s="1"/>
  <c r="R459" i="3" s="1"/>
  <c r="S459" i="3" s="1"/>
  <c r="J455" i="3"/>
  <c r="J450" i="3"/>
  <c r="J442" i="3"/>
  <c r="J437" i="3"/>
  <c r="K437" i="3" s="1"/>
  <c r="L437" i="3" s="1"/>
  <c r="M437" i="3" s="1"/>
  <c r="R437" i="3" s="1"/>
  <c r="T437" i="3" s="1"/>
  <c r="J428" i="3"/>
  <c r="J424" i="3"/>
  <c r="J411" i="3"/>
  <c r="K411" i="3" s="1"/>
  <c r="L411" i="3" s="1"/>
  <c r="M411" i="3" s="1"/>
  <c r="R411" i="3" s="1"/>
  <c r="S411" i="3" s="1"/>
  <c r="J395" i="3"/>
  <c r="K395" i="3" s="1"/>
  <c r="L395" i="3" s="1"/>
  <c r="M395" i="3" s="1"/>
  <c r="Q395" i="3" s="1"/>
  <c r="J391" i="3"/>
  <c r="J378" i="3"/>
  <c r="J365" i="3"/>
  <c r="K365" i="3" s="1"/>
  <c r="L365" i="3" s="1"/>
  <c r="M365" i="3" s="1"/>
  <c r="R365" i="3" s="1"/>
  <c r="S365" i="3" s="1"/>
  <c r="J357" i="3"/>
  <c r="K357" i="3" s="1"/>
  <c r="L357" i="3" s="1"/>
  <c r="M357" i="3" s="1"/>
  <c r="R357" i="3" s="1"/>
  <c r="S357" i="3" s="1"/>
  <c r="J353" i="3"/>
  <c r="K353" i="3" s="1"/>
  <c r="L353" i="3" s="1"/>
  <c r="M353" i="3" s="1"/>
  <c r="Q353" i="3" s="1"/>
  <c r="J341" i="3"/>
  <c r="J332" i="3"/>
  <c r="K332" i="3" s="1"/>
  <c r="L332" i="3" s="1"/>
  <c r="M332" i="3" s="1"/>
  <c r="R332" i="3" s="1"/>
  <c r="T332" i="3" s="1"/>
  <c r="J327" i="3"/>
  <c r="K327" i="3" s="1"/>
  <c r="L327" i="3" s="1"/>
  <c r="M327" i="3" s="1"/>
  <c r="R327" i="3" s="1"/>
  <c r="S327" i="3" s="1"/>
  <c r="J314" i="3"/>
  <c r="K314" i="3" s="1"/>
  <c r="L314" i="3" s="1"/>
  <c r="M314" i="3" s="1"/>
  <c r="Q314" i="3" s="1"/>
  <c r="J285" i="3"/>
  <c r="J280" i="3"/>
  <c r="J276" i="3"/>
  <c r="J233" i="3"/>
  <c r="J188" i="3"/>
  <c r="J160" i="3"/>
  <c r="J151" i="3"/>
  <c r="P151" i="3" s="1"/>
  <c r="J143" i="3"/>
  <c r="K143" i="3" s="1"/>
  <c r="L143" i="3" s="1"/>
  <c r="M143" i="3" s="1"/>
  <c r="R143" i="3" s="1"/>
  <c r="T143" i="3" s="1"/>
  <c r="J138" i="3"/>
  <c r="J102" i="3"/>
  <c r="K102" i="3" s="1"/>
  <c r="L102" i="3" s="1"/>
  <c r="M102" i="3" s="1"/>
  <c r="R102" i="3" s="1"/>
  <c r="J97" i="3"/>
  <c r="U97" i="3" s="1"/>
  <c r="J86" i="3"/>
  <c r="P86" i="3" s="1"/>
  <c r="P6" i="3"/>
  <c r="K6" i="3"/>
  <c r="L6" i="3" s="1"/>
  <c r="M6" i="3" s="1"/>
  <c r="R6" i="3" s="1"/>
  <c r="S6" i="3" s="1"/>
  <c r="J408" i="3"/>
  <c r="L370" i="3"/>
  <c r="M370" i="3" s="1"/>
  <c r="R370" i="3" s="1"/>
  <c r="S370" i="3" s="1"/>
  <c r="J346" i="3"/>
  <c r="K346" i="3" s="1"/>
  <c r="L346" i="3" s="1"/>
  <c r="M346" i="3" s="1"/>
  <c r="R346" i="3" s="1"/>
  <c r="J306" i="3"/>
  <c r="J272" i="3"/>
  <c r="J252" i="3"/>
  <c r="K252" i="3" s="1"/>
  <c r="L252" i="3" s="1"/>
  <c r="M252" i="3" s="1"/>
  <c r="R252" i="3" s="1"/>
  <c r="S252" i="3" s="1"/>
  <c r="J248" i="3"/>
  <c r="J225" i="3"/>
  <c r="J220" i="3"/>
  <c r="L215" i="3"/>
  <c r="M215" i="3" s="1"/>
  <c r="R215" i="3" s="1"/>
  <c r="T215" i="3" s="1"/>
  <c r="J210" i="3"/>
  <c r="K210" i="3" s="1"/>
  <c r="L210" i="3" s="1"/>
  <c r="M210" i="3" s="1"/>
  <c r="Q210" i="3" s="1"/>
  <c r="J175" i="3"/>
  <c r="U175" i="3" s="1"/>
  <c r="J161" i="3"/>
  <c r="J130" i="3"/>
  <c r="K130" i="3" s="1"/>
  <c r="L130" i="3" s="1"/>
  <c r="M130" i="3" s="1"/>
  <c r="R130" i="3" s="1"/>
  <c r="J124" i="3"/>
  <c r="K124" i="3" s="1"/>
  <c r="L124" i="3" s="1"/>
  <c r="M124" i="3" s="1"/>
  <c r="R124" i="3" s="1"/>
  <c r="J78" i="3"/>
  <c r="J66" i="3"/>
  <c r="K66" i="3" s="1"/>
  <c r="L66" i="3" s="1"/>
  <c r="M66" i="3" s="1"/>
  <c r="R66" i="3" s="1"/>
  <c r="J509" i="3"/>
  <c r="K509" i="3" s="1"/>
  <c r="L509" i="3" s="1"/>
  <c r="M509" i="3" s="1"/>
  <c r="R509" i="3" s="1"/>
  <c r="S509" i="3" s="1"/>
  <c r="J496" i="3"/>
  <c r="J492" i="3"/>
  <c r="U492" i="3" s="1"/>
  <c r="J473" i="3"/>
  <c r="K473" i="3" s="1"/>
  <c r="L473" i="3" s="1"/>
  <c r="M473" i="3" s="1"/>
  <c r="R473" i="3" s="1"/>
  <c r="J465" i="3"/>
  <c r="K465" i="3" s="1"/>
  <c r="L465" i="3" s="1"/>
  <c r="M465" i="3" s="1"/>
  <c r="R465" i="3" s="1"/>
  <c r="S465" i="3" s="1"/>
  <c r="J456" i="3"/>
  <c r="J438" i="3"/>
  <c r="J429" i="3"/>
  <c r="U429" i="3" s="1"/>
  <c r="J417" i="3"/>
  <c r="J399" i="3"/>
  <c r="J387" i="3"/>
  <c r="U387" i="3" s="1"/>
  <c r="J383" i="3"/>
  <c r="K383" i="3" s="1"/>
  <c r="L383" i="3" s="1"/>
  <c r="M383" i="3" s="1"/>
  <c r="Q383" i="3" s="1"/>
  <c r="J371" i="3"/>
  <c r="K371" i="3" s="1"/>
  <c r="L371" i="3" s="1"/>
  <c r="M371" i="3" s="1"/>
  <c r="Q371" i="3" s="1"/>
  <c r="J342" i="3"/>
  <c r="K342" i="3" s="1"/>
  <c r="L342" i="3" s="1"/>
  <c r="M342" i="3" s="1"/>
  <c r="J328" i="3"/>
  <c r="P328" i="3" s="1"/>
  <c r="J311" i="3"/>
  <c r="J302" i="3"/>
  <c r="K302" i="3" s="1"/>
  <c r="L302" i="3" s="1"/>
  <c r="M302" i="3" s="1"/>
  <c r="Q302" i="3" s="1"/>
  <c r="J298" i="3"/>
  <c r="K298" i="3" s="1"/>
  <c r="L298" i="3" s="1"/>
  <c r="M298" i="3" s="1"/>
  <c r="R298" i="3" s="1"/>
  <c r="J294" i="3"/>
  <c r="K294" i="3" s="1"/>
  <c r="L294" i="3" s="1"/>
  <c r="M294" i="3" s="1"/>
  <c r="R294" i="3" s="1"/>
  <c r="S294" i="3" s="1"/>
  <c r="J286" i="3"/>
  <c r="K286" i="3" s="1"/>
  <c r="L286" i="3" s="1"/>
  <c r="M286" i="3" s="1"/>
  <c r="Q286" i="3" s="1"/>
  <c r="J261" i="3"/>
  <c r="K261" i="3" s="1"/>
  <c r="L261" i="3" s="1"/>
  <c r="M261" i="3" s="1"/>
  <c r="R261" i="3" s="1"/>
  <c r="S261" i="3" s="1"/>
  <c r="J256" i="3"/>
  <c r="K256" i="3" s="1"/>
  <c r="L256" i="3" s="1"/>
  <c r="M256" i="3" s="1"/>
  <c r="R256" i="3" s="1"/>
  <c r="T256" i="3" s="1"/>
  <c r="J244" i="3"/>
  <c r="L239" i="3"/>
  <c r="M239" i="3" s="1"/>
  <c r="Q239" i="3" s="1"/>
  <c r="J202" i="3"/>
  <c r="J184" i="3"/>
  <c r="J166" i="3"/>
  <c r="U166" i="3" s="1"/>
  <c r="J152" i="3"/>
  <c r="J147" i="3"/>
  <c r="K147" i="3" s="1"/>
  <c r="L147" i="3" s="1"/>
  <c r="M147" i="3" s="1"/>
  <c r="R147" i="3" s="1"/>
  <c r="T147" i="3" s="1"/>
  <c r="J139" i="3"/>
  <c r="J120" i="3"/>
  <c r="J111" i="3"/>
  <c r="U111" i="3" s="1"/>
  <c r="J103" i="3"/>
  <c r="P103" i="3" s="1"/>
  <c r="J91" i="3"/>
  <c r="J87" i="3"/>
  <c r="J75" i="3"/>
  <c r="S62" i="3"/>
  <c r="J16" i="3"/>
  <c r="J524" i="3"/>
  <c r="P524" i="3" s="1"/>
  <c r="J519" i="3"/>
  <c r="K519" i="3" s="1"/>
  <c r="L519" i="3" s="1"/>
  <c r="M519" i="3" s="1"/>
  <c r="R519" i="3" s="1"/>
  <c r="T519" i="3" s="1"/>
  <c r="J514" i="3"/>
  <c r="K514" i="3" s="1"/>
  <c r="L514" i="3" s="1"/>
  <c r="M514" i="3" s="1"/>
  <c r="R514" i="3" s="1"/>
  <c r="J501" i="3"/>
  <c r="K501" i="3" s="1"/>
  <c r="L501" i="3" s="1"/>
  <c r="M501" i="3" s="1"/>
  <c r="R501" i="3" s="1"/>
  <c r="S501" i="3" s="1"/>
  <c r="Q483" i="3"/>
  <c r="J479" i="3"/>
  <c r="J474" i="3"/>
  <c r="K474" i="3" s="1"/>
  <c r="L474" i="3" s="1"/>
  <c r="M474" i="3" s="1"/>
  <c r="R474" i="3" s="1"/>
  <c r="S474" i="3" s="1"/>
  <c r="P461" i="3"/>
  <c r="J447" i="3"/>
  <c r="U447" i="3" s="1"/>
  <c r="J443" i="3"/>
  <c r="K443" i="3" s="1"/>
  <c r="L443" i="3" s="1"/>
  <c r="M443" i="3" s="1"/>
  <c r="Q443" i="3" s="1"/>
  <c r="P430" i="3"/>
  <c r="J425" i="3"/>
  <c r="P413" i="3"/>
  <c r="J396" i="3"/>
  <c r="J392" i="3"/>
  <c r="P388" i="3"/>
  <c r="J379" i="3"/>
  <c r="K379" i="3" s="1"/>
  <c r="L379" i="3" s="1"/>
  <c r="M379" i="3" s="1"/>
  <c r="R379" i="3" s="1"/>
  <c r="T379" i="3" s="1"/>
  <c r="J366" i="3"/>
  <c r="J362" i="3"/>
  <c r="J358" i="3"/>
  <c r="J354" i="3"/>
  <c r="K354" i="3" s="1"/>
  <c r="L354" i="3" s="1"/>
  <c r="M354" i="3" s="1"/>
  <c r="R354" i="3" s="1"/>
  <c r="S354" i="3" s="1"/>
  <c r="J350" i="3"/>
  <c r="K350" i="3" s="1"/>
  <c r="L350" i="3" s="1"/>
  <c r="M350" i="3" s="1"/>
  <c r="Q350" i="3" s="1"/>
  <c r="J333" i="3"/>
  <c r="K333" i="3" s="1"/>
  <c r="L333" i="3" s="1"/>
  <c r="M333" i="3" s="1"/>
  <c r="R333" i="3" s="1"/>
  <c r="S333" i="3" s="1"/>
  <c r="P316" i="3"/>
  <c r="J307" i="3"/>
  <c r="J281" i="3"/>
  <c r="K281" i="3" s="1"/>
  <c r="L281" i="3" s="1"/>
  <c r="M281" i="3" s="1"/>
  <c r="R281" i="3" s="1"/>
  <c r="T281" i="3" s="1"/>
  <c r="L240" i="3"/>
  <c r="M240" i="3" s="1"/>
  <c r="R240" i="3" s="1"/>
  <c r="P235" i="3"/>
  <c r="J226" i="3"/>
  <c r="P222" i="3"/>
  <c r="J221" i="3"/>
  <c r="P221" i="3" s="1"/>
  <c r="J211" i="3"/>
  <c r="U211" i="3" s="1"/>
  <c r="J189" i="3"/>
  <c r="K189" i="3" s="1"/>
  <c r="L189" i="3" s="1"/>
  <c r="M189" i="3" s="1"/>
  <c r="Q189" i="3" s="1"/>
  <c r="J176" i="3"/>
  <c r="J162" i="3"/>
  <c r="K162" i="3" s="1"/>
  <c r="L162" i="3" s="1"/>
  <c r="M162" i="3" s="1"/>
  <c r="Q162" i="3" s="1"/>
  <c r="J144" i="3"/>
  <c r="J125" i="3"/>
  <c r="K125" i="3" s="1"/>
  <c r="L125" i="3" s="1"/>
  <c r="M125" i="3" s="1"/>
  <c r="R125" i="3" s="1"/>
  <c r="S125" i="3" s="1"/>
  <c r="J98" i="3"/>
  <c r="P92" i="3"/>
  <c r="J55" i="3"/>
  <c r="U55" i="3" s="1"/>
  <c r="L7" i="3"/>
  <c r="M7" i="3" s="1"/>
  <c r="R7" i="3" s="1"/>
  <c r="J544" i="3"/>
  <c r="K544" i="3" s="1"/>
  <c r="L544" i="3" s="1"/>
  <c r="M544" i="3" s="1"/>
  <c r="R544" i="3" s="1"/>
  <c r="J539" i="3"/>
  <c r="J515" i="3"/>
  <c r="J488" i="3"/>
  <c r="Q430" i="3"/>
  <c r="J418" i="3"/>
  <c r="J404" i="3"/>
  <c r="J384" i="3"/>
  <c r="U384" i="3" s="1"/>
  <c r="J375" i="3"/>
  <c r="J347" i="3"/>
  <c r="J343" i="3"/>
  <c r="J338" i="3"/>
  <c r="K338" i="3" s="1"/>
  <c r="L338" i="3" s="1"/>
  <c r="M338" i="3" s="1"/>
  <c r="R338" i="3" s="1"/>
  <c r="J299" i="3"/>
  <c r="P299" i="3" s="1"/>
  <c r="J287" i="3"/>
  <c r="U287" i="3" s="1"/>
  <c r="J273" i="3"/>
  <c r="J249" i="3"/>
  <c r="K249" i="3" s="1"/>
  <c r="L249" i="3" s="1"/>
  <c r="M249" i="3" s="1"/>
  <c r="R249" i="3" s="1"/>
  <c r="T249" i="3" s="1"/>
  <c r="J167" i="3"/>
  <c r="U167" i="3" s="1"/>
  <c r="J140" i="3"/>
  <c r="P140" i="3" s="1"/>
  <c r="J131" i="3"/>
  <c r="K131" i="3" s="1"/>
  <c r="L131" i="3" s="1"/>
  <c r="M131" i="3" s="1"/>
  <c r="R131" i="3" s="1"/>
  <c r="T131" i="3" s="1"/>
  <c r="J112" i="3"/>
  <c r="J107" i="3"/>
  <c r="K107" i="3" s="1"/>
  <c r="L107" i="3" s="1"/>
  <c r="M107" i="3" s="1"/>
  <c r="R107" i="3" s="1"/>
  <c r="J52" i="3"/>
  <c r="K29" i="3"/>
  <c r="L29" i="3" s="1"/>
  <c r="M29" i="3" s="1"/>
  <c r="R29" i="3" s="1"/>
  <c r="S29" i="3" s="1"/>
  <c r="K26" i="3"/>
  <c r="L26" i="3" s="1"/>
  <c r="M26" i="3" s="1"/>
  <c r="R26" i="3" s="1"/>
  <c r="S26" i="3" s="1"/>
  <c r="J480" i="3"/>
  <c r="J466" i="3"/>
  <c r="J452" i="3"/>
  <c r="J444" i="3"/>
  <c r="P444" i="3" s="1"/>
  <c r="J439" i="3"/>
  <c r="K439" i="3" s="1"/>
  <c r="L439" i="3" s="1"/>
  <c r="M439" i="3" s="1"/>
  <c r="R439" i="3" s="1"/>
  <c r="T439" i="3" s="1"/>
  <c r="J400" i="3"/>
  <c r="J372" i="3"/>
  <c r="K372" i="3" s="1"/>
  <c r="L372" i="3" s="1"/>
  <c r="M372" i="3" s="1"/>
  <c r="R372" i="3" s="1"/>
  <c r="J329" i="3"/>
  <c r="K329" i="3" s="1"/>
  <c r="L329" i="3" s="1"/>
  <c r="M329" i="3" s="1"/>
  <c r="R329" i="3" s="1"/>
  <c r="J321" i="3"/>
  <c r="J312" i="3"/>
  <c r="K312" i="3" s="1"/>
  <c r="L312" i="3" s="1"/>
  <c r="M312" i="3" s="1"/>
  <c r="R312" i="3" s="1"/>
  <c r="S312" i="3" s="1"/>
  <c r="J303" i="3"/>
  <c r="K303" i="3" s="1"/>
  <c r="L303" i="3" s="1"/>
  <c r="M303" i="3" s="1"/>
  <c r="R303" i="3" s="1"/>
  <c r="J295" i="3"/>
  <c r="J291" i="3"/>
  <c r="J282" i="3"/>
  <c r="U282" i="3" s="1"/>
  <c r="J262" i="3"/>
  <c r="K262" i="3" s="1"/>
  <c r="L262" i="3" s="1"/>
  <c r="M262" i="3" s="1"/>
  <c r="J257" i="3"/>
  <c r="K257" i="3" s="1"/>
  <c r="L257" i="3" s="1"/>
  <c r="M257" i="3" s="1"/>
  <c r="R257" i="3" s="1"/>
  <c r="T257" i="3" s="1"/>
  <c r="J245" i="3"/>
  <c r="J203" i="3"/>
  <c r="J190" i="3"/>
  <c r="J185" i="3"/>
  <c r="J153" i="3"/>
  <c r="K153" i="3" s="1"/>
  <c r="L153" i="3" s="1"/>
  <c r="M153" i="3" s="1"/>
  <c r="Q153" i="3" s="1"/>
  <c r="J148" i="3"/>
  <c r="K148" i="3" s="1"/>
  <c r="L148" i="3" s="1"/>
  <c r="M148" i="3" s="1"/>
  <c r="Q148" i="3" s="1"/>
  <c r="J135" i="3"/>
  <c r="K135" i="3" s="1"/>
  <c r="L135" i="3" s="1"/>
  <c r="M135" i="3" s="1"/>
  <c r="R135" i="3" s="1"/>
  <c r="S135" i="3" s="1"/>
  <c r="J127" i="3"/>
  <c r="J121" i="3"/>
  <c r="J104" i="3"/>
  <c r="J99" i="3"/>
  <c r="J88" i="3"/>
  <c r="K88" i="3" s="1"/>
  <c r="L88" i="3" s="1"/>
  <c r="M88" i="3" s="1"/>
  <c r="Q88" i="3" s="1"/>
  <c r="J79" i="3"/>
  <c r="Q63" i="3"/>
  <c r="J59" i="3"/>
  <c r="K59" i="3" s="1"/>
  <c r="L59" i="3" s="1"/>
  <c r="M59" i="3" s="1"/>
  <c r="R59" i="3" s="1"/>
  <c r="T59" i="3" s="1"/>
  <c r="P35" i="3"/>
  <c r="P18" i="3"/>
  <c r="J27" i="3"/>
  <c r="K27" i="3" s="1"/>
  <c r="L27" i="3" s="1"/>
  <c r="M27" i="3" s="1"/>
  <c r="R27" i="3" s="1"/>
  <c r="T27" i="3" s="1"/>
  <c r="J38" i="3"/>
  <c r="P62" i="3"/>
  <c r="J39" i="3"/>
  <c r="K39" i="3" s="1"/>
  <c r="L39" i="3" s="1"/>
  <c r="M39" i="3" s="1"/>
  <c r="R39" i="3" s="1"/>
  <c r="T39" i="3" s="1"/>
  <c r="J76" i="3"/>
  <c r="P63" i="3"/>
  <c r="P40" i="3"/>
  <c r="P4" i="3"/>
  <c r="J30" i="3"/>
  <c r="J19" i="3"/>
  <c r="J54" i="3"/>
  <c r="K54" i="3" s="1"/>
  <c r="L54" i="3" s="1"/>
  <c r="M54" i="3" s="1"/>
  <c r="Q54" i="3" s="1"/>
  <c r="Q51" i="3"/>
  <c r="Q47" i="3"/>
  <c r="P28" i="3"/>
  <c r="P24" i="3"/>
  <c r="J31" i="3"/>
  <c r="U31" i="3" s="1"/>
  <c r="J43" i="3"/>
  <c r="U43" i="3" s="1"/>
  <c r="J67" i="3"/>
  <c r="P51" i="3"/>
  <c r="P20" i="3"/>
  <c r="J9" i="3"/>
  <c r="J21" i="3"/>
  <c r="J32" i="3"/>
  <c r="J44" i="3"/>
  <c r="P44" i="3" s="1"/>
  <c r="J56" i="3"/>
  <c r="U56" i="3" s="1"/>
  <c r="J90" i="3"/>
  <c r="P29" i="3"/>
  <c r="P15" i="3"/>
  <c r="J10" i="3"/>
  <c r="K10" i="3" s="1"/>
  <c r="L10" i="3" s="1"/>
  <c r="M10" i="3" s="1"/>
  <c r="R10" i="3" s="1"/>
  <c r="J22" i="3"/>
  <c r="K22" i="3" s="1"/>
  <c r="L22" i="3" s="1"/>
  <c r="M22" i="3" s="1"/>
  <c r="Q22" i="3" s="1"/>
  <c r="J33" i="3"/>
  <c r="K33" i="3" s="1"/>
  <c r="L33" i="3" s="1"/>
  <c r="M33" i="3" s="1"/>
  <c r="Q33" i="3" s="1"/>
  <c r="P7" i="3"/>
  <c r="J11" i="3"/>
  <c r="J23" i="3"/>
  <c r="J34" i="3"/>
  <c r="J58" i="3"/>
  <c r="U58" i="3" s="1"/>
  <c r="S252" i="4"/>
  <c r="R252" i="4"/>
  <c r="S140" i="4"/>
  <c r="T140" i="4" s="1"/>
  <c r="R140" i="4"/>
  <c r="R235" i="4"/>
  <c r="S235" i="4"/>
  <c r="U235" i="4" s="1"/>
  <c r="R179" i="4"/>
  <c r="S179" i="4"/>
  <c r="T179" i="4" s="1"/>
  <c r="S148" i="4"/>
  <c r="R148" i="4"/>
  <c r="S132" i="4"/>
  <c r="T132" i="4" s="1"/>
  <c r="R132" i="4"/>
  <c r="R115" i="4"/>
  <c r="S115" i="4"/>
  <c r="S136" i="4"/>
  <c r="R136" i="4"/>
  <c r="S128" i="4"/>
  <c r="T128" i="4" s="1"/>
  <c r="R128" i="4"/>
  <c r="R240" i="4"/>
  <c r="S240" i="4"/>
  <c r="R70" i="4"/>
  <c r="S70" i="4"/>
  <c r="R54" i="4"/>
  <c r="S54" i="4"/>
  <c r="R236" i="4"/>
  <c r="S236" i="4"/>
  <c r="T236" i="4" s="1"/>
  <c r="R223" i="4"/>
  <c r="S223" i="4"/>
  <c r="R215" i="4"/>
  <c r="S215" i="4"/>
  <c r="T215" i="4" s="1"/>
  <c r="S78" i="4"/>
  <c r="R211" i="4"/>
  <c r="S211" i="4"/>
  <c r="T211" i="4" s="1"/>
  <c r="R203" i="4"/>
  <c r="S203" i="4"/>
  <c r="T203" i="4" s="1"/>
  <c r="R90" i="4"/>
  <c r="S90" i="4"/>
  <c r="R199" i="4"/>
  <c r="S199" i="4"/>
  <c r="T199" i="4" s="1"/>
  <c r="R233" i="4"/>
  <c r="S233" i="4"/>
  <c r="T233" i="4" s="1"/>
  <c r="R195" i="4"/>
  <c r="S195" i="4"/>
  <c r="T195" i="4" s="1"/>
  <c r="R191" i="4"/>
  <c r="S191" i="4"/>
  <c r="T191" i="4" s="1"/>
  <c r="R187" i="4"/>
  <c r="S187" i="4"/>
  <c r="T187" i="4" s="1"/>
  <c r="R114" i="4"/>
  <c r="M230" i="4"/>
  <c r="N230" i="4" s="1"/>
  <c r="R230" i="4" s="1"/>
  <c r="L110" i="4"/>
  <c r="M110" i="4" s="1"/>
  <c r="N110" i="4" s="1"/>
  <c r="R110" i="4" s="1"/>
  <c r="L98" i="4"/>
  <c r="M98" i="4" s="1"/>
  <c r="N98" i="4" s="1"/>
  <c r="L74" i="4"/>
  <c r="M74" i="4" s="1"/>
  <c r="N74" i="4" s="1"/>
  <c r="M62" i="4"/>
  <c r="N62" i="4" s="1"/>
  <c r="S44" i="4"/>
  <c r="T44" i="4" s="1"/>
  <c r="Q254" i="4"/>
  <c r="L242" i="4"/>
  <c r="M242" i="4" s="1"/>
  <c r="N242" i="4" s="1"/>
  <c r="Q182" i="4"/>
  <c r="M134" i="4"/>
  <c r="N134" i="4" s="1"/>
  <c r="R134" i="4" s="1"/>
  <c r="L50" i="4"/>
  <c r="M50" i="4" s="1"/>
  <c r="N50" i="4" s="1"/>
  <c r="M182" i="4"/>
  <c r="N182" i="4" s="1"/>
  <c r="R182" i="4" s="1"/>
  <c r="R169" i="4"/>
  <c r="M254" i="4"/>
  <c r="N254" i="4" s="1"/>
  <c r="Q14" i="4"/>
  <c r="Q170" i="4"/>
  <c r="Q158" i="4"/>
  <c r="S248" i="4"/>
  <c r="T248" i="4" s="1"/>
  <c r="S227" i="4"/>
  <c r="T227" i="4" s="1"/>
  <c r="Q218" i="4"/>
  <c r="R177" i="4"/>
  <c r="M170" i="4"/>
  <c r="N170" i="4" s="1"/>
  <c r="R170" i="4" s="1"/>
  <c r="M158" i="4"/>
  <c r="N158" i="4" s="1"/>
  <c r="R158" i="4" s="1"/>
  <c r="S20" i="4"/>
  <c r="T20" i="4" s="1"/>
  <c r="M14" i="4"/>
  <c r="N14" i="4" s="1"/>
  <c r="R14" i="4" s="1"/>
  <c r="M218" i="4"/>
  <c r="N218" i="4" s="1"/>
  <c r="R218" i="4" s="1"/>
  <c r="Q146" i="4"/>
  <c r="Q26" i="4"/>
  <c r="Q194" i="4"/>
  <c r="M146" i="4"/>
  <c r="N146" i="4" s="1"/>
  <c r="R146" i="4" s="1"/>
  <c r="Q122" i="4"/>
  <c r="Q86" i="4"/>
  <c r="R229" i="4"/>
  <c r="M194" i="4"/>
  <c r="N194" i="4" s="1"/>
  <c r="R194" i="4" s="1"/>
  <c r="M122" i="4"/>
  <c r="N122" i="4" s="1"/>
  <c r="R122" i="4" s="1"/>
  <c r="Q74" i="4"/>
  <c r="M26" i="4"/>
  <c r="N26" i="4" s="1"/>
  <c r="R26" i="4" s="1"/>
  <c r="S241" i="4"/>
  <c r="T241" i="4" s="1"/>
  <c r="R221" i="4"/>
  <c r="R213" i="4"/>
  <c r="M86" i="4"/>
  <c r="N86" i="4" s="1"/>
  <c r="R197" i="4"/>
  <c r="R161" i="4"/>
  <c r="R553" i="3"/>
  <c r="Q553" i="3"/>
  <c r="T129" i="3"/>
  <c r="S129" i="3"/>
  <c r="Q500" i="3"/>
  <c r="Q776" i="3"/>
  <c r="R776" i="3"/>
  <c r="T776" i="3" s="1"/>
  <c r="Q72" i="3"/>
  <c r="R72" i="3"/>
  <c r="T72" i="3" s="1"/>
  <c r="Q564" i="3"/>
  <c r="Q752" i="3"/>
  <c r="R752" i="3"/>
  <c r="S752" i="3" s="1"/>
  <c r="S773" i="3"/>
  <c r="T773" i="3"/>
  <c r="T747" i="3"/>
  <c r="S747" i="3"/>
  <c r="S706" i="3"/>
  <c r="T706" i="3"/>
  <c r="R610" i="3"/>
  <c r="T610" i="3" s="1"/>
  <c r="Q610" i="3"/>
  <c r="T349" i="3"/>
  <c r="S349" i="3"/>
  <c r="K445" i="3"/>
  <c r="L445" i="3" s="1"/>
  <c r="M445" i="3" s="1"/>
  <c r="K469" i="3"/>
  <c r="L469" i="3" s="1"/>
  <c r="M469" i="3" s="1"/>
  <c r="P469" i="3"/>
  <c r="L721" i="3"/>
  <c r="M721" i="3" s="1"/>
  <c r="L577" i="3"/>
  <c r="M577" i="3" s="1"/>
  <c r="R577" i="3" s="1"/>
  <c r="S577" i="3" s="1"/>
  <c r="P493" i="3"/>
  <c r="K37" i="3"/>
  <c r="L37" i="3" s="1"/>
  <c r="M37" i="3" s="1"/>
  <c r="P49" i="3"/>
  <c r="K61" i="3"/>
  <c r="L61" i="3" s="1"/>
  <c r="M61" i="3" s="1"/>
  <c r="R61" i="3" s="1"/>
  <c r="P73" i="3"/>
  <c r="K73" i="3"/>
  <c r="L73" i="3" s="1"/>
  <c r="M73" i="3" s="1"/>
  <c r="R73" i="3" s="1"/>
  <c r="S73" i="3" s="1"/>
  <c r="K83" i="3"/>
  <c r="L83" i="3" s="1"/>
  <c r="M83" i="3" s="1"/>
  <c r="R83" i="3" s="1"/>
  <c r="T83" i="3" s="1"/>
  <c r="K106" i="3"/>
  <c r="L106" i="3" s="1"/>
  <c r="M106" i="3" s="1"/>
  <c r="K158" i="3"/>
  <c r="L158" i="3" s="1"/>
  <c r="M158" i="3" s="1"/>
  <c r="P158" i="3"/>
  <c r="K170" i="3"/>
  <c r="L170" i="3" s="1"/>
  <c r="M170" i="3" s="1"/>
  <c r="R170" i="3" s="1"/>
  <c r="S170" i="3" s="1"/>
  <c r="P170" i="3"/>
  <c r="K182" i="3"/>
  <c r="L182" i="3" s="1"/>
  <c r="M182" i="3" s="1"/>
  <c r="K194" i="3"/>
  <c r="L194" i="3" s="1"/>
  <c r="M194" i="3" s="1"/>
  <c r="P194" i="3"/>
  <c r="K206" i="3"/>
  <c r="L206" i="3" s="1"/>
  <c r="M206" i="3" s="1"/>
  <c r="K218" i="3"/>
  <c r="L218" i="3" s="1"/>
  <c r="M218" i="3" s="1"/>
  <c r="R218" i="3" s="1"/>
  <c r="K230" i="3"/>
  <c r="L230" i="3" s="1"/>
  <c r="M230" i="3" s="1"/>
  <c r="K482" i="3"/>
  <c r="L482" i="3" s="1"/>
  <c r="M482" i="3" s="1"/>
  <c r="P709" i="3"/>
  <c r="P625" i="3"/>
  <c r="Q740" i="3"/>
  <c r="Q720" i="3"/>
  <c r="L625" i="3"/>
  <c r="M625" i="3" s="1"/>
  <c r="R625" i="3" s="1"/>
  <c r="S625" i="3" s="1"/>
  <c r="Q382" i="3"/>
  <c r="L373" i="3"/>
  <c r="M373" i="3" s="1"/>
  <c r="Q373" i="3" s="1"/>
  <c r="P277" i="3"/>
  <c r="P37" i="3"/>
  <c r="P781" i="3"/>
  <c r="L709" i="3"/>
  <c r="M709" i="3" s="1"/>
  <c r="R709" i="3" s="1"/>
  <c r="S709" i="3" s="1"/>
  <c r="P637" i="3"/>
  <c r="K146" i="3"/>
  <c r="L146" i="3" s="1"/>
  <c r="M146" i="3" s="1"/>
  <c r="P133" i="3"/>
  <c r="K95" i="3"/>
  <c r="L95" i="3" s="1"/>
  <c r="M95" i="3" s="1"/>
  <c r="K14" i="3"/>
  <c r="L14" i="3" s="1"/>
  <c r="M14" i="3" s="1"/>
  <c r="P385" i="3"/>
  <c r="K385" i="3"/>
  <c r="L385" i="3" s="1"/>
  <c r="M385" i="3" s="1"/>
  <c r="L433" i="3"/>
  <c r="M433" i="3" s="1"/>
  <c r="Q433" i="3" s="1"/>
  <c r="P433" i="3"/>
  <c r="P769" i="3"/>
  <c r="P733" i="3"/>
  <c r="L637" i="3"/>
  <c r="M637" i="3" s="1"/>
  <c r="R637" i="3" s="1"/>
  <c r="S637" i="3" s="1"/>
  <c r="K397" i="3"/>
  <c r="L397" i="3" s="1"/>
  <c r="M397" i="3" s="1"/>
  <c r="R397" i="3" s="1"/>
  <c r="L457" i="3"/>
  <c r="M457" i="3" s="1"/>
  <c r="Q457" i="3" s="1"/>
  <c r="K517" i="3"/>
  <c r="L517" i="3" s="1"/>
  <c r="M517" i="3" s="1"/>
  <c r="R517" i="3" s="1"/>
  <c r="P517" i="3"/>
  <c r="L781" i="3"/>
  <c r="M781" i="3" s="1"/>
  <c r="R781" i="3" s="1"/>
  <c r="T781" i="3" s="1"/>
  <c r="P757" i="3"/>
  <c r="P745" i="3"/>
  <c r="L733" i="3"/>
  <c r="M733" i="3" s="1"/>
  <c r="R733" i="3" s="1"/>
  <c r="S733" i="3" s="1"/>
  <c r="R677" i="3"/>
  <c r="P553" i="3"/>
  <c r="K505" i="3"/>
  <c r="L505" i="3" s="1"/>
  <c r="M505" i="3" s="1"/>
  <c r="Q505" i="3" s="1"/>
  <c r="K481" i="3"/>
  <c r="L481" i="3" s="1"/>
  <c r="M481" i="3" s="1"/>
  <c r="R481" i="3" s="1"/>
  <c r="P349" i="3"/>
  <c r="P205" i="3"/>
  <c r="L118" i="3"/>
  <c r="M118" i="3" s="1"/>
  <c r="R118" i="3" s="1"/>
  <c r="S118" i="3" s="1"/>
  <c r="R82" i="3"/>
  <c r="T82" i="3" s="1"/>
  <c r="R222" i="3"/>
  <c r="Q222" i="3"/>
  <c r="Q773" i="3"/>
  <c r="P697" i="3"/>
  <c r="P661" i="3"/>
  <c r="P541" i="3"/>
  <c r="Q506" i="3"/>
  <c r="P72" i="3"/>
  <c r="S15" i="3"/>
  <c r="T15" i="3"/>
  <c r="P793" i="3"/>
  <c r="Q774" i="3"/>
  <c r="L769" i="3"/>
  <c r="M769" i="3" s="1"/>
  <c r="L697" i="3"/>
  <c r="M697" i="3" s="1"/>
  <c r="R697" i="3" s="1"/>
  <c r="T697" i="3" s="1"/>
  <c r="L661" i="3"/>
  <c r="M661" i="3" s="1"/>
  <c r="R661" i="3" s="1"/>
  <c r="S661" i="3" s="1"/>
  <c r="P649" i="3"/>
  <c r="Q605" i="3"/>
  <c r="Q604" i="3"/>
  <c r="P565" i="3"/>
  <c r="K409" i="3"/>
  <c r="L409" i="3" s="1"/>
  <c r="M409" i="3" s="1"/>
  <c r="K134" i="3"/>
  <c r="L134" i="3" s="1"/>
  <c r="M134" i="3" s="1"/>
  <c r="P26" i="3"/>
  <c r="L793" i="3"/>
  <c r="M793" i="3" s="1"/>
  <c r="L757" i="3"/>
  <c r="M757" i="3" s="1"/>
  <c r="Q749" i="3"/>
  <c r="Q747" i="3"/>
  <c r="L649" i="3"/>
  <c r="M649" i="3" s="1"/>
  <c r="R649" i="3" s="1"/>
  <c r="T649" i="3" s="1"/>
  <c r="R629" i="3"/>
  <c r="S629" i="3" s="1"/>
  <c r="K565" i="3"/>
  <c r="L565" i="3" s="1"/>
  <c r="M565" i="3" s="1"/>
  <c r="K421" i="3"/>
  <c r="L421" i="3" s="1"/>
  <c r="M421" i="3" s="1"/>
  <c r="P421" i="3"/>
  <c r="Q738" i="3"/>
  <c r="Q656" i="3"/>
  <c r="Q634" i="3"/>
  <c r="K49" i="3"/>
  <c r="L49" i="3" s="1"/>
  <c r="M49" i="3" s="1"/>
  <c r="Q762" i="3"/>
  <c r="Q750" i="3"/>
  <c r="P721" i="3"/>
  <c r="Q707" i="3"/>
  <c r="Q706" i="3"/>
  <c r="P673" i="3"/>
  <c r="P217" i="3"/>
  <c r="Q94" i="3"/>
  <c r="P13" i="3"/>
  <c r="P374" i="3"/>
  <c r="Q316" i="3"/>
  <c r="P290" i="3"/>
  <c r="P206" i="3"/>
  <c r="P181" i="3"/>
  <c r="Q137" i="3"/>
  <c r="Q129" i="3"/>
  <c r="Q110" i="3"/>
  <c r="P83" i="3"/>
  <c r="Q60" i="3"/>
  <c r="P554" i="3"/>
  <c r="P397" i="3"/>
  <c r="P386" i="3"/>
  <c r="P278" i="3"/>
  <c r="P193" i="3"/>
  <c r="P182" i="3"/>
  <c r="Q92" i="3"/>
  <c r="P82" i="3"/>
  <c r="P61" i="3"/>
  <c r="P60" i="3"/>
  <c r="Q40" i="3"/>
  <c r="Q35" i="3"/>
  <c r="Q460" i="3"/>
  <c r="Q336" i="3"/>
  <c r="P265" i="3"/>
  <c r="Q48" i="3"/>
  <c r="Q4" i="3"/>
  <c r="P529" i="3"/>
  <c r="P409" i="3"/>
  <c r="Q337" i="3"/>
  <c r="P117" i="3"/>
  <c r="Q62" i="3"/>
  <c r="P48" i="3"/>
  <c r="P481" i="3"/>
  <c r="P422" i="3"/>
  <c r="P398" i="3"/>
  <c r="P337" i="3"/>
  <c r="P325" i="3"/>
  <c r="P229" i="3"/>
  <c r="Q195" i="3"/>
  <c r="P169" i="3"/>
  <c r="P118" i="3"/>
  <c r="Q105" i="3"/>
  <c r="Q50" i="3"/>
  <c r="Q36" i="3"/>
  <c r="P577" i="3"/>
  <c r="P542" i="3"/>
  <c r="P482" i="3"/>
  <c r="P445" i="3"/>
  <c r="P434" i="3"/>
  <c r="Q388" i="3"/>
  <c r="Q349" i="3"/>
  <c r="P266" i="3"/>
  <c r="P253" i="3"/>
  <c r="P241" i="3"/>
  <c r="P230" i="3"/>
  <c r="P157" i="3"/>
  <c r="P106" i="3"/>
  <c r="P105" i="3"/>
  <c r="P36" i="3"/>
  <c r="Q20" i="3"/>
  <c r="P601" i="3"/>
  <c r="P590" i="3"/>
  <c r="P506" i="3"/>
  <c r="P457" i="3"/>
  <c r="P326" i="3"/>
  <c r="P313" i="3"/>
  <c r="P301" i="3"/>
  <c r="Q268" i="3"/>
  <c r="Q197" i="3"/>
  <c r="P146" i="3"/>
  <c r="P134" i="3"/>
  <c r="P95" i="3"/>
  <c r="P94" i="3"/>
  <c r="P25" i="3"/>
  <c r="P14" i="3"/>
  <c r="Q13" i="3"/>
  <c r="P470" i="3"/>
  <c r="P446" i="3"/>
  <c r="P361" i="3"/>
  <c r="P254" i="3"/>
  <c r="P242" i="3"/>
  <c r="P566" i="3"/>
  <c r="P494" i="3"/>
  <c r="P373" i="3"/>
  <c r="P289" i="3"/>
  <c r="Q15" i="3"/>
  <c r="R258" i="4"/>
  <c r="S258" i="4"/>
  <c r="R226" i="4"/>
  <c r="S226" i="4"/>
  <c r="S260" i="4"/>
  <c r="R260" i="4"/>
  <c r="R253" i="4"/>
  <c r="S253" i="4"/>
  <c r="R250" i="4"/>
  <c r="S250" i="4"/>
  <c r="R238" i="4"/>
  <c r="S238" i="4"/>
  <c r="T229" i="4"/>
  <c r="U229" i="4"/>
  <c r="R245" i="4"/>
  <c r="S245" i="4"/>
  <c r="R256" i="4"/>
  <c r="S256" i="4"/>
  <c r="R246" i="4"/>
  <c r="S246" i="4"/>
  <c r="S264" i="4"/>
  <c r="R264" i="4"/>
  <c r="R234" i="4"/>
  <c r="S234" i="4"/>
  <c r="R257" i="4"/>
  <c r="S257" i="4"/>
  <c r="U248" i="4"/>
  <c r="S232" i="4"/>
  <c r="R119" i="4"/>
  <c r="S119" i="4"/>
  <c r="R103" i="4"/>
  <c r="S103" i="4"/>
  <c r="S263" i="4"/>
  <c r="S259" i="4"/>
  <c r="R228" i="4"/>
  <c r="S228" i="4"/>
  <c r="T213" i="4"/>
  <c r="U213" i="4"/>
  <c r="T177" i="4"/>
  <c r="U177" i="4"/>
  <c r="T169" i="4"/>
  <c r="U169" i="4"/>
  <c r="T161" i="4"/>
  <c r="U161" i="4"/>
  <c r="R214" i="4"/>
  <c r="S214" i="4"/>
  <c r="R202" i="4"/>
  <c r="S202" i="4"/>
  <c r="R190" i="4"/>
  <c r="S190" i="4"/>
  <c r="R178" i="4"/>
  <c r="S178" i="4"/>
  <c r="R108" i="4"/>
  <c r="S108" i="4"/>
  <c r="R104" i="4"/>
  <c r="S104" i="4"/>
  <c r="S247" i="4"/>
  <c r="R217" i="4"/>
  <c r="R205" i="4"/>
  <c r="R193" i="4"/>
  <c r="R181" i="4"/>
  <c r="T145" i="4"/>
  <c r="U145" i="4"/>
  <c r="S262" i="4"/>
  <c r="S171" i="4"/>
  <c r="R89" i="4"/>
  <c r="S89" i="4"/>
  <c r="R36" i="4"/>
  <c r="S36" i="4"/>
  <c r="S244" i="4"/>
  <c r="T217" i="4"/>
  <c r="U217" i="4"/>
  <c r="T205" i="4"/>
  <c r="U205" i="4"/>
  <c r="T193" i="4"/>
  <c r="U193" i="4"/>
  <c r="T181" i="4"/>
  <c r="U181" i="4"/>
  <c r="R173" i="4"/>
  <c r="R157" i="4"/>
  <c r="R224" i="4"/>
  <c r="S224" i="4"/>
  <c r="R149" i="4"/>
  <c r="R5" i="4"/>
  <c r="S5" i="4"/>
  <c r="R220" i="4"/>
  <c r="S220" i="4"/>
  <c r="T173" i="4"/>
  <c r="U173" i="4"/>
  <c r="T157" i="4"/>
  <c r="U157" i="4"/>
  <c r="R97" i="4"/>
  <c r="S97" i="4"/>
  <c r="R174" i="4"/>
  <c r="S174" i="4"/>
  <c r="R166" i="4"/>
  <c r="S166" i="4"/>
  <c r="T149" i="4"/>
  <c r="U149" i="4"/>
  <c r="S139" i="4"/>
  <c r="S110" i="4"/>
  <c r="R106" i="4"/>
  <c r="S106" i="4"/>
  <c r="R102" i="4"/>
  <c r="S251" i="4"/>
  <c r="S239" i="4"/>
  <c r="T223" i="4"/>
  <c r="U223" i="4"/>
  <c r="T221" i="4"/>
  <c r="U221" i="4"/>
  <c r="T209" i="4"/>
  <c r="U209" i="4"/>
  <c r="T197" i="4"/>
  <c r="U197" i="4"/>
  <c r="R150" i="4"/>
  <c r="S150" i="4"/>
  <c r="R222" i="4"/>
  <c r="S222" i="4"/>
  <c r="R210" i="4"/>
  <c r="S210" i="4"/>
  <c r="R198" i="4"/>
  <c r="S198" i="4"/>
  <c r="R186" i="4"/>
  <c r="S186" i="4"/>
  <c r="R175" i="4"/>
  <c r="S175" i="4"/>
  <c r="R130" i="4"/>
  <c r="S130" i="4"/>
  <c r="R98" i="4"/>
  <c r="S98" i="4"/>
  <c r="R7" i="4"/>
  <c r="S7" i="4"/>
  <c r="R83" i="4"/>
  <c r="S83" i="4"/>
  <c r="R67" i="4"/>
  <c r="S67" i="4"/>
  <c r="R43" i="4"/>
  <c r="S43" i="4"/>
  <c r="R31" i="4"/>
  <c r="S31" i="4"/>
  <c r="R25" i="4"/>
  <c r="S25" i="4"/>
  <c r="S216" i="4"/>
  <c r="S212" i="4"/>
  <c r="S208" i="4"/>
  <c r="S204" i="4"/>
  <c r="S200" i="4"/>
  <c r="S196" i="4"/>
  <c r="S192" i="4"/>
  <c r="S188" i="4"/>
  <c r="S184" i="4"/>
  <c r="S180" i="4"/>
  <c r="S176" i="4"/>
  <c r="S172" i="4"/>
  <c r="S168" i="4"/>
  <c r="S164" i="4"/>
  <c r="S92" i="4"/>
  <c r="S68" i="4"/>
  <c r="S52" i="4"/>
  <c r="U211" i="4"/>
  <c r="R77" i="4"/>
  <c r="S77" i="4"/>
  <c r="R61" i="4"/>
  <c r="S61" i="4"/>
  <c r="S100" i="4"/>
  <c r="R79" i="4"/>
  <c r="S79" i="4"/>
  <c r="R71" i="4"/>
  <c r="S71" i="4"/>
  <c r="S88" i="4"/>
  <c r="R6" i="4"/>
  <c r="S6" i="4"/>
  <c r="R41" i="4"/>
  <c r="S41" i="4"/>
  <c r="R35" i="4"/>
  <c r="S35" i="4"/>
  <c r="R29" i="4"/>
  <c r="S42" i="4"/>
  <c r="S18" i="4"/>
  <c r="S3" i="4"/>
  <c r="U3" i="4" s="1"/>
  <c r="R3" i="4"/>
  <c r="Q589" i="3"/>
  <c r="Q641" i="3"/>
  <c r="Q552" i="3"/>
  <c r="Q516" i="3"/>
  <c r="Q334" i="3"/>
  <c r="Q25" i="3"/>
  <c r="Q782" i="3"/>
  <c r="R782" i="3"/>
  <c r="S738" i="3"/>
  <c r="T738" i="3"/>
  <c r="S692" i="3"/>
  <c r="T692" i="3"/>
  <c r="Q780" i="3"/>
  <c r="R780" i="3"/>
  <c r="Q739" i="3"/>
  <c r="R739" i="3"/>
  <c r="Q798" i="3"/>
  <c r="S774" i="3"/>
  <c r="T774" i="3"/>
  <c r="S590" i="3"/>
  <c r="T590" i="3"/>
  <c r="Q761" i="3"/>
  <c r="Q770" i="3"/>
  <c r="R770" i="3"/>
  <c r="Q722" i="3"/>
  <c r="R722" i="3"/>
  <c r="S798" i="3"/>
  <c r="T798" i="3"/>
  <c r="Q768" i="3"/>
  <c r="R768" i="3"/>
  <c r="S762" i="3"/>
  <c r="T762" i="3"/>
  <c r="S745" i="3"/>
  <c r="T745" i="3"/>
  <c r="Q799" i="3"/>
  <c r="R799" i="3"/>
  <c r="Q763" i="3"/>
  <c r="R763" i="3"/>
  <c r="T749" i="3"/>
  <c r="S749" i="3"/>
  <c r="Q745" i="3"/>
  <c r="S740" i="3"/>
  <c r="T740" i="3"/>
  <c r="S707" i="3"/>
  <c r="T707" i="3"/>
  <c r="Q756" i="3"/>
  <c r="R756" i="3"/>
  <c r="S750" i="3"/>
  <c r="T750" i="3"/>
  <c r="Q751" i="3"/>
  <c r="R751" i="3"/>
  <c r="Q673" i="3"/>
  <c r="R673" i="3"/>
  <c r="S644" i="3"/>
  <c r="T644" i="3"/>
  <c r="S670" i="3"/>
  <c r="T670" i="3"/>
  <c r="Q652" i="3"/>
  <c r="Q601" i="3"/>
  <c r="R601" i="3"/>
  <c r="Q651" i="3"/>
  <c r="R651" i="3"/>
  <c r="S620" i="3"/>
  <c r="T620" i="3"/>
  <c r="S687" i="3"/>
  <c r="T687" i="3"/>
  <c r="S652" i="3"/>
  <c r="T652" i="3"/>
  <c r="Q606" i="3"/>
  <c r="R606" i="3"/>
  <c r="S604" i="3"/>
  <c r="T604" i="3"/>
  <c r="Q607" i="3"/>
  <c r="R607" i="3"/>
  <c r="S605" i="3"/>
  <c r="T605" i="3"/>
  <c r="S566" i="3"/>
  <c r="T566" i="3"/>
  <c r="S561" i="3"/>
  <c r="T561" i="3"/>
  <c r="S656" i="3"/>
  <c r="T656" i="3"/>
  <c r="T632" i="3"/>
  <c r="Q692" i="3"/>
  <c r="Q659" i="3"/>
  <c r="R659" i="3"/>
  <c r="R641" i="3"/>
  <c r="Q633" i="3"/>
  <c r="R633" i="3"/>
  <c r="R589" i="3"/>
  <c r="T667" i="3"/>
  <c r="S634" i="3"/>
  <c r="T634" i="3"/>
  <c r="T619" i="3"/>
  <c r="Q616" i="3"/>
  <c r="T582" i="3"/>
  <c r="S582" i="3"/>
  <c r="Q663" i="3"/>
  <c r="R663" i="3"/>
  <c r="Q615" i="3"/>
  <c r="R615" i="3"/>
  <c r="S542" i="3"/>
  <c r="T542" i="3"/>
  <c r="Q667" i="3"/>
  <c r="Q644" i="3"/>
  <c r="Q620" i="3"/>
  <c r="Q619" i="3"/>
  <c r="S616" i="3"/>
  <c r="T616" i="3"/>
  <c r="S546" i="3"/>
  <c r="T546" i="3"/>
  <c r="S522" i="3"/>
  <c r="T522" i="3"/>
  <c r="S498" i="3"/>
  <c r="T498" i="3"/>
  <c r="S483" i="3"/>
  <c r="T483" i="3"/>
  <c r="S531" i="3"/>
  <c r="T531" i="3"/>
  <c r="S486" i="3"/>
  <c r="T486" i="3"/>
  <c r="Q529" i="3"/>
  <c r="R529" i="3"/>
  <c r="S506" i="3"/>
  <c r="T506" i="3"/>
  <c r="Q566" i="3"/>
  <c r="Q561" i="3"/>
  <c r="Q494" i="3"/>
  <c r="Q590" i="3"/>
  <c r="Q542" i="3"/>
  <c r="Q493" i="3"/>
  <c r="R493" i="3"/>
  <c r="Q541" i="3"/>
  <c r="R541" i="3"/>
  <c r="S494" i="3"/>
  <c r="T494" i="3"/>
  <c r="S451" i="3"/>
  <c r="S403" i="3"/>
  <c r="Q470" i="3"/>
  <c r="R470" i="3"/>
  <c r="Q446" i="3"/>
  <c r="R446" i="3"/>
  <c r="Q422" i="3"/>
  <c r="R422" i="3"/>
  <c r="Q398" i="3"/>
  <c r="R398" i="3"/>
  <c r="Q374" i="3"/>
  <c r="R374" i="3"/>
  <c r="R552" i="3"/>
  <c r="R540" i="3"/>
  <c r="R516" i="3"/>
  <c r="Q451" i="3"/>
  <c r="Q403" i="3"/>
  <c r="Q359" i="3"/>
  <c r="S260" i="3"/>
  <c r="T260" i="3"/>
  <c r="S265" i="3"/>
  <c r="T265" i="3"/>
  <c r="S430" i="3"/>
  <c r="T430" i="3"/>
  <c r="S382" i="3"/>
  <c r="T382" i="3"/>
  <c r="S463" i="3"/>
  <c r="Q461" i="3"/>
  <c r="S415" i="3"/>
  <c r="Q413" i="3"/>
  <c r="S367" i="3"/>
  <c r="S359" i="3"/>
  <c r="T359" i="3"/>
  <c r="Q434" i="3"/>
  <c r="R434" i="3"/>
  <c r="Q386" i="3"/>
  <c r="R386" i="3"/>
  <c r="S361" i="3"/>
  <c r="T361" i="3"/>
  <c r="Q463" i="3"/>
  <c r="Q415" i="3"/>
  <c r="Q367" i="3"/>
  <c r="S460" i="3"/>
  <c r="T460" i="3"/>
  <c r="S412" i="3"/>
  <c r="T412" i="3"/>
  <c r="S388" i="3"/>
  <c r="T388" i="3"/>
  <c r="S461" i="3"/>
  <c r="T461" i="3"/>
  <c r="S413" i="3"/>
  <c r="T413" i="3"/>
  <c r="Q320" i="3"/>
  <c r="Q277" i="3"/>
  <c r="T324" i="3"/>
  <c r="Q319" i="3"/>
  <c r="R319" i="3"/>
  <c r="S316" i="3"/>
  <c r="T316" i="3"/>
  <c r="Q275" i="3"/>
  <c r="R275" i="3"/>
  <c r="Q271" i="3"/>
  <c r="R271" i="3"/>
  <c r="S268" i="3"/>
  <c r="T268" i="3"/>
  <c r="Q266" i="3"/>
  <c r="R266" i="3"/>
  <c r="Q193" i="3"/>
  <c r="R193" i="3"/>
  <c r="S320" i="3"/>
  <c r="T320" i="3"/>
  <c r="S315" i="3"/>
  <c r="T315" i="3"/>
  <c r="S277" i="3"/>
  <c r="T277" i="3"/>
  <c r="S267" i="3"/>
  <c r="T267" i="3"/>
  <c r="Q241" i="3"/>
  <c r="Q235" i="3"/>
  <c r="Q325" i="3"/>
  <c r="Q324" i="3"/>
  <c r="Q289" i="3"/>
  <c r="Q284" i="3"/>
  <c r="Q234" i="3"/>
  <c r="R234" i="3"/>
  <c r="Q278" i="3"/>
  <c r="R278" i="3"/>
  <c r="S241" i="3"/>
  <c r="T241" i="3"/>
  <c r="S219" i="3"/>
  <c r="T219" i="3"/>
  <c r="S325" i="3"/>
  <c r="T325" i="3"/>
  <c r="S289" i="3"/>
  <c r="T289" i="3"/>
  <c r="S284" i="3"/>
  <c r="T284" i="3"/>
  <c r="Q361" i="3"/>
  <c r="Q301" i="3"/>
  <c r="Q296" i="3"/>
  <c r="Q253" i="3"/>
  <c r="Q242" i="3"/>
  <c r="R242" i="3"/>
  <c r="S337" i="3"/>
  <c r="T337" i="3"/>
  <c r="S334" i="3"/>
  <c r="T334" i="3"/>
  <c r="Q326" i="3"/>
  <c r="R326" i="3"/>
  <c r="Q290" i="3"/>
  <c r="R290" i="3"/>
  <c r="Q229" i="3"/>
  <c r="R229" i="3"/>
  <c r="S301" i="3"/>
  <c r="T301" i="3"/>
  <c r="S296" i="3"/>
  <c r="T296" i="3"/>
  <c r="S253" i="3"/>
  <c r="T253" i="3"/>
  <c r="Q335" i="3"/>
  <c r="R335" i="3"/>
  <c r="Q308" i="3"/>
  <c r="Q265" i="3"/>
  <c r="Q260" i="3"/>
  <c r="Q315" i="3"/>
  <c r="Q267" i="3"/>
  <c r="Q259" i="3"/>
  <c r="R259" i="3"/>
  <c r="Q254" i="3"/>
  <c r="R254" i="3"/>
  <c r="S159" i="3"/>
  <c r="T159" i="3"/>
  <c r="Q157" i="3"/>
  <c r="R157" i="3"/>
  <c r="Q156" i="3"/>
  <c r="R156" i="3"/>
  <c r="S131" i="3"/>
  <c r="Q198" i="3"/>
  <c r="R198" i="3"/>
  <c r="S195" i="3"/>
  <c r="T195" i="3"/>
  <c r="S137" i="3"/>
  <c r="T137" i="3"/>
  <c r="S110" i="3"/>
  <c r="T110" i="3"/>
  <c r="T36" i="3"/>
  <c r="S36" i="3"/>
  <c r="Q171" i="3"/>
  <c r="Q205" i="3"/>
  <c r="R205" i="3"/>
  <c r="Q174" i="3"/>
  <c r="R174" i="3"/>
  <c r="S171" i="3"/>
  <c r="T171" i="3"/>
  <c r="Q169" i="3"/>
  <c r="R169" i="3"/>
  <c r="Q133" i="3"/>
  <c r="R133" i="3"/>
  <c r="T48" i="3"/>
  <c r="S48" i="3"/>
  <c r="Q219" i="3"/>
  <c r="Q136" i="3"/>
  <c r="R136" i="3"/>
  <c r="S115" i="3"/>
  <c r="T115" i="3"/>
  <c r="Q213" i="3"/>
  <c r="R213" i="3"/>
  <c r="S28" i="3"/>
  <c r="T28" i="3"/>
  <c r="Q217" i="3"/>
  <c r="R217" i="3"/>
  <c r="Q216" i="3"/>
  <c r="R216" i="3"/>
  <c r="Q181" i="3"/>
  <c r="R181" i="3"/>
  <c r="Q180" i="3"/>
  <c r="R180" i="3"/>
  <c r="S197" i="3"/>
  <c r="T197" i="3"/>
  <c r="Q159" i="3"/>
  <c r="S116" i="3"/>
  <c r="T116" i="3"/>
  <c r="T60" i="3"/>
  <c r="S60" i="3"/>
  <c r="Q24" i="3"/>
  <c r="R24" i="3"/>
  <c r="Q70" i="3"/>
  <c r="S51" i="3"/>
  <c r="T51" i="3"/>
  <c r="S40" i="3"/>
  <c r="T40" i="3"/>
  <c r="S35" i="3"/>
  <c r="T35" i="3"/>
  <c r="Q74" i="3"/>
  <c r="S63" i="3"/>
  <c r="T63" i="3"/>
  <c r="S47" i="3"/>
  <c r="T47" i="3"/>
  <c r="T94" i="3"/>
  <c r="S94" i="3"/>
  <c r="S70" i="3"/>
  <c r="T70" i="3"/>
  <c r="S71" i="3"/>
  <c r="T71" i="3"/>
  <c r="S4" i="3"/>
  <c r="T4" i="3"/>
  <c r="S92" i="3"/>
  <c r="T92" i="3"/>
  <c r="S81" i="3"/>
  <c r="T81" i="3"/>
  <c r="T13" i="3"/>
  <c r="S13" i="3"/>
  <c r="T105" i="3"/>
  <c r="S105" i="3"/>
  <c r="S20" i="3"/>
  <c r="R117" i="3"/>
  <c r="Q115" i="3"/>
  <c r="T50" i="3"/>
  <c r="Q28" i="3"/>
  <c r="R25" i="3"/>
  <c r="Q116" i="3"/>
  <c r="U128" i="4" l="1"/>
  <c r="S24" i="4"/>
  <c r="T235" i="4"/>
  <c r="S218" i="4"/>
  <c r="U187" i="4"/>
  <c r="U44" i="4"/>
  <c r="S60" i="4"/>
  <c r="S155" i="4"/>
  <c r="S34" i="4"/>
  <c r="S8" i="4"/>
  <c r="R144" i="4"/>
  <c r="S118" i="4"/>
  <c r="T118" i="4" s="1"/>
  <c r="S76" i="4"/>
  <c r="S65" i="4"/>
  <c r="S39" i="4"/>
  <c r="S30" i="4"/>
  <c r="S55" i="4"/>
  <c r="S19" i="4"/>
  <c r="S91" i="4"/>
  <c r="U185" i="4"/>
  <c r="U20" i="4"/>
  <c r="U241" i="4"/>
  <c r="S134" i="4"/>
  <c r="T134" i="4" s="1"/>
  <c r="T6" i="3"/>
  <c r="S389" i="3"/>
  <c r="Q587" i="3"/>
  <c r="S720" i="3"/>
  <c r="Q263" i="3"/>
  <c r="Q126" i="3"/>
  <c r="Q389" i="3"/>
  <c r="Q331" i="3"/>
  <c r="R794" i="3"/>
  <c r="T309" i="3"/>
  <c r="Q729" i="3"/>
  <c r="S500" i="3"/>
  <c r="R583" i="3"/>
  <c r="T497" i="3"/>
  <c r="Q497" i="3"/>
  <c r="S744" i="3"/>
  <c r="T784" i="3"/>
  <c r="Q538" i="3"/>
  <c r="T376" i="3"/>
  <c r="R732" i="3"/>
  <c r="Q784" i="3"/>
  <c r="S538" i="3"/>
  <c r="T786" i="3"/>
  <c r="R714" i="3"/>
  <c r="S714" i="3" s="1"/>
  <c r="Q344" i="3"/>
  <c r="Q523" i="3"/>
  <c r="K273" i="3"/>
  <c r="L273" i="3" s="1"/>
  <c r="M273" i="3" s="1"/>
  <c r="R273" i="3" s="1"/>
  <c r="S273" i="3" s="1"/>
  <c r="U273" i="3"/>
  <c r="K233" i="3"/>
  <c r="L233" i="3" s="1"/>
  <c r="M233" i="3" s="1"/>
  <c r="R233" i="3" s="1"/>
  <c r="T233" i="3" s="1"/>
  <c r="U233" i="3"/>
  <c r="P179" i="3"/>
  <c r="U179" i="3"/>
  <c r="K468" i="3"/>
  <c r="L468" i="3" s="1"/>
  <c r="M468" i="3" s="1"/>
  <c r="Q468" i="3" s="1"/>
  <c r="U468" i="3"/>
  <c r="K237" i="3"/>
  <c r="L237" i="3" s="1"/>
  <c r="M237" i="3" s="1"/>
  <c r="R237" i="3" s="1"/>
  <c r="T237" i="3" s="1"/>
  <c r="U237" i="3"/>
  <c r="K440" i="3"/>
  <c r="L440" i="3" s="1"/>
  <c r="M440" i="3" s="1"/>
  <c r="U440" i="3"/>
  <c r="P441" i="3"/>
  <c r="U441" i="3"/>
  <c r="K467" i="3"/>
  <c r="L467" i="3" s="1"/>
  <c r="M467" i="3" s="1"/>
  <c r="R467" i="3" s="1"/>
  <c r="S467" i="3" s="1"/>
  <c r="U467" i="3"/>
  <c r="K274" i="3"/>
  <c r="L274" i="3" s="1"/>
  <c r="M274" i="3" s="1"/>
  <c r="R274" i="3" s="1"/>
  <c r="U274" i="3"/>
  <c r="K246" i="3"/>
  <c r="L246" i="3" s="1"/>
  <c r="M246" i="3" s="1"/>
  <c r="Q246" i="3" s="1"/>
  <c r="U246" i="3"/>
  <c r="K375" i="3"/>
  <c r="L375" i="3" s="1"/>
  <c r="M375" i="3" s="1"/>
  <c r="R375" i="3" s="1"/>
  <c r="S375" i="3" s="1"/>
  <c r="U375" i="3"/>
  <c r="K98" i="3"/>
  <c r="L98" i="3" s="1"/>
  <c r="M98" i="3" s="1"/>
  <c r="R98" i="3" s="1"/>
  <c r="S98" i="3" s="1"/>
  <c r="U98" i="3"/>
  <c r="K496" i="3"/>
  <c r="L496" i="3" s="1"/>
  <c r="M496" i="3" s="1"/>
  <c r="Q496" i="3" s="1"/>
  <c r="U496" i="3"/>
  <c r="K109" i="3"/>
  <c r="L109" i="3" s="1"/>
  <c r="M109" i="3" s="1"/>
  <c r="R109" i="3" s="1"/>
  <c r="T109" i="3" s="1"/>
  <c r="U109" i="3"/>
  <c r="K177" i="3"/>
  <c r="L177" i="3" s="1"/>
  <c r="M177" i="3" s="1"/>
  <c r="Q177" i="3" s="1"/>
  <c r="U177" i="3"/>
  <c r="K250" i="3"/>
  <c r="L250" i="3" s="1"/>
  <c r="M250" i="3" s="1"/>
  <c r="R250" i="3" s="1"/>
  <c r="S250" i="3" s="1"/>
  <c r="U250" i="3"/>
  <c r="K313" i="3"/>
  <c r="L313" i="3" s="1"/>
  <c r="M313" i="3" s="1"/>
  <c r="R313" i="3" s="1"/>
  <c r="U313" i="3"/>
  <c r="K245" i="3"/>
  <c r="L245" i="3" s="1"/>
  <c r="M245" i="3" s="1"/>
  <c r="R245" i="3" s="1"/>
  <c r="T245" i="3" s="1"/>
  <c r="U245" i="3"/>
  <c r="Q303" i="3"/>
  <c r="Q437" i="3"/>
  <c r="Q294" i="3"/>
  <c r="Q39" i="3"/>
  <c r="R395" i="3"/>
  <c r="T395" i="3" s="1"/>
  <c r="T704" i="3"/>
  <c r="R642" i="3"/>
  <c r="S183" i="3"/>
  <c r="Q357" i="3"/>
  <c r="T348" i="3"/>
  <c r="Q704" i="3"/>
  <c r="Q678" i="3"/>
  <c r="R371" i="3"/>
  <c r="S371" i="3" s="1"/>
  <c r="Q41" i="3"/>
  <c r="R141" i="3"/>
  <c r="S141" i="3" s="1"/>
  <c r="R410" i="3"/>
  <c r="T410" i="3" s="1"/>
  <c r="Q348" i="3"/>
  <c r="Q323" i="3"/>
  <c r="T345" i="3"/>
  <c r="R623" i="3"/>
  <c r="S623" i="3" s="1"/>
  <c r="Q183" i="3"/>
  <c r="Q568" i="3"/>
  <c r="Q509" i="3"/>
  <c r="T459" i="3"/>
  <c r="T357" i="3"/>
  <c r="R443" i="3"/>
  <c r="S443" i="3" s="1"/>
  <c r="Q638" i="3"/>
  <c r="R669" i="3"/>
  <c r="T669" i="3" s="1"/>
  <c r="S143" i="3"/>
  <c r="R350" i="3"/>
  <c r="Q556" i="3"/>
  <c r="R684" i="3"/>
  <c r="R792" i="3"/>
  <c r="S792" i="3" s="1"/>
  <c r="Q459" i="3"/>
  <c r="Q339" i="3"/>
  <c r="Q439" i="3"/>
  <c r="U191" i="4"/>
  <c r="U199" i="4"/>
  <c r="S122" i="4"/>
  <c r="K586" i="3"/>
  <c r="L586" i="3" s="1"/>
  <c r="M586" i="3" s="1"/>
  <c r="R586" i="3" s="1"/>
  <c r="S586" i="3" s="1"/>
  <c r="U586" i="3"/>
  <c r="Q741" i="3"/>
  <c r="Q173" i="3"/>
  <c r="K425" i="3"/>
  <c r="L425" i="3" s="1"/>
  <c r="M425" i="3" s="1"/>
  <c r="R425" i="3" s="1"/>
  <c r="S425" i="3" s="1"/>
  <c r="U425" i="3"/>
  <c r="K585" i="3"/>
  <c r="L585" i="3" s="1"/>
  <c r="M585" i="3" s="1"/>
  <c r="R585" i="3" s="1"/>
  <c r="T585" i="3" s="1"/>
  <c r="U585" i="3"/>
  <c r="K185" i="3"/>
  <c r="L185" i="3" s="1"/>
  <c r="M185" i="3" s="1"/>
  <c r="R185" i="3" s="1"/>
  <c r="T185" i="3" s="1"/>
  <c r="U185" i="3"/>
  <c r="K584" i="3"/>
  <c r="L584" i="3" s="1"/>
  <c r="M584" i="3" s="1"/>
  <c r="Q584" i="3" s="1"/>
  <c r="U584" i="3"/>
  <c r="P418" i="3"/>
  <c r="U418" i="3"/>
  <c r="K766" i="3"/>
  <c r="L766" i="3" s="1"/>
  <c r="M766" i="3" s="1"/>
  <c r="U766" i="3"/>
  <c r="K186" i="3"/>
  <c r="L186" i="3" s="1"/>
  <c r="M186" i="3" s="1"/>
  <c r="U186" i="3"/>
  <c r="K660" i="3"/>
  <c r="L660" i="3" s="1"/>
  <c r="M660" i="3" s="1"/>
  <c r="U660" i="3"/>
  <c r="K592" i="3"/>
  <c r="L592" i="3" s="1"/>
  <c r="M592" i="3" s="1"/>
  <c r="U592" i="3"/>
  <c r="K199" i="3"/>
  <c r="L199" i="3" s="1"/>
  <c r="M199" i="3" s="1"/>
  <c r="Q199" i="3" s="1"/>
  <c r="U199" i="3"/>
  <c r="K771" i="3"/>
  <c r="L771" i="3" s="1"/>
  <c r="M771" i="3" s="1"/>
  <c r="U771" i="3"/>
  <c r="K653" i="3"/>
  <c r="L653" i="3" s="1"/>
  <c r="M653" i="3" s="1"/>
  <c r="U653" i="3"/>
  <c r="K431" i="3"/>
  <c r="L431" i="3" s="1"/>
  <c r="M431" i="3" s="1"/>
  <c r="U431" i="3"/>
  <c r="K427" i="3"/>
  <c r="L427" i="3" s="1"/>
  <c r="M427" i="3" s="1"/>
  <c r="R427" i="3" s="1"/>
  <c r="T427" i="3" s="1"/>
  <c r="U427" i="3"/>
  <c r="P525" i="3"/>
  <c r="U525" i="3"/>
  <c r="K419" i="3"/>
  <c r="L419" i="3" s="1"/>
  <c r="M419" i="3" s="1"/>
  <c r="Q419" i="3" s="1"/>
  <c r="U419" i="3"/>
  <c r="K417" i="3"/>
  <c r="L417" i="3" s="1"/>
  <c r="M417" i="3" s="1"/>
  <c r="R417" i="3" s="1"/>
  <c r="S417" i="3" s="1"/>
  <c r="U417" i="3"/>
  <c r="P435" i="3"/>
  <c r="U435" i="3"/>
  <c r="K64" i="3"/>
  <c r="L64" i="3" s="1"/>
  <c r="M64" i="3" s="1"/>
  <c r="R64" i="3" s="1"/>
  <c r="S64" i="3" s="1"/>
  <c r="U64" i="3"/>
  <c r="T173" i="3"/>
  <c r="K424" i="3"/>
  <c r="L424" i="3" s="1"/>
  <c r="M424" i="3" s="1"/>
  <c r="R424" i="3" s="1"/>
  <c r="T424" i="3" s="1"/>
  <c r="U424" i="3"/>
  <c r="K68" i="3"/>
  <c r="L68" i="3" s="1"/>
  <c r="M68" i="3" s="1"/>
  <c r="R68" i="3" s="1"/>
  <c r="S68" i="3" s="1"/>
  <c r="U68" i="3"/>
  <c r="K650" i="3"/>
  <c r="L650" i="3" s="1"/>
  <c r="M650" i="3" s="1"/>
  <c r="U650" i="3"/>
  <c r="K420" i="3"/>
  <c r="L420" i="3" s="1"/>
  <c r="M420" i="3" s="1"/>
  <c r="U420" i="3"/>
  <c r="S5" i="3"/>
  <c r="K428" i="3"/>
  <c r="L428" i="3" s="1"/>
  <c r="M428" i="3" s="1"/>
  <c r="Q428" i="3" s="1"/>
  <c r="U428" i="3"/>
  <c r="K654" i="3"/>
  <c r="L654" i="3" s="1"/>
  <c r="M654" i="3" s="1"/>
  <c r="U654" i="3"/>
  <c r="R22" i="3"/>
  <c r="S22" i="3" s="1"/>
  <c r="Q135" i="3"/>
  <c r="T135" i="3"/>
  <c r="Q643" i="3"/>
  <c r="Q85" i="3"/>
  <c r="S85" i="3"/>
  <c r="T462" i="3"/>
  <c r="Q257" i="3"/>
  <c r="R189" i="3"/>
  <c r="T189" i="3" s="1"/>
  <c r="T128" i="3"/>
  <c r="Q462" i="3"/>
  <c r="R689" i="3"/>
  <c r="S689" i="3" s="1"/>
  <c r="T643" i="3"/>
  <c r="Q544" i="3"/>
  <c r="R12" i="3"/>
  <c r="T12" i="3" s="1"/>
  <c r="S39" i="3"/>
  <c r="R416" i="3"/>
  <c r="S416" i="3" s="1"/>
  <c r="Q212" i="3"/>
  <c r="Q26" i="3"/>
  <c r="T26" i="3"/>
  <c r="T212" i="3"/>
  <c r="T18" i="3"/>
  <c r="T426" i="3"/>
  <c r="T533" i="3"/>
  <c r="Q487" i="3"/>
  <c r="Q499" i="3"/>
  <c r="S149" i="3"/>
  <c r="Q145" i="3"/>
  <c r="Q533" i="3"/>
  <c r="T695" i="3"/>
  <c r="T668" i="3"/>
  <c r="S608" i="3"/>
  <c r="Q608" i="3"/>
  <c r="Q149" i="3"/>
  <c r="T708" i="3"/>
  <c r="Q107" i="3"/>
  <c r="Q411" i="3"/>
  <c r="S564" i="3"/>
  <c r="Q298" i="3"/>
  <c r="Q708" i="3"/>
  <c r="T411" i="3"/>
  <c r="Q668" i="3"/>
  <c r="R468" i="3"/>
  <c r="S468" i="3" s="1"/>
  <c r="T709" i="3"/>
  <c r="S519" i="3"/>
  <c r="S147" i="3"/>
  <c r="R302" i="3"/>
  <c r="S302" i="3" s="1"/>
  <c r="Q98" i="3"/>
  <c r="Q215" i="3"/>
  <c r="T465" i="3"/>
  <c r="R232" i="3"/>
  <c r="S232" i="3" s="1"/>
  <c r="Q465" i="3"/>
  <c r="S281" i="3"/>
  <c r="S215" i="3"/>
  <c r="Q281" i="3"/>
  <c r="Q147" i="3"/>
  <c r="T448" i="3"/>
  <c r="Q59" i="3"/>
  <c r="R618" i="3"/>
  <c r="S618" i="3" s="1"/>
  <c r="R228" i="3"/>
  <c r="T228" i="3" s="1"/>
  <c r="S59" i="3"/>
  <c r="T803" i="3"/>
  <c r="Q622" i="3"/>
  <c r="Q679" i="3"/>
  <c r="Q372" i="3"/>
  <c r="T125" i="3"/>
  <c r="T503" i="3"/>
  <c r="R314" i="3"/>
  <c r="T314" i="3" s="1"/>
  <c r="T510" i="3"/>
  <c r="R45" i="3"/>
  <c r="S45" i="3" s="1"/>
  <c r="R458" i="3"/>
  <c r="S458" i="3" s="1"/>
  <c r="T622" i="3"/>
  <c r="Q125" i="3"/>
  <c r="Q803" i="3"/>
  <c r="T679" i="3"/>
  <c r="S256" i="3"/>
  <c r="R532" i="3"/>
  <c r="T532" i="3" s="1"/>
  <c r="T743" i="3"/>
  <c r="Q569" i="3"/>
  <c r="S80" i="3"/>
  <c r="Q531" i="3"/>
  <c r="Q474" i="3"/>
  <c r="Q743" i="3"/>
  <c r="R355" i="3"/>
  <c r="T355" i="3" s="1"/>
  <c r="Q80" i="3"/>
  <c r="Q346" i="3"/>
  <c r="T752" i="3"/>
  <c r="Q517" i="3"/>
  <c r="T742" i="3"/>
  <c r="R246" i="3"/>
  <c r="T246" i="3" s="1"/>
  <c r="R373" i="3"/>
  <c r="S373" i="3" s="1"/>
  <c r="Q124" i="3"/>
  <c r="T474" i="3"/>
  <c r="R753" i="3"/>
  <c r="S753" i="3" s="1"/>
  <c r="Q448" i="3"/>
  <c r="Q5" i="3"/>
  <c r="S332" i="3"/>
  <c r="T545" i="3"/>
  <c r="Q621" i="3"/>
  <c r="S437" i="3"/>
  <c r="R457" i="3"/>
  <c r="S457" i="3" s="1"/>
  <c r="R496" i="3"/>
  <c r="T496" i="3" s="1"/>
  <c r="T625" i="3"/>
  <c r="S776" i="3"/>
  <c r="Q631" i="3"/>
  <c r="T73" i="3"/>
  <c r="T297" i="3"/>
  <c r="Q332" i="3"/>
  <c r="S257" i="3"/>
  <c r="T637" i="3"/>
  <c r="Q781" i="3"/>
  <c r="R759" i="3"/>
  <c r="T759" i="3" s="1"/>
  <c r="R33" i="3"/>
  <c r="S33" i="3" s="1"/>
  <c r="Q333" i="3"/>
  <c r="Q593" i="3"/>
  <c r="Q297" i="3"/>
  <c r="R800" i="3"/>
  <c r="S800" i="3" s="1"/>
  <c r="Q102" i="3"/>
  <c r="T333" i="3"/>
  <c r="Q423" i="3"/>
  <c r="Q304" i="3"/>
  <c r="S475" i="3"/>
  <c r="Q545" i="3"/>
  <c r="S83" i="3"/>
  <c r="T530" i="3"/>
  <c r="R626" i="3"/>
  <c r="S626" i="3" s="1"/>
  <c r="R162" i="3"/>
  <c r="S162" i="3" s="1"/>
  <c r="T304" i="3"/>
  <c r="T593" i="3"/>
  <c r="T631" i="3"/>
  <c r="S439" i="3"/>
  <c r="T308" i="3"/>
  <c r="Q475" i="3"/>
  <c r="T423" i="3"/>
  <c r="R508" i="3"/>
  <c r="S508" i="3" s="1"/>
  <c r="R690" i="3"/>
  <c r="S690" i="3" s="1"/>
  <c r="S344" i="3"/>
  <c r="Q73" i="3"/>
  <c r="Q309" i="3"/>
  <c r="Q530" i="3"/>
  <c r="P584" i="3"/>
  <c r="S249" i="3"/>
  <c r="K67" i="3"/>
  <c r="L67" i="3" s="1"/>
  <c r="M67" i="3" s="1"/>
  <c r="U67" i="3"/>
  <c r="K75" i="3"/>
  <c r="L75" i="3" s="1"/>
  <c r="M75" i="3" s="1"/>
  <c r="U75" i="3"/>
  <c r="K202" i="3"/>
  <c r="L202" i="3" s="1"/>
  <c r="M202" i="3" s="1"/>
  <c r="R202" i="3" s="1"/>
  <c r="U202" i="3"/>
  <c r="K138" i="3"/>
  <c r="L138" i="3" s="1"/>
  <c r="M138" i="3" s="1"/>
  <c r="U138" i="3"/>
  <c r="K341" i="3"/>
  <c r="L341" i="3" s="1"/>
  <c r="M341" i="3" s="1"/>
  <c r="R341" i="3" s="1"/>
  <c r="T341" i="3" s="1"/>
  <c r="U341" i="3"/>
  <c r="K450" i="3"/>
  <c r="L450" i="3" s="1"/>
  <c r="M450" i="3" s="1"/>
  <c r="R450" i="3" s="1"/>
  <c r="U450" i="3"/>
  <c r="P89" i="3"/>
  <c r="U89" i="3"/>
  <c r="P454" i="3"/>
  <c r="U454" i="3"/>
  <c r="K317" i="3"/>
  <c r="L317" i="3" s="1"/>
  <c r="M317" i="3" s="1"/>
  <c r="U317" i="3"/>
  <c r="K573" i="3"/>
  <c r="L573" i="3" s="1"/>
  <c r="M573" i="3" s="1"/>
  <c r="R573" i="3" s="1"/>
  <c r="U573" i="3"/>
  <c r="K288" i="3"/>
  <c r="L288" i="3" s="1"/>
  <c r="M288" i="3" s="1"/>
  <c r="U288" i="3"/>
  <c r="K597" i="3"/>
  <c r="L597" i="3" s="1"/>
  <c r="M597" i="3" s="1"/>
  <c r="U597" i="3"/>
  <c r="K754" i="3"/>
  <c r="L754" i="3" s="1"/>
  <c r="M754" i="3" s="1"/>
  <c r="U754" i="3"/>
  <c r="K476" i="3"/>
  <c r="L476" i="3" s="1"/>
  <c r="M476" i="3" s="1"/>
  <c r="U476" i="3"/>
  <c r="K681" i="3"/>
  <c r="L681" i="3" s="1"/>
  <c r="M681" i="3" s="1"/>
  <c r="R681" i="3" s="1"/>
  <c r="U681" i="3"/>
  <c r="K658" i="3"/>
  <c r="L658" i="3" s="1"/>
  <c r="M658" i="3" s="1"/>
  <c r="R658" i="3" s="1"/>
  <c r="S658" i="3" s="1"/>
  <c r="U658" i="3"/>
  <c r="K671" i="3"/>
  <c r="L671" i="3" s="1"/>
  <c r="M671" i="3" s="1"/>
  <c r="U671" i="3"/>
  <c r="K272" i="3"/>
  <c r="L272" i="3" s="1"/>
  <c r="M272" i="3" s="1"/>
  <c r="U272" i="3"/>
  <c r="K455" i="3"/>
  <c r="L455" i="3" s="1"/>
  <c r="M455" i="3" s="1"/>
  <c r="U455" i="3"/>
  <c r="P537" i="3"/>
  <c r="U537" i="3"/>
  <c r="K251" i="3"/>
  <c r="L251" i="3" s="1"/>
  <c r="M251" i="3" s="1"/>
  <c r="U251" i="3"/>
  <c r="P489" i="3"/>
  <c r="U489" i="3"/>
  <c r="K490" i="3"/>
  <c r="L490" i="3" s="1"/>
  <c r="M490" i="3" s="1"/>
  <c r="R490" i="3" s="1"/>
  <c r="U490" i="3"/>
  <c r="P700" i="3"/>
  <c r="U700" i="3"/>
  <c r="K790" i="3"/>
  <c r="L790" i="3" s="1"/>
  <c r="M790" i="3" s="1"/>
  <c r="U790" i="3"/>
  <c r="P406" i="3"/>
  <c r="U406" i="3"/>
  <c r="K657" i="3"/>
  <c r="L657" i="3" s="1"/>
  <c r="M657" i="3" s="1"/>
  <c r="Q657" i="3" s="1"/>
  <c r="U657" i="3"/>
  <c r="K730" i="3"/>
  <c r="L730" i="3" s="1"/>
  <c r="M730" i="3" s="1"/>
  <c r="R730" i="3" s="1"/>
  <c r="U730" i="3"/>
  <c r="P369" i="3"/>
  <c r="U369" i="3"/>
  <c r="P513" i="3"/>
  <c r="U513" i="3"/>
  <c r="K724" i="3"/>
  <c r="L724" i="3" s="1"/>
  <c r="M724" i="3" s="1"/>
  <c r="U724" i="3"/>
  <c r="K204" i="3"/>
  <c r="L204" i="3" s="1"/>
  <c r="M204" i="3" s="1"/>
  <c r="U204" i="3"/>
  <c r="K121" i="3"/>
  <c r="L121" i="3" s="1"/>
  <c r="M121" i="3" s="1"/>
  <c r="U121" i="3"/>
  <c r="K291" i="3"/>
  <c r="L291" i="3" s="1"/>
  <c r="M291" i="3" s="1"/>
  <c r="U291" i="3"/>
  <c r="K466" i="3"/>
  <c r="L466" i="3" s="1"/>
  <c r="M466" i="3" s="1"/>
  <c r="R466" i="3" s="1"/>
  <c r="U466" i="3"/>
  <c r="K91" i="3"/>
  <c r="L91" i="3" s="1"/>
  <c r="M91" i="3" s="1"/>
  <c r="R91" i="3" s="1"/>
  <c r="S91" i="3" s="1"/>
  <c r="U91" i="3"/>
  <c r="K244" i="3"/>
  <c r="L244" i="3" s="1"/>
  <c r="M244" i="3" s="1"/>
  <c r="R244" i="3" s="1"/>
  <c r="U244" i="3"/>
  <c r="P78" i="3"/>
  <c r="U78" i="3"/>
  <c r="P306" i="3"/>
  <c r="U306" i="3"/>
  <c r="P113" i="3"/>
  <c r="U113" i="3"/>
  <c r="K612" i="3"/>
  <c r="L612" i="3" s="1"/>
  <c r="M612" i="3" s="1"/>
  <c r="U612" i="3"/>
  <c r="P696" i="3"/>
  <c r="U696" i="3"/>
  <c r="Q143" i="3"/>
  <c r="P127" i="3"/>
  <c r="U127" i="3"/>
  <c r="K295" i="3"/>
  <c r="L295" i="3" s="1"/>
  <c r="M295" i="3" s="1"/>
  <c r="U295" i="3"/>
  <c r="K480" i="3"/>
  <c r="L480" i="3" s="1"/>
  <c r="M480" i="3" s="1"/>
  <c r="R480" i="3" s="1"/>
  <c r="T480" i="3" s="1"/>
  <c r="U480" i="3"/>
  <c r="K362" i="3"/>
  <c r="L362" i="3" s="1"/>
  <c r="M362" i="3" s="1"/>
  <c r="U362" i="3"/>
  <c r="K399" i="3"/>
  <c r="L399" i="3" s="1"/>
  <c r="M399" i="3" s="1"/>
  <c r="R399" i="3" s="1"/>
  <c r="U399" i="3"/>
  <c r="K402" i="3"/>
  <c r="L402" i="3" s="1"/>
  <c r="M402" i="3" s="1"/>
  <c r="U402" i="3"/>
  <c r="K318" i="3"/>
  <c r="L318" i="3" s="1"/>
  <c r="M318" i="3" s="1"/>
  <c r="R318" i="3" s="1"/>
  <c r="T318" i="3" s="1"/>
  <c r="U318" i="3"/>
  <c r="K352" i="3"/>
  <c r="L352" i="3" s="1"/>
  <c r="M352" i="3" s="1"/>
  <c r="R352" i="3" s="1"/>
  <c r="S352" i="3" s="1"/>
  <c r="U352" i="3"/>
  <c r="K520" i="3"/>
  <c r="L520" i="3" s="1"/>
  <c r="M520" i="3" s="1"/>
  <c r="Q520" i="3" s="1"/>
  <c r="U520" i="3"/>
  <c r="K485" i="3"/>
  <c r="L485" i="3" s="1"/>
  <c r="M485" i="3" s="1"/>
  <c r="R485" i="3" s="1"/>
  <c r="S485" i="3" s="1"/>
  <c r="U485" i="3"/>
  <c r="K775" i="3"/>
  <c r="L775" i="3" s="1"/>
  <c r="M775" i="3" s="1"/>
  <c r="Q775" i="3" s="1"/>
  <c r="U775" i="3"/>
  <c r="K628" i="3"/>
  <c r="L628" i="3" s="1"/>
  <c r="M628" i="3" s="1"/>
  <c r="R628" i="3" s="1"/>
  <c r="S628" i="3" s="1"/>
  <c r="U628" i="3"/>
  <c r="K534" i="3"/>
  <c r="L534" i="3" s="1"/>
  <c r="M534" i="3" s="1"/>
  <c r="R534" i="3" s="1"/>
  <c r="S534" i="3" s="1"/>
  <c r="U534" i="3"/>
  <c r="K702" i="3"/>
  <c r="L702" i="3" s="1"/>
  <c r="M702" i="3" s="1"/>
  <c r="Q702" i="3" s="1"/>
  <c r="U702" i="3"/>
  <c r="K574" i="3"/>
  <c r="L574" i="3" s="1"/>
  <c r="M574" i="3" s="1"/>
  <c r="R574" i="3" s="1"/>
  <c r="S574" i="3" s="1"/>
  <c r="U574" i="3"/>
  <c r="K778" i="3"/>
  <c r="L778" i="3" s="1"/>
  <c r="M778" i="3" s="1"/>
  <c r="U778" i="3"/>
  <c r="K38" i="3"/>
  <c r="L38" i="3" s="1"/>
  <c r="M38" i="3" s="1"/>
  <c r="R38" i="3" s="1"/>
  <c r="U38" i="3"/>
  <c r="K366" i="3"/>
  <c r="L366" i="3" s="1"/>
  <c r="M366" i="3" s="1"/>
  <c r="U366" i="3"/>
  <c r="K201" i="3"/>
  <c r="L201" i="3" s="1"/>
  <c r="M201" i="3" s="1"/>
  <c r="U201" i="3"/>
  <c r="K407" i="3"/>
  <c r="L407" i="3" s="1"/>
  <c r="M407" i="3" s="1"/>
  <c r="U407" i="3"/>
  <c r="K356" i="3"/>
  <c r="L356" i="3" s="1"/>
  <c r="M356" i="3" s="1"/>
  <c r="U356" i="3"/>
  <c r="K550" i="3"/>
  <c r="L550" i="3" s="1"/>
  <c r="M550" i="3" s="1"/>
  <c r="U550" i="3"/>
  <c r="K558" i="3"/>
  <c r="L558" i="3" s="1"/>
  <c r="M558" i="3" s="1"/>
  <c r="R558" i="3" s="1"/>
  <c r="U558" i="3"/>
  <c r="K511" i="3"/>
  <c r="L511" i="3" s="1"/>
  <c r="M511" i="3" s="1"/>
  <c r="Q511" i="3" s="1"/>
  <c r="U511" i="3"/>
  <c r="P636" i="3"/>
  <c r="U636" i="3"/>
  <c r="P801" i="3"/>
  <c r="U801" i="3"/>
  <c r="K449" i="3"/>
  <c r="L449" i="3" s="1"/>
  <c r="M449" i="3" s="1"/>
  <c r="U449" i="3"/>
  <c r="K716" i="3"/>
  <c r="L716" i="3" s="1"/>
  <c r="M716" i="3" s="1"/>
  <c r="U716" i="3"/>
  <c r="K609" i="3"/>
  <c r="L609" i="3" s="1"/>
  <c r="M609" i="3" s="1"/>
  <c r="U609" i="3"/>
  <c r="K578" i="3"/>
  <c r="L578" i="3" s="1"/>
  <c r="M578" i="3" s="1"/>
  <c r="U578" i="3"/>
  <c r="P783" i="3"/>
  <c r="U783" i="3"/>
  <c r="P76" i="3"/>
  <c r="U76" i="3"/>
  <c r="P226" i="3"/>
  <c r="U226" i="3"/>
  <c r="K120" i="3"/>
  <c r="L120" i="3" s="1"/>
  <c r="M120" i="3" s="1"/>
  <c r="R120" i="3" s="1"/>
  <c r="S120" i="3" s="1"/>
  <c r="U120" i="3"/>
  <c r="P408" i="3"/>
  <c r="U408" i="3"/>
  <c r="K391" i="3"/>
  <c r="L391" i="3" s="1"/>
  <c r="M391" i="3" s="1"/>
  <c r="U391" i="3"/>
  <c r="P238" i="3"/>
  <c r="U238" i="3"/>
  <c r="K114" i="3"/>
  <c r="L114" i="3" s="1"/>
  <c r="M114" i="3" s="1"/>
  <c r="U114" i="3"/>
  <c r="K364" i="3"/>
  <c r="L364" i="3" s="1"/>
  <c r="M364" i="3" s="1"/>
  <c r="U364" i="3"/>
  <c r="K363" i="3"/>
  <c r="L363" i="3" s="1"/>
  <c r="M363" i="3" s="1"/>
  <c r="U363" i="3"/>
  <c r="K645" i="3"/>
  <c r="L645" i="3" s="1"/>
  <c r="M645" i="3" s="1"/>
  <c r="U645" i="3"/>
  <c r="K377" i="3"/>
  <c r="L377" i="3" s="1"/>
  <c r="M377" i="3" s="1"/>
  <c r="U377" i="3"/>
  <c r="P715" i="3"/>
  <c r="U715" i="3"/>
  <c r="K570" i="3"/>
  <c r="L570" i="3" s="1"/>
  <c r="M570" i="3" s="1"/>
  <c r="U570" i="3"/>
  <c r="P471" i="3"/>
  <c r="U471" i="3"/>
  <c r="K452" i="3"/>
  <c r="L452" i="3" s="1"/>
  <c r="M452" i="3" s="1"/>
  <c r="U452" i="3"/>
  <c r="T661" i="3"/>
  <c r="R705" i="3"/>
  <c r="S705" i="3" s="1"/>
  <c r="K321" i="3"/>
  <c r="L321" i="3" s="1"/>
  <c r="M321" i="3" s="1"/>
  <c r="R321" i="3" s="1"/>
  <c r="U321" i="3"/>
  <c r="K52" i="3"/>
  <c r="L52" i="3" s="1"/>
  <c r="M52" i="3" s="1"/>
  <c r="R52" i="3" s="1"/>
  <c r="U52" i="3"/>
  <c r="K343" i="3"/>
  <c r="L343" i="3" s="1"/>
  <c r="M343" i="3" s="1"/>
  <c r="U343" i="3"/>
  <c r="K276" i="3"/>
  <c r="L276" i="3" s="1"/>
  <c r="M276" i="3" s="1"/>
  <c r="U276" i="3"/>
  <c r="K594" i="3"/>
  <c r="L594" i="3" s="1"/>
  <c r="M594" i="3" s="1"/>
  <c r="Q594" i="3" s="1"/>
  <c r="U594" i="3"/>
  <c r="K699" i="3"/>
  <c r="L699" i="3" s="1"/>
  <c r="M699" i="3" s="1"/>
  <c r="R699" i="3" s="1"/>
  <c r="U699" i="3"/>
  <c r="K535" i="3"/>
  <c r="L535" i="3" s="1"/>
  <c r="M535" i="3" s="1"/>
  <c r="U535" i="3"/>
  <c r="K507" i="3"/>
  <c r="L507" i="3" s="1"/>
  <c r="M507" i="3" s="1"/>
  <c r="U507" i="3"/>
  <c r="K675" i="3"/>
  <c r="L675" i="3" s="1"/>
  <c r="M675" i="3" s="1"/>
  <c r="U675" i="3"/>
  <c r="K596" i="3"/>
  <c r="L596" i="3" s="1"/>
  <c r="M596" i="3" s="1"/>
  <c r="Q596" i="3" s="1"/>
  <c r="U596" i="3"/>
  <c r="P736" i="3"/>
  <c r="U736" i="3"/>
  <c r="K488" i="3"/>
  <c r="L488" i="3" s="1"/>
  <c r="M488" i="3" s="1"/>
  <c r="U488" i="3"/>
  <c r="R433" i="3"/>
  <c r="S433" i="3" s="1"/>
  <c r="P34" i="3"/>
  <c r="U34" i="3"/>
  <c r="P32" i="3"/>
  <c r="U32" i="3"/>
  <c r="K347" i="3"/>
  <c r="L347" i="3" s="1"/>
  <c r="M347" i="3" s="1"/>
  <c r="R347" i="3" s="1"/>
  <c r="S347" i="3" s="1"/>
  <c r="U347" i="3"/>
  <c r="K392" i="3"/>
  <c r="L392" i="3" s="1"/>
  <c r="M392" i="3" s="1"/>
  <c r="U392" i="3"/>
  <c r="P456" i="3"/>
  <c r="U456" i="3"/>
  <c r="P243" i="3"/>
  <c r="U243" i="3"/>
  <c r="K207" i="3"/>
  <c r="L207" i="3" s="1"/>
  <c r="M207" i="3" s="1"/>
  <c r="U207" i="3"/>
  <c r="K393" i="3"/>
  <c r="L393" i="3" s="1"/>
  <c r="M393" i="3" s="1"/>
  <c r="U393" i="3"/>
  <c r="K627" i="3"/>
  <c r="L627" i="3" s="1"/>
  <c r="M627" i="3" s="1"/>
  <c r="U627" i="3"/>
  <c r="K580" i="3"/>
  <c r="L580" i="3" s="1"/>
  <c r="M580" i="3" s="1"/>
  <c r="U580" i="3"/>
  <c r="K719" i="3"/>
  <c r="L719" i="3" s="1"/>
  <c r="M719" i="3" s="1"/>
  <c r="U719" i="3"/>
  <c r="K491" i="3"/>
  <c r="L491" i="3" s="1"/>
  <c r="M491" i="3" s="1"/>
  <c r="U491" i="3"/>
  <c r="K701" i="3"/>
  <c r="L701" i="3" s="1"/>
  <c r="M701" i="3" s="1"/>
  <c r="U701" i="3"/>
  <c r="K518" i="3"/>
  <c r="L518" i="3" s="1"/>
  <c r="M518" i="3" s="1"/>
  <c r="U518" i="3"/>
  <c r="K223" i="3"/>
  <c r="L223" i="3" s="1"/>
  <c r="M223" i="3" s="1"/>
  <c r="U223" i="3"/>
  <c r="S781" i="3"/>
  <c r="Q786" i="3"/>
  <c r="P23" i="3"/>
  <c r="U23" i="3"/>
  <c r="K21" i="3"/>
  <c r="L21" i="3" s="1"/>
  <c r="M21" i="3" s="1"/>
  <c r="U21" i="3"/>
  <c r="K19" i="3"/>
  <c r="L19" i="3" s="1"/>
  <c r="M19" i="3" s="1"/>
  <c r="Q19" i="3" s="1"/>
  <c r="U19" i="3"/>
  <c r="P112" i="3"/>
  <c r="U112" i="3"/>
  <c r="K396" i="3"/>
  <c r="L396" i="3" s="1"/>
  <c r="M396" i="3" s="1"/>
  <c r="U396" i="3"/>
  <c r="K285" i="3"/>
  <c r="L285" i="3" s="1"/>
  <c r="M285" i="3" s="1"/>
  <c r="R285" i="3" s="1"/>
  <c r="U285" i="3"/>
  <c r="K119" i="3"/>
  <c r="L119" i="3" s="1"/>
  <c r="M119" i="3" s="1"/>
  <c r="R119" i="3" s="1"/>
  <c r="S119" i="3" s="1"/>
  <c r="U119" i="3"/>
  <c r="K472" i="3"/>
  <c r="L472" i="3" s="1"/>
  <c r="M472" i="3" s="1"/>
  <c r="R472" i="3" s="1"/>
  <c r="U472" i="3"/>
  <c r="K394" i="3"/>
  <c r="L394" i="3" s="1"/>
  <c r="M394" i="3" s="1"/>
  <c r="R394" i="3" s="1"/>
  <c r="U394" i="3"/>
  <c r="K547" i="3"/>
  <c r="L547" i="3" s="1"/>
  <c r="M547" i="3" s="1"/>
  <c r="Q547" i="3" s="1"/>
  <c r="U547" i="3"/>
  <c r="K502" i="3"/>
  <c r="L502" i="3" s="1"/>
  <c r="M502" i="3" s="1"/>
  <c r="U502" i="3"/>
  <c r="K405" i="3"/>
  <c r="L405" i="3" s="1"/>
  <c r="M405" i="3" s="1"/>
  <c r="U405" i="3"/>
  <c r="K691" i="3"/>
  <c r="L691" i="3" s="1"/>
  <c r="M691" i="3" s="1"/>
  <c r="U691" i="3"/>
  <c r="K93" i="3"/>
  <c r="L93" i="3" s="1"/>
  <c r="M93" i="3" s="1"/>
  <c r="U93" i="3"/>
  <c r="K639" i="3"/>
  <c r="L639" i="3" s="1"/>
  <c r="M639" i="3" s="1"/>
  <c r="Q639" i="3" s="1"/>
  <c r="U639" i="3"/>
  <c r="P536" i="3"/>
  <c r="U536" i="3"/>
  <c r="P777" i="3"/>
  <c r="U777" i="3"/>
  <c r="K104" i="3"/>
  <c r="L104" i="3" s="1"/>
  <c r="M104" i="3" s="1"/>
  <c r="R104" i="3" s="1"/>
  <c r="U104" i="3"/>
  <c r="R383" i="3"/>
  <c r="S383" i="3" s="1"/>
  <c r="Q744" i="3"/>
  <c r="Q376" i="3"/>
  <c r="K11" i="3"/>
  <c r="L11" i="3" s="1"/>
  <c r="M11" i="3" s="1"/>
  <c r="U11" i="3"/>
  <c r="K9" i="3"/>
  <c r="L9" i="3" s="1"/>
  <c r="M9" i="3" s="1"/>
  <c r="U9" i="3"/>
  <c r="P30" i="3"/>
  <c r="U30" i="3"/>
  <c r="K203" i="3"/>
  <c r="L203" i="3" s="1"/>
  <c r="M203" i="3" s="1"/>
  <c r="U203" i="3"/>
  <c r="K400" i="3"/>
  <c r="L400" i="3" s="1"/>
  <c r="M400" i="3" s="1"/>
  <c r="R400" i="3" s="1"/>
  <c r="U400" i="3"/>
  <c r="K311" i="3"/>
  <c r="L311" i="3" s="1"/>
  <c r="M311" i="3" s="1"/>
  <c r="U311" i="3"/>
  <c r="K123" i="3"/>
  <c r="L123" i="3" s="1"/>
  <c r="M123" i="3" s="1"/>
  <c r="R123" i="3" s="1"/>
  <c r="S123" i="3" s="1"/>
  <c r="U123" i="3"/>
  <c r="K293" i="3"/>
  <c r="L293" i="3" s="1"/>
  <c r="M293" i="3" s="1"/>
  <c r="R293" i="3" s="1"/>
  <c r="T293" i="3" s="1"/>
  <c r="U293" i="3"/>
  <c r="K69" i="3"/>
  <c r="L69" i="3" s="1"/>
  <c r="M69" i="3" s="1"/>
  <c r="U69" i="3"/>
  <c r="K227" i="3"/>
  <c r="L227" i="3" s="1"/>
  <c r="M227" i="3" s="1"/>
  <c r="U227" i="3"/>
  <c r="K292" i="3"/>
  <c r="L292" i="3" s="1"/>
  <c r="M292" i="3" s="1"/>
  <c r="U292" i="3"/>
  <c r="K713" i="3"/>
  <c r="L713" i="3" s="1"/>
  <c r="M713" i="3" s="1"/>
  <c r="U713" i="3"/>
  <c r="K682" i="3"/>
  <c r="L682" i="3" s="1"/>
  <c r="M682" i="3" s="1"/>
  <c r="U682" i="3"/>
  <c r="K575" i="3"/>
  <c r="L575" i="3" s="1"/>
  <c r="M575" i="3" s="1"/>
  <c r="U575" i="3"/>
  <c r="R239" i="3"/>
  <c r="T239" i="3" s="1"/>
  <c r="T354" i="3"/>
  <c r="R353" i="3"/>
  <c r="S353" i="3" s="1"/>
  <c r="R758" i="3"/>
  <c r="T758" i="3" s="1"/>
  <c r="K79" i="3"/>
  <c r="L79" i="3" s="1"/>
  <c r="M79" i="3" s="1"/>
  <c r="U79" i="3"/>
  <c r="K404" i="3"/>
  <c r="L404" i="3" s="1"/>
  <c r="M404" i="3" s="1"/>
  <c r="U404" i="3"/>
  <c r="K144" i="3"/>
  <c r="L144" i="3" s="1"/>
  <c r="M144" i="3" s="1"/>
  <c r="U144" i="3"/>
  <c r="K16" i="3"/>
  <c r="L16" i="3" s="1"/>
  <c r="M16" i="3" s="1"/>
  <c r="R16" i="3" s="1"/>
  <c r="U16" i="3"/>
  <c r="K225" i="3"/>
  <c r="L225" i="3" s="1"/>
  <c r="M225" i="3" s="1"/>
  <c r="U225" i="3"/>
  <c r="K360" i="3"/>
  <c r="L360" i="3" s="1"/>
  <c r="M360" i="3" s="1"/>
  <c r="U360" i="3"/>
  <c r="K563" i="3"/>
  <c r="L563" i="3" s="1"/>
  <c r="M563" i="3" s="1"/>
  <c r="U563" i="3"/>
  <c r="K680" i="3"/>
  <c r="L680" i="3" s="1"/>
  <c r="M680" i="3" s="1"/>
  <c r="R680" i="3" s="1"/>
  <c r="U680" i="3"/>
  <c r="P453" i="3"/>
  <c r="U453" i="3"/>
  <c r="P8" i="3"/>
  <c r="U8" i="3"/>
  <c r="K760" i="3"/>
  <c r="L760" i="3" s="1"/>
  <c r="M760" i="3" s="1"/>
  <c r="U760" i="3"/>
  <c r="K184" i="3"/>
  <c r="L184" i="3" s="1"/>
  <c r="M184" i="3" s="1"/>
  <c r="U184" i="3"/>
  <c r="K248" i="3"/>
  <c r="L248" i="3" s="1"/>
  <c r="M248" i="3" s="1"/>
  <c r="R248" i="3" s="1"/>
  <c r="T248" i="3" s="1"/>
  <c r="U248" i="3"/>
  <c r="K305" i="3"/>
  <c r="L305" i="3" s="1"/>
  <c r="M305" i="3" s="1"/>
  <c r="U305" i="3"/>
  <c r="K224" i="3"/>
  <c r="L224" i="3" s="1"/>
  <c r="M224" i="3" s="1"/>
  <c r="U224" i="3"/>
  <c r="K84" i="3"/>
  <c r="L84" i="3" s="1"/>
  <c r="M84" i="3" s="1"/>
  <c r="R84" i="3" s="1"/>
  <c r="T84" i="3" s="1"/>
  <c r="U84" i="3"/>
  <c r="K236" i="3"/>
  <c r="L236" i="3" s="1"/>
  <c r="M236" i="3" s="1"/>
  <c r="R236" i="3" s="1"/>
  <c r="S236" i="3" s="1"/>
  <c r="U236" i="3"/>
  <c r="K693" i="3"/>
  <c r="L693" i="3" s="1"/>
  <c r="M693" i="3" s="1"/>
  <c r="U693" i="3"/>
  <c r="K755" i="3"/>
  <c r="L755" i="3" s="1"/>
  <c r="M755" i="3" s="1"/>
  <c r="U755" i="3"/>
  <c r="K717" i="3"/>
  <c r="L717" i="3" s="1"/>
  <c r="M717" i="3" s="1"/>
  <c r="U717" i="3"/>
  <c r="K712" i="3"/>
  <c r="L712" i="3" s="1"/>
  <c r="M712" i="3" s="1"/>
  <c r="R712" i="3" s="1"/>
  <c r="T712" i="3" s="1"/>
  <c r="U712" i="3"/>
  <c r="K611" i="3"/>
  <c r="L611" i="3" s="1"/>
  <c r="M611" i="3" s="1"/>
  <c r="U611" i="3"/>
  <c r="P789" i="3"/>
  <c r="U789" i="3"/>
  <c r="K414" i="3"/>
  <c r="L414" i="3" s="1"/>
  <c r="M414" i="3" s="1"/>
  <c r="U414" i="3"/>
  <c r="S610" i="3"/>
  <c r="K3" i="3"/>
  <c r="L3" i="3" s="1"/>
  <c r="M3" i="3" s="1"/>
  <c r="U3" i="3"/>
  <c r="Q130" i="3"/>
  <c r="T370" i="3"/>
  <c r="Q269" i="3"/>
  <c r="T436" i="3"/>
  <c r="Q351" i="3"/>
  <c r="T29" i="3"/>
  <c r="Q132" i="3"/>
  <c r="S82" i="3"/>
  <c r="S132" i="3"/>
  <c r="R196" i="3"/>
  <c r="S196" i="3" s="1"/>
  <c r="T365" i="3"/>
  <c r="S554" i="3"/>
  <c r="Q688" i="3"/>
  <c r="T688" i="3"/>
  <c r="S737" i="3"/>
  <c r="Q379" i="3"/>
  <c r="S379" i="3"/>
  <c r="Q737" i="3"/>
  <c r="Q731" i="3"/>
  <c r="Q29" i="3"/>
  <c r="T629" i="3"/>
  <c r="Q370" i="3"/>
  <c r="Q7" i="3"/>
  <c r="S72" i="3"/>
  <c r="Q397" i="3"/>
  <c r="T571" i="3"/>
  <c r="T731" i="3"/>
  <c r="P102" i="3"/>
  <c r="S269" i="3"/>
  <c r="R286" i="3"/>
  <c r="S286" i="3" s="1"/>
  <c r="Q338" i="3"/>
  <c r="R581" i="3"/>
  <c r="T581" i="3" s="1"/>
  <c r="T351" i="3"/>
  <c r="Q365" i="3"/>
  <c r="Q554" i="3"/>
  <c r="P399" i="3"/>
  <c r="P724" i="3"/>
  <c r="S41" i="3"/>
  <c r="T41" i="3"/>
  <c r="Q192" i="3"/>
  <c r="S381" i="3"/>
  <c r="P155" i="3"/>
  <c r="U155" i="3"/>
  <c r="Q312" i="3"/>
  <c r="P66" i="3"/>
  <c r="R148" i="3"/>
  <c r="S148" i="3" s="1"/>
  <c r="K165" i="3"/>
  <c r="L165" i="3" s="1"/>
  <c r="M165" i="3" s="1"/>
  <c r="U165" i="3"/>
  <c r="K168" i="3"/>
  <c r="L168" i="3" s="1"/>
  <c r="M168" i="3" s="1"/>
  <c r="U168" i="3"/>
  <c r="T273" i="3"/>
  <c r="R559" i="3"/>
  <c r="S559" i="3" s="1"/>
  <c r="P224" i="3"/>
  <c r="P654" i="3"/>
  <c r="Q273" i="3"/>
  <c r="L613" i="3"/>
  <c r="M613" i="3" s="1"/>
  <c r="R613" i="3" s="1"/>
  <c r="S613" i="3" s="1"/>
  <c r="P372" i="3"/>
  <c r="P107" i="3"/>
  <c r="K160" i="3"/>
  <c r="L160" i="3" s="1"/>
  <c r="M160" i="3" s="1"/>
  <c r="U160" i="3"/>
  <c r="P357" i="3"/>
  <c r="Q27" i="3"/>
  <c r="T294" i="3"/>
  <c r="T312" i="3"/>
  <c r="T733" i="3"/>
  <c r="Q571" i="3"/>
  <c r="L685" i="3"/>
  <c r="M685" i="3" s="1"/>
  <c r="P161" i="3"/>
  <c r="U161" i="3"/>
  <c r="P331" i="3"/>
  <c r="P596" i="3"/>
  <c r="K172" i="3"/>
  <c r="L172" i="3" s="1"/>
  <c r="M172" i="3" s="1"/>
  <c r="Q172" i="3" s="1"/>
  <c r="U172" i="3"/>
  <c r="P152" i="3"/>
  <c r="U152" i="3"/>
  <c r="Q66" i="3"/>
  <c r="R630" i="3"/>
  <c r="S630" i="3" s="1"/>
  <c r="Q436" i="3"/>
  <c r="R795" i="3"/>
  <c r="T795" i="3" s="1"/>
  <c r="Q510" i="3"/>
  <c r="P176" i="3"/>
  <c r="U176" i="3"/>
  <c r="P356" i="3"/>
  <c r="K163" i="3"/>
  <c r="L163" i="3" s="1"/>
  <c r="M163" i="3" s="1"/>
  <c r="U163" i="3"/>
  <c r="P520" i="3"/>
  <c r="P389" i="3"/>
  <c r="P744" i="3"/>
  <c r="R206" i="4"/>
  <c r="S206" i="4"/>
  <c r="R23" i="4"/>
  <c r="L129" i="4"/>
  <c r="M129" i="4" s="1"/>
  <c r="N129" i="4" s="1"/>
  <c r="S129" i="4" s="1"/>
  <c r="V129" i="4"/>
  <c r="Q243" i="4"/>
  <c r="V243" i="4"/>
  <c r="L75" i="4"/>
  <c r="M75" i="4" s="1"/>
  <c r="N75" i="4" s="1"/>
  <c r="R75" i="4" s="1"/>
  <c r="V75" i="4"/>
  <c r="S85" i="4"/>
  <c r="T85" i="4" s="1"/>
  <c r="S154" i="4"/>
  <c r="T154" i="4" s="1"/>
  <c r="L105" i="4"/>
  <c r="M105" i="4" s="1"/>
  <c r="N105" i="4" s="1"/>
  <c r="V105" i="4"/>
  <c r="Q219" i="4"/>
  <c r="V219" i="4"/>
  <c r="L51" i="4"/>
  <c r="M51" i="4" s="1"/>
  <c r="N51" i="4" s="1"/>
  <c r="V51" i="4"/>
  <c r="S49" i="4"/>
  <c r="L93" i="4"/>
  <c r="M93" i="4" s="1"/>
  <c r="N93" i="4" s="1"/>
  <c r="R93" i="4" s="1"/>
  <c r="V93" i="4"/>
  <c r="L207" i="4"/>
  <c r="M207" i="4" s="1"/>
  <c r="N207" i="4" s="1"/>
  <c r="R207" i="4" s="1"/>
  <c r="V207" i="4"/>
  <c r="U179" i="4"/>
  <c r="L249" i="4"/>
  <c r="M249" i="4" s="1"/>
  <c r="N249" i="4" s="1"/>
  <c r="S249" i="4" s="1"/>
  <c r="T249" i="4" s="1"/>
  <c r="V249" i="4"/>
  <c r="L81" i="4"/>
  <c r="M81" i="4" s="1"/>
  <c r="N81" i="4" s="1"/>
  <c r="V81" i="4"/>
  <c r="L27" i="4"/>
  <c r="M27" i="4" s="1"/>
  <c r="N27" i="4" s="1"/>
  <c r="V27" i="4"/>
  <c r="S14" i="4"/>
  <c r="S59" i="4"/>
  <c r="S64" i="4"/>
  <c r="L237" i="4"/>
  <c r="M237" i="4" s="1"/>
  <c r="N237" i="4" s="1"/>
  <c r="V237" i="4"/>
  <c r="L69" i="4"/>
  <c r="M69" i="4" s="1"/>
  <c r="N69" i="4" s="1"/>
  <c r="V69" i="4"/>
  <c r="L15" i="4"/>
  <c r="M15" i="4" s="1"/>
  <c r="N15" i="4" s="1"/>
  <c r="V15" i="4"/>
  <c r="S13" i="4"/>
  <c r="L225" i="4"/>
  <c r="M225" i="4" s="1"/>
  <c r="N225" i="4" s="1"/>
  <c r="V225" i="4"/>
  <c r="L57" i="4"/>
  <c r="M57" i="4" s="1"/>
  <c r="N57" i="4" s="1"/>
  <c r="V57" i="4"/>
  <c r="L147" i="4"/>
  <c r="M147" i="4" s="1"/>
  <c r="N147" i="4" s="1"/>
  <c r="V147" i="4"/>
  <c r="S26" i="4"/>
  <c r="U26" i="4" s="1"/>
  <c r="S107" i="4"/>
  <c r="U107" i="4" s="1"/>
  <c r="L201" i="4"/>
  <c r="M201" i="4" s="1"/>
  <c r="N201" i="4" s="1"/>
  <c r="S201" i="4" s="1"/>
  <c r="V201" i="4"/>
  <c r="L45" i="4"/>
  <c r="M45" i="4" s="1"/>
  <c r="N45" i="4" s="1"/>
  <c r="V45" i="4"/>
  <c r="L135" i="4"/>
  <c r="M135" i="4" s="1"/>
  <c r="N135" i="4" s="1"/>
  <c r="V135" i="4"/>
  <c r="S112" i="4"/>
  <c r="L189" i="4"/>
  <c r="M189" i="4" s="1"/>
  <c r="N189" i="4" s="1"/>
  <c r="V189" i="4"/>
  <c r="L33" i="4"/>
  <c r="M33" i="4" s="1"/>
  <c r="N33" i="4" s="1"/>
  <c r="V33" i="4"/>
  <c r="Q123" i="4"/>
  <c r="V123" i="4"/>
  <c r="L165" i="4"/>
  <c r="M165" i="4" s="1"/>
  <c r="N165" i="4" s="1"/>
  <c r="S165" i="4" s="1"/>
  <c r="T165" i="4" s="1"/>
  <c r="V165" i="4"/>
  <c r="L111" i="4"/>
  <c r="M111" i="4" s="1"/>
  <c r="N111" i="4" s="1"/>
  <c r="R111" i="4" s="1"/>
  <c r="V111" i="4"/>
  <c r="L63" i="4"/>
  <c r="M63" i="4" s="1"/>
  <c r="N63" i="4" s="1"/>
  <c r="V63" i="4"/>
  <c r="L153" i="4"/>
  <c r="M153" i="4" s="1"/>
  <c r="N153" i="4" s="1"/>
  <c r="S153" i="4" s="1"/>
  <c r="T153" i="4" s="1"/>
  <c r="V153" i="4"/>
  <c r="L9" i="4"/>
  <c r="M9" i="4" s="1"/>
  <c r="N9" i="4" s="1"/>
  <c r="R9" i="4" s="1"/>
  <c r="V9" i="4"/>
  <c r="L99" i="4"/>
  <c r="M99" i="4" s="1"/>
  <c r="N99" i="4" s="1"/>
  <c r="V99" i="4"/>
  <c r="L117" i="4"/>
  <c r="M117" i="4" s="1"/>
  <c r="N117" i="4" s="1"/>
  <c r="V117" i="4"/>
  <c r="L141" i="4"/>
  <c r="M141" i="4" s="1"/>
  <c r="N141" i="4" s="1"/>
  <c r="V141" i="4"/>
  <c r="L255" i="4"/>
  <c r="M255" i="4" s="1"/>
  <c r="N255" i="4" s="1"/>
  <c r="V255" i="4"/>
  <c r="L87" i="4"/>
  <c r="M87" i="4" s="1"/>
  <c r="N87" i="4" s="1"/>
  <c r="V87" i="4"/>
  <c r="S22" i="4"/>
  <c r="T22" i="4" s="1"/>
  <c r="S163" i="4"/>
  <c r="T163" i="4" s="1"/>
  <c r="R142" i="4"/>
  <c r="U132" i="4"/>
  <c r="R21" i="4"/>
  <c r="S230" i="4"/>
  <c r="R126" i="4"/>
  <c r="S146" i="4"/>
  <c r="T146" i="4" s="1"/>
  <c r="U233" i="4"/>
  <c r="U227" i="4"/>
  <c r="U236" i="4"/>
  <c r="S12" i="4"/>
  <c r="T12" i="4" s="1"/>
  <c r="S111" i="4"/>
  <c r="T111" i="4" s="1"/>
  <c r="T152" i="4"/>
  <c r="U152" i="4"/>
  <c r="R167" i="4"/>
  <c r="S167" i="4"/>
  <c r="S120" i="4"/>
  <c r="R120" i="4"/>
  <c r="R37" i="4"/>
  <c r="S84" i="4"/>
  <c r="U84" i="4" s="1"/>
  <c r="U203" i="4"/>
  <c r="S17" i="4"/>
  <c r="T17" i="4" s="1"/>
  <c r="S93" i="4"/>
  <c r="T93" i="4" s="1"/>
  <c r="S158" i="4"/>
  <c r="T158" i="4" s="1"/>
  <c r="U140" i="4"/>
  <c r="S101" i="4"/>
  <c r="U101" i="4" s="1"/>
  <c r="Q57" i="4"/>
  <c r="S53" i="4"/>
  <c r="T53" i="4" s="1"/>
  <c r="S73" i="4"/>
  <c r="T73" i="4" s="1"/>
  <c r="S94" i="4"/>
  <c r="R152" i="4"/>
  <c r="Q63" i="4"/>
  <c r="S170" i="4"/>
  <c r="T170" i="4" s="1"/>
  <c r="Q135" i="4"/>
  <c r="S182" i="4"/>
  <c r="T182" i="4" s="1"/>
  <c r="Q207" i="4"/>
  <c r="S194" i="4"/>
  <c r="T194" i="4" s="1"/>
  <c r="S58" i="4"/>
  <c r="T58" i="4" s="1"/>
  <c r="S109" i="4"/>
  <c r="U109" i="4" s="1"/>
  <c r="U195" i="4"/>
  <c r="S133" i="4"/>
  <c r="R133" i="4"/>
  <c r="S137" i="4"/>
  <c r="R137" i="4"/>
  <c r="R127" i="4"/>
  <c r="S127" i="4"/>
  <c r="T127" i="4" s="1"/>
  <c r="Q69" i="4"/>
  <c r="Q111" i="4"/>
  <c r="Q117" i="4"/>
  <c r="Q141" i="4"/>
  <c r="Q165" i="4"/>
  <c r="R185" i="4"/>
  <c r="U215" i="4"/>
  <c r="Q15" i="4"/>
  <c r="Q237" i="4"/>
  <c r="Q21" i="4"/>
  <c r="T3" i="4"/>
  <c r="Q45" i="4"/>
  <c r="R131" i="4"/>
  <c r="S131" i="4"/>
  <c r="T129" i="4"/>
  <c r="U129" i="4"/>
  <c r="R156" i="4"/>
  <c r="S156" i="4"/>
  <c r="T156" i="4" s="1"/>
  <c r="R46" i="4"/>
  <c r="S46" i="4"/>
  <c r="T46" i="4" s="1"/>
  <c r="S143" i="4"/>
  <c r="U143" i="4" s="1"/>
  <c r="R143" i="4"/>
  <c r="R162" i="4"/>
  <c r="S162" i="4"/>
  <c r="T162" i="4" s="1"/>
  <c r="S151" i="4"/>
  <c r="T151" i="4" s="1"/>
  <c r="R151" i="4"/>
  <c r="R113" i="4"/>
  <c r="S113" i="4"/>
  <c r="S121" i="4"/>
  <c r="R121" i="4"/>
  <c r="R66" i="4"/>
  <c r="S66" i="4"/>
  <c r="U66" i="4" s="1"/>
  <c r="S125" i="4"/>
  <c r="R125" i="4"/>
  <c r="R160" i="4"/>
  <c r="S160" i="4"/>
  <c r="T160" i="4" s="1"/>
  <c r="R138" i="4"/>
  <c r="S116" i="4"/>
  <c r="T116" i="4" s="1"/>
  <c r="S82" i="4"/>
  <c r="U82" i="4" s="1"/>
  <c r="Q39" i="4"/>
  <c r="Q201" i="4"/>
  <c r="R124" i="4"/>
  <c r="L231" i="4"/>
  <c r="M231" i="4" s="1"/>
  <c r="N231" i="4" s="1"/>
  <c r="Q51" i="4"/>
  <c r="S96" i="4"/>
  <c r="T96" i="4" s="1"/>
  <c r="S95" i="4"/>
  <c r="T95" i="4" s="1"/>
  <c r="L219" i="4"/>
  <c r="M219" i="4" s="1"/>
  <c r="N219" i="4" s="1"/>
  <c r="Q129" i="4"/>
  <c r="Q225" i="4"/>
  <c r="R16" i="4"/>
  <c r="S16" i="4"/>
  <c r="L261" i="4"/>
  <c r="M261" i="4" s="1"/>
  <c r="N261" i="4" s="1"/>
  <c r="Q231" i="4"/>
  <c r="L183" i="4"/>
  <c r="M183" i="4" s="1"/>
  <c r="N183" i="4" s="1"/>
  <c r="R72" i="4"/>
  <c r="S72" i="4"/>
  <c r="R56" i="4"/>
  <c r="S56" i="4"/>
  <c r="S75" i="4"/>
  <c r="T75" i="4" s="1"/>
  <c r="R129" i="4"/>
  <c r="L159" i="4"/>
  <c r="M159" i="4" s="1"/>
  <c r="N159" i="4" s="1"/>
  <c r="Q75" i="4"/>
  <c r="Q147" i="4"/>
  <c r="L243" i="4"/>
  <c r="M243" i="4" s="1"/>
  <c r="N243" i="4" s="1"/>
  <c r="S11" i="4"/>
  <c r="T11" i="4" s="1"/>
  <c r="Q9" i="4"/>
  <c r="Q81" i="4"/>
  <c r="Q153" i="4"/>
  <c r="Q249" i="4"/>
  <c r="R28" i="4"/>
  <c r="S28" i="4"/>
  <c r="S32" i="4"/>
  <c r="Q87" i="4"/>
  <c r="Q159" i="4"/>
  <c r="Q255" i="4"/>
  <c r="R48" i="4"/>
  <c r="S48" i="4"/>
  <c r="R47" i="4"/>
  <c r="L123" i="4"/>
  <c r="M123" i="4" s="1"/>
  <c r="N123" i="4" s="1"/>
  <c r="Q93" i="4"/>
  <c r="Q261" i="4"/>
  <c r="R80" i="4"/>
  <c r="S80" i="4"/>
  <c r="S10" i="4"/>
  <c r="U10" i="4" s="1"/>
  <c r="Q27" i="4"/>
  <c r="Q99" i="4"/>
  <c r="Q183" i="4"/>
  <c r="R4" i="4"/>
  <c r="S4" i="4"/>
  <c r="Q33" i="4"/>
  <c r="Q105" i="4"/>
  <c r="Q189" i="4"/>
  <c r="R40" i="4"/>
  <c r="S40" i="4"/>
  <c r="Q385" i="3"/>
  <c r="R385" i="3"/>
  <c r="T385" i="3" s="1"/>
  <c r="T118" i="3"/>
  <c r="T327" i="3"/>
  <c r="Q742" i="3"/>
  <c r="T300" i="3"/>
  <c r="P120" i="3"/>
  <c r="P236" i="3"/>
  <c r="S600" i="3"/>
  <c r="Q245" i="3"/>
  <c r="P519" i="3"/>
  <c r="P475" i="3"/>
  <c r="Q300" i="3"/>
  <c r="Q240" i="3"/>
  <c r="T261" i="3"/>
  <c r="R322" i="3"/>
  <c r="T501" i="3"/>
  <c r="P508" i="3"/>
  <c r="P351" i="3"/>
  <c r="P538" i="3"/>
  <c r="P559" i="3"/>
  <c r="Q118" i="3"/>
  <c r="Q261" i="3"/>
  <c r="S245" i="3"/>
  <c r="Q519" i="3"/>
  <c r="P232" i="3"/>
  <c r="S567" i="3"/>
  <c r="T252" i="3"/>
  <c r="Q600" i="3"/>
  <c r="R88" i="3"/>
  <c r="T88" i="3" s="1"/>
  <c r="R674" i="3"/>
  <c r="T674" i="3" s="1"/>
  <c r="P59" i="3"/>
  <c r="P362" i="3"/>
  <c r="P496" i="3"/>
  <c r="P650" i="3"/>
  <c r="P731" i="3"/>
  <c r="P376" i="3"/>
  <c r="P583" i="3"/>
  <c r="Q327" i="3"/>
  <c r="Q252" i="3"/>
  <c r="P203" i="3"/>
  <c r="P416" i="3"/>
  <c r="R209" i="3"/>
  <c r="Q209" i="3"/>
  <c r="P354" i="3"/>
  <c r="P450" i="3"/>
  <c r="P123" i="3"/>
  <c r="P251" i="3"/>
  <c r="P594" i="3"/>
  <c r="P699" i="3"/>
  <c r="P690" i="3"/>
  <c r="P462" i="3"/>
  <c r="R54" i="3"/>
  <c r="S54" i="3" s="1"/>
  <c r="P439" i="3"/>
  <c r="P225" i="3"/>
  <c r="P237" i="3"/>
  <c r="P360" i="3"/>
  <c r="P304" i="3"/>
  <c r="P608" i="3"/>
  <c r="P642" i="3"/>
  <c r="P713" i="3"/>
  <c r="P571" i="3"/>
  <c r="P295" i="3"/>
  <c r="P147" i="3"/>
  <c r="P468" i="3"/>
  <c r="P199" i="3"/>
  <c r="P511" i="3"/>
  <c r="P712" i="3"/>
  <c r="P633" i="3"/>
  <c r="P753" i="3"/>
  <c r="Q354" i="3"/>
  <c r="Q10" i="3"/>
  <c r="P21" i="3"/>
  <c r="P248" i="3"/>
  <c r="P459" i="3"/>
  <c r="P423" i="3"/>
  <c r="P766" i="3"/>
  <c r="P612" i="3"/>
  <c r="P186" i="3"/>
  <c r="P300" i="3"/>
  <c r="P716" i="3"/>
  <c r="P499" i="3"/>
  <c r="T577" i="3"/>
  <c r="Q381" i="3"/>
  <c r="P131" i="3"/>
  <c r="P474" i="3"/>
  <c r="P298" i="3"/>
  <c r="P569" i="3"/>
  <c r="P639" i="3"/>
  <c r="S649" i="3"/>
  <c r="Q249" i="3"/>
  <c r="P348" i="3"/>
  <c r="P420" i="3"/>
  <c r="P618" i="3"/>
  <c r="Q577" i="3"/>
  <c r="P321" i="3"/>
  <c r="P91" i="3"/>
  <c r="P424" i="3"/>
  <c r="P227" i="3"/>
  <c r="P490" i="3"/>
  <c r="P547" i="3"/>
  <c r="P645" i="3"/>
  <c r="P653" i="3"/>
  <c r="P202" i="3"/>
  <c r="P341" i="3"/>
  <c r="P428" i="3"/>
  <c r="P64" i="3"/>
  <c r="P803" i="3"/>
  <c r="P335" i="3"/>
  <c r="P578" i="3"/>
  <c r="P273" i="3"/>
  <c r="P795" i="3"/>
  <c r="P580" i="3"/>
  <c r="P563" i="3"/>
  <c r="P669" i="3"/>
  <c r="P760" i="3"/>
  <c r="S218" i="3"/>
  <c r="T218" i="3"/>
  <c r="S298" i="3"/>
  <c r="T298" i="3"/>
  <c r="R17" i="3"/>
  <c r="Q17" i="3"/>
  <c r="Q469" i="3"/>
  <c r="R469" i="3"/>
  <c r="T469" i="3" s="1"/>
  <c r="T61" i="3"/>
  <c r="S61" i="3"/>
  <c r="Q445" i="3"/>
  <c r="R445" i="3"/>
  <c r="S445" i="3" s="1"/>
  <c r="R46" i="3"/>
  <c r="Q46" i="3"/>
  <c r="S27" i="3"/>
  <c r="P288" i="3"/>
  <c r="P19" i="3"/>
  <c r="P480" i="3"/>
  <c r="P350" i="3"/>
  <c r="P417" i="3"/>
  <c r="P509" i="3"/>
  <c r="P210" i="3"/>
  <c r="P346" i="3"/>
  <c r="P285" i="3"/>
  <c r="P455" i="3"/>
  <c r="P132" i="3"/>
  <c r="P550" i="3"/>
  <c r="P467" i="3"/>
  <c r="P579" i="3"/>
  <c r="P377" i="3"/>
  <c r="P530" i="3"/>
  <c r="P702" i="3"/>
  <c r="P688" i="3"/>
  <c r="Q426" i="3"/>
  <c r="S579" i="3"/>
  <c r="P39" i="3"/>
  <c r="P375" i="3"/>
  <c r="P425" i="3"/>
  <c r="P514" i="3"/>
  <c r="P184" i="3"/>
  <c r="Q514" i="3"/>
  <c r="P138" i="3"/>
  <c r="P395" i="3"/>
  <c r="P109" i="3"/>
  <c r="P627" i="3"/>
  <c r="P719" i="3"/>
  <c r="P657" i="3"/>
  <c r="P660" i="3"/>
  <c r="P691" i="3"/>
  <c r="P668" i="3"/>
  <c r="P149" i="3"/>
  <c r="P574" i="3"/>
  <c r="Q649" i="3"/>
  <c r="Q128" i="3"/>
  <c r="P204" i="3"/>
  <c r="Q329" i="3"/>
  <c r="P497" i="3"/>
  <c r="Q501" i="3"/>
  <c r="P52" i="3"/>
  <c r="P125" i="3"/>
  <c r="P443" i="3"/>
  <c r="P45" i="3"/>
  <c r="P491" i="3"/>
  <c r="P523" i="3"/>
  <c r="P93" i="3"/>
  <c r="P714" i="3"/>
  <c r="P183" i="3"/>
  <c r="P84" i="3"/>
  <c r="P771" i="3"/>
  <c r="P317" i="3"/>
  <c r="P587" i="3"/>
  <c r="P269" i="3"/>
  <c r="P502" i="3"/>
  <c r="P717" i="3"/>
  <c r="P500" i="3"/>
  <c r="Q567" i="3"/>
  <c r="Q579" i="3"/>
  <c r="P488" i="3"/>
  <c r="P383" i="3"/>
  <c r="P473" i="3"/>
  <c r="P196" i="3"/>
  <c r="P305" i="3"/>
  <c r="P363" i="3"/>
  <c r="P558" i="3"/>
  <c r="P796" i="3"/>
  <c r="P344" i="3"/>
  <c r="R210" i="3"/>
  <c r="S210" i="3" s="1"/>
  <c r="Q802" i="3"/>
  <c r="P704" i="3"/>
  <c r="Q503" i="3"/>
  <c r="P720" i="3"/>
  <c r="T509" i="3"/>
  <c r="Q131" i="3"/>
  <c r="P67" i="3"/>
  <c r="P338" i="3"/>
  <c r="P272" i="3"/>
  <c r="P276" i="3"/>
  <c r="P201" i="3"/>
  <c r="P381" i="3"/>
  <c r="P380" i="3"/>
  <c r="P585" i="3"/>
  <c r="P631" i="3"/>
  <c r="P613" i="3"/>
  <c r="P730" i="3"/>
  <c r="P592" i="3"/>
  <c r="P570" i="3"/>
  <c r="R482" i="3"/>
  <c r="S482" i="3" s="1"/>
  <c r="Q482" i="3"/>
  <c r="K97" i="3"/>
  <c r="L97" i="3" s="1"/>
  <c r="M97" i="3" s="1"/>
  <c r="P97" i="3"/>
  <c r="K100" i="3"/>
  <c r="L100" i="3" s="1"/>
  <c r="M100" i="3" s="1"/>
  <c r="P680" i="3"/>
  <c r="K726" i="3"/>
  <c r="L726" i="3" s="1"/>
  <c r="M726" i="3" s="1"/>
  <c r="P726" i="3"/>
  <c r="K551" i="3"/>
  <c r="L551" i="3" s="1"/>
  <c r="M551" i="3" s="1"/>
  <c r="P551" i="3"/>
  <c r="K471" i="3"/>
  <c r="L471" i="3" s="1"/>
  <c r="M471" i="3" s="1"/>
  <c r="K358" i="3"/>
  <c r="L358" i="3" s="1"/>
  <c r="M358" i="3" s="1"/>
  <c r="P358" i="3"/>
  <c r="K42" i="3"/>
  <c r="L42" i="3" s="1"/>
  <c r="M42" i="3" s="1"/>
  <c r="P153" i="3"/>
  <c r="S240" i="3"/>
  <c r="T240" i="3"/>
  <c r="K328" i="3"/>
  <c r="L328" i="3" s="1"/>
  <c r="M328" i="3" s="1"/>
  <c r="K310" i="3"/>
  <c r="L310" i="3" s="1"/>
  <c r="M310" i="3" s="1"/>
  <c r="P310" i="3"/>
  <c r="K150" i="3"/>
  <c r="L150" i="3" s="1"/>
  <c r="M150" i="3" s="1"/>
  <c r="P150" i="3"/>
  <c r="R796" i="3"/>
  <c r="Q796" i="3"/>
  <c r="P787" i="3"/>
  <c r="K264" i="3"/>
  <c r="L264" i="3" s="1"/>
  <c r="M264" i="3" s="1"/>
  <c r="P264" i="3"/>
  <c r="K664" i="3"/>
  <c r="L664" i="3" s="1"/>
  <c r="M664" i="3" s="1"/>
  <c r="P664" i="3"/>
  <c r="K306" i="3"/>
  <c r="L306" i="3" s="1"/>
  <c r="M306" i="3" s="1"/>
  <c r="K484" i="3"/>
  <c r="L484" i="3" s="1"/>
  <c r="M484" i="3" s="1"/>
  <c r="P484" i="3"/>
  <c r="P365" i="3"/>
  <c r="K96" i="3"/>
  <c r="L96" i="3" s="1"/>
  <c r="M96" i="3" s="1"/>
  <c r="P96" i="3"/>
  <c r="K108" i="3"/>
  <c r="L108" i="3" s="1"/>
  <c r="M108" i="3" s="1"/>
  <c r="P108" i="3"/>
  <c r="Q764" i="3"/>
  <c r="R764" i="3"/>
  <c r="K640" i="3"/>
  <c r="L640" i="3" s="1"/>
  <c r="M640" i="3" s="1"/>
  <c r="P640" i="3"/>
  <c r="K401" i="3"/>
  <c r="L401" i="3" s="1"/>
  <c r="M401" i="3" s="1"/>
  <c r="P401" i="3"/>
  <c r="K788" i="3"/>
  <c r="L788" i="3" s="1"/>
  <c r="M788" i="3" s="1"/>
  <c r="P788" i="3"/>
  <c r="R206" i="3"/>
  <c r="Q206" i="3"/>
  <c r="K176" i="3"/>
  <c r="L176" i="3" s="1"/>
  <c r="M176" i="3" s="1"/>
  <c r="K220" i="3"/>
  <c r="L220" i="3" s="1"/>
  <c r="M220" i="3" s="1"/>
  <c r="P220" i="3"/>
  <c r="K238" i="3"/>
  <c r="L238" i="3" s="1"/>
  <c r="M238" i="3" s="1"/>
  <c r="K390" i="3"/>
  <c r="L390" i="3" s="1"/>
  <c r="M390" i="3" s="1"/>
  <c r="Q380" i="3"/>
  <c r="R380" i="3"/>
  <c r="S380" i="3" s="1"/>
  <c r="K617" i="3"/>
  <c r="L617" i="3" s="1"/>
  <c r="M617" i="3" s="1"/>
  <c r="P617" i="3"/>
  <c r="P427" i="3"/>
  <c r="R797" i="3"/>
  <c r="Q797" i="3"/>
  <c r="R153" i="3"/>
  <c r="S153" i="3" s="1"/>
  <c r="Q481" i="3"/>
  <c r="Q526" i="3"/>
  <c r="S677" i="3"/>
  <c r="T677" i="3"/>
  <c r="K43" i="3"/>
  <c r="L43" i="3" s="1"/>
  <c r="M43" i="3" s="1"/>
  <c r="P43" i="3"/>
  <c r="K99" i="3"/>
  <c r="L99" i="3" s="1"/>
  <c r="M99" i="3" s="1"/>
  <c r="K512" i="3"/>
  <c r="L512" i="3" s="1"/>
  <c r="M512" i="3" s="1"/>
  <c r="P512" i="3"/>
  <c r="K727" i="3"/>
  <c r="L727" i="3" s="1"/>
  <c r="M727" i="3" s="1"/>
  <c r="P727" i="3"/>
  <c r="K504" i="3"/>
  <c r="L504" i="3" s="1"/>
  <c r="M504" i="3" s="1"/>
  <c r="P504" i="3"/>
  <c r="K53" i="3"/>
  <c r="L53" i="3" s="1"/>
  <c r="M53" i="3" s="1"/>
  <c r="P53" i="3"/>
  <c r="Q274" i="3"/>
  <c r="K549" i="3"/>
  <c r="L549" i="3" s="1"/>
  <c r="M549" i="3" s="1"/>
  <c r="K672" i="3"/>
  <c r="L672" i="3" s="1"/>
  <c r="M672" i="3" s="1"/>
  <c r="R676" i="3"/>
  <c r="Q676" i="3"/>
  <c r="K368" i="3"/>
  <c r="L368" i="3" s="1"/>
  <c r="M368" i="3" s="1"/>
  <c r="P368" i="3"/>
  <c r="Q421" i="3"/>
  <c r="R421" i="3"/>
  <c r="S421" i="3" s="1"/>
  <c r="R721" i="3"/>
  <c r="Q721" i="3"/>
  <c r="K31" i="3"/>
  <c r="L31" i="3" s="1"/>
  <c r="M31" i="3" s="1"/>
  <c r="P31" i="3"/>
  <c r="P99" i="3"/>
  <c r="P314" i="3"/>
  <c r="K57" i="3"/>
  <c r="L57" i="3" s="1"/>
  <c r="M57" i="3" s="1"/>
  <c r="P57" i="3"/>
  <c r="P440" i="3"/>
  <c r="K588" i="3"/>
  <c r="L588" i="3" s="1"/>
  <c r="M588" i="3" s="1"/>
  <c r="P588" i="3"/>
  <c r="P274" i="3"/>
  <c r="P549" i="3"/>
  <c r="P672" i="3"/>
  <c r="K723" i="3"/>
  <c r="L723" i="3" s="1"/>
  <c r="M723" i="3" s="1"/>
  <c r="P723" i="3"/>
  <c r="P676" i="3"/>
  <c r="K479" i="3"/>
  <c r="L479" i="3" s="1"/>
  <c r="M479" i="3" s="1"/>
  <c r="P479" i="3"/>
  <c r="P261" i="3"/>
  <c r="K718" i="3"/>
  <c r="L718" i="3" s="1"/>
  <c r="M718" i="3" s="1"/>
  <c r="K662" i="3"/>
  <c r="L662" i="3" s="1"/>
  <c r="M662" i="3" s="1"/>
  <c r="K666" i="3"/>
  <c r="L666" i="3" s="1"/>
  <c r="M666" i="3" s="1"/>
  <c r="P666" i="3"/>
  <c r="K560" i="3"/>
  <c r="L560" i="3" s="1"/>
  <c r="M560" i="3" s="1"/>
  <c r="K728" i="3"/>
  <c r="L728" i="3" s="1"/>
  <c r="M728" i="3" s="1"/>
  <c r="P728" i="3"/>
  <c r="K801" i="3"/>
  <c r="L801" i="3" s="1"/>
  <c r="M801" i="3" s="1"/>
  <c r="K111" i="3"/>
  <c r="L111" i="3" s="1"/>
  <c r="M111" i="3" s="1"/>
  <c r="P111" i="3"/>
  <c r="P42" i="3"/>
  <c r="S553" i="3"/>
  <c r="T553" i="3"/>
  <c r="K90" i="3"/>
  <c r="L90" i="3" s="1"/>
  <c r="M90" i="3" s="1"/>
  <c r="P90" i="3"/>
  <c r="P396" i="3"/>
  <c r="P308" i="3"/>
  <c r="P128" i="3"/>
  <c r="P718" i="3"/>
  <c r="K557" i="3"/>
  <c r="L557" i="3" s="1"/>
  <c r="M557" i="3" s="1"/>
  <c r="P557" i="3"/>
  <c r="P662" i="3"/>
  <c r="P560" i="3"/>
  <c r="K208" i="3"/>
  <c r="L208" i="3" s="1"/>
  <c r="M208" i="3" s="1"/>
  <c r="P208" i="3"/>
  <c r="K598" i="3"/>
  <c r="L598" i="3" s="1"/>
  <c r="M598" i="3" s="1"/>
  <c r="P598" i="3"/>
  <c r="P526" i="3"/>
  <c r="K58" i="3"/>
  <c r="L58" i="3" s="1"/>
  <c r="M58" i="3" s="1"/>
  <c r="P58" i="3"/>
  <c r="K56" i="3"/>
  <c r="L56" i="3" s="1"/>
  <c r="M56" i="3" s="1"/>
  <c r="P56" i="3"/>
  <c r="Q262" i="3"/>
  <c r="R262" i="3"/>
  <c r="K55" i="3"/>
  <c r="L55" i="3" s="1"/>
  <c r="M55" i="3" s="1"/>
  <c r="P55" i="3"/>
  <c r="K492" i="3"/>
  <c r="L492" i="3" s="1"/>
  <c r="M492" i="3" s="1"/>
  <c r="P492" i="3"/>
  <c r="P160" i="3"/>
  <c r="K478" i="3"/>
  <c r="L478" i="3" s="1"/>
  <c r="M478" i="3" s="1"/>
  <c r="K464" i="3"/>
  <c r="L464" i="3" s="1"/>
  <c r="M464" i="3" s="1"/>
  <c r="P464" i="3"/>
  <c r="K340" i="3"/>
  <c r="L340" i="3" s="1"/>
  <c r="M340" i="3" s="1"/>
  <c r="P340" i="3"/>
  <c r="K122" i="3"/>
  <c r="L122" i="3" s="1"/>
  <c r="M122" i="3" s="1"/>
  <c r="P122" i="3"/>
  <c r="T761" i="3"/>
  <c r="S761" i="3"/>
  <c r="K603" i="3"/>
  <c r="L603" i="3" s="1"/>
  <c r="M603" i="3" s="1"/>
  <c r="P603" i="3"/>
  <c r="K418" i="3"/>
  <c r="L418" i="3" s="1"/>
  <c r="M418" i="3" s="1"/>
  <c r="Q787" i="3"/>
  <c r="R787" i="3"/>
  <c r="S787" i="3" s="1"/>
  <c r="S526" i="3"/>
  <c r="P262" i="3"/>
  <c r="K167" i="3"/>
  <c r="L167" i="3" s="1"/>
  <c r="M167" i="3" s="1"/>
  <c r="P167" i="3"/>
  <c r="K166" i="3"/>
  <c r="L166" i="3" s="1"/>
  <c r="M166" i="3" s="1"/>
  <c r="P166" i="3"/>
  <c r="K247" i="3"/>
  <c r="L247" i="3" s="1"/>
  <c r="M247" i="3" s="1"/>
  <c r="P247" i="3"/>
  <c r="K665" i="3"/>
  <c r="L665" i="3" s="1"/>
  <c r="M665" i="3" s="1"/>
  <c r="P665" i="3"/>
  <c r="K725" i="3"/>
  <c r="L725" i="3" s="1"/>
  <c r="M725" i="3" s="1"/>
  <c r="Q61" i="3"/>
  <c r="P54" i="3"/>
  <c r="P88" i="3"/>
  <c r="P148" i="3"/>
  <c r="P257" i="3"/>
  <c r="P312" i="3"/>
  <c r="K444" i="3"/>
  <c r="L444" i="3" s="1"/>
  <c r="M444" i="3" s="1"/>
  <c r="K140" i="3"/>
  <c r="L140" i="3" s="1"/>
  <c r="M140" i="3" s="1"/>
  <c r="P404" i="3"/>
  <c r="P544" i="3"/>
  <c r="P162" i="3"/>
  <c r="P392" i="3"/>
  <c r="K524" i="3"/>
  <c r="L524" i="3" s="1"/>
  <c r="M524" i="3" s="1"/>
  <c r="K103" i="3"/>
  <c r="L103" i="3" s="1"/>
  <c r="M103" i="3" s="1"/>
  <c r="K152" i="3"/>
  <c r="L152" i="3" s="1"/>
  <c r="M152" i="3" s="1"/>
  <c r="P256" i="3"/>
  <c r="P311" i="3"/>
  <c r="K78" i="3"/>
  <c r="L78" i="3" s="1"/>
  <c r="M78" i="3" s="1"/>
  <c r="K86" i="3"/>
  <c r="L86" i="3" s="1"/>
  <c r="M86" i="3" s="1"/>
  <c r="K89" i="3"/>
  <c r="L89" i="3" s="1"/>
  <c r="M89" i="3" s="1"/>
  <c r="K155" i="3"/>
  <c r="L155" i="3" s="1"/>
  <c r="M155" i="3" s="1"/>
  <c r="K700" i="3"/>
  <c r="L700" i="3" s="1"/>
  <c r="M700" i="3" s="1"/>
  <c r="K191" i="3"/>
  <c r="L191" i="3" s="1"/>
  <c r="M191" i="3" s="1"/>
  <c r="K441" i="3"/>
  <c r="L441" i="3" s="1"/>
  <c r="M441" i="3" s="1"/>
  <c r="K453" i="3"/>
  <c r="L453" i="3" s="1"/>
  <c r="M453" i="3" s="1"/>
  <c r="K767" i="3"/>
  <c r="L767" i="3" s="1"/>
  <c r="M767" i="3" s="1"/>
  <c r="Q653" i="3"/>
  <c r="R653" i="3"/>
  <c r="K789" i="3"/>
  <c r="L789" i="3" s="1"/>
  <c r="M789" i="3" s="1"/>
  <c r="K783" i="3"/>
  <c r="L783" i="3" s="1"/>
  <c r="M783" i="3" s="1"/>
  <c r="K599" i="3"/>
  <c r="L599" i="3" s="1"/>
  <c r="M599" i="3" s="1"/>
  <c r="K34" i="3"/>
  <c r="L34" i="3" s="1"/>
  <c r="M34" i="3" s="1"/>
  <c r="K44" i="3"/>
  <c r="L44" i="3" s="1"/>
  <c r="M44" i="3" s="1"/>
  <c r="K282" i="3"/>
  <c r="L282" i="3" s="1"/>
  <c r="M282" i="3" s="1"/>
  <c r="T329" i="3"/>
  <c r="S329" i="3"/>
  <c r="R342" i="3"/>
  <c r="Q342" i="3"/>
  <c r="K429" i="3"/>
  <c r="L429" i="3" s="1"/>
  <c r="M429" i="3" s="1"/>
  <c r="S124" i="3"/>
  <c r="T124" i="3"/>
  <c r="K188" i="3"/>
  <c r="L188" i="3" s="1"/>
  <c r="M188" i="3" s="1"/>
  <c r="K378" i="3"/>
  <c r="L378" i="3" s="1"/>
  <c r="M378" i="3" s="1"/>
  <c r="Q6" i="3"/>
  <c r="K330" i="3"/>
  <c r="L330" i="3" s="1"/>
  <c r="M330" i="3" s="1"/>
  <c r="K646" i="3"/>
  <c r="L646" i="3" s="1"/>
  <c r="M646" i="3" s="1"/>
  <c r="K735" i="3"/>
  <c r="L735" i="3" s="1"/>
  <c r="M735" i="3" s="1"/>
  <c r="K154" i="3"/>
  <c r="L154" i="3" s="1"/>
  <c r="M154" i="3" s="1"/>
  <c r="K791" i="3"/>
  <c r="L791" i="3" s="1"/>
  <c r="M791" i="3" s="1"/>
  <c r="K283" i="3"/>
  <c r="L283" i="3" s="1"/>
  <c r="M283" i="3" s="1"/>
  <c r="K591" i="3"/>
  <c r="L591" i="3" s="1"/>
  <c r="M591" i="3" s="1"/>
  <c r="K178" i="3"/>
  <c r="L178" i="3" s="1"/>
  <c r="M178" i="3" s="1"/>
  <c r="K23" i="3"/>
  <c r="L23" i="3" s="1"/>
  <c r="M23" i="3" s="1"/>
  <c r="K32" i="3"/>
  <c r="L32" i="3" s="1"/>
  <c r="M32" i="3" s="1"/>
  <c r="P38" i="3"/>
  <c r="P104" i="3"/>
  <c r="P185" i="3"/>
  <c r="P282" i="3"/>
  <c r="P329" i="3"/>
  <c r="P452" i="3"/>
  <c r="T107" i="3"/>
  <c r="S107" i="3"/>
  <c r="P343" i="3"/>
  <c r="P189" i="3"/>
  <c r="P281" i="3"/>
  <c r="P16" i="3"/>
  <c r="P286" i="3"/>
  <c r="P342" i="3"/>
  <c r="P429" i="3"/>
  <c r="P124" i="3"/>
  <c r="P188" i="3"/>
  <c r="P327" i="3"/>
  <c r="P378" i="3"/>
  <c r="P437" i="3"/>
  <c r="P165" i="3"/>
  <c r="K243" i="3"/>
  <c r="L243" i="3" s="1"/>
  <c r="M243" i="3" s="1"/>
  <c r="K537" i="3"/>
  <c r="L537" i="3" s="1"/>
  <c r="M537" i="3" s="1"/>
  <c r="K179" i="3"/>
  <c r="L179" i="3" s="1"/>
  <c r="M179" i="3" s="1"/>
  <c r="K101" i="3"/>
  <c r="L101" i="3" s="1"/>
  <c r="M101" i="3" s="1"/>
  <c r="Q345" i="3"/>
  <c r="P394" i="3"/>
  <c r="K113" i="3"/>
  <c r="L113" i="3" s="1"/>
  <c r="M113" i="3" s="1"/>
  <c r="P207" i="3"/>
  <c r="P330" i="3"/>
  <c r="P393" i="3"/>
  <c r="K489" i="3"/>
  <c r="L489" i="3" s="1"/>
  <c r="M489" i="3" s="1"/>
  <c r="P646" i="3"/>
  <c r="K595" i="3"/>
  <c r="L595" i="3" s="1"/>
  <c r="M595" i="3" s="1"/>
  <c r="P145" i="3"/>
  <c r="P485" i="3"/>
  <c r="P735" i="3"/>
  <c r="P586" i="3"/>
  <c r="P154" i="3"/>
  <c r="K636" i="3"/>
  <c r="L636" i="3" s="1"/>
  <c r="M636" i="3" s="1"/>
  <c r="P791" i="3"/>
  <c r="P136" i="3"/>
  <c r="P283" i="3"/>
  <c r="P701" i="3"/>
  <c r="K369" i="3"/>
  <c r="L369" i="3" s="1"/>
  <c r="M369" i="3" s="1"/>
  <c r="P507" i="3"/>
  <c r="K686" i="3"/>
  <c r="L686" i="3" s="1"/>
  <c r="M686" i="3" s="1"/>
  <c r="P754" i="3"/>
  <c r="P80" i="3"/>
  <c r="Q473" i="3"/>
  <c r="P681" i="3"/>
  <c r="P729" i="3"/>
  <c r="P322" i="3"/>
  <c r="K513" i="3"/>
  <c r="L513" i="3" s="1"/>
  <c r="M513" i="3" s="1"/>
  <c r="P632" i="3"/>
  <c r="P414" i="3"/>
  <c r="P591" i="3"/>
  <c r="P689" i="3"/>
  <c r="P178" i="3"/>
  <c r="K736" i="3"/>
  <c r="L736" i="3" s="1"/>
  <c r="M736" i="3" s="1"/>
  <c r="P671" i="3"/>
  <c r="K190" i="3"/>
  <c r="L190" i="3" s="1"/>
  <c r="M190" i="3" s="1"/>
  <c r="K211" i="3"/>
  <c r="L211" i="3" s="1"/>
  <c r="M211" i="3" s="1"/>
  <c r="K307" i="3"/>
  <c r="L307" i="3" s="1"/>
  <c r="M307" i="3" s="1"/>
  <c r="K438" i="3"/>
  <c r="L438" i="3" s="1"/>
  <c r="M438" i="3" s="1"/>
  <c r="K442" i="3"/>
  <c r="L442" i="3" s="1"/>
  <c r="M442" i="3" s="1"/>
  <c r="K548" i="3"/>
  <c r="L548" i="3" s="1"/>
  <c r="M548" i="3" s="1"/>
  <c r="K164" i="3"/>
  <c r="L164" i="3" s="1"/>
  <c r="M164" i="3" s="1"/>
  <c r="K528" i="3"/>
  <c r="L528" i="3" s="1"/>
  <c r="M528" i="3" s="1"/>
  <c r="K555" i="3"/>
  <c r="L555" i="3" s="1"/>
  <c r="M555" i="3" s="1"/>
  <c r="K711" i="3"/>
  <c r="L711" i="3" s="1"/>
  <c r="M711" i="3" s="1"/>
  <c r="P532" i="3"/>
  <c r="P22" i="3"/>
  <c r="P121" i="3"/>
  <c r="P190" i="3"/>
  <c r="P291" i="3"/>
  <c r="P466" i="3"/>
  <c r="K112" i="3"/>
  <c r="L112" i="3" s="1"/>
  <c r="M112" i="3" s="1"/>
  <c r="P249" i="3"/>
  <c r="P347" i="3"/>
  <c r="K515" i="3"/>
  <c r="L515" i="3" s="1"/>
  <c r="M515" i="3" s="1"/>
  <c r="P98" i="3"/>
  <c r="P211" i="3"/>
  <c r="P307" i="3"/>
  <c r="P501" i="3"/>
  <c r="P294" i="3"/>
  <c r="P371" i="3"/>
  <c r="P438" i="3"/>
  <c r="P130" i="3"/>
  <c r="P233" i="3"/>
  <c r="P332" i="3"/>
  <c r="P391" i="3"/>
  <c r="P442" i="3"/>
  <c r="K77" i="3"/>
  <c r="L77" i="3" s="1"/>
  <c r="M77" i="3" s="1"/>
  <c r="K255" i="3"/>
  <c r="L255" i="3" s="1"/>
  <c r="M255" i="3" s="1"/>
  <c r="P323" i="3"/>
  <c r="K187" i="3"/>
  <c r="L187" i="3" s="1"/>
  <c r="M187" i="3" s="1"/>
  <c r="K279" i="3"/>
  <c r="L279" i="3" s="1"/>
  <c r="M279" i="3" s="1"/>
  <c r="P352" i="3"/>
  <c r="P212" i="3"/>
  <c r="P334" i="3"/>
  <c r="P426" i="3"/>
  <c r="P292" i="3"/>
  <c r="P548" i="3"/>
  <c r="S802" i="3"/>
  <c r="T802" i="3"/>
  <c r="K647" i="3"/>
  <c r="L647" i="3" s="1"/>
  <c r="M647" i="3" s="1"/>
  <c r="P164" i="3"/>
  <c r="P528" i="3"/>
  <c r="P674" i="3"/>
  <c r="P742" i="3"/>
  <c r="P228" i="3"/>
  <c r="K576" i="3"/>
  <c r="L576" i="3" s="1"/>
  <c r="M576" i="3" s="1"/>
  <c r="P3" i="3"/>
  <c r="P410" i="3"/>
  <c r="P573" i="3"/>
  <c r="K200" i="3"/>
  <c r="L200" i="3" s="1"/>
  <c r="M200" i="3" s="1"/>
  <c r="K527" i="3"/>
  <c r="L527" i="3" s="1"/>
  <c r="M527" i="3" s="1"/>
  <c r="K734" i="3"/>
  <c r="L734" i="3" s="1"/>
  <c r="M734" i="3" s="1"/>
  <c r="K432" i="3"/>
  <c r="L432" i="3" s="1"/>
  <c r="M432" i="3" s="1"/>
  <c r="P518" i="3"/>
  <c r="P758" i="3"/>
  <c r="P510" i="3"/>
  <c r="P561" i="3"/>
  <c r="P784" i="3"/>
  <c r="P339" i="3"/>
  <c r="P685" i="3"/>
  <c r="P743" i="3"/>
  <c r="K696" i="3"/>
  <c r="L696" i="3" s="1"/>
  <c r="M696" i="3" s="1"/>
  <c r="P555" i="3"/>
  <c r="P711" i="3"/>
  <c r="P172" i="3"/>
  <c r="P600" i="3"/>
  <c r="P223" i="3"/>
  <c r="K536" i="3"/>
  <c r="L536" i="3" s="1"/>
  <c r="M536" i="3" s="1"/>
  <c r="Q632" i="3"/>
  <c r="P705" i="3"/>
  <c r="P11" i="3"/>
  <c r="K76" i="3"/>
  <c r="L76" i="3" s="1"/>
  <c r="M76" i="3" s="1"/>
  <c r="K127" i="3"/>
  <c r="L127" i="3" s="1"/>
  <c r="M127" i="3" s="1"/>
  <c r="P515" i="3"/>
  <c r="K221" i="3"/>
  <c r="L221" i="3" s="1"/>
  <c r="M221" i="3" s="1"/>
  <c r="P366" i="3"/>
  <c r="T514" i="3"/>
  <c r="S514" i="3"/>
  <c r="P75" i="3"/>
  <c r="K456" i="3"/>
  <c r="L456" i="3" s="1"/>
  <c r="M456" i="3" s="1"/>
  <c r="K161" i="3"/>
  <c r="L161" i="3" s="1"/>
  <c r="M161" i="3" s="1"/>
  <c r="K408" i="3"/>
  <c r="L408" i="3" s="1"/>
  <c r="M408" i="3" s="1"/>
  <c r="S341" i="3"/>
  <c r="P77" i="3"/>
  <c r="P255" i="3"/>
  <c r="P472" i="3"/>
  <c r="P187" i="3"/>
  <c r="P279" i="3"/>
  <c r="P69" i="3"/>
  <c r="K435" i="3"/>
  <c r="L435" i="3" s="1"/>
  <c r="M435" i="3" s="1"/>
  <c r="P679" i="3"/>
  <c r="P741" i="3"/>
  <c r="P802" i="3"/>
  <c r="P647" i="3"/>
  <c r="P622" i="3"/>
  <c r="K683" i="3"/>
  <c r="L683" i="3" s="1"/>
  <c r="M683" i="3" s="1"/>
  <c r="P755" i="3"/>
  <c r="P531" i="3"/>
  <c r="P576" i="3"/>
  <c r="P200" i="3"/>
  <c r="P527" i="3"/>
  <c r="P678" i="3"/>
  <c r="P734" i="3"/>
  <c r="P623" i="3"/>
  <c r="P432" i="3"/>
  <c r="P621" i="3"/>
  <c r="K715" i="3"/>
  <c r="L715" i="3" s="1"/>
  <c r="M715" i="3" s="1"/>
  <c r="K748" i="3"/>
  <c r="L748" i="3" s="1"/>
  <c r="M748" i="3" s="1"/>
  <c r="P458" i="3"/>
  <c r="P487" i="3"/>
  <c r="K614" i="3"/>
  <c r="L614" i="3" s="1"/>
  <c r="M614" i="3" s="1"/>
  <c r="K710" i="3"/>
  <c r="L710" i="3" s="1"/>
  <c r="M710" i="3" s="1"/>
  <c r="K777" i="3"/>
  <c r="L777" i="3" s="1"/>
  <c r="M777" i="3" s="1"/>
  <c r="Q637" i="3"/>
  <c r="K87" i="3"/>
  <c r="L87" i="3" s="1"/>
  <c r="M87" i="3" s="1"/>
  <c r="K139" i="3"/>
  <c r="L139" i="3" s="1"/>
  <c r="M139" i="3" s="1"/>
  <c r="K477" i="3"/>
  <c r="L477" i="3" s="1"/>
  <c r="M477" i="3" s="1"/>
  <c r="K65" i="3"/>
  <c r="L65" i="3" s="1"/>
  <c r="M65" i="3" s="1"/>
  <c r="K270" i="3"/>
  <c r="L270" i="3" s="1"/>
  <c r="M270" i="3" s="1"/>
  <c r="K785" i="3"/>
  <c r="L785" i="3" s="1"/>
  <c r="M785" i="3" s="1"/>
  <c r="K698" i="3"/>
  <c r="L698" i="3" s="1"/>
  <c r="M698" i="3" s="1"/>
  <c r="K521" i="3"/>
  <c r="L521" i="3" s="1"/>
  <c r="M521" i="3" s="1"/>
  <c r="P33" i="3"/>
  <c r="P400" i="3"/>
  <c r="K287" i="3"/>
  <c r="L287" i="3" s="1"/>
  <c r="M287" i="3" s="1"/>
  <c r="K384" i="3"/>
  <c r="L384" i="3" s="1"/>
  <c r="M384" i="3" s="1"/>
  <c r="K539" i="3"/>
  <c r="L539" i="3" s="1"/>
  <c r="M539" i="3" s="1"/>
  <c r="P333" i="3"/>
  <c r="P379" i="3"/>
  <c r="K447" i="3"/>
  <c r="L447" i="3" s="1"/>
  <c r="M447" i="3" s="1"/>
  <c r="P87" i="3"/>
  <c r="P139" i="3"/>
  <c r="K387" i="3"/>
  <c r="L387" i="3" s="1"/>
  <c r="M387" i="3" s="1"/>
  <c r="K175" i="3"/>
  <c r="L175" i="3" s="1"/>
  <c r="M175" i="3" s="1"/>
  <c r="P252" i="3"/>
  <c r="K280" i="3"/>
  <c r="L280" i="3" s="1"/>
  <c r="M280" i="3" s="1"/>
  <c r="P293" i="3"/>
  <c r="P402" i="3"/>
  <c r="P477" i="3"/>
  <c r="P65" i="3"/>
  <c r="P192" i="3"/>
  <c r="P318" i="3"/>
  <c r="P114" i="3"/>
  <c r="P270" i="3"/>
  <c r="P163" i="3"/>
  <c r="K231" i="3"/>
  <c r="L231" i="3" s="1"/>
  <c r="M231" i="3" s="1"/>
  <c r="P693" i="3"/>
  <c r="P785" i="3"/>
  <c r="P684" i="3"/>
  <c r="P567" i="3"/>
  <c r="P759" i="3"/>
  <c r="P535" i="3"/>
  <c r="P593" i="3"/>
  <c r="K765" i="3"/>
  <c r="L765" i="3" s="1"/>
  <c r="M765" i="3" s="1"/>
  <c r="K772" i="3"/>
  <c r="L772" i="3" s="1"/>
  <c r="M772" i="3" s="1"/>
  <c r="P405" i="3"/>
  <c r="P682" i="3"/>
  <c r="P775" i="3"/>
  <c r="K8" i="3"/>
  <c r="L8" i="3" s="1"/>
  <c r="M8" i="3" s="1"/>
  <c r="P436" i="3"/>
  <c r="P556" i="3"/>
  <c r="P630" i="3"/>
  <c r="P698" i="3"/>
  <c r="P628" i="3"/>
  <c r="P141" i="3"/>
  <c r="P534" i="3"/>
  <c r="P476" i="3"/>
  <c r="P581" i="3"/>
  <c r="P431" i="3"/>
  <c r="P643" i="3"/>
  <c r="P168" i="3"/>
  <c r="P246" i="3"/>
  <c r="P521" i="3"/>
  <c r="K624" i="3"/>
  <c r="L624" i="3" s="1"/>
  <c r="M624" i="3" s="1"/>
  <c r="P737" i="3"/>
  <c r="K746" i="3"/>
  <c r="L746" i="3" s="1"/>
  <c r="M746" i="3" s="1"/>
  <c r="P564" i="3"/>
  <c r="K694" i="3"/>
  <c r="L694" i="3" s="1"/>
  <c r="M694" i="3" s="1"/>
  <c r="S697" i="3"/>
  <c r="S10" i="3"/>
  <c r="T10" i="3"/>
  <c r="P10" i="3"/>
  <c r="P9" i="3"/>
  <c r="P79" i="3"/>
  <c r="P135" i="3"/>
  <c r="P245" i="3"/>
  <c r="P303" i="3"/>
  <c r="P287" i="3"/>
  <c r="P384" i="3"/>
  <c r="P539" i="3"/>
  <c r="P144" i="3"/>
  <c r="K226" i="3"/>
  <c r="L226" i="3" s="1"/>
  <c r="M226" i="3" s="1"/>
  <c r="P447" i="3"/>
  <c r="P244" i="3"/>
  <c r="P302" i="3"/>
  <c r="P387" i="3"/>
  <c r="P465" i="3"/>
  <c r="P175" i="3"/>
  <c r="Q256" i="3"/>
  <c r="P143" i="3"/>
  <c r="P280" i="3"/>
  <c r="P353" i="3"/>
  <c r="P411" i="3"/>
  <c r="K495" i="3"/>
  <c r="L495" i="3" s="1"/>
  <c r="M495" i="3" s="1"/>
  <c r="K214" i="3"/>
  <c r="L214" i="3" s="1"/>
  <c r="M214" i="3" s="1"/>
  <c r="K142" i="3"/>
  <c r="L142" i="3" s="1"/>
  <c r="M142" i="3" s="1"/>
  <c r="P364" i="3"/>
  <c r="P68" i="3"/>
  <c r="P231" i="3"/>
  <c r="P355" i="3"/>
  <c r="P448" i="3"/>
  <c r="P27" i="3"/>
  <c r="K572" i="3"/>
  <c r="L572" i="3" s="1"/>
  <c r="M572" i="3" s="1"/>
  <c r="K543" i="3"/>
  <c r="L543" i="3" s="1"/>
  <c r="M543" i="3" s="1"/>
  <c r="K602" i="3"/>
  <c r="L602" i="3" s="1"/>
  <c r="M602" i="3" s="1"/>
  <c r="K635" i="3"/>
  <c r="L635" i="3" s="1"/>
  <c r="M635" i="3" s="1"/>
  <c r="K703" i="3"/>
  <c r="L703" i="3" s="1"/>
  <c r="M703" i="3" s="1"/>
  <c r="K779" i="3"/>
  <c r="L779" i="3" s="1"/>
  <c r="M779" i="3" s="1"/>
  <c r="K258" i="3"/>
  <c r="L258" i="3" s="1"/>
  <c r="M258" i="3" s="1"/>
  <c r="S568" i="3"/>
  <c r="T568" i="3"/>
  <c r="K30" i="3"/>
  <c r="L30" i="3" s="1"/>
  <c r="M30" i="3" s="1"/>
  <c r="K299" i="3"/>
  <c r="L299" i="3" s="1"/>
  <c r="M299" i="3" s="1"/>
  <c r="S473" i="3"/>
  <c r="T473" i="3"/>
  <c r="K151" i="3"/>
  <c r="L151" i="3" s="1"/>
  <c r="M151" i="3" s="1"/>
  <c r="P119" i="3"/>
  <c r="P297" i="3"/>
  <c r="P407" i="3"/>
  <c r="P495" i="3"/>
  <c r="P85" i="3"/>
  <c r="P214" i="3"/>
  <c r="P345" i="3"/>
  <c r="P142" i="3"/>
  <c r="P309" i="3"/>
  <c r="P177" i="3"/>
  <c r="K454" i="3"/>
  <c r="L454" i="3" s="1"/>
  <c r="M454" i="3" s="1"/>
  <c r="P790" i="3"/>
  <c r="K406" i="3"/>
  <c r="L406" i="3" s="1"/>
  <c r="M406" i="3" s="1"/>
  <c r="P572" i="3"/>
  <c r="P786" i="3"/>
  <c r="P543" i="3"/>
  <c r="P602" i="3"/>
  <c r="K525" i="3"/>
  <c r="L525" i="3" s="1"/>
  <c r="M525" i="3" s="1"/>
  <c r="P419" i="3"/>
  <c r="P708" i="3"/>
  <c r="P449" i="3"/>
  <c r="P575" i="3"/>
  <c r="P635" i="3"/>
  <c r="P703" i="3"/>
  <c r="P732" i="3"/>
  <c r="P250" i="3"/>
  <c r="P611" i="3"/>
  <c r="P675" i="3"/>
  <c r="P503" i="3"/>
  <c r="P779" i="3"/>
  <c r="P609" i="3"/>
  <c r="P658" i="3"/>
  <c r="P258" i="3"/>
  <c r="P296" i="3"/>
  <c r="P545" i="3"/>
  <c r="K648" i="3"/>
  <c r="L648" i="3" s="1"/>
  <c r="M648" i="3" s="1"/>
  <c r="P778" i="3"/>
  <c r="P568" i="3"/>
  <c r="Q695" i="3"/>
  <c r="P792" i="3"/>
  <c r="R74" i="4"/>
  <c r="S74" i="4"/>
  <c r="S254" i="4"/>
  <c r="R254" i="4"/>
  <c r="T136" i="4"/>
  <c r="U136" i="4"/>
  <c r="U90" i="4"/>
  <c r="T90" i="4"/>
  <c r="U70" i="4"/>
  <c r="T70" i="4"/>
  <c r="U115" i="4"/>
  <c r="T115" i="4"/>
  <c r="R86" i="4"/>
  <c r="S86" i="4"/>
  <c r="R62" i="4"/>
  <c r="S62" i="4"/>
  <c r="T124" i="4"/>
  <c r="U124" i="4"/>
  <c r="R50" i="4"/>
  <c r="S50" i="4"/>
  <c r="T240" i="4"/>
  <c r="U240" i="4"/>
  <c r="T144" i="4"/>
  <c r="U144" i="4"/>
  <c r="S38" i="4"/>
  <c r="T38" i="4" s="1"/>
  <c r="T148" i="4"/>
  <c r="U148" i="4"/>
  <c r="U94" i="4"/>
  <c r="T94" i="4"/>
  <c r="R242" i="4"/>
  <c r="S242" i="4"/>
  <c r="T114" i="4"/>
  <c r="U114" i="4"/>
  <c r="U78" i="4"/>
  <c r="T78" i="4"/>
  <c r="U54" i="4"/>
  <c r="T54" i="4"/>
  <c r="U252" i="4"/>
  <c r="T252" i="4"/>
  <c r="R49" i="3"/>
  <c r="Q49" i="3"/>
  <c r="R134" i="3"/>
  <c r="Q134" i="3"/>
  <c r="R158" i="3"/>
  <c r="Q158" i="3"/>
  <c r="R565" i="3"/>
  <c r="S565" i="3" s="1"/>
  <c r="Q565" i="3"/>
  <c r="Q409" i="3"/>
  <c r="R409" i="3"/>
  <c r="S409" i="3" s="1"/>
  <c r="R106" i="3"/>
  <c r="Q106" i="3"/>
  <c r="R37" i="3"/>
  <c r="Q37" i="3"/>
  <c r="R14" i="3"/>
  <c r="Q14" i="3"/>
  <c r="R194" i="3"/>
  <c r="Q194" i="3"/>
  <c r="R95" i="3"/>
  <c r="Q95" i="3"/>
  <c r="R182" i="3"/>
  <c r="Q182" i="3"/>
  <c r="R146" i="3"/>
  <c r="Q146" i="3"/>
  <c r="Q661" i="3"/>
  <c r="Q230" i="3"/>
  <c r="R230" i="3"/>
  <c r="T170" i="3"/>
  <c r="Q170" i="3"/>
  <c r="Q697" i="3"/>
  <c r="R505" i="3"/>
  <c r="S505" i="3" s="1"/>
  <c r="Q709" i="3"/>
  <c r="Q625" i="3"/>
  <c r="R769" i="3"/>
  <c r="Q769" i="3"/>
  <c r="Q733" i="3"/>
  <c r="Q83" i="3"/>
  <c r="R757" i="3"/>
  <c r="Q757" i="3"/>
  <c r="Q218" i="3"/>
  <c r="R793" i="3"/>
  <c r="Q793" i="3"/>
  <c r="T222" i="3"/>
  <c r="S222" i="3"/>
  <c r="T253" i="4"/>
  <c r="U253" i="4"/>
  <c r="T47" i="4"/>
  <c r="U47" i="4"/>
  <c r="U100" i="4"/>
  <c r="T100" i="4"/>
  <c r="T21" i="4"/>
  <c r="U21" i="4"/>
  <c r="T61" i="4"/>
  <c r="U61" i="4"/>
  <c r="T200" i="4"/>
  <c r="U200" i="4"/>
  <c r="U239" i="4"/>
  <c r="T239" i="4"/>
  <c r="T126" i="4"/>
  <c r="U126" i="4"/>
  <c r="T244" i="4"/>
  <c r="U244" i="4"/>
  <c r="U247" i="4"/>
  <c r="T247" i="4"/>
  <c r="U263" i="4"/>
  <c r="T263" i="4"/>
  <c r="T198" i="4"/>
  <c r="U198" i="4"/>
  <c r="T214" i="4"/>
  <c r="U214" i="4"/>
  <c r="T204" i="4"/>
  <c r="U204" i="4"/>
  <c r="T43" i="4"/>
  <c r="U43" i="4"/>
  <c r="T91" i="4"/>
  <c r="U91" i="4"/>
  <c r="T210" i="4"/>
  <c r="U210" i="4"/>
  <c r="T251" i="4"/>
  <c r="U251" i="4"/>
  <c r="T206" i="4"/>
  <c r="U206" i="4"/>
  <c r="T142" i="4"/>
  <c r="U142" i="4"/>
  <c r="U104" i="4"/>
  <c r="T104" i="4"/>
  <c r="T103" i="4"/>
  <c r="U103" i="4"/>
  <c r="T232" i="4"/>
  <c r="U232" i="4"/>
  <c r="T234" i="4"/>
  <c r="U234" i="4"/>
  <c r="T88" i="4"/>
  <c r="U88" i="4"/>
  <c r="T37" i="4"/>
  <c r="U37" i="4"/>
  <c r="T257" i="4"/>
  <c r="U257" i="4"/>
  <c r="T55" i="4"/>
  <c r="U55" i="4"/>
  <c r="T208" i="4"/>
  <c r="U208" i="4"/>
  <c r="U102" i="4"/>
  <c r="T102" i="4"/>
  <c r="T24" i="4"/>
  <c r="U24" i="4"/>
  <c r="T260" i="4"/>
  <c r="U260" i="4"/>
  <c r="T6" i="4"/>
  <c r="U6" i="4"/>
  <c r="T92" i="4"/>
  <c r="U92" i="4"/>
  <c r="T262" i="4"/>
  <c r="U262" i="4"/>
  <c r="U259" i="4"/>
  <c r="T259" i="4"/>
  <c r="T14" i="4"/>
  <c r="U14" i="4"/>
  <c r="T23" i="4"/>
  <c r="U23" i="4"/>
  <c r="T164" i="4"/>
  <c r="U164" i="4"/>
  <c r="T212" i="4"/>
  <c r="U212" i="4"/>
  <c r="T7" i="4"/>
  <c r="U7" i="4"/>
  <c r="T222" i="4"/>
  <c r="U222" i="4"/>
  <c r="T138" i="4"/>
  <c r="U138" i="4"/>
  <c r="T218" i="4"/>
  <c r="U218" i="4"/>
  <c r="T13" i="4"/>
  <c r="U13" i="4"/>
  <c r="U108" i="4"/>
  <c r="T108" i="4"/>
  <c r="U170" i="4"/>
  <c r="U73" i="4"/>
  <c r="T226" i="4"/>
  <c r="U226" i="4"/>
  <c r="T196" i="4"/>
  <c r="U196" i="4"/>
  <c r="T230" i="4"/>
  <c r="U230" i="4"/>
  <c r="T18" i="4"/>
  <c r="U18" i="4"/>
  <c r="T77" i="4"/>
  <c r="U77" i="4"/>
  <c r="T168" i="4"/>
  <c r="U168" i="4"/>
  <c r="T216" i="4"/>
  <c r="U216" i="4"/>
  <c r="U106" i="4"/>
  <c r="T106" i="4"/>
  <c r="T166" i="4"/>
  <c r="U166" i="4"/>
  <c r="T264" i="4"/>
  <c r="U264" i="4"/>
  <c r="T36" i="4"/>
  <c r="U36" i="4"/>
  <c r="T155" i="4"/>
  <c r="U155" i="4"/>
  <c r="U112" i="4"/>
  <c r="T112" i="4"/>
  <c r="T178" i="4"/>
  <c r="U178" i="4"/>
  <c r="U12" i="4"/>
  <c r="T143" i="4"/>
  <c r="T246" i="4"/>
  <c r="U246" i="4"/>
  <c r="T83" i="4"/>
  <c r="U83" i="4"/>
  <c r="T19" i="4"/>
  <c r="U19" i="4"/>
  <c r="T71" i="4"/>
  <c r="U71" i="4"/>
  <c r="T39" i="4"/>
  <c r="U39" i="4"/>
  <c r="T52" i="4"/>
  <c r="U52" i="4"/>
  <c r="T176" i="4"/>
  <c r="U176" i="4"/>
  <c r="T65" i="4"/>
  <c r="U65" i="4"/>
  <c r="T110" i="4"/>
  <c r="U110" i="4"/>
  <c r="T174" i="4"/>
  <c r="U174" i="4"/>
  <c r="U116" i="4"/>
  <c r="T172" i="4"/>
  <c r="U172" i="4"/>
  <c r="T30" i="4"/>
  <c r="U30" i="4"/>
  <c r="T35" i="4"/>
  <c r="U35" i="4"/>
  <c r="T60" i="4"/>
  <c r="U60" i="4"/>
  <c r="T180" i="4"/>
  <c r="U180" i="4"/>
  <c r="T25" i="4"/>
  <c r="U25" i="4"/>
  <c r="T67" i="4"/>
  <c r="U67" i="4"/>
  <c r="T175" i="4"/>
  <c r="U175" i="4"/>
  <c r="T89" i="4"/>
  <c r="U89" i="4"/>
  <c r="T122" i="4"/>
  <c r="U122" i="4"/>
  <c r="T190" i="4"/>
  <c r="U190" i="4"/>
  <c r="T119" i="4"/>
  <c r="U119" i="4"/>
  <c r="T256" i="4"/>
  <c r="U256" i="4"/>
  <c r="T238" i="4"/>
  <c r="U238" i="4"/>
  <c r="T59" i="4"/>
  <c r="U59" i="4"/>
  <c r="T34" i="4"/>
  <c r="U34" i="4"/>
  <c r="T79" i="4"/>
  <c r="U79" i="4"/>
  <c r="T68" i="4"/>
  <c r="U68" i="4"/>
  <c r="T184" i="4"/>
  <c r="U184" i="4"/>
  <c r="T220" i="4"/>
  <c r="U220" i="4"/>
  <c r="T29" i="4"/>
  <c r="U29" i="4"/>
  <c r="U98" i="4"/>
  <c r="T98" i="4"/>
  <c r="T41" i="4"/>
  <c r="U41" i="4"/>
  <c r="T76" i="4"/>
  <c r="U76" i="4"/>
  <c r="T188" i="4"/>
  <c r="U188" i="4"/>
  <c r="T31" i="4"/>
  <c r="U31" i="4"/>
  <c r="T186" i="4"/>
  <c r="U186" i="4"/>
  <c r="T224" i="4"/>
  <c r="U224" i="4"/>
  <c r="T171" i="4"/>
  <c r="U171" i="4"/>
  <c r="T202" i="4"/>
  <c r="U202" i="4"/>
  <c r="T228" i="4"/>
  <c r="U228" i="4"/>
  <c r="T131" i="4"/>
  <c r="U131" i="4"/>
  <c r="T245" i="4"/>
  <c r="U245" i="4"/>
  <c r="T250" i="4"/>
  <c r="U250" i="4"/>
  <c r="T258" i="4"/>
  <c r="U258" i="4"/>
  <c r="T49" i="4"/>
  <c r="U49" i="4"/>
  <c r="T167" i="4"/>
  <c r="U167" i="4"/>
  <c r="T42" i="4"/>
  <c r="U42" i="4"/>
  <c r="T192" i="4"/>
  <c r="U192" i="4"/>
  <c r="T130" i="4"/>
  <c r="U130" i="4"/>
  <c r="T150" i="4"/>
  <c r="U150" i="4"/>
  <c r="T139" i="4"/>
  <c r="U139" i="4"/>
  <c r="T97" i="4"/>
  <c r="U97" i="4"/>
  <c r="T5" i="4"/>
  <c r="U5" i="4"/>
  <c r="S229" i="3"/>
  <c r="T229" i="3"/>
  <c r="S319" i="3"/>
  <c r="T319" i="3"/>
  <c r="S7" i="3"/>
  <c r="T7" i="3"/>
  <c r="S213" i="3"/>
  <c r="T213" i="3"/>
  <c r="T156" i="3"/>
  <c r="S156" i="3"/>
  <c r="S540" i="3"/>
  <c r="T540" i="3"/>
  <c r="S422" i="3"/>
  <c r="T422" i="3"/>
  <c r="S395" i="3"/>
  <c r="S587" i="3"/>
  <c r="T587" i="3"/>
  <c r="S659" i="3"/>
  <c r="T659" i="3"/>
  <c r="S556" i="3"/>
  <c r="T556" i="3"/>
  <c r="S780" i="3"/>
  <c r="T780" i="3"/>
  <c r="S242" i="3"/>
  <c r="T242" i="3"/>
  <c r="T117" i="3"/>
  <c r="S117" i="3"/>
  <c r="S263" i="3"/>
  <c r="T263" i="3"/>
  <c r="S234" i="3"/>
  <c r="T234" i="3"/>
  <c r="S275" i="3"/>
  <c r="T275" i="3"/>
  <c r="S552" i="3"/>
  <c r="T552" i="3"/>
  <c r="S493" i="3"/>
  <c r="T493" i="3"/>
  <c r="S487" i="3"/>
  <c r="T487" i="3"/>
  <c r="S663" i="3"/>
  <c r="T663" i="3"/>
  <c r="S633" i="3"/>
  <c r="T633" i="3"/>
  <c r="S678" i="3"/>
  <c r="T678" i="3"/>
  <c r="S722" i="3"/>
  <c r="T722" i="3"/>
  <c r="S130" i="3"/>
  <c r="T130" i="3"/>
  <c r="S157" i="3"/>
  <c r="T157" i="3"/>
  <c r="S350" i="3"/>
  <c r="T350" i="3"/>
  <c r="S372" i="3"/>
  <c r="T372" i="3"/>
  <c r="S397" i="3"/>
  <c r="T397" i="3"/>
  <c r="S499" i="3"/>
  <c r="T499" i="3"/>
  <c r="S642" i="3"/>
  <c r="T642" i="3"/>
  <c r="S729" i="3"/>
  <c r="T729" i="3"/>
  <c r="S193" i="3"/>
  <c r="T193" i="3"/>
  <c r="S756" i="3"/>
  <c r="T756" i="3"/>
  <c r="T25" i="3"/>
  <c r="S25" i="3"/>
  <c r="S254" i="3"/>
  <c r="T254" i="3"/>
  <c r="T192" i="3"/>
  <c r="S192" i="3"/>
  <c r="S374" i="3"/>
  <c r="T374" i="3"/>
  <c r="S446" i="3"/>
  <c r="T446" i="3"/>
  <c r="S517" i="3"/>
  <c r="T517" i="3"/>
  <c r="S523" i="3"/>
  <c r="T523" i="3"/>
  <c r="S544" i="3"/>
  <c r="T544" i="3"/>
  <c r="S589" i="3"/>
  <c r="T589" i="3"/>
  <c r="S607" i="3"/>
  <c r="T607" i="3"/>
  <c r="T606" i="3"/>
  <c r="S606" i="3"/>
  <c r="S601" i="3"/>
  <c r="T601" i="3"/>
  <c r="S741" i="3"/>
  <c r="T741" i="3"/>
  <c r="S763" i="3"/>
  <c r="T763" i="3"/>
  <c r="S768" i="3"/>
  <c r="T768" i="3"/>
  <c r="S271" i="3"/>
  <c r="T271" i="3"/>
  <c r="S136" i="3"/>
  <c r="T136" i="3"/>
  <c r="S326" i="3"/>
  <c r="T326" i="3"/>
  <c r="T180" i="3"/>
  <c r="S180" i="3"/>
  <c r="T216" i="3"/>
  <c r="S216" i="3"/>
  <c r="S169" i="3"/>
  <c r="T169" i="3"/>
  <c r="S205" i="3"/>
  <c r="T205" i="3"/>
  <c r="S66" i="3"/>
  <c r="T66" i="3"/>
  <c r="S335" i="3"/>
  <c r="T335" i="3"/>
  <c r="S303" i="3"/>
  <c r="T303" i="3"/>
  <c r="S541" i="3"/>
  <c r="T541" i="3"/>
  <c r="S651" i="3"/>
  <c r="T651" i="3"/>
  <c r="S621" i="3"/>
  <c r="T621" i="3"/>
  <c r="S732" i="3"/>
  <c r="T732" i="3"/>
  <c r="S739" i="3"/>
  <c r="T739" i="3"/>
  <c r="S782" i="3"/>
  <c r="T782" i="3"/>
  <c r="S290" i="3"/>
  <c r="T290" i="3"/>
  <c r="S278" i="3"/>
  <c r="T278" i="3"/>
  <c r="S529" i="3"/>
  <c r="T529" i="3"/>
  <c r="S799" i="3"/>
  <c r="T799" i="3"/>
  <c r="S770" i="3"/>
  <c r="T770" i="3"/>
  <c r="S569" i="3"/>
  <c r="T569" i="3"/>
  <c r="S145" i="3"/>
  <c r="T145" i="3"/>
  <c r="S181" i="3"/>
  <c r="T181" i="3"/>
  <c r="S217" i="3"/>
  <c r="T217" i="3"/>
  <c r="S198" i="3"/>
  <c r="T198" i="3"/>
  <c r="S398" i="3"/>
  <c r="T398" i="3"/>
  <c r="S470" i="3"/>
  <c r="T470" i="3"/>
  <c r="S638" i="3"/>
  <c r="T638" i="3"/>
  <c r="S673" i="3"/>
  <c r="T673" i="3"/>
  <c r="S481" i="3"/>
  <c r="T481" i="3"/>
  <c r="S751" i="3"/>
  <c r="T751" i="3"/>
  <c r="S133" i="3"/>
  <c r="T133" i="3"/>
  <c r="S323" i="3"/>
  <c r="T323" i="3"/>
  <c r="S266" i="3"/>
  <c r="T266" i="3"/>
  <c r="S434" i="3"/>
  <c r="T434" i="3"/>
  <c r="S102" i="3"/>
  <c r="T102" i="3"/>
  <c r="T126" i="3"/>
  <c r="S126" i="3"/>
  <c r="S24" i="3"/>
  <c r="T24" i="3"/>
  <c r="S386" i="3"/>
  <c r="T386" i="3"/>
  <c r="S615" i="3"/>
  <c r="T615" i="3"/>
  <c r="S641" i="3"/>
  <c r="T641" i="3"/>
  <c r="S794" i="3"/>
  <c r="T794" i="3"/>
  <c r="S331" i="3"/>
  <c r="T331" i="3"/>
  <c r="S189" i="3"/>
  <c r="S174" i="3"/>
  <c r="T174" i="3"/>
  <c r="S259" i="3"/>
  <c r="T259" i="3"/>
  <c r="S346" i="3"/>
  <c r="T346" i="3"/>
  <c r="S339" i="3"/>
  <c r="T339" i="3"/>
  <c r="S338" i="3"/>
  <c r="T338" i="3"/>
  <c r="S516" i="3"/>
  <c r="T516" i="3"/>
  <c r="S583" i="3"/>
  <c r="T583" i="3"/>
  <c r="S684" i="3"/>
  <c r="T684" i="3"/>
  <c r="T101" i="4" l="1"/>
  <c r="U58" i="4"/>
  <c r="V1" i="4"/>
  <c r="U8" i="4"/>
  <c r="T8" i="4"/>
  <c r="R249" i="4"/>
  <c r="U194" i="4"/>
  <c r="T82" i="4"/>
  <c r="R201" i="4"/>
  <c r="T107" i="4"/>
  <c r="U134" i="4"/>
  <c r="T10" i="4"/>
  <c r="U118" i="4"/>
  <c r="U249" i="4"/>
  <c r="U22" i="4"/>
  <c r="T26" i="4"/>
  <c r="U17" i="4"/>
  <c r="U151" i="4"/>
  <c r="S9" i="4"/>
  <c r="U111" i="4"/>
  <c r="U75" i="4"/>
  <c r="T714" i="3"/>
  <c r="S669" i="3"/>
  <c r="T417" i="3"/>
  <c r="Q417" i="3"/>
  <c r="T416" i="3"/>
  <c r="S410" i="3"/>
  <c r="T586" i="3"/>
  <c r="Q233" i="3"/>
  <c r="Q586" i="3"/>
  <c r="S233" i="3"/>
  <c r="Q109" i="3"/>
  <c r="R177" i="3"/>
  <c r="T467" i="3"/>
  <c r="Q467" i="3"/>
  <c r="S109" i="3"/>
  <c r="S469" i="3"/>
  <c r="Q237" i="3"/>
  <c r="R428" i="3"/>
  <c r="S428" i="3" s="1"/>
  <c r="S237" i="3"/>
  <c r="Q375" i="3"/>
  <c r="T375" i="3"/>
  <c r="Q64" i="3"/>
  <c r="Q440" i="3"/>
  <c r="R440" i="3"/>
  <c r="T250" i="3"/>
  <c r="T98" i="3"/>
  <c r="Q250" i="3"/>
  <c r="Q313" i="3"/>
  <c r="T623" i="3"/>
  <c r="T425" i="3"/>
  <c r="Q425" i="3"/>
  <c r="S313" i="3"/>
  <c r="T313" i="3"/>
  <c r="T792" i="3"/>
  <c r="T347" i="3"/>
  <c r="S427" i="3"/>
  <c r="S385" i="3"/>
  <c r="T689" i="3"/>
  <c r="T468" i="3"/>
  <c r="T371" i="3"/>
  <c r="S585" i="3"/>
  <c r="S532" i="3"/>
  <c r="Q585" i="3"/>
  <c r="S424" i="3"/>
  <c r="Q427" i="3"/>
  <c r="S246" i="3"/>
  <c r="T64" i="3"/>
  <c r="T22" i="3"/>
  <c r="T123" i="3"/>
  <c r="T457" i="3"/>
  <c r="T68" i="3"/>
  <c r="Q185" i="3"/>
  <c r="Q68" i="3"/>
  <c r="T443" i="3"/>
  <c r="T141" i="3"/>
  <c r="T148" i="3"/>
  <c r="S84" i="3"/>
  <c r="S314" i="3"/>
  <c r="U38" i="4"/>
  <c r="R153" i="4"/>
  <c r="S185" i="3"/>
  <c r="U165" i="4"/>
  <c r="R165" i="4"/>
  <c r="S207" i="4"/>
  <c r="T207" i="4" s="1"/>
  <c r="Q424" i="3"/>
  <c r="Q650" i="3"/>
  <c r="R650" i="3"/>
  <c r="R584" i="3"/>
  <c r="S584" i="3" s="1"/>
  <c r="R199" i="3"/>
  <c r="S199" i="3" s="1"/>
  <c r="R592" i="3"/>
  <c r="Q592" i="3"/>
  <c r="Q654" i="3"/>
  <c r="R654" i="3"/>
  <c r="R660" i="3"/>
  <c r="Q660" i="3"/>
  <c r="R431" i="3"/>
  <c r="Q431" i="3"/>
  <c r="Q186" i="3"/>
  <c r="R186" i="3"/>
  <c r="R766" i="3"/>
  <c r="Q766" i="3"/>
  <c r="Q420" i="3"/>
  <c r="R420" i="3"/>
  <c r="R419" i="3"/>
  <c r="T419" i="3" s="1"/>
  <c r="R771" i="3"/>
  <c r="Q771" i="3"/>
  <c r="R596" i="3"/>
  <c r="S596" i="3" s="1"/>
  <c r="T232" i="3"/>
  <c r="S581" i="3"/>
  <c r="Q490" i="3"/>
  <c r="T482" i="3"/>
  <c r="Q699" i="3"/>
  <c r="Q466" i="3"/>
  <c r="T800" i="3"/>
  <c r="Q341" i="3"/>
  <c r="S12" i="3"/>
  <c r="T302" i="3"/>
  <c r="T196" i="3"/>
  <c r="T433" i="3"/>
  <c r="S355" i="3"/>
  <c r="T753" i="3"/>
  <c r="T626" i="3"/>
  <c r="S758" i="3"/>
  <c r="Q485" i="3"/>
  <c r="Q120" i="3"/>
  <c r="R19" i="3"/>
  <c r="S19" i="3" s="1"/>
  <c r="T485" i="3"/>
  <c r="T120" i="3"/>
  <c r="R547" i="3"/>
  <c r="T547" i="3" s="1"/>
  <c r="S239" i="3"/>
  <c r="S496" i="3"/>
  <c r="Q202" i="3"/>
  <c r="Q681" i="3"/>
  <c r="R594" i="3"/>
  <c r="T594" i="3" s="1"/>
  <c r="S228" i="3"/>
  <c r="R657" i="3"/>
  <c r="S657" i="3" s="1"/>
  <c r="T458" i="3"/>
  <c r="T33" i="3"/>
  <c r="T508" i="3"/>
  <c r="Q347" i="3"/>
  <c r="Q16" i="3"/>
  <c r="T352" i="3"/>
  <c r="T618" i="3"/>
  <c r="Q352" i="3"/>
  <c r="T45" i="3"/>
  <c r="S759" i="3"/>
  <c r="R702" i="3"/>
  <c r="S88" i="3"/>
  <c r="T421" i="3"/>
  <c r="T690" i="3"/>
  <c r="T628" i="3"/>
  <c r="Q321" i="3"/>
  <c r="S795" i="3"/>
  <c r="Q244" i="3"/>
  <c r="T91" i="3"/>
  <c r="R511" i="3"/>
  <c r="Q680" i="3"/>
  <c r="Q91" i="3"/>
  <c r="Q628" i="3"/>
  <c r="T705" i="3"/>
  <c r="T210" i="3"/>
  <c r="Q394" i="3"/>
  <c r="Q472" i="3"/>
  <c r="Q450" i="3"/>
  <c r="Q318" i="3"/>
  <c r="S318" i="3"/>
  <c r="T630" i="3"/>
  <c r="T286" i="3"/>
  <c r="T534" i="3"/>
  <c r="R639" i="3"/>
  <c r="Q293" i="3"/>
  <c r="T373" i="3"/>
  <c r="Q52" i="3"/>
  <c r="Q123" i="3"/>
  <c r="Q534" i="3"/>
  <c r="S293" i="3"/>
  <c r="Q84" i="3"/>
  <c r="T236" i="3"/>
  <c r="Q712" i="3"/>
  <c r="S674" i="3"/>
  <c r="T658" i="3"/>
  <c r="Q574" i="3"/>
  <c r="T162" i="3"/>
  <c r="Q730" i="3"/>
  <c r="T353" i="3"/>
  <c r="Q104" i="3"/>
  <c r="Q573" i="3"/>
  <c r="R520" i="3"/>
  <c r="Q658" i="3"/>
  <c r="Q285" i="3"/>
  <c r="T574" i="3"/>
  <c r="Q480" i="3"/>
  <c r="S480" i="3"/>
  <c r="S248" i="3"/>
  <c r="Q248" i="3"/>
  <c r="Q119" i="3"/>
  <c r="Q236" i="3"/>
  <c r="T565" i="3"/>
  <c r="T119" i="3"/>
  <c r="Q400" i="3"/>
  <c r="S712" i="3"/>
  <c r="Q717" i="3"/>
  <c r="R717" i="3"/>
  <c r="R305" i="3"/>
  <c r="Q305" i="3"/>
  <c r="Q404" i="3"/>
  <c r="R404" i="3"/>
  <c r="R713" i="3"/>
  <c r="Q713" i="3"/>
  <c r="R311" i="3"/>
  <c r="Q311" i="3"/>
  <c r="R93" i="3"/>
  <c r="Q93" i="3"/>
  <c r="S472" i="3"/>
  <c r="T472" i="3"/>
  <c r="Q21" i="3"/>
  <c r="R21" i="3"/>
  <c r="R491" i="3"/>
  <c r="Q491" i="3"/>
  <c r="R272" i="3"/>
  <c r="Q272" i="3"/>
  <c r="R597" i="3"/>
  <c r="Q597" i="3"/>
  <c r="S450" i="3"/>
  <c r="T450" i="3"/>
  <c r="Q488" i="3"/>
  <c r="R488" i="3"/>
  <c r="T558" i="3"/>
  <c r="S558" i="3"/>
  <c r="R755" i="3"/>
  <c r="Q755" i="3"/>
  <c r="R563" i="3"/>
  <c r="Q563" i="3"/>
  <c r="R79" i="3"/>
  <c r="Q79" i="3"/>
  <c r="R292" i="3"/>
  <c r="Q292" i="3"/>
  <c r="T400" i="3"/>
  <c r="S400" i="3"/>
  <c r="R691" i="3"/>
  <c r="Q691" i="3"/>
  <c r="R719" i="3"/>
  <c r="Q719" i="3"/>
  <c r="R612" i="3"/>
  <c r="Q612" i="3"/>
  <c r="S466" i="3"/>
  <c r="T466" i="3"/>
  <c r="Q671" i="3"/>
  <c r="R671" i="3"/>
  <c r="R288" i="3"/>
  <c r="Q288" i="3"/>
  <c r="Q452" i="3"/>
  <c r="R452" i="3"/>
  <c r="R363" i="3"/>
  <c r="Q363" i="3"/>
  <c r="R716" i="3"/>
  <c r="Q716" i="3"/>
  <c r="R550" i="3"/>
  <c r="Q550" i="3"/>
  <c r="R778" i="3"/>
  <c r="Q778" i="3"/>
  <c r="Q362" i="3"/>
  <c r="R362" i="3"/>
  <c r="S399" i="3"/>
  <c r="T399" i="3"/>
  <c r="T383" i="3"/>
  <c r="Q558" i="3"/>
  <c r="R414" i="3"/>
  <c r="Q414" i="3"/>
  <c r="R693" i="3"/>
  <c r="Q693" i="3"/>
  <c r="R184" i="3"/>
  <c r="Q184" i="3"/>
  <c r="R360" i="3"/>
  <c r="Q360" i="3"/>
  <c r="R227" i="3"/>
  <c r="Q227" i="3"/>
  <c r="R203" i="3"/>
  <c r="Q203" i="3"/>
  <c r="T104" i="3"/>
  <c r="S104" i="3"/>
  <c r="R405" i="3"/>
  <c r="Q405" i="3"/>
  <c r="T285" i="3"/>
  <c r="S285" i="3"/>
  <c r="R580" i="3"/>
  <c r="Q580" i="3"/>
  <c r="R392" i="3"/>
  <c r="Q392" i="3"/>
  <c r="R291" i="3"/>
  <c r="Q291" i="3"/>
  <c r="S730" i="3"/>
  <c r="T730" i="3"/>
  <c r="S573" i="3"/>
  <c r="T573" i="3"/>
  <c r="Q138" i="3"/>
  <c r="R138" i="3"/>
  <c r="R775" i="3"/>
  <c r="R276" i="3"/>
  <c r="Q276" i="3"/>
  <c r="R364" i="3"/>
  <c r="Q364" i="3"/>
  <c r="R449" i="3"/>
  <c r="Q449" i="3"/>
  <c r="R356" i="3"/>
  <c r="Q356" i="3"/>
  <c r="Q609" i="3"/>
  <c r="R609" i="3"/>
  <c r="Q38" i="3"/>
  <c r="R760" i="3"/>
  <c r="Q760" i="3"/>
  <c r="R225" i="3"/>
  <c r="Q225" i="3"/>
  <c r="Q69" i="3"/>
  <c r="R69" i="3"/>
  <c r="R502" i="3"/>
  <c r="Q502" i="3"/>
  <c r="Q396" i="3"/>
  <c r="R396" i="3"/>
  <c r="R223" i="3"/>
  <c r="Q223" i="3"/>
  <c r="R627" i="3"/>
  <c r="Q627" i="3"/>
  <c r="R121" i="3"/>
  <c r="Q121" i="3"/>
  <c r="Q251" i="3"/>
  <c r="R251" i="3"/>
  <c r="S681" i="3"/>
  <c r="T681" i="3"/>
  <c r="R317" i="3"/>
  <c r="Q317" i="3"/>
  <c r="S202" i="3"/>
  <c r="T202" i="3"/>
  <c r="Q613" i="3"/>
  <c r="Q675" i="3"/>
  <c r="R675" i="3"/>
  <c r="R343" i="3"/>
  <c r="Q343" i="3"/>
  <c r="R570" i="3"/>
  <c r="Q570" i="3"/>
  <c r="R114" i="3"/>
  <c r="Q114" i="3"/>
  <c r="R407" i="3"/>
  <c r="Q407" i="3"/>
  <c r="Q295" i="3"/>
  <c r="R295" i="3"/>
  <c r="Q399" i="3"/>
  <c r="R645" i="3"/>
  <c r="Q645" i="3"/>
  <c r="S38" i="3"/>
  <c r="T38" i="3"/>
  <c r="Q611" i="3"/>
  <c r="R611" i="3"/>
  <c r="S16" i="3"/>
  <c r="T16" i="3"/>
  <c r="Q575" i="3"/>
  <c r="R575" i="3"/>
  <c r="R9" i="3"/>
  <c r="Q9" i="3"/>
  <c r="R518" i="3"/>
  <c r="Q518" i="3"/>
  <c r="R393" i="3"/>
  <c r="Q393" i="3"/>
  <c r="Q204" i="3"/>
  <c r="R204" i="3"/>
  <c r="Q476" i="3"/>
  <c r="R476" i="3"/>
  <c r="R75" i="3"/>
  <c r="Q75" i="3"/>
  <c r="R507" i="3"/>
  <c r="Q507" i="3"/>
  <c r="R201" i="3"/>
  <c r="Q201" i="3"/>
  <c r="R224" i="3"/>
  <c r="Q224" i="3"/>
  <c r="Q144" i="3"/>
  <c r="R144" i="3"/>
  <c r="R682" i="3"/>
  <c r="Q682" i="3"/>
  <c r="R11" i="3"/>
  <c r="Q11" i="3"/>
  <c r="S394" i="3"/>
  <c r="T394" i="3"/>
  <c r="Q701" i="3"/>
  <c r="R701" i="3"/>
  <c r="R207" i="3"/>
  <c r="Q207" i="3"/>
  <c r="S244" i="3"/>
  <c r="T244" i="3"/>
  <c r="R724" i="3"/>
  <c r="Q724" i="3"/>
  <c r="R790" i="3"/>
  <c r="Q790" i="3"/>
  <c r="Q455" i="3"/>
  <c r="R455" i="3"/>
  <c r="R754" i="3"/>
  <c r="Q754" i="3"/>
  <c r="R67" i="3"/>
  <c r="Q67" i="3"/>
  <c r="Q535" i="3"/>
  <c r="R535" i="3"/>
  <c r="R377" i="3"/>
  <c r="Q377" i="3"/>
  <c r="R391" i="3"/>
  <c r="Q391" i="3"/>
  <c r="R578" i="3"/>
  <c r="Q578" i="3"/>
  <c r="R366" i="3"/>
  <c r="Q366" i="3"/>
  <c r="R402" i="3"/>
  <c r="Q402" i="3"/>
  <c r="T613" i="3"/>
  <c r="R3" i="3"/>
  <c r="Q3" i="3"/>
  <c r="R172" i="3"/>
  <c r="T787" i="3"/>
  <c r="T380" i="3"/>
  <c r="T428" i="3"/>
  <c r="R685" i="3"/>
  <c r="Q685" i="3"/>
  <c r="Q160" i="3"/>
  <c r="R160" i="3"/>
  <c r="T153" i="3"/>
  <c r="Q168" i="3"/>
  <c r="R168" i="3"/>
  <c r="T54" i="3"/>
  <c r="Q165" i="3"/>
  <c r="R165" i="3"/>
  <c r="U1" i="3"/>
  <c r="Q163" i="3"/>
  <c r="R163" i="3"/>
  <c r="T559" i="3"/>
  <c r="U96" i="4"/>
  <c r="R105" i="4"/>
  <c r="S105" i="4"/>
  <c r="R33" i="4"/>
  <c r="S33" i="4"/>
  <c r="R237" i="4"/>
  <c r="S237" i="4"/>
  <c r="R147" i="4"/>
  <c r="S147" i="4"/>
  <c r="T64" i="4"/>
  <c r="U64" i="4"/>
  <c r="R87" i="4"/>
  <c r="S87" i="4"/>
  <c r="S189" i="4"/>
  <c r="R189" i="4"/>
  <c r="T84" i="4"/>
  <c r="U163" i="4"/>
  <c r="U85" i="4"/>
  <c r="R57" i="4"/>
  <c r="S57" i="4"/>
  <c r="R255" i="4"/>
  <c r="S255" i="4"/>
  <c r="R63" i="4"/>
  <c r="S63" i="4"/>
  <c r="R99" i="4"/>
  <c r="S99" i="4"/>
  <c r="R135" i="4"/>
  <c r="S135" i="4"/>
  <c r="S225" i="4"/>
  <c r="R225" i="4"/>
  <c r="R27" i="4"/>
  <c r="S27" i="4"/>
  <c r="R51" i="4"/>
  <c r="S51" i="4"/>
  <c r="R69" i="4"/>
  <c r="S69" i="4"/>
  <c r="U154" i="4"/>
  <c r="T66" i="4"/>
  <c r="S141" i="4"/>
  <c r="R141" i="4"/>
  <c r="U46" i="4"/>
  <c r="U153" i="4"/>
  <c r="R45" i="4"/>
  <c r="S45" i="4"/>
  <c r="S81" i="4"/>
  <c r="R81" i="4"/>
  <c r="R117" i="4"/>
  <c r="S117" i="4"/>
  <c r="S15" i="4"/>
  <c r="R15" i="4"/>
  <c r="T109" i="4"/>
  <c r="U156" i="4"/>
  <c r="U53" i="4"/>
  <c r="U11" i="4"/>
  <c r="U146" i="4"/>
  <c r="U93" i="4"/>
  <c r="T120" i="4"/>
  <c r="U120" i="4"/>
  <c r="U158" i="4"/>
  <c r="U95" i="4"/>
  <c r="U182" i="4"/>
  <c r="U207" i="4"/>
  <c r="U127" i="4"/>
  <c r="T137" i="4"/>
  <c r="U137" i="4"/>
  <c r="T133" i="4"/>
  <c r="U133" i="4"/>
  <c r="R219" i="4"/>
  <c r="S219" i="4"/>
  <c r="S159" i="4"/>
  <c r="R159" i="4"/>
  <c r="R243" i="4"/>
  <c r="S243" i="4"/>
  <c r="R183" i="4"/>
  <c r="S183" i="4"/>
  <c r="U125" i="4"/>
  <c r="T125" i="4"/>
  <c r="T80" i="4"/>
  <c r="U80" i="4"/>
  <c r="R231" i="4"/>
  <c r="S231" i="4"/>
  <c r="T40" i="4"/>
  <c r="U40" i="4"/>
  <c r="U201" i="4"/>
  <c r="T201" i="4"/>
  <c r="R261" i="4"/>
  <c r="S261" i="4"/>
  <c r="T32" i="4"/>
  <c r="U32" i="4"/>
  <c r="T72" i="4"/>
  <c r="U72" i="4"/>
  <c r="T28" i="4"/>
  <c r="U28" i="4"/>
  <c r="T16" i="4"/>
  <c r="U16" i="4"/>
  <c r="T121" i="4"/>
  <c r="U121" i="4"/>
  <c r="R123" i="4"/>
  <c r="S123" i="4"/>
  <c r="U113" i="4"/>
  <c r="T113" i="4"/>
  <c r="U160" i="4"/>
  <c r="U162" i="4"/>
  <c r="T4" i="4"/>
  <c r="U4" i="4"/>
  <c r="U56" i="4"/>
  <c r="T56" i="4"/>
  <c r="T48" i="4"/>
  <c r="U48" i="4"/>
  <c r="S322" i="3"/>
  <c r="T322" i="3"/>
  <c r="T445" i="3"/>
  <c r="S209" i="3"/>
  <c r="T209" i="3"/>
  <c r="S17" i="3"/>
  <c r="T17" i="3"/>
  <c r="T505" i="3"/>
  <c r="S46" i="3"/>
  <c r="T46" i="3"/>
  <c r="Q99" i="3"/>
  <c r="R99" i="3"/>
  <c r="Q384" i="3"/>
  <c r="R384" i="3"/>
  <c r="R270" i="3"/>
  <c r="Q270" i="3"/>
  <c r="Q777" i="3"/>
  <c r="R777" i="3"/>
  <c r="Q734" i="3"/>
  <c r="R734" i="3"/>
  <c r="Q647" i="3"/>
  <c r="R647" i="3"/>
  <c r="R101" i="3"/>
  <c r="Q101" i="3"/>
  <c r="R791" i="3"/>
  <c r="Q791" i="3"/>
  <c r="Q746" i="3"/>
  <c r="R746" i="3"/>
  <c r="Q287" i="3"/>
  <c r="R287" i="3"/>
  <c r="R435" i="3"/>
  <c r="Q435" i="3"/>
  <c r="R76" i="3"/>
  <c r="Q76" i="3"/>
  <c r="R537" i="3"/>
  <c r="Q537" i="3"/>
  <c r="Q154" i="3"/>
  <c r="R154" i="3"/>
  <c r="R167" i="3"/>
  <c r="Q167" i="3"/>
  <c r="Q492" i="3"/>
  <c r="R492" i="3"/>
  <c r="Q90" i="3"/>
  <c r="R90" i="3"/>
  <c r="R53" i="3"/>
  <c r="Q53" i="3"/>
  <c r="R43" i="3"/>
  <c r="Q43" i="3"/>
  <c r="R595" i="3"/>
  <c r="Q595" i="3"/>
  <c r="R767" i="3"/>
  <c r="Q767" i="3"/>
  <c r="R477" i="3"/>
  <c r="Q477" i="3"/>
  <c r="R662" i="3"/>
  <c r="Q662" i="3"/>
  <c r="R42" i="3"/>
  <c r="Q42" i="3"/>
  <c r="R710" i="3"/>
  <c r="Q710" i="3"/>
  <c r="R86" i="3"/>
  <c r="Q86" i="3"/>
  <c r="R525" i="3"/>
  <c r="Q525" i="3"/>
  <c r="R139" i="3"/>
  <c r="Q139" i="3"/>
  <c r="Q456" i="3"/>
  <c r="R456" i="3"/>
  <c r="R444" i="3"/>
  <c r="Q444" i="3"/>
  <c r="R718" i="3"/>
  <c r="Q718" i="3"/>
  <c r="R696" i="3"/>
  <c r="Q696" i="3"/>
  <c r="R127" i="3"/>
  <c r="Q127" i="3"/>
  <c r="Q635" i="3"/>
  <c r="R635" i="3"/>
  <c r="R142" i="3"/>
  <c r="Q142" i="3"/>
  <c r="Q576" i="3"/>
  <c r="R576" i="3"/>
  <c r="R528" i="3"/>
  <c r="Q528" i="3"/>
  <c r="R23" i="3"/>
  <c r="Q23" i="3"/>
  <c r="R238" i="3"/>
  <c r="Q238" i="3"/>
  <c r="R527" i="3"/>
  <c r="Q527" i="3"/>
  <c r="R282" i="3"/>
  <c r="Q282" i="3"/>
  <c r="R602" i="3"/>
  <c r="Q602" i="3"/>
  <c r="R748" i="3"/>
  <c r="Q748" i="3"/>
  <c r="R536" i="3"/>
  <c r="Q536" i="3"/>
  <c r="R112" i="3"/>
  <c r="Q112" i="3"/>
  <c r="R164" i="3"/>
  <c r="Q164" i="3"/>
  <c r="Q636" i="3"/>
  <c r="R636" i="3"/>
  <c r="R471" i="3"/>
  <c r="Q471" i="3"/>
  <c r="R694" i="3"/>
  <c r="Q694" i="3"/>
  <c r="R200" i="3"/>
  <c r="Q200" i="3"/>
  <c r="Q299" i="3"/>
  <c r="R299" i="3"/>
  <c r="R543" i="3"/>
  <c r="Q543" i="3"/>
  <c r="Q683" i="3"/>
  <c r="R683" i="3"/>
  <c r="R736" i="3"/>
  <c r="Q736" i="3"/>
  <c r="R340" i="3"/>
  <c r="Q340" i="3"/>
  <c r="R280" i="3"/>
  <c r="Q280" i="3"/>
  <c r="Q231" i="3"/>
  <c r="R231" i="3"/>
  <c r="R30" i="3"/>
  <c r="Q30" i="3"/>
  <c r="Q572" i="3"/>
  <c r="R572" i="3"/>
  <c r="R8" i="3"/>
  <c r="Q8" i="3"/>
  <c r="R447" i="3"/>
  <c r="Q447" i="3"/>
  <c r="R698" i="3"/>
  <c r="Q698" i="3"/>
  <c r="R279" i="3"/>
  <c r="Q279" i="3"/>
  <c r="R113" i="3"/>
  <c r="Q113" i="3"/>
  <c r="R591" i="3"/>
  <c r="Q591" i="3"/>
  <c r="R783" i="3"/>
  <c r="Q783" i="3"/>
  <c r="R191" i="3"/>
  <c r="Q191" i="3"/>
  <c r="R103" i="3"/>
  <c r="Q103" i="3"/>
  <c r="Q56" i="3"/>
  <c r="R56" i="3"/>
  <c r="R801" i="3"/>
  <c r="Q801" i="3"/>
  <c r="R226" i="3"/>
  <c r="Q226" i="3"/>
  <c r="Q187" i="3"/>
  <c r="R187" i="3"/>
  <c r="R442" i="3"/>
  <c r="Q442" i="3"/>
  <c r="R646" i="3"/>
  <c r="Q646" i="3"/>
  <c r="R700" i="3"/>
  <c r="Q700" i="3"/>
  <c r="R524" i="3"/>
  <c r="Q524" i="3"/>
  <c r="R418" i="3"/>
  <c r="Q418" i="3"/>
  <c r="R77" i="3"/>
  <c r="Q77" i="3"/>
  <c r="R648" i="3"/>
  <c r="Q648" i="3"/>
  <c r="R789" i="3"/>
  <c r="Q789" i="3"/>
  <c r="R155" i="3"/>
  <c r="Q155" i="3"/>
  <c r="Q247" i="3"/>
  <c r="R247" i="3"/>
  <c r="R58" i="3"/>
  <c r="Q58" i="3"/>
  <c r="R723" i="3"/>
  <c r="Q723" i="3"/>
  <c r="R31" i="3"/>
  <c r="Q31" i="3"/>
  <c r="S676" i="3"/>
  <c r="T676" i="3"/>
  <c r="R560" i="3"/>
  <c r="Q560" i="3"/>
  <c r="R772" i="3"/>
  <c r="Q772" i="3"/>
  <c r="Q735" i="3"/>
  <c r="R735" i="3"/>
  <c r="T680" i="3"/>
  <c r="S680" i="3"/>
  <c r="R122" i="3"/>
  <c r="Q122" i="3"/>
  <c r="R479" i="3"/>
  <c r="Q479" i="3"/>
  <c r="Q57" i="3"/>
  <c r="R57" i="3"/>
  <c r="R264" i="3"/>
  <c r="Q264" i="3"/>
  <c r="R726" i="3"/>
  <c r="Q726" i="3"/>
  <c r="R454" i="3"/>
  <c r="Q454" i="3"/>
  <c r="R785" i="3"/>
  <c r="Q785" i="3"/>
  <c r="R489" i="3"/>
  <c r="Q489" i="3"/>
  <c r="Q599" i="3"/>
  <c r="R599" i="3"/>
  <c r="Q598" i="3"/>
  <c r="R598" i="3"/>
  <c r="R788" i="3"/>
  <c r="Q788" i="3"/>
  <c r="R100" i="3"/>
  <c r="Q100" i="3"/>
  <c r="Q151" i="3"/>
  <c r="R151" i="3"/>
  <c r="R779" i="3"/>
  <c r="Q779" i="3"/>
  <c r="R495" i="3"/>
  <c r="Q495" i="3"/>
  <c r="Q175" i="3"/>
  <c r="R175" i="3"/>
  <c r="Q408" i="3"/>
  <c r="R408" i="3"/>
  <c r="R55" i="3"/>
  <c r="Q55" i="3"/>
  <c r="Q727" i="3"/>
  <c r="R727" i="3"/>
  <c r="S796" i="3"/>
  <c r="T796" i="3"/>
  <c r="R214" i="3"/>
  <c r="Q214" i="3"/>
  <c r="R453" i="3"/>
  <c r="Q453" i="3"/>
  <c r="R96" i="3"/>
  <c r="Q96" i="3"/>
  <c r="R548" i="3"/>
  <c r="Q548" i="3"/>
  <c r="R283" i="3"/>
  <c r="Q283" i="3"/>
  <c r="R429" i="3"/>
  <c r="Q429" i="3"/>
  <c r="Q665" i="3"/>
  <c r="R665" i="3"/>
  <c r="Q672" i="3"/>
  <c r="R672" i="3"/>
  <c r="S262" i="3"/>
  <c r="T262" i="3"/>
  <c r="Q208" i="3"/>
  <c r="R208" i="3"/>
  <c r="R484" i="3"/>
  <c r="Q484" i="3"/>
  <c r="R179" i="3"/>
  <c r="Q179" i="3"/>
  <c r="R728" i="3"/>
  <c r="Q728" i="3"/>
  <c r="R87" i="3"/>
  <c r="Q87" i="3"/>
  <c r="Q255" i="3"/>
  <c r="R255" i="3"/>
  <c r="T490" i="3"/>
  <c r="S490" i="3"/>
  <c r="R703" i="3"/>
  <c r="Q703" i="3"/>
  <c r="R387" i="3"/>
  <c r="Q387" i="3"/>
  <c r="R161" i="3"/>
  <c r="Q161" i="3"/>
  <c r="Q432" i="3"/>
  <c r="R432" i="3"/>
  <c r="R243" i="3"/>
  <c r="Q243" i="3"/>
  <c r="R32" i="3"/>
  <c r="Q32" i="3"/>
  <c r="R330" i="3"/>
  <c r="Q330" i="3"/>
  <c r="T342" i="3"/>
  <c r="S342" i="3"/>
  <c r="R441" i="3"/>
  <c r="Q441" i="3"/>
  <c r="Q78" i="3"/>
  <c r="R78" i="3"/>
  <c r="Q666" i="3"/>
  <c r="R666" i="3"/>
  <c r="R549" i="3"/>
  <c r="Q549" i="3"/>
  <c r="R512" i="3"/>
  <c r="Q512" i="3"/>
  <c r="R401" i="3"/>
  <c r="Q401" i="3"/>
  <c r="R306" i="3"/>
  <c r="Q306" i="3"/>
  <c r="R150" i="3"/>
  <c r="Q150" i="3"/>
  <c r="R358" i="3"/>
  <c r="Q358" i="3"/>
  <c r="R539" i="3"/>
  <c r="Q539" i="3"/>
  <c r="Q504" i="3"/>
  <c r="R504" i="3"/>
  <c r="R515" i="3"/>
  <c r="Q515" i="3"/>
  <c r="R711" i="3"/>
  <c r="Q711" i="3"/>
  <c r="R438" i="3"/>
  <c r="Q438" i="3"/>
  <c r="Q686" i="3"/>
  <c r="R686" i="3"/>
  <c r="Q220" i="3"/>
  <c r="R220" i="3"/>
  <c r="R89" i="3"/>
  <c r="Q89" i="3"/>
  <c r="T699" i="3"/>
  <c r="S699" i="3"/>
  <c r="R166" i="3"/>
  <c r="Q166" i="3"/>
  <c r="R464" i="3"/>
  <c r="Q464" i="3"/>
  <c r="T721" i="3"/>
  <c r="S721" i="3"/>
  <c r="S274" i="3"/>
  <c r="T274" i="3"/>
  <c r="S321" i="3"/>
  <c r="T321" i="3"/>
  <c r="S797" i="3"/>
  <c r="T797" i="3"/>
  <c r="R176" i="3"/>
  <c r="Q176" i="3"/>
  <c r="R640" i="3"/>
  <c r="Q640" i="3"/>
  <c r="Q310" i="3"/>
  <c r="R310" i="3"/>
  <c r="R97" i="3"/>
  <c r="Q97" i="3"/>
  <c r="R390" i="3"/>
  <c r="Q390" i="3"/>
  <c r="R406" i="3"/>
  <c r="Q406" i="3"/>
  <c r="R65" i="3"/>
  <c r="Q65" i="3"/>
  <c r="R715" i="3"/>
  <c r="Q715" i="3"/>
  <c r="R555" i="3"/>
  <c r="Q555" i="3"/>
  <c r="Q307" i="3"/>
  <c r="R307" i="3"/>
  <c r="R378" i="3"/>
  <c r="Q378" i="3"/>
  <c r="R140" i="3"/>
  <c r="Q140" i="3"/>
  <c r="Q603" i="3"/>
  <c r="R603" i="3"/>
  <c r="R478" i="3"/>
  <c r="Q478" i="3"/>
  <c r="R557" i="3"/>
  <c r="Q557" i="3"/>
  <c r="S764" i="3"/>
  <c r="T764" i="3"/>
  <c r="R369" i="3"/>
  <c r="Q369" i="3"/>
  <c r="R178" i="3"/>
  <c r="Q178" i="3"/>
  <c r="S653" i="3"/>
  <c r="T653" i="3"/>
  <c r="R152" i="3"/>
  <c r="Q152" i="3"/>
  <c r="R725" i="3"/>
  <c r="Q725" i="3"/>
  <c r="Q111" i="3"/>
  <c r="R111" i="3"/>
  <c r="Q588" i="3"/>
  <c r="R588" i="3"/>
  <c r="R328" i="3"/>
  <c r="Q328" i="3"/>
  <c r="R551" i="3"/>
  <c r="Q551" i="3"/>
  <c r="S52" i="3"/>
  <c r="T52" i="3"/>
  <c r="Q765" i="3"/>
  <c r="R765" i="3"/>
  <c r="R521" i="3"/>
  <c r="Q521" i="3"/>
  <c r="Q211" i="3"/>
  <c r="R211" i="3"/>
  <c r="R513" i="3"/>
  <c r="Q513" i="3"/>
  <c r="R188" i="3"/>
  <c r="Q188" i="3"/>
  <c r="Q44" i="3"/>
  <c r="R44" i="3"/>
  <c r="Q617" i="3"/>
  <c r="R617" i="3"/>
  <c r="S206" i="3"/>
  <c r="T206" i="3"/>
  <c r="R664" i="3"/>
  <c r="Q664" i="3"/>
  <c r="R258" i="3"/>
  <c r="Q258" i="3"/>
  <c r="R614" i="3"/>
  <c r="Q614" i="3"/>
  <c r="R190" i="3"/>
  <c r="Q190" i="3"/>
  <c r="R34" i="3"/>
  <c r="Q34" i="3"/>
  <c r="Q624" i="3"/>
  <c r="R624" i="3"/>
  <c r="R221" i="3"/>
  <c r="Q221" i="3"/>
  <c r="R368" i="3"/>
  <c r="Q368" i="3"/>
  <c r="R108" i="3"/>
  <c r="Q108" i="3"/>
  <c r="U50" i="4"/>
  <c r="T50" i="4"/>
  <c r="U62" i="4"/>
  <c r="T62" i="4"/>
  <c r="U86" i="4"/>
  <c r="T86" i="4"/>
  <c r="T254" i="4"/>
  <c r="U254" i="4"/>
  <c r="U74" i="4"/>
  <c r="T74" i="4"/>
  <c r="T242" i="4"/>
  <c r="U242" i="4"/>
  <c r="S182" i="3"/>
  <c r="T182" i="3"/>
  <c r="S757" i="3"/>
  <c r="T757" i="3"/>
  <c r="S230" i="3"/>
  <c r="T230" i="3"/>
  <c r="S95" i="3"/>
  <c r="T95" i="3"/>
  <c r="S194" i="3"/>
  <c r="T194" i="3"/>
  <c r="T409" i="3"/>
  <c r="T769" i="3"/>
  <c r="S769" i="3"/>
  <c r="S14" i="3"/>
  <c r="T14" i="3"/>
  <c r="S158" i="3"/>
  <c r="T158" i="3"/>
  <c r="T793" i="3"/>
  <c r="S793" i="3"/>
  <c r="T37" i="3"/>
  <c r="S37" i="3"/>
  <c r="S134" i="3"/>
  <c r="T134" i="3"/>
  <c r="S146" i="3"/>
  <c r="T146" i="3"/>
  <c r="S106" i="3"/>
  <c r="T106" i="3"/>
  <c r="T49" i="3"/>
  <c r="S49" i="3"/>
  <c r="T9" i="4" l="1"/>
  <c r="U9" i="4"/>
  <c r="T177" i="3"/>
  <c r="S177" i="3"/>
  <c r="T440" i="3"/>
  <c r="S440" i="3"/>
  <c r="T596" i="3"/>
  <c r="T199" i="3"/>
  <c r="T657" i="3"/>
  <c r="S419" i="3"/>
  <c r="T19" i="3"/>
  <c r="T584" i="3"/>
  <c r="S431" i="3"/>
  <c r="T431" i="3"/>
  <c r="S660" i="3"/>
  <c r="T660" i="3"/>
  <c r="T771" i="3"/>
  <c r="S771" i="3"/>
  <c r="S654" i="3"/>
  <c r="T654" i="3"/>
  <c r="T420" i="3"/>
  <c r="S420" i="3"/>
  <c r="S592" i="3"/>
  <c r="T592" i="3"/>
  <c r="S766" i="3"/>
  <c r="T766" i="3"/>
  <c r="S186" i="3"/>
  <c r="T186" i="3"/>
  <c r="S650" i="3"/>
  <c r="T650" i="3"/>
  <c r="S547" i="3"/>
  <c r="S594" i="3"/>
  <c r="S702" i="3"/>
  <c r="T702" i="3"/>
  <c r="S511" i="3"/>
  <c r="T511" i="3"/>
  <c r="T639" i="3"/>
  <c r="S639" i="3"/>
  <c r="S520" i="3"/>
  <c r="T520" i="3"/>
  <c r="T391" i="3"/>
  <c r="S391" i="3"/>
  <c r="S790" i="3"/>
  <c r="T790" i="3"/>
  <c r="S11" i="3"/>
  <c r="T11" i="3"/>
  <c r="S575" i="3"/>
  <c r="T575" i="3"/>
  <c r="S138" i="3"/>
  <c r="T138" i="3"/>
  <c r="S671" i="3"/>
  <c r="T671" i="3"/>
  <c r="T75" i="3"/>
  <c r="S75" i="3"/>
  <c r="T223" i="3"/>
  <c r="S223" i="3"/>
  <c r="T609" i="3"/>
  <c r="S609" i="3"/>
  <c r="S184" i="3"/>
  <c r="T184" i="3"/>
  <c r="T778" i="3"/>
  <c r="S778" i="3"/>
  <c r="S292" i="3"/>
  <c r="T292" i="3"/>
  <c r="T93" i="3"/>
  <c r="S93" i="3"/>
  <c r="S377" i="3"/>
  <c r="T377" i="3"/>
  <c r="S724" i="3"/>
  <c r="T724" i="3"/>
  <c r="S682" i="3"/>
  <c r="T682" i="3"/>
  <c r="S476" i="3"/>
  <c r="T476" i="3"/>
  <c r="S407" i="3"/>
  <c r="T407" i="3"/>
  <c r="S396" i="3"/>
  <c r="T396" i="3"/>
  <c r="S535" i="3"/>
  <c r="T535" i="3"/>
  <c r="T144" i="3"/>
  <c r="S144" i="3"/>
  <c r="T317" i="3"/>
  <c r="S317" i="3"/>
  <c r="S405" i="3"/>
  <c r="T405" i="3"/>
  <c r="S693" i="3"/>
  <c r="T693" i="3"/>
  <c r="T550" i="3"/>
  <c r="S550" i="3"/>
  <c r="S79" i="3"/>
  <c r="T79" i="3"/>
  <c r="S597" i="3"/>
  <c r="T597" i="3"/>
  <c r="S311" i="3"/>
  <c r="T311" i="3"/>
  <c r="T204" i="3"/>
  <c r="S204" i="3"/>
  <c r="S611" i="3"/>
  <c r="T611" i="3"/>
  <c r="S114" i="3"/>
  <c r="T114" i="3"/>
  <c r="S356" i="3"/>
  <c r="T356" i="3"/>
  <c r="S502" i="3"/>
  <c r="T502" i="3"/>
  <c r="T414" i="3"/>
  <c r="S414" i="3"/>
  <c r="S716" i="3"/>
  <c r="T716" i="3"/>
  <c r="T612" i="3"/>
  <c r="S612" i="3"/>
  <c r="S563" i="3"/>
  <c r="T563" i="3"/>
  <c r="T272" i="3"/>
  <c r="S272" i="3"/>
  <c r="T713" i="3"/>
  <c r="S713" i="3"/>
  <c r="S402" i="3"/>
  <c r="T402" i="3"/>
  <c r="T67" i="3"/>
  <c r="S67" i="3"/>
  <c r="S207" i="3"/>
  <c r="T207" i="3"/>
  <c r="T224" i="3"/>
  <c r="S224" i="3"/>
  <c r="T570" i="3"/>
  <c r="S570" i="3"/>
  <c r="S251" i="3"/>
  <c r="T251" i="3"/>
  <c r="S69" i="3"/>
  <c r="T69" i="3"/>
  <c r="S449" i="3"/>
  <c r="T449" i="3"/>
  <c r="S404" i="3"/>
  <c r="T404" i="3"/>
  <c r="T701" i="3"/>
  <c r="S701" i="3"/>
  <c r="S393" i="3"/>
  <c r="T393" i="3"/>
  <c r="S291" i="3"/>
  <c r="T291" i="3"/>
  <c r="T203" i="3"/>
  <c r="S203" i="3"/>
  <c r="T363" i="3"/>
  <c r="S363" i="3"/>
  <c r="S719" i="3"/>
  <c r="T719" i="3"/>
  <c r="S755" i="3"/>
  <c r="T755" i="3"/>
  <c r="S491" i="3"/>
  <c r="T491" i="3"/>
  <c r="S366" i="3"/>
  <c r="T366" i="3"/>
  <c r="S754" i="3"/>
  <c r="T754" i="3"/>
  <c r="S201" i="3"/>
  <c r="T201" i="3"/>
  <c r="S343" i="3"/>
  <c r="T343" i="3"/>
  <c r="T364" i="3"/>
  <c r="S364" i="3"/>
  <c r="S452" i="3"/>
  <c r="T452" i="3"/>
  <c r="S21" i="3"/>
  <c r="T21" i="3"/>
  <c r="S455" i="3"/>
  <c r="T455" i="3"/>
  <c r="T518" i="3"/>
  <c r="S518" i="3"/>
  <c r="S645" i="3"/>
  <c r="T645" i="3"/>
  <c r="T675" i="3"/>
  <c r="S675" i="3"/>
  <c r="S121" i="3"/>
  <c r="T121" i="3"/>
  <c r="S225" i="3"/>
  <c r="T225" i="3"/>
  <c r="S392" i="3"/>
  <c r="T392" i="3"/>
  <c r="S227" i="3"/>
  <c r="T227" i="3"/>
  <c r="S691" i="3"/>
  <c r="T691" i="3"/>
  <c r="S305" i="3"/>
  <c r="T305" i="3"/>
  <c r="S578" i="3"/>
  <c r="T578" i="3"/>
  <c r="S507" i="3"/>
  <c r="T507" i="3"/>
  <c r="S276" i="3"/>
  <c r="T276" i="3"/>
  <c r="S362" i="3"/>
  <c r="T362" i="3"/>
  <c r="S488" i="3"/>
  <c r="T488" i="3"/>
  <c r="S717" i="3"/>
  <c r="T717" i="3"/>
  <c r="T9" i="3"/>
  <c r="S9" i="3"/>
  <c r="S295" i="3"/>
  <c r="T295" i="3"/>
  <c r="S627" i="3"/>
  <c r="T627" i="3"/>
  <c r="S760" i="3"/>
  <c r="T760" i="3"/>
  <c r="S775" i="3"/>
  <c r="T775" i="3"/>
  <c r="T580" i="3"/>
  <c r="S580" i="3"/>
  <c r="S360" i="3"/>
  <c r="T360" i="3"/>
  <c r="S288" i="3"/>
  <c r="T288" i="3"/>
  <c r="S172" i="3"/>
  <c r="T172" i="3"/>
  <c r="T3" i="3"/>
  <c r="S3" i="3"/>
  <c r="S165" i="3"/>
  <c r="T165" i="3"/>
  <c r="T168" i="3"/>
  <c r="S168" i="3"/>
  <c r="S160" i="3"/>
  <c r="T160" i="3"/>
  <c r="T163" i="3"/>
  <c r="S163" i="3"/>
  <c r="S685" i="3"/>
  <c r="T685" i="3"/>
  <c r="T117" i="4"/>
  <c r="U117" i="4"/>
  <c r="T69" i="4"/>
  <c r="U69" i="4"/>
  <c r="U63" i="4"/>
  <c r="T63" i="4"/>
  <c r="T51" i="4"/>
  <c r="U51" i="4"/>
  <c r="U255" i="4"/>
  <c r="T255" i="4"/>
  <c r="T81" i="4"/>
  <c r="U81" i="4"/>
  <c r="T147" i="4"/>
  <c r="U147" i="4"/>
  <c r="T45" i="4"/>
  <c r="U45" i="4"/>
  <c r="T27" i="4"/>
  <c r="U27" i="4"/>
  <c r="T57" i="4"/>
  <c r="U57" i="4"/>
  <c r="T237" i="4"/>
  <c r="U237" i="4"/>
  <c r="T225" i="4"/>
  <c r="U225" i="4"/>
  <c r="T33" i="4"/>
  <c r="U33" i="4"/>
  <c r="T135" i="4"/>
  <c r="U135" i="4"/>
  <c r="T141" i="4"/>
  <c r="U141" i="4"/>
  <c r="U105" i="4"/>
  <c r="T105" i="4"/>
  <c r="T99" i="4"/>
  <c r="U99" i="4"/>
  <c r="T189" i="4"/>
  <c r="U189" i="4"/>
  <c r="T15" i="4"/>
  <c r="U15" i="4"/>
  <c r="U87" i="4"/>
  <c r="T87" i="4"/>
  <c r="T123" i="4"/>
  <c r="U123" i="4"/>
  <c r="T261" i="4"/>
  <c r="U261" i="4"/>
  <c r="T183" i="4"/>
  <c r="U183" i="4"/>
  <c r="U243" i="4"/>
  <c r="T243" i="4"/>
  <c r="T159" i="4"/>
  <c r="U159" i="4"/>
  <c r="T231" i="4"/>
  <c r="U231" i="4"/>
  <c r="T219" i="4"/>
  <c r="U219" i="4"/>
  <c r="S330" i="3"/>
  <c r="T330" i="3"/>
  <c r="S624" i="3"/>
  <c r="T624" i="3"/>
  <c r="S111" i="3"/>
  <c r="T111" i="3"/>
  <c r="T504" i="3"/>
  <c r="S504" i="3"/>
  <c r="S665" i="3"/>
  <c r="T665" i="3"/>
  <c r="S599" i="3"/>
  <c r="T599" i="3"/>
  <c r="S57" i="3"/>
  <c r="T57" i="3"/>
  <c r="S572" i="3"/>
  <c r="T572" i="3"/>
  <c r="T683" i="3"/>
  <c r="S683" i="3"/>
  <c r="S636" i="3"/>
  <c r="T636" i="3"/>
  <c r="S456" i="3"/>
  <c r="T456" i="3"/>
  <c r="S90" i="3"/>
  <c r="T90" i="3"/>
  <c r="S734" i="3"/>
  <c r="T734" i="3"/>
  <c r="T179" i="3"/>
  <c r="S179" i="3"/>
  <c r="S155" i="3"/>
  <c r="T155" i="3"/>
  <c r="S662" i="3"/>
  <c r="T662" i="3"/>
  <c r="S617" i="3"/>
  <c r="T617" i="3"/>
  <c r="S635" i="3"/>
  <c r="T635" i="3"/>
  <c r="T287" i="3"/>
  <c r="S287" i="3"/>
  <c r="T34" i="3"/>
  <c r="S34" i="3"/>
  <c r="T725" i="3"/>
  <c r="S725" i="3"/>
  <c r="T97" i="3"/>
  <c r="S97" i="3"/>
  <c r="S539" i="3"/>
  <c r="T539" i="3"/>
  <c r="T549" i="3"/>
  <c r="S549" i="3"/>
  <c r="S32" i="3"/>
  <c r="T32" i="3"/>
  <c r="S703" i="3"/>
  <c r="T703" i="3"/>
  <c r="S484" i="3"/>
  <c r="T484" i="3"/>
  <c r="T429" i="3"/>
  <c r="S429" i="3"/>
  <c r="S779" i="3"/>
  <c r="T779" i="3"/>
  <c r="T489" i="3"/>
  <c r="S489" i="3"/>
  <c r="T479" i="3"/>
  <c r="S479" i="3"/>
  <c r="S789" i="3"/>
  <c r="T789" i="3"/>
  <c r="T700" i="3"/>
  <c r="S700" i="3"/>
  <c r="S801" i="3"/>
  <c r="T801" i="3"/>
  <c r="S113" i="3"/>
  <c r="T113" i="3"/>
  <c r="S30" i="3"/>
  <c r="T30" i="3"/>
  <c r="T543" i="3"/>
  <c r="S543" i="3"/>
  <c r="S164" i="3"/>
  <c r="T164" i="3"/>
  <c r="T527" i="3"/>
  <c r="S527" i="3"/>
  <c r="S139" i="3"/>
  <c r="T139" i="3"/>
  <c r="S477" i="3"/>
  <c r="T477" i="3"/>
  <c r="S214" i="3"/>
  <c r="T214" i="3"/>
  <c r="S591" i="3"/>
  <c r="T591" i="3"/>
  <c r="T142" i="3"/>
  <c r="S142" i="3"/>
  <c r="T220" i="3"/>
  <c r="S220" i="3"/>
  <c r="S777" i="3"/>
  <c r="T777" i="3"/>
  <c r="T44" i="3"/>
  <c r="S44" i="3"/>
  <c r="S310" i="3"/>
  <c r="T310" i="3"/>
  <c r="S686" i="3"/>
  <c r="T686" i="3"/>
  <c r="S666" i="3"/>
  <c r="T666" i="3"/>
  <c r="T208" i="3"/>
  <c r="S208" i="3"/>
  <c r="S727" i="3"/>
  <c r="T727" i="3"/>
  <c r="T151" i="3"/>
  <c r="S151" i="3"/>
  <c r="S56" i="3"/>
  <c r="T56" i="3"/>
  <c r="S231" i="3"/>
  <c r="T231" i="3"/>
  <c r="S299" i="3"/>
  <c r="T299" i="3"/>
  <c r="S746" i="3"/>
  <c r="T746" i="3"/>
  <c r="S390" i="3"/>
  <c r="T390" i="3"/>
  <c r="T152" i="3"/>
  <c r="S152" i="3"/>
  <c r="T557" i="3"/>
  <c r="S557" i="3"/>
  <c r="T555" i="3"/>
  <c r="S555" i="3"/>
  <c r="T358" i="3"/>
  <c r="S358" i="3"/>
  <c r="T243" i="3"/>
  <c r="S243" i="3"/>
  <c r="S283" i="3"/>
  <c r="T283" i="3"/>
  <c r="S785" i="3"/>
  <c r="T785" i="3"/>
  <c r="S122" i="3"/>
  <c r="T122" i="3"/>
  <c r="T31" i="3"/>
  <c r="S31" i="3"/>
  <c r="S648" i="3"/>
  <c r="T648" i="3"/>
  <c r="S646" i="3"/>
  <c r="T646" i="3"/>
  <c r="S279" i="3"/>
  <c r="T279" i="3"/>
  <c r="S112" i="3"/>
  <c r="T112" i="3"/>
  <c r="T238" i="3"/>
  <c r="S238" i="3"/>
  <c r="T127" i="3"/>
  <c r="S127" i="3"/>
  <c r="S525" i="3"/>
  <c r="T525" i="3"/>
  <c r="T767" i="3"/>
  <c r="S767" i="3"/>
  <c r="T167" i="3"/>
  <c r="S167" i="3"/>
  <c r="S270" i="3"/>
  <c r="T270" i="3"/>
  <c r="S78" i="3"/>
  <c r="T78" i="3"/>
  <c r="T432" i="3"/>
  <c r="S432" i="3"/>
  <c r="S255" i="3"/>
  <c r="T255" i="3"/>
  <c r="S154" i="3"/>
  <c r="T154" i="3"/>
  <c r="T378" i="3"/>
  <c r="S378" i="3"/>
  <c r="S495" i="3"/>
  <c r="T495" i="3"/>
  <c r="T188" i="3"/>
  <c r="S188" i="3"/>
  <c r="S715" i="3"/>
  <c r="T715" i="3"/>
  <c r="S464" i="3"/>
  <c r="T464" i="3"/>
  <c r="S438" i="3"/>
  <c r="T438" i="3"/>
  <c r="S150" i="3"/>
  <c r="T150" i="3"/>
  <c r="S548" i="3"/>
  <c r="T548" i="3"/>
  <c r="T55" i="3"/>
  <c r="S55" i="3"/>
  <c r="T100" i="3"/>
  <c r="S100" i="3"/>
  <c r="T454" i="3"/>
  <c r="S454" i="3"/>
  <c r="S723" i="3"/>
  <c r="T723" i="3"/>
  <c r="T77" i="3"/>
  <c r="S77" i="3"/>
  <c r="S442" i="3"/>
  <c r="T442" i="3"/>
  <c r="T103" i="3"/>
  <c r="S103" i="3"/>
  <c r="S698" i="3"/>
  <c r="T698" i="3"/>
  <c r="S280" i="3"/>
  <c r="T280" i="3"/>
  <c r="T200" i="3"/>
  <c r="S200" i="3"/>
  <c r="T536" i="3"/>
  <c r="S536" i="3"/>
  <c r="S23" i="3"/>
  <c r="T23" i="3"/>
  <c r="T696" i="3"/>
  <c r="S696" i="3"/>
  <c r="S86" i="3"/>
  <c r="T86" i="3"/>
  <c r="S595" i="3"/>
  <c r="T595" i="3"/>
  <c r="S791" i="3"/>
  <c r="T791" i="3"/>
  <c r="S521" i="3"/>
  <c r="T521" i="3"/>
  <c r="T524" i="3"/>
  <c r="S524" i="3"/>
  <c r="S435" i="3"/>
  <c r="T435" i="3"/>
  <c r="S307" i="3"/>
  <c r="T307" i="3"/>
  <c r="S551" i="3"/>
  <c r="T551" i="3"/>
  <c r="S603" i="3"/>
  <c r="T603" i="3"/>
  <c r="S408" i="3"/>
  <c r="T408" i="3"/>
  <c r="T735" i="3"/>
  <c r="S735" i="3"/>
  <c r="S187" i="3"/>
  <c r="T187" i="3"/>
  <c r="T384" i="3"/>
  <c r="S384" i="3"/>
  <c r="T89" i="3"/>
  <c r="S89" i="3"/>
  <c r="S560" i="3"/>
  <c r="T560" i="3"/>
  <c r="S282" i="3"/>
  <c r="T282" i="3"/>
  <c r="T190" i="3"/>
  <c r="S190" i="3"/>
  <c r="T108" i="3"/>
  <c r="S108" i="3"/>
  <c r="T478" i="3"/>
  <c r="S478" i="3"/>
  <c r="S368" i="3"/>
  <c r="T368" i="3"/>
  <c r="T258" i="3"/>
  <c r="S258" i="3"/>
  <c r="T513" i="3"/>
  <c r="S513" i="3"/>
  <c r="S328" i="3"/>
  <c r="T328" i="3"/>
  <c r="S178" i="3"/>
  <c r="T178" i="3"/>
  <c r="S65" i="3"/>
  <c r="T65" i="3"/>
  <c r="S176" i="3"/>
  <c r="T176" i="3"/>
  <c r="S166" i="3"/>
  <c r="T166" i="3"/>
  <c r="S711" i="3"/>
  <c r="T711" i="3"/>
  <c r="S306" i="3"/>
  <c r="T306" i="3"/>
  <c r="T441" i="3"/>
  <c r="S441" i="3"/>
  <c r="T161" i="3"/>
  <c r="S161" i="3"/>
  <c r="T87" i="3"/>
  <c r="S87" i="3"/>
  <c r="S96" i="3"/>
  <c r="T96" i="3"/>
  <c r="S788" i="3"/>
  <c r="T788" i="3"/>
  <c r="S726" i="3"/>
  <c r="T726" i="3"/>
  <c r="S58" i="3"/>
  <c r="T58" i="3"/>
  <c r="S191" i="3"/>
  <c r="T191" i="3"/>
  <c r="S447" i="3"/>
  <c r="T447" i="3"/>
  <c r="T340" i="3"/>
  <c r="S340" i="3"/>
  <c r="S694" i="3"/>
  <c r="T694" i="3"/>
  <c r="S748" i="3"/>
  <c r="T748" i="3"/>
  <c r="S528" i="3"/>
  <c r="T528" i="3"/>
  <c r="T718" i="3"/>
  <c r="S718" i="3"/>
  <c r="T710" i="3"/>
  <c r="S710" i="3"/>
  <c r="S43" i="3"/>
  <c r="T43" i="3"/>
  <c r="S537" i="3"/>
  <c r="T537" i="3"/>
  <c r="T101" i="3"/>
  <c r="S101" i="3"/>
  <c r="S387" i="3"/>
  <c r="T387" i="3"/>
  <c r="S226" i="3"/>
  <c r="T226" i="3"/>
  <c r="S765" i="3"/>
  <c r="T765" i="3"/>
  <c r="S492" i="3"/>
  <c r="T492" i="3"/>
  <c r="S614" i="3"/>
  <c r="T614" i="3"/>
  <c r="T640" i="3"/>
  <c r="S640" i="3"/>
  <c r="S211" i="3"/>
  <c r="T211" i="3"/>
  <c r="S588" i="3"/>
  <c r="T588" i="3"/>
  <c r="T672" i="3"/>
  <c r="S672" i="3"/>
  <c r="S175" i="3"/>
  <c r="T175" i="3"/>
  <c r="S598" i="3"/>
  <c r="T598" i="3"/>
  <c r="S247" i="3"/>
  <c r="T247" i="3"/>
  <c r="T576" i="3"/>
  <c r="S576" i="3"/>
  <c r="S647" i="3"/>
  <c r="T647" i="3"/>
  <c r="S99" i="3"/>
  <c r="T99" i="3"/>
  <c r="S512" i="3"/>
  <c r="T512" i="3"/>
  <c r="S221" i="3"/>
  <c r="T221" i="3"/>
  <c r="T664" i="3"/>
  <c r="S664" i="3"/>
  <c r="S369" i="3"/>
  <c r="T369" i="3"/>
  <c r="S140" i="3"/>
  <c r="T140" i="3"/>
  <c r="S406" i="3"/>
  <c r="T406" i="3"/>
  <c r="S515" i="3"/>
  <c r="T515" i="3"/>
  <c r="T401" i="3"/>
  <c r="S401" i="3"/>
  <c r="T728" i="3"/>
  <c r="S728" i="3"/>
  <c r="S453" i="3"/>
  <c r="T453" i="3"/>
  <c r="S264" i="3"/>
  <c r="T264" i="3"/>
  <c r="T772" i="3"/>
  <c r="S772" i="3"/>
  <c r="S418" i="3"/>
  <c r="T418" i="3"/>
  <c r="T783" i="3"/>
  <c r="S783" i="3"/>
  <c r="T8" i="3"/>
  <c r="S8" i="3"/>
  <c r="S736" i="3"/>
  <c r="T736" i="3"/>
  <c r="S471" i="3"/>
  <c r="T471" i="3"/>
  <c r="S602" i="3"/>
  <c r="T602" i="3"/>
  <c r="T444" i="3"/>
  <c r="S444" i="3"/>
  <c r="S42" i="3"/>
  <c r="T42" i="3"/>
  <c r="T53" i="3"/>
  <c r="S53" i="3"/>
  <c r="T76" i="3"/>
  <c r="S76" i="3"/>
  <c r="U1" i="4" l="1"/>
  <c r="T1" i="4"/>
  <c r="T1" i="3"/>
  <c r="S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F402D6-D780-43BD-85CD-A15CC3FB3855}" keepAlive="1" name="Запрос — железо" description="Соединение с запросом &quot;железо&quot; в книге." type="5" refreshedVersion="7" background="1" saveData="1">
    <dbPr connection="Provider=Microsoft.Mashup.OleDb.1;Data Source=$Workbook$;Location=железо;Extended Properties=&quot;&quot;" command="SELECT * FROM [железо]"/>
  </connection>
</connections>
</file>

<file path=xl/sharedStrings.xml><?xml version="1.0" encoding="utf-8"?>
<sst xmlns="http://schemas.openxmlformats.org/spreadsheetml/2006/main" count="12395" uniqueCount="4311">
  <si>
    <t>ID</t>
  </si>
  <si>
    <t>Код</t>
  </si>
  <si>
    <t>Наименование элемента</t>
  </si>
  <si>
    <t>Y / N</t>
  </si>
  <si>
    <t>Каталожный номер</t>
  </si>
  <si>
    <t>Артикул поставщика</t>
  </si>
  <si>
    <t>Поставщик</t>
  </si>
  <si>
    <t>Закуп</t>
  </si>
  <si>
    <t>Розница</t>
  </si>
  <si>
    <t>Ссылка на конкурентов</t>
  </si>
  <si>
    <t>Кол-во</t>
  </si>
  <si>
    <t>Под заказ</t>
  </si>
  <si>
    <t>Арка внутренняя "АвтоВАЗ" (левая, заднего колеса) для ВАЗ 2111, Лада Приора универсал</t>
  </si>
  <si>
    <t>Y</t>
  </si>
  <si>
    <t>21110510124110</t>
  </si>
  <si>
    <t>кузовщина</t>
  </si>
  <si>
    <t>1</t>
  </si>
  <si>
    <t>Арка внутренняя "АвтоВАЗ" (правая, заднего колеса) для ВАЗ 2111, Лада Приора универсал</t>
  </si>
  <si>
    <t>21110510124010</t>
  </si>
  <si>
    <t>https://motorring.ru/product/930-arka-kolesa-zadnego-vnutrennyaya-pravaya-vaz-2111</t>
  </si>
  <si>
    <t>Арка заднего колеса "АвтоВАЗ" внутренняя левая (катафорез) для Лада Калина, Калина 2, Гранта, Гранта FL</t>
  </si>
  <si>
    <t>11180510124175</t>
  </si>
  <si>
    <t>Арка заднего колеса "АвтоВАЗ" внутренняя левая для ВАЗ 2110, 2112, Лада Приора</t>
  </si>
  <si>
    <t>21100510124110</t>
  </si>
  <si>
    <t>https://motorring.ru/product/21663-arka-kolesa-zadnego-vnutrennyaya-levaya-vaz-2110-2112</t>
  </si>
  <si>
    <t>Арка заднего колеса "АвтоВАЗ" внутренняя правая (катафорез) для Лада Калина, Калина 2, Гранта, Гранта FL</t>
  </si>
  <si>
    <t>11180510124075</t>
  </si>
  <si>
    <t>00042458</t>
  </si>
  <si>
    <t>https://motorring.ru/product/18260-arka-zadnego-kolesa-vnutrennyaya-pravaya-kataforeznoe</t>
  </si>
  <si>
    <t>Арка заднего колеса "АвтоВАЗ" внутренняя правая для ВАЗ 2110, 2112, Лада Приора</t>
  </si>
  <si>
    <t>21100510124010</t>
  </si>
  <si>
    <t>https://motorring.ru/product/21662-arka-kolesa-zadnego-vnutrennyaya-pravaya-vaz-2110-2112</t>
  </si>
  <si>
    <t>Арка заднего колеса "АвтоВАЗ" левая (катафорез) для Шевроле Нива</t>
  </si>
  <si>
    <t>21230510124170</t>
  </si>
  <si>
    <t>https://motorring.ru/product/6535-arka-kolesa-zadnego-vnutrennyaya-levaya-shevrole-niva</t>
  </si>
  <si>
    <t>Арка заднего колеса "АвтоВАЗ" наружная левая (катафорез) для Лада Приора седан, хэтчбек</t>
  </si>
  <si>
    <t>21700540117510</t>
  </si>
  <si>
    <t>0</t>
  </si>
  <si>
    <t>Арка заднего колеса "АвтоВАЗ" наружная правая для Лада Веста, SW, SW Cross</t>
  </si>
  <si>
    <t>8450105139</t>
  </si>
  <si>
    <t>00046841</t>
  </si>
  <si>
    <t>https://motorring.ru/product/36822-arka-zadnego-kolesa-narughnaya-pravaya-dlya-lada-vesta</t>
  </si>
  <si>
    <t>Арка заднего колеса "АвтоВАЗ" правая (катафорез) для Шевроле Нива</t>
  </si>
  <si>
    <t>21230510124070</t>
  </si>
  <si>
    <t>Арка заднего колеса "АвтоВАЗ" правая в сборе для Лада Веста седан</t>
  </si>
  <si>
    <t>8450007171</t>
  </si>
  <si>
    <t>Арка заднего колеса "АвтоВАЗ" правая, в сборе (катафорез) для Лада XRAY</t>
  </si>
  <si>
    <t>8450104011</t>
  </si>
  <si>
    <t>Арка заднего колеса левая в сборе (катафорез) "АвтоВАЗ" для Лада Веста седан</t>
  </si>
  <si>
    <t>8450039206</t>
  </si>
  <si>
    <t>https://motorring.ru/product/36849-arka-zadnego-kolesa-vnutrennyaya-levaya-dlya-lada-vesta</t>
  </si>
  <si>
    <t>Арка заднего колеса наружная (катафорез) "АвтоВАЗ" левая для Лада Веста</t>
  </si>
  <si>
    <t>8450039437</t>
  </si>
  <si>
    <t>https://motorring.ru/product/36823-arka-zadnego-kolesa-narughnaya-levaya-dlya-lada-vesta</t>
  </si>
  <si>
    <t>Арка заднего колеса правая в сборе (катафорез) "АвтоВАЗ" для Лада Веста седан</t>
  </si>
  <si>
    <t>8450039207</t>
  </si>
  <si>
    <t>https://motorring.ru/product/36848-arka-zadnego-kolesa-vnutrennyaya-pravaya-dlya-lada-vesta</t>
  </si>
  <si>
    <t>Арка колеса "АвтоВАЗ" задняя левая для Лада XRAY</t>
  </si>
  <si>
    <t>767137851R</t>
  </si>
  <si>
    <t>https://motorring.ru/product/36805-arka-zadnego-kolesa-narughnaya-levaya-dlya-lada-iks-rey</t>
  </si>
  <si>
    <t>Арка колеса "АвтоВАЗ" задняя правая для Лада XRAY</t>
  </si>
  <si>
    <t>767120601R</t>
  </si>
  <si>
    <t>https://motorring.ru/product/36806-arka-zadnego-kolesa-narughnaya-pravaya-dlya-lada-iks-rey</t>
  </si>
  <si>
    <t>Арка колеса заднего "АвтоВАЗ" внутренняя левая для Шевроле Нива</t>
  </si>
  <si>
    <t>21230510124100</t>
  </si>
  <si>
    <t>Арка колеса заднего "АвтоВАЗ" внутренняя правая для Шевроле Нива</t>
  </si>
  <si>
    <t>21230510124000</t>
  </si>
  <si>
    <t>https://motorring.ru/product/6534-arka-kolesa-zadnego-vnutrennyaya-pravaya-shevrole-niva</t>
  </si>
  <si>
    <t>Арка колеса заднего "АвтоВАЗ" наружная, правая (катафорез) для Лада Приора универсал</t>
  </si>
  <si>
    <t>21710540117410</t>
  </si>
  <si>
    <t>21710540117400</t>
  </si>
  <si>
    <t>Арка колеса заднего (катафорез) "АвтоВАЗ" внутренняя левая в сборе для Лада Нива 4x4 Урбан</t>
  </si>
  <si>
    <t>21214510124120</t>
  </si>
  <si>
    <t>https://motorring.ru/product/6519-arka-kolesa-zadnego-vnutrennyaya-levaya-sbore-lada-niva-4h4</t>
  </si>
  <si>
    <t>Арка колеса заднего (катафорез) "АвтоВАЗ" внутренняя правая в сборе для Лада Нива 4x4 Урбан</t>
  </si>
  <si>
    <t>21214510124020</t>
  </si>
  <si>
    <t>https://motorring.ru/product/6517-arka-kolesa-zadnego-vnutrennyaya-pravaya-sbore-lada-4h4</t>
  </si>
  <si>
    <t>Арка колеса заднего внутренняя (катафорез) "АвтоВАЗ" правая для ВАЗ 2108-21099, 2113-2115</t>
  </si>
  <si>
    <t>21080510124010</t>
  </si>
  <si>
    <t>Арка колеса заднего наружная "АвтоВАЗ" левая для Лада Приора купе</t>
  </si>
  <si>
    <t>21728540117100</t>
  </si>
  <si>
    <t>Арка колеса заднего наружная "АвтоВАЗ" правая для Лада Приора купе</t>
  </si>
  <si>
    <t>21728540117000</t>
  </si>
  <si>
    <t>Арка колеса заднего наружная (катафорез) "АвтоВАЗ" левая для Лада Приора, Приора 2 универсал</t>
  </si>
  <si>
    <t>21710540117510</t>
  </si>
  <si>
    <t>Арка колеса переднего правая "Renault" в сборе для Лада Ларгус</t>
  </si>
  <si>
    <t>6001549866</t>
  </si>
  <si>
    <t>https://motorring.ru/product/15198</t>
  </si>
  <si>
    <t>Арка левая "АвтоВАЗ" колеса заднего внутренняя (катафорез) для ВАЗ 2108-21099, 2113-2115</t>
  </si>
  <si>
    <t>21080510124110</t>
  </si>
  <si>
    <t>Балка "АвтоВАЗ" переднего бампера для Лада Нива Travel</t>
  </si>
  <si>
    <t>21230280313081</t>
  </si>
  <si>
    <t>https://motorring.ru/product/36796-balka-perednego-bampera-kataforeznym-pokrytiem-niva-trevel</t>
  </si>
  <si>
    <t>Балка бампера заднего (катафорез) "АвтоВАЗ" в сборе для Шевроле Нива</t>
  </si>
  <si>
    <t>21230280414070</t>
  </si>
  <si>
    <t>https://motorring.ru/product/6522-balka-bampera-zadnego-sbore-kataforeznoe-pokrytie-shevrole</t>
  </si>
  <si>
    <t>Балка задка верхняя "АвтоВАЗ" для Лада Нива 4x4</t>
  </si>
  <si>
    <t>8450108928</t>
  </si>
  <si>
    <t>Балка крыши "АвтоВАЗ" задняя для ВАЗ 2112</t>
  </si>
  <si>
    <t>21120570112410</t>
  </si>
  <si>
    <t>https://motorring.ru/product/832-poperechina-kryshi-zadnyaya-vaz-2112</t>
  </si>
  <si>
    <t>Балка крыши "АвтоВАЗ" задняя для Шевроле Нива</t>
  </si>
  <si>
    <t>21230570112000</t>
  </si>
  <si>
    <t>https://motorring.ru/product/38191-usilitely-kryshi-zadniy-balka-dlya-shevrole-niva</t>
  </si>
  <si>
    <t>Балка крыши "АвтоВАЗ" передняя в сборе для Лада Ларгус, Ларгус FL</t>
  </si>
  <si>
    <t>8450105264</t>
  </si>
  <si>
    <t>00047037</t>
  </si>
  <si>
    <t>Балка крыши "АвтоВАЗ" передняя для Лада Ларгус FL</t>
  </si>
  <si>
    <t>8450013861</t>
  </si>
  <si>
    <t>00055708</t>
  </si>
  <si>
    <t>Балка крыши (катафорез) "АвтоВАЗ" задняя для ВАЗ 2110</t>
  </si>
  <si>
    <t>21100570112410</t>
  </si>
  <si>
    <t>https://motorring.ru/product/2425-poperechina-kryshi-zadnyaya-vaz-2110-2111</t>
  </si>
  <si>
    <t>Балка крыши задняя "АвтоВАЗ" в сборе для Лада Веста SW универсал</t>
  </si>
  <si>
    <t>8450102332</t>
  </si>
  <si>
    <t>Балка крыши нового образца (катафорез) "АвтоВАЗ" передняя в сборе для Шевроле Нива</t>
  </si>
  <si>
    <t>21230570107275</t>
  </si>
  <si>
    <t>Балка переднего бампера "АвтоВАЗ" в сборе для Лада Веста NG</t>
  </si>
  <si>
    <t>8450041380</t>
  </si>
  <si>
    <t>00056061</t>
  </si>
  <si>
    <t>https://motorring.ru/product/36859-balka-perednego-bampera-dlya-lada-vesta-ng</t>
  </si>
  <si>
    <t>Балка переднего бампера "АвтоВАЗ" в сборе для Лада Ларгус</t>
  </si>
  <si>
    <t>8450013075</t>
  </si>
  <si>
    <t>00056012</t>
  </si>
  <si>
    <t>https://motorring.ru/product/36878-balka-perednego-bampera-dlya-lada-largus-fl-iks-rey-logan2</t>
  </si>
  <si>
    <t>Балка переднего бампера (металлическая) для Шевроле Нива</t>
  </si>
  <si>
    <t>21230280313070</t>
  </si>
  <si>
    <t>https://motorring.ru/product/6521-balka-bampera-perednego-kataforeznoe-pokrytie-shevrole-niva</t>
  </si>
  <si>
    <t>Бампер "АвтоВАЗ" передний под ПТФ, голый для Лада Веста NG Cross</t>
  </si>
  <si>
    <t>8450040056</t>
  </si>
  <si>
    <t>Боковая панель пола "Renault" S.A.S съемная (левая) для Лада Ларгус</t>
  </si>
  <si>
    <t>6001548794</t>
  </si>
  <si>
    <t>Боковая панель пола "Renault" S.A.S съемная (правая) для Лада Ларгус</t>
  </si>
  <si>
    <t>6001548795</t>
  </si>
  <si>
    <t>Боковина кузова "АвтоВАЗ" (левая) для ВАЗ 2111</t>
  </si>
  <si>
    <t>21110540106100</t>
  </si>
  <si>
    <t>https://motorring.ru/product/866</t>
  </si>
  <si>
    <t>Боковина кузова "АвтоВАЗ" (правая) для ВАЗ 2111</t>
  </si>
  <si>
    <t>21110540106000</t>
  </si>
  <si>
    <t>Боковина кузова "АвтоВАЗ" заднее левое (под молдинг) для Лада Ларгус Кросс</t>
  </si>
  <si>
    <t>8450090400</t>
  </si>
  <si>
    <t>00042958</t>
  </si>
  <si>
    <t>Боковина кузова "АвтоВАЗ" левая (катафорез, с отверстиями под молдинг) для Лада Калина 2 Кросс</t>
  </si>
  <si>
    <t>11180540106185</t>
  </si>
  <si>
    <t>Боковина кузова "АвтоВАЗ" левая (катафорез) для ВАЗ 2110</t>
  </si>
  <si>
    <t>Боковина кузова "АвтоВАЗ" левая (катафорез) для Лада Калина, Калина 2, Гранта</t>
  </si>
  <si>
    <t>11180540106170</t>
  </si>
  <si>
    <t>https://motorring.ru/product/16640-bokovina-kuzova-levaya-kataforeznoe-pokrytie-dlya-lada</t>
  </si>
  <si>
    <t>Боковина кузова "АвтоВАЗ" левая (катафорез) для Лада Нива Travel, Шевроле Нива</t>
  </si>
  <si>
    <t>21230540106170</t>
  </si>
  <si>
    <t>00044774</t>
  </si>
  <si>
    <t>https://motorring.ru/product/38313-bokovina-kuzova-levaya-dlya-shevrole-niva</t>
  </si>
  <si>
    <t>Боковина кузова "АвтоВАЗ" левая в сборе для Лада Веста седан</t>
  </si>
  <si>
    <t>8450105166</t>
  </si>
  <si>
    <t>Боковина кузова "АвтоВАЗ" левая в сборе для Лада Гранта лифтбек</t>
  </si>
  <si>
    <t>21910540001100</t>
  </si>
  <si>
    <t>https://motorring.ru/product/15217</t>
  </si>
  <si>
    <t>Боковина кузова "АвтоВАЗ" левая в сборе для Лада Приора купе</t>
  </si>
  <si>
    <t>21728540001100</t>
  </si>
  <si>
    <t>Боковина кузова "АвтоВАЗ" левая в сборе для Лада Приора универсал</t>
  </si>
  <si>
    <t>21710540001100</t>
  </si>
  <si>
    <t>Боковина кузова "АвтоВАЗ" левая для Лада XRAY Cross</t>
  </si>
  <si>
    <t>8450105003</t>
  </si>
  <si>
    <t>Боковина кузова "АвтоВАЗ" передняя левая для Лада Ларгус</t>
  </si>
  <si>
    <t>760312697R / 8450090403 / 8450013056 / 760311522R</t>
  </si>
  <si>
    <t>Боковина кузова "АвтоВАЗ" передняя правая для Лада Ларгус</t>
  </si>
  <si>
    <t>760309989R / 8450013055 / 8450090402 / 760309118R</t>
  </si>
  <si>
    <t>Боковина кузова "АвтоВАЗ" правая (катафорез) для ВАЗ 2110</t>
  </si>
  <si>
    <t>21100540106010</t>
  </si>
  <si>
    <t>https://motorring.ru/product/759</t>
  </si>
  <si>
    <t>Боковина кузова "АвтоВАЗ" правая (катафорез) для Лада Калина, Калина 2, Гранта</t>
  </si>
  <si>
    <t>11180540106070</t>
  </si>
  <si>
    <t>https://motorring.ru/product/35027-bokovina-kuzova-pravaya-kataforez-lada-kalina-sedan</t>
  </si>
  <si>
    <t>Боковина кузова "АвтоВАЗ" правая в сборе для Лада Веста седан</t>
  </si>
  <si>
    <t>8450105165</t>
  </si>
  <si>
    <t>Боковина кузова "АвтоВАЗ" правая в сборе для Лада Гранта лифтбек</t>
  </si>
  <si>
    <t>21910540001000</t>
  </si>
  <si>
    <t>Боковина кузова "АвтоВАЗ" правая в сборе для Лада Приора купе</t>
  </si>
  <si>
    <t>21728540001000</t>
  </si>
  <si>
    <t>Боковина кузова "АвтоВАЗ" правая для Лада XRAY Cross</t>
  </si>
  <si>
    <t>8450105002</t>
  </si>
  <si>
    <t>Боковина кузова (катафорез) "АвтоВАЗ" левая для ВАЗ 2115</t>
  </si>
  <si>
    <t>21150540106110</t>
  </si>
  <si>
    <t>https://motorring.ru/product/215</t>
  </si>
  <si>
    <t>Боковина кузова (катафорез) "АвтоВАЗ" правая для ВАЗ 2115</t>
  </si>
  <si>
    <t>21150540106010</t>
  </si>
  <si>
    <t>Боковина кузова (катафорез) "АвтоВАЗ" правая для Шевроле Нива</t>
  </si>
  <si>
    <t>21230540106070</t>
  </si>
  <si>
    <t>https://motorring.ru/product/38312-bokovina-kuzova-pravaya-dlya-shevrole-niva</t>
  </si>
  <si>
    <t>Боковина кузова задняя левая "АвтоВАЗ" глухая для Лада Ларгус фургон</t>
  </si>
  <si>
    <t>8450104265</t>
  </si>
  <si>
    <t>Боковина кузова задняя левая "АвтоВАЗ" под стекло для Лада Ларгус</t>
  </si>
  <si>
    <t>8450104266</t>
  </si>
  <si>
    <t>Боковина кузова задняя правая "АвтоВАЗ" глухая для Лада Ларгус фургон</t>
  </si>
  <si>
    <t>8450104264</t>
  </si>
  <si>
    <t>Боковина кузова задняя правая "АвтоВАЗ" под стекло для Лада Ларгус</t>
  </si>
  <si>
    <t>8450104267</t>
  </si>
  <si>
    <t>Боковина кузова правая "АвтоВАЗ" в сборе для Лада Приора универсал</t>
  </si>
  <si>
    <t>21710540001000</t>
  </si>
  <si>
    <t>00041317</t>
  </si>
  <si>
    <t>Брызговик (лопух) крыла переднего левого (катафорез) "АвтоВАЗ" без лонжерона для Шевроле Нива</t>
  </si>
  <si>
    <t>21230840326370 / 8460008582</t>
  </si>
  <si>
    <t>21230840326370</t>
  </si>
  <si>
    <t>https://motorring.ru/product/38285-bryzgovik-perednego-kryla-levyy-dlya-shevrole-niva</t>
  </si>
  <si>
    <t>Брызговик (лопух) крыла переднего правого (катафорез) "АвтоВАЗ" без лонжерона для Шевроле Нива</t>
  </si>
  <si>
    <t>21230840326270</t>
  </si>
  <si>
    <t>https://motorring.ru/product/38284-bryzgovik-perednego-kryla-pravyy-dlya-shevrole-niva</t>
  </si>
  <si>
    <t>Брызговик двигателя "АвтоВАЗ" для ВАЗ 2110-2112, Лада Приора</t>
  </si>
  <si>
    <t>21720280201610</t>
  </si>
  <si>
    <t>00045201</t>
  </si>
  <si>
    <t>Брызговик двигателя "АвтоВАЗ" для Лада Веста (ДВС с вариатором)</t>
  </si>
  <si>
    <t>8450032526</t>
  </si>
  <si>
    <t>Брызговик крыла "АвтоВАЗ" переднего правого в сборе для Лада Нива Travel</t>
  </si>
  <si>
    <t>21230840326381</t>
  </si>
  <si>
    <t>00056040</t>
  </si>
  <si>
    <t>Брызговик крыла "АвтоВАЗ" переднего правого с лонжероном в сборе для Лада Нива 4x4, Нива Legend</t>
  </si>
  <si>
    <t>21214840326040</t>
  </si>
  <si>
    <t>00042102</t>
  </si>
  <si>
    <t>https://motorring.ru/product/13893-bryzgovik-kryla-perednego-pravogo-longheronom-sbore</t>
  </si>
  <si>
    <t>Брызговик крыла "АвтоВАЗ" передний левый в сборе для Лада Гранта FL</t>
  </si>
  <si>
    <t>8450105399</t>
  </si>
  <si>
    <t>00048722</t>
  </si>
  <si>
    <t>https://motorring.ru/product/4140-bryzgovik-kryla-perednego-levogo-bez-longherona-lopuh</t>
  </si>
  <si>
    <t>Брызговик крыла (лопух) переднего левого (катафорез) "АвтоВАЗ" без лонжерона для ВАЗ 2108-21099, 2115</t>
  </si>
  <si>
    <t>21080840326510</t>
  </si>
  <si>
    <t>Брызговик крыла переднего "АвтоВАЗ" правый в сборе для Лада Гранта FL</t>
  </si>
  <si>
    <t>8450105400</t>
  </si>
  <si>
    <t>https://motorring.ru/product/40833-bryzgovik-kryla-perednego-pravogo-bez-longherona-lopuh</t>
  </si>
  <si>
    <t>Брызговик крыла переднего левого с лонжероном (катафорез) "АвтоВАЗ" в сборе для Лада Нива 4x4 Урбан</t>
  </si>
  <si>
    <t>21214840326140</t>
  </si>
  <si>
    <t>https://motorring.ru/product/16585-bryzgovik-kryla-perednego-levogo-longheronom-sbore</t>
  </si>
  <si>
    <t>Брызговик крыла переднего левого с лонжероном в сборе (катафорез) "АвтоВАЗ" для Лада Веста</t>
  </si>
  <si>
    <t>8450039285</t>
  </si>
  <si>
    <t>Брызговик крыла переднего правого с лонжероном в сборе (катафорез) "АвтоВАЗ" для Лада Веста</t>
  </si>
  <si>
    <t>8450039284</t>
  </si>
  <si>
    <t>https://motorring.ru/product/33359-bryzgovik-perednego-kryla-lada-ighevsk-longheronom-vesta</t>
  </si>
  <si>
    <t>Брызговик переднего крыла с лонжероном "АвтоВАЗ" правый в сборе для Лада Веста NG седан</t>
  </si>
  <si>
    <t>8450013778</t>
  </si>
  <si>
    <t>00055701</t>
  </si>
  <si>
    <t>Брызговик с лонжероном "АвтоВАЗ" левый в сборе (для запчастей) для Лада Ларгус</t>
  </si>
  <si>
    <t>8450108436</t>
  </si>
  <si>
    <t>00055717</t>
  </si>
  <si>
    <t>Брызговик с лонжероном "АвтоВАЗ" левый в сборе для Лада XRAY Cross</t>
  </si>
  <si>
    <t>8450105011</t>
  </si>
  <si>
    <t>00054623</t>
  </si>
  <si>
    <t>Брызговик с лонжероном "АвтоВАЗ" левый в сборе для Лада Ларгус FL</t>
  </si>
  <si>
    <t>8450013072</t>
  </si>
  <si>
    <t>00055666</t>
  </si>
  <si>
    <t>Брызговик с лонжероном "АвтоВАЗ" левый, в сборе для Лада Веста</t>
  </si>
  <si>
    <t>8460008776</t>
  </si>
  <si>
    <t>https://motorring.ru/product/36821-bryzgovik-perednego-kryla-leviy-longheronom-vesta</t>
  </si>
  <si>
    <t>Брызговик с лонжероном "АвтоВАЗ" правый в сборе для Лада Ларгус</t>
  </si>
  <si>
    <t>8450013073</t>
  </si>
  <si>
    <t>00055667</t>
  </si>
  <si>
    <t>Брызговик с лонжероном "АвтоВАЗ" правый, в сборе для Лада XRAY</t>
  </si>
  <si>
    <t>8450105010</t>
  </si>
  <si>
    <t>https://motorring.ru/product/40890-pravyy-bryzgovik-longheronom-sbore-kataforez-lada-xray</t>
  </si>
  <si>
    <t>Брызговик с лонжероном в сборе (катафорез) "АвтоВАЗ" левый для Лада Калина 2</t>
  </si>
  <si>
    <t>8450104963</t>
  </si>
  <si>
    <t>https://motorring.ru/product/33607-bryzgovik-levyy-longheronom-sbore-kataforez-granta-fl</t>
  </si>
  <si>
    <t>Брызговик с лонжероном в сборе (катафорез) "АвтоВАЗ" правый для Лада Калина 2</t>
  </si>
  <si>
    <t>8450104962</t>
  </si>
  <si>
    <t>https://motorring.ru/product/33608-bryzgovik-pravyy-longheronom-sbore-kataforez-granta-fl</t>
  </si>
  <si>
    <t>Буксировочный крюк с кронштейном для Лада Приора 2</t>
  </si>
  <si>
    <t>https://motorring.ru/product/3474-buksirovochnyy-kryuk-kronshteynom-lada-priora</t>
  </si>
  <si>
    <t>Внутренний порог "НАЧАЛО" (левый) для ВАЗ 2110-2112, Лада Приора</t>
  </si>
  <si>
    <t>21100510106720</t>
  </si>
  <si>
    <t>https://motorring.ru/product/35453-soedinitely-poroga-pola-levyy-kataforez-sbore-vaz-2110</t>
  </si>
  <si>
    <t>Вставка заднего бампера "АвтоВАЗ" правая в сборе для Лада Веста NG</t>
  </si>
  <si>
    <t>8450041042</t>
  </si>
  <si>
    <t>00055676</t>
  </si>
  <si>
    <t>https://motorring.ru/product/38196-kronshteyn-zadnego-bampera-pravyy-dlya-lada-vesta</t>
  </si>
  <si>
    <t>Дверь задняя левая для ВАЗ 2105, 2107</t>
  </si>
  <si>
    <t>21050620001518</t>
  </si>
  <si>
    <t>Дверь задняя правая для ВАЗ 2105, 2107</t>
  </si>
  <si>
    <t>21050620001418</t>
  </si>
  <si>
    <t>Дверь передняя левая на ВАЗ 2104, 2105, 2107</t>
  </si>
  <si>
    <t>21050610001518</t>
  </si>
  <si>
    <t>Дверь передняя правая на ВАЗ 2104, 2105, 2107</t>
  </si>
  <si>
    <t>21050610001418</t>
  </si>
  <si>
    <t>Желоб заднего крыла "АвтоВАЗ" с надставкой в сборе для Лада Веста SW, SW Cross</t>
  </si>
  <si>
    <t>8450105461</t>
  </si>
  <si>
    <t>00049617</t>
  </si>
  <si>
    <t>Желоб заднего левого крыла "АвтоВАЗ" для Лада Калина хэтчбек</t>
  </si>
  <si>
    <t>11190840405700</t>
  </si>
  <si>
    <t>Желоб заднего правого крыла "АвтоВАЗ" для Лада Калина хэтчбек</t>
  </si>
  <si>
    <t>11190840405600</t>
  </si>
  <si>
    <t>Желоб крыла "АвтоВАЗ" заднего левого для Лада Гранта, Гранта FL</t>
  </si>
  <si>
    <t>21910840405170</t>
  </si>
  <si>
    <t>00044419</t>
  </si>
  <si>
    <t>https://motorring.ru/product/5161-ghelobok-zadnego-kryla-levyy-lada-granta-liftbek</t>
  </si>
  <si>
    <t>Желоб крыла "АвтоВАЗ" заднего левого с надставкой (катафорез) для Лада Гранта, Гранта FL</t>
  </si>
  <si>
    <t>21900840405170</t>
  </si>
  <si>
    <t>00042131</t>
  </si>
  <si>
    <t>Желоб крыла "АвтоВАЗ" заднего правого для Лада Гранта, Гранта FL</t>
  </si>
  <si>
    <t>21910840405070</t>
  </si>
  <si>
    <t>00044418</t>
  </si>
  <si>
    <t>https://motorring.ru/product/5162</t>
  </si>
  <si>
    <t>Желобок боковины сточный "АвтоВАЗ" передний правый для Шевроле Нива</t>
  </si>
  <si>
    <t>21230540120400</t>
  </si>
  <si>
    <t>Желобок заднего крыла (катафорез) "АвтоВАЗ" левый для Лада Калина 2 универсал</t>
  </si>
  <si>
    <t>21940840405170</t>
  </si>
  <si>
    <t>https://motorring.ru/product/38236-levyy-ghelobok-zadnego-kryla-dlya-lada-kalina2-universal</t>
  </si>
  <si>
    <t>Желобок заднего крыла в сборе "АвтоВАЗ" левый для Лада Приора, Приора 2 универсал</t>
  </si>
  <si>
    <t>21710840405100</t>
  </si>
  <si>
    <t>Желобок заднего крыла в сборе "АвтоВАЗ" левый для Лада Приора, Приора 2 хэтчбек</t>
  </si>
  <si>
    <t>21720840405500</t>
  </si>
  <si>
    <t>https://motorring.ru/product/38201-usilitely-zadnego-kryla-levyy-rucheek-priora-hetchback</t>
  </si>
  <si>
    <t>Желобок заднего крыла в сборе "АвтоВАЗ" правый для Лада Приора, Приора 2 универсал</t>
  </si>
  <si>
    <t>21710840405000</t>
  </si>
  <si>
    <t>https://motorring.ru/product/38233-ghelobok-zadnego-kryla-pravyy-dlya-lada-priora-universal</t>
  </si>
  <si>
    <t>Желобок заднего крыла в сборе "АвтоВАЗ" правый для Лада Приора, Приора 2 хэтчбек</t>
  </si>
  <si>
    <t>21720840405400</t>
  </si>
  <si>
    <t>https://motorring.ru/product/38200-usilitely-zadnego-kryla-pravyy-rucheek-priora-hetchback</t>
  </si>
  <si>
    <t>Желобок заднего крыла левый в сборе (катафорез) "АвтоВАЗ" для Лада Веста седан</t>
  </si>
  <si>
    <t>8450039228</t>
  </si>
  <si>
    <t>https://motorring.ru/product/36842-ghelobok-zadnego-kryla-levyy-dlya-lada-vesta</t>
  </si>
  <si>
    <t>Желобок заднего крыла правый в сборе (катафорез) "АвтоВАЗ" для Лада Веста седан</t>
  </si>
  <si>
    <t>8450039231</t>
  </si>
  <si>
    <t>https://motorring.ru/product/35935-ghelobok-zadnego-kryla-pravyy-kataforeznym-pokrytiem-sbore</t>
  </si>
  <si>
    <t>Желобок задний "АвтоВАЗ" левый для ВАЗ 2108</t>
  </si>
  <si>
    <t>21080540124300</t>
  </si>
  <si>
    <t>https://motorring.ru/product/4581-ghelobok-zadniy-levyy-vaz-2108</t>
  </si>
  <si>
    <t>Желобок крыла заднего "АвтоВАЗ" левый для ВАЗ 2111</t>
  </si>
  <si>
    <t>21110840405100</t>
  </si>
  <si>
    <t>https://motorring.ru/product/194-ghelobok-kryla-zadnego-levyy-vaz-2111</t>
  </si>
  <si>
    <t>Желобок крыла заднего "АвтоВАЗ" левый для Лада Калина универсал</t>
  </si>
  <si>
    <t>11170840405700</t>
  </si>
  <si>
    <t>https://motorring.ru/product/16619-ghelobok-kryla-zadnego-levyy-dlya-lada-kalina-universal</t>
  </si>
  <si>
    <t>Желобок крыла заднего "АвтоВАЗ" правый для ВАЗ 2111</t>
  </si>
  <si>
    <t>21110840405000</t>
  </si>
  <si>
    <t>https://motorring.ru/product/167-ghelobok-kryla-zadnego-pravyy-vaz-2111</t>
  </si>
  <si>
    <t>Желобок крыла заднего "АвтоВАЗ" правый для Лада Калина универсал</t>
  </si>
  <si>
    <t>11170840405600</t>
  </si>
  <si>
    <t>https://motorring.ru/product/16628-ghelobok-kryla-zadnego-pravyy-lada-kalina-universal</t>
  </si>
  <si>
    <t>Желобок крыла заднего с надставкой (катафорез) "АвтоВАЗ" левый для Лада Приора, Приора 2 седан</t>
  </si>
  <si>
    <t>21700840405110</t>
  </si>
  <si>
    <t>https://motorring.ru/product/4799-ghelobok-kryla-zadnego-levyy-nadstavkoy-kataforeznoe</t>
  </si>
  <si>
    <t>Желобок крыла заднего с надставкой (катафорезное покрытие) "АвтоВАЗ" правый для Лада Гранта седан</t>
  </si>
  <si>
    <t>21900840405070</t>
  </si>
  <si>
    <t>https://motorring.ru/product/10267</t>
  </si>
  <si>
    <t>Желобок крыла заднего с надставкой (катафорезное покрытие) "АвтоВАЗ" правый для Лада Калина 2 универсал</t>
  </si>
  <si>
    <t>21940840405070</t>
  </si>
  <si>
    <t>https://motorring.ru/product/38238-pravyy-ghelobok-zadnego-kryla-dlya-lada-kalina2-universal</t>
  </si>
  <si>
    <t>Желобок крыла заднего с надставкой (катафорезное покрытие) "АвтоВАЗ" правый для Лада Приора, Приора 2 седан</t>
  </si>
  <si>
    <t>21700840405010</t>
  </si>
  <si>
    <t>https://motorring.ru/product/4781-ghelobok-kryla-zadnego-pravyy-nadstavkoy-kataforeznoe</t>
  </si>
  <si>
    <t>Звено петли багажника "АвтоВАЗ" левое для ВАЗ 21099</t>
  </si>
  <si>
    <t>21099560502300</t>
  </si>
  <si>
    <t>Каркас боковины (катафорез) "АвтоВАЗ" правый в сборе для Лада Веста</t>
  </si>
  <si>
    <t>8450039440</t>
  </si>
  <si>
    <t>Каркас переднего пола (катафорез) "АвтоВАЗ" левый в сборе для Шевроле Нива</t>
  </si>
  <si>
    <t>21230510003170</t>
  </si>
  <si>
    <t>https://motorring.ru/product/38241-longheron-pola-levyy-sbore-sredniy-prodolynyy-shevrole-niva</t>
  </si>
  <si>
    <t>Каркас переднего пола (катафорез) "АвтоВАЗ" правый в сборе для Шевроле Нива</t>
  </si>
  <si>
    <t>21230510003070</t>
  </si>
  <si>
    <t>https://motorring.ru/product/37042-karkas-perednego-pola-pravyy-sbore-dlya-shevrole-niva</t>
  </si>
  <si>
    <t>Коробка воздухозаборника "АвтоВАЗ" для ВАЗ 2105, 2107</t>
  </si>
  <si>
    <t>21050530135000</t>
  </si>
  <si>
    <t>Кронштейн домкрата "АвтоВАЗ" задний левый в сборе для Лада Нива 4x4</t>
  </si>
  <si>
    <t>21210510141120</t>
  </si>
  <si>
    <t>Кронштейн домкрата "АвтоВАЗ" задний правый в сборе для Лада Нива 4x4</t>
  </si>
  <si>
    <t>21210510141020</t>
  </si>
  <si>
    <t>Кронштейн домкрата "АвтоВАЗ" передний в сборе для Лада Нива 4x4</t>
  </si>
  <si>
    <t>21210510140020</t>
  </si>
  <si>
    <t>Кронштейн заднего бампера "АвтоВАЗ" внутренний левый для Лада Нива 4x4, Нива Legend</t>
  </si>
  <si>
    <t>8450107433</t>
  </si>
  <si>
    <t>00056005</t>
  </si>
  <si>
    <t>Кронштейн заднего бампера "АвтоВАЗ" внутренний правый для Лада Нива 4x4, Нива Legend</t>
  </si>
  <si>
    <t>8450107432</t>
  </si>
  <si>
    <t>00056004</t>
  </si>
  <si>
    <t>Кронштейн заднего бампера "АвтоВАЗ" левый для Лада XRAY</t>
  </si>
  <si>
    <t>850452011R</t>
  </si>
  <si>
    <t>Кронштейн заднего бампера "АвтоВАЗ" правый для Лада XRAY</t>
  </si>
  <si>
    <t>850443633R</t>
  </si>
  <si>
    <t>Кронштейн конденсатора кондиционера "АвтоВАЗ" верхний левый в сборе для Лада Нива Travel</t>
  </si>
  <si>
    <t>21230840118381</t>
  </si>
  <si>
    <t>00055732</t>
  </si>
  <si>
    <t>Кронштейн конденсатора кондиционера "АвтоВАЗ" верхний правый в сборе для Лада Нива Travel</t>
  </si>
  <si>
    <t>21230840118281</t>
  </si>
  <si>
    <t>00055731</t>
  </si>
  <si>
    <t>Кронштейн крепления переднего крыла "АвтоВАЗ" правый в сборе для Лада Веста</t>
  </si>
  <si>
    <t>8450008187</t>
  </si>
  <si>
    <t>https://motorring.ru/product/18846-kronshteyn-bolyshoy-krepleniya-kryla-pravyy-lada-vesta</t>
  </si>
  <si>
    <t>Кронштейн крепления рулевой рейки "АвтоВАЗ" для ВАЗ 2110-2112, Лада Приора</t>
  </si>
  <si>
    <t>21100340301610</t>
  </si>
  <si>
    <t>Кронштейн крепления рычага задней подвески правый в сборе "АвтоВАЗ" для Лада Веста</t>
  </si>
  <si>
    <t>8450008091</t>
  </si>
  <si>
    <t>Кронштейн крепления фартука "АвтоВАЗ" левый для Лада Нива 4x4 Урбан</t>
  </si>
  <si>
    <t>8450107441</t>
  </si>
  <si>
    <t>00055789</t>
  </si>
  <si>
    <t>Кронштейн крепления фартука "АвтоВАЗ" правый для Лада Нива 4x4 Урбан</t>
  </si>
  <si>
    <t>8450107440</t>
  </si>
  <si>
    <t>00055788</t>
  </si>
  <si>
    <t>Кронштейн крепления центральный "АвтоВАЗ" в сборе для Шевроле Нива</t>
  </si>
  <si>
    <t>21230570717200</t>
  </si>
  <si>
    <t>Кронштейн крыла для LADA Vesta правый верхний передний</t>
  </si>
  <si>
    <t>8450008589, 8450039456</t>
  </si>
  <si>
    <t>https://motorring.ru/product/18995-kronshteyn-krepleniya-perednego-kryla-malyy-pravyy-lada</t>
  </si>
  <si>
    <t>Кронштейн опоры двигателя верхний "АвтоВАЗ" для Лада Ларгус</t>
  </si>
  <si>
    <t>8200487939</t>
  </si>
  <si>
    <t>Кронштейн переднего крыла "АвтоВАЗ" левый для Лада Нива Travel</t>
  </si>
  <si>
    <t>21230840303581</t>
  </si>
  <si>
    <t>00055899</t>
  </si>
  <si>
    <t>Кронштейн переднего крыла "АвтоВАЗ" правый для Лада Нива Travel</t>
  </si>
  <si>
    <t>21230840303681</t>
  </si>
  <si>
    <t>00056039</t>
  </si>
  <si>
    <t>Кронштейн переднего сиденья боковой "АвтоВАЗ" левый в сборе для Лада Нива 4x4</t>
  </si>
  <si>
    <t>21213681003120</t>
  </si>
  <si>
    <t>Кронштейн правой опоры двигателя "АвтоВАЗ" с усилителем в сборе (катафорез) для Лада Веста, Веста Кросс, Веста Спорт</t>
  </si>
  <si>
    <t>8450039331</t>
  </si>
  <si>
    <t>00054440</t>
  </si>
  <si>
    <t>Кронштейн сидений 3-го ряда "Renault" левый, в сборе для Лада Ларгус</t>
  </si>
  <si>
    <t>6001548791</t>
  </si>
  <si>
    <t>Крыло заднее "АвтоВАЗ" левое (катафорез) для ВАЗ 2112</t>
  </si>
  <si>
    <t>21120840401510</t>
  </si>
  <si>
    <t>Крыло заднее "АвтоВАЗ" левое (катафорез) для ВАЗ 2115</t>
  </si>
  <si>
    <t>21150840401510</t>
  </si>
  <si>
    <t>00042453</t>
  </si>
  <si>
    <t>Крыло заднее "АвтоВАЗ" левое (катафорез) для Лада Гранта, Гранта FL</t>
  </si>
  <si>
    <t>21900840401575</t>
  </si>
  <si>
    <t>00044206</t>
  </si>
  <si>
    <t>Крыло заднее "АвтоВАЗ" левое (катафорез) для Лада Гранта, Гранта FL лифтбек</t>
  </si>
  <si>
    <t>21910840401570</t>
  </si>
  <si>
    <t>00042983</t>
  </si>
  <si>
    <t>Крыло заднее "АвтоВАЗ" левое (катафорез) для Лада Калина 2, Гранта FL Кросс</t>
  </si>
  <si>
    <t>21940840401585</t>
  </si>
  <si>
    <t>00043543</t>
  </si>
  <si>
    <t>Крыло заднее "АвтоВАЗ" левое (катафорез) для Лада Калина 2, Гранта FL универсал</t>
  </si>
  <si>
    <t>21940840401570</t>
  </si>
  <si>
    <t>00043542</t>
  </si>
  <si>
    <t>Крыло заднее "АвтоВАЗ" левое (катафорез) для Лада Калина седан</t>
  </si>
  <si>
    <t>11180840401570</t>
  </si>
  <si>
    <t>00043419</t>
  </si>
  <si>
    <t>Крыло заднее "АвтоВАЗ" левое (катафорез) для Лада Калина универсал</t>
  </si>
  <si>
    <t>11170840401570</t>
  </si>
  <si>
    <t>00042452</t>
  </si>
  <si>
    <t>Крыло заднее "АвтоВАЗ" левое (катафорез) для Лада Калина хэтчбек</t>
  </si>
  <si>
    <t>11190840401570</t>
  </si>
  <si>
    <t>00041988</t>
  </si>
  <si>
    <t>Крыло заднее "АвтоВАЗ" левое (катафорез) для Лада Приора седан</t>
  </si>
  <si>
    <t>21700840401510</t>
  </si>
  <si>
    <t>00042335</t>
  </si>
  <si>
    <t>Крыло заднее "АвтоВАЗ" левое (катафорез) для Шевроле Нива</t>
  </si>
  <si>
    <t>21230840401171</t>
  </si>
  <si>
    <t>00044688</t>
  </si>
  <si>
    <t>Крыло заднее "АвтоВАЗ" левое для Лада Приора купе</t>
  </si>
  <si>
    <t>21728840401500</t>
  </si>
  <si>
    <t>00033748</t>
  </si>
  <si>
    <t>Крыло заднее "АвтоВАЗ" левое с отверстиями под молдинг (катафорез) для Шевроле Нива</t>
  </si>
  <si>
    <t>21230840401175</t>
  </si>
  <si>
    <t>00043283</t>
  </si>
  <si>
    <t>Крыло заднее "АвтоВАЗ" правое (катафорез) для ВАЗ 2112</t>
  </si>
  <si>
    <t>21120840401410</t>
  </si>
  <si>
    <t>Крыло заднее "АвтоВАЗ" правое (катафорез) для ВАЗ 2115</t>
  </si>
  <si>
    <t>21150840401410</t>
  </si>
  <si>
    <t>00043749</t>
  </si>
  <si>
    <t>Крыло заднее "АвтоВАЗ" правое (катафорез) для Лада Гранта, Гранта FL</t>
  </si>
  <si>
    <t>21900840401070</t>
  </si>
  <si>
    <t>00042719</t>
  </si>
  <si>
    <t>Крыло заднее "АвтоВАЗ" правое (катафорез) для Лада Гранта, Гранта FL лифтбек</t>
  </si>
  <si>
    <t>21910840401070</t>
  </si>
  <si>
    <t>Крыло заднее "АвтоВАЗ" правое (катафорез) для Лада Калина седан</t>
  </si>
  <si>
    <t>11180840401470</t>
  </si>
  <si>
    <t>00042266</t>
  </si>
  <si>
    <t>Крыло заднее "АвтоВАЗ" правое (катафорез) для Лада Калина универсал</t>
  </si>
  <si>
    <t>11170840401470</t>
  </si>
  <si>
    <t>00044838</t>
  </si>
  <si>
    <t>Крыло заднее "АвтоВАЗ" правое (катафорез) для Лада Калина хэтчбек</t>
  </si>
  <si>
    <t>11190840401470</t>
  </si>
  <si>
    <t>00041987</t>
  </si>
  <si>
    <t>Крыло заднее "АвтоВАЗ" правое (катафорез) для Лада Приора седан</t>
  </si>
  <si>
    <t>21700840401010</t>
  </si>
  <si>
    <t>00042334</t>
  </si>
  <si>
    <t>Крыло заднее "АвтоВАЗ" правое (катафорез) для Лада Приора хэтчбек</t>
  </si>
  <si>
    <t>21720840401020</t>
  </si>
  <si>
    <t>00043429</t>
  </si>
  <si>
    <t>Крыло заднее "АвтоВАЗ" правое в сборе (катафорез) для Лада Калина 2, Гранта FL Кросс</t>
  </si>
  <si>
    <t>21940840401075</t>
  </si>
  <si>
    <t>00043541</t>
  </si>
  <si>
    <t>Крыло заднее "АвтоВАЗ" правое в сборе (катафорез) для Лада Калина 2, Гранта FL универсал</t>
  </si>
  <si>
    <t>21940840401070</t>
  </si>
  <si>
    <t>00043750</t>
  </si>
  <si>
    <t>Крыло заднее "АвтоВАЗ" правое для Лада Приора купе</t>
  </si>
  <si>
    <t>21728840401000</t>
  </si>
  <si>
    <t>00053828</t>
  </si>
  <si>
    <t>Крыло заднее "АвтоВАЗ" правое с отверстием под молдинг (катафорез) для Шевроле Нива</t>
  </si>
  <si>
    <t>21230840401075</t>
  </si>
  <si>
    <t>00044697</t>
  </si>
  <si>
    <t>Крыло заднее левое "АвтоВАЗ" для ВАЗ 2110</t>
  </si>
  <si>
    <t>21100840401510</t>
  </si>
  <si>
    <t>Крыло заднее левое "АвтоВАЗ" для ВАЗ 2111</t>
  </si>
  <si>
    <t>21110840401510</t>
  </si>
  <si>
    <t>Крыло заднее правое "АвтоВАЗ" для ВАЗ 2110</t>
  </si>
  <si>
    <t>21100840401410</t>
  </si>
  <si>
    <t>Крыло заднее правое "АвтоВАЗ" для ВАЗ 2111</t>
  </si>
  <si>
    <t>21110840401410</t>
  </si>
  <si>
    <t>Крыло переднее левое "АвтоВАЗ" для Лада Нива 4х4 (3-х дверная)</t>
  </si>
  <si>
    <t>21210840302510</t>
  </si>
  <si>
    <t>Крыло переднее правое "АвтоВАЗ" для Лада Нива 4х4 (3-х дверная)</t>
  </si>
  <si>
    <t>21210840302410</t>
  </si>
  <si>
    <t>2121840302410</t>
  </si>
  <si>
    <t>Крыша "АвтоВАЗ" для Лада XRAY</t>
  </si>
  <si>
    <t>8450105001</t>
  </si>
  <si>
    <t>Левый задний соединитель порога пола (поддомкратник) для ВАЗ 2108-21099, 2113-2115</t>
  </si>
  <si>
    <t>21080510205563</t>
  </si>
  <si>
    <t>https://motorring.ru/product/18733-soedinitely-poroga-pola-zadniy-levyy-poddomkratnik-vaz</t>
  </si>
  <si>
    <t>Левый соединитель порога "АвтоВАЗ" для ВАЗ 2108-21099, 2113-2115</t>
  </si>
  <si>
    <t>21080510106700</t>
  </si>
  <si>
    <t>Левый соединитель порога пола (поддомкратник) "АвтоВАЗ" для ВАЗ 2108-21099, 2113-2115</t>
  </si>
  <si>
    <t>21080510105520</t>
  </si>
  <si>
    <t>Лонжерон "АвтоВАЗ" передний левый в сборе для Лада Нива Travel</t>
  </si>
  <si>
    <t>21230840328181</t>
  </si>
  <si>
    <t>Лонжерон "АвтоВАЗ" передний правый в сборе для Лада Ларгус</t>
  </si>
  <si>
    <t>8450106526</t>
  </si>
  <si>
    <t>00048736</t>
  </si>
  <si>
    <t>Лонжерон "АвтоВАЗ" передний правый в сборе для Лада Нива Travel</t>
  </si>
  <si>
    <t>21230840328081</t>
  </si>
  <si>
    <t>Лонжерон заднего пола "АвтоВАЗ" левый для ВАЗ 2108-21099, 2113-2115</t>
  </si>
  <si>
    <t>21080510137300</t>
  </si>
  <si>
    <t>Лонжерон заднего пола (катафорез) "АвтоВАЗ" правый для ВАЗ 2108-21099, 2113-2115</t>
  </si>
  <si>
    <t>21099510137220</t>
  </si>
  <si>
    <t>Лонжерон задний левый для ВАЗ 2108-21099, 2113-2115</t>
  </si>
  <si>
    <t>2108510137355</t>
  </si>
  <si>
    <t>Лонжерон задний правый "АвтоВАЗ" в сборе для Лада Ларгус</t>
  </si>
  <si>
    <t>8201034230</t>
  </si>
  <si>
    <t>Лонжерон передний "Renault" правый в сборе для Лада XRAY</t>
  </si>
  <si>
    <t>751102806R</t>
  </si>
  <si>
    <t>https://motorring.ru/product/36809-longheron-peredniy-pravyy-sbore-dlya-lada-iks-rey-iks-rey</t>
  </si>
  <si>
    <t>Лонжерон передний "АвтоВАЗ" (правый) в сборе для ВАЗ 2110-2112, Лада Приора</t>
  </si>
  <si>
    <t>21100840328263</t>
  </si>
  <si>
    <t>https://motorring.ru/product/17241-longheron-peredniy-pravyy-sbore-vaz-2110-2111-2112</t>
  </si>
  <si>
    <t>Лонжерон передний "АвтоВАЗ" левый в сборе (запчасть) для Лада Ларгус FL</t>
  </si>
  <si>
    <t>8460006783</t>
  </si>
  <si>
    <t>00055790</t>
  </si>
  <si>
    <t>Лонжерон передний "АвтоВАЗ" левый для Лада XRAY</t>
  </si>
  <si>
    <t>751119828R</t>
  </si>
  <si>
    <t>Лонжерон передний "АвтоВАЗ" правый в сборе для Лада Веста NG Седан</t>
  </si>
  <si>
    <t>8450013779</t>
  </si>
  <si>
    <t>00055702</t>
  </si>
  <si>
    <t>Лонжерон передний (катафорез) "АвтоВАЗ" правый в сборе для ВАЗ 2108-21099</t>
  </si>
  <si>
    <t>21080840328010</t>
  </si>
  <si>
    <t>Лонжерон передний (левый) в сборе для ВАЗ 2110-2112, Лада Приора</t>
  </si>
  <si>
    <t>21100840328163</t>
  </si>
  <si>
    <t>Лонжерон передний в сборе (катафорез) "АвтоВАЗ" левый для Шевроле Нива</t>
  </si>
  <si>
    <t>21230840328170</t>
  </si>
  <si>
    <t>https://motorring.ru/product/1208-longheron-peredniy-levyy-sbore-kataforeznym-pokrytiem-2123</t>
  </si>
  <si>
    <t>Лонжерон передний в сборе (катафорез) "АвтоВАЗ" правый для Шевроле Нива</t>
  </si>
  <si>
    <t>21230840328070</t>
  </si>
  <si>
    <t>https://motorring.ru/product/6403-longheron-peredniy-pravyy-sbore-kataforeznoe-pokrytie-2123</t>
  </si>
  <si>
    <t>Лонжерон передний левый (катафорез) "АвтоВАЗ" в сборе для Лада Калина</t>
  </si>
  <si>
    <t>11180840328170</t>
  </si>
  <si>
    <t>https://motorring.ru/product/17591-longheron-peredniy-levyy-sbore-kataforeznoe-pokrytie-lada</t>
  </si>
  <si>
    <t>Лонжерон передний левый в сборе (катафорез) "АвтоВАЗ" для Лада Веста</t>
  </si>
  <si>
    <t>8450039288</t>
  </si>
  <si>
    <t>https://motorring.ru/product/33458-longheron-peredniy-levyy-lada-ighevsk-sbore-dlya-lada-vesta</t>
  </si>
  <si>
    <t>Лонжерон передний левый в сборе (катафорез) "АвтоВАЗ" для Лада Нива 4x4</t>
  </si>
  <si>
    <t>21210840328110</t>
  </si>
  <si>
    <t>https://motorring.ru/product/2623-longheron-peredniy-levyy-sbore-kataforeznoe-pokrytie-lada</t>
  </si>
  <si>
    <t>Лонжерон передний правый (катафорез) "АвтоВАЗ" в сборе для Лада Калина</t>
  </si>
  <si>
    <t>11180840328070</t>
  </si>
  <si>
    <t>https://motorring.ru/product/17590-longheron-peredniy-pravyy-sbore-kataforeznoe-pokrytie-lada</t>
  </si>
  <si>
    <t>Лонжерон передний правый в сборе (катафорез) "АвтоВАЗ" для Лада Веста</t>
  </si>
  <si>
    <t>8450039286</t>
  </si>
  <si>
    <t>https://motorring.ru/product/33606-longheron-peredniy-pravyy-lada-ighevsk-sbore-dlya-lada-vesta</t>
  </si>
  <si>
    <t>Лонжерон передний правый в сборе (катафорез) "АвтоВАЗ" для Лада Нива 4x4</t>
  </si>
  <si>
    <t>21210840328010</t>
  </si>
  <si>
    <t>https://motorring.ru/product/2624-longheron-peredniy-pravyy-sbore-kataforeznoe-pokrytie-lada</t>
  </si>
  <si>
    <t>Лонжерон передний с боковой панелью "АвтоВАЗ" левый в сборе для Лада Ларгус FL</t>
  </si>
  <si>
    <t>8450013864</t>
  </si>
  <si>
    <t>00055675</t>
  </si>
  <si>
    <t>Лонжерон передний с боковой панелью "АвтоВАЗ" правый в сборе для Лада Ларгус FL</t>
  </si>
  <si>
    <t>8450013863</t>
  </si>
  <si>
    <t>00055710</t>
  </si>
  <si>
    <t>Лонжерон подрамника "АвтоВАЗ" дополнительный левый в сборе для Лада Веста</t>
  </si>
  <si>
    <t>8450033563</t>
  </si>
  <si>
    <t>https://motorring.ru/product/38231-levyy-longheron-podramnika-dlya-lada-vesta</t>
  </si>
  <si>
    <t>Лонжерон подрамника дополнительный правый в сборе (катафорез) "АвтоВАЗ" для Лада Веста</t>
  </si>
  <si>
    <t>8450033562</t>
  </si>
  <si>
    <t>Лонжерон пола "АвтоВАЗ" (передний, левый) для ВАЗ 2108-21099, 2113-2115</t>
  </si>
  <si>
    <t>21080510130300</t>
  </si>
  <si>
    <t>https://motorring.ru/product/2887-longheron-pola-peredniy-levyy-vaz-2108-21099-2110-2112</t>
  </si>
  <si>
    <t>Лонжерон пола "АвтоВАЗ" (передний, левый) для ВАЗ 2110-2112, Лада Приора</t>
  </si>
  <si>
    <t>21100510130300</t>
  </si>
  <si>
    <t>Лонжерон пола "АвтоВАЗ" (передний, правый) для ВАЗ 2108-21099, 2113-2115</t>
  </si>
  <si>
    <t>21080510130200</t>
  </si>
  <si>
    <t>https://motorring.ru/product/35456-longheron-pola-peredniy-pravyy-vaz-2108-21099-2110-2112</t>
  </si>
  <si>
    <t>Лонжерон пола "АвтоВАЗ" (передний, правый) для ВАЗ 2110-2112, Лада Приора</t>
  </si>
  <si>
    <t>21100510130200</t>
  </si>
  <si>
    <t>Лонжерон пола "АвтоВАЗ" (средний, левый, катафорезное покрытие) для ВАЗ 2110-2112</t>
  </si>
  <si>
    <t>21100510137310</t>
  </si>
  <si>
    <t>Лонжерон пола "АвтоВАЗ" (средний, левый) для ВАЗ 2110-2112</t>
  </si>
  <si>
    <t>Лонжерон пола "АвтоВАЗ" задний для Лада Веста, Веста Cross, Веста Спорт</t>
  </si>
  <si>
    <t>8460012470</t>
  </si>
  <si>
    <t>00054431</t>
  </si>
  <si>
    <t>Лонжерон пола "АвтоВАЗ" задний левый в сборе для Лада Веста NG седан</t>
  </si>
  <si>
    <t>8450013785</t>
  </si>
  <si>
    <t>00055705</t>
  </si>
  <si>
    <t>Лонжерон пола "АвтоВАЗ" задний левый в сборе для Лада Гранда FL седан, лифтбек</t>
  </si>
  <si>
    <t>8460006767</t>
  </si>
  <si>
    <t>00051394</t>
  </si>
  <si>
    <t>Лонжерон пола "АвтоВАЗ" задний правый в сборе для Лада Веста NG седан</t>
  </si>
  <si>
    <t>8450013784</t>
  </si>
  <si>
    <t>00055704</t>
  </si>
  <si>
    <t>Лонжерон пола "АвтоВАЗ" передний левый (катафорез) для Лада Нива Travel, Шевроле Нива</t>
  </si>
  <si>
    <t>21230510130370</t>
  </si>
  <si>
    <t>00049102</t>
  </si>
  <si>
    <t>https://motorring.ru/product/38212-longheron-pola-levyy-prodolynyy-dlya-shevrole-niva</t>
  </si>
  <si>
    <t>Лонжерон пола "АвтоВАЗ" передний правый (катафорез) для Лада Веста, Веста Кросс, Веста Спорт</t>
  </si>
  <si>
    <t>8450039374</t>
  </si>
  <si>
    <t>00055855</t>
  </si>
  <si>
    <t>https://motorring.ru/product/36826-longheron-pola-peredniy-pravyy-malyy-dlya-lada-vesta</t>
  </si>
  <si>
    <t>Лонжерон пола "АвтоВАЗ" передний правый (катафорез) для Лада Нива Travel, Шевроле Нива</t>
  </si>
  <si>
    <t>21230510130270</t>
  </si>
  <si>
    <t>00049101</t>
  </si>
  <si>
    <t>https://motorring.ru/product/38211-longheron-pola-pravyy-prodolynyy-dlya-shevrole-niva</t>
  </si>
  <si>
    <t>Лонжерон пола "АвтоВАЗ" передний правый для Лада Калина, Калина 2, Гранта, Гранта FL</t>
  </si>
  <si>
    <t>11180510130200</t>
  </si>
  <si>
    <t>00038033</t>
  </si>
  <si>
    <t>https://motorring.ru/product/40829</t>
  </si>
  <si>
    <t>Лонжерон пола "АвтоВАЗ" средний левый в сборе (катафорез) для Лада Веста, Веста Cross, Веста Спорт</t>
  </si>
  <si>
    <t>8450039278</t>
  </si>
  <si>
    <t>00054135</t>
  </si>
  <si>
    <t>https://motorring.ru/product/36838-levyy-sredniy-longheron-pola-sbore-dlya-lada-vesta</t>
  </si>
  <si>
    <t>Лонжерон пола "АвтоВАЗ" средний левый в сборе для Лада Веста NG седан</t>
  </si>
  <si>
    <t>8450013783</t>
  </si>
  <si>
    <t>00055819</t>
  </si>
  <si>
    <t>Лонжерон пола "АвтоВАЗ" средний правый в сборе (катафорез) для Лада Веста, Веста Cross, Веста Спорт</t>
  </si>
  <si>
    <t>8450039280</t>
  </si>
  <si>
    <t>00055687</t>
  </si>
  <si>
    <t>https://motorring.ru/product/38315-sredniy-pravyy-longheron-pola-sbore-dlya-lada-vesta</t>
  </si>
  <si>
    <t>Лонжерон пола "АвтоВАЗ" средний правый в сборе для Лада Веста NG седан</t>
  </si>
  <si>
    <t>8450013782</t>
  </si>
  <si>
    <t>00055833</t>
  </si>
  <si>
    <t>Лонжерон пола задний "АвтоВАЗ" левый для ВАЗ 2112, Лада Приора хэтчбек</t>
  </si>
  <si>
    <t>21120510133110</t>
  </si>
  <si>
    <t>https://motorring.ru/product/799-longheron-pola-zadniy-levyy-kataforeznoe-pokrytie-vaz-2112</t>
  </si>
  <si>
    <t>Лонжерон пола задний "АвтоВАЗ" правый для Лада Гранта седан</t>
  </si>
  <si>
    <t>21900510133000</t>
  </si>
  <si>
    <t>Лонжерон пола задний (катафорез) "АвтоВАЗ" левый для ВАЗ 2110</t>
  </si>
  <si>
    <t>21100510133120</t>
  </si>
  <si>
    <t>Лонжерон пола задний (катафорез) "АвтоВАЗ" левый для ВАЗ 2112</t>
  </si>
  <si>
    <t>Лонжерон пола задний (катафорез) "АвтоВАЗ" левый для Шевроле Нива</t>
  </si>
  <si>
    <t>21230510133370</t>
  </si>
  <si>
    <t>https://motorring.ru/product/37048-longhepon-pola-zadniy-levyy-kataforeznoe-pokrytie-2123</t>
  </si>
  <si>
    <t>Лонжерон пола задний (катафорез) "АвтоВАЗ" правый для ВАЗ 2110</t>
  </si>
  <si>
    <t>21100510133210</t>
  </si>
  <si>
    <t>https://motorring.ru/product/755-longheron-pola-zadniy-pravyy-kataforeznym-pokrytiem-dlya</t>
  </si>
  <si>
    <t>Лонжерон пола задний (катафорез) "АвтоВАЗ" правый для ВАЗ 2112</t>
  </si>
  <si>
    <t>21120510133210</t>
  </si>
  <si>
    <t>Лонжерон пола задний (катафорез) "АвтоВАЗ" правый для Лада Калина седан</t>
  </si>
  <si>
    <t>11180510133070</t>
  </si>
  <si>
    <t>https://motorring.ru/product/17594-longheron-pola-zadniy-pravyy-kataforeznoe-pokrytie-lada</t>
  </si>
  <si>
    <t>Лонжерон пола задний (катафорез) "АвтоВАЗ" правый для Шевроле Нива</t>
  </si>
  <si>
    <t>21230510133270</t>
  </si>
  <si>
    <t>https://motorring.ru/product/843-longhepon-pola-zadniy-ppavyy-kataforez-shevrole-niva</t>
  </si>
  <si>
    <t>Лонжерон пола задний левый (катафорез) "АвтоВАЗ" для Лада Калина хэтчбек</t>
  </si>
  <si>
    <t>11190510133170</t>
  </si>
  <si>
    <t>https://motorring.ru/product/16478-longheron-pola-zadniy-levyy-kataforeznoe-pokrytie-lada</t>
  </si>
  <si>
    <t>Лонжерон пола задний левый в сборе (катафорез) "АвтоВАЗ" для Лада Веста</t>
  </si>
  <si>
    <t>8450039300</t>
  </si>
  <si>
    <t>Лонжерон пола задний правый (катафорез) "АвтоВАЗ" для Лада Калина хэтчбек</t>
  </si>
  <si>
    <t>11190510133070</t>
  </si>
  <si>
    <t>https://motorring.ru/product/38254-longheron-pola-zadniy-pravyy-kataforeznoe-pokrytie-lada</t>
  </si>
  <si>
    <t>Лонжерон пола задний правый в сборе (катафорез) "АвтоВАЗ" для Лада Веста</t>
  </si>
  <si>
    <t>8450039302</t>
  </si>
  <si>
    <t>https://motorring.ru/product/36836-longheron-pola-zadniy-pravyy-dlya-lada-vesta</t>
  </si>
  <si>
    <t>Лонжерон пола передний "АвтоВАЗ" левый для Шевроле Нива</t>
  </si>
  <si>
    <t>21230510130300</t>
  </si>
  <si>
    <t>https://motorring.ru/product/6537-longheron-pola-peredniy-levyy-shevrole-niva</t>
  </si>
  <si>
    <t>Лонжерон пола передний "АвтоВАЗ" правый для Шевроле Нива</t>
  </si>
  <si>
    <t>21230510130200</t>
  </si>
  <si>
    <t>Лонжерон пола средний "АвтоВАЗ" (правый, катафорезное покрытие) для ВАЗ 2110-2112, Лада Приора</t>
  </si>
  <si>
    <t>21100510137210</t>
  </si>
  <si>
    <t>Лонжерон пола средний "АвтоВАЗ" (средний, правый) для ВАЗ 2110-2112, Лада Приора</t>
  </si>
  <si>
    <t>Лонжерон пола средний (катафорез) "АвтоВАЗ" левый в сборе для Лада Калина</t>
  </si>
  <si>
    <t>11180510132170</t>
  </si>
  <si>
    <t>https://motorring.ru/product/16463-longheron-pola-sredniy-levyy-sbore-kataforeznoe-pokrytie</t>
  </si>
  <si>
    <t>Нaклaдкa боковины задняя "АвтоВАЗ" левая для Лада Приора, Приора 2 универсал</t>
  </si>
  <si>
    <t>21710540110910</t>
  </si>
  <si>
    <t>Нaклaдкa боковины задняя "АвтоВАЗ" правая для Лада Приора, Приора 2 универсал</t>
  </si>
  <si>
    <t>21710540110810</t>
  </si>
  <si>
    <t>Нaклaдкa боковины задняя внутренняя "АвтоВАЗ" правая для Лада Приора, Приора 2 универсал</t>
  </si>
  <si>
    <t>21710540110800</t>
  </si>
  <si>
    <t>https://motorring.ru/product/16331</t>
  </si>
  <si>
    <t>Нaпpaвляющaя опускного стекла задней двери "АвтоВАЗ" левая для Шевроле Нива</t>
  </si>
  <si>
    <t>21230620324100</t>
  </si>
  <si>
    <t>Нaпpaвляющaя опускного стекла задней двери "АвтоВАЗ" правая для Шевроле Нива</t>
  </si>
  <si>
    <t>21230620324000</t>
  </si>
  <si>
    <t>Надставка "АвтоВАЗ" щитка передка в сборе для Лада Веста, Веста Cross</t>
  </si>
  <si>
    <t>8450013993</t>
  </si>
  <si>
    <t>00055076</t>
  </si>
  <si>
    <t>Надставка боковины "АвтоВАЗ" верхняя, левая в сборе (катафорезное покрытие) для Лада Калина, Калина 2, Гранта FL универсал</t>
  </si>
  <si>
    <t>11170540106770</t>
  </si>
  <si>
    <t>Надставка боковины "АвтоВАЗ" верхняя, левая в сборе для Лада Калина, Калина 2, Гранта FL универсал</t>
  </si>
  <si>
    <t>11170540106700</t>
  </si>
  <si>
    <t>Надставка боковины "АвтоВАЗ" верхняя, правая в сборе (катафорезное покрытие) для Лада Калина, Калина 2, Гранта FL универсал</t>
  </si>
  <si>
    <t>11170540106670</t>
  </si>
  <si>
    <t>Надставка боковины "АвтоВАЗ" верхняя, правая в сборе для Лада Калина, Калина 2, Гранта FL универсал</t>
  </si>
  <si>
    <t>11170540106600</t>
  </si>
  <si>
    <t>Надставка боковины "АвтоВАЗ" правая в сборе для ВАЗ 2108-21099, 2113-2115</t>
  </si>
  <si>
    <t>21080540114400</t>
  </si>
  <si>
    <t>Надставка боковины верхняя "АвтоВАЗ" левая в сборе для ВАЗ 2111</t>
  </si>
  <si>
    <t>21110540107300</t>
  </si>
  <si>
    <t>Надставка боковины верхняя "АвтоВАЗ" левая в сборе для Лада Гранта лифтбек</t>
  </si>
  <si>
    <t>21910540106700</t>
  </si>
  <si>
    <t>Надставка боковины верхняя "АвтоВАЗ" правая в сборе для ВАЗ 2111</t>
  </si>
  <si>
    <t>21110540107200</t>
  </si>
  <si>
    <t>Надставка заднего крыла "АвтоВАЗ" правая (катафорез) для Лада Гранта, Гранта FL</t>
  </si>
  <si>
    <t>21910840404470</t>
  </si>
  <si>
    <t>00044924</t>
  </si>
  <si>
    <t>https://motorring.ru/product/5159-nadstavka-zadnego-kryla-pravaya-kataforez-granta-liftback</t>
  </si>
  <si>
    <t>Надставка заднего пола левая (катафорез) "АвтоВАЗ" для Лада Веста седан</t>
  </si>
  <si>
    <t>8450039362</t>
  </si>
  <si>
    <t>https://motorring.ru/product/36829-nadstavka-zadnego-pola-levaya-karman-dlya-lada-vesta</t>
  </si>
  <si>
    <t>Надставка заднего пола передняя (катафорез) "АвтоВАЗ" для Лада Веста</t>
  </si>
  <si>
    <t>8450039372</t>
  </si>
  <si>
    <t>https://motorring.ru/product/36828-nadstavka-zadnego-pola-srednyaya-dlya-lada-vesta</t>
  </si>
  <si>
    <t>Надставка заднего пола правая (катафорез) "АвтоВАЗ" для Лада Веста седан</t>
  </si>
  <si>
    <t>8450039361</t>
  </si>
  <si>
    <t>https://motorring.ru/product/36830-nadstavka-zadnego-pola-pravaya-karman-dlya-lada-vesta</t>
  </si>
  <si>
    <t>Надставка крыла заднего левого (катафорезное покрытие) "АвтоВАЗ" для Лада Приора, Приора 2 хэтчбек</t>
  </si>
  <si>
    <t>21720840404510</t>
  </si>
  <si>
    <t>https://motorring.ru/product/38252-nadstavka-levogo-zadnego-kryla-okoshko-lada-priora-2172</t>
  </si>
  <si>
    <t>Надставка наружной панели "АвтоВАЗ" для ВАЗ 2108</t>
  </si>
  <si>
    <t>21080540114600</t>
  </si>
  <si>
    <t>Надставка передней двери "АвтоВАЗ" левая для Лада Нива 4x4 (5-ти дверная)</t>
  </si>
  <si>
    <t>21310610109700</t>
  </si>
  <si>
    <t>Надставка передней двери "АвтоВАЗ" правая для Лада Нива 4x4 (5-ти дверная)</t>
  </si>
  <si>
    <t>21310610109600</t>
  </si>
  <si>
    <t>Надставка пола "АвтоВАЗ" задняя левая (катафорез) для Лада Нива 4x4</t>
  </si>
  <si>
    <t>21210510104910</t>
  </si>
  <si>
    <t>00042074</t>
  </si>
  <si>
    <t>https://motorring.ru/product/182-nadstavka-pola-zadnyaya-levaya-kataforeznoe-pokrytie-lada</t>
  </si>
  <si>
    <t>Надставка пола "АвтоВАЗ" задняя правая (катафорез) для Лада Нива 4x4</t>
  </si>
  <si>
    <t>21210510104810</t>
  </si>
  <si>
    <t>00042073</t>
  </si>
  <si>
    <t>https://motorring.ru/product/189-nadstavka-pola-zadnyaya-pravaya-kataforez-lada-4x4</t>
  </si>
  <si>
    <t>Надставка пола кузова задняя (нового образца) "АвтоВАЗ" левая для ВАЗ 2110, Лада Приора седан</t>
  </si>
  <si>
    <t>21100510109300</t>
  </si>
  <si>
    <t>Надставка пола кузова задняя (нового образца) "АвтоВАЗ" правая для ВАЗ 2110, Лада Приора седан</t>
  </si>
  <si>
    <t>21100510109200</t>
  </si>
  <si>
    <t>Надставка щитка передка "АвтоВАЗ" для Лада Нива 4x4</t>
  </si>
  <si>
    <t>21213530109410</t>
  </si>
  <si>
    <t>Накладка боковины "АвтоВАЗ" верхняя, левая в сборе для Лада Калина, Калина 2, Гранта FL универсал</t>
  </si>
  <si>
    <t>11170540108700</t>
  </si>
  <si>
    <t>https://motorring.ru/product/16803-nadstavka-bokoviny-verhnyaya-levaya-sbore-dlya-lada-kalina</t>
  </si>
  <si>
    <t>Накладка боковины "АвтоВАЗ" верхняя, правая в сборе для Лада Калина, Калина 2, Гранта FL универсал</t>
  </si>
  <si>
    <t>11170540108600</t>
  </si>
  <si>
    <t>https://motorring.ru/product/16513-nadstavka-bokoviny-verhnyaya-pravaya-sbore-dlya-lada-kalina</t>
  </si>
  <si>
    <t>Накладка боковины "АвтоВАЗ" задняя левая (катафорез) для Лада Гранта, Гранта FL лифтбек</t>
  </si>
  <si>
    <t>21910540110770</t>
  </si>
  <si>
    <t>00046216</t>
  </si>
  <si>
    <t>Накладка боковины "АвтоВАЗ" нижняя левая (катафорез) для Шевроле Нива</t>
  </si>
  <si>
    <t>21230540110370</t>
  </si>
  <si>
    <t>00045070</t>
  </si>
  <si>
    <t>Накладка боковины "АвтоВАЗ" нижняя правая (катафорез) для Лада Нива 4х4</t>
  </si>
  <si>
    <t>21310540110210</t>
  </si>
  <si>
    <t>00050344</t>
  </si>
  <si>
    <t>Накладка боковины верхняя "АвтоВАЗ" левая в сборе для Лада Приора купе</t>
  </si>
  <si>
    <t>21728540108700</t>
  </si>
  <si>
    <t>Накладка боковины верхняя "АвтоВАЗ" левая в сборе для Шевроле Нива</t>
  </si>
  <si>
    <t>21230540108755</t>
  </si>
  <si>
    <t>https://motorring.ru/product/38141-levyy-usilitely-kryshi-vnutrenniy-novogo-obrazca-2123</t>
  </si>
  <si>
    <t>Накладка боковины верхняя "АвтоВАЗ" левая для Лада Приора купе</t>
  </si>
  <si>
    <t>21728540110500</t>
  </si>
  <si>
    <t>Накладка боковины верхняя "АвтоВАЗ" правая в сборе для Лада Приора купе</t>
  </si>
  <si>
    <t>21728540108600</t>
  </si>
  <si>
    <t>Накладка боковины верхняя "АвтоВАЗ" правая в сборе для Шевроле Нива</t>
  </si>
  <si>
    <t>21230540108655</t>
  </si>
  <si>
    <t>https://motorring.ru/product/38140-pravyy-usilitely-kryshi-vnutrenniy-novogo-obrazca-2123</t>
  </si>
  <si>
    <t>Накладка боковины верхняя "АвтоВАЗ" правая для Лада Приора купе</t>
  </si>
  <si>
    <t>21728540110400</t>
  </si>
  <si>
    <t>Накладка боковины верхняя левая "АвтоВАЗ" в сборе для Шевроле Нива</t>
  </si>
  <si>
    <t>21230540108700</t>
  </si>
  <si>
    <t>https://motorring.ru/product/37051-nakladka-bokoviny-verhnyaya-levaya-sbore-dlya-shevrole</t>
  </si>
  <si>
    <t>Накладка боковины верхняя правая "АвтоВАЗ" в сборе для Шевроле Нива</t>
  </si>
  <si>
    <t>21230540108600</t>
  </si>
  <si>
    <t>https://motorring.ru/product/952-nakladka-bokoviny-verhnyaya-pravaya-sbore-dlya-shevrole</t>
  </si>
  <si>
    <t>Накладка боковины верхняя правая в сборе (катафорез) "АвтоВАЗ" для Лада Веста седан</t>
  </si>
  <si>
    <t>8450039203</t>
  </si>
  <si>
    <t>Накладка боковины задняя (катафорез) "АвтоВАЗ" правая для Лада Гранта, Гранта FL лифтбек</t>
  </si>
  <si>
    <t>21910540110670</t>
  </si>
  <si>
    <t>Накладка боковины нижняя (катафорез) "АвтоВАЗ" правaя для Шевроле Нива</t>
  </si>
  <si>
    <t>21230540110270</t>
  </si>
  <si>
    <t>https://motorring.ru/product/38264-pravyy-usilitely-poroga-kataforeznym-pokrytiem-2123</t>
  </si>
  <si>
    <t>Накладка боковины нижняя левая доработанная (катафорез) "АвтоВАЗ" для Лада Веста</t>
  </si>
  <si>
    <t>8450039264</t>
  </si>
  <si>
    <t>https://motorring.ru/product/36841-usilitely-poroga-levyy-dlya-lada-vesta</t>
  </si>
  <si>
    <t>Накладка боковины нижняя правая доработанная (катафорез) "АвтоВАЗ" для Лада Веста</t>
  </si>
  <si>
    <t>8450039260</t>
  </si>
  <si>
    <t>https://motorring.ru/product/38276-usilitely-poroga-pravyy-dlya-lada-vesta</t>
  </si>
  <si>
    <t>Накладка ветровой стойки "АвтоВАЗ" внутренняя правая (катафорез) для Лада Калина, Калина 2, Гранта, Гранта FL</t>
  </si>
  <si>
    <t>11180540132870</t>
  </si>
  <si>
    <t>00043529</t>
  </si>
  <si>
    <t>Накладка ветровой стойки внутренняя "АвтоВАЗ" левая (катафорез) для Лада Калина</t>
  </si>
  <si>
    <t>11180540132970</t>
  </si>
  <si>
    <t>https://motorring.ru/product/38249-levaya-stoyka-ramy-vetrovogo-okna-dlya-lada-kalina</t>
  </si>
  <si>
    <t>Накладка ветровой стойки внутренняя "АвтоВАЗ" правая для Лада Калина</t>
  </si>
  <si>
    <t>11180540132800</t>
  </si>
  <si>
    <t>Накладка водоотводящая "АвтоВАЗ" в сборе для Лада XRAY</t>
  </si>
  <si>
    <t>663127220R</t>
  </si>
  <si>
    <t>00052141</t>
  </si>
  <si>
    <t>Накладка лонжерона "АвтоВАЗ" правая для Лада Нива 4x4 Урбан</t>
  </si>
  <si>
    <t>8450107451</t>
  </si>
  <si>
    <t>Накладка порога "Renault" передняя правая для Лада Ларгус</t>
  </si>
  <si>
    <t>6001548774</t>
  </si>
  <si>
    <t>Накладка стойки ветрового окна "АвтоВАЗ" внутренняя левая в сборе для Лада Калина</t>
  </si>
  <si>
    <t>11180540132700</t>
  </si>
  <si>
    <t>Накладка стойки со стороны кузова задней правой части "АвтоВАЗ" для Лада XRAY</t>
  </si>
  <si>
    <t>764542123R</t>
  </si>
  <si>
    <t>Накладка центральной стойки (усилитель) "АвтоВАЗ" левая для Лада Нива 4x4</t>
  </si>
  <si>
    <t>21310540175700</t>
  </si>
  <si>
    <t>Накладка центральной стойки (усилитель) "АвтоВАЗ" правая для Лада Нива 4x4</t>
  </si>
  <si>
    <t>21310540175600</t>
  </si>
  <si>
    <t>Накладка центральной стойки боковины "АвтоВАЗ" правая доработанная для Лада Веста седан</t>
  </si>
  <si>
    <t>8450007509</t>
  </si>
  <si>
    <t>Накладка центральной стойки внутренняя "АвтоВАЗ" левая для Лада Калина</t>
  </si>
  <si>
    <t>11180540116700</t>
  </si>
  <si>
    <t>https://motorring.ru/product/38154-levaya-nakladka-centralynoy-stoyki-dlya-lada-kalina-granta</t>
  </si>
  <si>
    <t>Накладка центральной стойки внутренняя "АвтоВАЗ" правая для Лада Калина</t>
  </si>
  <si>
    <t>11180540116600</t>
  </si>
  <si>
    <t>https://motorring.ru/product/38198-pravaya-nakladka-centralynoy-stoyki-dlya-lada-kalina-granta</t>
  </si>
  <si>
    <t>Направляющая рамка опускного стекла двери задней левой "Renault" для Лада Ларгус</t>
  </si>
  <si>
    <t>6001548845</t>
  </si>
  <si>
    <t>Направляющая рамка опускного стекла двери задней правой "Renault" для Лада Ларгус</t>
  </si>
  <si>
    <t>6001548846</t>
  </si>
  <si>
    <t>Направляющая стекла двери "АвтоВАЗ" передняя правая для Лада XRAY</t>
  </si>
  <si>
    <t>802164190R</t>
  </si>
  <si>
    <t>Ниша "АвтоВАЗ" запасного колеса (катафорез) для ВАЗ 2112, Лада Приора</t>
  </si>
  <si>
    <t>21120510712210</t>
  </si>
  <si>
    <t>00043748</t>
  </si>
  <si>
    <t>https://motorring.ru/product/18162-nisha-dlya-zapasnogo-kolesa-kataforeznoe-pokrytie-vaz-2112</t>
  </si>
  <si>
    <t>Ниша для запасного колеса (катафорез) "АвтоВАЗ" для ВАЗ 2110</t>
  </si>
  <si>
    <t>21100510712210</t>
  </si>
  <si>
    <t>https://motorring.ru/product/35950-nisha-dlya-zapasnogo-kolesa-kataforeznoe-pokrytie-vaz-2110</t>
  </si>
  <si>
    <t>Опора пружины (катафорез) "АвтоВАЗ" левая для Лада Нива 4x4</t>
  </si>
  <si>
    <t>21210510121110</t>
  </si>
  <si>
    <t>Опора пружины задней (стакан) "АвтоВАЗ" левая для ВАЗ (2110, 2112), Лада (Приора, Приора 2)</t>
  </si>
  <si>
    <t>21100510121100</t>
  </si>
  <si>
    <t>Опора пружины задней (стакан) "АвтоВАЗ" правая для ВАЗ (2110, 2112), Лада (Приора, Приора 2)</t>
  </si>
  <si>
    <t>21100510121000</t>
  </si>
  <si>
    <t>Опора пружины задней подвески "АвтоВАЗ" правая в сборе для ВАЗ 2111</t>
  </si>
  <si>
    <t>21110510121010</t>
  </si>
  <si>
    <t>Опора пружины и буфера "АвтоВАЗ" правая для Лада Нива 4x4</t>
  </si>
  <si>
    <t>21210510121010</t>
  </si>
  <si>
    <t>Оригинальная рамка радиатора катафорез (телевизор) "АвтоВАЗ" Н/О для Лада Приора, Приора 2</t>
  </si>
  <si>
    <t>21100840105020</t>
  </si>
  <si>
    <t>https://motorring.ru/product/16659-ramka-radiatora-kataforeznoe-pokrytie-vaz-2110-lada-priora</t>
  </si>
  <si>
    <t>Пaнeль пoлa задняя (катафорез) "АвтоВАЗ" в сборе для Шевроле Нива</t>
  </si>
  <si>
    <t>21230510104070</t>
  </si>
  <si>
    <t>https://motorring.ru/product/222-panely-pola-zadnyaya-sbore-dlya-shevrole-niva</t>
  </si>
  <si>
    <t>Пaнeль пoлa пepeдняя "АвтоВАЗ" правая в сборе для Шевроле Нива</t>
  </si>
  <si>
    <t>21230510102200</t>
  </si>
  <si>
    <t>Пaнeль пoлa пepeдняя (катафорез) "АвтоВАЗ" лeвая для Шевроле Нива</t>
  </si>
  <si>
    <t>21230510102370</t>
  </si>
  <si>
    <t>https://motorring.ru/product/37045-perednyaya-levaya-panely-pola-dlya-shevrole-niva</t>
  </si>
  <si>
    <t>Пaнeль пoлa пepeдняя (катафорез) "АвтоВАЗ" правая в сборе для Шевроле Нива</t>
  </si>
  <si>
    <t>21230510102270</t>
  </si>
  <si>
    <t>https://motorring.ru/product/37044-perednyaya-pravaya-panely-pola-dlya-shevrole-niva</t>
  </si>
  <si>
    <t>Пaнель пола (катафорез) "АвтоВАЗ" средняя для Лада Калина</t>
  </si>
  <si>
    <t>11180510103470</t>
  </si>
  <si>
    <t>Панель (скелет) боковины "АвтоВАЗ" внутренняя левая для ВАЗ 2108, 2113</t>
  </si>
  <si>
    <t>21080540109310</t>
  </si>
  <si>
    <t>00054726</t>
  </si>
  <si>
    <t>Панель (скелет) боковины "АвтоВАЗ" внутренняя правая для ВАЗ 2108</t>
  </si>
  <si>
    <t>21080540109200</t>
  </si>
  <si>
    <t>Панель боковая внутренняя "АвтоВАЗ" левая в сборе для Шевроле Нива</t>
  </si>
  <si>
    <t>21230530132100</t>
  </si>
  <si>
    <t>Панель боковая внутренняя "АвтоВАЗ" правая в сборе для Шевроле Нива</t>
  </si>
  <si>
    <t>21230530132000</t>
  </si>
  <si>
    <t>https://motorring.ru/product/6545-panely-bokovaya-vnutrennyaya-pravaya-sbore-shevrole-niva</t>
  </si>
  <si>
    <t>Панель боковая внутренняя (катафорез) "АвтоВАЗ" правая в сборе для Шевроле Нива</t>
  </si>
  <si>
    <t>21230530132070</t>
  </si>
  <si>
    <t>Панель боковая центральной части пола "Renault" левая для Лада Ларгус</t>
  </si>
  <si>
    <t>743217978R</t>
  </si>
  <si>
    <t>Панель боковая центральной части пола "Renault" правая для Лада Ларгус</t>
  </si>
  <si>
    <t>743200755R</t>
  </si>
  <si>
    <t>Панель боковины "АвтоВАЗ" внутренняя левая (катафорез) для Шевроле Нива</t>
  </si>
  <si>
    <t>21230540109175</t>
  </si>
  <si>
    <t>00045172</t>
  </si>
  <si>
    <t>https://motorring.ru/product/35265-panely-bokoviny-vnutrennyaya-levaya-sbore-shevrole-niva</t>
  </si>
  <si>
    <t>Панель боковины "АвтоВАЗ" внутренняя левая для Лада Нива 4x4</t>
  </si>
  <si>
    <t>8450109171</t>
  </si>
  <si>
    <t>00053974</t>
  </si>
  <si>
    <t>Панель боковины "АвтоВАЗ" внутренняя правая (скелет, катафорез) для Лада Калина 2, Гранта FL</t>
  </si>
  <si>
    <t>21940540109070</t>
  </si>
  <si>
    <t>00045306</t>
  </si>
  <si>
    <t>Панель боковины "АвтоВАЗ" задняя правая для Лада Нива 4х4</t>
  </si>
  <si>
    <t>21317540174210</t>
  </si>
  <si>
    <t>00049104</t>
  </si>
  <si>
    <t>Панель боковины "АвтоВАЗ" левая (катафорез) для Лада Нива 4x4, Нива 4x4 Урбан</t>
  </si>
  <si>
    <t>21210540106530</t>
  </si>
  <si>
    <t>00044887</t>
  </si>
  <si>
    <t>Панель боковины "АвтоВАЗ" передняя левая для Лада Нива 4x4 (5-ти дверная)</t>
  </si>
  <si>
    <t>21317540173310</t>
  </si>
  <si>
    <t>Панель боковины "АвтоВАЗ" передняя левая для Лада Приора купе</t>
  </si>
  <si>
    <t>21728540105100</t>
  </si>
  <si>
    <t>00047070</t>
  </si>
  <si>
    <t>Панель боковины "АвтоВАЗ" передняя правая для Лада Приора купе</t>
  </si>
  <si>
    <t>21728540105000</t>
  </si>
  <si>
    <t>00047069</t>
  </si>
  <si>
    <t>Панель боковины "АвтоВАЗ" правая (катафорез) для Лада Нива 4x4, Нива 4x4 Урбан</t>
  </si>
  <si>
    <t>21210540106430</t>
  </si>
  <si>
    <t>00044886</t>
  </si>
  <si>
    <t>Панель боковины (катафорез) "АвтоВАЗ" левая для Лада Нива 4x4 (5-ти дверная)</t>
  </si>
  <si>
    <t>21310540172110</t>
  </si>
  <si>
    <t>Панель боковины (катафорез) "АвтоВАЗ" правая для Лада Нива 4x4 (5-ти дверная)</t>
  </si>
  <si>
    <t>21310540172010</t>
  </si>
  <si>
    <t>Панель боковины (скелет) внутренняя левая (катафорез) "АвтоВАЗ" для Лада Калина хэтчбек</t>
  </si>
  <si>
    <t>11190540109170</t>
  </si>
  <si>
    <t>https://motorring.ru/product/17596-panely-bokoviny-vnutrennyaya-levaya-skelet-kataforeznoe</t>
  </si>
  <si>
    <t>Панель боковины (форточка внутреняя) "АвтоВАЗ" левая для Лада Приора, Приора 2 хэтчбек</t>
  </si>
  <si>
    <t>21720540142700</t>
  </si>
  <si>
    <t>Панель боковины внутренняя "АвтоВАЗ" (левая, угловая) для ВАЗ 2111</t>
  </si>
  <si>
    <t>21110540142700</t>
  </si>
  <si>
    <t>https://motorring.ru/product/795-uglovaya-panely-bokoviny-vnutrennyaya-levaya-vaz-2111</t>
  </si>
  <si>
    <t>Панель боковины внутренняя "АвтоВАЗ" (правая, угловая) для ВАЗ 2111</t>
  </si>
  <si>
    <t>21110540142600</t>
  </si>
  <si>
    <t>Панель боковины внутренняя "АвтоВАЗ" правая в сборе для Лада Веста SW, SW Cross</t>
  </si>
  <si>
    <t>8450102334</t>
  </si>
  <si>
    <t>00054139</t>
  </si>
  <si>
    <t>Панель боковины внутренняя "АвтоВАЗ" правая в сборе для Лада Ларгус</t>
  </si>
  <si>
    <t>766306991R</t>
  </si>
  <si>
    <t>Панель боковины внутренняя (катафорез) "АвтоВАЗ" правая для Шевроле Нива</t>
  </si>
  <si>
    <t>21230540109075</t>
  </si>
  <si>
    <t>https://motorring.ru/product/35264-panely-bokoviny-vnutrennyaya-pravaya-sbore-shevrole-niva</t>
  </si>
  <si>
    <t>Панель боковины внутренняя (скелет, катафорез) "АвтоВАЗ" левая для Лада Гранта седан</t>
  </si>
  <si>
    <t>21900540109170</t>
  </si>
  <si>
    <t>Панель боковины внутренняя (скелет, катафорез) "АвтоВАЗ" правая для Лада Гранта седан</t>
  </si>
  <si>
    <t>21900540109070</t>
  </si>
  <si>
    <t>Панель боковины внутренняя (скелет) "АвтоВАЗ" правая для Лада Приора, Приора 2 универсал</t>
  </si>
  <si>
    <t>21710540142400</t>
  </si>
  <si>
    <t>Панель боковины внутренняя задняя "Renault" правая верхняя для Лада Ларгус</t>
  </si>
  <si>
    <t>6001548851</t>
  </si>
  <si>
    <t>Панель боковины внутренняя задняя правая "Renault" (верхняя) для Лада Ларгус</t>
  </si>
  <si>
    <t>6001548828</t>
  </si>
  <si>
    <t>https://motorring.ru/product/15199</t>
  </si>
  <si>
    <t>Панель боковины внутренняя левая "АвтоВАЗ" в сборе для Лада Ларгус фургон</t>
  </si>
  <si>
    <t>766319910R</t>
  </si>
  <si>
    <t>Панель боковины внутренняя правая "АвтоВАЗ" в сборе для Лада Веста седан</t>
  </si>
  <si>
    <t>8450007491</t>
  </si>
  <si>
    <t>Панель боковины внутренняя правая "АвтоВАЗ" в сборе для Лада Ларгус фургон</t>
  </si>
  <si>
    <t>766304664R</t>
  </si>
  <si>
    <t>Панель боковины внутренняя правая в сборе (катафорез) "АвтоВАЗ" для Лада Веста седан</t>
  </si>
  <si>
    <t>8450039208</t>
  </si>
  <si>
    <t>https://motorring.ru/product/33501-panely-bokoviny-narughnaya-pravaya-vesta-cross-sedan</t>
  </si>
  <si>
    <t>Панель боковины внутренняя угловая в сборе "АвтоВАЗ" левая для Лада Приора, Приора 2 универсал</t>
  </si>
  <si>
    <t>21710540142500</t>
  </si>
  <si>
    <t>Панель боковины внутренняя угловая в сборе "АвтоВАЗ" правая для Лада Приора, Приора 2 универсал</t>
  </si>
  <si>
    <t>21710540142410</t>
  </si>
  <si>
    <t>Панель боковины наружная "АвтоВАЗ" левая без отверстий под молдинг (катафорез) для ВАЗ 2108, 2113</t>
  </si>
  <si>
    <t>21080540106540</t>
  </si>
  <si>
    <t>00042689</t>
  </si>
  <si>
    <t>Панель боковины наружная "АвтоВАЗ" левая для Лада Веста SW универсал</t>
  </si>
  <si>
    <t>8450102313</t>
  </si>
  <si>
    <t>https://motorring.ru/product/36816-levaya-panely-bokoviny-kuzova-dlya-lada-vesta-sw</t>
  </si>
  <si>
    <t>Панель боковины наружная "АвтоВАЗ" правая для Лада Веста SW Cross универсал</t>
  </si>
  <si>
    <t>8450102326</t>
  </si>
  <si>
    <t>Панель боковины наружная "АвтоВАЗ" правая для Лада Веста SW универсал</t>
  </si>
  <si>
    <t>8450102312</t>
  </si>
  <si>
    <t>https://motorring.ru/product/36817-pravaya-panely-bokoviny-kuzova-dlya-lada-vesta-sw</t>
  </si>
  <si>
    <t>Панель боковины наружная "АвтоВАЗ" правая под молдинг (катафорез) для ВАЗ 2108, 2113</t>
  </si>
  <si>
    <t>21080540106430</t>
  </si>
  <si>
    <t>00042004</t>
  </si>
  <si>
    <t>https://motorring.ru/product/16808-panely-bokoviny-narughnaya-pravaya-otverstiyami-pod-molding</t>
  </si>
  <si>
    <t>Панель боковины наружная (катафорез) "АвтоВАЗ" левая для Лада Веста седан</t>
  </si>
  <si>
    <t>8450039441</t>
  </si>
  <si>
    <t>https://motorring.ru/product/36825-levaya-panely-bokoviny-kuzova-dlya-lada-vesta-sedan</t>
  </si>
  <si>
    <t>Панель боковины наружная (с отверстиями под молдинг, катафорез) "АвтоВАЗ" правая с кронштейном в сборе для Лада Веста седан</t>
  </si>
  <si>
    <t>8450104587</t>
  </si>
  <si>
    <t>Панель боковины передняя "АвтоВАЗ" левая в сборе для Лада XRAY</t>
  </si>
  <si>
    <t>760236862R</t>
  </si>
  <si>
    <t>https://motorring.ru/product/36807-panely-bokoviny-levaya-sbore-dlya-lada-iks-rey</t>
  </si>
  <si>
    <t>Панель боковины передняя "АвтоВАЗ" правая в сборе для Лада XRAY</t>
  </si>
  <si>
    <t>760222198R</t>
  </si>
  <si>
    <t>https://motorring.ru/product/36808-panely-bokoviny-pravaya-sbore-dlya-lada-iks-rey</t>
  </si>
  <si>
    <t>Панель боковины угловая "АвтоВАЗ" для ВАЗ 2112</t>
  </si>
  <si>
    <t>21120540142710</t>
  </si>
  <si>
    <t>Панель боковины угловая "АвтоВАЗ" правая для ВАЗ 2110-2112</t>
  </si>
  <si>
    <t>21100560101200</t>
  </si>
  <si>
    <t>https://motorring.ru/product/37030-panely-bokoviny-narughnaya-uglovaya-pravaya-dlya-vaz-2110</t>
  </si>
  <si>
    <t>Панель боковины угловая внутренняя "АвтоВАЗ" левая для Лада Веста SW универсал</t>
  </si>
  <si>
    <t>8450102319</t>
  </si>
  <si>
    <t>Панель боковины угловая внутренняя "АвтоВАЗ" левая, в сборе для Лада Веста SW универсал</t>
  </si>
  <si>
    <t>8450102336</t>
  </si>
  <si>
    <t>Панель боковины угловая внутренняя "АвтоВАЗ" правая для Лада Веста SW универсал</t>
  </si>
  <si>
    <t>8450102318</t>
  </si>
  <si>
    <t>Панель боковины угловая внутренняя "АвтоВАЗ" правая, в сборе для Лада Веста SW универсал</t>
  </si>
  <si>
    <t>8450102337</t>
  </si>
  <si>
    <t>Панель боковины угловая внутренняя (катафорез) "АвтоВАЗ" левая для ВАЗ 2110</t>
  </si>
  <si>
    <t>21100540142710</t>
  </si>
  <si>
    <t>Панель боковины угловая внутренняя (катафорез) "АвтоВАЗ" правая для ВАЗ 2110</t>
  </si>
  <si>
    <t>21100540142610</t>
  </si>
  <si>
    <t>Панель боковины угловая внутренняя (катафорезное покрытие) "АвтоВАЗ" левая для Лада Приора, Приора 2 седан</t>
  </si>
  <si>
    <t>21700540142710</t>
  </si>
  <si>
    <t>Панель боковины угловая внутренняя (катафорезное покрытие) "АвтоВАЗ" правая для Лада Приора, Приора 2 хэтчбек</t>
  </si>
  <si>
    <t>21720540142610</t>
  </si>
  <si>
    <t>https://motorring.ru/product/4972-panely-bokoviny-uglovaya-vnutrennyaya-pravaya-kataforeznoe</t>
  </si>
  <si>
    <t>Панель боковины угловая внутренняя (катафорезное покрытие) правая "АвтоВАЗ" для Лада Приора, Приора 2 седан</t>
  </si>
  <si>
    <t>21700540142610</t>
  </si>
  <si>
    <t>Панель боковины угловая внутренняя левая (катафорез) "АвтоВАЗ" для Лада Веста седан</t>
  </si>
  <si>
    <t>8450039252</t>
  </si>
  <si>
    <t>Панель боковины угловая внутренняя правая (катафорез) "АвтоВАЗ" для Лада Веста седан</t>
  </si>
  <si>
    <t>8450039251</t>
  </si>
  <si>
    <t>Панель брызговика "АвтоВАЗ" левая в сборе для Лада XRAY</t>
  </si>
  <si>
    <t>762319211R</t>
  </si>
  <si>
    <t>00055212</t>
  </si>
  <si>
    <t>Панель брызговика "АвтоВАЗ" левая в сборе для Лада Ларгус FL</t>
  </si>
  <si>
    <t>8450013066</t>
  </si>
  <si>
    <t>00055664</t>
  </si>
  <si>
    <t>Панель брызговика внутренняя правая "Renault" для Лада Ларгус</t>
  </si>
  <si>
    <t>6001549856</t>
  </si>
  <si>
    <t>Панель брызговика левая в сборе (катафорез) "АвтоВАЗ" для Лада Веста</t>
  </si>
  <si>
    <t>8450039275</t>
  </si>
  <si>
    <t>https://motorring.ru/product/36840-levaya-panely-bryzgovika-dlya-lada-vesta</t>
  </si>
  <si>
    <t>Панель брызговика правая (катафорез) "АвтоВАЗ" для Лада Веста</t>
  </si>
  <si>
    <t>8450039276</t>
  </si>
  <si>
    <t>https://motorring.ru/product/36839-pravaya-panely-bryzgovika-dlya-lada-vesta</t>
  </si>
  <si>
    <t>Панель двери задка внутренняя (скелет) "АвтоВАЗ" для Шевроле Нива</t>
  </si>
  <si>
    <t>21230630102000</t>
  </si>
  <si>
    <t>Панель задка "Renault" для Лада Ларгус</t>
  </si>
  <si>
    <t>6001548784</t>
  </si>
  <si>
    <t>https://motorring.ru/product/36960-panely-zadka-sbore-dlya-lada-largus</t>
  </si>
  <si>
    <t>Панель задка "Renault" левая для Лада Ларгус</t>
  </si>
  <si>
    <t>6001548817</t>
  </si>
  <si>
    <t>Панель задка "Renault" правая для Лада Ларгус</t>
  </si>
  <si>
    <t>6001548818</t>
  </si>
  <si>
    <t>Панель задка "АвтоВАЗ" (нижняя) для ВАЗ 2110-2112, Лада Приора</t>
  </si>
  <si>
    <t>21100560109810</t>
  </si>
  <si>
    <t>Панель задка "АвтоВАЗ" в сборе (катафорез) для Лада Веста седан</t>
  </si>
  <si>
    <t>8450039268</t>
  </si>
  <si>
    <t>00049899</t>
  </si>
  <si>
    <t>https://motorring.ru/product/35418-panely-zadka-sbore-lada-ighevsk-kataforeznym-pokrytiem-vesta</t>
  </si>
  <si>
    <t>Панель задка "АвтоВАЗ" в сборе для Лада Веста SW универсал</t>
  </si>
  <si>
    <t>8450102341</t>
  </si>
  <si>
    <t>https://motorring.ru/product/36815-panely-zadka-sbore-dlya-lada-vesta-sw</t>
  </si>
  <si>
    <t>Панель задка "АвтоВАЗ" верхняя для Лада XRAY</t>
  </si>
  <si>
    <t>798506523R</t>
  </si>
  <si>
    <t>https://motorring.ru/product/38260-panely-zadnyaya-vnutrennyaya-dlya-lada-iks-rey-iks-rey-kross</t>
  </si>
  <si>
    <t>Панель задка "АвтоВАЗ" для Лада XRAY</t>
  </si>
  <si>
    <t>852480358R</t>
  </si>
  <si>
    <t>https://motorring.ru/product/36801-panely-zadnyaya-narughnyaya-dlya-lada-iks-rey-iks-rey-kross</t>
  </si>
  <si>
    <t>Панель задка "АвтоВАЗ" нижняя для Лада XRAY</t>
  </si>
  <si>
    <t>791108011R</t>
  </si>
  <si>
    <t>Панель задка "АвтоВАЗ" с поперечиной в сборе (катафорез) для ВАЗ 2110</t>
  </si>
  <si>
    <t>21100560108010</t>
  </si>
  <si>
    <t>https://motorring.ru/product/2423-panely-zadka-poperechinoy-sbore-kataforeznym-pokrytiem-dlya</t>
  </si>
  <si>
    <t>Панель задка "АвтоВАЗ" с поперечиной в сборе (катафорез) для Лада Гранта, Гранта FL</t>
  </si>
  <si>
    <t>21910560108070</t>
  </si>
  <si>
    <t>00043537</t>
  </si>
  <si>
    <t>https://motorring.ru/product/15189-panely-zadka-poperechinoy-sbore-kataforeznoe-pokrytie-lada</t>
  </si>
  <si>
    <t>Панель задка "АвтоВАЗ" с поперечной в сборе (катафорез) для Лада Калина, Калина 2</t>
  </si>
  <si>
    <t>11170560108070</t>
  </si>
  <si>
    <t>00041959</t>
  </si>
  <si>
    <t>https://motorring.ru/product/16650-panely-zadka-poperechinoy-sbore-kataforeznoe-pokrytie-lada</t>
  </si>
  <si>
    <t>Панель задка (голая) "АвтоВАЗ" катафорез для ВАЗ 2110</t>
  </si>
  <si>
    <t>21100560108210</t>
  </si>
  <si>
    <t>https://motorring.ru/product/33253-panely-zadka-kataforeznoe-pokrytie-vaz-2110</t>
  </si>
  <si>
    <t>Панель задка (катафорез) "АвтоВАЗ" для ВАЗ 2111</t>
  </si>
  <si>
    <t>21110560108210</t>
  </si>
  <si>
    <t>https://motorring.ru/product/87-panely-zadka-kataforeznoe-pokrytie-vaz-2111</t>
  </si>
  <si>
    <t>Панель задка (катафорез) "АвтоВАЗ" для ВАЗ 2112</t>
  </si>
  <si>
    <t>21120560108210</t>
  </si>
  <si>
    <t>https://motorring.ru/product/639-panely-bagaghnika-kataforeznym-pokrytiem-dlya-vaz-2112</t>
  </si>
  <si>
    <t>Панель задка (катафорез) "АвтоВАЗ" для Лада Приора, Приора 2 универсал</t>
  </si>
  <si>
    <t>21710560108210</t>
  </si>
  <si>
    <t>https://motorring.ru/product/18156-panely-zadka-kataforeznoe-pokrytie-lada-priora-universal</t>
  </si>
  <si>
    <t>Панель задка (катафорез) "АвтоВАЗ" для Лада Приора, Приора 2 хэтчбек</t>
  </si>
  <si>
    <t>21720560108210</t>
  </si>
  <si>
    <t>https://motorring.ru/product/10175</t>
  </si>
  <si>
    <t>Панель задка (катафорез) "АвтоВАЗ" с поперечиной в сборе для ВАЗ 2108, 2109, 2113, 2114</t>
  </si>
  <si>
    <t>21080560108010</t>
  </si>
  <si>
    <t>https://motorring.ru/product/749-panely-zadka-poperechinoy-sbore-kataforeznym-pokrytiem-dlya</t>
  </si>
  <si>
    <t>Панель задка в сборе (из 3-х частей) для ВАЗ 2112</t>
  </si>
  <si>
    <t>21120560108063</t>
  </si>
  <si>
    <t>https://motorring.ru/product/35274-panely-zadka-sbore-dlya-vaz-2112</t>
  </si>
  <si>
    <t>Панель задка с поперечиной (катафорез) "АвтоВАЗ" в сборе для Лада Калина седан, Гранта седан</t>
  </si>
  <si>
    <t>11180560108070</t>
  </si>
  <si>
    <t>https://motorring.ru/product/38286-panely-zadka-sbore-dlya-lada-kalina-sedan-granta-sedan</t>
  </si>
  <si>
    <t>Панель задка с поперечиной (катафорез) "АвтоВАЗ" в сборе для Лада Калина хэтчбек</t>
  </si>
  <si>
    <t>11190560108070</t>
  </si>
  <si>
    <t>https://motorring.ru/product/2474-panely-zadka-poperechinoy-sbore-kataforeznoe-pokrytie-lada</t>
  </si>
  <si>
    <t>Панель задка угловая (катафорез) "АвтоВАЗ" левая для Лада Нива 4x4</t>
  </si>
  <si>
    <t>21213560101310</t>
  </si>
  <si>
    <t>https://motorring.ru/product/1529-panely-zadka-uglovaya-levaya-kataforeznoe-pokrytie-lada-4h4</t>
  </si>
  <si>
    <t>Панель задка угловая (катафорез) "АвтоВАЗ" правая для Лада Нива 4x4</t>
  </si>
  <si>
    <t>21213560101210</t>
  </si>
  <si>
    <t>https://motorring.ru/product/2621-panely-zadka-uglovaya-pravaya-kataforeznoe-pokrytie-lada</t>
  </si>
  <si>
    <t>Панель задка угловая внутренняя "АвтоВАЗ" левая для Лада Гранта лифтбек</t>
  </si>
  <si>
    <t>21910560135100</t>
  </si>
  <si>
    <t>Панель задка угловая внутренняя "АвтоВАЗ" правая для Лада Гранта, Гранта FL</t>
  </si>
  <si>
    <t>21910560135000</t>
  </si>
  <si>
    <t>Панель заднего пола "Renault" передняя, в сборе для Лада Ларгус</t>
  </si>
  <si>
    <t>6001548778</t>
  </si>
  <si>
    <t>https://motorring.ru/product/33621-perednyaya-panely-zadnego-pola-renault-dlya-lada-largus</t>
  </si>
  <si>
    <t>Панель задней стойки внутренняя (уголок) "АвтоВАЗ" левая для ВАЗ 2112</t>
  </si>
  <si>
    <t>21120540142700</t>
  </si>
  <si>
    <t>Панель задней форточки внутренняя "АвтоВАЗ" левая для ВАЗ 2110</t>
  </si>
  <si>
    <t>21100540142700</t>
  </si>
  <si>
    <t>https://motorring.ru/product/3225-panely-zadney-fortochki-vnutrennyaya-levaya-vaz-2110</t>
  </si>
  <si>
    <t>Панель задней форточки внутренняя "АвтоВАЗ" правая для ВАЗ 2110</t>
  </si>
  <si>
    <t>21100540142600</t>
  </si>
  <si>
    <t>https://motorring.ru/product/6253-panely-zadney-fortochki-vnutrennyaya-pravaya-vaz-2110</t>
  </si>
  <si>
    <t>Панель крыши "АвтоВАЗ" (катафорез) для Лада Веста SW, SW Cross универсал</t>
  </si>
  <si>
    <t>8450102333</t>
  </si>
  <si>
    <t>Панель крыши "АвтоВАЗ" (катафорез) для Лада Веста, Веста Cross седан</t>
  </si>
  <si>
    <t>8450039244</t>
  </si>
  <si>
    <t>Панель крыши "АвтоВАЗ" (катафорез) для Лада Калина, Гранта</t>
  </si>
  <si>
    <t>11180570101270</t>
  </si>
  <si>
    <t>00041864</t>
  </si>
  <si>
    <t>Панель крыши "АвтоВАЗ" (катафорез) для Лада Приора седан</t>
  </si>
  <si>
    <t>21700570101210</t>
  </si>
  <si>
    <t>00042333</t>
  </si>
  <si>
    <t>Панель крыши "АвтоВАЗ" (катафорез) для Шевроле Нива</t>
  </si>
  <si>
    <t>21230570101270</t>
  </si>
  <si>
    <t>00042346</t>
  </si>
  <si>
    <t>Панель крыши "АвтоВАЗ" для Лада XRAY</t>
  </si>
  <si>
    <t>731127608R</t>
  </si>
  <si>
    <t>Панель крыши "АвтоВАЗ" для Лада Ларгус</t>
  </si>
  <si>
    <t>731120101R</t>
  </si>
  <si>
    <t>00010137</t>
  </si>
  <si>
    <t>Панель крыши "АвтоВАЗ" для Лада Надежда</t>
  </si>
  <si>
    <t>21200570101200</t>
  </si>
  <si>
    <t>00026597</t>
  </si>
  <si>
    <t>Панель крыши "АвтоВАЗ" передняя (катафорез) для Лада Нива 4х4 (ВАЗ 2131)</t>
  </si>
  <si>
    <t>8450108875</t>
  </si>
  <si>
    <t>00055678</t>
  </si>
  <si>
    <t>Панель крыши "АвтоВАЗ" с отверстиями под рейлинги (катафорезное покрытие) для Лада Калина универсал</t>
  </si>
  <si>
    <t>11170570101275</t>
  </si>
  <si>
    <t>Панель крыши "АвтоВАЗ" средняя для Лада Нива 4x4 (5-ти дверная)</t>
  </si>
  <si>
    <t>8450108876</t>
  </si>
  <si>
    <t>Панель крыши (катафорез) "АвтоВАЗ" для ВАЗ 2108, 2109, 2113, 2114</t>
  </si>
  <si>
    <t>21080570101210</t>
  </si>
  <si>
    <t>Панель крыши (катафорез) "АвтоВАЗ" для ВАЗ 21099, 2115</t>
  </si>
  <si>
    <t>21099570101210</t>
  </si>
  <si>
    <t>Панель крыши (катафорез) "АвтоВАЗ" для ВАЗ 2110</t>
  </si>
  <si>
    <t>21100570101220</t>
  </si>
  <si>
    <t>Панель крыши (катафорез) "АвтоВАЗ" для ВАЗ 2111</t>
  </si>
  <si>
    <t>21110570101200</t>
  </si>
  <si>
    <t>Панель крыши (катафорез) "АвтоВАЗ" для ВАЗ 2112</t>
  </si>
  <si>
    <t>21120570101010</t>
  </si>
  <si>
    <t>Панель крыши (катафорез) "АвтоВАЗ" для Лада Калина хэтчбек</t>
  </si>
  <si>
    <t>11190570101270</t>
  </si>
  <si>
    <t>Панель крыши (катафорез) "АвтоВАЗ" для Лада Нива 4x4</t>
  </si>
  <si>
    <t>21210570101210</t>
  </si>
  <si>
    <t>Панель крыши (катафорез) "АвтоВАЗ" для Лада Приора, Приора 2 хэтчбек</t>
  </si>
  <si>
    <t>21720570101210</t>
  </si>
  <si>
    <t>Панель крыши (катафорез) "АвтоВАЗ" с отверстиями под рейлинг (нового образца) для Шевроле Нива</t>
  </si>
  <si>
    <t>21230570101277</t>
  </si>
  <si>
    <t>Панель облицовки рамки радиатора ("очки", катафорез) "АвтоВАЗ" для Лада Нива 4x4</t>
  </si>
  <si>
    <t>21213840112040</t>
  </si>
  <si>
    <t>Панель передка боковая "АвтоВАЗ" внутренняя левая (катафорез) для Лада Нива Travel, Шевроле Нива</t>
  </si>
  <si>
    <t>21230530132170</t>
  </si>
  <si>
    <t>00055596</t>
  </si>
  <si>
    <t>Панель передней стойки боковины "АвтоВАЗ" внутренняя правая для Лада Нива 4x4</t>
  </si>
  <si>
    <t>8450109172</t>
  </si>
  <si>
    <t>00053975</t>
  </si>
  <si>
    <t>Панель пола "АвтоВАЗ центральная (правая) для Лада XRAY</t>
  </si>
  <si>
    <t>743205653</t>
  </si>
  <si>
    <t>Панель пола "АвтоВАЗ" (задняя, левая) для ВАЗ 2110, Лада Приора седан</t>
  </si>
  <si>
    <t>21100510104110</t>
  </si>
  <si>
    <t>Панель пола "АвтоВАЗ" (задняя, правая) для ВАЗ 2110, Лада Приора седан</t>
  </si>
  <si>
    <t>21100510104010</t>
  </si>
  <si>
    <t>Панель пола "АвтоВАЗ" багажника, правая (катафорез) для ВАЗ 2112, Лада Приора</t>
  </si>
  <si>
    <t>21120510104010</t>
  </si>
  <si>
    <t>00043746</t>
  </si>
  <si>
    <t>Панель пола "АвтоВАЗ" задняя в сборе для Лада Веста NG седан</t>
  </si>
  <si>
    <t>8450013777</t>
  </si>
  <si>
    <t>00055818</t>
  </si>
  <si>
    <t>Панель пола "АвтоВАЗ" задняя в сборе для Лада Веста NG универсал, Веста NG Cross универсал</t>
  </si>
  <si>
    <t>8450013781</t>
  </si>
  <si>
    <t>00055703</t>
  </si>
  <si>
    <t>Панель пола "АвтоВАЗ" задняя, левая (катафорез) для ВАЗ 2112, Лада Приора хэтчбек</t>
  </si>
  <si>
    <t>21120510104110</t>
  </si>
  <si>
    <t>Панель пола "АвтоВАЗ" задняя, левая для ВАЗ 2112, Лада Приора хэтчбек</t>
  </si>
  <si>
    <t>Панель пола "АвтоВАЗ" передняя (катафорез) для Лада Нива 4x4, Нива 4x4 Урбан</t>
  </si>
  <si>
    <t>21210510102420</t>
  </si>
  <si>
    <t>00042321</t>
  </si>
  <si>
    <t>https://motorring.ru/product/13921-panely-pola-perednyaya-kataforeznym-pokrytiem-lada-4x4</t>
  </si>
  <si>
    <t>Панель пола "Экрис" передняя правая для ВАЗ 2110-2112</t>
  </si>
  <si>
    <t>21100510103063</t>
  </si>
  <si>
    <t>Панель пола багажника "АвтоВАЗ" (катафорез) для Лада Нива 4x4, Нива 4x4 Урбан, Нива Legend</t>
  </si>
  <si>
    <t>21213510103410</t>
  </si>
  <si>
    <t>https://motorring.ru/product/216-panely-pola-zadnyaya-kataforeznoe-pokrytie-lada-niva-4h4</t>
  </si>
  <si>
    <t>Панель пола багажника (запаски) катафорезное покрытие "АвтоВАЗ" для ВАЗ 21099, 2115</t>
  </si>
  <si>
    <t>21099510104210</t>
  </si>
  <si>
    <t>https://motorring.ru/product/744-panely-pola-zadnyaya-kataforeznoe-pokrytie-dlya-vaz-21099</t>
  </si>
  <si>
    <t>Панель пола багажника (катафорез) "АвтоВАЗ" для Лада Гранта седан</t>
  </si>
  <si>
    <t>21900510104070</t>
  </si>
  <si>
    <t>Панель пола багажника (катафорез) "АвтоВАЗ" для Лада Калина седан, универсал, Калина 2 универсал</t>
  </si>
  <si>
    <t>11180510104070</t>
  </si>
  <si>
    <t>https://motorring.ru/product/18188-panely-pola-zadnyaya-sbore-kataforeznoe-pokrytie-lada</t>
  </si>
  <si>
    <t>Панель пола багажника (катафорез) "АвтоВАЗ" для Лада Калина, Калина 2 хэтчбек</t>
  </si>
  <si>
    <t>11190510104070</t>
  </si>
  <si>
    <t>https://motorring.ru/product/16517-panely-pola-bagaghnika-kataforeznoe-pokrytie-lada-kalina</t>
  </si>
  <si>
    <t>Панель пола задняя (катафорез) "АвтоВАЗ" для ВАЗ 2108, 2109, 2113, 2114</t>
  </si>
  <si>
    <t>21080510104210</t>
  </si>
  <si>
    <t>https://motorring.ru/product/35799-panely-pola-zadnyaya-kataforeznoe-pokrytie-vaz-2108</t>
  </si>
  <si>
    <t>Панель пола задняя в сборе (катафорез) "АвтоВАЗ" для Лада Веста</t>
  </si>
  <si>
    <t>8450039308</t>
  </si>
  <si>
    <t>https://motorring.ru/product/33496-panely-pola-zadnaya-v-sbore-dlya-lada-vesta</t>
  </si>
  <si>
    <t>Панель пола кузова "АвтоВАЗ" передняя (с катафорезным покрытием) для ВАЗ 2110-2112, Лада Приора</t>
  </si>
  <si>
    <t>21100510102420</t>
  </si>
  <si>
    <t>https://motorring.ru/product/35287-panely-pola-perednyaya-kataforeznym-pokrytiem-vaz-2110</t>
  </si>
  <si>
    <t>Панель пола передняя "АвтоВАЗ" для Шевроле Нива</t>
  </si>
  <si>
    <t>21230510102070</t>
  </si>
  <si>
    <t>https://motorring.ru/product/37043-panely-pola-perednyaya-sbore-dlya-shevrole-niva</t>
  </si>
  <si>
    <t>Панель пола передняя левая в сборе (катафорез) "АвтоВАЗ" для Лада Веста</t>
  </si>
  <si>
    <t>8450039290</t>
  </si>
  <si>
    <t>Панель пола передняя правая в сборе (катафорез) "АвтоВАЗ" для Лада Веста</t>
  </si>
  <si>
    <t>8450039291</t>
  </si>
  <si>
    <t>Панель пола средняя "АвтоВАЗ" в сборе для Шевроле Нива</t>
  </si>
  <si>
    <t>21230510103200</t>
  </si>
  <si>
    <t>https://motorring.ru/product/6524</t>
  </si>
  <si>
    <t>Панель пола средняя "АвтоВАЗ" для Шевроле Нива</t>
  </si>
  <si>
    <t>21230510103400</t>
  </si>
  <si>
    <t>Панель пола средняя (катафорез) "АвтоВАЗ" для ВАЗ 2108, 2109, 2113, 2114</t>
  </si>
  <si>
    <t>21080510103410</t>
  </si>
  <si>
    <t>Панель пола средняя в сборе "АвтоВАЗ" для Лада Калина 2, Гранта, Гранта FL</t>
  </si>
  <si>
    <t>11180510103299</t>
  </si>
  <si>
    <t>https://motorring.ru/product/32722-panely-pola-srednyaya-sbore-kalina</t>
  </si>
  <si>
    <t>Панель пола средняя в сборе (катафорез) "АвтоВАЗ" для Лада Веста</t>
  </si>
  <si>
    <t>8450039299</t>
  </si>
  <si>
    <t>Панель рамки радиатора "АвтоВАЗ" правая в сборе для Лада Веста NG Седан</t>
  </si>
  <si>
    <t>8450013780</t>
  </si>
  <si>
    <t>00055674</t>
  </si>
  <si>
    <t>Панель рамки радиатора "АвтоВАЗ" с катафорезным покрытием в сборе для ВАЗ 2108-21099, 2113-2115</t>
  </si>
  <si>
    <t>21080840105230</t>
  </si>
  <si>
    <t>https://motorring.ru/product/4577-panely-ramki-radiatora-sbore-kataforeznoe-pokrytie-2108</t>
  </si>
  <si>
    <t>Панель рамки радиатора (катафорез) "АвтоВАЗ" голая для ВАЗ 2108-21099, 2113-2115</t>
  </si>
  <si>
    <t>21080840105410</t>
  </si>
  <si>
    <t>Панель рамки радиатора в сборе (катафорезное покрытие) Лада Калина</t>
  </si>
  <si>
    <t>11180840105270</t>
  </si>
  <si>
    <t>Панель рамки радиатора левая в сборе (катафорез) "АвтоВАЗ" для Лада Веста</t>
  </si>
  <si>
    <t>8450039307</t>
  </si>
  <si>
    <t>https://motorring.ru/product/36834-levaya-panely-ramki-radiatora-dlya-lada-vesta</t>
  </si>
  <si>
    <t>Панель рамки радиатора правая в сборе (катафорез) "АвтоВАЗ" для Лада Веста</t>
  </si>
  <si>
    <t>8450039306</t>
  </si>
  <si>
    <t>https://motorring.ru/product/36835-pravaya-panely-ramki-radiatora-dlya-lada-vesta</t>
  </si>
  <si>
    <t>Панель рамы ветрового окна "АвтоВАЗ" нижняя для Лада XRAY</t>
  </si>
  <si>
    <t>674123489R</t>
  </si>
  <si>
    <t>https://motorring.ru/product/36812-panely-ramy-vetrovogo-okna-nighnyaya-dlya-lada-iks-rey</t>
  </si>
  <si>
    <t>Панель рамы ветрового окна нижняя "АвтоВАЗ" для Шевроле Нива</t>
  </si>
  <si>
    <t>21230520102000</t>
  </si>
  <si>
    <t>https://motorring.ru/product/6541-panely-ramki-vetrovogo-okna-nighnyaya-dlya-shevrole-niva</t>
  </si>
  <si>
    <t>Панель рамы ветрового окна нижняя в сборе (катафорез) "АвтоВАЗ" для Лада Веста</t>
  </si>
  <si>
    <t>8450039274</t>
  </si>
  <si>
    <t>Панель стойки проёма ветрового стекла внутренняя "Renault" левая для Лада Ларгус</t>
  </si>
  <si>
    <t>6001546768</t>
  </si>
  <si>
    <t>Панель стойки проёма ветрового стекла внутренняя "Renault" правая для Лада Ларгус</t>
  </si>
  <si>
    <t>6001546769</t>
  </si>
  <si>
    <t>Панель центральная заднего пола (ниша запасного колеса) "АвтоВАЗ" для Лада XRAY</t>
  </si>
  <si>
    <t>745141235R</t>
  </si>
  <si>
    <t>https://motorring.ru/product/36810-pol-zapasnogo-kolesa-tazik-dlya-lada-iks-rey-iks-rey-kross</t>
  </si>
  <si>
    <t>Передний левый брызговик крыла "АвтоВАЗ" катафорезное покрытие для ВАЗ 2110-2112, Лада Приора седан</t>
  </si>
  <si>
    <t>21100840326510</t>
  </si>
  <si>
    <t>https://motorring.ru/product/25103-bryzgovik-kryla-perednego-levogo-kataforez-2110</t>
  </si>
  <si>
    <t>Передний правый брызговик крыла "АвтоВАЗ" катафорезное покрытие для ВАЗ 2110-2112, Лада Приора седан</t>
  </si>
  <si>
    <t>21100840326010</t>
  </si>
  <si>
    <t>Петля двери верхняя / нижняя для ВАЗ 2101-07 (2 шт)</t>
  </si>
  <si>
    <t>210505401180, 210505401181</t>
  </si>
  <si>
    <t>21055401180, 21055401181</t>
  </si>
  <si>
    <t>Петля двери задка "ДААЗ" (левая) для ВАЗ 2111</t>
  </si>
  <si>
    <t>21110630601101</t>
  </si>
  <si>
    <t>https://motorring.ru/product/1254</t>
  </si>
  <si>
    <t>Петля двери задка "ДААЗ" (правая) для ВАЗ 2111</t>
  </si>
  <si>
    <t>21110630601001</t>
  </si>
  <si>
    <t>https://motorring.ru/product/1259</t>
  </si>
  <si>
    <t>Петля задней двери "АвтоВАЗ" верхняя левая для Шевроле Нива</t>
  </si>
  <si>
    <t>21230620600910</t>
  </si>
  <si>
    <t>https://motorring.ru/product/37055-petlya-zadney-dveri-verhnyaya-levaya-shevrole-niva</t>
  </si>
  <si>
    <t>Петля задней двери "АвтоВАЗ" верхняя правая для Шевроле Нива</t>
  </si>
  <si>
    <t>21230620600810</t>
  </si>
  <si>
    <t>https://motorring.ru/product/8796</t>
  </si>
  <si>
    <t>Петля капота "Renault" левая для Лада Ларгус</t>
  </si>
  <si>
    <t>6001546875</t>
  </si>
  <si>
    <t>Петля капота "АвтоВАЗ" для ВАЗ 2105, 2107</t>
  </si>
  <si>
    <t>21050840701000</t>
  </si>
  <si>
    <t>https://motorring.ru/product/37063-petlya-kapota-dlya-vaz-2104-2105</t>
  </si>
  <si>
    <t>Петля капота "АвтоВАЗ" для Лада Нива 4x4</t>
  </si>
  <si>
    <t>21210840701001</t>
  </si>
  <si>
    <t>https://motorring.ru/product/359-petlya-kapota-dlya-lada-niva-4h4</t>
  </si>
  <si>
    <t>Петля капота "АвтоВАЗ" левая для Шевроле Нива</t>
  </si>
  <si>
    <t>21230840701100</t>
  </si>
  <si>
    <t>Петля капота "АвтоВАЗ" правая для Шевроле Нива</t>
  </si>
  <si>
    <t>21230840701000</t>
  </si>
  <si>
    <t>00029932</t>
  </si>
  <si>
    <t>https://motorring.ru/product/16787-petlya-kapota-pravaya-dlya-shevrole-niva</t>
  </si>
  <si>
    <t>Петля капота "ТЗТО" левая для Лада (Калина 2, Гранта), Датсун (mi-DO, on-DO)</t>
  </si>
  <si>
    <t>21900840701101</t>
  </si>
  <si>
    <t>https://motorring.ru/product/16976-petlya-kapota-levaya-tzto-lada-granta-kalina</t>
  </si>
  <si>
    <t>Петля капота "ТЗТО" правая для Лада (Калина 2, Гранта), Датсун (mi-DO, on-DO)</t>
  </si>
  <si>
    <t>21900840701001</t>
  </si>
  <si>
    <t>https://motorring.ru/product/16975-petlya-kapota-pravaya-tzto-lada-granta-kalina</t>
  </si>
  <si>
    <t>Петля капота левая в сборе "АвтоВАЗ" для Лада Веста</t>
  </si>
  <si>
    <t>8450008287</t>
  </si>
  <si>
    <t>https://motorring.ru/product/18992-petlya-kapota-levaya-lada-vesta</t>
  </si>
  <si>
    <t>Петля капота левая для Лада Калина</t>
  </si>
  <si>
    <t>11180840701100</t>
  </si>
  <si>
    <t>https://motorring.ru/product/11425-petlya-kapota-11180-8407011-00-levaya-dlya-lada-kalina</t>
  </si>
  <si>
    <t>Петля капота левая для Лада Приора</t>
  </si>
  <si>
    <t>21700840701100</t>
  </si>
  <si>
    <t>https://motorring.ru/product/18043-petlya-kapota-levaya-lada-priora</t>
  </si>
  <si>
    <t>Петля капота правая в сборе "АвтоВАЗ" для Лада Веста</t>
  </si>
  <si>
    <t>8450008286</t>
  </si>
  <si>
    <t>https://motorring.ru/product/18993-petlya-kapota-pravaya-lada-vesta</t>
  </si>
  <si>
    <t>Петля капота правая для Лада Калина</t>
  </si>
  <si>
    <t>11180840701000</t>
  </si>
  <si>
    <t>https://motorring.ru/product/11426-petlya-kapota-11180-8407010-00-pravaya-dlya-lada-kalina</t>
  </si>
  <si>
    <t>Петля капота правая для Лада Приора</t>
  </si>
  <si>
    <t>21700840701000</t>
  </si>
  <si>
    <t>Площадка аккумуляторной батареи "АвтоВАЗ" для Лада Калина</t>
  </si>
  <si>
    <t>11180840340000</t>
  </si>
  <si>
    <t>Площадка аккумуляторной батареи (катафорез) "АвтоВАЗ" для ВАЗ 2108-21099</t>
  </si>
  <si>
    <t>21080840340020</t>
  </si>
  <si>
    <t>https://motorring.ru/product/33239-ploschadka-akkumulyatornoy-batarei-sbore-vaz-2108</t>
  </si>
  <si>
    <t>Подрамник "АвтоВАЗ" передней подвески в сборе для Лада Ларгус</t>
  </si>
  <si>
    <t>8450091739</t>
  </si>
  <si>
    <t>00054621</t>
  </si>
  <si>
    <t>Подрамник "АвтоВАЗ" передней подвески в сборе для Лада Ларгус FL</t>
  </si>
  <si>
    <t>8450091790</t>
  </si>
  <si>
    <t>00055848</t>
  </si>
  <si>
    <t>Подрамник передней подвески "АвтоВАЗ" в сборе (окрашенный) для Лада XRAY (с двигателем H4M)</t>
  </si>
  <si>
    <t>8450022712</t>
  </si>
  <si>
    <t>Подрамник передней подвески "АвтоВАЗ" для Лада Ларгус (с двигателем K4M, K7M)</t>
  </si>
  <si>
    <t>544010828R</t>
  </si>
  <si>
    <t>https://motorring.ru/product/15202</t>
  </si>
  <si>
    <t>Подрамник передней подвески в сборе "АвтоВАЗ" для Лада Веста</t>
  </si>
  <si>
    <t>8450006637</t>
  </si>
  <si>
    <t>Подрамник передней подвески в сборе "АвтоВАЗ" для Лада Веста SW Cross универсал</t>
  </si>
  <si>
    <t>8450031650</t>
  </si>
  <si>
    <t>Пол голый задний левый ВАЗ 2101-2107</t>
  </si>
  <si>
    <t>21010510104363</t>
  </si>
  <si>
    <t>https://motorring.ru/product/16869-remontnaya-chasty-pola-zadnyaya-levaya-vaz-2101-2106</t>
  </si>
  <si>
    <t>Пол голый задний правый для ВАЗ 2101-2107</t>
  </si>
  <si>
    <t>21010510104263</t>
  </si>
  <si>
    <t>https://motorring.ru/product/16868-remontnaya-chasty-pola-zadnyaya-pravaya-vaz-2101-2106</t>
  </si>
  <si>
    <t>Пол кузова "АвтоВАЗ" для ВАЗ 2108-21099, 2113-2115</t>
  </si>
  <si>
    <t>21080510102410</t>
  </si>
  <si>
    <t>https://motorring.ru/product/2892-panely-pola-perednyaya-kataforeznoe-pokrytie-vaz-2108-21099</t>
  </si>
  <si>
    <t>Пол передний "АвтоВАЗ" в сборе для Лада Веста NG седан</t>
  </si>
  <si>
    <t>8450013962</t>
  </si>
  <si>
    <t>00055712</t>
  </si>
  <si>
    <t>Пол передний "АвтоВАЗ" левый в сборе для ВАЗ 2101-2107</t>
  </si>
  <si>
    <t>210105101035</t>
  </si>
  <si>
    <t>Пол передний в сборе "АвтоВАЗ" для Лада Калина</t>
  </si>
  <si>
    <t>11180510001499</t>
  </si>
  <si>
    <t>Пол передний в сборе (катафорез) "АвтоВАЗ" для Лада Калина</t>
  </si>
  <si>
    <t>11180510001470</t>
  </si>
  <si>
    <t>https://motorring.ru/product/16634-pol-peredniy-sbore-lada-kalina</t>
  </si>
  <si>
    <t>Пол передний левый голый ВАЗ 2101-2106</t>
  </si>
  <si>
    <t>21010510103163</t>
  </si>
  <si>
    <t>https://motorring.ru/product/955-pol-peredniy-levyy-golyy-vaz-2101-2106</t>
  </si>
  <si>
    <t>Пол передний правый голый ВАЗ 2101-2106</t>
  </si>
  <si>
    <t>21010510103263</t>
  </si>
  <si>
    <t>https://motorring.ru/product/959-pol-peredniy-pravyy-golyy-vaz-2101-2106</t>
  </si>
  <si>
    <t>Полка задка в сборе "АвтоВАЗ" для Лада Гранта, Гранта FL седан</t>
  </si>
  <si>
    <t>21900560126400</t>
  </si>
  <si>
    <t>Поперечина "Renault" S.A.S задняя (под третий ряд сидений) для Лада Ларгус</t>
  </si>
  <si>
    <t>6001548782</t>
  </si>
  <si>
    <t>Поперечина "АвтоВАЗ" рамки радиатора нижняя в сборе для Лада Веста</t>
  </si>
  <si>
    <t>8450008128</t>
  </si>
  <si>
    <t>https://motorring.ru/product/18989-poperechina-ramki-radiatora-nighnyaya-lada-vesta</t>
  </si>
  <si>
    <t>Поперечина (лопух) рамки заднего окна "АвтоВАЗ" для ВАЗ 2110</t>
  </si>
  <si>
    <t>21100560125000</t>
  </si>
  <si>
    <t>Поперечина (лопух) рамки заднего окна (катафорез) "АвтоВАЗ" для ВАЗ 2110</t>
  </si>
  <si>
    <t>21100560125010</t>
  </si>
  <si>
    <t>https://motorring.ru/product/771-poperechina-ramki-zadnego-okna-lopuh-kataforeznoe-pokrytie</t>
  </si>
  <si>
    <t>Поперечина ветрового окна "АвтоВАЗ" нижняя в сборе для Лада Ларгус</t>
  </si>
  <si>
    <t>8450013062</t>
  </si>
  <si>
    <t>00055693</t>
  </si>
  <si>
    <t>Поперечина задка "АвтоВАЗ" в сборе для Лада Веста SW, SW Cross</t>
  </si>
  <si>
    <t>8450102342</t>
  </si>
  <si>
    <t>00054140</t>
  </si>
  <si>
    <t>https://motorring.ru/product/38292-usilitely-paneli-zadka-dlya-lada-vesta-vesta-cross</t>
  </si>
  <si>
    <t>Поперечина заднего лонжерона "Renault" S.A.S боковая (левая) для Лада Ларгус</t>
  </si>
  <si>
    <t>6001548785</t>
  </si>
  <si>
    <t>Поперечина заднего лонжерона "АвтоВАЗ" боковая (правая) для Лада Ларгус</t>
  </si>
  <si>
    <t>6001548786</t>
  </si>
  <si>
    <t>Поперечина крайняя "Renault" для Лада Ларгус</t>
  </si>
  <si>
    <t>6001548812</t>
  </si>
  <si>
    <t>Поперечина крыши "АвтоВАЗ центральная для Лада XRAY</t>
  </si>
  <si>
    <t>732562484</t>
  </si>
  <si>
    <t>Поперечина крыши "АвтоВАЗ" задняя для ВАЗ 2112</t>
  </si>
  <si>
    <t>21120570112400</t>
  </si>
  <si>
    <t>Поперечина крыши "АвтоВАЗ" задняя для Лада XRAY</t>
  </si>
  <si>
    <t>732330458R</t>
  </si>
  <si>
    <t>Поперечина крыши "АвтоВАЗ" задняя для Лада Калина хэтчбек</t>
  </si>
  <si>
    <t>11190570112000</t>
  </si>
  <si>
    <t>https://motorring.ru/product/332</t>
  </si>
  <si>
    <t>Поперечина крыши "АвтоВАЗ" задняя для Лада Калина, Гранта седан</t>
  </si>
  <si>
    <t>11180570112499</t>
  </si>
  <si>
    <t>Поперечина крыши (балка) "АвтоВАЗ" (катафорезное покрытие) для Лада Калина, Калина 2, Гранта FL универсал</t>
  </si>
  <si>
    <t>11170570112070</t>
  </si>
  <si>
    <t>https://motorring.ru/product/32691-poperechina-balka-kryshi-zadnyaya-sbore-kalina-universal</t>
  </si>
  <si>
    <t>Поперечина крыши (катафорез) "АвтоВАЗ" для Лада Веста</t>
  </si>
  <si>
    <t>8450039448</t>
  </si>
  <si>
    <t>Поперечина крыши задняя "Renault" для Лада Ларгус</t>
  </si>
  <si>
    <t>6001548810</t>
  </si>
  <si>
    <t>Поперечина крыши задняя "АвтоВАЗ" для ВАЗ 2108, 2109, 2113, 2114</t>
  </si>
  <si>
    <t>21080570112000</t>
  </si>
  <si>
    <t>Поперечина крыши задняя "АвтоВАЗ" для Лада Веста SW универсал</t>
  </si>
  <si>
    <t>8450102323</t>
  </si>
  <si>
    <t>Поперечина крыши средняя "Renault" для Лада Ларгус</t>
  </si>
  <si>
    <t>6001548809</t>
  </si>
  <si>
    <t>https://motorring.ru/product/15208</t>
  </si>
  <si>
    <t>Поперечина панели задка "АвтоВАЗ" (верхняя, катафорезное покрытие) для ВАЗ 2110-2112</t>
  </si>
  <si>
    <t>21120560108610</t>
  </si>
  <si>
    <t>https://motorring.ru/product/18147-poperechina-paneli-zadka-verhnyaya-kataforeznoe-pokrytie</t>
  </si>
  <si>
    <t>Поперечина панели задка (катафорез) "АвтоВАЗ" для Шевроле Нива</t>
  </si>
  <si>
    <t>21230560108670</t>
  </si>
  <si>
    <t>https://motorring.ru/product/38272</t>
  </si>
  <si>
    <t>Поперечина панели задка верхняя (катафорез) "АвтоВАЗ" для Лада Приора, Приора 2 хэтчбек</t>
  </si>
  <si>
    <t>21720560108610</t>
  </si>
  <si>
    <t>https://motorring.ru/product/38259-verhnyaya-chasty-paneli-zadka-dlya-lada-priora-hetchbek</t>
  </si>
  <si>
    <t>Поперечина панели приборов "АвтоВАЗ" с кронштейном в сборе для Лада Калина</t>
  </si>
  <si>
    <t>11180532507910</t>
  </si>
  <si>
    <t>Поперечина панели приборов "АвтоВАЗ" с усилителями в сборе для Шевроле Нива</t>
  </si>
  <si>
    <t>21230532507900</t>
  </si>
  <si>
    <t>Поперечина пола "Renault" S.A.S центральная (задняя) для Лада Ларгус</t>
  </si>
  <si>
    <t>6001548781</t>
  </si>
  <si>
    <t>Поперечина пола "АвтоВАЗ центральная для Лада XRAY</t>
  </si>
  <si>
    <t>756507965</t>
  </si>
  <si>
    <t>Поперечина пола "АвтоВАЗ" (передняя, катафорезное покрытие) для ВАЗ 2110-2112</t>
  </si>
  <si>
    <t>21100510108010</t>
  </si>
  <si>
    <t>Поперечина пола "АвтоВАЗ" в сборе (катафорез) для Лада Нива Travel, Шевроле Нива</t>
  </si>
  <si>
    <t>21230510117070</t>
  </si>
  <si>
    <t>00054631</t>
  </si>
  <si>
    <t>https://motorring.ru/product/6525-poperechina-pola-pod-sidenyem-zadnim-sbore-shevrole-niva</t>
  </si>
  <si>
    <t>Поперечина пола "АвтоВАЗ" голая для ВАЗ 2110-2112</t>
  </si>
  <si>
    <t>211005101084</t>
  </si>
  <si>
    <t>21105101084</t>
  </si>
  <si>
    <t>Поперечина пола "АвтоВАЗ" задняя (катафорез) для ВАЗ 2110-2112, Лада Приора</t>
  </si>
  <si>
    <t>21100510127620</t>
  </si>
  <si>
    <t>00053836</t>
  </si>
  <si>
    <t>Поперечина пола "АвтоВАЗ" задняя в сборе для Лада Нива 4x4, Нива Legend</t>
  </si>
  <si>
    <t>21214510127220</t>
  </si>
  <si>
    <t>00055728</t>
  </si>
  <si>
    <t>Поперечина пола "АвтоВАЗ" задняя для ВАЗ 21099, 2115</t>
  </si>
  <si>
    <t>21099510127610</t>
  </si>
  <si>
    <t>00053835</t>
  </si>
  <si>
    <t>https://motorring.ru/product/38248-zadnyaya-poperechina-pola-dlya-vaz-21099-2115</t>
  </si>
  <si>
    <t>Поперечина пола "АвтоВАЗ" левая в сборе (катафорез) для Лада Калина</t>
  </si>
  <si>
    <t>11180510162170</t>
  </si>
  <si>
    <t>https://motorring.ru/product/18161-poperechina-pola-levaya-sbore-kataforeznoe-pokrytie-lada</t>
  </si>
  <si>
    <t>Поперечина пола "АвтоВАЗ" левая в сборе для Лада Калина, Калина 2, Гранта, Гранта FL</t>
  </si>
  <si>
    <t>11180510162100</t>
  </si>
  <si>
    <t>Поперечина пола "АвтоВАЗ" левая для ВАЗ 2108-21099, 2113-2115</t>
  </si>
  <si>
    <t>21080510108300</t>
  </si>
  <si>
    <t>https://motorring.ru/product/727-poperechina-pola-levaya-vaz-2108-21099-2113-2115</t>
  </si>
  <si>
    <t>Поперечина пола "АвтоВАЗ" передняя левая, в сборе для Лада XRAY</t>
  </si>
  <si>
    <t>8450106754</t>
  </si>
  <si>
    <t>Поперечина пола "АвтоВАЗ" правая в сборе для Лада Калина, Калина 2, Гранта, Гранта FL</t>
  </si>
  <si>
    <t>11180510162000</t>
  </si>
  <si>
    <t>Поперечина пола "АвтоВАЗ" правая для ВАЗ 2108-21099, 2113-2115</t>
  </si>
  <si>
    <t>21080510108200</t>
  </si>
  <si>
    <t>https://motorring.ru/product/725-poperechina-pola-pravaya-vaz-2108-21099-2113-2115</t>
  </si>
  <si>
    <t>Поперечина пола "АвтоВАЗ" правая для ВАЗ 2110-2112, Лада Приора</t>
  </si>
  <si>
    <t>211005101082</t>
  </si>
  <si>
    <t>Поперечина пола "АвтоВАЗ" средняя в сборе (катафорез) для Лада Веста</t>
  </si>
  <si>
    <t>8450039282</t>
  </si>
  <si>
    <t>00055740</t>
  </si>
  <si>
    <t>Поперечина пола "АвтоВАЗ" средняя для Лада Калина</t>
  </si>
  <si>
    <t>11180510127200</t>
  </si>
  <si>
    <t>Поперечина пола (катафорез) "АвтоВАЗ" задняя в сборе для Лада Калина седан</t>
  </si>
  <si>
    <t>11180510127670</t>
  </si>
  <si>
    <t>https://motorring.ru/product/38000-usilitely-zadney-paneli-kataforez-lada-kalina-granta</t>
  </si>
  <si>
    <t>Поперечина пола (катафорез) "АвтоВАЗ" задняя для Лада Калина хэтчбек</t>
  </si>
  <si>
    <t>11190510127670</t>
  </si>
  <si>
    <t>https://motorring.ru/product/38288-usilitely-zadney-paneli-dlya-lada-kalina-hetchbek</t>
  </si>
  <si>
    <t>Поперечина пола (усилитель панели задка) "АвтоВАЗ" для Лада Нива 4x4</t>
  </si>
  <si>
    <t>21213560109610</t>
  </si>
  <si>
    <t>Поперечина пола (усилитель панели задка) (катафорез) "АвтоВАЗ" для Лада Нива 4x4</t>
  </si>
  <si>
    <t>21213560109620</t>
  </si>
  <si>
    <t>https://motorring.ru/product/6013-poperechina-pola-usilitely-paneli-zadka-kataforeznym</t>
  </si>
  <si>
    <t>Поперечина пола задняя (катафорез) "АвтоВАЗ" в сборе для Лада Нива 4x4</t>
  </si>
  <si>
    <t>21210510117020</t>
  </si>
  <si>
    <t>Поперечина пола задняя (катафорез) "АвтоВАЗ" в сборе для Шевроле Нива</t>
  </si>
  <si>
    <t>21230510127070</t>
  </si>
  <si>
    <t>https://motorring.ru/product/37046-poperechina-pola-roga-sbore-dlya-shevrole-niva</t>
  </si>
  <si>
    <t>Поперечина пола задняя (катафорез) "АвтоВАЗ" для Шевроле Нива</t>
  </si>
  <si>
    <t>21230510127270</t>
  </si>
  <si>
    <t>https://motorring.ru/product/38275-poperechina-pola-zadnyaya-soldatikom-dlya-shevrole-niva</t>
  </si>
  <si>
    <t>Поперечина пола задняя (под второй ряд сидений) "Renault" для Лада Ларгус</t>
  </si>
  <si>
    <t>6001548780</t>
  </si>
  <si>
    <t>Поперечина пола среднего "АвтоВАЗ" передняя для ВАЗ 2110-2112</t>
  </si>
  <si>
    <t>21100510119200</t>
  </si>
  <si>
    <t>Поперечина пола средняя "Renault" для Лада Ларгус</t>
  </si>
  <si>
    <t>6001546735</t>
  </si>
  <si>
    <t>https://motorring.ru/product/1113-poperechina-pola-srednyaya-dlya-lada-largus</t>
  </si>
  <si>
    <t>Поперечина полки задка (катафорез) "АвтоВАЗ" для Лада Гранта седан</t>
  </si>
  <si>
    <t>21900560125670</t>
  </si>
  <si>
    <t>Поперечина радиатора "АвтоВАЗ" нижняя в сборе для Лада Нива 4x4</t>
  </si>
  <si>
    <t>8450108927</t>
  </si>
  <si>
    <t>00056098</t>
  </si>
  <si>
    <t>Поперечина радиатора "АвтоВАЗ" нижняя в сборе для Лада Нива 4x4, Нива 4x4 Урбан</t>
  </si>
  <si>
    <t>8450108930</t>
  </si>
  <si>
    <t>00056071</t>
  </si>
  <si>
    <t>Поперечина рамки радиатора "АвтоВАЗ" верхняя в сборе для Лада Калина</t>
  </si>
  <si>
    <t>11180840106000</t>
  </si>
  <si>
    <t>https://motorring.ru/product/35727-poperechina-ramki-radiatora-verhnyaya-lada-kalina</t>
  </si>
  <si>
    <t>Поперечина рамки радиатора "АвтоВАЗ" верхняя в сборе для Лада Ларгус FL</t>
  </si>
  <si>
    <t>8450013862</t>
  </si>
  <si>
    <t>00055709</t>
  </si>
  <si>
    <t>Поперечина рамки радиатора "АвтоВАЗ" верхняя для ВАЗ 2104, 2105</t>
  </si>
  <si>
    <t>21050840106010</t>
  </si>
  <si>
    <t>Поперечина рамки радиатора "АвтоВАЗ" для ВАЗ 2108-21099</t>
  </si>
  <si>
    <t>21080840106210</t>
  </si>
  <si>
    <t>https://motorring.ru/product/33237-poperechina-ramki-radiatora-verhnyaya-2108</t>
  </si>
  <si>
    <t>Поперечина рамки радиатора "АвтоВАЗ" для ВАЗ 2110-2112</t>
  </si>
  <si>
    <t>21100840106010</t>
  </si>
  <si>
    <t>https://motorring.ru/product/33256-poperechina-ramki-radiatora-dlya-vaz-2110</t>
  </si>
  <si>
    <t>Поперечина рамки радиатора "АвтоВАЗ" нижняя (катафорез) для Лада Калина, Калина 2, Гранта</t>
  </si>
  <si>
    <t>11180840107670</t>
  </si>
  <si>
    <t>https://motorring.ru/product/18123-poperechina-ramki-radiatora-nighnyaya-kataforeznoe-pokrytie</t>
  </si>
  <si>
    <t>Поперечина рамки радиатора (катафорез) "АвтоВАЗ" верхняя в сборе для Лада Веста</t>
  </si>
  <si>
    <t>8450039238</t>
  </si>
  <si>
    <t>https://motorring.ru/product/18990-poperechina-ramki-radiatora-verhnyaya-lada-vesta</t>
  </si>
  <si>
    <t>Поперечина рамки радиатора (катафорез) "АвтоВАЗ" верхняя для ВАЗ 2108-21099, 2113-2115</t>
  </si>
  <si>
    <t>21080840106010</t>
  </si>
  <si>
    <t>https://motorring.ru/product/4576-poperechina-ramki-radiatora-verhnyaya-kataforeznoe-pokrytie</t>
  </si>
  <si>
    <t>Поперечина рамки радиатора (катафорез) "АвтоВАЗ" верхняя для Шевроле Нива</t>
  </si>
  <si>
    <t>21230840106070</t>
  </si>
  <si>
    <t>https://motorring.ru/product/38267-verhnyaya-planka-ramki-radiatora-dlya-shevrole-niva</t>
  </si>
  <si>
    <t>Поперечина рамки радиатора (катафорез) "АвтоВАЗ" нижняя для ВАЗ 2110-2112</t>
  </si>
  <si>
    <t>21100840107810</t>
  </si>
  <si>
    <t>Поперечина рамки радиатора (катафорез) "АвтоВАЗ" нижняя для Шевроле Нива</t>
  </si>
  <si>
    <t>21230840107670</t>
  </si>
  <si>
    <t>https://motorring.ru/product/1072-poperechina-nighnyaya-ramki-radiatora-kataforeznoe-pokrytie</t>
  </si>
  <si>
    <t>Поперечина рамы заднего окна "АвтоВАЗ" для ВАЗ 21099</t>
  </si>
  <si>
    <t>21099560125000</t>
  </si>
  <si>
    <t>Поперечина топливного бака "Renault" S.A.S под сиденье 3 ряда для Лада Ларгус</t>
  </si>
  <si>
    <t>6001548792</t>
  </si>
  <si>
    <t>Поперечина щитка "АвтоВАЗ" передка в сборе (катафорез) для Лада Веста, Веста Cross, Веста Спорт</t>
  </si>
  <si>
    <t>8450039328</t>
  </si>
  <si>
    <t>00055277</t>
  </si>
  <si>
    <t>Порог "АвтоВАЗ" (левый) для ВАЗ 2110-2112, Лада Приора</t>
  </si>
  <si>
    <t>21100540106100</t>
  </si>
  <si>
    <t>Порог "АвтоВАЗ" (правый) для ВАЗ 2110-2112, Лада Приора</t>
  </si>
  <si>
    <t>21100540106000</t>
  </si>
  <si>
    <t>Порог "ЭКРИС" правый для для Лада Нива 4х4</t>
  </si>
  <si>
    <t>21210540106063</t>
  </si>
  <si>
    <t>Порог левый (без арки) для ВАЗ 2108, 2113</t>
  </si>
  <si>
    <t>21080540106111</t>
  </si>
  <si>
    <t>Порог левый для ВАЗ 2121, 21213</t>
  </si>
  <si>
    <t>21210540106161</t>
  </si>
  <si>
    <t>Порог правый (без арки) для ВАЗ 2108</t>
  </si>
  <si>
    <t>21080540106011</t>
  </si>
  <si>
    <t>2108540106011</t>
  </si>
  <si>
    <t>Правый задний соединитель порога пола (Поддомкратник) ВАЗ 2108-21099, 2113-2115</t>
  </si>
  <si>
    <t>21080510205463</t>
  </si>
  <si>
    <t>https://motorring.ru/product/18732-soedinitely-poroga-pola-zadniy-pravyy-poddomkratnik-vaz</t>
  </si>
  <si>
    <t>Правый соединитель порога "АвтоВАЗ" для ВАЗ 2108-21099, 2113-2115</t>
  </si>
  <si>
    <t>21080510106600</t>
  </si>
  <si>
    <t>https://motorring.ru/product/721-soedinitely-poroga-pravyy-vaz-2108-21099-2113-2115</t>
  </si>
  <si>
    <t>Правый соединитель порога пола "АвтоВАЗ" (поддомкратник) для ВАЗ 2108-21099, 2113-2115</t>
  </si>
  <si>
    <t>21080510105420</t>
  </si>
  <si>
    <t>Проушина буксирная "АвтоВАЗ" задняя, в сборе для Лада Веста</t>
  </si>
  <si>
    <t>8450105292</t>
  </si>
  <si>
    <t>Проушина буксирная (катафорез) "АвтоВАЗ" задняя, в сборе для Лада Веста</t>
  </si>
  <si>
    <t>8450039319</t>
  </si>
  <si>
    <t>https://motorring.ru/product/36832-proushina-buksirovochnaya-zadnyaya-sbore-dlya-lada-vesta</t>
  </si>
  <si>
    <t>Профиль крыши продольный внутренний "Renault" задний правый для Лада Ларгус</t>
  </si>
  <si>
    <t>6001548815</t>
  </si>
  <si>
    <t>Рама ветрового окна (катафорез) "АвтоВАЗ" для ВАЗ 2110-2112</t>
  </si>
  <si>
    <t>21100520101010</t>
  </si>
  <si>
    <t>https://motorring.ru/product/756-rama-vetrovogo-okna-kataforeznym-pokrytiem-dlya-vaz-2110</t>
  </si>
  <si>
    <t>Рама ветрового окна в сборе (катафорез) "АвтоВАЗ" для Лада Приора, Приора 2</t>
  </si>
  <si>
    <t>21700520101010</t>
  </si>
  <si>
    <t>https://motorring.ru/product/15496-rama-vetrovogo-okna-sbore-kataforeznoe-pokrytie-priora</t>
  </si>
  <si>
    <t>Рамка дополнительная задней левой двери "АвтоВАЗ" для Лада XRAY</t>
  </si>
  <si>
    <t>822171246R</t>
  </si>
  <si>
    <t>Рамка дополнительная передняя "АвтоВАЗ" левая для Лада XRAY</t>
  </si>
  <si>
    <t>802171818R</t>
  </si>
  <si>
    <t>Рамка защиты радиатора "АвтоВАЗ" для Лада XRAY Cross</t>
  </si>
  <si>
    <t>8450106586</t>
  </si>
  <si>
    <t>Рамка люка горловины наливной "АвтоВАЗ" для Лада Калина хэтчбек</t>
  </si>
  <si>
    <t>11190840410100</t>
  </si>
  <si>
    <t>Рамка люка наливной горловины топливного бака в сборе "АвтоВАЗ" для Лада Нива 4x4</t>
  </si>
  <si>
    <t>21310541301610</t>
  </si>
  <si>
    <t>Рамка поясничной опоры переднего сиденья (левого) "АвтоВАЗ" для Лада Веста</t>
  </si>
  <si>
    <t>8450102187</t>
  </si>
  <si>
    <t>Рамка радиатора "АвтоВАЗ" (катафорезное покрытие) для Лада Гранта FL (с 2018 г. в.)</t>
  </si>
  <si>
    <t>8450104959</t>
  </si>
  <si>
    <t>Рамка радиатора "АвтоВАЗ" в сборе для Лада Ларгус FL</t>
  </si>
  <si>
    <t>8450013061</t>
  </si>
  <si>
    <t>00055787</t>
  </si>
  <si>
    <t>https://motorring.ru/product/38243-ramka-radiatora-sbore-dlya-lada-largus</t>
  </si>
  <si>
    <t>Рамка радиатора "АвтоВАЗ" в сборе для Лада Нива 4x4 Урбан (с кондиционером)</t>
  </si>
  <si>
    <t>8450108929</t>
  </si>
  <si>
    <t>https://motorring.ru/product/15947-ramka-radiatora-kataforeznoe-pokrytie-lada-niva-4h4</t>
  </si>
  <si>
    <t>Рамка радиатора "АвтоВАЗ" в сборе для Лада Нива 4x4, Нива 4x4 Урбан</t>
  </si>
  <si>
    <t>8450108926</t>
  </si>
  <si>
    <t>00056076</t>
  </si>
  <si>
    <t>Рамка радиатора "АвтоВАЗ" в сборе для Лада Нива Travel</t>
  </si>
  <si>
    <t>21230840105081</t>
  </si>
  <si>
    <t>Рамка радиатора "Катафорезное покрытие" для Лада Калина</t>
  </si>
  <si>
    <t>11180840105070</t>
  </si>
  <si>
    <t>https://motorring.ru/product/16505-ramka-radiatora-kataforeznoe-pokrytie-lada-kalina-kalina</t>
  </si>
  <si>
    <t>Рамка радиатора (катафорез) "АвтоВАЗ" в сборе для Шевроле Нива</t>
  </si>
  <si>
    <t>21230840105070</t>
  </si>
  <si>
    <t>https://motorring.ru/product/1062-ramka-radiatora-kataforeznym-pokrytiem-sbore-dlya-shevrole</t>
  </si>
  <si>
    <t>Рамка радиатора (катафорез) "АвтоВАЗ" для ВАЗ 2108-21099, 2113-2115</t>
  </si>
  <si>
    <t>21080840105020</t>
  </si>
  <si>
    <t>https://motorring.ru/product/18125-ramka-radiatora-kataforeznoe-pokrytie-vaz-2108-21099</t>
  </si>
  <si>
    <t>Рамка радиатора (катафорезное покрытие) для Лада Калина 2, Гранта</t>
  </si>
  <si>
    <t>21900840105070</t>
  </si>
  <si>
    <t>https://motorring.ru/product/32073-ramka-radiatora-kataforez-lada-granta-kalina-universal</t>
  </si>
  <si>
    <t>Рамка радиатора (телевизор) старого образца для ВАЗ 2110-2112</t>
  </si>
  <si>
    <t>21100840105082</t>
  </si>
  <si>
    <t>211008401050</t>
  </si>
  <si>
    <t>Рамка радиатора катафорез (телевизор) "АвтоВАЗ" С/О для Лада Приора, ВАЗ 2110-2112 Н/О</t>
  </si>
  <si>
    <t>21100840105063</t>
  </si>
  <si>
    <t>Рамка стекла ветрового "АвтоВАЗ" ВАЗ 2108</t>
  </si>
  <si>
    <t>21080520101210</t>
  </si>
  <si>
    <t>https://motorring.ru/product/16806-panely-ramy-vetrovogo-okna-kataforeznym-pokrytiem-dlya-vaz</t>
  </si>
  <si>
    <t>Раскос передка "АвтоВАЗ" правый в сборе для Лада Ларгус FL</t>
  </si>
  <si>
    <t>8450013071</t>
  </si>
  <si>
    <t>00055694</t>
  </si>
  <si>
    <t>Распорка поперечины рамки радиатора "АвтоВАЗ" в сборе для Шевроле Нива</t>
  </si>
  <si>
    <t>21230500024001</t>
  </si>
  <si>
    <t>Ремонтная вставка заднего лонжерона (левая) для ВАЗ 2108-21099, 2113-2115</t>
  </si>
  <si>
    <t>21080510137700</t>
  </si>
  <si>
    <t>Ремонтная вставка заднего лонжерона (правая) для ВАЗ 2108-21099, 2113-2115</t>
  </si>
  <si>
    <t>21080510137600</t>
  </si>
  <si>
    <t>Ремонтная вставка заднего правого лонжерона (задняя часть с петлей) для ВАЗ 2108-21099, 2113-2115</t>
  </si>
  <si>
    <t>21080510137210</t>
  </si>
  <si>
    <t>Ремонтная часть заднего правого крыла (большой хвостовик) для Лада Приора</t>
  </si>
  <si>
    <t>21700840402026</t>
  </si>
  <si>
    <t>Соединитель "АвтоВАЗ" брызговика с передком, правый для ВАЗ 2110-2112, Лада Приора</t>
  </si>
  <si>
    <t>21100840342650</t>
  </si>
  <si>
    <t>00034800</t>
  </si>
  <si>
    <t>Соединитель "АвтоВАЗ" заднего пола и боковины левый для Лада Веста</t>
  </si>
  <si>
    <t>8450008609</t>
  </si>
  <si>
    <t>00054616</t>
  </si>
  <si>
    <t>Соединитель "АвтоВАЗ" заднего пола и боковины правый для Лада Веста</t>
  </si>
  <si>
    <t>8450008608</t>
  </si>
  <si>
    <t>00054615</t>
  </si>
  <si>
    <t>Соединитель боковины и крыши задний "АвтоВАЗ" правый для Лада Приора, Приора 2 универсал</t>
  </si>
  <si>
    <t>21710540125800</t>
  </si>
  <si>
    <t>https://motorring.ru/product/16795</t>
  </si>
  <si>
    <t>Соединитель брызговика с щитком передка "АвтоВАЗ" правый для ВАЗ 2110</t>
  </si>
  <si>
    <t>21100840342850</t>
  </si>
  <si>
    <t>Соединитель крыла заднего "АвтоВАЗ" правый для Лада Гранта седан</t>
  </si>
  <si>
    <t>21900840406600</t>
  </si>
  <si>
    <t>https://motorring.ru/product/15221-soedinitely-kryla-zadnego-pravyy-lada-granta</t>
  </si>
  <si>
    <t>Соединитель крыла заднего и пола "АвтоВАЗ" левый для Лада Калина 2 универсал</t>
  </si>
  <si>
    <t>21940840406700</t>
  </si>
  <si>
    <t>https://motorring.ru/product/15203</t>
  </si>
  <si>
    <t>Соединитель крыла заднего и пола "АвтоВАЗ" правый для Лада Калина 2 универсал</t>
  </si>
  <si>
    <t>21940840406600</t>
  </si>
  <si>
    <t>https://motorring.ru/product/18222-soedinitely-kryla-zadnego-pola-pravyy-lada-kalina</t>
  </si>
  <si>
    <t>Соединитель крыла и пола "АвтоВАЗ" задний левый для Лада Гранта, Гранта FL</t>
  </si>
  <si>
    <t>21900840406700</t>
  </si>
  <si>
    <t>00035665</t>
  </si>
  <si>
    <t>Соединитель крыла и пола "АвтоВАЗ" задний правый (катафорез) для Лада Гранта, Гранта FL</t>
  </si>
  <si>
    <t>21910840406670</t>
  </si>
  <si>
    <t>000</t>
  </si>
  <si>
    <t>Соединитель крыши внутренний задний "АвтоВАЗ" левый для Лада Нива 4x4</t>
  </si>
  <si>
    <t>21310540175500</t>
  </si>
  <si>
    <t>Соединитель крыши внутренний задний "АвтоВАЗ" правый для Лада Нива 4x4</t>
  </si>
  <si>
    <t>21310540175400</t>
  </si>
  <si>
    <t>Соединитель крыши внутренний средний в сборе "АвтоВАЗ" правый для Лада Нива 4x4</t>
  </si>
  <si>
    <t>21310540174800</t>
  </si>
  <si>
    <t>Соединитель лонжерона (катафорез) "АвтоВАЗ" левый для Шевроле Нива</t>
  </si>
  <si>
    <t>21230840109970</t>
  </si>
  <si>
    <t>https://motorring.ru/product/2546-soedinitely-longherona-nighney-poperechinoy-levyy-kataforez</t>
  </si>
  <si>
    <t>Соединитель лонжерона (катафорез) "АвтоВАЗ" правый для Шевроле Нива</t>
  </si>
  <si>
    <t>21230840109870</t>
  </si>
  <si>
    <t>https://motorring.ru/product/7262-soedinitely-longherona-nighney-poperechinoy-pravyy</t>
  </si>
  <si>
    <t>Соединитель лонжерона и брызговика "АвтоВАЗ" левый в сборе для Лада Веста</t>
  </si>
  <si>
    <t>8460008778</t>
  </si>
  <si>
    <t>00051954</t>
  </si>
  <si>
    <t>https://motorring.ru/product/36820-soedinitely-longherona-bryzgovika-levyy-sbore-lada-vesta</t>
  </si>
  <si>
    <t>Соединитель лонжерона и брызговика (катафорез) "АвтоВАЗ" правый в сборе для Лада Веста</t>
  </si>
  <si>
    <t>8450039287</t>
  </si>
  <si>
    <t>https://motorring.ru/product/36837-soedinitely-longherona-bryzgovika-pravyy-sbore-lada-vesta</t>
  </si>
  <si>
    <t>Соединитель лонжерона и поперечины "АвтоВАЗ" правый для Лада Калина, Калина 2, Гранта, Гранта FL</t>
  </si>
  <si>
    <t>11180510128800</t>
  </si>
  <si>
    <t>https://motorring.ru/product/16589-soedinitely-longherona-poperechiny-pravyy-dlya-lada-kalina</t>
  </si>
  <si>
    <t>Соединитель лонжерона и средней поперечины левый в сборе (катафорез) "АвтоВАЗ" для Лада Веста седан</t>
  </si>
  <si>
    <t>8450039298</t>
  </si>
  <si>
    <t>Соединитель лонжерона и средней поперечины правый в сборе (катафорез) "АвтоВАЗ" для Лада Веста седан</t>
  </si>
  <si>
    <t>8450039297</t>
  </si>
  <si>
    <t>Соединитель переднего лонжерона с полом "АвтоВАЗ" левый для ВАЗ 2110-2112, Лада Приора седан</t>
  </si>
  <si>
    <t>21100840329500</t>
  </si>
  <si>
    <t>Соединитель переднего лонжерона с полом "АвтоВАЗ" левый для Шевроле Нива</t>
  </si>
  <si>
    <t>21230840329500</t>
  </si>
  <si>
    <t>Соединитель переднего лонжерона с полом "АвтоВАЗ" правый для Шевроле Нива</t>
  </si>
  <si>
    <t>21230840329400</t>
  </si>
  <si>
    <t>Соединитель переднего лонжерона с полом (катафорез) "АвтоВАЗ" левый для ВАЗ 2110-2112, Лада Приора седан</t>
  </si>
  <si>
    <t>21100840329510</t>
  </si>
  <si>
    <t>https://motorring.ru/product/791-soedinitely-perednego-longherona-polom-levyy-kataforeznoe</t>
  </si>
  <si>
    <t>Соединитель передний (катафорез) "АвтоВАЗ" правый для Шевроле Нива</t>
  </si>
  <si>
    <t>21230510105470</t>
  </si>
  <si>
    <t>https://motorring.ru/product/228-soedinitely-peredniy-pravyy-kataforeznym-pokrytiem-2123</t>
  </si>
  <si>
    <t>Соединитель порога "ЭКРИС" для ВАЗ 2108-21099, 2113-2115</t>
  </si>
  <si>
    <t>210805101066</t>
  </si>
  <si>
    <t>21085101066</t>
  </si>
  <si>
    <t>Соединитель порога и лонжерона "АвтоВАЗ" задний левый в сборе для Лада Нива 4x4</t>
  </si>
  <si>
    <t>21214510137100</t>
  </si>
  <si>
    <t>Соединитель порога и лонжерона "АвтоВАЗ" задний правый в сборе для Лада Нива 4x4</t>
  </si>
  <si>
    <t>21214510137000</t>
  </si>
  <si>
    <t>Соединитель порога и лонжерона передний "АвтоВАЗ" левый в сборе для Шевроле Нива</t>
  </si>
  <si>
    <t>21230510134170</t>
  </si>
  <si>
    <t>Соединитель порога и лонжерона передний (катафорез) "АвтоВАЗ" правый для Шевроле Нива</t>
  </si>
  <si>
    <t>21230510134070</t>
  </si>
  <si>
    <t>Соединитель порога левый "АвтоВАЗ" для Лада Нива 4х4, Нива 4х4 Урбан</t>
  </si>
  <si>
    <t>21210510134110</t>
  </si>
  <si>
    <t>21100510105715</t>
  </si>
  <si>
    <t>21100510105663</t>
  </si>
  <si>
    <t>21100510105600</t>
  </si>
  <si>
    <t>Соединитель порога пола "АвтоВАЗ" (поддомкратник, передний, левый) для ВАЗ 2110-2112</t>
  </si>
  <si>
    <t>21100510105763</t>
  </si>
  <si>
    <t>Соединитель порога пола "АвтоВАЗ" (поддомкратник, передний, правый) для ВАЗ 2110-2112</t>
  </si>
  <si>
    <t>Соединитель порога пола (катафорез) "АвтоВАЗ" левый для Лада Калина</t>
  </si>
  <si>
    <t>11180510106970</t>
  </si>
  <si>
    <t>https://motorring.ru/product/18190-soedinitely-poroga-pola-levyy-kataforeznoe-pokrytie-lada</t>
  </si>
  <si>
    <t>Соединитель порога пола (катафорез) "АвтоВАЗ" передний левый для Шевроле Нива</t>
  </si>
  <si>
    <t>21230510105570</t>
  </si>
  <si>
    <t>https://motorring.ru/product/229-soedinitely-poroga-pola-peredniy-levyy-kataforeznoe</t>
  </si>
  <si>
    <t>Соединитель порога пола (катафорез) "АвтоВАЗ" правый для Лада Калина</t>
  </si>
  <si>
    <t>11180510106870</t>
  </si>
  <si>
    <t>https://motorring.ru/product/18189-soedinitely-poroga-pola-pravyy-kataforeznoe-pokrytie-lada</t>
  </si>
  <si>
    <t>Соединитель порога пола левый в сборе (катафорез) "АвтоВАЗ" для Лада Веста</t>
  </si>
  <si>
    <t>Соединитель порога пола правый в сборе (катафорез) "АвтоВАЗ" для Лада Веста</t>
  </si>
  <si>
    <t>Соединитель порога правый "АвтоВАЗ" для Лада Нива 4х4, Нива 4х4 Урбан</t>
  </si>
  <si>
    <t>21210510134010</t>
  </si>
  <si>
    <t>Соединитель порога широкий для ВАЗ 2108</t>
  </si>
  <si>
    <t>Соединитель стойки заднего окна и полки задка "АвтоВАЗ" левый, в сборе для Лада Веста SW универсал</t>
  </si>
  <si>
    <t>8450102339</t>
  </si>
  <si>
    <t>Соединитель угловой панели и арки заднего крыла "АвтоВАЗ" левый для Лада Приора, Приора 2 седан</t>
  </si>
  <si>
    <t>21700540137900</t>
  </si>
  <si>
    <t>https://motorring.ru/product/5308</t>
  </si>
  <si>
    <t>Соединитель угловой панели и арки заднего крыла "АвтоВАЗ" правый для Лада Приора, Приора 2 седан</t>
  </si>
  <si>
    <t>21700540137800</t>
  </si>
  <si>
    <t>https://motorring.ru/product/15509</t>
  </si>
  <si>
    <t>Соединитель щитка передка и пола (катафорез) "АвтоВАЗ" левый в сборе для Лада Веста</t>
  </si>
  <si>
    <t>8450039451</t>
  </si>
  <si>
    <t>Стойка (стакан) передней подвески с опорой левая в сборе (катафорез) "АвтоВАЗ" для Лада Веста</t>
  </si>
  <si>
    <t>8450039305</t>
  </si>
  <si>
    <t>Стойка (стакан) передней подвески с опорой правая в сборе (катафорез) "АвтоВАЗ" для Лада Веста</t>
  </si>
  <si>
    <t>8450039304</t>
  </si>
  <si>
    <t>Стойка боковая центральная "АвтоВАЗ" (левая катафорезное покрытие) для ВАЗ 2110-2112, Лада Приора</t>
  </si>
  <si>
    <t>21100540113110</t>
  </si>
  <si>
    <t>https://motorring.ru/product/35959-stoyka-bokoviny-centralynaya-levaya-kataforez-2110</t>
  </si>
  <si>
    <t>Стойка боковая центральная "АвтоВАЗ" (правая, катафорезное покрытие) для ВАЗ 2110-2112, Лада Приора</t>
  </si>
  <si>
    <t>21100540113010</t>
  </si>
  <si>
    <t>https://motorring.ru/product/18155-stoyka-bokovaya-centralynaya-pravaya-kataforeznoe-pokrytie</t>
  </si>
  <si>
    <t>Стойка боковины "АвтоВАЗ" задняя левая в сборе для Лада Ларгус</t>
  </si>
  <si>
    <t>8450106945</t>
  </si>
  <si>
    <t>00055623</t>
  </si>
  <si>
    <t>Стойка боковины "АвтоВАЗ" задняя левая для Лада XRAY</t>
  </si>
  <si>
    <t>781418304R</t>
  </si>
  <si>
    <t>https://motorring.ru/product/36803-ghelobok-zadnego-kryla-levyy-dlya-lada-iks-rey</t>
  </si>
  <si>
    <t>Стойка боковины "АвтоВАЗ" задняя правая в сборе для Лада Ларгус</t>
  </si>
  <si>
    <t>8450106946</t>
  </si>
  <si>
    <t>00055524</t>
  </si>
  <si>
    <t>Стойка боковины "АвтоВАЗ" задняя правая для Лада XRAY</t>
  </si>
  <si>
    <t>781408575R</t>
  </si>
  <si>
    <t>https://motorring.ru/product/36804-ghelobok-zadnego-kryla-pravyy-dlya-lada-iks-rey</t>
  </si>
  <si>
    <t>Стойка боковины средняя в сборе "Renault" левая для Лада Ларгус</t>
  </si>
  <si>
    <t>6001548854</t>
  </si>
  <si>
    <t>Стойка боковины средняя в сборе "Renault" правая для Лада Ларгус</t>
  </si>
  <si>
    <t>6001548855</t>
  </si>
  <si>
    <t>Стойка брызговика "АвтоВАЗ" левая в сборе для ВАЗ 2101-2107</t>
  </si>
  <si>
    <t>21030530106501</t>
  </si>
  <si>
    <t>Стойка брызговика "АвтоВАЗ" левая для ВАЗ 2106</t>
  </si>
  <si>
    <t>21030530106500</t>
  </si>
  <si>
    <t>00053740</t>
  </si>
  <si>
    <t>Стойка брызговика "АвтоВАЗ" правая в сборе для ВАЗ 2101-2107</t>
  </si>
  <si>
    <t>https://motorring.ru/product/993-stoyka-bryzgovika-pravaya-stolbik-vaz-2101-2103</t>
  </si>
  <si>
    <t>Стойка ветрового окна внутренняя "АвтоВАЗ" левая для Шевроле Нива</t>
  </si>
  <si>
    <t>21230520102755</t>
  </si>
  <si>
    <t>https://motorring.ru/product/6543-stoyka-vetrovogo-okna-vnutrennyaya-levaya-dlya-shevrole</t>
  </si>
  <si>
    <t>Стойка ветрового окна внутренняя "АвтоВАЗ" правая для Шевроле Нива</t>
  </si>
  <si>
    <t>21230520102655</t>
  </si>
  <si>
    <t>https://motorring.ru/product/6542-stoyka-vetrovogo-okna-vnutrennyaya-pravaya-shevrole-niva</t>
  </si>
  <si>
    <t>Стойка заднего крыла "АвтоВАЗ" левая для Лада Калина хэтчбек</t>
  </si>
  <si>
    <t>11190840438900</t>
  </si>
  <si>
    <t>Стойка заднего крыла "АвтоВАЗ" правая для Лада Калина хэтчбек</t>
  </si>
  <si>
    <t>11190840438800</t>
  </si>
  <si>
    <t>Стойка задняя внутреняя "Renault" нижняя левая для Лада Ларгус</t>
  </si>
  <si>
    <t>6001548819</t>
  </si>
  <si>
    <t>Стойка крепления подрамника "АвтоВАЗ" передняя левая для Лада Ларгус, Ларгус FL</t>
  </si>
  <si>
    <t>8450013095</t>
  </si>
  <si>
    <t>00055696</t>
  </si>
  <si>
    <t>Стойка крыла заднего "АвтоВАЗ" правая для Лада Калина 2 хэтчбек</t>
  </si>
  <si>
    <t>21920840438000</t>
  </si>
  <si>
    <t>https://motorring.ru/product/15181</t>
  </si>
  <si>
    <t>Стойка кузова "АвтоВАЗ" задняя нижняя для Лада Ларгус</t>
  </si>
  <si>
    <t>8450013860</t>
  </si>
  <si>
    <t>Стойка кузова центральная "АвтоВАЗ" левая для Лада Приора купе</t>
  </si>
  <si>
    <t>21728540113100</t>
  </si>
  <si>
    <t>Стойка кузова центральная "АвтоВАЗ" правая для Лада Приора купе</t>
  </si>
  <si>
    <t>21728540113000</t>
  </si>
  <si>
    <t>Стойка проема задка двери "АвтоВАЗ" левая в сборе для Лада Нива 4x4</t>
  </si>
  <si>
    <t>21213560110910</t>
  </si>
  <si>
    <t>https://motorring.ru/product/38251-usilitely-levogo-zadnego-fonarya-dlya-lada-4h4-niva</t>
  </si>
  <si>
    <t>Стойка проема задка двери "АвтоВАЗ" правая в сборе для Лада Нива 4x4</t>
  </si>
  <si>
    <t>21213560110810</t>
  </si>
  <si>
    <t>00049702</t>
  </si>
  <si>
    <t>https://motorring.ru/product/38250-usilitely-pravogo-zadnego-fonarya-dlya-lada-4h4-niva</t>
  </si>
  <si>
    <t>Стойка рамки радиатора "АвтоВАЗ" левая в сборе для Лада Ларгус</t>
  </si>
  <si>
    <t>8450013067</t>
  </si>
  <si>
    <t>00055665</t>
  </si>
  <si>
    <t>https://motorring.ru/product/36924-levaya-stoyka-ramki-radiatora-dlya-lada-largus-fl</t>
  </si>
  <si>
    <t>Стойка рамки радиатора "АвтоВАЗ" левая в сборе для Лада Нива Travel</t>
  </si>
  <si>
    <t>21230840129181</t>
  </si>
  <si>
    <t>00055734</t>
  </si>
  <si>
    <t>Стойка рамки радиатора "АвтоВАЗ" левая для ВАЗ 2105, 2107</t>
  </si>
  <si>
    <t>21050840108700</t>
  </si>
  <si>
    <t>Стойка рамки радиатора "АвтоВАЗ" правая в сборе для Лада Ларгус</t>
  </si>
  <si>
    <t>8450013065</t>
  </si>
  <si>
    <t>00055663</t>
  </si>
  <si>
    <t>https://motorring.ru/product/36925-pravaya-stoyka-ramki-radiatora-dlya-lada-largus-fl</t>
  </si>
  <si>
    <t>Стойка рамки радиатора "АвтоВАЗ" правая в сборе для Лада Нива Travel</t>
  </si>
  <si>
    <t>21230840129081</t>
  </si>
  <si>
    <t>00055733</t>
  </si>
  <si>
    <t>Стойка рамки радиатора "АвтоВАЗ" правая для Лада Нива 4x4</t>
  </si>
  <si>
    <t>21210840144000</t>
  </si>
  <si>
    <t>Стойка рамки радиатора левая в сборе (катафорез) "АвтоВАЗ" для Лада Веста</t>
  </si>
  <si>
    <t>8450039312</t>
  </si>
  <si>
    <t>https://motorring.ru/product/18847-stoyka-ramki-radiatora-levaya-lada-vesta</t>
  </si>
  <si>
    <t>Стойка рамки радиатора правая в сборе (катафорез) "АвтоВАЗ" для Лада Веста</t>
  </si>
  <si>
    <t>8450039311</t>
  </si>
  <si>
    <t>https://motorring.ru/product/18848-stoyka-ramki-radiatora-pravaya-lada-vesta</t>
  </si>
  <si>
    <t>Уcилитель цeнтpальной cтoйки (катафорез) "АвтоВАЗ" левый для Шевроле Нива</t>
  </si>
  <si>
    <t>21230540115170</t>
  </si>
  <si>
    <t>https://motorring.ru/product/982-ucilitely-centpalynoy-ctoyki-levyy-kataforeznoe-pokrytie</t>
  </si>
  <si>
    <t>Усилитель "АвтоВАЗ" задней панели (катафорез) для Лада Нива Travel, Шевроле Нива</t>
  </si>
  <si>
    <t>21230510127670</t>
  </si>
  <si>
    <t>00048951</t>
  </si>
  <si>
    <t>https://motorring.ru/product/37047-usilitely-zadney-paneli-pola-dlya-shevrole-niva</t>
  </si>
  <si>
    <t>Усилитель арки заднего колеса "АвтоВАЗ" правый для Лада Гранта лифтбек</t>
  </si>
  <si>
    <t>21910510124600</t>
  </si>
  <si>
    <t>Усилитель бампера для ВАЗ 2108-21099</t>
  </si>
  <si>
    <t>21080280313263</t>
  </si>
  <si>
    <t>Усилитель боковины "АвтоВАЗ" верхний левый в сборе для Лада Нива 4x4</t>
  </si>
  <si>
    <t>21210540108110</t>
  </si>
  <si>
    <t>Усилитель боковины "АвтоВАЗ" верхний левый в сборе для Лада Нива 4x4, Нива 4x4 Урбан</t>
  </si>
  <si>
    <t>8450109174</t>
  </si>
  <si>
    <t>00056006</t>
  </si>
  <si>
    <t>Усилитель боковины "АвтоВАЗ" верхний правый в сборе для Лада Нива 4x4</t>
  </si>
  <si>
    <t>21210540108010</t>
  </si>
  <si>
    <t>Усилитель боковины "АвтоВАЗ" верхний правый в сборе для Лада Нива 4x4, Нива 4x4 Урбан</t>
  </si>
  <si>
    <t>8450109219</t>
  </si>
  <si>
    <t>00056072</t>
  </si>
  <si>
    <t>Усилитель боковины крепления багажника "АвтоВАЗ" для Шевроле Нива</t>
  </si>
  <si>
    <t>21230540148000</t>
  </si>
  <si>
    <t>Усилитель брызговика "Renault" левый верхний для Лада XRAY</t>
  </si>
  <si>
    <t>641976606R</t>
  </si>
  <si>
    <t>Усилитель брызговика "АвтоВАЗ" верхний левый в сборе (катафорез) для Лада Веста</t>
  </si>
  <si>
    <t>8450039217</t>
  </si>
  <si>
    <t>00051964</t>
  </si>
  <si>
    <t>https://motorring.ru/product/36845-verhniy-levyy-usilitely-bryzgovika-dlya-lada-vesta</t>
  </si>
  <si>
    <t>Усилитель брызговика "АвтоВАЗ" верхний левый в сборе (катафорез) для Лада Гранта FL</t>
  </si>
  <si>
    <t>8450104961</t>
  </si>
  <si>
    <t>00046657</t>
  </si>
  <si>
    <t>https://motorring.ru/product/36965-usilitely-bryzgovika-levyy-verhniy-kataforez-granta-fl</t>
  </si>
  <si>
    <t>Усилитель брызговика "АвтоВАЗ" верхний правый в сборе (катафорез) для Лада Гранта FL</t>
  </si>
  <si>
    <t>8450104960</t>
  </si>
  <si>
    <t>00046656</t>
  </si>
  <si>
    <t>https://motorring.ru/product/17592-usilitely-bryzgovika-pravyy-verhniy-kataforez-granta-fl</t>
  </si>
  <si>
    <t>Усилитель брызговика "АвтоВАЗ" передний правый для Лада XRAY</t>
  </si>
  <si>
    <t>641963214R</t>
  </si>
  <si>
    <t>Усилитель брызговика (стрела) "АвтоВАЗ" (верхний, левый, старого образца) для ВАЗ 2110-2112, Лада Приора</t>
  </si>
  <si>
    <t>21100840339382</t>
  </si>
  <si>
    <t>https://motorring.ru/product/16904-usilitely-bryzgovika-verhniy-levyy-strela-starogo-obrazca</t>
  </si>
  <si>
    <t>Усилитель брызговика (стрела) "АвтоВАЗ" (верхний, правый, старого образца) для ВАЗ 2110-2112, Лада Приора</t>
  </si>
  <si>
    <t>21100840339282</t>
  </si>
  <si>
    <t>https://motorring.ru/product/16903-usilitely-bryzgovika-verhniy-pravyy-strela-starogo-obrazca</t>
  </si>
  <si>
    <t>Усилитель брызговика верхний (катафорез) "АвтоВАЗ" левый для Шевроле Нива</t>
  </si>
  <si>
    <t>21230840339370</t>
  </si>
  <si>
    <t>https://motorring.ru/product/38193-usilitely-bryzgovika-strela-levyy-dlya-shevrole-niva</t>
  </si>
  <si>
    <t>Усилитель брызговика верхний (катафорез) "АвтоВАЗ" правый для Шевроле Нива</t>
  </si>
  <si>
    <t>21230840339270</t>
  </si>
  <si>
    <t>https://motorring.ru/product/38177-usilitely-bryzgovika-strela-pravyy-dlya-shevrole-niva</t>
  </si>
  <si>
    <t>Усилитель брызговика верхний правый в сборе (катафорез) "АвтоВАЗ" для Лада Веста</t>
  </si>
  <si>
    <t>8450039218</t>
  </si>
  <si>
    <t>https://motorring.ru/product/36844-verhniy-pravyy-usilitely-bryzgovika-dlya-lada-vesta</t>
  </si>
  <si>
    <t>Усилитель ветровой стойки "АвтоВАЗ" внутренний левый в сборе для Лада XRAY</t>
  </si>
  <si>
    <t>762317410R</t>
  </si>
  <si>
    <t>00054706</t>
  </si>
  <si>
    <t>Усилитель ветровой стойки "АвтоВАЗ" внутренний правый для Шевроле Нива</t>
  </si>
  <si>
    <t>21230540133200</t>
  </si>
  <si>
    <t>https://motorring.ru/product/6551-usilitely-vetrovoy-stoyki-vnutrenniy-pravyy-dlya-shevrole</t>
  </si>
  <si>
    <t>Усилитель желоба "АвтоВАЗ" заднего крыла левый для Лада Веста SW, SW Cross</t>
  </si>
  <si>
    <t>8450103591</t>
  </si>
  <si>
    <t>00056003</t>
  </si>
  <si>
    <t>Усилитель заднего крыла "АвтоВАЗ" левый для ВАЗ 2105, 2107</t>
  </si>
  <si>
    <t>21050840403100</t>
  </si>
  <si>
    <t>Усилитель заднего крыла "АвтоВАЗ" левый для Лада Гранта, Гранта FL лифтбек</t>
  </si>
  <si>
    <t>21910840407500</t>
  </si>
  <si>
    <t>https://motorring.ru/product/5169-usilitely-zadnego-kryla-levyy-kataforez-granta-liftback</t>
  </si>
  <si>
    <t>Усилитель заднего крыла "АвтоВАЗ" левый для Лада Калина, Калина 2, Гранта FL универсал</t>
  </si>
  <si>
    <t>11170840407500</t>
  </si>
  <si>
    <t>Усилитель заднего крыла "АвтоВАЗ" правый для Лада Гранта, Гранта FL лифтбек</t>
  </si>
  <si>
    <t>21910840407400</t>
  </si>
  <si>
    <t>https://motorring.ru/product/40831-usilitely-zadnego-kryla-pravyy-kataforez-granta-liftback</t>
  </si>
  <si>
    <t>Усилитель задней стойки в сборе "АвтоВАЗ" правый для Лада Нива 4x4</t>
  </si>
  <si>
    <t>21310540178010</t>
  </si>
  <si>
    <t>Усилитель задней стойки нижний "Renault" для Лада Ларгус</t>
  </si>
  <si>
    <t>6001548853</t>
  </si>
  <si>
    <t>Усилитель крепления 3-го ряда сидений "Renault" для Лада Ларгус</t>
  </si>
  <si>
    <t>6001548825</t>
  </si>
  <si>
    <t>Усилитель крыши "АвтоВАЗ" для ВАЗ 21099</t>
  </si>
  <si>
    <t>21099570110200</t>
  </si>
  <si>
    <t>https://motorring.ru/product/747-usilitely-kryshi-vaz-21099</t>
  </si>
  <si>
    <t>Усилитель крыши "АвтоВАЗ" для Лада Веста</t>
  </si>
  <si>
    <t>8450109077</t>
  </si>
  <si>
    <t>Усилитель крыши "АвтоВАЗ" для Лада Гранта, Гранта FL</t>
  </si>
  <si>
    <t>21910570110000</t>
  </si>
  <si>
    <t>00041729</t>
  </si>
  <si>
    <t>Усилитель крыши "АвтоВАЗ" для Лада Калина, Гранта</t>
  </si>
  <si>
    <t>11180570110099</t>
  </si>
  <si>
    <t>00037837</t>
  </si>
  <si>
    <t>https://motorring.ru/product/16494</t>
  </si>
  <si>
    <t>Усилитель крыши "АвтоВАЗ" задний для Шевроле Нива</t>
  </si>
  <si>
    <t>21230570113000</t>
  </si>
  <si>
    <t>https://motorring.ru/product/38095-zadniy-usilitely-kryshi-dlya-shevrole-niva-lada-niva-trevel</t>
  </si>
  <si>
    <t>Усилитель крыши "АвтоВАЗ" пpaвый в cборе для Шевроле Нива</t>
  </si>
  <si>
    <t>21230540137000</t>
  </si>
  <si>
    <t>https://motorring.ru/product/37053-usilitely-verhnego-brusa-bokoviny-sredniy-pravyy-2123</t>
  </si>
  <si>
    <t>Усилитель крыши "АвтоВАЗ" передний в сборе для Шевроле Нива</t>
  </si>
  <si>
    <t>21230570111055</t>
  </si>
  <si>
    <t>https://motorring.ru/product/38247-usilitely-vdoly-kryshi-dlya-shevrole-niva</t>
  </si>
  <si>
    <t>Усилитель крыши "АвтоВАЗ" средний для Шевроле Нива</t>
  </si>
  <si>
    <t>21230570110000</t>
  </si>
  <si>
    <t>Усилитель лонжерона "АвтоВАЗ" (внутренний, левый, катафорезное покрытие) для ВАЗ 2110-2112, Лада Приора</t>
  </si>
  <si>
    <t>21100840334310</t>
  </si>
  <si>
    <t>Усилитель лонжерона "АвтоВАЗ" (внутренний, правый, катафорезное покрытие) для ВАЗ 2110-2112, Лада Приора</t>
  </si>
  <si>
    <t>21100840334210</t>
  </si>
  <si>
    <t>Усилитель лонжерона "АвтоВАЗ" левый в сборе для Лада Веста</t>
  </si>
  <si>
    <t>8460008777</t>
  </si>
  <si>
    <t>https://motorring.ru/product/38282-levyy-peredniy-usilitely-longherona-dlya-lada-vesta</t>
  </si>
  <si>
    <t>Усилитель лонжерона "АвтоВАЗ" левый для ВАЗ 2108-21099, 2113-2115</t>
  </si>
  <si>
    <t>Усилитель лонжерона "АвтоВАЗ" переднего левого (катафорез) для Лада XRAY</t>
  </si>
  <si>
    <t>751270580R</t>
  </si>
  <si>
    <t>00055556</t>
  </si>
  <si>
    <t>Усилитель лонжерона "АвтоВАЗ" передний левый в сборе для Лада Калина седан, хэтчбек</t>
  </si>
  <si>
    <t>11180510138700</t>
  </si>
  <si>
    <t>Усилитель лонжерона "АвтоВАЗ" правый для ВАЗ 2108-21099, 2113-2115</t>
  </si>
  <si>
    <t>Усилитель лонжерона правый "Renault" в сборе для Лада Ларгус</t>
  </si>
  <si>
    <t>751321765R</t>
  </si>
  <si>
    <t>Усилитель панели брызговика левый "Renault" в сборе для Лада Ларгус</t>
  </si>
  <si>
    <t>6001549860</t>
  </si>
  <si>
    <t>Усилитель панели рамки радиатора "АвтоВАЗ" левый для Лада Веста, Веста Кросс, Веста Спорт</t>
  </si>
  <si>
    <t>8450039445</t>
  </si>
  <si>
    <t>00055842</t>
  </si>
  <si>
    <t>Усилитель переднего бампера "АвтоВАЗ" для Лада Калина 2</t>
  </si>
  <si>
    <t>2190280313100</t>
  </si>
  <si>
    <t>Усилитель переднего пола левый в сборе (катафорез) "АвтоВАЗ" для Лада Веста седан</t>
  </si>
  <si>
    <t>8450039339</t>
  </si>
  <si>
    <t>Усилитель переднего пола правый в сборе (катафорез) "АвтоВАЗ" для Лада Веста</t>
  </si>
  <si>
    <t>8450039453</t>
  </si>
  <si>
    <t>Усилитель передней стойки "АвтоВАЗ" (правый, с катафорезным покрытием) для ВАЗ 2110-2112</t>
  </si>
  <si>
    <t>21100540112010</t>
  </si>
  <si>
    <t>https://motorring.ru/product/769-usilitely-peredney-stoyki-pravyy-kataforez-2110</t>
  </si>
  <si>
    <t>Усилитель передней стойки "АвтоВАЗ" правый (катафорез) для Шевроле Нива</t>
  </si>
  <si>
    <t>21230540112070 / 8450101947</t>
  </si>
  <si>
    <t>00054632</t>
  </si>
  <si>
    <t>https://motorring.ru/product/38186-usilitely-peredney-stoyki-pravyy-dlya-shevrole-niva</t>
  </si>
  <si>
    <t>Усилитель передней стойки "АвтоВАЗ" правый (нового образца) для Лада Нива 4x4</t>
  </si>
  <si>
    <t>21210540112010</t>
  </si>
  <si>
    <t>Усилитель передней стойки "АвтоВАЗ" правый (старого образца) для Лада Нива 4x4</t>
  </si>
  <si>
    <t>21210540112000</t>
  </si>
  <si>
    <t>https://motorring.ru/product/38156-usilitely-stoyki-peredney-dveri-pravyy-dlya-lada-4h4-niva</t>
  </si>
  <si>
    <t>Усилитель передней стойки (катафорез) "АвтоВАЗ" левый для ВАЗ 2110-2112, Лада Приора</t>
  </si>
  <si>
    <t>21100540112110</t>
  </si>
  <si>
    <t>https://motorring.ru/product/37027-usilitely-peredney-stoyki-levyy-kataforeznym-pokrytiem-2110</t>
  </si>
  <si>
    <t>Усилитель передней стойки (катафорез) "АвтоВАЗ" левый для Лада Калина</t>
  </si>
  <si>
    <t>11180540112170</t>
  </si>
  <si>
    <t>https://motorring.ru/product/38266-levaya-stoyka-peredney-dveri-dlya-lada-kalina-granta</t>
  </si>
  <si>
    <t>Усилитель передней стойки (катафорез) "АвтоВАЗ" правый для Лада Калина</t>
  </si>
  <si>
    <t>11180540112070</t>
  </si>
  <si>
    <t>https://motorring.ru/product/38265-pravaya-stoyka-peredney-dveri-dlya-lada-kalina-granta</t>
  </si>
  <si>
    <t>Усилитель передней стойки боковины "АвтоВАЗ" левый для Лада XRAY</t>
  </si>
  <si>
    <t>762473234R</t>
  </si>
  <si>
    <t>00054729</t>
  </si>
  <si>
    <t>Усилитель передней стойки боковины правый в сборе (катафорез) "АвтоВАЗ" для Лада Веста</t>
  </si>
  <si>
    <t>8450039225</t>
  </si>
  <si>
    <t>Усилитель пола "АвтоВАЗ" в сборе для ВАЗ 2108-21099</t>
  </si>
  <si>
    <t>21080510106400</t>
  </si>
  <si>
    <t>https://motorring.ru/product/718</t>
  </si>
  <si>
    <t>Усилитель пола под рычаг КПП "АвтоВАЗ" левый для Лада Калина, Калина 2, Гранта, Гранта FL</t>
  </si>
  <si>
    <t>11180170333200</t>
  </si>
  <si>
    <t>https://motorring.ru/product/16626</t>
  </si>
  <si>
    <t>Усилитель поперечины рамки радиатора верхний "Renault" для Лада Ларгус</t>
  </si>
  <si>
    <t>6001548956</t>
  </si>
  <si>
    <t>Усилитель порога "АвтоВАЗ" (длинный) для ВАЗ 2110-2112</t>
  </si>
  <si>
    <t>21100540110001</t>
  </si>
  <si>
    <t>https://motorring.ru/product/16900-usilitely-poroga-dlinnyy-vaz-2110-2112</t>
  </si>
  <si>
    <t>Усилитель порога "АвтоВАЗ" (короткий) для ВАЗ 2110-2112</t>
  </si>
  <si>
    <t>21100540110002</t>
  </si>
  <si>
    <t>https://motorring.ru/product/16901</t>
  </si>
  <si>
    <t>Усилитель порога "АвтоВАЗ" (левый) для ВАЗ 2110-2112</t>
  </si>
  <si>
    <t>21100540110320</t>
  </si>
  <si>
    <t>Усилитель порога "АвтоВАЗ" (правый) для ВАЗ 2110-2112</t>
  </si>
  <si>
    <t>21100540110220</t>
  </si>
  <si>
    <t>Усилитель порога (катафорез) "АвтоВАЗ" для Лада Нива 4x4</t>
  </si>
  <si>
    <t>21210540110210</t>
  </si>
  <si>
    <t>Усилитель порога короткий для ВАЗ 2108-21099, 2113-2115</t>
  </si>
  <si>
    <t>21090540110463</t>
  </si>
  <si>
    <t>https://motorring.ru/product/16893-usilitely-poroga-korotkiy-vaz-2108-21099-2113-2115</t>
  </si>
  <si>
    <t>Усилитель порога левый "АвтоВАЗ" для Лада Нива 4х4</t>
  </si>
  <si>
    <t>21210510125310</t>
  </si>
  <si>
    <t>Усилитель порога пола (катафорез) "АвтоВАЗ" левый для Лада Калина</t>
  </si>
  <si>
    <t>11180510134570</t>
  </si>
  <si>
    <t>Усилитель порога пола (катафорез) "АвтоВАЗ" правый для Лада Калина</t>
  </si>
  <si>
    <t>11180510134470</t>
  </si>
  <si>
    <t>Усилитель порога пола (катафорез) "АвтоВАЗ" правый для Лада Нива 4x4</t>
  </si>
  <si>
    <t>21210510125210</t>
  </si>
  <si>
    <t>Усилитель рамы ветрового окна "АвтоВАЗ" левый для Лада Нива 4x4</t>
  </si>
  <si>
    <t>21210520102900</t>
  </si>
  <si>
    <t>https://motorring.ru/product/15409-usilitely-ramy-vetrovogo-okna-levyy-dlya-lada-niva-4h4</t>
  </si>
  <si>
    <t>Усилитель рычага ручного тормоза (катафорез) "АвтоВАЗ" для Лада Калина, Калина 2, Гранта</t>
  </si>
  <si>
    <t>11180510110870</t>
  </si>
  <si>
    <t>https://motorring.ru/product/32777-usilitely-rychaga-ruchnogo-tormoza-kataforeznym-pokrytiem</t>
  </si>
  <si>
    <t>Усилитель стойки ветрового окна "АвтоВАЗ" левый в сборе (катафорез) для Лада Калина, Калина 2, Гранта, Гранта FL</t>
  </si>
  <si>
    <t>11180540133170</t>
  </si>
  <si>
    <t>00055619</t>
  </si>
  <si>
    <t>https://motorring.ru/product/38262-levaya-stoyka-ramy-vetrovogo-okna-narughnaya-kalina</t>
  </si>
  <si>
    <t>Усилитель стойки ветрового окна "АвтоВАЗ" левый для Лада Калина</t>
  </si>
  <si>
    <t>11180540133100</t>
  </si>
  <si>
    <t>Усилитель стойки центральной (катафорез) "АвтоВАЗ" левый для Лада Калина</t>
  </si>
  <si>
    <t>11180540115170</t>
  </si>
  <si>
    <t>https://motorring.ru/product/36174-centralynaya-levaya-stoyka-dlya-lada-granta</t>
  </si>
  <si>
    <t>Усилитель стойки центральной (катафорез) "АвтоВАЗ" правый для Лада Калина</t>
  </si>
  <si>
    <t>11180540115070</t>
  </si>
  <si>
    <t>https://motorring.ru/product/36173-centralynaya-pravaya-stoyka-dlya-lada-granta</t>
  </si>
  <si>
    <t>Усилитель центральной стойки "АвтоВАЗ" левый в сборе (катафорез) для Лада Веста</t>
  </si>
  <si>
    <t>8450039195</t>
  </si>
  <si>
    <t>00055852</t>
  </si>
  <si>
    <t>Усилитель центральной стойки "АвтоВАЗ" левый для ВАЗ 2109, 21099, 2114, 2115</t>
  </si>
  <si>
    <t>21090540115100</t>
  </si>
  <si>
    <t>Усилитель центральной стойки "АвтоВАЗ" правой боковины в сборе для Лада XRAY</t>
  </si>
  <si>
    <t>765161783R</t>
  </si>
  <si>
    <t>00054730</t>
  </si>
  <si>
    <t>Усилитель центральной стойки "АвтоВАЗ" правый (катафорез) для Шевроле Нива</t>
  </si>
  <si>
    <t>21230540115070</t>
  </si>
  <si>
    <t>00044987</t>
  </si>
  <si>
    <t>https://motorring.ru/product/976-ucilitely-centpalynoy-ctoyki-pravyy-kataforeznoe-pokrytie</t>
  </si>
  <si>
    <t>Усилитель центральной стойки "АвтоВАЗ" правый в сборе (катафорез) для Лада Веста</t>
  </si>
  <si>
    <t>8450039199</t>
  </si>
  <si>
    <t>00055853</t>
  </si>
  <si>
    <t>https://motorring.ru/product/38295-usilitely-pravoy-centralynoy-stoyki-dlya-lada-vesta</t>
  </si>
  <si>
    <t>Усилитель центральной стойки "АвтоВАЗ" правый для ВАЗ 2109, 21099, 2114, 2115</t>
  </si>
  <si>
    <t>21090540115010</t>
  </si>
  <si>
    <t>Усилитель центральной стойки "АвтоВАЗ" правый для Лада Ларгус</t>
  </si>
  <si>
    <t>765162909R</t>
  </si>
  <si>
    <t>Усилитель центральной стойки "АвтоВАЗ" правый для Лада Нива 4x4</t>
  </si>
  <si>
    <t>21310540177000</t>
  </si>
  <si>
    <t>Усилитель центральной стойки (катафорез) "АвтоВАЗ" правый для Лада Нива 4x4</t>
  </si>
  <si>
    <t>21210540115010</t>
  </si>
  <si>
    <t>Усилитель центральной стойки (катафорез) "АвтоВАЗ" правый для Лада Нива 4x4 (5-ти дверная)</t>
  </si>
  <si>
    <t>21310540177110</t>
  </si>
  <si>
    <t>https://motorring.ru/product/36014-usilitely-centralynoy-stoyki-levyy-kataforez-vaz-2131</t>
  </si>
  <si>
    <t>Усилитель щитка передка "Renault" левый, в сборе для Лада Ларгус</t>
  </si>
  <si>
    <t>6001546756</t>
  </si>
  <si>
    <t>https://motorring.ru/product/18223-usilitely-schitka-peredka-levyy-sbore-lada-largus</t>
  </si>
  <si>
    <t>Усилитель щитка передка "ВАЗИнтерСервис" (пластина) для ВАЗ 2110-2112</t>
  </si>
  <si>
    <t>21100160231250</t>
  </si>
  <si>
    <t>https://motorring.ru/product/16817-usilitely-schitka-peredka-plastina-vaz-2110-2112</t>
  </si>
  <si>
    <t>Усилитель щитка передка верхний (катафорез) "АвтоВАЗ" в сборе для Лада Гранта FL</t>
  </si>
  <si>
    <t>8450104972</t>
  </si>
  <si>
    <t>Усилитель щитка передка верхний в сборе "АвтоВАЗ" для Лада Нива 4x4</t>
  </si>
  <si>
    <t>21213530109000</t>
  </si>
  <si>
    <t>Усилитель щитка передка левый (катафорез) "АвтоВАЗ" для Лада Веста</t>
  </si>
  <si>
    <t>8450039449</t>
  </si>
  <si>
    <t>Усилитель щитка передка правый (катафорез) "АвтоВАЗ" для Лада Веста</t>
  </si>
  <si>
    <t>8450039450</t>
  </si>
  <si>
    <t>Фланец пола "Renault" правый для Лада Ларгус</t>
  </si>
  <si>
    <t>6001548798</t>
  </si>
  <si>
    <t>Щиток (локер) передней правой арки колеса "Renault" для Лада Ларгус</t>
  </si>
  <si>
    <t>638402115R</t>
  </si>
  <si>
    <t>Щиток арки переднего колеса правый внутрений (защита) "Renault" для Лада Ларгус</t>
  </si>
  <si>
    <t>6001549272</t>
  </si>
  <si>
    <t>Щиток передка "АвтоВАЗ" в сборе (нового образца) для ВАЗ 2110-2112</t>
  </si>
  <si>
    <t>21100530108060</t>
  </si>
  <si>
    <t>Щиток передка "АвтоВАЗ" в сборе для Шевроле Нива</t>
  </si>
  <si>
    <t>21230530108065</t>
  </si>
  <si>
    <t>Щиток передка "АвтоВАЗ" для Лада Нива Travel, Шевроле Нива</t>
  </si>
  <si>
    <t>21230530108070</t>
  </si>
  <si>
    <t>00056010</t>
  </si>
  <si>
    <t>Щиток передка "АвтоВАЗ" для Шевроле Нива</t>
  </si>
  <si>
    <t>21230530108000</t>
  </si>
  <si>
    <t>https://motorring.ru/product/6544-schitok-motornogo-otseka-dlya-shevrole-niva</t>
  </si>
  <si>
    <t>Экран защитный "АвтоВАЗ" для ВАЗ 2108-21099, 2113-2115</t>
  </si>
  <si>
    <t>21080120602010</t>
  </si>
  <si>
    <t>Экран защиты пола кузова "АвтоВАЗ" для Лада Нива 4x4</t>
  </si>
  <si>
    <t>21214120601800</t>
  </si>
  <si>
    <t>Элемент каталога</t>
  </si>
  <si>
    <t>ID</t>
  </si>
  <si>
    <t>Код товара</t>
  </si>
  <si>
    <t>Наименование элемента</t>
  </si>
  <si>
    <t>Y / N</t>
  </si>
  <si>
    <t>Каталожный номер</t>
  </si>
  <si>
    <t>Артикул поставщика</t>
  </si>
  <si>
    <t>Поставщик</t>
  </si>
  <si>
    <t>Закуп</t>
  </si>
  <si>
    <t>Розница</t>
  </si>
  <si>
    <t>Ссылка</t>
  </si>
  <si>
    <t>Кол-во</t>
  </si>
  <si>
    <t>Ряд</t>
  </si>
  <si>
    <t>Под заказ</t>
  </si>
  <si>
    <t>Бампер "АвтоВАЗ" задний (голый) для Лада Веста Cross</t>
  </si>
  <si>
    <t>Бампер "АвтоВАЗ" задний (голый) для Лада Веста Cross (Без покраски)</t>
  </si>
  <si>
    <t>Y</t>
  </si>
  <si>
    <t>8450031032</t>
  </si>
  <si>
    <t>8450031032</t>
  </si>
  <si>
    <t>кузовщина</t>
  </si>
  <si>
    <t>https://motorring.ru/product/34964-zadniy-bamper-golyy-lada-vesta-sw-cross</t>
  </si>
  <si>
    <t>Y</t>
  </si>
  <si>
    <t>Бампер "АвтоВАЗ" задний без отверстий под парктроники для Лада Веста NG</t>
  </si>
  <si>
    <t>Бампер "АвтоВАЗ" задний без отверстий под парктроники для Лада Веста NG (Без покраски)</t>
  </si>
  <si>
    <t>Y</t>
  </si>
  <si>
    <t>8450040066</t>
  </si>
  <si>
    <t>8450040066</t>
  </si>
  <si>
    <t>кузовщина</t>
  </si>
  <si>
    <t>https://motorring.ru/product/36861-bamper-zadniy-bez-otverstiyi-parktronika-vesta-ng</t>
  </si>
  <si>
    <t>Y</t>
  </si>
  <si>
    <t>Бампер "АвтоВАЗ" задний под парктроник (2 отверстия, кронштейны) для Лада Веста NG</t>
  </si>
  <si>
    <t>Бампер "АвтоВАЗ" задний под парктроник (2 отверстия, кронштейны) для Лада Веста NG (Без покраски)</t>
  </si>
  <si>
    <t>Y</t>
  </si>
  <si>
    <t>8460010248</t>
  </si>
  <si>
    <t>8460010248</t>
  </si>
  <si>
    <t>кузовщина</t>
  </si>
  <si>
    <t>Y</t>
  </si>
  <si>
    <t>Бампер "АвтоВАЗ" задний под парктроник (6 отверстий, кронштейны) для Лада Веста NG</t>
  </si>
  <si>
    <t>Бампер "АвтоВАЗ" задний под парктроник (6 отверстий, кронштейны) для Лада Веста NG (Без покраски)</t>
  </si>
  <si>
    <t>Y</t>
  </si>
  <si>
    <t>8460008781</t>
  </si>
  <si>
    <t>8460008781</t>
  </si>
  <si>
    <t>кузовщина</t>
  </si>
  <si>
    <t>Y</t>
  </si>
  <si>
    <t>Бампер "АвтоВАЗ" передний для Лада Нива Travel</t>
  </si>
  <si>
    <t>Бампер "АвтоВАЗ" передний для Лада Нива Travel (Без покраски)</t>
  </si>
  <si>
    <t>Y</t>
  </si>
  <si>
    <t>21230280301580</t>
  </si>
  <si>
    <t>21230280301580</t>
  </si>
  <si>
    <t>кузовщина</t>
  </si>
  <si>
    <t>https://motorring.ru/product/35691-bamper-peredniy-neokrashennyy-ppi-dlya-lada-niva-trevel</t>
  </si>
  <si>
    <t>Y</t>
  </si>
  <si>
    <t>Бампер задний "Bertone" с решетками для Шевроле Нива</t>
  </si>
  <si>
    <t>Бампер задний "Bertone" с решетками для Шевроле Нива (Без покраски)</t>
  </si>
  <si>
    <t>Y</t>
  </si>
  <si>
    <t>21230280401555</t>
  </si>
  <si>
    <t>21230280401555</t>
  </si>
  <si>
    <t>кузовщина</t>
  </si>
  <si>
    <t>https://motorring.ru/product/1570-zadniy-bamper-bertone-restayling-shevrole-niva</t>
  </si>
  <si>
    <t>Y</t>
  </si>
  <si>
    <t>Бампер задний "АвтоВАЗ" для Лада Приора универсал</t>
  </si>
  <si>
    <t>Бампер задний "АвтоВАЗ" для Лада Приора универсал (Без покраски)</t>
  </si>
  <si>
    <t>Y</t>
  </si>
  <si>
    <t>21710280401501</t>
  </si>
  <si>
    <t>21710280401501</t>
  </si>
  <si>
    <t>кузовщина</t>
  </si>
  <si>
    <t>https://motorring.ru/product/16096-zadniy-bamper-lada-priora-universal</t>
  </si>
  <si>
    <t>Y</t>
  </si>
  <si>
    <t>Бампер задний в цвет кузова под металлический усилитель для ВАЗ 2115</t>
  </si>
  <si>
    <t>Бампер задний в цвет кузова под металлический усилитель для ВАЗ 2115 (Без покраски)</t>
  </si>
  <si>
    <t>Y</t>
  </si>
  <si>
    <t>21150280401520</t>
  </si>
  <si>
    <t>21150280401520</t>
  </si>
  <si>
    <t>кузовщина</t>
  </si>
  <si>
    <t>https://motorring.ru/product/16092-zadniy-bamper-vaz-2115</t>
  </si>
  <si>
    <t>Y</t>
  </si>
  <si>
    <t>Бампер задний в цвет кузова под пластиковый усилитель для ВАЗ 2115</t>
  </si>
  <si>
    <t>Бампер задний в цвет кузова под пластиковый усилитель для ВАЗ 2115 (Без покраски)</t>
  </si>
  <si>
    <t>Y</t>
  </si>
  <si>
    <t>21150280401532</t>
  </si>
  <si>
    <t>21150280401532</t>
  </si>
  <si>
    <t>кузовщина</t>
  </si>
  <si>
    <t>https://motorring.ru/product/16092-zadniy-bamper-vaz-2115</t>
  </si>
  <si>
    <t>Y</t>
  </si>
  <si>
    <t>Бампер задний с серой полосой в цвет кузова (под металлический усилитель) для ВАЗ 2115</t>
  </si>
  <si>
    <t>Бампер задний с серой полосой в цвет кузова (под металлический усилитель) для ВАЗ 2115 (Без покраски)</t>
  </si>
  <si>
    <t>Y</t>
  </si>
  <si>
    <t>21150280401520</t>
  </si>
  <si>
    <t>21150280401520</t>
  </si>
  <si>
    <t>кузовщина</t>
  </si>
  <si>
    <t>https://motorring.ru/product/16092-zadniy-bamper-vaz-2115</t>
  </si>
  <si>
    <t>Y</t>
  </si>
  <si>
    <t>Бампер задний с серой полосой в цвет кузова (под пластиковый усилитель) для ВАЗ 2115</t>
  </si>
  <si>
    <t>Бампер задний с серой полосой в цвет кузова (под пластиковый усилитель) для ВАЗ 2115 (Без покраски)</t>
  </si>
  <si>
    <t>Y</t>
  </si>
  <si>
    <t>21150280401532</t>
  </si>
  <si>
    <t>21150280401532</t>
  </si>
  <si>
    <t>кузовщина</t>
  </si>
  <si>
    <t>https://motorring.ru/product/16092-zadniy-bamper-vaz-2115</t>
  </si>
  <si>
    <t>Y</t>
  </si>
  <si>
    <t>Бампер задний старого образца для Шевроле Нива</t>
  </si>
  <si>
    <t>Бампер задний старого образца для Шевроле Нива (Без покраски)</t>
  </si>
  <si>
    <t>Y</t>
  </si>
  <si>
    <t>21230280401531</t>
  </si>
  <si>
    <t>21230280401531</t>
  </si>
  <si>
    <t>кузовщина</t>
  </si>
  <si>
    <t>https://motorring.ru/product/10493-zadniy-bamper-shevrole-niva</t>
  </si>
  <si>
    <t>Y</t>
  </si>
  <si>
    <t>Бампер передний "АвтоВАЗ" (без отверстий под парктроник) для Лада Веста NG</t>
  </si>
  <si>
    <t>Бампер передний "АвтоВАЗ" (без отверстий под парктроник) для Лада Веста NG (Без покраски)</t>
  </si>
  <si>
    <t>Y</t>
  </si>
  <si>
    <t>8450040054</t>
  </si>
  <si>
    <t>8450040054</t>
  </si>
  <si>
    <t>кузовщина</t>
  </si>
  <si>
    <t>https://motorring.ru/product/36858-bamper-peredniy-bez-otverstiyi-parktronika-vesta-ng</t>
  </si>
  <si>
    <t>Y</t>
  </si>
  <si>
    <t>Бампер передний для Лада Ларгус Кросс</t>
  </si>
  <si>
    <t>Бампер передний для Лада Ларгус Кросс (Без покраски)</t>
  </si>
  <si>
    <t>Y</t>
  </si>
  <si>
    <t>8450009387</t>
  </si>
  <si>
    <t>8450009387</t>
  </si>
  <si>
    <t>кузовщина</t>
  </si>
  <si>
    <t>https://motorring.ru/product/16532-bamper-peredniy-neokrashennyy-otverstiyami-pod-molding-lada</t>
  </si>
  <si>
    <t>Y</t>
  </si>
  <si>
    <t>Бампер передний старого образца для Шевроле Нива</t>
  </si>
  <si>
    <t>Бампер передний старого образца для Шевроле Нива (Без покраски)</t>
  </si>
  <si>
    <t>Y</t>
  </si>
  <si>
    <t>21230280301531</t>
  </si>
  <si>
    <t>21230280301531</t>
  </si>
  <si>
    <t>кузовщина</t>
  </si>
  <si>
    <t>https://motorring.ru/product/10493-zadniy-bamper-shevrole-niva</t>
  </si>
  <si>
    <t>Y</t>
  </si>
  <si>
    <t>Дверь "АвтоВАЗ" задняя левая для Лада Нива Travel</t>
  </si>
  <si>
    <t>Дверь задняя (левая, оригинал) для Лада Нива Travel (Без покраски)</t>
  </si>
  <si>
    <t>Y</t>
  </si>
  <si>
    <t>21230620002181</t>
  </si>
  <si>
    <t>21230620002181</t>
  </si>
  <si>
    <t>кузовщина</t>
  </si>
  <si>
    <t>https://motorring.ru/product/36799-zadnyaya-levaya-dvery-kataforeznym-pokrytiem-trevel</t>
  </si>
  <si>
    <t>Y</t>
  </si>
  <si>
    <t>Дверь "АвтоВАЗ" задняя правая для Лада Нива Travel</t>
  </si>
  <si>
    <t>Дверь задняя (правая, оригинал) для Лада Нива Travel (Без покраски)</t>
  </si>
  <si>
    <t>Y</t>
  </si>
  <si>
    <t>21230620002081</t>
  </si>
  <si>
    <t>21230620002081</t>
  </si>
  <si>
    <t>кузовщина</t>
  </si>
  <si>
    <t>https://motorring.ru/product/36798-zadnyaya-pravaya-dvery-kataforeznym-pokrytiem-trevel</t>
  </si>
  <si>
    <t>Y</t>
  </si>
  <si>
    <t>Дверь "АвтоВАЗ" передняя левая в сборе для Лада Веста, Веста NG Cross</t>
  </si>
  <si>
    <t>Дверь передняя левая "АвтоВАЗ в сборе для Лада Веста, Веста NG Cross (Без покраски)</t>
  </si>
  <si>
    <t>Y</t>
  </si>
  <si>
    <t>8460013094</t>
  </si>
  <si>
    <t>8460013094</t>
  </si>
  <si>
    <t>кузовщина</t>
  </si>
  <si>
    <t>https://motorring.ru/product/21277-dvery-perednyaya-levaya-cvet-lada-vesta-kross</t>
  </si>
  <si>
    <t>Y</t>
  </si>
  <si>
    <t>Дверь "АвтоВАЗ" передняя левая для ВАЗ 2108</t>
  </si>
  <si>
    <t>Дверь "АвтоВАЗ" передняя левая для ВАЗ 2108 (Без покраски)</t>
  </si>
  <si>
    <t>Y</t>
  </si>
  <si>
    <t>21080610001500</t>
  </si>
  <si>
    <t>21080610001500</t>
  </si>
  <si>
    <t>кузовщина</t>
  </si>
  <si>
    <t>Y</t>
  </si>
  <si>
    <t>Дверь "АвтоВАЗ" передняя левая для ВАЗ 2113</t>
  </si>
  <si>
    <t>Дверь "АвтоВАЗ" передняя левая для ВАЗ 2113 (Без покраски)</t>
  </si>
  <si>
    <t>Y</t>
  </si>
  <si>
    <t>21130610001570</t>
  </si>
  <si>
    <t>21130610001570</t>
  </si>
  <si>
    <t>кузовщина</t>
  </si>
  <si>
    <t>Y</t>
  </si>
  <si>
    <t>Дверь "АвтоВАЗ" передняя правая для ВАЗ 2108</t>
  </si>
  <si>
    <t>Дверь "АвтоВАЗ" передняя правая для ВАЗ 2108 (Без покраски)</t>
  </si>
  <si>
    <t>Y</t>
  </si>
  <si>
    <t>21080610001400</t>
  </si>
  <si>
    <t>21080610001400</t>
  </si>
  <si>
    <t>кузовщина</t>
  </si>
  <si>
    <t>Y</t>
  </si>
  <si>
    <t>Дверь "АвтоВАЗ" передняя правая для ВАЗ 2113</t>
  </si>
  <si>
    <t>Дверь "АвтоВАЗ" передняя правая для ВАЗ 2113 (Без покраски)</t>
  </si>
  <si>
    <t>Y</t>
  </si>
  <si>
    <t>21130610001470</t>
  </si>
  <si>
    <t>21130610001470</t>
  </si>
  <si>
    <t>кузовщина</t>
  </si>
  <si>
    <t>Y</t>
  </si>
  <si>
    <t>Дверь задка "АвтоВАЗ" в сборе (катафорез) для Лада XRAY</t>
  </si>
  <si>
    <t>Дверь задка "АвтоВАЗ" в сборе (катафорез) для Лада XRAY (Без покраски)</t>
  </si>
  <si>
    <t>Y</t>
  </si>
  <si>
    <t>901001870R</t>
  </si>
  <si>
    <t>901001870R</t>
  </si>
  <si>
    <t>кузовщина</t>
  </si>
  <si>
    <t>https://motorring.ru/product/27675-dvery-bagaghnika-cvet-lada-iks-rey-iks-rey-cross</t>
  </si>
  <si>
    <t>Y</t>
  </si>
  <si>
    <t>Дверь задка "АвтоВАЗ" в сборе (катафорез) для Лада Гранта FL универсал</t>
  </si>
  <si>
    <t>Дверь задка "АвтоВАЗ" в сборе (катафорез) для Лада Гранта FL универсал (Без покраски)</t>
  </si>
  <si>
    <t>Y</t>
  </si>
  <si>
    <t>8450104285</t>
  </si>
  <si>
    <t>8450104285</t>
  </si>
  <si>
    <t>кузовщина</t>
  </si>
  <si>
    <t>https://motorring.ru/product/27063-dvery-bagaghnika-cvet-lada-granta-universal</t>
  </si>
  <si>
    <t>Y</t>
  </si>
  <si>
    <t>Дверь задка "АвтоВАЗ" в сборе (катафорез) для Лада Гранта FL хэтчбек</t>
  </si>
  <si>
    <t>Дверь задка "АвтоВАЗ" в сборе (катафорез) для Лада Гранта FL хэтчбек (Без покраски)</t>
  </si>
  <si>
    <t>Y</t>
  </si>
  <si>
    <t>8450104284</t>
  </si>
  <si>
    <t>8450104284</t>
  </si>
  <si>
    <t>кузовщина</t>
  </si>
  <si>
    <t>https://motorring.ru/product/27678-dvery-bagaghnika-cvet-lada-granta-hetchbek</t>
  </si>
  <si>
    <t>Y</t>
  </si>
  <si>
    <t>Дверь задка "АвтоВАЗ" в сборе (катафорез) для Лада Калина 2</t>
  </si>
  <si>
    <t>Дверь задка "АвтоВАЗ" в сборе (катафорез) для Лада Калина 2 (Без покраски)</t>
  </si>
  <si>
    <t>Y</t>
  </si>
  <si>
    <t>8450105046</t>
  </si>
  <si>
    <t>8450105046</t>
  </si>
  <si>
    <t>кузовщина</t>
  </si>
  <si>
    <t>https://motorring.ru/product/27063-dvery-bagaghnika-cvet-lada-granta-universal</t>
  </si>
  <si>
    <t>Y</t>
  </si>
  <si>
    <t>Дверь задка "АвтоВАЗ" в сборе (катафорез) для Лада Калина 2 хэтчбек</t>
  </si>
  <si>
    <t>Дверь задка "АвтоВАЗ" в сборе (катафорез) для Лада Калина 2 хэтчбек (Без покраски)</t>
  </si>
  <si>
    <t>Y</t>
  </si>
  <si>
    <t>8450105045</t>
  </si>
  <si>
    <t>8450105045</t>
  </si>
  <si>
    <t>кузовщина</t>
  </si>
  <si>
    <t>https://motorring.ru/product/10587-dvery-bagaghnika-cvet-lada-kalina-hetchbek</t>
  </si>
  <si>
    <t>Y</t>
  </si>
  <si>
    <t>Дверь задка "АвтоВАЗ" в сборе для Лада Веста SW, SW Cross</t>
  </si>
  <si>
    <t>Дверь задка "АвтоВАЗ" в сборе для Лада Веста SW, Веста SW Cross (Без покраски)</t>
  </si>
  <si>
    <t>Y</t>
  </si>
  <si>
    <t>8450102347</t>
  </si>
  <si>
    <t>8450102347</t>
  </si>
  <si>
    <t>кузовщина</t>
  </si>
  <si>
    <t>https://motorring.ru/product/27668-kryshka-bagaghnika-cvet-lada-vesta-sw</t>
  </si>
  <si>
    <t>Y</t>
  </si>
  <si>
    <t>Дверь задка "АвтоВАЗ" в сборе с отверстием под стеклоочиститель (катафорез) для Лада Гранта FL лифтбек</t>
  </si>
  <si>
    <t>Дверь задка "АвтоВАЗ" в сборе с отверстием под стеклоочиститель (катафорез) для Лада Гранта FL лифтбек (Без покраски)</t>
  </si>
  <si>
    <t>Y</t>
  </si>
  <si>
    <t>8450104282</t>
  </si>
  <si>
    <t>8450104282</t>
  </si>
  <si>
    <t>кузовщина</t>
  </si>
  <si>
    <t>https://motorring.ru/product/22748-dvery-bagaghnika-cvet-lada-granta-fl-liftbek</t>
  </si>
  <si>
    <t>Y</t>
  </si>
  <si>
    <t>Дверь задка "АвтоВАЗ" для Лада Веста NG</t>
  </si>
  <si>
    <t>Дверь задка "АвтоВАЗ" для Лада Веста NG (Без покраски)</t>
  </si>
  <si>
    <t>Y</t>
  </si>
  <si>
    <t>8450013788</t>
  </si>
  <si>
    <t>8450013788</t>
  </si>
  <si>
    <t>кузовщина</t>
  </si>
  <si>
    <t>https://motorring.ru/product/38245-dvery-bagaghnika-hlopushka-dlya-lada-vesta-sw-ng</t>
  </si>
  <si>
    <t>Y</t>
  </si>
  <si>
    <t>Дверь задняя "АвтоВАЗ" левая в сборе для Лада Веста SW</t>
  </si>
  <si>
    <t>Дверь задняя "АвтоВАЗ" левая в сборе для Лада Веста SW (Без отверстий под молдинг, Без покраски)</t>
  </si>
  <si>
    <t>Y</t>
  </si>
  <si>
    <t>8460013101</t>
  </si>
  <si>
    <t>8460013101</t>
  </si>
  <si>
    <t>кузовщина</t>
  </si>
  <si>
    <t>https://motorring.ru/product/27665-dvery-zadnyaya-levaya-cvet-lada-vesta-sw</t>
  </si>
  <si>
    <t>Y</t>
  </si>
  <si>
    <t>Дверь задняя "АвтоВАЗ" левая в сборе для Лада Веста SW</t>
  </si>
  <si>
    <t>Дверь задняя "АвтоВАЗ" левая в сборе для Лада Веста SW (С отверстиями под молдинг, Без покраски)</t>
  </si>
  <si>
    <t>Y</t>
  </si>
  <si>
    <t>8460013102</t>
  </si>
  <si>
    <t>8460013102</t>
  </si>
  <si>
    <t>кузовщина</t>
  </si>
  <si>
    <t>https://motorring.ru/product/21279-dvery-zadnyaya-levaya-cvet-lada-vesta-sw-kross</t>
  </si>
  <si>
    <t>Y</t>
  </si>
  <si>
    <t>Дверь задняя "АвтоВАЗ" правая в сборе для Лада Веста SW</t>
  </si>
  <si>
    <t>Дверь задняя "АвтоВАЗ" правая в сборе для Лада Веста SW (Без отверстий под молдинг, Без покраски)</t>
  </si>
  <si>
    <t>Y</t>
  </si>
  <si>
    <t>8460013097</t>
  </si>
  <si>
    <t>8460013097</t>
  </si>
  <si>
    <t>кузовщина</t>
  </si>
  <si>
    <t>https://motorring.ru/product/27664-dvery-zadnyaya-pravaya-cvet-lada-vesta-universal</t>
  </si>
  <si>
    <t>Дверь задняя "АвтоВАЗ" правая в сборе для Лада Веста SW</t>
  </si>
  <si>
    <t>Дверь задняя "АвтоВАЗ" правая в сборе для Лада Веста SW (С отверстиями под молдинг, Без покраски)</t>
  </si>
  <si>
    <t>Y</t>
  </si>
  <si>
    <t>8460013098</t>
  </si>
  <si>
    <t>8460013098</t>
  </si>
  <si>
    <t>кузовщина</t>
  </si>
  <si>
    <t>https://motorring.ru/product/21278-dvery-zadnyaya-pravaya-cvet-lada-vesta-sw-kross</t>
  </si>
  <si>
    <t>Y</t>
  </si>
  <si>
    <t>Дверь передняя правая "АвтоВАЗ" в сборе для Лада Веста Cross, Веста NG Cross</t>
  </si>
  <si>
    <t>Дверь передняя правая "АвтоВАЗ" в сборе для Лада Веста, Веста NG Cross (Без покраски)</t>
  </si>
  <si>
    <t>Y</t>
  </si>
  <si>
    <t>8460013092</t>
  </si>
  <si>
    <t>8460013092</t>
  </si>
  <si>
    <t>кузовщина</t>
  </si>
  <si>
    <t>https://motorring.ru/product/21276-dvery-perednyaya-pravaya-cvet-lada-vesta-kross</t>
  </si>
  <si>
    <t>Y</t>
  </si>
  <si>
    <t>Заглушка переднего бампера под буксировочный крюк "АвтоВАЗ" для Лада Веста Cross</t>
  </si>
  <si>
    <t>Заглушка переднего бампера под буксировочный крюк "АвтоВАЗ" для Лада Веста Cross (Без покраски)</t>
  </si>
  <si>
    <t>Y</t>
  </si>
  <si>
    <t>8450031005</t>
  </si>
  <si>
    <t>8450031005</t>
  </si>
  <si>
    <t>кузовщина</t>
  </si>
  <si>
    <t>https://motorring.ru/product/18608-zaglushka-perednego-bampera-lada-vesta-kross</t>
  </si>
  <si>
    <t>Y</t>
  </si>
  <si>
    <t>Заглушка переднего бампера под буксировочный крюк "АвтоВАЗ" для Лада Веста NG</t>
  </si>
  <si>
    <t>Заглушка переднего бампера под буксировочный крюк "АвтоВАЗ" для Лада Веста NG (Без покраски)</t>
  </si>
  <si>
    <t>Y</t>
  </si>
  <si>
    <t>8450040057</t>
  </si>
  <si>
    <t>8450040057</t>
  </si>
  <si>
    <t>кузовщина</t>
  </si>
  <si>
    <t>Заглушка переднего бампера под буксировочный крюк "АвтоВАЗ" для Лада Веста Спорт</t>
  </si>
  <si>
    <t>Заглушка переднего бампера под буксировочный крюк "АвтоВАЗ" для Лада Веста Спорт (Без покраски)</t>
  </si>
  <si>
    <t>Y</t>
  </si>
  <si>
    <t>8450038550</t>
  </si>
  <si>
    <t>8450038550</t>
  </si>
  <si>
    <t>кузовщина</t>
  </si>
  <si>
    <t>Y</t>
  </si>
  <si>
    <t>Заглушка переднего бампера под буксировочный крюк для Лада Ларгус FL</t>
  </si>
  <si>
    <t>Заглушка переднего бампера под буксировочный крюк (без покраски) для Лада Ларгус FL</t>
  </si>
  <si>
    <t>Y</t>
  </si>
  <si>
    <t>8450091013</t>
  </si>
  <si>
    <t>8450091013</t>
  </si>
  <si>
    <t>кузовщина</t>
  </si>
  <si>
    <t>Y</t>
  </si>
  <si>
    <t>Задний бампер "АвтоВАЗ" для Лада Нива Travel</t>
  </si>
  <si>
    <t>Задний бампер "АвтоВАЗ" для Лада Нива Travel (Без покраски)</t>
  </si>
  <si>
    <t>Y</t>
  </si>
  <si>
    <t>8460010159</t>
  </si>
  <si>
    <t>8460010159</t>
  </si>
  <si>
    <t>кузовщина</t>
  </si>
  <si>
    <t>https://motorring.ru/product/35690-bamper-zadniy-neokrashennyy-ppi-dlya-lada-niva-trevel</t>
  </si>
  <si>
    <t>Y</t>
  </si>
  <si>
    <t>Задний бампер "АвтоВАЗ" с кронштейнами под парктроник (4 отверстия) для Лада Веста NG</t>
  </si>
  <si>
    <t>Задний бампер "АвтоВАЗ" с кронштейнами под парктроник (4 отверстия) для Лада Веста NG (Без покраски)</t>
  </si>
  <si>
    <t>Y</t>
  </si>
  <si>
    <t>8460008780</t>
  </si>
  <si>
    <t>8460008780</t>
  </si>
  <si>
    <t>кузовщина</t>
  </si>
  <si>
    <t>Y</t>
  </si>
  <si>
    <t>Задний бампер в цвет кузова Лада Калина 2 универсал</t>
  </si>
  <si>
    <t>Задний бампер в цвет кузова Лада Калина 2 универсал (Без отверстий под парктроники Без покраски)</t>
  </si>
  <si>
    <t>Y</t>
  </si>
  <si>
    <t>21940280401501</t>
  </si>
  <si>
    <t>21940280401501</t>
  </si>
  <si>
    <t>кузовщина</t>
  </si>
  <si>
    <t>https://motorring.ru/product/16105-zadniy-bamper-lada-kalina-universal</t>
  </si>
  <si>
    <t>Y</t>
  </si>
  <si>
    <t>Задний бампер в цвет кузова Лада Калина 2 универсал</t>
  </si>
  <si>
    <t>Задний бампер в цвет кузова Лада Калина 2 универсал (С отверстиями под парктроник, Без покраски)</t>
  </si>
  <si>
    <t>Y</t>
  </si>
  <si>
    <t>21940280401511</t>
  </si>
  <si>
    <t>21940280401511</t>
  </si>
  <si>
    <t>кузовщина</t>
  </si>
  <si>
    <t>https://motorring.ru/product/16105-zadniy-bamper-lada-kalina-universal</t>
  </si>
  <si>
    <t>Y</t>
  </si>
  <si>
    <t>Задний бампер для ВАЗ 2110</t>
  </si>
  <si>
    <t>Задний бампер для ВАЗ 2110 (Без покраски)</t>
  </si>
  <si>
    <t>Y</t>
  </si>
  <si>
    <t>211002804015</t>
  </si>
  <si>
    <t>211002804015</t>
  </si>
  <si>
    <t>кузовщина</t>
  </si>
  <si>
    <t>https://motorring.ru/product/16085-zadniy-bamper-vaz-2110</t>
  </si>
  <si>
    <t>Y</t>
  </si>
  <si>
    <t>Задний бампер для ВАЗ 2112</t>
  </si>
  <si>
    <t>Задний бампер для ВАЗ 2112 (Без покраски)</t>
  </si>
  <si>
    <t>Y</t>
  </si>
  <si>
    <t>21120280401230</t>
  </si>
  <si>
    <t>21120280401230</t>
  </si>
  <si>
    <t>кузовщина</t>
  </si>
  <si>
    <t>https://motorring.ru/product/16086-zadniy-bamper-vaz-2112</t>
  </si>
  <si>
    <t>Задний бампер для ВАЗ 2113, 2114</t>
  </si>
  <si>
    <t>Задний бампер для ВАЗ 2113, 2114 (Без покраски)</t>
  </si>
  <si>
    <t>Y</t>
  </si>
  <si>
    <t>21130280401530</t>
  </si>
  <si>
    <t>21130280401530</t>
  </si>
  <si>
    <t>кузовщина</t>
  </si>
  <si>
    <t>https://motorring.ru/product/16090-zadniy-bamper-vaz-2113-2114</t>
  </si>
  <si>
    <t>Y</t>
  </si>
  <si>
    <t>Задний бампер для Лада Калина 2 хэтчбек</t>
  </si>
  <si>
    <t>Задний бампер для Лада Калина 2 хэтчбек (Без покраски, С отверстиями под парктроники)</t>
  </si>
  <si>
    <t>Y</t>
  </si>
  <si>
    <t>21920280401511</t>
  </si>
  <si>
    <t>21920280401511</t>
  </si>
  <si>
    <t>кузовщина</t>
  </si>
  <si>
    <t>https://motorring.ru/product/16104-zadniy-bamper-lada-kalina-2-hetchbek</t>
  </si>
  <si>
    <t>Y</t>
  </si>
  <si>
    <t>Задний бампер для Лада Калина 2 хэтчбек</t>
  </si>
  <si>
    <t>Задний бампер для Лада Калина 2 хэтчбек (Без покраски)</t>
  </si>
  <si>
    <t>Y</t>
  </si>
  <si>
    <t>21920280401501</t>
  </si>
  <si>
    <t>21920280401501</t>
  </si>
  <si>
    <t>кузовщина</t>
  </si>
  <si>
    <t>https://motorring.ru/product/16104-zadniy-bamper-lada-kalina-2-hetchbek</t>
  </si>
  <si>
    <t>Y</t>
  </si>
  <si>
    <t>Задний бампер для Лада Калина седан</t>
  </si>
  <si>
    <t>Задний бампер для Лада Калина седан (Без покраски)</t>
  </si>
  <si>
    <t>Y</t>
  </si>
  <si>
    <t>11180280401501</t>
  </si>
  <si>
    <t>11180280401501</t>
  </si>
  <si>
    <t>кузовщина</t>
  </si>
  <si>
    <t>https://motorring.ru/product/16081-zadniy-bamper-lada-kalina-sedan</t>
  </si>
  <si>
    <t>Y</t>
  </si>
  <si>
    <t>Задний бампер для Лада Калина универсал</t>
  </si>
  <si>
    <t>Задний бампер для Лада Калина универсал (Без покраски)</t>
  </si>
  <si>
    <t>Y</t>
  </si>
  <si>
    <t>11170280401563</t>
  </si>
  <si>
    <t>11170280401563</t>
  </si>
  <si>
    <t>кузовщина</t>
  </si>
  <si>
    <t>https://motorring.ru/product/16083-zadniy-bamper-lada-kalina-universal</t>
  </si>
  <si>
    <t>Y</t>
  </si>
  <si>
    <t>Задний бампер для Лада Калина хэтчбек</t>
  </si>
  <si>
    <t>Задний бампер для Лада Калина хэтчбек (Без покраски)</t>
  </si>
  <si>
    <t>Y</t>
  </si>
  <si>
    <t>11190280401501</t>
  </si>
  <si>
    <t>11190280401501</t>
  </si>
  <si>
    <t>кузовщина</t>
  </si>
  <si>
    <t>https://motorring.ru/product/16082-zadniy-bamper-lada-kalina-hetchbek</t>
  </si>
  <si>
    <t>Y</t>
  </si>
  <si>
    <t>Задний бампер для Лада Ларгус</t>
  </si>
  <si>
    <t>Задний бампер для Лада Ларгус (Без покраски)</t>
  </si>
  <si>
    <t>Y</t>
  </si>
  <si>
    <t>8450000257</t>
  </si>
  <si>
    <t>8450000257</t>
  </si>
  <si>
    <t>кузовщина</t>
  </si>
  <si>
    <t>https://motorring.ru/product/16107-zadniy-bamper-lada-largus</t>
  </si>
  <si>
    <t>Y</t>
  </si>
  <si>
    <t>Задний бампер нового образца для Шевроле Нива</t>
  </si>
  <si>
    <t>Задний бампер нового образца для Шевроле Нива (Без покраски)</t>
  </si>
  <si>
    <t>Y</t>
  </si>
  <si>
    <t>21230280401555</t>
  </si>
  <si>
    <t>21230280401555</t>
  </si>
  <si>
    <t>кузовщина</t>
  </si>
  <si>
    <t>https://motorring.ru/product/1570-zadniy-bamper-bertone-restayling-shevrole-niva</t>
  </si>
  <si>
    <t>Y</t>
  </si>
  <si>
    <t>Задний бампер с серой полосой для ВАЗ 2113, 2114</t>
  </si>
  <si>
    <t>Задний бампер с серой полосой для ВАЗ 2113, 2114 (Без покраски)</t>
  </si>
  <si>
    <t>Y</t>
  </si>
  <si>
    <t>21130280401530</t>
  </si>
  <si>
    <t>21130280401530</t>
  </si>
  <si>
    <t>кузовщина</t>
  </si>
  <si>
    <t>https://motorring.ru/product/16090-zadniy-bamper-vaz-2113-2114</t>
  </si>
  <si>
    <t>Y</t>
  </si>
  <si>
    <t>Задний бампер старого образца для Лада Приора хэтчбек</t>
  </si>
  <si>
    <t>Задний бампер старого образца для Лада Приора хэтчбек (Без отверстий под парктроник, Без покраски)</t>
  </si>
  <si>
    <t>Y</t>
  </si>
  <si>
    <t>21720280401501</t>
  </si>
  <si>
    <t>21720280401501</t>
  </si>
  <si>
    <t>кузовщина</t>
  </si>
  <si>
    <t>https://motorring.ru/product/16097-zadniy-bamper-lada-priora-hetchbek</t>
  </si>
  <si>
    <t>Y</t>
  </si>
  <si>
    <t>Задний бампер старого образца для Лада Приора хэтчбек</t>
  </si>
  <si>
    <t>Задний бампер старого образца для Лада Приора хэтчбек (С отверстиями под парктроники, Без покраски)</t>
  </si>
  <si>
    <t>Y</t>
  </si>
  <si>
    <t>21720280401511</t>
  </si>
  <si>
    <t>21720280401511</t>
  </si>
  <si>
    <t>кузовщина</t>
  </si>
  <si>
    <t>https://motorring.ru/product/10489-peredniy-bamper-lyuks-ptf-lada-kalina</t>
  </si>
  <si>
    <t>Y</t>
  </si>
  <si>
    <t>Капот "АвтоВАЗ" для Лада Ларгус FL</t>
  </si>
  <si>
    <t>Капот "АвтоВАЗ" для Лада Ларгус FL (Без покраски)</t>
  </si>
  <si>
    <t>Y</t>
  </si>
  <si>
    <t>8450013078</t>
  </si>
  <si>
    <t>8450013078</t>
  </si>
  <si>
    <t>кузовщина</t>
  </si>
  <si>
    <t>https://motorring.ru/product/33152-kapot-sbore-dlya-lada-largus-fl</t>
  </si>
  <si>
    <t>Y</t>
  </si>
  <si>
    <t>Капот оригинальный для Датсун mi-DO, on-DO</t>
  </si>
  <si>
    <t>Капот оригинальный для Датсун on-Do, mi-Do (Без покраски)</t>
  </si>
  <si>
    <t>Y</t>
  </si>
  <si>
    <t>651005PA0D</t>
  </si>
  <si>
    <t>651005PA0D</t>
  </si>
  <si>
    <t>кузовщина</t>
  </si>
  <si>
    <t>https://motorring.ru/product/10526-kapot-cvet-datsun</t>
  </si>
  <si>
    <t>Крыло "АвтоВАЗ" переднее левое без отверстия под повторитель для Лада Гранта FL</t>
  </si>
  <si>
    <t>Крыло переднее левое без отверстия под повторитель для Лада Гранта FL (Без покраски, Без отверстий под молдинг)</t>
  </si>
  <si>
    <t>Y</t>
  </si>
  <si>
    <t>8450104277</t>
  </si>
  <si>
    <t>8450104277</t>
  </si>
  <si>
    <t>кузовщина</t>
  </si>
  <si>
    <t>https://motorring.ru/product/19951-krylo-perednee-levoe-dlya-lada-granta</t>
  </si>
  <si>
    <t>Y</t>
  </si>
  <si>
    <t>Крыло "АвтоВАЗ" переднее левое без отверстия под повторитель для Лада Гранта FL</t>
  </si>
  <si>
    <t>Крыло переднее левое без отверстия под повторитель для Лада Гранта FL (Без покраски, С отверстиями под молдинг)</t>
  </si>
  <si>
    <t>Y</t>
  </si>
  <si>
    <t>8450104276</t>
  </si>
  <si>
    <t>8450104276</t>
  </si>
  <si>
    <t>кузовщина</t>
  </si>
  <si>
    <t>https://motorring.ru/product/35156-krylo-perednee-levoe-kataforez-lada-granta-fl-kross</t>
  </si>
  <si>
    <t>Y</t>
  </si>
  <si>
    <t>Крыло "АвтоВАЗ" переднее левое для Лада Нива Travel</t>
  </si>
  <si>
    <t>Крыло "АвтоВАЗ" переднее левое для Лада Нива Travel (Без покраски, Без отверстия под шноркель)</t>
  </si>
  <si>
    <t>Y</t>
  </si>
  <si>
    <t>21230840301181</t>
  </si>
  <si>
    <t>21230840301181</t>
  </si>
  <si>
    <t>кузовщина</t>
  </si>
  <si>
    <t>https://motorring.ru/product/36970-krylo-perednee-levoe-novogo-obrazca-lada-niva-trevel</t>
  </si>
  <si>
    <t>Y</t>
  </si>
  <si>
    <t>Крыло "АвтоВАЗ" переднее левое для Лада Нива Travel</t>
  </si>
  <si>
    <t>Крыло "АвтоВАЗ" переднее левое для Лада Нива Travel (Без покраски, С отверстием под шноркель)</t>
  </si>
  <si>
    <t>Y</t>
  </si>
  <si>
    <t>21230840301188</t>
  </si>
  <si>
    <t>21230840301188</t>
  </si>
  <si>
    <t>кузовщина</t>
  </si>
  <si>
    <t>Y</t>
  </si>
  <si>
    <t>Крыло "АвтоВАЗ" переднее правое для Лада Ларгус</t>
  </si>
  <si>
    <t>Крыло "АвтоВАЗ" переднее правое для Лада Ларгус (С отверстиями под молдинг, Без покраски)</t>
  </si>
  <si>
    <t>Y</t>
  </si>
  <si>
    <t>631005857R</t>
  </si>
  <si>
    <t>631005857R</t>
  </si>
  <si>
    <t>кузовщина</t>
  </si>
  <si>
    <t>https://motorring.ru/product/33153-krylo-perednee-pravoe-dlya-lada-largus-kross</t>
  </si>
  <si>
    <t>Y</t>
  </si>
  <si>
    <t>Крыло "АвтоВАЗ" переднее правое для Лада Ларгус</t>
  </si>
  <si>
    <t>Крыло переднее правое для Лада Ларгус (Без отверстий под молдинг, Без покраски)</t>
  </si>
  <si>
    <t>Y</t>
  </si>
  <si>
    <t>6001549973</t>
  </si>
  <si>
    <t>6001549973</t>
  </si>
  <si>
    <t>кузовщина</t>
  </si>
  <si>
    <t>https://motorring.ru/product/10498-krylo-perednee-pravoe-cvet-lada-largus</t>
  </si>
  <si>
    <t>Крыло "АвтоВАЗ" переднее правое для Лада Нива Travel</t>
  </si>
  <si>
    <t>Крыло "АвтоВАЗ" переднее правое для Лада Нива Travel (Без покраски)</t>
  </si>
  <si>
    <t>Y</t>
  </si>
  <si>
    <t>21230840301081</t>
  </si>
  <si>
    <t>21230840301081</t>
  </si>
  <si>
    <t>кузовщина</t>
  </si>
  <si>
    <t>https://motorring.ru/product/36969-krylo-perednee-pravoe-novogo-obrazca-lada-niva-trevel</t>
  </si>
  <si>
    <t>Y</t>
  </si>
  <si>
    <t>Крыло "АвтоВАЗ" переднее правое, без отверстия под повторитель для Лада Гранта FL</t>
  </si>
  <si>
    <t>Крыло переднее правое, без отверстия под повторитель для Лада Гранта FL (Без покраски, Без отверстий под молдинг)</t>
  </si>
  <si>
    <t>Y</t>
  </si>
  <si>
    <t>8450104274</t>
  </si>
  <si>
    <t>8450104274</t>
  </si>
  <si>
    <t>кузовщина</t>
  </si>
  <si>
    <t>https://motorring.ru/product/19952-krylo-perednee-pravoe-lada-granta</t>
  </si>
  <si>
    <t>Y</t>
  </si>
  <si>
    <t>Крыло "АвтоВАЗ" переднее правое, без отверстия под повторитель для Лада Гранта FL</t>
  </si>
  <si>
    <t>Крыло переднее правое, без отверстия под повторитель для Лада Гранта FL (Без покраски, С отверстиями под молдинг)</t>
  </si>
  <si>
    <t>Y</t>
  </si>
  <si>
    <t>8450104273</t>
  </si>
  <si>
    <t>8450104273</t>
  </si>
  <si>
    <t>кузовщина</t>
  </si>
  <si>
    <t>https://motorring.ru/product/35152-krylo-perednee-pravoe-kataforez-lada-granta-fl-kross</t>
  </si>
  <si>
    <t>Y</t>
  </si>
  <si>
    <t>Крыло левое для ВАЗ 2110-2112</t>
  </si>
  <si>
    <t>Крыло левое для ВАЗ 2110-2112 (Без покраски)</t>
  </si>
  <si>
    <t>Y</t>
  </si>
  <si>
    <t>21100840301530</t>
  </si>
  <si>
    <t>21100840301530</t>
  </si>
  <si>
    <t>кузовщина</t>
  </si>
  <si>
    <t>https://motorring.ru/product/16047-krylo-perednee-levoe-cvet-vaz-2110-2112</t>
  </si>
  <si>
    <t>Y</t>
  </si>
  <si>
    <t>Крыло левое для Лада Калина</t>
  </si>
  <si>
    <t>Крыло левое для Лада Калина (Без покраски)</t>
  </si>
  <si>
    <t>Y</t>
  </si>
  <si>
    <t>11180840301170</t>
  </si>
  <si>
    <t>11180840301170</t>
  </si>
  <si>
    <t>кузовщина</t>
  </si>
  <si>
    <t>https://motorring.ru/product/16062-krylo-perednee-levoe-cvet-lada-kalina</t>
  </si>
  <si>
    <t>Y</t>
  </si>
  <si>
    <t>Крыло левое для Лада Калина 2, Гранта</t>
  </si>
  <si>
    <t>Крыло левое для Лада Калина 2, Гранта (Без покраски, Без отверстий под молдинг)</t>
  </si>
  <si>
    <t>Y</t>
  </si>
  <si>
    <t>21900840301170</t>
  </si>
  <si>
    <t>21900840301170</t>
  </si>
  <si>
    <t>кузовщина</t>
  </si>
  <si>
    <t>https://motorring.ru/product/16058-krylo-perednee-levoe-cvet-lada-kalina-granta</t>
  </si>
  <si>
    <t>Y</t>
  </si>
  <si>
    <t>Крыло левое для Лада Калина 2, Гранта</t>
  </si>
  <si>
    <t>Крыло левое для Лада Калина 2, Гранта (Без покраски, С отверстиями под молдинг)</t>
  </si>
  <si>
    <t>Y</t>
  </si>
  <si>
    <t>21900840301175</t>
  </si>
  <si>
    <t>21900840301175</t>
  </si>
  <si>
    <t>кузовщина</t>
  </si>
  <si>
    <t>https://motorring.ru/product/27676-krylo-perednee-levoe-lada-granta-fl-cross</t>
  </si>
  <si>
    <t>Y</t>
  </si>
  <si>
    <t>Крыло переднее левое для Лада Ларгус</t>
  </si>
  <si>
    <t>Крыло переднее левое для Лада Ларгус (Без отверстий под молдинг, Без покраски)</t>
  </si>
  <si>
    <t>Y</t>
  </si>
  <si>
    <t>6001549971</t>
  </si>
  <si>
    <t>6001549971</t>
  </si>
  <si>
    <t>кузовщина</t>
  </si>
  <si>
    <t>https://motorring.ru/product/33154-krylo-perednee-levoe-dlya-lada-largus-kross</t>
  </si>
  <si>
    <t>Y</t>
  </si>
  <si>
    <t>Крыло переднее левое для Лада Ларгус</t>
  </si>
  <si>
    <t>Крыло переднее левое для Лада Ларгус (С отверстиями под молдинг, Без покраски)</t>
  </si>
  <si>
    <t>Y</t>
  </si>
  <si>
    <t>631018778R</t>
  </si>
  <si>
    <t>631018778R</t>
  </si>
  <si>
    <t>кузовщина</t>
  </si>
  <si>
    <t>https://motorring.ru/product/33154-krylo-perednee-levoe-dlya-lada-largus-kross</t>
  </si>
  <si>
    <t>Y</t>
  </si>
  <si>
    <t>Крыло переднее левое, с отверстием под повторитель для Лада Гранта FL</t>
  </si>
  <si>
    <t>Крыло переднее левое, с отверстием под повторитель для Лада Гранта FL (Без покраски)</t>
  </si>
  <si>
    <t>Y</t>
  </si>
  <si>
    <t>8450104275</t>
  </si>
  <si>
    <t>8450104275</t>
  </si>
  <si>
    <t>кузовщина</t>
  </si>
  <si>
    <t>https://motorring.ru/product/36962-krylo-perednee-levoe-kataforez-pod-povorotnik-lada-granta-fl</t>
  </si>
  <si>
    <t>Y</t>
  </si>
  <si>
    <t>Крыло переднее правое для Лада Калина 2, Гранта</t>
  </si>
  <si>
    <t>Крыло переднее правое для Лада Калина 2, Гранта (Без покраски, Без отверстий под молдинг)</t>
  </si>
  <si>
    <t>Y</t>
  </si>
  <si>
    <t>21900840301070</t>
  </si>
  <si>
    <t>21900840301070</t>
  </si>
  <si>
    <t>кузовщина</t>
  </si>
  <si>
    <t>https://motorring.ru/product/10335-krylo-perednee-pravoe-cvet-lada-kalina-granta</t>
  </si>
  <si>
    <t>Y</t>
  </si>
  <si>
    <t>Крыло переднее правое для Лада Калина 2, Гранта</t>
  </si>
  <si>
    <t>Крыло переднее правое для Лада Калина 2, Гранта (Без покраски, С отверстиями под молдинг)</t>
  </si>
  <si>
    <t>Y</t>
  </si>
  <si>
    <t>21900840301075</t>
  </si>
  <si>
    <t>21900840301075</t>
  </si>
  <si>
    <t>кузовщина</t>
  </si>
  <si>
    <t>https://motorring.ru/product/27677-krylo-perednee-pravoe-lada-granta-fl-cross</t>
  </si>
  <si>
    <t>Y</t>
  </si>
  <si>
    <t>Крыло переднее правое, с отверстием под повторитель для Лада Гранта FL</t>
  </si>
  <si>
    <t>Крыло переднее правое, с отверстием под повторитель для Лада Гранта FL (Без покраски)</t>
  </si>
  <si>
    <t>Y</t>
  </si>
  <si>
    <t>8450104272</t>
  </si>
  <si>
    <t>8450104272</t>
  </si>
  <si>
    <t>кузовщина</t>
  </si>
  <si>
    <t>https://motorring.ru/product/36961-krylo-perednee-pravoe-kataforez-s-povorotnikom-lada-granta-fl</t>
  </si>
  <si>
    <t>Y</t>
  </si>
  <si>
    <t>Крыло правое для ВАЗ 2110-2112</t>
  </si>
  <si>
    <t>Крыло правое для ВАЗ 2110-2112 (Без покраски)</t>
  </si>
  <si>
    <t>Y</t>
  </si>
  <si>
    <t>21100840301430</t>
  </si>
  <si>
    <t>21100840301430</t>
  </si>
  <si>
    <t>кузовщина</t>
  </si>
  <si>
    <t>https://motorring.ru/product/2879-krylo-perednee-pravoe-cvet-vaz-2110-2112</t>
  </si>
  <si>
    <t>Y</t>
  </si>
  <si>
    <t>Крыло правое для Лада Калина</t>
  </si>
  <si>
    <t>Крыло правое для Лада Калина (Без покраски)</t>
  </si>
  <si>
    <t>Y</t>
  </si>
  <si>
    <t>11180840301070</t>
  </si>
  <si>
    <t>11180840301070</t>
  </si>
  <si>
    <t>кузовщина</t>
  </si>
  <si>
    <t>https://motorring.ru/product/10337-krylo-perednee-pravoe-cvet-lada-kalina</t>
  </si>
  <si>
    <t>Y</t>
  </si>
  <si>
    <t>Крышка антенны "плавника" для Лада Веста</t>
  </si>
  <si>
    <t>Крышка антенны "плавника" для Лада Веста (Без покраски)</t>
  </si>
  <si>
    <t>Y</t>
  </si>
  <si>
    <t>8450031991</t>
  </si>
  <si>
    <t>8450031991</t>
  </si>
  <si>
    <t>кузовщина</t>
  </si>
  <si>
    <t>Крышка багажника "АвтоВАЗ" в сборе (отверстия под спойлер) для Лада Веста Спорт</t>
  </si>
  <si>
    <t>Крышка багажника "АвтоВАЗ" в сборе (отверстия под спойлер) для Лада Веста Спорт (Без покраски)</t>
  </si>
  <si>
    <t>Y</t>
  </si>
  <si>
    <t>8450105288</t>
  </si>
  <si>
    <t>8450105288</t>
  </si>
  <si>
    <t>кузовщина</t>
  </si>
  <si>
    <t>Y</t>
  </si>
  <si>
    <t>Крышка багажника "АвтоВАЗ" в сборе для Лада Веста NG седан</t>
  </si>
  <si>
    <t>Крышка багажника "АвтоВАЗ" в сборе для Лада Веста NG седан (Без покраски)</t>
  </si>
  <si>
    <t>Y</t>
  </si>
  <si>
    <t>8450013789</t>
  </si>
  <si>
    <t>8450013789</t>
  </si>
  <si>
    <t>кузовщина</t>
  </si>
  <si>
    <t>https://motorring.ru/product/38244-dvery-bagaghnika-lada-vesta-ng-sedan</t>
  </si>
  <si>
    <t>Y</t>
  </si>
  <si>
    <t>Крышка багажника для Датсун on-DO</t>
  </si>
  <si>
    <t>Крышка багажника для Датсун mi-DO, on-DO (Без покраски)</t>
  </si>
  <si>
    <t>Y</t>
  </si>
  <si>
    <t>843005PA0B</t>
  </si>
  <si>
    <t>843005PA0B</t>
  </si>
  <si>
    <t>кузовщина</t>
  </si>
  <si>
    <t>https://motorring.ru/product/10529-kryshka-bagaghnika-cvet-datsun-on-do</t>
  </si>
  <si>
    <t>Y</t>
  </si>
  <si>
    <t>Крышка багажника для Лада Веста седан</t>
  </si>
  <si>
    <t>Крышка багажника для Лада Веста (Без покраски)</t>
  </si>
  <si>
    <t>Y</t>
  </si>
  <si>
    <t>8450039387</t>
  </si>
  <si>
    <t>8450039387</t>
  </si>
  <si>
    <t>кузовщина</t>
  </si>
  <si>
    <t>https://motorring.ru/product/33601-kryshka-bagaghnika-kataforez-lada-vesta-sedan</t>
  </si>
  <si>
    <t>Y</t>
  </si>
  <si>
    <t>Крышка багажника для Лада Гранта FL</t>
  </si>
  <si>
    <t>Крышка багажника для Лада Гранта FL (Без покраски)</t>
  </si>
  <si>
    <t>Y</t>
  </si>
  <si>
    <t>8450104268</t>
  </si>
  <si>
    <t>8450104268</t>
  </si>
  <si>
    <t>кузовщина</t>
  </si>
  <si>
    <t>https://motorring.ru/product/19950-kryshka-bagaghnika-cvet-lada-granta-sedan</t>
  </si>
  <si>
    <t>Y</t>
  </si>
  <si>
    <t>Крышка багажника для Лада Калина (седан)</t>
  </si>
  <si>
    <t>Крышка багажника для Лада Калина (седан) (Без покраски)</t>
  </si>
  <si>
    <t>Y</t>
  </si>
  <si>
    <t>11180560401070</t>
  </si>
  <si>
    <t>11180560401070</t>
  </si>
  <si>
    <t>кузовщина</t>
  </si>
  <si>
    <t>https://motorring.ru/product/16064-kryshka-bagaghnika-cvet-lada-kalina-sedan</t>
  </si>
  <si>
    <t>Y</t>
  </si>
  <si>
    <t>Крышка багажника для Лада Приора (седан)</t>
  </si>
  <si>
    <t>Крышка багажника для Лада Приора (седан) (Без покраски)</t>
  </si>
  <si>
    <t>Y</t>
  </si>
  <si>
    <t>21700560401070</t>
  </si>
  <si>
    <t>21700560401070</t>
  </si>
  <si>
    <t>кузовщина</t>
  </si>
  <si>
    <t>https://motorring.ru/product/16054-kryshka-bagaghnika-dlya-lada-priora-sedan</t>
  </si>
  <si>
    <t>Y</t>
  </si>
  <si>
    <t>Лючок бензобака "АвтоВАЗ" в сборе для Шевроле Нива</t>
  </si>
  <si>
    <t>Крышка "АвтоВАЗ" люка бака топливного в сборе для Шевроле Нива (Без покраски)</t>
  </si>
  <si>
    <t>Y</t>
  </si>
  <si>
    <t>21230841301000</t>
  </si>
  <si>
    <t>21230841301000</t>
  </si>
  <si>
    <t>кузовщина</t>
  </si>
  <si>
    <t>https://motorring.ru/product/5032-kryshka-lyuka-benzobaka-sbore-dlya-shevrole-niva</t>
  </si>
  <si>
    <t>Y</t>
  </si>
  <si>
    <t>Лючок бензобака "АвтоВАЗ" для ВАЗ 2115</t>
  </si>
  <si>
    <t>Лючок бензобака "АвтоВАЗ" для ВАЗ 2115 (Без покраски)</t>
  </si>
  <si>
    <t>Y</t>
  </si>
  <si>
    <t>21150541301000</t>
  </si>
  <si>
    <t>21150541301000</t>
  </si>
  <si>
    <t>кузовщина</t>
  </si>
  <si>
    <t>https://motorring.ru/product/1231-lyuchok-benzobaka-cvet-vaz-2115</t>
  </si>
  <si>
    <t>Лючок бензобака "АвтоВАЗ" для Лада Веста</t>
  </si>
  <si>
    <t>Лючок бензобака "АвтоВАЗ" для Лада Веста (Без покраски)</t>
  </si>
  <si>
    <t>Y</t>
  </si>
  <si>
    <t>8450038415</t>
  </si>
  <si>
    <t>8450038415</t>
  </si>
  <si>
    <t>кузовщина</t>
  </si>
  <si>
    <t>https://motorring.ru/product/2505-kryshka-lyuka-nalivnoy-gorloviny-toplivnogo-baka-novogo</t>
  </si>
  <si>
    <t>Y</t>
  </si>
  <si>
    <t>Лючок бензобака для ВАЗ 2108-21099, 2113, 2114</t>
  </si>
  <si>
    <t>Лючок бензобака для ВАЗ 2108-21099, 2113, 2114 (Без покраски)</t>
  </si>
  <si>
    <t>Y</t>
  </si>
  <si>
    <t>21080541301001</t>
  </si>
  <si>
    <t>21080541301001</t>
  </si>
  <si>
    <t>кузовщина</t>
  </si>
  <si>
    <t>https://motorring.ru/product/17813-kryshka-lyuka-nalivnoy-gorloviny-vaz-2108-2109-21099-2113</t>
  </si>
  <si>
    <t>Y</t>
  </si>
  <si>
    <t>Лючок бензобака для ВАЗ 2110-2112</t>
  </si>
  <si>
    <t>Лючок бензобака для ВАЗ 2110-2112 (Без покраски)</t>
  </si>
  <si>
    <t>Y</t>
  </si>
  <si>
    <t>21100541301000</t>
  </si>
  <si>
    <t>21100541301000</t>
  </si>
  <si>
    <t>кузовщина</t>
  </si>
  <si>
    <t>https://motorring.ru/product/2878-lyuchok-benzobaka-cvet-vaz-2110-2112</t>
  </si>
  <si>
    <t>Y</t>
  </si>
  <si>
    <t>Лючок бензобака для Лада Приора</t>
  </si>
  <si>
    <t>Лючок бензобака для Лада Приора (Без покраски)</t>
  </si>
  <si>
    <t>Y</t>
  </si>
  <si>
    <t>21700541301000</t>
  </si>
  <si>
    <t>21700541301000</t>
  </si>
  <si>
    <t>кузовщина</t>
  </si>
  <si>
    <t>https://motorring.ru/product/1373-lyuchok-benzobaka-cvet-lada-priora</t>
  </si>
  <si>
    <t>Y</t>
  </si>
  <si>
    <t>Молдинг двери "АвтоВАЗ" задней, правый для Шевроле Нива (с 2009 г. в.)</t>
  </si>
  <si>
    <t>Молдинг двери "АвтоВАЗ" задней, правый для Шевроле Нива (с 2009 г. в.) (Без покраски)</t>
  </si>
  <si>
    <t>Y</t>
  </si>
  <si>
    <t>21230821215055</t>
  </si>
  <si>
    <t>21230821215055</t>
  </si>
  <si>
    <t>кузовщина</t>
  </si>
  <si>
    <t>https://motorring.ru/product/13499-molding-zadney-dveri-pravyy-bertone-restayling-shevrole</t>
  </si>
  <si>
    <t>Y</t>
  </si>
  <si>
    <t>Молдинг крыла "АвтоВАЗ" заднего левого для Шевроле Нива (с 2009 г. в.)</t>
  </si>
  <si>
    <t>Молдинг крыла "АвтоВАЗ" заднего левого для Шевроле Нива (с 2009 г. в.) (Без покраски)</t>
  </si>
  <si>
    <t>Y</t>
  </si>
  <si>
    <t>21230821230555</t>
  </si>
  <si>
    <t>21230821230555</t>
  </si>
  <si>
    <t>кузовщина</t>
  </si>
  <si>
    <t>https://motorring.ru/product/13504-nakladka-arki-zadnyaya-levaya-bertone-restayling-shevrole</t>
  </si>
  <si>
    <t>Y</t>
  </si>
  <si>
    <t>Накладка "АвтоВАЗ" корпуса зеркала левая (под окраску GLS) для Шевроле Нива</t>
  </si>
  <si>
    <t>Накладка "АвтоВАЗ" корпуса зеркала левая (под окраску GLS) для Шевроле Нива (Без покраски)</t>
  </si>
  <si>
    <t>Y</t>
  </si>
  <si>
    <t>21230820122561</t>
  </si>
  <si>
    <t>21230820122561</t>
  </si>
  <si>
    <t>кузовщина</t>
  </si>
  <si>
    <t>Y</t>
  </si>
  <si>
    <t>Накладка "АвтоВАЗ" корпуса зеркала правая  (под окраску GLS) для Шевроле Нива</t>
  </si>
  <si>
    <t>Накладка "АвтоВАЗ" корпуса зеркала правая  (под окраску GLS) для Шевроле Нива (Без покраски)</t>
  </si>
  <si>
    <t>Y</t>
  </si>
  <si>
    <t>21230820122461</t>
  </si>
  <si>
    <t>21230820122461</t>
  </si>
  <si>
    <t>кузовщина</t>
  </si>
  <si>
    <t>Y</t>
  </si>
  <si>
    <t>Накладка "АвтоВАЗ" на зеркало левое (для запчастей) для Лада Веста NG</t>
  </si>
  <si>
    <t>Накладка "АвтоВАЗ" на зеркало левое (для запчастей) для Лада Веста NG (Без покраски)</t>
  </si>
  <si>
    <t>Y</t>
  </si>
  <si>
    <t>8460008989</t>
  </si>
  <si>
    <t>8460008989</t>
  </si>
  <si>
    <t>кузовщина</t>
  </si>
  <si>
    <t>Y</t>
  </si>
  <si>
    <t>Накладка "АвтоВАЗ" на зеркало правое (для запчастей) для Лада Веста NG</t>
  </si>
  <si>
    <t>Накладка "АвтоВАЗ" на зеркало правое (для запчастей) для Лада Веста NG (Без покраски)</t>
  </si>
  <si>
    <t>Y</t>
  </si>
  <si>
    <t>8460008990</t>
  </si>
  <si>
    <t>8460008990</t>
  </si>
  <si>
    <t>кузовщина</t>
  </si>
  <si>
    <t>Y</t>
  </si>
  <si>
    <t>Накладка двери задка "АвтоВАЗ" (под кнопку и камеру) для Лада Калина 2, Гранта FL универсал</t>
  </si>
  <si>
    <t>Накладка двери задка "АвтоВАЗ" (под кнопку и камеру) для Лада Калина 2, Гранта FL универсал (Без покраски)</t>
  </si>
  <si>
    <t>Y</t>
  </si>
  <si>
    <t>8450103782</t>
  </si>
  <si>
    <t>8450103782</t>
  </si>
  <si>
    <t>кузовщина</t>
  </si>
  <si>
    <t>Накладка крышки багажника для Лада Гранта (лифтбек)</t>
  </si>
  <si>
    <t>Накладка крышки багажника для Лада Гранта (лифтбек) (Без покраски)</t>
  </si>
  <si>
    <t>Y</t>
  </si>
  <si>
    <t>21910821252601</t>
  </si>
  <si>
    <t>21910821252601</t>
  </si>
  <si>
    <t>кузовщина</t>
  </si>
  <si>
    <t>Оригинальная дверь задка (откидная) для Лада Приора (хэтчбек)</t>
  </si>
  <si>
    <t>Оригинальная дверь задка (откидная) для Лада Приора (хэтчбек) (Без покраски)</t>
  </si>
  <si>
    <t>Y</t>
  </si>
  <si>
    <t>21720630002070</t>
  </si>
  <si>
    <t>21720630002070</t>
  </si>
  <si>
    <t>кузовщина</t>
  </si>
  <si>
    <t>https://motorring.ru/product/16056-dvery-bagaghnika-dlya-lada-priora-hetchbek</t>
  </si>
  <si>
    <t>Y</t>
  </si>
  <si>
    <t>Оригинальная дверь задка для Лада Нива 4х4</t>
  </si>
  <si>
    <t>Оригинальная дверь задка для Лада Нива 4х4 (Без покраски)</t>
  </si>
  <si>
    <t>Y</t>
  </si>
  <si>
    <t>21213630001410</t>
  </si>
  <si>
    <t>21213630001410</t>
  </si>
  <si>
    <t>кузовщина</t>
  </si>
  <si>
    <t>https://motorring.ru/product/13854-dvery-bagaghnika-cvet-lada-niva-4h4</t>
  </si>
  <si>
    <t>Y</t>
  </si>
  <si>
    <t>Оригинальная дверь задка для Лада Приора (универсал)</t>
  </si>
  <si>
    <t>Оригинальная дверь задка для Лада Приора (универсал) (Без покраски)</t>
  </si>
  <si>
    <t>Y</t>
  </si>
  <si>
    <t>21710630002070</t>
  </si>
  <si>
    <t>21710630002070</t>
  </si>
  <si>
    <t>кузовщина</t>
  </si>
  <si>
    <t>https://motorring.ru/product/16055-dvery-bagaghnika-cvet-lada-priora-universal</t>
  </si>
  <si>
    <t>Y</t>
  </si>
  <si>
    <t>Оригинальная дверь задка левая (глухая) для Лада Ларгус (фургон)</t>
  </si>
  <si>
    <t>Оригинальная дверь задка левая (глухая) для Лада Ларгус (фургон) (Без покраски)</t>
  </si>
  <si>
    <t>Y</t>
  </si>
  <si>
    <t>901010231R</t>
  </si>
  <si>
    <t>901010231R</t>
  </si>
  <si>
    <t>кузовщина</t>
  </si>
  <si>
    <t>https://motorring.ru/product/10507-dvery-bagaghnika-levaya-gluhaya-dlya-lada-largus</t>
  </si>
  <si>
    <t>Y</t>
  </si>
  <si>
    <t>Оригинальная дверь задка левая (под стекло) для Лада Ларгус</t>
  </si>
  <si>
    <t>Оригинальная дверь задка левая (под стекло) для Лада Ларгус (Без покраски)</t>
  </si>
  <si>
    <t>Y</t>
  </si>
  <si>
    <t>901015964R</t>
  </si>
  <si>
    <t>901015964R</t>
  </si>
  <si>
    <t>кузовщина</t>
  </si>
  <si>
    <t>https://motorring.ru/product/10508-dvery-bagaghnika-levaya-pod-steklo-dlya-lada-largus</t>
  </si>
  <si>
    <t>Y</t>
  </si>
  <si>
    <t>Оригинальная дверь задка откидная для ВАЗ 2108, 2109</t>
  </si>
  <si>
    <t>Оригинальная дверь задка откидная для ВАЗ 2108, 2109 (Без покраски)</t>
  </si>
  <si>
    <t>Y</t>
  </si>
  <si>
    <t>21080630002070</t>
  </si>
  <si>
    <t>21080630002070</t>
  </si>
  <si>
    <t>кузовщина</t>
  </si>
  <si>
    <t>https://motorring.ru/product/16043-dvery-bagaghnika-dlya-vaz-2108-2109</t>
  </si>
  <si>
    <t>Оригинальная дверь задка откидная для ВАЗ 2111</t>
  </si>
  <si>
    <t>Оригинальная дверь задка откидная для ВАЗ 2111 (Без покраски)</t>
  </si>
  <si>
    <t>Y</t>
  </si>
  <si>
    <t>21110630002010</t>
  </si>
  <si>
    <t>21110630002010</t>
  </si>
  <si>
    <t>кузовщина</t>
  </si>
  <si>
    <t>https://motorring.ru/product/16295-dvery-bagaghnika-cvet-vaz-2111</t>
  </si>
  <si>
    <t>Y</t>
  </si>
  <si>
    <t>Оригинальная дверь задка откидная для ВАЗ 2112</t>
  </si>
  <si>
    <t>Оригинальная дверь задка откидная для ВАЗ 2112 (Без покраски)</t>
  </si>
  <si>
    <t>Y</t>
  </si>
  <si>
    <t>21120630002000</t>
  </si>
  <si>
    <t>21120630002000</t>
  </si>
  <si>
    <t>кузовщина</t>
  </si>
  <si>
    <t>https://motorring.ru/product/33112-dvery-bagaghnika-vaz-2112</t>
  </si>
  <si>
    <t>Y</t>
  </si>
  <si>
    <t>Оригинальная дверь задка откидная для ВАЗ 2113, 2114</t>
  </si>
  <si>
    <t>Оригинальная дверь задка откидная для ВАЗ 2113, 2114 (Без покраски)</t>
  </si>
  <si>
    <t>Y</t>
  </si>
  <si>
    <t>21140630002070</t>
  </si>
  <si>
    <t>21140630002070</t>
  </si>
  <si>
    <t>кузовщина</t>
  </si>
  <si>
    <t>https://motorring.ru/product/373-dvery-bagaghnika-cvet-vaz-2113-2114</t>
  </si>
  <si>
    <t>Y</t>
  </si>
  <si>
    <t>Оригинальная дверь задка откидная для Датсун mi-Do</t>
  </si>
  <si>
    <t>Оригинальная дверь задка откидная для Датсун mi-Do (Без покраски)</t>
  </si>
  <si>
    <t>Y</t>
  </si>
  <si>
    <t>901005PA0В</t>
  </si>
  <si>
    <t>901005PA0В</t>
  </si>
  <si>
    <t>кузовщина</t>
  </si>
  <si>
    <t>https://motorring.ru/product/10525-dvery-bagaghnika-cvet-datsun-mi-do</t>
  </si>
  <si>
    <t>Y</t>
  </si>
  <si>
    <t>Оригинальная дверь задка откидная для Лада Гранта (лифтбек)</t>
  </si>
  <si>
    <t>Оригинальная дверь задка откидная для Лада Гранта (лифтбек) (Без покраски)</t>
  </si>
  <si>
    <t>Y</t>
  </si>
  <si>
    <t>21910630002070</t>
  </si>
  <si>
    <t>21910630002070</t>
  </si>
  <si>
    <t>кузовщина</t>
  </si>
  <si>
    <t>https://motorring.ru/product/1678-dvery-bagaghnika-cvet-lada-granta-liftbek</t>
  </si>
  <si>
    <t>Y</t>
  </si>
  <si>
    <t>Оригинальная дверь задка откидная для Лада Калина (универсал)</t>
  </si>
  <si>
    <t>Оригинальная дверь задка откидная для Лада Калина (универсал) (Без покраски)</t>
  </si>
  <si>
    <t>Y</t>
  </si>
  <si>
    <t>11170630002070</t>
  </si>
  <si>
    <t>11170630002070</t>
  </si>
  <si>
    <t>кузовщина</t>
  </si>
  <si>
    <t>https://motorring.ru/product/16066-dvery-bagaghnika-cvet-lada-kalina-universal</t>
  </si>
  <si>
    <t>Y</t>
  </si>
  <si>
    <t>Оригинальная дверь задка откидная для Лада Калина (хэтчбек)</t>
  </si>
  <si>
    <t>Оригинальная дверь задка откидная для Лада Калина (хэтчбек) (Без покраски)</t>
  </si>
  <si>
    <t>Y</t>
  </si>
  <si>
    <t>11190630002070</t>
  </si>
  <si>
    <t>11190630002070</t>
  </si>
  <si>
    <t>кузовщина</t>
  </si>
  <si>
    <t>https://motorring.ru/product/16065-dvery-bagaghnika-cvet-lada-kalina-hetchbek</t>
  </si>
  <si>
    <t>Y</t>
  </si>
  <si>
    <t>Оригинальная дверь задка откидная для Шевроле Нива</t>
  </si>
  <si>
    <t>Оригинальная дверь задка откидная для Шевроле Нива (Без покраски)</t>
  </si>
  <si>
    <t>Y</t>
  </si>
  <si>
    <t>21230630002000</t>
  </si>
  <si>
    <t>21230630002000</t>
  </si>
  <si>
    <t>кузовщина</t>
  </si>
  <si>
    <t>https://motorring.ru/product/36881-originalynaya-dvery-bagaghnika-dlya-lada-niva-trevel</t>
  </si>
  <si>
    <t>Y</t>
  </si>
  <si>
    <t>Оригинальная дверь задка правая (глухая) для Лада Ларгус (фургон)</t>
  </si>
  <si>
    <t>Оригинальная дверь задка правая (глухая) для Лада Ларгус (фургон) (Без покраски)</t>
  </si>
  <si>
    <t>Y</t>
  </si>
  <si>
    <t>901004643R</t>
  </si>
  <si>
    <t>901004643R</t>
  </si>
  <si>
    <t>кузовщина</t>
  </si>
  <si>
    <t>https://motorring.ru/product/10505-dvery-bagaghnika-pravaya-gluhaya-dlya-lada-largus</t>
  </si>
  <si>
    <t>Y</t>
  </si>
  <si>
    <t>Оригинальная дверь задка правая (под стекло) для Лада Ларгус</t>
  </si>
  <si>
    <t>Оригинальная дверь задка правая (под стекло) для Лада Ларгус (Без покраски)</t>
  </si>
  <si>
    <t>Y</t>
  </si>
  <si>
    <t>901005637R</t>
  </si>
  <si>
    <t>901005637R</t>
  </si>
  <si>
    <t>кузовщина</t>
  </si>
  <si>
    <t>https://motorring.ru/product/10506-dvery-bagaghnika-pravaya-pod-steklo-dlya-lada-largus</t>
  </si>
  <si>
    <t>Y</t>
  </si>
  <si>
    <t>Оригинальная дверь задняя левая для ВАЗ (2110, 2112), Лада Приора (седан, хэтчбек)</t>
  </si>
  <si>
    <t>Оригинальная дверь задняя левая для ВАЗ 2110, 2112, Лада Приора (седан, хэтчбек) (Без покраски)</t>
  </si>
  <si>
    <t>Y</t>
  </si>
  <si>
    <t>21100620001570</t>
  </si>
  <si>
    <t>21100620001570</t>
  </si>
  <si>
    <t>кузовщина</t>
  </si>
  <si>
    <t>https://motorring.ru/product/16050-dvery-zadnyaya-levaya-cvet-vaz-2110-2112-lada-priora-sedan</t>
  </si>
  <si>
    <t>Y</t>
  </si>
  <si>
    <t>Оригинальная дверь задняя левая для ВАЗ 2111, Лада Приора (универсал)</t>
  </si>
  <si>
    <t>Оригинальная дверь задняя левая для ВАЗ 2111, Лада Приора (универсал) (Без покраски)</t>
  </si>
  <si>
    <t>Y</t>
  </si>
  <si>
    <t>21110620001570</t>
  </si>
  <si>
    <t>21110620001570</t>
  </si>
  <si>
    <t>кузовщина</t>
  </si>
  <si>
    <t>https://motorring.ru/product/5273-dvery-zadnyaya-levaya-cvet-vaz-2111-lada-priora-universal</t>
  </si>
  <si>
    <t>Y</t>
  </si>
  <si>
    <t>Оригинальная дверь задняя левая для Лада Калина, Калина 2 (универсал)</t>
  </si>
  <si>
    <t>Оригинальная дверь задняя левая для Лада Калина, Калина 2 (универсал) (Без покраски, Без отверстий под молдинг)</t>
  </si>
  <si>
    <t>Y</t>
  </si>
  <si>
    <t>11170620001580</t>
  </si>
  <si>
    <t>11170620001580</t>
  </si>
  <si>
    <t>кузовщина</t>
  </si>
  <si>
    <t>https://motorring.ru/product/16067-dvery-zadnyaya-levaya-cvet-lada-kalina-kalina-universal</t>
  </si>
  <si>
    <t>Y</t>
  </si>
  <si>
    <t>Оригинальная дверь задняя левая для Лада Калина, Калина 2 (универсал)</t>
  </si>
  <si>
    <t>Оригинальная дверь задняя левая для Лада Калина, Калина 2 (универсал) (Без покраски, С отверстиями под молдинг)</t>
  </si>
  <si>
    <t>Y</t>
  </si>
  <si>
    <t>11170620001590</t>
  </si>
  <si>
    <t>11170620001590</t>
  </si>
  <si>
    <t>кузовщина</t>
  </si>
  <si>
    <t>https://motorring.ru/product/33110-dvery-zadnyaya-levaya-dlya-lada-kalina-kross-granta-kross</t>
  </si>
  <si>
    <t>Y</t>
  </si>
  <si>
    <t>Оригинальная дверь задняя правая для ВАЗ (2110, 2112), Лада Приора (седан, хэтчбек)</t>
  </si>
  <si>
    <t>Оригинальная дверь задняя правая для ВАЗ (2110, 2112), Лада Приора (седан, хэтчбек) (Без покраски)</t>
  </si>
  <si>
    <t>Y</t>
  </si>
  <si>
    <t>21100620001470</t>
  </si>
  <si>
    <t>21100620001470</t>
  </si>
  <si>
    <t>кузовщина</t>
  </si>
  <si>
    <t>https://motorring.ru/product/1536-dvery-zadnyaya-pravaya-cvet-vaz-2110-2112-lada-priora-sedan</t>
  </si>
  <si>
    <t>Y</t>
  </si>
  <si>
    <t>Оригинальная дверь задняя правая для ВАЗ 2111, Лада Приора (универсал)</t>
  </si>
  <si>
    <t>Оригинальная дверь задняя правая для ВАЗ 2111, Лада Приора (универсал) (Без покраски)</t>
  </si>
  <si>
    <t>Y</t>
  </si>
  <si>
    <t>21110620001470</t>
  </si>
  <si>
    <t>21110620001470</t>
  </si>
  <si>
    <t>кузовщина</t>
  </si>
  <si>
    <t>https://motorring.ru/product/16051-dvery-zadnyaya-pravaya-cvet-vaz-2111-lada-priora-universal</t>
  </si>
  <si>
    <t>Y</t>
  </si>
  <si>
    <t>Оригинальная дверь задняя правая для Лада Калина, Калина 2 (универсал)</t>
  </si>
  <si>
    <t>Оригинальная дверь задняя правая для Лада Калина, Калина 2 (универсал) (Без покраски, Без отверстий под молдинг)</t>
  </si>
  <si>
    <t>Y</t>
  </si>
  <si>
    <t>11170620001480</t>
  </si>
  <si>
    <t>11170620001480</t>
  </si>
  <si>
    <t>кузовщина</t>
  </si>
  <si>
    <t>https://motorring.ru/product/10339-dvery-zadnyaya-pravaya-cvet-lada-kalina-kalina-universal</t>
  </si>
  <si>
    <t>Y</t>
  </si>
  <si>
    <t>Оригинальная дверь задняя правая для Лада Калина, Калина 2 (универсал)</t>
  </si>
  <si>
    <t>Оригинальная дверь задняя правая для Лада Калина, Калина 2 (универсал) (Без покраски, С отверстиями под молдинг)</t>
  </si>
  <si>
    <t>Y</t>
  </si>
  <si>
    <t>11170620001490</t>
  </si>
  <si>
    <t>11170620001490</t>
  </si>
  <si>
    <t>кузовщина</t>
  </si>
  <si>
    <t>https://motorring.ru/product/33109-dvery-zadnyaya-pravaya-dlya-lada-kalina-kross-granta-kross</t>
  </si>
  <si>
    <t>Оригинальная дверь передняя левая для ВАЗ 2110-2112, Лада Приора</t>
  </si>
  <si>
    <t>Оригинальная дверь передняя левая для ВАЗ 2110-2112, Лада Приора (Без покраски)</t>
  </si>
  <si>
    <t>Y</t>
  </si>
  <si>
    <t>21100610001570</t>
  </si>
  <si>
    <t>21100610001570</t>
  </si>
  <si>
    <t>кузовщина</t>
  </si>
  <si>
    <t>https://motorring.ru/product/16048-dvery-perednyaya-levaya-vaz-2110-2111-2112-lada-priora</t>
  </si>
  <si>
    <t>Y</t>
  </si>
  <si>
    <t>Оригинальная дверь передняя правая для ВАЗ 2110-2112, Лада Приора</t>
  </si>
  <si>
    <t>Оригинальная дверь передняя правая для ВАЗ 2110-2112, Лада Приора (Без покраски)</t>
  </si>
  <si>
    <t>Y</t>
  </si>
  <si>
    <t>21100610001470</t>
  </si>
  <si>
    <t>21100610001470</t>
  </si>
  <si>
    <t>кузовщина</t>
  </si>
  <si>
    <t>https://motorring.ru/product/16049-dvery-perednyaya-pravaya-vaz-2110-2111-2112-lada-priora</t>
  </si>
  <si>
    <t>Y</t>
  </si>
  <si>
    <t>Оригинальная заглушка переднего бампера под буксировочный крюк для Лада Приора 2</t>
  </si>
  <si>
    <t>Оригинальная заглушка переднего бампера под буксировочный крюк для Лада Приора 2 (Без покраски)</t>
  </si>
  <si>
    <t>Y</t>
  </si>
  <si>
    <t>21704280329400</t>
  </si>
  <si>
    <t>21704280329400</t>
  </si>
  <si>
    <t>кузовщина</t>
  </si>
  <si>
    <t>https://motorring.ru/product/5554-zaglushka-perednego-bampera-pod-buksirovochnyy-kryuk-lada</t>
  </si>
  <si>
    <t>Оригинальная задняя дверь левая в цвет кузова ВАЗ 2109, 21099</t>
  </si>
  <si>
    <t>Оригинальная задняя дверь левая в цвет кузова ВАЗ 2109-21099 (Без покраски)</t>
  </si>
  <si>
    <t>Y</t>
  </si>
  <si>
    <t>21090620001500</t>
  </si>
  <si>
    <t>21090620001500</t>
  </si>
  <si>
    <t>кузовщина</t>
  </si>
  <si>
    <t>https://motorring.ru/product/16042-dvery-zadnyaya-levaya-cvet-vaz-2109-21099</t>
  </si>
  <si>
    <t>Y</t>
  </si>
  <si>
    <t>Оригинальная задняя левая дверь (глухая) для Лада Ларгус (фургон)</t>
  </si>
  <si>
    <t>Оригинальная задняя левая дверь (глухая) для Лада Ларгус (фургон) (Без покраски, Без отверстий под молдинг)</t>
  </si>
  <si>
    <t>Y</t>
  </si>
  <si>
    <t>821010763R</t>
  </si>
  <si>
    <t>821010763R</t>
  </si>
  <si>
    <t>кузовщина</t>
  </si>
  <si>
    <t>https://motorring.ru/product/10502-dvery-zadnyaya-levaya-gluhaya-cvet-lada-largus</t>
  </si>
  <si>
    <t>Y</t>
  </si>
  <si>
    <t>Оригинальная задняя левая дверь (глухая) для Лада Ларгус (фургон)</t>
  </si>
  <si>
    <t>Оригинальная задняя левая дверь (глухая) для Лада Ларгус (фургон) (Без покраски, С отверстиями под молдинг)</t>
  </si>
  <si>
    <t>Y</t>
  </si>
  <si>
    <t>821015688R</t>
  </si>
  <si>
    <t>821015688R</t>
  </si>
  <si>
    <t>кузовщина</t>
  </si>
  <si>
    <t>https://motorring.ru/product/27683-dvery-zadnyaya-pod-molding-levaya-gluhaya-cvet-lada-largus</t>
  </si>
  <si>
    <t>Y</t>
  </si>
  <si>
    <t>Оригинальная задняя левая дверь (под стекло) для Лада Ларгус</t>
  </si>
  <si>
    <t>Оригинальная задняя левая дверь (под стекло) для Лада Ларгус (Без покраски, Без отверстий под молдинг)</t>
  </si>
  <si>
    <t>Y</t>
  </si>
  <si>
    <t>821013317R</t>
  </si>
  <si>
    <t>821013317R</t>
  </si>
  <si>
    <t>кузовщина</t>
  </si>
  <si>
    <t>https://motorring.ru/product/10504-dvery-zadnyaya-levaya-pod-steklo-cvet-lada-largus</t>
  </si>
  <si>
    <t>Y</t>
  </si>
  <si>
    <t>Оригинальная задняя левая дверь (под стекло) для Лада Ларгус</t>
  </si>
  <si>
    <t>Оригинальная задняя левая дверь (под стекло) для Лада Ларгус (Без покраски, С отверстиями под молдинг)</t>
  </si>
  <si>
    <t>Y</t>
  </si>
  <si>
    <t>821017307R</t>
  </si>
  <si>
    <t>821017307R</t>
  </si>
  <si>
    <t>кузовщина</t>
  </si>
  <si>
    <t>https://motorring.ru/product/27681-dvery-zadnyaya-levaya-pod-steklo-pod-molding-cvet-lada</t>
  </si>
  <si>
    <t>Y</t>
  </si>
  <si>
    <t>Оригинальная задняя левая дверь для ВАЗ 2114, 2115</t>
  </si>
  <si>
    <t>Оригинальная задняя левая дверь для ВАЗ 2114, 2115 (Без покраски)</t>
  </si>
  <si>
    <t>Y</t>
  </si>
  <si>
    <t>21140620001500</t>
  </si>
  <si>
    <t>21140620001500</t>
  </si>
  <si>
    <t>кузовщина</t>
  </si>
  <si>
    <t>https://motorring.ru/product/4648-dvery-zadnyaya-levaya-cvet-vaz-2114-2115</t>
  </si>
  <si>
    <t>Y</t>
  </si>
  <si>
    <t>Оригинальная задняя левая дверь для Лада XRAY</t>
  </si>
  <si>
    <t>Оригинальная задняя левая дверь для Лада XRAY (Без отверстий под молдинг, Без покраски)</t>
  </si>
  <si>
    <t>Y</t>
  </si>
  <si>
    <t>821019191R</t>
  </si>
  <si>
    <t>821019191R</t>
  </si>
  <si>
    <t>кузовщина</t>
  </si>
  <si>
    <t>https://motorring.ru/product/10524-dvery-zadnyaya-levaya-cvet-lada-iks-rey</t>
  </si>
  <si>
    <t>Y</t>
  </si>
  <si>
    <t>Оригинальная задняя левая дверь для Лада XRAY</t>
  </si>
  <si>
    <t>Оригинальная задняя левая дверь для Лада XRAY (С отверстиями под молдинг, Без покраски)</t>
  </si>
  <si>
    <t>Y</t>
  </si>
  <si>
    <t>8450105007</t>
  </si>
  <si>
    <t>8450105007</t>
  </si>
  <si>
    <t>кузовщина</t>
  </si>
  <si>
    <t>https://motorring.ru/product/27672-dvery-zadnyaya-levaya-cvet-lada-iks-rey-cross</t>
  </si>
  <si>
    <t>Y</t>
  </si>
  <si>
    <t>Оригинальная задняя левая дверь для Лада Веста (седан)</t>
  </si>
  <si>
    <t>Оригинальная задняя левая дверь для Лада Веста (Без отверстий под молдинг, Без покраски)</t>
  </si>
  <si>
    <t>Y</t>
  </si>
  <si>
    <t>8460013099</t>
  </si>
  <si>
    <t>8460013099</t>
  </si>
  <si>
    <t>кузовщина</t>
  </si>
  <si>
    <t>https://motorring.ru/product/10517-dvery-zadnyaya-levaya-cvet-lada-vesta</t>
  </si>
  <si>
    <t>Y</t>
  </si>
  <si>
    <t>Оригинальная задняя левая дверь для Лада Веста (седан)</t>
  </si>
  <si>
    <t>Оригинальная задняя левая дверь для Лада Веста (седан) (С отверстиями под молдинг, Без покраски)</t>
  </si>
  <si>
    <t>Y</t>
  </si>
  <si>
    <t>8460013100</t>
  </si>
  <si>
    <t>8460013100</t>
  </si>
  <si>
    <t>кузовщина</t>
  </si>
  <si>
    <t>https://motorring.ru/product/27666-dvery-zadnyaya-levaya-cvet-lada-vesta-kross</t>
  </si>
  <si>
    <t>Y</t>
  </si>
  <si>
    <t>Оригинальная задняя левая дверь для Лада Гранта лифтбек, Гранта FL</t>
  </si>
  <si>
    <t>Оригинальная задняя левая дверь для Лада Гранта лифтбек, Гранта FL (Без покраски, Без отверстий под молдинг)</t>
  </si>
  <si>
    <t>Y</t>
  </si>
  <si>
    <t>21910620001570</t>
  </si>
  <si>
    <t>21910620001570</t>
  </si>
  <si>
    <t>кузовщина</t>
  </si>
  <si>
    <t>https://motorring.ru/product/1693-dvery-zadnyaya-levaya-cvet-lada-granta-liftbek</t>
  </si>
  <si>
    <t>Y</t>
  </si>
  <si>
    <t>Оригинальная задняя левая дверь для Лада Гранта лифтбек, Гранта FL</t>
  </si>
  <si>
    <t>Оригинальная задняя левая дверь для Лада Гранта лифтбек, Гранта FL (Без покраски, С отверстиями под молдинг)</t>
  </si>
  <si>
    <t>Y</t>
  </si>
  <si>
    <t>21910620001575</t>
  </si>
  <si>
    <t>21910620001575</t>
  </si>
  <si>
    <t>кузовщина</t>
  </si>
  <si>
    <t>https://motorring.ru/product/1693-dvery-zadnyaya-levaya-cvet-lada-granta-liftbek</t>
  </si>
  <si>
    <t>Y</t>
  </si>
  <si>
    <t>Оригинальная задняя левая дверь для Лада Калина, Калина 2, Гранта, Гранта FL (седан, хэтчбек)</t>
  </si>
  <si>
    <t>Оригинальная задняя левая дверь для Лада Калина, Калина 2, Гранта (седан, хэтчбек), Гранта FL (Без покраски)</t>
  </si>
  <si>
    <t>Y</t>
  </si>
  <si>
    <t>11180620001585</t>
  </si>
  <si>
    <t>11180620001585</t>
  </si>
  <si>
    <t>кузовщина</t>
  </si>
  <si>
    <t>https://motorring.ru/product/16060-dvery-zadnyaya-levaya-cvet-lada-kalina-kalina-granta-sedan</t>
  </si>
  <si>
    <t>Y</t>
  </si>
  <si>
    <t>Оригинальная задняя левая дверь для Лада Нива 4x4, Нива 4х4 Урбан (5-ти дверная)</t>
  </si>
  <si>
    <t>Оригинальная задняя левая дверь для Лада Нива 4x4, Нива 4х4 Урбан (5-ти дверная) (Без покраски)</t>
  </si>
  <si>
    <t>Y</t>
  </si>
  <si>
    <t>8450109468</t>
  </si>
  <si>
    <t>8450109468</t>
  </si>
  <si>
    <t>кузовщина</t>
  </si>
  <si>
    <t>https://motorring.ru/product/1248-dvery-zadnyaya-levaya-dlya-5-dvernoy-lada-4h4-niva</t>
  </si>
  <si>
    <t>Y</t>
  </si>
  <si>
    <t>Оригинальная задняя левая дверь нового образца для Шевроле Нива (после 2009 года выпуска)</t>
  </si>
  <si>
    <t>Оригинальная задняя левая дверь нового образца для Шевроле Нива (после 2009 года выпуска) (Без покраски)</t>
  </si>
  <si>
    <t>Y</t>
  </si>
  <si>
    <t>21230620001555</t>
  </si>
  <si>
    <t>21230620001555</t>
  </si>
  <si>
    <t>кузовщина</t>
  </si>
  <si>
    <t>https://motorring.ru/product/158-originalynaya-zadnyaya-levaya-dvery-obrazca-posle-2009-goda</t>
  </si>
  <si>
    <t>Y</t>
  </si>
  <si>
    <t>Оригинальная задняя левая дверь старого образца для Шевроле Нива (до 2009 г.в.)</t>
  </si>
  <si>
    <t>Оригинальная задняя левая дверь старого образца для Шевроле Нива (до 2009 г.в.) (Без покраски)</t>
  </si>
  <si>
    <t>Y</t>
  </si>
  <si>
    <t>21230620001500</t>
  </si>
  <si>
    <t>21230620001500</t>
  </si>
  <si>
    <t>кузовщина</t>
  </si>
  <si>
    <t>https://motorring.ru/product/240-dvery-zadnyaya-levaya-starogo-obrazca-cvet-dlya-shevrole</t>
  </si>
  <si>
    <t>Y</t>
  </si>
  <si>
    <t>Оригинальная задняя правая дверь (глухая) Лада Ларгус (фургон)</t>
  </si>
  <si>
    <t>Оригинальная задняя правая дверь (глухая) Лада Ларгус (фургон) (Без покраски, Без отверстий под молдинг)</t>
  </si>
  <si>
    <t>Y</t>
  </si>
  <si>
    <t>821008665R</t>
  </si>
  <si>
    <t>821008665R</t>
  </si>
  <si>
    <t>кузовщина</t>
  </si>
  <si>
    <t>https://motorring.ru/product/10501-dvery-zadnyaya-pravaya-gluhaya-cvet-lada-largus</t>
  </si>
  <si>
    <t>Y</t>
  </si>
  <si>
    <t>Оригинальная задняя правая дверь (глухая) Лада Ларгус (фургон)</t>
  </si>
  <si>
    <t>Оригинальная задняя правая дверь (глухая) Лада Ларгус (фургон) (Без покраски, С отверстиями под молдинг)</t>
  </si>
  <si>
    <t>Y</t>
  </si>
  <si>
    <t>821006680R</t>
  </si>
  <si>
    <t>821006680R</t>
  </si>
  <si>
    <t>кузовщина</t>
  </si>
  <si>
    <t>https://motorring.ru/product/27684-dvery-zadnyaya-pod-molding-pravaya-gluhaya-cvet-lada-largus</t>
  </si>
  <si>
    <t>Y</t>
  </si>
  <si>
    <t>Оригинальная задняя правая дверь (под стекло) для Лада Ларгус</t>
  </si>
  <si>
    <t>Оригинальная задняя правая дверь (под стекло) для Лада Ларгус (Без покраски, Без отверстий под молдинг)</t>
  </si>
  <si>
    <t>Y</t>
  </si>
  <si>
    <t>821008009R</t>
  </si>
  <si>
    <t>821008009R</t>
  </si>
  <si>
    <t>кузовщина</t>
  </si>
  <si>
    <t>https://motorring.ru/product/10503-dvery-zadnyaya-pravaya-pod-steklo-cvet-lada-largus</t>
  </si>
  <si>
    <t>Y</t>
  </si>
  <si>
    <t>Оригинальная задняя правая дверь (под стекло) для Лада Ларгус</t>
  </si>
  <si>
    <t>Оригинальная задняя правая дверь (под стекло) для Лада Ларгус (Без покраски, С отверстиями под молдинг)</t>
  </si>
  <si>
    <t>Y</t>
  </si>
  <si>
    <t>821009310R</t>
  </si>
  <si>
    <t>821009310R</t>
  </si>
  <si>
    <t>кузовщина</t>
  </si>
  <si>
    <t>https://motorring.ru/product/27682-dvery-zadnyaya-pravaya-pod-steklo-pod-molding-cvet-lada</t>
  </si>
  <si>
    <t>Y</t>
  </si>
  <si>
    <t>Оригинальная задняя правая дверь для 2109, 21099</t>
  </si>
  <si>
    <t>Оригинальная задняя правая дверь для 2109, 21099 (Без покраски)</t>
  </si>
  <si>
    <t>Y</t>
  </si>
  <si>
    <t>21090620001400</t>
  </si>
  <si>
    <t>21090620001400</t>
  </si>
  <si>
    <t>кузовщина</t>
  </si>
  <si>
    <t>https://motorring.ru/product/12511-dvery-zadnyaya-pravaya-cvet-vaz-2109-21099</t>
  </si>
  <si>
    <t>Y</t>
  </si>
  <si>
    <t>Оригинальная задняя правая дверь для ВАЗ 2114, 2115</t>
  </si>
  <si>
    <t>Оригинальная задняя правая дверь для ВАЗ 2114, 2115 (Без покраски)</t>
  </si>
  <si>
    <t>Y</t>
  </si>
  <si>
    <t>21140620001400</t>
  </si>
  <si>
    <t>21140620001400</t>
  </si>
  <si>
    <t>кузовщина</t>
  </si>
  <si>
    <t>https://motorring.ru/product/2524-dvery-zadnyaya-pravaya-cvet-vaz-2114-2115</t>
  </si>
  <si>
    <t>Y</t>
  </si>
  <si>
    <t>Оригинальная задняя правая дверь для Лада XRAY</t>
  </si>
  <si>
    <t>Оригинальная задняя правая дверь для Лада XRAY (Без отверстий под молдинг, Без покраски)</t>
  </si>
  <si>
    <t>Y</t>
  </si>
  <si>
    <t>821002780R</t>
  </si>
  <si>
    <t>821002780R</t>
  </si>
  <si>
    <t>кузовщина</t>
  </si>
  <si>
    <t>https://motorring.ru/product/10523-dvery-zadnyaya-pravaya-cvet-lada-iks-rey</t>
  </si>
  <si>
    <t>Y</t>
  </si>
  <si>
    <t>Оригинальная задняя правая дверь для Лада XRAY</t>
  </si>
  <si>
    <t>Оригинальная задняя правая дверь для Лада XRAY (С отверстиями под молдинг, Без покраски)</t>
  </si>
  <si>
    <t>Y</t>
  </si>
  <si>
    <t>8450105006</t>
  </si>
  <si>
    <t>8450105006</t>
  </si>
  <si>
    <t>кузовщина</t>
  </si>
  <si>
    <t>https://motorring.ru/product/27671-dvery-zadnyaya-pravaya-cvet-lada-iks-rey-cross</t>
  </si>
  <si>
    <t>Y</t>
  </si>
  <si>
    <t>Оригинальная задняя правая дверь для Лада Веста (седан)</t>
  </si>
  <si>
    <t>Оригинальная задняя правая дверь для Лада Веста (Без отверстий под молдинг, Без покраски)</t>
  </si>
  <si>
    <t>Y</t>
  </si>
  <si>
    <t>8460013095</t>
  </si>
  <si>
    <t>8460013095</t>
  </si>
  <si>
    <t>кузовщина</t>
  </si>
  <si>
    <t>https://motorring.ru/product/10516-dvery-zadnyaya-pravaya-cvet-lada-vesta</t>
  </si>
  <si>
    <t>Оригинальная задняя правая дверь для Лада Веста (седан)</t>
  </si>
  <si>
    <t>Оригинальная задняя правая дверь для Лада Веста (седан) (С отверстиями под молдинг, Без покраски)</t>
  </si>
  <si>
    <t>Y</t>
  </si>
  <si>
    <t>8460013096</t>
  </si>
  <si>
    <t>8460013096</t>
  </si>
  <si>
    <t>кузовщина</t>
  </si>
  <si>
    <t>https://motorring.ru/product/27667-dvery-zadnyaya-pravaya-cvet-lada-vesta-kross</t>
  </si>
  <si>
    <t>Y</t>
  </si>
  <si>
    <t>Оригинальная задняя правая дверь для Лада Гранта лифтбек, Гранта FL</t>
  </si>
  <si>
    <t>Оригинальная задняя правая дверь для Лада Гранта лифтбек, Гранта FL (Без покраски, Без отверстий под молдинг)</t>
  </si>
  <si>
    <t>Y</t>
  </si>
  <si>
    <t>21910620001470</t>
  </si>
  <si>
    <t>21910620001470</t>
  </si>
  <si>
    <t>кузовщина</t>
  </si>
  <si>
    <t>https://motorring.ru/product/1681-dvery-zadnyaya-pravaya-cvet-lada-granta-liftbek</t>
  </si>
  <si>
    <t>Y</t>
  </si>
  <si>
    <t>Оригинальная задняя правая дверь для Лада Гранта лифтбек, Гранта FL</t>
  </si>
  <si>
    <t>Оригинальная задняя правая дверь для Лада Гранта лифтбек, Гранта FL (Без покраски, С отверстиями под молдинг)</t>
  </si>
  <si>
    <t>Y</t>
  </si>
  <si>
    <t>21910620001475</t>
  </si>
  <si>
    <t>21910620001475</t>
  </si>
  <si>
    <t>кузовщина</t>
  </si>
  <si>
    <t>https://motorring.ru/product/1681-dvery-zadnyaya-pravaya-cvet-lada-granta-liftbek</t>
  </si>
  <si>
    <t>Y</t>
  </si>
  <si>
    <t>Оригинальная задняя правая дверь для Лада Калина, Калина 2, Гранта, Гранта FL (седан, хэтчбек)</t>
  </si>
  <si>
    <t>Оригинальная задняя правая дверь для Лада Калина, Калина 2, Гранта (седан, хэтчбек) (Без покраски)</t>
  </si>
  <si>
    <t>Y</t>
  </si>
  <si>
    <t>11180620001485</t>
  </si>
  <si>
    <t>11180620001485</t>
  </si>
  <si>
    <t>кузовщина</t>
  </si>
  <si>
    <t>https://motorring.ru/product/10338-dvery-zadnyaya-pravaya-cvet-lada-kalina-kalina-granta-sedan</t>
  </si>
  <si>
    <t>Y</t>
  </si>
  <si>
    <t>Оригинальная задняя правая дверь для Лада Нива, Урбан (5-ти дверная)</t>
  </si>
  <si>
    <t>Оригинальная задняя правая дверь для Лада Нива 4x4, Нива 4х4 Урбан (5-ти дверная) (Без покраски)</t>
  </si>
  <si>
    <t>Y</t>
  </si>
  <si>
    <t>8450109467</t>
  </si>
  <si>
    <t>8450109467</t>
  </si>
  <si>
    <t>кузовщина</t>
  </si>
  <si>
    <t>https://motorring.ru/product/467-dvery-zadnyaya-pravaya-cvet-lada-niva-2131</t>
  </si>
  <si>
    <t>Y</t>
  </si>
  <si>
    <t>Оригинальная задняя правая дверь нового образца для Шевроле Нива (после 2009 года выпуска)</t>
  </si>
  <si>
    <t>Оригинальная задняя правая дверь нового образца для Шевроле Нива (после 2009 года выпуска) (Без покраски)</t>
  </si>
  <si>
    <t>Y</t>
  </si>
  <si>
    <t>21230620001455</t>
  </si>
  <si>
    <t>21230620001455</t>
  </si>
  <si>
    <t>кузовщина</t>
  </si>
  <si>
    <t>https://motorring.ru/product/225</t>
  </si>
  <si>
    <t>Y</t>
  </si>
  <si>
    <t>Оригинальная задняя правая дверь старого образца для Шевроле Нива (до 2009 г.в.)</t>
  </si>
  <si>
    <t>Оригинальная задняя правая дверь старого образца для Шевроле Нива (до 2009 г.в.) (Без покраски)</t>
  </si>
  <si>
    <t>Y</t>
  </si>
  <si>
    <t>21230620001400</t>
  </si>
  <si>
    <t>21230620001400</t>
  </si>
  <si>
    <t>кузовщина</t>
  </si>
  <si>
    <t>https://motorring.ru/product/132-dvery-zadnyaya-pravaya-starogo-obrazca-cvet-shevrole-niva</t>
  </si>
  <si>
    <t>Y</t>
  </si>
  <si>
    <t>Оригинальная крышка багажника для ВАЗ 2115</t>
  </si>
  <si>
    <t>Оригинальная крышка багажника для ВАЗ 2115 (Без покраски)</t>
  </si>
  <si>
    <t>Y</t>
  </si>
  <si>
    <t>21150560401070</t>
  </si>
  <si>
    <t>21150560401070</t>
  </si>
  <si>
    <t>кузовщина</t>
  </si>
  <si>
    <t>https://motorring.ru/product/6862-kryshka-bagaghnika-vaz-2115-cvet</t>
  </si>
  <si>
    <t>Y</t>
  </si>
  <si>
    <t>Оригинальная крышка багажника для Лада Гранта (седан)</t>
  </si>
  <si>
    <t>Оригинальная крышка багажника для Лада Гранта (седан) (Без покраски)</t>
  </si>
  <si>
    <t>Y</t>
  </si>
  <si>
    <t>21900560401070</t>
  </si>
  <si>
    <t>21900560401070</t>
  </si>
  <si>
    <t>кузовщина</t>
  </si>
  <si>
    <t>https://motorring.ru/product/16063-kryshka-bagaghnika-sedan-cvet-lada-granta</t>
  </si>
  <si>
    <t>Y</t>
  </si>
  <si>
    <t>Оригинальная передняя левая дверь для ВАЗ 2109, 21099</t>
  </si>
  <si>
    <t>Оригинальная передняя левая дверь для ВАЗ 2109, 21099 (Без покраски)</t>
  </si>
  <si>
    <t>Y</t>
  </si>
  <si>
    <t>21090610001570</t>
  </si>
  <si>
    <t>21090610001570</t>
  </si>
  <si>
    <t>кузовщина</t>
  </si>
  <si>
    <t>https://motorring.ru/product/16041-dvery-perednyaya-levaya-cvet-vaz-2109-21099</t>
  </si>
  <si>
    <t>Y</t>
  </si>
  <si>
    <t>Оригинальная передняя левая дверь для ВАЗ 2114, 2115</t>
  </si>
  <si>
    <t>Оригинальная передняя левая дверь для ВАЗ 2114-2115 (Без покраски)</t>
  </si>
  <si>
    <t>Y</t>
  </si>
  <si>
    <t>21140610001570</t>
  </si>
  <si>
    <t>21140610001570</t>
  </si>
  <si>
    <t>кузовщина</t>
  </si>
  <si>
    <t>https://motorring.ru/product/9704-dvery-perednyaya-levaya-cvet-dlya-vaz-2114-2115</t>
  </si>
  <si>
    <t>Оригинальная передняя левая дверь для Лада XRAY</t>
  </si>
  <si>
    <t>Оригинальная передняя левая дверь для Лада XRAY (Без отверстий под молдинг, Без покраски)</t>
  </si>
  <si>
    <t>Y</t>
  </si>
  <si>
    <t>801015140R</t>
  </si>
  <si>
    <t>801015140R</t>
  </si>
  <si>
    <t>кузовщина</t>
  </si>
  <si>
    <t>https://motorring.ru/product/10522-dvery-perednyaya-levaya-cvet-lada-iks-rey</t>
  </si>
  <si>
    <t>Y</t>
  </si>
  <si>
    <t>Оригинальная передняя левая дверь для Лада XRAY</t>
  </si>
  <si>
    <t>Оригинальная передняя левая дверь для Лада XRAY (С отверстиями под молдинг, Без покраски)</t>
  </si>
  <si>
    <t>Y</t>
  </si>
  <si>
    <t>8450105005</t>
  </si>
  <si>
    <t>8450105005</t>
  </si>
  <si>
    <t>кузовщина</t>
  </si>
  <si>
    <t>https://motorring.ru/product/27669-dvery-perednyaya-levaya-cvet-lada-iks-rey-cross</t>
  </si>
  <si>
    <t>Y</t>
  </si>
  <si>
    <t>Оригинальная передняя левая дверь для Лада Веста, Веста NG</t>
  </si>
  <si>
    <t>Оригинальная передняя левая дверь для Лада Веста, Веста NG (Без покраски)</t>
  </si>
  <si>
    <t>Y</t>
  </si>
  <si>
    <t>8460013093</t>
  </si>
  <si>
    <t>8460013093</t>
  </si>
  <si>
    <t>кузовщина</t>
  </si>
  <si>
    <t>https://motorring.ru/product/10515-dvery-perednyaya-levaya-cvet-lada-vesta</t>
  </si>
  <si>
    <t>Y</t>
  </si>
  <si>
    <t>Оригинальная передняя левая дверь для Лада Калина, Калина 2, Гранта, Гранта FL</t>
  </si>
  <si>
    <t>Оригинальная передняя левая дверь для Лада Калина, Калина 2, Гранта (Без покраски, Без отверстий под молдинг)</t>
  </si>
  <si>
    <t>Y</t>
  </si>
  <si>
    <t>11180610001580</t>
  </si>
  <si>
    <t>11180610001580</t>
  </si>
  <si>
    <t>кузовщина</t>
  </si>
  <si>
    <t>https://motorring.ru/product/16059-dvery-perednyaya-levaya-cvet-lada-kalina-kalina-granta</t>
  </si>
  <si>
    <t>Y</t>
  </si>
  <si>
    <t>Оригинальная передняя левая дверь для Лада Калина, Калина 2, Гранта, Гранта FL</t>
  </si>
  <si>
    <t>Оригинальная передняя левая дверь для Лада Калина, Калина 2, Гранта (Без покраски, С отверстиями под молдинг)</t>
  </si>
  <si>
    <t>Y</t>
  </si>
  <si>
    <t>8460013509</t>
  </si>
  <si>
    <t>8460013509</t>
  </si>
  <si>
    <t>кузовщина</t>
  </si>
  <si>
    <t>https://motorring.ru/product/33108-dvery-perednyaya-levaya-dlya-lada-kalina-kross-granta</t>
  </si>
  <si>
    <t>Y</t>
  </si>
  <si>
    <t>Оригинальная передняя левая дверь для Лада Ларгус</t>
  </si>
  <si>
    <t>Оригинальная передняя левая дверь для Лада Ларгус (Без покраски, Без отверстий под молдинг)</t>
  </si>
  <si>
    <t>Y</t>
  </si>
  <si>
    <t>801014373R</t>
  </si>
  <si>
    <t>801014373R</t>
  </si>
  <si>
    <t>кузовщина</t>
  </si>
  <si>
    <t>https://motorring.ru/product/10500-dvery-perednyaya-levaya-cvet-lada-largus</t>
  </si>
  <si>
    <t>Y</t>
  </si>
  <si>
    <t>Оригинальная передняя левая дверь для Лада Ларгус</t>
  </si>
  <si>
    <t>Оригинальная передняя левая дверь для Лада Ларгус (Без покраски, С отверстиями под молдинг)</t>
  </si>
  <si>
    <t>Y</t>
  </si>
  <si>
    <t>801013696R</t>
  </si>
  <si>
    <t>801013696R</t>
  </si>
  <si>
    <t>кузовщина</t>
  </si>
  <si>
    <t>https://motorring.ru/product/27679-dvery-perednyaya-levaya-pod-molding-cvet-lada-largus</t>
  </si>
  <si>
    <t>Y</t>
  </si>
  <si>
    <t>Оригинальная передняя левая дверь для Лада Нива 4х4, Нива 4х4 Урбан (3-х дверная)</t>
  </si>
  <si>
    <t>Оригинальная передняя левая дверь для Лада Нива 4х4, Нива 4х4 Урбан (3-х дверная) (Без покраски)</t>
  </si>
  <si>
    <t>Y</t>
  </si>
  <si>
    <t>8450108925</t>
  </si>
  <si>
    <t>8450108925</t>
  </si>
  <si>
    <t>кузовщина</t>
  </si>
  <si>
    <t>https://motorring.ru/product/13856-dvery-perednyaya-levaya-cvet-lada-niva-4h4</t>
  </si>
  <si>
    <t>Y</t>
  </si>
  <si>
    <t>Оригинальная передняя левая дверь для Лада Нива, Урбан (5-ти дверная)</t>
  </si>
  <si>
    <t>Оригинальная передняя левая дверь для Лада Нива 4х4, Нива 4х4 Урбан (5-ти дверная) (Без покраски)</t>
  </si>
  <si>
    <t>Y</t>
  </si>
  <si>
    <t>8450108935</t>
  </si>
  <si>
    <t>8450108935</t>
  </si>
  <si>
    <t>кузовщина</t>
  </si>
  <si>
    <t>https://motorring.ru/product/33133-dvery-perednyaya-levaya-dlya-5-dvernoy-lada-4h4-niva-legend</t>
  </si>
  <si>
    <t>Y</t>
  </si>
  <si>
    <t>Оригинальная передняя левая дверь нового образца для Шевроле Нива (после 2009 г.в.)</t>
  </si>
  <si>
    <t>Оригинальная передняя левая дверь нового образца для Шевроле Нива (после 2009 г.в.) (Без покраски)</t>
  </si>
  <si>
    <t>Y</t>
  </si>
  <si>
    <t>21230610001555</t>
  </si>
  <si>
    <t>21230610001555</t>
  </si>
  <si>
    <t>кузовщина</t>
  </si>
  <si>
    <t>https://motorring.ru/product/674-dvery-perednyaya-levaya-novogo-obrazca-cvet-shevrole-niva</t>
  </si>
  <si>
    <t>Y</t>
  </si>
  <si>
    <t>Оригинальная передняя левая дверь старого образца для Шевроле Нива (до 2009 г.в.)</t>
  </si>
  <si>
    <t>Оригинальная передняя левая дверь старого образца для Шевроле Нива (до 2009 г.в.) (Без покраски)</t>
  </si>
  <si>
    <t>Y</t>
  </si>
  <si>
    <t>21230610001500</t>
  </si>
  <si>
    <t>21230610001500</t>
  </si>
  <si>
    <t>кузовщина</t>
  </si>
  <si>
    <t>https://motorring.ru/product/686-dvery-perednyaya-levaya-starogo-obrazca-cvet-shevrole-niva</t>
  </si>
  <si>
    <t>Y</t>
  </si>
  <si>
    <t>Оригинальная передняя правая дверь для ВАЗ 2109, 21099</t>
  </si>
  <si>
    <t>Оригинальная передняя правая дверь для ВАЗ 2109, 21099 (Без покраски)</t>
  </si>
  <si>
    <t>Y</t>
  </si>
  <si>
    <t>21090610001470</t>
  </si>
  <si>
    <t>21090610001470</t>
  </si>
  <si>
    <t>кузовщина</t>
  </si>
  <si>
    <t>https://motorring.ru/product/10320-dvery-perednyaya-pravaya-cvet-vaz-2109-21099</t>
  </si>
  <si>
    <t>Y</t>
  </si>
  <si>
    <t>Оригинальная передняя правая дверь для ВАЗ 2114, 2115</t>
  </si>
  <si>
    <t>Оригинальная передняя правая дверь для ВАЗ 2114, 2115 (Без покраски)</t>
  </si>
  <si>
    <t>Y</t>
  </si>
  <si>
    <t>21140610001470</t>
  </si>
  <si>
    <t>21140610001470</t>
  </si>
  <si>
    <t>кузовщина</t>
  </si>
  <si>
    <t>https://motorring.ru/product/13847-dvery-perednyaya-pravaya-cvet-vaz-2114-2115</t>
  </si>
  <si>
    <t>Y</t>
  </si>
  <si>
    <t>Оригинальная передняя правая дверь для Лада XRAY</t>
  </si>
  <si>
    <t>Оригинальная передняя правая дверь для Лада XRAY (Без отверстий под молдинг, Без покраски)</t>
  </si>
  <si>
    <t>Y</t>
  </si>
  <si>
    <t>801005064R</t>
  </si>
  <si>
    <t>801005064R</t>
  </si>
  <si>
    <t>кузовщина</t>
  </si>
  <si>
    <t>https://motorring.ru/product/10521-dvery-perednyaya-pravaya-cvet-lada-iks-rey</t>
  </si>
  <si>
    <t>Y</t>
  </si>
  <si>
    <t>Оригинальная передняя правая дверь для Лада XRAY</t>
  </si>
  <si>
    <t>Оригинальная передняя правая дверь для Лада XRAY (С отверстиями под молдинг, Без покраски)</t>
  </si>
  <si>
    <t>Y</t>
  </si>
  <si>
    <t>8450105004</t>
  </si>
  <si>
    <t>8450105004</t>
  </si>
  <si>
    <t>кузовщина</t>
  </si>
  <si>
    <t>https://motorring.ru/product/27670-dvery-perednyaya-pravaya-cvet-lada-iks-rey-cross</t>
  </si>
  <si>
    <t>Y</t>
  </si>
  <si>
    <t>Оригинальная передняя правая дверь для Лада Веста, Веста NG</t>
  </si>
  <si>
    <t>Оригинальная передняя правая дверь для Лада Веста, Веста NG (Без покраски)</t>
  </si>
  <si>
    <t>Y</t>
  </si>
  <si>
    <t>8460013091</t>
  </si>
  <si>
    <t>8460013091</t>
  </si>
  <si>
    <t>кузовщина</t>
  </si>
  <si>
    <t>https://motorring.ru/product/10513-dvery-perednyaya-pravaya-cvet-lada-vesta</t>
  </si>
  <si>
    <t>Y</t>
  </si>
  <si>
    <t>Оригинальная передняя правая дверь для Лада Калина, Калина 2, Гранта, Гранта FL</t>
  </si>
  <si>
    <t>Оригинальная передняя правая дверь для Лада Калина, Калина 2, Гранта, Гранта FL (Без покраски, Без отверстий под молдинг)</t>
  </si>
  <si>
    <t>Y</t>
  </si>
  <si>
    <t>11180610001480</t>
  </si>
  <si>
    <t>11180610001480</t>
  </si>
  <si>
    <t>кузовщина</t>
  </si>
  <si>
    <t>https://motorring.ru/product/10336-dvery-perednyaya-pravaya-cvet-dlya-lada-kalina-kalina</t>
  </si>
  <si>
    <t>Y</t>
  </si>
  <si>
    <t>Оригинальная передняя правая дверь для Лада Калина, Калина 2, Гранта, Гранта FL</t>
  </si>
  <si>
    <t>Оригинальная передняя правая дверь для Лада Калина, Калина 2, Гранта, Гранта FL (Без покраски, С отверстиями под молдинг)</t>
  </si>
  <si>
    <t>Y</t>
  </si>
  <si>
    <t>8460013508</t>
  </si>
  <si>
    <t>8460013508</t>
  </si>
  <si>
    <t>кузовщина</t>
  </si>
  <si>
    <t>https://motorring.ru/product/33107-dvery-perednyaya-pravaya-dlya-lada-kalina-kross-granta</t>
  </si>
  <si>
    <t>Y</t>
  </si>
  <si>
    <t>Оригинальная передняя правая дверь для Лада Ларгус</t>
  </si>
  <si>
    <t>Оригинальная передняя правая дверь для Лада Ларгус (Без покраски, Без отверстий под молдинг)</t>
  </si>
  <si>
    <t>Y</t>
  </si>
  <si>
    <t>801004751R</t>
  </si>
  <si>
    <t>801004751R</t>
  </si>
  <si>
    <t>кузовщина</t>
  </si>
  <si>
    <t>https://motorring.ru/product/10499-dvery-perednyaya-pravaya-cvet-lada-largus</t>
  </si>
  <si>
    <t>Y</t>
  </si>
  <si>
    <t>Оригинальная передняя правая дверь для Лада Ларгус</t>
  </si>
  <si>
    <t>Оригинальная передняя правая дверь для Лада Ларгус (Без покраски, С отверстиями под молдинг)</t>
  </si>
  <si>
    <t>Y</t>
  </si>
  <si>
    <t>801002133R</t>
  </si>
  <si>
    <t>801002133R</t>
  </si>
  <si>
    <t>кузовщина</t>
  </si>
  <si>
    <t>https://motorring.ru/product/27680-dvery-perednyaya-pod-molding-pravaya-cvet-lada-largus</t>
  </si>
  <si>
    <t>Y</t>
  </si>
  <si>
    <t>Оригинальная передняя правая дверь для Лада Нива 4х4, Нива 4х4 Урбан (3-х дверная)</t>
  </si>
  <si>
    <t>Оригинальная передняя правая дверь для Лада Нива 4х4, Нива 4х4 Урбан (3-х дверная) (Без покраски)</t>
  </si>
  <si>
    <t>Y</t>
  </si>
  <si>
    <t>8450108924</t>
  </si>
  <si>
    <t>8450108924</t>
  </si>
  <si>
    <t>кузовщина</t>
  </si>
  <si>
    <t>https://motorring.ru/product/13903-dvery-perednyaya-pravaya-cvet-lada-niva-4h4</t>
  </si>
  <si>
    <t>Y</t>
  </si>
  <si>
    <t>Оригинальная передняя правая дверь для Лада Нива 4х4, Нива 4х4 Урбан (5-ти дверная)</t>
  </si>
  <si>
    <t>Оригинальная передняя правая дверь для Лада Нива 4х4, Нива 4х4 Урбан (5-ти дверная) (Без покраски)</t>
  </si>
  <si>
    <t>Y</t>
  </si>
  <si>
    <t>8450108934</t>
  </si>
  <si>
    <t>8450108934</t>
  </si>
  <si>
    <t>кузовщина</t>
  </si>
  <si>
    <t>https://motorring.ru/product/33131-dvery-perednyaya-pravaya-dlya-5-dvernoy-lada-4h4-niva</t>
  </si>
  <si>
    <t>Y</t>
  </si>
  <si>
    <t>Оригинальная передняя правая дверь нового образца для Шевроле Нива (после 2009 г.в.)</t>
  </si>
  <si>
    <t>Оригинальная передняя правая дверь нового образца для Шевроле Нива (после 2009 г.в.) (Без покраски)</t>
  </si>
  <si>
    <t>Y</t>
  </si>
  <si>
    <t>21230610001455</t>
  </si>
  <si>
    <t>21230610001455</t>
  </si>
  <si>
    <t>кузовщина</t>
  </si>
  <si>
    <t>https://motorring.ru/product/6411-dvery-perednyaya-pravaya-novogo-obrazca-cvet-shevrole-niva</t>
  </si>
  <si>
    <t>Y</t>
  </si>
  <si>
    <t>Оригинальная передняя правая дверь старого образца для Шевроле Нива (до 2009 г.в.)</t>
  </si>
  <si>
    <t>Оригинальная передняя правая дверь старого образца для Шевроле Нива (до 2009 г.в.) (Без покраски)</t>
  </si>
  <si>
    <t>Y</t>
  </si>
  <si>
    <t>21230610001400</t>
  </si>
  <si>
    <t>21230610001400</t>
  </si>
  <si>
    <t>кузовщина</t>
  </si>
  <si>
    <t>https://motorring.ru/product/6396-dvery-perednyaya-pravaya-starogo-obrazca-cvet-shevrole-niva</t>
  </si>
  <si>
    <t>Y</t>
  </si>
  <si>
    <t>Оригинальное крыло "АвтоВАЗ" левое, переднее для Лада Приора</t>
  </si>
  <si>
    <t>Оригинальное крыло "АвтоВАЗ" левое, переднее для Лада Приора (Без покраски)</t>
  </si>
  <si>
    <t>Y</t>
  </si>
  <si>
    <t>21700840301170</t>
  </si>
  <si>
    <t>21700840301170</t>
  </si>
  <si>
    <t>кузовщина</t>
  </si>
  <si>
    <t>https://motorring.ru/product/16053-krylo-levoe-lada-priora</t>
  </si>
  <si>
    <t>Y</t>
  </si>
  <si>
    <t>Оригинальное крыло "АвтоВАЗ" правое переднее для Лада Приора</t>
  </si>
  <si>
    <t>Оригинальное крыло "АвтоВАЗ" правое переднее для Лада Приора (Без покраски)</t>
  </si>
  <si>
    <t>Y</t>
  </si>
  <si>
    <t>21700840301070</t>
  </si>
  <si>
    <t>21700840301070</t>
  </si>
  <si>
    <t>кузовщина</t>
  </si>
  <si>
    <t>https://motorring.ru/product/15153-krylo-pravoe-lada-priora</t>
  </si>
  <si>
    <t>Y</t>
  </si>
  <si>
    <t>Оригинальное переднее левое крыло для ВАЗ 2113-2115</t>
  </si>
  <si>
    <t>Оригинальное переднее левое крыло для ВАЗ 2113-2115 (Без покраски)</t>
  </si>
  <si>
    <t>Y</t>
  </si>
  <si>
    <t>21140840301170</t>
  </si>
  <si>
    <t>21140840301170</t>
  </si>
  <si>
    <t>кузовщина</t>
  </si>
  <si>
    <t>https://motorring.ru/product/16045-krylo-perednee-levoe-cvet-vaz-2113-2114-2115</t>
  </si>
  <si>
    <t>Y</t>
  </si>
  <si>
    <t>Оригинальное переднее правое крыло для ВАЗ 2113-2115</t>
  </si>
  <si>
    <t>Оригинальное переднее правое крыло для ВАЗ 2113-2115 (Без покраски)</t>
  </si>
  <si>
    <t>Y</t>
  </si>
  <si>
    <t>21140840301070</t>
  </si>
  <si>
    <t>21140840301070</t>
  </si>
  <si>
    <t>кузовщина</t>
  </si>
  <si>
    <t>https://motorring.ru/product/15992-krylo-perednee-pravoe-cvet-vaz-2113-2114-2115</t>
  </si>
  <si>
    <t>Y</t>
  </si>
  <si>
    <t>Оригинальный бампер "URBAN" задний для Лада Нива 4х4</t>
  </si>
  <si>
    <t>Бампер задний "URBAN" для Лада Нива 4х4 (Без покраски)</t>
  </si>
  <si>
    <t>Y</t>
  </si>
  <si>
    <t>21214280401000</t>
  </si>
  <si>
    <t>21214280401000</t>
  </si>
  <si>
    <t>кузовщина</t>
  </si>
  <si>
    <t>https://motorring.ru/product/4783-zadniy-bamper-urban-golyy-lada-niva-4h4</t>
  </si>
  <si>
    <t>Y</t>
  </si>
  <si>
    <t>Оригинальный бампер задний (с отверстиями под молдинги) для Лада Калина 2, Гранта FL Кросс</t>
  </si>
  <si>
    <t>Оригинальный бампер задний (с отверстиями под молдинги) для Лада Калина 2, Гранта FL Кросс (Без покраски)</t>
  </si>
  <si>
    <t>Y</t>
  </si>
  <si>
    <t>21940280401551</t>
  </si>
  <si>
    <t>21940280401551</t>
  </si>
  <si>
    <t>кузовщина</t>
  </si>
  <si>
    <t>https://motorring.ru/product/21038-bamper-zadniy-kalina-kross-golyy-neokrashennyy</t>
  </si>
  <si>
    <t>Y</t>
  </si>
  <si>
    <t>Оригинальный бампер задний для Лада XRAY</t>
  </si>
  <si>
    <t>Оригинальный бампер задний для Лада XRAY (Без покраски)</t>
  </si>
  <si>
    <t>Y</t>
  </si>
  <si>
    <t>850220699R</t>
  </si>
  <si>
    <t>850220699R</t>
  </si>
  <si>
    <t>кузовщина</t>
  </si>
  <si>
    <t>https://motorring.ru/product/28219-standartnyy-zadniy-bamper-lada-iksrey</t>
  </si>
  <si>
    <t>Y</t>
  </si>
  <si>
    <t>Оригинальный бампер задний для Лада Гранта FL лифтбек</t>
  </si>
  <si>
    <t>Оригинальный бампер задний для Лада Гранта FL лифтбек (Без покраски)</t>
  </si>
  <si>
    <t>Y</t>
  </si>
  <si>
    <t>8450103790</t>
  </si>
  <si>
    <t>8450103790</t>
  </si>
  <si>
    <t>кузовщина</t>
  </si>
  <si>
    <t>https://motorring.ru/product/21679-zadniy-bamper-lada-granta-liftbek</t>
  </si>
  <si>
    <t>Y</t>
  </si>
  <si>
    <t>Оригинальный бампер передний (с отверстиями под молдинги) для Лада Калина 2 Кросс</t>
  </si>
  <si>
    <t>Оригинальный бампер передний (с отверстиями под молдинги) для Лада Калина 2 Кросс (Без покраски)</t>
  </si>
  <si>
    <t>Y</t>
  </si>
  <si>
    <t>21940280301551</t>
  </si>
  <si>
    <t>21940280301551</t>
  </si>
  <si>
    <t>кузовщина</t>
  </si>
  <si>
    <t>https://motorring.ru/product/20333-peredniy-bamper-kross-lada-kalina-2</t>
  </si>
  <si>
    <t>Y</t>
  </si>
  <si>
    <t>Оригинальный бампер передний для Лада XRAY</t>
  </si>
  <si>
    <t>Оригинальный бампер передний для Лада XRAY (Без покраски)</t>
  </si>
  <si>
    <t>Y</t>
  </si>
  <si>
    <t>620228136R</t>
  </si>
  <si>
    <t>620228136R</t>
  </si>
  <si>
    <t>кузовщина</t>
  </si>
  <si>
    <t>https://motorring.ru/product/13641-standartnyy-peredniy-bamper-lada-iksrey</t>
  </si>
  <si>
    <t>Y</t>
  </si>
  <si>
    <t>Оригинальный задний бампер (голый) для Лада Веста</t>
  </si>
  <si>
    <t>Оригинальный задний бампер (голый) для Лада Веста (Без покраски)</t>
  </si>
  <si>
    <t>Y</t>
  </si>
  <si>
    <t>8450006699</t>
  </si>
  <si>
    <t>8450006699</t>
  </si>
  <si>
    <t>кузовщина</t>
  </si>
  <si>
    <t>https://motorring.ru/product/10321-zadniy-bamper-golyy-lada-vesta</t>
  </si>
  <si>
    <t>Y</t>
  </si>
  <si>
    <t>Оригинальный задний бампер для Лада Гранта FL</t>
  </si>
  <si>
    <t>Оригинальный задний бампер для Лада Гранта FL (Без покраски, Без отверстий под парктроники)</t>
  </si>
  <si>
    <t>Y</t>
  </si>
  <si>
    <t>8450103787</t>
  </si>
  <si>
    <t>8450103787</t>
  </si>
  <si>
    <t>кузовщина</t>
  </si>
  <si>
    <t>https://motorring.ru/product/19948-zadniy-bamper-lada-granta-sedan</t>
  </si>
  <si>
    <t>Y</t>
  </si>
  <si>
    <t>Оригинальный задний бампер для Лада Гранта FL</t>
  </si>
  <si>
    <t>Оригинальный задний бампер для Лада Гранта FL (Без покраски, С отверстиями под парктроники)</t>
  </si>
  <si>
    <t>Y</t>
  </si>
  <si>
    <t>8450103789</t>
  </si>
  <si>
    <t>8450103789</t>
  </si>
  <si>
    <t>кузовщина</t>
  </si>
  <si>
    <t>https://motorring.ru/product/19948-zadniy-bamper-lada-granta-sedan</t>
  </si>
  <si>
    <t>Y</t>
  </si>
  <si>
    <t>Оригинальный задний бампер для Лада Гранта седан</t>
  </si>
  <si>
    <t>Оригинальный задний бампер для Лада Гранта (Без покраски)</t>
  </si>
  <si>
    <t>Y</t>
  </si>
  <si>
    <t>2190280401510</t>
  </si>
  <si>
    <t>2190280401510</t>
  </si>
  <si>
    <t>кузовщина</t>
  </si>
  <si>
    <t>https://motorring.ru/product/16101-zadniy-bamper-lada-granta-sedan</t>
  </si>
  <si>
    <t>Y</t>
  </si>
  <si>
    <t>Оригинальный задний бампер для Лада Приора 2 (хэтчбек)</t>
  </si>
  <si>
    <t>Оригинальный задний бампер для Лада Приора 2 (хэтчбек) (Без отверстий под парктроники, Без покраски)</t>
  </si>
  <si>
    <t>Y</t>
  </si>
  <si>
    <t>21724280401501</t>
  </si>
  <si>
    <t>21724280401501</t>
  </si>
  <si>
    <t>кузовщина</t>
  </si>
  <si>
    <t>https://motorring.ru/product/2891-zadniy-bamper-restayling-lada-priora-hetchbek</t>
  </si>
  <si>
    <t>Y</t>
  </si>
  <si>
    <t>Оригинальный задний бампер для Лада Приора 2 (хэтчбек)</t>
  </si>
  <si>
    <t>Оригинальный задний бампер для Лада Приора 2 (хэтчбек) (С отверстиями под парктроники, Без покраски)</t>
  </si>
  <si>
    <t>Y</t>
  </si>
  <si>
    <t>21724280401511</t>
  </si>
  <si>
    <t>21724280401511</t>
  </si>
  <si>
    <t>кузовщина</t>
  </si>
  <si>
    <t>https://motorring.ru/product/2891-zadniy-bamper-restayling-lada-priora-hetchbek</t>
  </si>
  <si>
    <t>Y</t>
  </si>
  <si>
    <t>Оригинальный задний бампер для Лада Приора седан</t>
  </si>
  <si>
    <t>Оригинальный задний бампер для Лада Приора седан (Без отвертий под парктроник, Без покраски)</t>
  </si>
  <si>
    <t>Y</t>
  </si>
  <si>
    <t>21700280401501</t>
  </si>
  <si>
    <t>21700280401501</t>
  </si>
  <si>
    <t>кузовщина</t>
  </si>
  <si>
    <t>https://motorring.ru/product/16095-zadniy-bamper-lada-priora-sedan</t>
  </si>
  <si>
    <t>Y</t>
  </si>
  <si>
    <t>Оригинальный задний бампер для Лада Приора седан</t>
  </si>
  <si>
    <t>Оригинальный задний бампер для Лада Приора седан (С отверстиями под парктроники Без покраски)</t>
  </si>
  <si>
    <t>Y</t>
  </si>
  <si>
    <t>21700280401511</t>
  </si>
  <si>
    <t>21700280401511</t>
  </si>
  <si>
    <t>кузовщина</t>
  </si>
  <si>
    <t>https://motorring.ru/product/19948-zadniy-bamper-lada-granta-sedan</t>
  </si>
  <si>
    <t>Y</t>
  </si>
  <si>
    <t>Оригинальный задний бампер нового образца для Лада Приора 2 седан</t>
  </si>
  <si>
    <t>Оригинальный задний бампер нового образца для Лада Приора 2 седан (Без покраски)</t>
  </si>
  <si>
    <t>Y</t>
  </si>
  <si>
    <t>21704280401501</t>
  </si>
  <si>
    <t>21704280401501</t>
  </si>
  <si>
    <t>кузовщина</t>
  </si>
  <si>
    <t>https://motorring.ru/product/1364-zadniy-bamper-restayling-lada-priora-sedan</t>
  </si>
  <si>
    <t>Оригинальный капот для ВАЗ 2108-21099</t>
  </si>
  <si>
    <t>Оригинальный капот для ВАЗ 2108-21099 (Без покраски)</t>
  </si>
  <si>
    <t>Y</t>
  </si>
  <si>
    <t>21093840201070</t>
  </si>
  <si>
    <t>21093840201070</t>
  </si>
  <si>
    <t>кузовщина</t>
  </si>
  <si>
    <t>https://motorring.ru/product/16039-kapot-cvet-vaz-2108-21099</t>
  </si>
  <si>
    <t>Y</t>
  </si>
  <si>
    <t>Оригинальный капот для ВАЗ 2110-2112</t>
  </si>
  <si>
    <t>Оригинальный капот для ВАЗ 2110-2112 (Без покраски)</t>
  </si>
  <si>
    <t>Y</t>
  </si>
  <si>
    <t>21100840201010</t>
  </si>
  <si>
    <t>21100840201010</t>
  </si>
  <si>
    <t>кузовщина</t>
  </si>
  <si>
    <t>https://motorring.ru/product/16046-kapot-cvet-vaz-2110-2112</t>
  </si>
  <si>
    <t>Y</t>
  </si>
  <si>
    <t>Оригинальный капот для ВАЗ 2113-2115</t>
  </si>
  <si>
    <t>Оригинальный капот для ВАЗ 2113-2115 (Без покраски)</t>
  </si>
  <si>
    <t>Y</t>
  </si>
  <si>
    <t>21140840201070</t>
  </si>
  <si>
    <t>21140840201070</t>
  </si>
  <si>
    <t>кузовщина</t>
  </si>
  <si>
    <t>https://motorring.ru/product/16044-kapot-cvet-vaz-2113-2114-2115</t>
  </si>
  <si>
    <t>Y</t>
  </si>
  <si>
    <t>Оригинальный капот для Лада XRAY</t>
  </si>
  <si>
    <t>Оригинальный капот для Лада XRAY (Без покраски)</t>
  </si>
  <si>
    <t>Y</t>
  </si>
  <si>
    <t>651007207R</t>
  </si>
  <si>
    <t>651007207R</t>
  </si>
  <si>
    <t>кузовщина</t>
  </si>
  <si>
    <t>https://motorring.ru/product/10518-kapot-cvet-lada-iks-rey-iks-rey-cross</t>
  </si>
  <si>
    <t>Y</t>
  </si>
  <si>
    <t>Оригинальный капот для Лада Веста</t>
  </si>
  <si>
    <t>Оригинальный капот для Лада Веста (Без покраски)</t>
  </si>
  <si>
    <t>Y</t>
  </si>
  <si>
    <t>8450039378</t>
  </si>
  <si>
    <t>8450039378</t>
  </si>
  <si>
    <t>кузовщина</t>
  </si>
  <si>
    <t>https://motorring.ru/product/10509-kapot-cvet-lada-vesta</t>
  </si>
  <si>
    <t>Y</t>
  </si>
  <si>
    <t>Оригинальный капот для Лада Гранта FL</t>
  </si>
  <si>
    <t>Оригинальный капот для Лада Гранта FL (Без покраски)</t>
  </si>
  <si>
    <t>Y</t>
  </si>
  <si>
    <t>8450104269</t>
  </si>
  <si>
    <t>8450104269</t>
  </si>
  <si>
    <t>кузовщина</t>
  </si>
  <si>
    <t>https://motorring.ru/product/19949-kapot-cvet-lada-granta</t>
  </si>
  <si>
    <t>Y</t>
  </si>
  <si>
    <t>Оригинальный капот для Лада Калина</t>
  </si>
  <si>
    <t>Оригинальный капот для Лада Калина (Без покраски)</t>
  </si>
  <si>
    <t>Y</t>
  </si>
  <si>
    <t>11180840201070</t>
  </si>
  <si>
    <t>11180840201070</t>
  </si>
  <si>
    <t>кузовщина</t>
  </si>
  <si>
    <t>https://motorring.ru/product/16061-kapot-cvet-lada-kalina</t>
  </si>
  <si>
    <t>Y</t>
  </si>
  <si>
    <t>Оригинальный капот для Лада Калина 2, Гранта</t>
  </si>
  <si>
    <t>Оригинальный капот для Лада Калина 2, Гранта (Без покраски)</t>
  </si>
  <si>
    <t>Y</t>
  </si>
  <si>
    <t>21900840201070</t>
  </si>
  <si>
    <t>21900840201070</t>
  </si>
  <si>
    <t>кузовщина</t>
  </si>
  <si>
    <t>https://motorring.ru/product/16057-kapot-cvet-lada-kalina-granta</t>
  </si>
  <si>
    <t>Y</t>
  </si>
  <si>
    <t>Оригинальный капот для Лада Ларгус</t>
  </si>
  <si>
    <t>Оригинальный капот для Лада Ларгус (Без покраски)</t>
  </si>
  <si>
    <t>Y</t>
  </si>
  <si>
    <t>6001546685</t>
  </si>
  <si>
    <t>6001546685</t>
  </si>
  <si>
    <t>кузовщина</t>
  </si>
  <si>
    <t>https://motorring.ru/product/10496-kapot-cvet-lada-largus</t>
  </si>
  <si>
    <t>Оригинальный капот для Лада Нива 4х4</t>
  </si>
  <si>
    <t>Оригинальный капот для Лада Нива 4х4 (Без покраски)</t>
  </si>
  <si>
    <t>Y</t>
  </si>
  <si>
    <t>21213840201210</t>
  </si>
  <si>
    <t>21213840201210</t>
  </si>
  <si>
    <t>кузовщина</t>
  </si>
  <si>
    <t>https://motorring.ru/product/6398-kapot-cvet-lada-niva-4h4</t>
  </si>
  <si>
    <t>Y</t>
  </si>
  <si>
    <t>Оригинальный капот для Лада Нива Travel</t>
  </si>
  <si>
    <t>Крышка капота (оригинал) для Лада Нива Travel (Без покраски)</t>
  </si>
  <si>
    <t>Y</t>
  </si>
  <si>
    <t>21230840201081</t>
  </si>
  <si>
    <t>21230840201081</t>
  </si>
  <si>
    <t>кузовщина</t>
  </si>
  <si>
    <t>https://motorring.ru/product/947-kapot-cvet-shevrole-niva</t>
  </si>
  <si>
    <t>Y</t>
  </si>
  <si>
    <t>Оригинальный капот для Лада Приора</t>
  </si>
  <si>
    <t>Оригинальный капот для Лада Приора (Без покраски)</t>
  </si>
  <si>
    <t>Y</t>
  </si>
  <si>
    <t>21700840201070</t>
  </si>
  <si>
    <t>21700840201070</t>
  </si>
  <si>
    <t>кузовщина</t>
  </si>
  <si>
    <t>https://motorring.ru/product/16052-kapot-lada-priora</t>
  </si>
  <si>
    <t>Оригинальный капот для Шевроле Нива</t>
  </si>
  <si>
    <t>Оригинальный капот для Шевроле Нива (Без покраски)</t>
  </si>
  <si>
    <t>Y</t>
  </si>
  <si>
    <t>21230840201070</t>
  </si>
  <si>
    <t>21230840201070</t>
  </si>
  <si>
    <t>кузовщина</t>
  </si>
  <si>
    <t>https://motorring.ru/product/947-kapot-cvet-shevrole-niva</t>
  </si>
  <si>
    <t>Y</t>
  </si>
  <si>
    <t>Оригинальный передний бампер (голый) для Лада Веста</t>
  </si>
  <si>
    <t>Оригинальный передний бампер (голый) для Лада Веста (Без покраски)</t>
  </si>
  <si>
    <t>Y</t>
  </si>
  <si>
    <t>8450006666</t>
  </si>
  <si>
    <t>8450006666</t>
  </si>
  <si>
    <t>кузовщина</t>
  </si>
  <si>
    <t>https://motorring.ru/product/10318-peredniy-bamper-golyy-lada-vesta</t>
  </si>
  <si>
    <t>Y</t>
  </si>
  <si>
    <t>Оригинальный передний бампер для Лада Гранта</t>
  </si>
  <si>
    <t>Оригинальный передний бампер для Лада Гранта (Без покраски)</t>
  </si>
  <si>
    <t>Y</t>
  </si>
  <si>
    <t>21900280301511</t>
  </si>
  <si>
    <t>21900280301511</t>
  </si>
  <si>
    <t>кузовщина</t>
  </si>
  <si>
    <t>https://motorring.ru/product/16100-peredniy-bamper-starogo-obrazca-lada-granta</t>
  </si>
  <si>
    <t>Y</t>
  </si>
  <si>
    <t>Оригинальный передний бампер для Лада Гранта (лифтбек)</t>
  </si>
  <si>
    <t>Оригинальный передний бампер для Лада Гранта (лифтбек) (Без покраски)</t>
  </si>
  <si>
    <t>Y</t>
  </si>
  <si>
    <t>21910280301501</t>
  </si>
  <si>
    <t>21910280301501</t>
  </si>
  <si>
    <t>кузовщина</t>
  </si>
  <si>
    <t>https://motorring.ru/product/16102-peredniy-bamper-novogo-obrazca-lada-granta</t>
  </si>
  <si>
    <t>Y</t>
  </si>
  <si>
    <t>Оригинальный передний бампер для Лада Гранта FL</t>
  </si>
  <si>
    <t>Оригинальный передний бампер для Лада Гранта FL (Без покраски)</t>
  </si>
  <si>
    <t>Y</t>
  </si>
  <si>
    <t>8450103785</t>
  </si>
  <si>
    <t>8450103785</t>
  </si>
  <si>
    <t>кузовщина</t>
  </si>
  <si>
    <t>https://motorring.ru/product/19947-peredniy-bamper-lada-granta-2</t>
  </si>
  <si>
    <t>Y</t>
  </si>
  <si>
    <t>Оригинальный передний бампер Н/О "ЛЮКС" в сборе нового образца для Шевроле Нива</t>
  </si>
  <si>
    <t>Оригинальный передний бампер Н/О "ЛЮКС" в сборе нового образца для Шевроле Нива (Без покраски)</t>
  </si>
  <si>
    <t>Y</t>
  </si>
  <si>
    <t>21230280301556</t>
  </si>
  <si>
    <t>21230280301556</t>
  </si>
  <si>
    <t>кузовщина</t>
  </si>
  <si>
    <t>https://motorring.ru/product/10495-peredniy-bamper-bertone-restayling-shevrole-niva</t>
  </si>
  <si>
    <t>Y</t>
  </si>
  <si>
    <t>Оригинальный передний бампер нового образца (голый) для Лада Приора, Приора 2</t>
  </si>
  <si>
    <t>Оригинальный передний бампер нового образца (голый) для Лада Приора, Приора 2 (Без отверстий под ПТФ, Без покраски)</t>
  </si>
  <si>
    <t>Y</t>
  </si>
  <si>
    <t>21704280301500</t>
  </si>
  <si>
    <t>21704280301500</t>
  </si>
  <si>
    <t>кузовщина</t>
  </si>
  <si>
    <t>https://motorring.ru/product/26650-peredniy-bamper-restayling-bez-ptf-sbore-lada-priora</t>
  </si>
  <si>
    <t>Y</t>
  </si>
  <si>
    <t>Оригинальный передний бампер нового образца (голый) для Лада Приора, Приора 2</t>
  </si>
  <si>
    <t>Оригинальный передний бампер нового образца (голый) для Лада Приора, Приора 2 (С отверстиями под ПТФ, Без покраски)</t>
  </si>
  <si>
    <t>Y</t>
  </si>
  <si>
    <t>21704280301510</t>
  </si>
  <si>
    <t>21704280301510</t>
  </si>
  <si>
    <t>кузовщина</t>
  </si>
  <si>
    <t>https://motorring.ru/product/5343-peredniy-bamper-restayling-sbore-lada-priora</t>
  </si>
  <si>
    <t>Y</t>
  </si>
  <si>
    <t>Оригинальный передний бампер старого образца для Лада Приора</t>
  </si>
  <si>
    <t>Оригинальный передний бампер старого образца для Лада Приора (Без покраски)</t>
  </si>
  <si>
    <t>Y</t>
  </si>
  <si>
    <t>21700280301501</t>
  </si>
  <si>
    <t>21700280301501</t>
  </si>
  <si>
    <t>кузовщина</t>
  </si>
  <si>
    <t>https://motorring.ru/product/16094-peredniy-bamper-lada-priora</t>
  </si>
  <si>
    <t>Y</t>
  </si>
  <si>
    <t>Переднее крыло пластиковое (стандартное) для ВАЗ 2113-2115</t>
  </si>
  <si>
    <t>Переднее крыло пластиковое (стандартное) для ВАЗ 2113-2115 (Без покраски, Левая (водительская))</t>
  </si>
  <si>
    <t>Y</t>
  </si>
  <si>
    <t>21140840301199</t>
  </si>
  <si>
    <t>21140840301199</t>
  </si>
  <si>
    <t>кузовщина</t>
  </si>
  <si>
    <t>Переднее крыло пластиковое (стандартное) для ВАЗ 2113-2115</t>
  </si>
  <si>
    <t>Переднее крыло пластиковое (стандартное) для ВАЗ 2113-2115 (Без покраски, Правая (пассажирская))</t>
  </si>
  <si>
    <t>Y</t>
  </si>
  <si>
    <t>21140840301099</t>
  </si>
  <si>
    <t>21140840301099</t>
  </si>
  <si>
    <t>кузовщина</t>
  </si>
  <si>
    <t>Переднее левое крыло "АвтоВАЗ" для ВАЗ 2108-21099</t>
  </si>
  <si>
    <t>Переднее левое крыло "АвтоВАЗ" для ВАЗ 2108-21099 (Без покраски)</t>
  </si>
  <si>
    <t>Y</t>
  </si>
  <si>
    <t>21093840301170</t>
  </si>
  <si>
    <t>21093840301170</t>
  </si>
  <si>
    <t>кузовщина</t>
  </si>
  <si>
    <t>https://motorring.ru/product/16040-krylo-perednee-levoe-cvet-vaz-2108-21099</t>
  </si>
  <si>
    <t>Y</t>
  </si>
  <si>
    <t>Переднее левое крыло для Датсун mi-DO, on-DO</t>
  </si>
  <si>
    <t>Переднее левое крыло для Датсун mi-DO, on-DO (Без покраски)</t>
  </si>
  <si>
    <t>Y</t>
  </si>
  <si>
    <t>631135PA0C</t>
  </si>
  <si>
    <t>631135PA0C</t>
  </si>
  <si>
    <t>кузовщина</t>
  </si>
  <si>
    <t>https://motorring.ru/product/10528-krylo-perednee-levoe-cvet-datsun</t>
  </si>
  <si>
    <t>Y</t>
  </si>
  <si>
    <t>Переднее левое крыло для Лада XRAY</t>
  </si>
  <si>
    <t>Переднее левое крыло для Лада XRAY (Без отверстий под молдинг, Без покраски)</t>
  </si>
  <si>
    <t>Y</t>
  </si>
  <si>
    <t>631014885R</t>
  </si>
  <si>
    <t>631014885R</t>
  </si>
  <si>
    <t>кузовщина</t>
  </si>
  <si>
    <t>https://motorring.ru/product/10520</t>
  </si>
  <si>
    <t>Y</t>
  </si>
  <si>
    <t>Переднее левое крыло для Лада XRAY</t>
  </si>
  <si>
    <t>Переднее левое крыло для Лада XRAY (С отверстиями под молдинг, Без покраски)</t>
  </si>
  <si>
    <t>Y</t>
  </si>
  <si>
    <t>8450105009</t>
  </si>
  <si>
    <t>8450105009</t>
  </si>
  <si>
    <t>кузовщина</t>
  </si>
  <si>
    <t>https://motorring.ru/product/27674-krylo-perednee-levoe-cvet-lada-iks-rey-cross</t>
  </si>
  <si>
    <t>Y</t>
  </si>
  <si>
    <t>Переднее левое крыло для Лада Веста</t>
  </si>
  <si>
    <t>Переднее левое крыло для Лада Веста (Без отверстий под молдинг, Без покраски)</t>
  </si>
  <si>
    <t>Y</t>
  </si>
  <si>
    <t>8450039382</t>
  </si>
  <si>
    <t>8450039382</t>
  </si>
  <si>
    <t>кузовщина</t>
  </si>
  <si>
    <t>https://motorring.ru/product/10511-krylo-perednee-levoe-cvet-lada-vesta</t>
  </si>
  <si>
    <t>Переднее левое крыло для Лада Веста</t>
  </si>
  <si>
    <t>Переднее левое крыло для Лада Веста (С отверстиями под молдинг, Без покраски)</t>
  </si>
  <si>
    <t>Y</t>
  </si>
  <si>
    <t>8450102331</t>
  </si>
  <si>
    <t>8450102331</t>
  </si>
  <si>
    <t>кузовщина</t>
  </si>
  <si>
    <t>https://motorring.ru/product/24987-krylo-perednee-levoe-cvet-lada-vesta-cross</t>
  </si>
  <si>
    <t>Переднее левое крыло нового образца для Шевроле Нива (после 2009 г.в.)</t>
  </si>
  <si>
    <t>Переднее левое крыло нового образца для Шевроле Нива (после 2009 г.в.) (Без покраски)</t>
  </si>
  <si>
    <t>Y</t>
  </si>
  <si>
    <t>21230840301155</t>
  </si>
  <si>
    <t>21230840301155</t>
  </si>
  <si>
    <t>кузовщина</t>
  </si>
  <si>
    <t>https://motorring.ru/product/2833-krylo-perednee-levoe-novogo-obrazca-cvet-shevrole-niva</t>
  </si>
  <si>
    <t>Y</t>
  </si>
  <si>
    <t>Переднее левое крыло старого образца для Шевроле Нива (до 2009 года выпуска)</t>
  </si>
  <si>
    <t>Переднее левое крыло старого образца для Шевроле Нива (до 2009 года выпуска) (Без покраски)</t>
  </si>
  <si>
    <t>Y</t>
  </si>
  <si>
    <t>21230840301170</t>
  </si>
  <si>
    <t>21230840301170</t>
  </si>
  <si>
    <t>кузовщина</t>
  </si>
  <si>
    <t>https://motorring.ru/product/2883-krylo-perednee-levoe-starogo-obrazca-cvet-shevrole-niva</t>
  </si>
  <si>
    <t>Y</t>
  </si>
  <si>
    <t>Переднее правое крыло "АвтоВАЗ" для ВАЗ 2108-21099</t>
  </si>
  <si>
    <t>Переднее правое крыло "АвтоВАЗ" для ВАЗ 2108-2109 (Без покраски)</t>
  </si>
  <si>
    <t>Y</t>
  </si>
  <si>
    <t>21093840301000</t>
  </si>
  <si>
    <t>21093840301000</t>
  </si>
  <si>
    <t>кузовщина</t>
  </si>
  <si>
    <t>https://motorring.ru/product/11336-krylo-perednee-pravoe-cvet-vaz-2108-21099</t>
  </si>
  <si>
    <t>Y</t>
  </si>
  <si>
    <t>Переднее правое крыло для Датсун mi-DO, on-DO</t>
  </si>
  <si>
    <t>Переднее правое крыло для Датсун mi-DO, on-DO (Без покраски)</t>
  </si>
  <si>
    <t>Y</t>
  </si>
  <si>
    <t>631125PA0B</t>
  </si>
  <si>
    <t>631125PA0B</t>
  </si>
  <si>
    <t>кузовщина</t>
  </si>
  <si>
    <t>https://motorring.ru/product/10527-krylo-perednee-pravoe-cvet-datsun</t>
  </si>
  <si>
    <t>Y</t>
  </si>
  <si>
    <t>Переднее правое крыло для Лада XRAY</t>
  </si>
  <si>
    <t>Переднее правое крыло для Лада XRAY (Без отверстий под молдинг, Без покраски)</t>
  </si>
  <si>
    <t>Y</t>
  </si>
  <si>
    <t>631006734R</t>
  </si>
  <si>
    <t>631006734R</t>
  </si>
  <si>
    <t>кузовщина</t>
  </si>
  <si>
    <t>https://motorring.ru/product/10519-krylo-perednee-pravoe-cvet-lada-iks-rey</t>
  </si>
  <si>
    <t>Y</t>
  </si>
  <si>
    <t>Переднее правое крыло для Лада XRAY</t>
  </si>
  <si>
    <t>Переднее правое крыло для Лада XRAY (С отверстиями под молдинг, Без покраски)</t>
  </si>
  <si>
    <t>Y</t>
  </si>
  <si>
    <t>8450105008</t>
  </si>
  <si>
    <t>8450105008</t>
  </si>
  <si>
    <t>кузовщина</t>
  </si>
  <si>
    <t>https://motorring.ru/product/27673-krylo-perednee-pravoe-cvet-lada-iks-rey-cross</t>
  </si>
  <si>
    <t>Y</t>
  </si>
  <si>
    <t>Переднее правое крыло для Лада Веста</t>
  </si>
  <si>
    <t>Переднее правое крыло для Лада Веста (Без отверстий под молдинг, Без покраски)</t>
  </si>
  <si>
    <t>Y</t>
  </si>
  <si>
    <t>8450039386</t>
  </si>
  <si>
    <t>8450039386</t>
  </si>
  <si>
    <t>кузовщина</t>
  </si>
  <si>
    <t>https://motorring.ru/product/10510-krylo-perednee-pravoe-cvet-lada-vesta</t>
  </si>
  <si>
    <t>Y</t>
  </si>
  <si>
    <t>Переднее правое крыло для Лада Веста</t>
  </si>
  <si>
    <t>Переднее правое крыло для Лада Веста (С отверстиями под молдинг, Без покраски)</t>
  </si>
  <si>
    <t>Y</t>
  </si>
  <si>
    <t>8450102330</t>
  </si>
  <si>
    <t>8450102330</t>
  </si>
  <si>
    <t>кузовщина</t>
  </si>
  <si>
    <t>https://motorring.ru/product/24986-krylo-perednee-pravoe-cvet-lada-vesta-cross</t>
  </si>
  <si>
    <t>Y</t>
  </si>
  <si>
    <t>Переднее правое крыло нового образца для Шевроле Нива (после 2009 года выпуска)</t>
  </si>
  <si>
    <t>Переднее правое крыло нового образца для Шевроле Нива (после 2009 года выпуска) (Без покраски)</t>
  </si>
  <si>
    <t>Y</t>
  </si>
  <si>
    <t>21230840301055</t>
  </si>
  <si>
    <t>21230840301055</t>
  </si>
  <si>
    <t>кузовщина</t>
  </si>
  <si>
    <t>https://motorring.ru/product/1679-krylo-perednee-pravoe-novogo-obrazca-cvet-shevrole-niva</t>
  </si>
  <si>
    <t>Y</t>
  </si>
  <si>
    <t>Переднее правое крыло старого образца для Шевроле Нива (до 2009 года выпуска)</t>
  </si>
  <si>
    <t>Переднее правое крыло старого образца для Шевроле Нива (до 2009 года выпуска) (Без покраски)</t>
  </si>
  <si>
    <t>Y</t>
  </si>
  <si>
    <t>21230840301070</t>
  </si>
  <si>
    <t>21230840301070</t>
  </si>
  <si>
    <t>кузовщина</t>
  </si>
  <si>
    <t>https://motorring.ru/product/5336-krylo-perednee-pravoe-starogo-obrazca-cvet-shevrole-niva</t>
  </si>
  <si>
    <t>Y</t>
  </si>
  <si>
    <t>Передние крылья пластиковые стандарт для Лада Калина</t>
  </si>
  <si>
    <t>Передние крылья "Gamma" пластиковые стандарт для Лада Калина (Без покраски)</t>
  </si>
  <si>
    <t>Y</t>
  </si>
  <si>
    <t>11180840301199 / 11180840301099</t>
  </si>
  <si>
    <t>11180840301199 / 11180840301099</t>
  </si>
  <si>
    <t>кузовщина</t>
  </si>
  <si>
    <t>Передний бампер "АвтоВАЗ" для Лада Калина</t>
  </si>
  <si>
    <t>Оригинальный передний бампер "Люкс" для Лада Калина (Без покраски, Без отверстий под ПТФ)</t>
  </si>
  <si>
    <t>Y</t>
  </si>
  <si>
    <t>11180280301500</t>
  </si>
  <si>
    <t>11180280301500</t>
  </si>
  <si>
    <t>кузовщина</t>
  </si>
  <si>
    <t>https://motorring.ru/product/16080-peredniy-bamper-norma-bez-ptf-lada-kalina</t>
  </si>
  <si>
    <t>Передний бампер "АвтоВАЗ" для Лада Калина</t>
  </si>
  <si>
    <t>Оригинальный передний бампер "Люкс" для Лада Калина (Без покраски, С отверстиями под ПТФ)</t>
  </si>
  <si>
    <t>Y</t>
  </si>
  <si>
    <t>11180280301500</t>
  </si>
  <si>
    <t>11180280301500</t>
  </si>
  <si>
    <t>кузовщина</t>
  </si>
  <si>
    <t>https://motorring.ru/product/10489-peredniy-bamper-lyuks-ptf-lada-kalina</t>
  </si>
  <si>
    <t>Y</t>
  </si>
  <si>
    <t>Передний бампер "АвтоВАЗ" Н/О для Лада Калина</t>
  </si>
  <si>
    <t>Передний бампер "АвтоВАЗ" Н/О для Лада Калина (Без покраски)</t>
  </si>
  <si>
    <t>Y</t>
  </si>
  <si>
    <t>11180280301500</t>
  </si>
  <si>
    <t>11180280301500</t>
  </si>
  <si>
    <t>кузовщина</t>
  </si>
  <si>
    <t>Y</t>
  </si>
  <si>
    <t>Передний бампер "АвтоВАЗ" с кронштейнами под парктроник для Лада Веста NG</t>
  </si>
  <si>
    <t>Передний бампер "АвтоВАЗ" с кронштейнами под парктроник для Лада Веста NG (Без покраски)</t>
  </si>
  <si>
    <t>Y</t>
  </si>
  <si>
    <t>8460008782</t>
  </si>
  <si>
    <t>8460008782</t>
  </si>
  <si>
    <t>кузовщина</t>
  </si>
  <si>
    <t>https://motorring.ru/product/36857-bamper-peredniy-otverstiyami-kronshteynami-vesta-ng</t>
  </si>
  <si>
    <t>Y</t>
  </si>
  <si>
    <t>Передний бампер "кооператив" нового образца (голый) для Лада Приора 2</t>
  </si>
  <si>
    <t>Передний бампер "кооператив" нового образца (голый) для Лада Приора 2 (Без покраски, Без отверстий под ПТФ)</t>
  </si>
  <si>
    <t>Y</t>
  </si>
  <si>
    <t>21704280301530</t>
  </si>
  <si>
    <t>21704280301530</t>
  </si>
  <si>
    <t>кузовщина</t>
  </si>
  <si>
    <t>https://motorring.ru/product/26656-peredniy-bamper-restayling-bez-ptf-lada-priora</t>
  </si>
  <si>
    <t>Y</t>
  </si>
  <si>
    <t>Передний бампер "кооператив" нового образца (голый) для Лада Приора 2</t>
  </si>
  <si>
    <t>Передний бампер "кооператив" нового образца (голый) для Лада Приора 2 (Без покраски, С отверстиями под ПТФ)</t>
  </si>
  <si>
    <t>Y</t>
  </si>
  <si>
    <t>21704280301530</t>
  </si>
  <si>
    <t>21704280301530</t>
  </si>
  <si>
    <t>кузовщина</t>
  </si>
  <si>
    <t>https://motorring.ru/product/16098-peredniy-bamper-restayling-lada-priora</t>
  </si>
  <si>
    <t>Y</t>
  </si>
  <si>
    <t>Передний бампер (голый) для Лада Веста SW Cross</t>
  </si>
  <si>
    <t>Передний бампер (голый) для Лада Веста SW Cross (Без покраски)</t>
  </si>
  <si>
    <t>Y</t>
  </si>
  <si>
    <t>8450033685</t>
  </si>
  <si>
    <t>8450033685</t>
  </si>
  <si>
    <t>кузовщина</t>
  </si>
  <si>
    <t>https://motorring.ru/product/21202-peredniy-bamper-golyy-lada-vesta-cross</t>
  </si>
  <si>
    <t>Y</t>
  </si>
  <si>
    <t>Передний бампер (под ПТФ) для ВАЗ 2113-2115</t>
  </si>
  <si>
    <t>Передний бампер (под ПТФ) для ВАЗ 2113-2115 (Без покраски)</t>
  </si>
  <si>
    <t>Y</t>
  </si>
  <si>
    <t>21130280301530</t>
  </si>
  <si>
    <t>21130280301530</t>
  </si>
  <si>
    <t>кузовщина</t>
  </si>
  <si>
    <t>https://motorring.ru/product/16087-peredniy-bamper-ptf-vaz-2113-2115</t>
  </si>
  <si>
    <t>Y</t>
  </si>
  <si>
    <t>Передний бампер без ПТФ для ВАЗ 2113-2115</t>
  </si>
  <si>
    <t>Передний бампер без ПТФ для ВАЗ 2113-2115 (Без покраски)</t>
  </si>
  <si>
    <t>Y</t>
  </si>
  <si>
    <t>21130280301520</t>
  </si>
  <si>
    <t>21130280301520</t>
  </si>
  <si>
    <t>кузовщина</t>
  </si>
  <si>
    <t>https://motorring.ru/product/16088-peredniy-bamper-bez-ptf-vaz-2113-2115</t>
  </si>
  <si>
    <t>Y</t>
  </si>
  <si>
    <t>Передний бампер для ВАЗ 2110-2112</t>
  </si>
  <si>
    <t>Передний бампер для ВАЗ 2110-2112 (Без покраски)</t>
  </si>
  <si>
    <t>Y</t>
  </si>
  <si>
    <t>21100280301530</t>
  </si>
  <si>
    <t>21100280301530</t>
  </si>
  <si>
    <t>кузовщина</t>
  </si>
  <si>
    <t>https://motorring.ru/product/27741-peredniy-bamper-vaz-bez-balki-2110-2112</t>
  </si>
  <si>
    <t>Y</t>
  </si>
  <si>
    <t>Передний бампер для ВАЗ 2110-2112М</t>
  </si>
  <si>
    <t>Передний бампер для ВАЗ 2110-2112М (Без покраски)</t>
  </si>
  <si>
    <t>Y</t>
  </si>
  <si>
    <t>кузовщина</t>
  </si>
  <si>
    <t>Y</t>
  </si>
  <si>
    <t>Передний бампер для Лада Калина 2</t>
  </si>
  <si>
    <t>Передний бампер для Лада Калина 2 (Без покраски)</t>
  </si>
  <si>
    <t>Y</t>
  </si>
  <si>
    <t>21920280301501</t>
  </si>
  <si>
    <t>21920280301501</t>
  </si>
  <si>
    <t>кузовщина</t>
  </si>
  <si>
    <t>https://motorring.ru/product/16103-peredniy-bamper-lada-kalina-2</t>
  </si>
  <si>
    <t>Y</t>
  </si>
  <si>
    <t>Передний бампер для Лада Ларгус</t>
  </si>
  <si>
    <t>Передний бампер для Лада Ларгус (Без покраски)</t>
  </si>
  <si>
    <t>Y</t>
  </si>
  <si>
    <t>8450000245</t>
  </si>
  <si>
    <t>8450000245</t>
  </si>
  <si>
    <t>кузовщина</t>
  </si>
  <si>
    <t>https://motorring.ru/product/16106-peredniy-bamper-lada-largus</t>
  </si>
  <si>
    <t>Y</t>
  </si>
  <si>
    <t>Передний бампер с серой полосой (без ПТФ) для ВАЗ 2113-2115</t>
  </si>
  <si>
    <t>Передний бампер с серой полосой (без ПТФ) для ВАЗ 2113-2115 (Без покраски)</t>
  </si>
  <si>
    <t>Y</t>
  </si>
  <si>
    <t>21130280301520</t>
  </si>
  <si>
    <t>21130280301520</t>
  </si>
  <si>
    <t>кузовщина</t>
  </si>
  <si>
    <t>https://motorring.ru/product/16088-peredniy-bamper-bez-ptf-vaz-2113-2115</t>
  </si>
  <si>
    <t>Y</t>
  </si>
  <si>
    <t>Передний бампер с серой полосой под ПТФ для ВАЗ 2113-2115</t>
  </si>
  <si>
    <t>Передний бампер с серой полосой под ПТФ для ВАЗ 2113-2115 (Без покраски)</t>
  </si>
  <si>
    <t>Y</t>
  </si>
  <si>
    <t>211502803015</t>
  </si>
  <si>
    <t>211502803015</t>
  </si>
  <si>
    <t>кузовщина</t>
  </si>
  <si>
    <t>https://motorring.ru/product/16087-peredniy-bamper-ptf-vaz-2113-2115</t>
  </si>
  <si>
    <t>Y</t>
  </si>
  <si>
    <t>Наименование</t>
  </si>
  <si>
    <t>Кат. Номер</t>
  </si>
  <si>
    <t>Артикул</t>
  </si>
  <si>
    <t>ЗЦ</t>
  </si>
  <si>
    <t>РЦ</t>
  </si>
  <si>
    <t>Факт</t>
  </si>
  <si>
    <t>%</t>
  </si>
  <si>
    <t>Рек</t>
  </si>
  <si>
    <t>MR</t>
  </si>
  <si>
    <t>Google</t>
  </si>
  <si>
    <t>Доп</t>
  </si>
  <si>
    <t>Элемент</t>
  </si>
  <si>
    <t>Выбор</t>
  </si>
  <si>
    <t/>
  </si>
  <si>
    <t>1990 снят</t>
  </si>
  <si>
    <t>не то</t>
  </si>
  <si>
    <t>не нашел</t>
  </si>
  <si>
    <t>https://motorring.ru/product/18146-arka-kolesa-zadnego-vnutrennyaya-pravaya-kataforeznoe</t>
  </si>
  <si>
    <t>https://motorring.ru/product/26906-arka-kolesa-zadnego-vnutrennyaya-levaya-kataforeznoe</t>
  </si>
  <si>
    <t>https://motorring.ru/product/15493-krylo-zadnee-levoe-kataforeznoe-pokrytie-shevrole-niva</t>
  </si>
  <si>
    <t>https://motorring.ru/product/798-krylo-zadnee-levoe-kataforeznoe-pokrytie-dlya-vaz-2111</t>
  </si>
  <si>
    <t>https://motorring.ru/product/801-krylo-zadnee-levoe-kataforeznoe-pokrytie-vaz-2115</t>
  </si>
  <si>
    <t>https://motorring.ru/product/10265-krylo-zadnee-levoe-kataforeznoe-pokrytie-lada-granta-sedan</t>
  </si>
  <si>
    <t>13990 снят</t>
  </si>
  <si>
    <t>https://motorring.ru/product/15184-krylo-zadnee-levoe-kataforeznoe-pokrytie-lada-granta</t>
  </si>
  <si>
    <t>https://motorring.ru/product/734-krylo-zadnee-levoe-kataforeznoe-pokrytie-lada-kalina</t>
  </si>
  <si>
    <t>https://motorring.ru/product/40835-krylo-zadnee-levoe-kataforez-lada-kalina-sedan</t>
  </si>
  <si>
    <t>https://motorring.ru/product/511</t>
  </si>
  <si>
    <t>https://motorring.ru/product/692-krylo-zadnee-pravoe-kataforeznoe-pokrytie-vaz-2112</t>
  </si>
  <si>
    <t>https://motorring.ru/product/34877-krylo-zadnee-levoe-kataforeznym-pokrytiem-lada-kalina-2194</t>
  </si>
  <si>
    <t>https://motorring.ru/product/15178-krylo-zadnee-pravoe-sbore-ramkoy-lyuka-nalivnoy-gorloviny</t>
  </si>
  <si>
    <t>https://motorring.ru/product/34920-krylo-zadnee-pravoe-kataforez-lada-kalina-sedan</t>
  </si>
  <si>
    <t>https://motorring.ru/product/10177-krylo-zadnee-pravoe-kataforeznoe-pokrytie-lada-priora</t>
  </si>
  <si>
    <t>https://motorring.ru/product/15204-krylo-zadnee-pravoe-sbore-ramkoy-lyuka-nalivnoy-gorloviny</t>
  </si>
  <si>
    <t>https://motorring.ru/product/15177-krylo-zadnee-levoe-cross-otverstiyami-pod-molding</t>
  </si>
  <si>
    <t>https://motorring.ru/product/18129-krylo-perednee-levoe-kataforeznoe-pokrytie-lada-niva-21214</t>
  </si>
  <si>
    <t>https://motorring.ru/product/18128-krylo-perednee-pravoe-kataforeznoe-pokrytie-lada-niva-21214</t>
  </si>
  <si>
    <t>https://motorring.ru/product/797-krylo-zadnee-pravoe-kataforeznoe-pokrytie-dlya-vaz-2111</t>
  </si>
  <si>
    <t>https://motorring.ru/product/38159-krylo-zadnee-levoe-kataforeznoe-pokrytie-vaz-2112</t>
  </si>
  <si>
    <t>13490 снят</t>
  </si>
  <si>
    <t>https://motorring.ru/product/34919-krylo-zadnee-levoe-kataforez-lada-kalina-universal</t>
  </si>
  <si>
    <t>https://motorring.ru/product/14541-krylo-zadnee-pravoe-kataforeznym-pokrytiem-dlya-lada-kalina</t>
  </si>
  <si>
    <t>https://motorring.ru/product/732-krylo-zadnee-pravoe-kataforeznym-pokrytiem-dlya-lada-kalina</t>
  </si>
  <si>
    <t>https://motorring.ru/product/10178-krylo-zadnee-levoe-kataforeznoe-pokrytie-lada-priora</t>
  </si>
  <si>
    <t>16590 снят</t>
  </si>
  <si>
    <t>https://motorring.ru/product/34885-krylo-zadnee-levoe-kataforez-chevrole-niva</t>
  </si>
  <si>
    <t>https://motorring.ru/product/33510-krylo-zadnee-pravoe-kataforez-chevrole-niva</t>
  </si>
  <si>
    <t>https://motorring.ru/product/38346-zadnee-pravoe-krylo-sbore-dlya-lada-priora-sedan</t>
  </si>
  <si>
    <t>https://motorring.ru/product/38347-zadnee-levoe-krylo-sbore-dlya-lada-priora-sedan</t>
  </si>
  <si>
    <t>https://motorring.ru/product/10264-krylo-zadnee-pravoe-sbore-ramkoy-lyuka-nalivnoy-gorloviny</t>
  </si>
  <si>
    <t>https://motorring.ru/product/15185-krylo-zadnee-pravoe-sbore-ramkoy-lyuka-nalivnoy-gorloviny</t>
  </si>
  <si>
    <t>https://motorring.ru/product/34270-peredniy-bamper-vaz-21123-kupe</t>
  </si>
  <si>
    <t>https://motorring.ru/product/41894-plastikovoe-krylo-levoe-vaz-2113-2115</t>
  </si>
  <si>
    <t>https://motorring.ru/product/41895-plastikovoe-krylo-pravoe-vaz-2113-2115</t>
  </si>
  <si>
    <t>https://motorring.ru/product/36269-plastikovye-krylyya-dlya-lada-kalina</t>
  </si>
  <si>
    <t>9990 без шноркеля</t>
  </si>
  <si>
    <t>https://motorring.ru/product/13495-nakladki-zerkala-novogo-obrazca-shevrole-niva</t>
  </si>
  <si>
    <t>https://motorring.ru/product/35319-panely-kryshi-lada-ighevsk-kataforeznym-pokrytiem-lada-vesta</t>
  </si>
  <si>
    <t>https://motorring.ru/product/735-panely-kryshi-kataforeznoe-pokrytie-lada-kalina-hetchbek</t>
  </si>
  <si>
    <t>https://motorring.ru/product/33254-panely-kryshi-vaz-2110</t>
  </si>
  <si>
    <t>https://motorring.ru/product/796-panely-kryshi-kataforeznoe-pokrytie-vaz-2111</t>
  </si>
  <si>
    <t>https://motorring.ru/product/18138-panely-kryshi-kataforeznoe-pokrytie-lada-priora-sedan</t>
  </si>
  <si>
    <t>https://motorring.ru/product/29913-panely-kryshi-kataforeznoe-pokrytie-vaz-21099-2115</t>
  </si>
  <si>
    <t>https://motorring.ru/product/4580-panely-kryshi-kataforeznoe-pokrytie-vaz-2108-21099</t>
  </si>
  <si>
    <t>https://motorring.ru/product/214-panely-kryshi-kataforeznoe-pokrytie-3-dvernuyu-lada-niva</t>
  </si>
  <si>
    <t>https://motorring.ru/product/10176-panely-kryshi-kataforeznoe-pokrytie-lada-priora-hetchbek</t>
  </si>
  <si>
    <t>https://motorring.ru/product/33507-panely-kryshi-starogo-obrazca-kataforez-chevrole-niva</t>
  </si>
  <si>
    <t>https://motorring.ru/product/16592-panely-kryshi-otverstiyami-kataforez-kalina-universal</t>
  </si>
  <si>
    <t>https://motorring.ru/product/6554-panely-kryshi-otverstiyami-pod-reyling-novogo-obrazca</t>
  </si>
  <si>
    <t>https://motorring.ru/product/803-panely-kryshi-kataforeznoe-pokrytie-vaz-2112</t>
  </si>
  <si>
    <t>https://motorring.ru/product/15187-panely-kryshi-lada-granta</t>
  </si>
  <si>
    <t>https://motorring.ru/product/38294-panely-kryshi-perednyaya-dlya-5-dvernoy-lada-4h4-niva-2131</t>
  </si>
  <si>
    <t>https://motorring.ru/product/38311-panely-kryshi-dlya-lada-iks-rey</t>
  </si>
  <si>
    <t>https://motorring.ru/product/723-soedinitely-poroga-levyy-dlya-vaz-2108-21099-2113-2115</t>
  </si>
  <si>
    <t>199 снят</t>
  </si>
  <si>
    <t>https://motorring.ru/product/16899-soedinitely-poroga-pola-peredniy-levyy-poddomkratnik-vaz</t>
  </si>
  <si>
    <t>https://motorring.ru/product/18247-soedinitely-poroga-pola-peredniy-pravyy-vaz-2110-2112-lada</t>
  </si>
  <si>
    <t>https://motorring.ru/product/16921-porog-levyy-lada-niva-4h4-3-dveri</t>
  </si>
  <si>
    <t>https://motorring.ru/product/16920-porog-pravyy-dlya-lada-niva-4h4-3-dveri</t>
  </si>
  <si>
    <t>https://motorring.ru/product/6539-soedinitely-poroga-longherona-peredniy-levyy-shevrole-niva</t>
  </si>
  <si>
    <t>https://motorring.ru/product/6538-soedinitely-poroga-longherona-peredniy-pravyy-shevrole-niva</t>
  </si>
  <si>
    <t>https://motorring.ru/product/16910-soedinitely-poroga-levyy-korobochka-dlya-lada-niva-4h4</t>
  </si>
  <si>
    <t>https://motorring.ru/product/16909-soedinitely-poroga-pravyy-korobochka-lada-niva-4h4</t>
  </si>
  <si>
    <t>https://motorring.ru/product/36819-soedinitely-poroga-pola-peredniy-levyy-dlya-lada-vesta</t>
  </si>
  <si>
    <t>https://motorring.ru/product/36818-soedinitely-poroga-pola-peredniy-pravyy-dlya-lada-vesta</t>
  </si>
  <si>
    <t>https://motorring.ru/product/767-usilitely-poroga-levyy-kataforeznoe-pokrytie-vaz-2110-2112</t>
  </si>
  <si>
    <t>1490 снят</t>
  </si>
  <si>
    <t>https://motorring.ru/product/763-usilitely-poroga-pravyy-kataforeznoe-pokrytie-vaz-2110-2112</t>
  </si>
  <si>
    <t>https://motorring.ru/product/16492-usilitely-poroga-pola-levyy-lada-kalina</t>
  </si>
  <si>
    <t>https://motorring.ru/product/15191-usilitely-poroga-pola-pravyy-kataforeznoe-pokrytie-lada</t>
  </si>
  <si>
    <t>https://motorring.ru/product/36705-levyy-porog-dlya-vaz-2110-2111-2112</t>
  </si>
  <si>
    <t>https://motorring.ru/product/36704-pravyy-porog-dlya-vaz-2110-2111-2112</t>
  </si>
  <si>
    <t>https://www.avtoall.ru/podkrylok_renault_logan_peredniiy_pravyiy__plastik__oe-637082/</t>
  </si>
  <si>
    <t>https://motorring.ru/product/1644-bokovina-kuzova-pravaya-vaz-2111</t>
  </si>
  <si>
    <t>https://motorring.ru/product/33482-bokovina-kuzova-levaya-dlya-lada-iks-rey</t>
  </si>
  <si>
    <t>https://motorring.ru/product/10182</t>
  </si>
  <si>
    <t>https://motorring.ru/product/10183</t>
  </si>
  <si>
    <t>https://motorring.ru/product/1029</t>
  </si>
  <si>
    <t>https://motorring.ru/product/34891-bokovina-kuzova-zadnyaya-levaya-kataforez-largus</t>
  </si>
  <si>
    <t>https://motorring.ru/product/15219</t>
  </si>
  <si>
    <t>https://motorring.ru/product/739-longheron-peredniy-pravyy-sbore-kataforeznoe-pokrytie-vaz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</si>
  <si>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</si>
  <si>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</si>
  <si>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</si>
  <si>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</si>
  <si>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</si>
  <si>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</si>
  <si>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</si>
  <si>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</si>
  <si>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</si>
  <si>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</si>
  <si>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</si>
  <si>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</si>
  <si>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</si>
  <si>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</si>
  <si>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</si>
  <si>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</si>
  <si>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</si>
  <si>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</si>
  <si>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СВОД</t>
  </si>
  <si>
    <t>Данные</t>
  </si>
  <si>
    <t>Переменные</t>
  </si>
  <si>
    <t>https://docs.google.com/spreadsheets/d/1f8_y-lcqVEuKpceVw_F97NEKzue5YmQtx8GIXUS_2B8/export?format=xlsx</t>
  </si>
  <si>
    <t>железо</t>
  </si>
  <si>
    <t>(дубль) Соединитель порога пола "АвтоВАЗ" (передний, правый) для ВАЗ 2110-2112, Лада Приора</t>
  </si>
  <si>
    <t>N</t>
  </si>
  <si>
    <t>(дубль) Соединитель порога пола "АвтоВАЗ" (поддомкратник, передний, левый) для ВАЗ 2110-2112</t>
  </si>
  <si>
    <t>8460013995 / 8450039315</t>
  </si>
  <si>
    <t>8460013995</t>
  </si>
  <si>
    <t>8460013996 / 8450039316</t>
  </si>
  <si>
    <t>8460013996</t>
  </si>
  <si>
    <t>у нас снят</t>
  </si>
  <si>
    <t>https://motorring.ru/product/971-levyy-usilitely-poroga-kataforeznym-pokrytiem-2123</t>
  </si>
  <si>
    <t>https://motorring.ru/product/16807-panely-bokoviny-narughnaya-levaya-otverstiyami-pod-molding</t>
  </si>
  <si>
    <t>https://motorring.ru/product/12884-nighnyaya-chasty-ramki-radiatora-televizora-ploschadka-pod</t>
  </si>
  <si>
    <t>https://motorring.ru/product/40844-dvery-zadnyaya-levaya-dlya-vaz-2105-2107</t>
  </si>
  <si>
    <t>https://motorring.ru/product/40843-dvery-zadnyaya-pravaya-dlya-vaz-2105-2107</t>
  </si>
  <si>
    <t>https://motorring.ru/product/38293-krylo-zadnee-pravoe-grunt-dlya-vaz-2110</t>
  </si>
  <si>
    <t>https://motorring.ru/product/33259-krylo-zadnee-levoe-grunt-dlya-vaz-2110</t>
  </si>
  <si>
    <t>https://motorring.ru/product/1478</t>
  </si>
  <si>
    <t>https://motorring.ru/product/752-longheron-pola-zadniy-levyy-kataforeznoe-pokrytie-vaz-2110</t>
  </si>
  <si>
    <t>https://motorring.ru/product/18118-longheron-pola-sredniy-pravyy-kataforeznoe-pokrytie-vaz</t>
  </si>
  <si>
    <t>https://motorring.ru/product/14869-nadstavka-pola-kuzova-zadnyaya-levaya-novogo-obrazca-dlya</t>
  </si>
  <si>
    <t>https://motorring.ru/product/17598-nadstavka-pola-zadnyaya-pravaya-vaz-2110-2111-2112-lada</t>
  </si>
  <si>
    <t>https://motorring.ru/product/33244-opora-prughiny-zadney-podveski-levaya-sbore-vaz-2110</t>
  </si>
  <si>
    <t>https://motorring.ru/product/5024-panely-pola-zadnyaya-levaya-kataforeznym-pokrytiem-dlya-vaz</t>
  </si>
  <si>
    <t>https://motorring.ru/product/40883-panely-pola-zadnyaya-pravaya-kataforez-vaz-2110</t>
  </si>
  <si>
    <t>https://motorring.ru/product/5191-poperechina-pola-perednyaya-kataforeznym-pokrytiem-2110</t>
  </si>
  <si>
    <t>https://motorring.ru/product/800-longheron-pola-zadniy-pravyy-kataforeznoe-pokrytie-vaz-2112</t>
  </si>
  <si>
    <t>https://motorring.ru/product/38234-ghelobok-zadnego-kryla-levyy-dlya-lada-priora-universal</t>
  </si>
  <si>
    <t>https://motorring.ru/product/1297-petlya-kapota-pravaya-dlya-lada-priora</t>
  </si>
  <si>
    <t>https://motorring.ru/product/16502-panely-ramki-radiatora-sbore-kataforeznoe-pokrytie-dlya</t>
  </si>
  <si>
    <t>https://motorring.ru/product/1430-poperechina-ramki-radiatora-verhnyaya-vaz-2107</t>
  </si>
  <si>
    <t>990 снят</t>
  </si>
  <si>
    <t>https://motorring.ru/product/10190-longheron-pola-zadniy-pravyy-dlya-lada-granta-sedan</t>
  </si>
  <si>
    <t>https://motorring.ru/product/4990-petlya-kapota-levaya-dlya-shevrole-niva</t>
  </si>
  <si>
    <t>https://motorring.ru/product/5734-panely-oblicovki-ramki-radiatora-ochki-kataforeznoe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</si>
</sst>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sz val="11"/>
      <color rgb="FF9C0006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0" borderId="0"/>
  </cellStyleXfs>
  <cellXfs count="79">
    <xf numFmtId="0" fontId="2" fillId="0" borderId="0" xfId="0" applyFont="1" applyAlignment="1" applyProtection="1">
      <alignment horizontal="left" vertical="top" wrapText="1"/>
    </xf>
    <xf numFmtId="0" fontId="3" fillId="0" borderId="0" xfId="0" applyFont="1" applyAlignment="1" applyProtection="1">
      <alignment horizontal="left" vertical="top" wrapText="1"/>
    </xf>
    <xf numFmtId="0" fontId="4" fillId="0" borderId="1" xfId="0" applyFont="1" applyBorder="1" applyAlignment="1" applyProtection="1">
      <alignment horizontal="left" vertical="top" wrapText="1"/>
    </xf>
    <xf numFmtId="1" fontId="0" fillId="0" borderId="2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5" fillId="2" borderId="4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9" fontId="0" fillId="0" borderId="0" xfId="1" applyFont="1" applyAlignment="1">
      <alignment horizontal="left"/>
    </xf>
    <xf numFmtId="1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9" fontId="0" fillId="2" borderId="4" xfId="0" applyNumberFormat="1" applyFill="1" applyBorder="1" applyAlignment="1">
      <alignment horizontal="left"/>
    </xf>
    <xf numFmtId="2" fontId="0" fillId="2" borderId="0" xfId="0" applyNumberFormat="1" applyFill="1" applyAlignment="1">
      <alignment horizontal="left"/>
    </xf>
    <xf numFmtId="0" fontId="0" fillId="4" borderId="4" xfId="0" applyFill="1" applyBorder="1" applyAlignment="1">
      <alignment horizontal="left" vertical="center"/>
    </xf>
    <xf numFmtId="0" fontId="3" fillId="0" borderId="4" xfId="0" applyFont="1" applyBorder="1" applyAlignment="1">
      <alignment horizontal="left" vertical="top" wrapText="1"/>
    </xf>
    <xf numFmtId="0" fontId="3" fillId="5" borderId="4" xfId="0" applyFont="1" applyFill="1" applyBorder="1" applyAlignment="1">
      <alignment horizontal="left" vertical="top" wrapText="1"/>
    </xf>
    <xf numFmtId="1" fontId="3" fillId="0" borderId="4" xfId="0" applyNumberFormat="1" applyFont="1" applyBorder="1" applyAlignment="1">
      <alignment horizontal="left" vertical="top" wrapText="1"/>
    </xf>
    <xf numFmtId="1" fontId="3" fillId="2" borderId="4" xfId="0" applyNumberFormat="1" applyFont="1" applyFill="1" applyBorder="1" applyAlignment="1">
      <alignment horizontal="left" vertical="top" wrapText="1"/>
    </xf>
    <xf numFmtId="1" fontId="3" fillId="6" borderId="4" xfId="0" applyNumberFormat="1" applyFont="1" applyFill="1" applyBorder="1" applyAlignment="1">
      <alignment horizontal="left" vertical="top" wrapText="1"/>
    </xf>
    <xf numFmtId="9" fontId="3" fillId="4" borderId="4" xfId="1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center" wrapText="1"/>
    </xf>
    <xf numFmtId="2" fontId="7" fillId="0" borderId="4" xfId="0" applyNumberFormat="1" applyFont="1" applyBorder="1" applyAlignment="1">
      <alignment horizontal="left" vertical="center" wrapText="1"/>
    </xf>
    <xf numFmtId="9" fontId="8" fillId="4" borderId="4" xfId="0" applyNumberFormat="1" applyFont="1" applyFill="1" applyBorder="1" applyAlignment="1">
      <alignment horizontal="left" vertical="center"/>
    </xf>
    <xf numFmtId="9" fontId="9" fillId="4" borderId="4" xfId="0" applyNumberFormat="1" applyFont="1" applyFill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wrapText="1"/>
    </xf>
    <xf numFmtId="2" fontId="0" fillId="0" borderId="4" xfId="0" applyNumberFormat="1" applyBorder="1" applyAlignment="1">
      <alignment horizontal="left"/>
    </xf>
    <xf numFmtId="1" fontId="0" fillId="0" borderId="4" xfId="0" applyNumberFormat="1" applyBorder="1" applyAlignment="1">
      <alignment horizontal="left"/>
    </xf>
    <xf numFmtId="1" fontId="10" fillId="2" borderId="4" xfId="0" applyNumberFormat="1" applyFont="1" applyFill="1" applyBorder="1" applyAlignment="1">
      <alignment horizontal="left" wrapText="1"/>
    </xf>
    <xf numFmtId="1" fontId="3" fillId="4" borderId="4" xfId="1" applyNumberFormat="1" applyFont="1" applyFill="1" applyBorder="1" applyAlignment="1">
      <alignment horizontal="left" vertical="top" wrapText="1"/>
    </xf>
    <xf numFmtId="9" fontId="1" fillId="0" borderId="4" xfId="1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2" fontId="9" fillId="4" borderId="4" xfId="0" applyNumberFormat="1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/>
    </xf>
    <xf numFmtId="0" fontId="0" fillId="0" borderId="0" xfId="0"/>
    <xf numFmtId="1" fontId="6" fillId="3" borderId="4" xfId="2" applyNumberFormat="1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/>
    <xf numFmtId="1" fontId="0" fillId="0" borderId="0" xfId="0" applyNumberFormat="1" applyAlignment="1"/>
    <xf numFmtId="9" fontId="0" fillId="0" borderId="0" xfId="0" applyNumberFormat="1" applyAlignment="1"/>
    <xf numFmtId="9" fontId="0" fillId="2" borderId="4" xfId="0" applyNumberFormat="1" applyFill="1" applyBorder="1" applyAlignment="1"/>
    <xf numFmtId="2" fontId="0" fillId="2" borderId="0" xfId="0" applyNumberFormat="1" applyFill="1" applyAlignment="1"/>
    <xf numFmtId="0" fontId="0" fillId="4" borderId="4" xfId="0" applyFill="1" applyBorder="1" applyAlignment="1">
      <alignment vertical="center"/>
    </xf>
    <xf numFmtId="0" fontId="3" fillId="0" borderId="4" xfId="0" applyFont="1" applyBorder="1" applyAlignment="1">
      <alignment vertical="top" wrapText="1"/>
    </xf>
    <xf numFmtId="0" fontId="3" fillId="5" borderId="4" xfId="0" applyFont="1" applyFill="1" applyBorder="1" applyAlignment="1">
      <alignment vertical="top" wrapText="1"/>
    </xf>
    <xf numFmtId="1" fontId="3" fillId="2" borderId="4" xfId="0" applyNumberFormat="1" applyFont="1" applyFill="1" applyBorder="1" applyAlignment="1">
      <alignment vertical="top" wrapText="1"/>
    </xf>
    <xf numFmtId="1" fontId="3" fillId="0" borderId="4" xfId="0" applyNumberFormat="1" applyFont="1" applyBorder="1" applyAlignment="1">
      <alignment vertical="top" wrapText="1"/>
    </xf>
    <xf numFmtId="1" fontId="3" fillId="6" borderId="4" xfId="0" applyNumberFormat="1" applyFont="1" applyFill="1" applyBorder="1" applyAlignment="1">
      <alignment vertical="top" wrapText="1"/>
    </xf>
    <xf numFmtId="9" fontId="3" fillId="4" borderId="4" xfId="1" applyFont="1" applyFill="1" applyBorder="1" applyAlignment="1">
      <alignment vertical="top" wrapText="1"/>
    </xf>
    <xf numFmtId="0" fontId="7" fillId="0" borderId="4" xfId="0" applyFont="1" applyBorder="1" applyAlignment="1">
      <alignment vertical="center" wrapText="1"/>
    </xf>
    <xf numFmtId="2" fontId="7" fillId="0" borderId="4" xfId="0" applyNumberFormat="1" applyFont="1" applyBorder="1" applyAlignment="1">
      <alignment vertical="center" wrapText="1"/>
    </xf>
    <xf numFmtId="9" fontId="9" fillId="4" borderId="4" xfId="0" applyNumberFormat="1" applyFont="1" applyFill="1" applyBorder="1" applyAlignment="1">
      <alignment vertical="center"/>
    </xf>
    <xf numFmtId="0" fontId="0" fillId="0" borderId="4" xfId="0" applyBorder="1" applyAlignment="1"/>
    <xf numFmtId="0" fontId="0" fillId="0" borderId="4" xfId="0" applyBorder="1" applyAlignment="1">
      <alignment wrapText="1"/>
    </xf>
    <xf numFmtId="1" fontId="6" fillId="3" borderId="4" xfId="2" applyNumberFormat="1" applyBorder="1" applyAlignment="1"/>
    <xf numFmtId="2" fontId="0" fillId="0" borderId="4" xfId="0" applyNumberFormat="1" applyBorder="1" applyAlignment="1"/>
    <xf numFmtId="1" fontId="0" fillId="0" borderId="4" xfId="0" applyNumberFormat="1" applyBorder="1" applyAlignment="1"/>
    <xf numFmtId="1" fontId="10" fillId="2" borderId="4" xfId="0" applyNumberFormat="1" applyFont="1" applyFill="1" applyBorder="1" applyAlignment="1">
      <alignment wrapText="1"/>
    </xf>
    <xf numFmtId="1" fontId="3" fillId="4" borderId="4" xfId="1" applyNumberFormat="1" applyFont="1" applyFill="1" applyBorder="1" applyAlignment="1">
      <alignment vertical="top" wrapText="1"/>
    </xf>
    <xf numFmtId="9" fontId="1" fillId="0" borderId="4" xfId="1" applyFont="1" applyBorder="1" applyAlignment="1">
      <alignment wrapText="1"/>
    </xf>
    <xf numFmtId="0" fontId="0" fillId="0" borderId="4" xfId="0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0" fontId="0" fillId="7" borderId="4" xfId="0" applyFill="1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" fillId="0" borderId="0" xfId="3"/>
    <xf numFmtId="0" fontId="2" fillId="0" borderId="0" xfId="3" applyFill="1"/>
    <xf numFmtId="0" fontId="2" fillId="0" borderId="4" xfId="0" applyFont="1" applyBorder="1" applyAlignment="1" applyProtection="1">
      <alignment horizontal="left" vertical="top" wrapText="1"/>
    </xf>
    <xf numFmtId="1" fontId="8" fillId="4" borderId="4" xfId="0" applyNumberFormat="1" applyFont="1" applyFill="1" applyBorder="1" applyAlignment="1">
      <alignment vertical="center"/>
    </xf>
    <xf numFmtId="1" fontId="9" fillId="4" borderId="4" xfId="0" applyNumberFormat="1" applyFont="1" applyFill="1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0" fillId="8" borderId="4" xfId="0" applyFill="1" applyBorder="1"/>
    <xf numFmtId="0" fontId="3" fillId="0" borderId="4" xfId="0" applyFont="1" applyBorder="1" applyAlignment="1" applyProtection="1">
      <alignment horizontal="left" vertical="top" wrapText="1"/>
    </xf>
    <xf numFmtId="1" fontId="0" fillId="0" borderId="4" xfId="0" applyNumberFormat="1" applyBorder="1" applyAlignment="1" applyProtection="1">
      <alignment horizontal="left" vertical="top" wrapText="1"/>
    </xf>
    <xf numFmtId="0" fontId="0" fillId="0" borderId="4" xfId="0" applyBorder="1" applyAlignment="1" applyProtection="1">
      <alignment horizontal="left" vertical="top" wrapText="1"/>
    </xf>
    <xf numFmtId="1" fontId="3" fillId="2" borderId="4" xfId="0" applyNumberFormat="1" applyFont="1" applyFill="1" applyBorder="1" applyAlignment="1" applyProtection="1">
      <alignment horizontal="left" vertical="top" wrapText="1"/>
    </xf>
    <xf numFmtId="0" fontId="6" fillId="3" borderId="4" xfId="2" applyBorder="1" applyAlignment="1">
      <alignment vertical="center"/>
    </xf>
    <xf numFmtId="9" fontId="0" fillId="0" borderId="0" xfId="1" applyFont="1" applyAlignment="1"/>
    <xf numFmtId="2" fontId="9" fillId="4" borderId="4" xfId="0" applyNumberFormat="1" applyFont="1" applyFill="1" applyBorder="1" applyAlignment="1">
      <alignment vertical="center"/>
    </xf>
  </cellXfs>
  <cellStyles count="4">
    <cellStyle name="Обычный" xfId="0" builtinId="0"/>
    <cellStyle name="Обычный 6" xfId="3" xr:uid="{7855094D-9731-46EA-8139-B018D5D2C279}"/>
    <cellStyle name="Плохой" xfId="2" builtinId="27"/>
    <cellStyle name="Процентный" xfId="1" builtinId="5"/>
  </cellStyles>
  <dxfs count="14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C03644-212F-4CB6-8B35-04E6C973A77E}" autoFormatId="16" applyNumberFormats="0" applyBorderFormats="0" applyFontFormats="0" applyPatternFormats="0" applyAlignmentFormats="0" applyWidthHeightFormats="0">
  <queryTableRefresh nextId="19">
    <queryTableFields count="1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6F8D79-A256-4791-A6BD-BC0D8B7062E2}" name="железо" displayName="железо" ref="A1:R1070" tableType="queryTable" totalsRowShown="0" headerRowCellStyle="Обычный 6" dataCellStyle="Обычный 6">
  <autoFilter ref="A1:R1070" xr:uid="{2D6F8D79-A256-4791-A6BD-BC0D8B7062E2}"/>
  <tableColumns count="18">
    <tableColumn id="1" xr3:uid="{A34A48A2-FB7F-4659-BE9D-5E5974448FBF}" uniqueName="1" name="Column1" queryTableFieldId="1" dataCellStyle="Обычный 6"/>
    <tableColumn id="2" xr3:uid="{6CFB4933-1D3A-49B2-81B0-025E628E4513}" uniqueName="2" name="Column2" queryTableFieldId="2" dataCellStyle="Обычный 6"/>
    <tableColumn id="3" xr3:uid="{DE20D9BF-6A3D-4576-A075-5E6F8708684F}" uniqueName="3" name="Column3" queryTableFieldId="3" dataCellStyle="Обычный 6"/>
    <tableColumn id="4" xr3:uid="{100FEFDB-7A1E-4D8B-A918-F28A78C7FC6A}" uniqueName="4" name="Column4" queryTableFieldId="4" dataCellStyle="Обычный 6"/>
    <tableColumn id="5" xr3:uid="{63A920BB-13F0-4194-AB70-D263842055C1}" uniqueName="5" name="Column5" queryTableFieldId="5" dataCellStyle="Обычный 6"/>
    <tableColumn id="6" xr3:uid="{97BDEC22-D6C8-4E41-86E3-47973981DF76}" uniqueName="6" name="Column6" queryTableFieldId="6" dataCellStyle="Обычный 6"/>
    <tableColumn id="7" xr3:uid="{FA8EC462-B634-4FCB-98B8-7E1F01B9BBAA}" uniqueName="7" name="Column7" queryTableFieldId="7" dataCellStyle="Обычный 6"/>
    <tableColumn id="8" xr3:uid="{FE29A37B-56C9-4BFC-8B8E-94D6DADA39E9}" uniqueName="8" name="Column8" queryTableFieldId="8" dataCellStyle="Обычный 6"/>
    <tableColumn id="9" xr3:uid="{718F2363-DE10-49DF-AF29-E37ED9DDBDD8}" uniqueName="9" name="Column9" queryTableFieldId="9" dataCellStyle="Обычный 6"/>
    <tableColumn id="10" xr3:uid="{D85B97AC-BC7F-4AA6-8C6D-4AAFF1A6F001}" uniqueName="10" name="Column10" queryTableFieldId="10" dataCellStyle="Обычный 6"/>
    <tableColumn id="11" xr3:uid="{E6C376C3-09A6-4B5B-A81B-3271D1485E23}" uniqueName="11" name="Column11" queryTableFieldId="11" dataCellStyle="Обычный 6"/>
    <tableColumn id="12" xr3:uid="{EB871E68-D738-48D9-AE70-0FB679B2DB97}" uniqueName="12" name="Column12" queryTableFieldId="12" dataCellStyle="Обычный 6"/>
    <tableColumn id="13" xr3:uid="{7EFD9BC9-6CEF-4D84-B09A-8DD0B613BC23}" uniqueName="13" name="Column13" queryTableFieldId="13" dataCellStyle="Обычный 6"/>
    <tableColumn id="14" xr3:uid="{71CDF3F3-89B6-488E-AAE3-61A01F56BB35}" uniqueName="14" name="Column14" queryTableFieldId="14" dataCellStyle="Обычный 6"/>
    <tableColumn id="15" xr3:uid="{922F758F-1981-48C1-9BAA-4770B4E78A53}" uniqueName="15" name="Column15" queryTableFieldId="15" dataCellStyle="Обычный 6"/>
    <tableColumn id="16" xr3:uid="{29DA4C8F-559E-499C-A6D9-27DC9B6F6C7E}" uniqueName="16" name="Column16" queryTableFieldId="16" dataCellStyle="Обычный 6"/>
    <tableColumn id="17" xr3:uid="{E6746BFE-D9DA-47D1-B235-D61DEA107D46}" uniqueName="17" name="Column17" queryTableFieldId="17" dataCellStyle="Обычный 6"/>
    <tableColumn id="18" xr3:uid="{795DB2B6-C71F-4C27-BCBE-2B946811A9C5}" uniqueName="18" name="Column18" queryTableFieldId="18" dataCellStyle="Обычный 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4F4DD-6348-4DE0-B677-78B8633D283D}">
  <sheetPr codeName="Лист2"/>
  <dimension ref="A1:AC803"/>
  <sheetViews>
    <sheetView workbookViewId="0">
      <pane ySplit="2" topLeftCell="A3" activePane="bottomLeft" state="frozen"/>
      <selection activeCell="V2" sqref="V2"/>
      <selection pane="bottomLeft" activeCell="AC1" sqref="AB1:AC1048576"/>
    </sheetView>
  </sheetViews>
  <sheetFormatPr defaultRowHeight="15" x14ac:dyDescent="0.25"/>
  <cols>
    <col min="1" max="2" width="7" style="37" bestFit="1" customWidth="1"/>
    <col min="3" max="3" width="37.5703125" style="36" customWidth="1"/>
    <col min="4" max="4" width="2" style="37" bestFit="1" customWidth="1"/>
    <col min="5" max="5" width="3" style="37" bestFit="1" customWidth="1"/>
    <col min="6" max="6" width="18" style="37" customWidth="1"/>
    <col min="7" max="7" width="21.28515625" style="37" customWidth="1"/>
    <col min="8" max="8" width="10.85546875" style="37" bestFit="1" customWidth="1"/>
    <col min="9" max="9" width="4.5703125" style="37" bestFit="1" customWidth="1"/>
    <col min="10" max="10" width="6" style="38" bestFit="1" customWidth="1"/>
    <col min="11" max="11" width="5.5703125" style="37" bestFit="1" customWidth="1"/>
    <col min="12" max="13" width="6" style="38" bestFit="1" customWidth="1"/>
    <col min="14" max="15" width="6" style="37" bestFit="1" customWidth="1"/>
    <col min="16" max="16" width="2" style="37" bestFit="1" customWidth="1"/>
    <col min="17" max="18" width="6" style="37" bestFit="1" customWidth="1"/>
    <col min="19" max="19" width="8.28515625" style="37" bestFit="1" customWidth="1"/>
    <col min="20" max="21" width="6.140625" style="37" bestFit="1" customWidth="1"/>
    <col min="22" max="22" width="5.85546875" style="37" bestFit="1" customWidth="1"/>
    <col min="23" max="23" width="6" style="38" customWidth="1"/>
    <col min="24" max="24" width="4.5703125" style="37" bestFit="1" customWidth="1"/>
    <col min="25" max="25" width="7" style="37" bestFit="1" customWidth="1"/>
    <col min="26" max="26" width="9.7109375" style="37" bestFit="1" customWidth="1"/>
    <col min="27" max="27" width="5.85546875" style="37" bestFit="1" customWidth="1"/>
    <col min="28" max="16384" width="9.140625" style="37"/>
  </cols>
  <sheetData>
    <row r="1" spans="1:27" x14ac:dyDescent="0.25">
      <c r="A1" s="36"/>
      <c r="B1" s="36">
        <v>2</v>
      </c>
      <c r="C1" s="36">
        <v>3</v>
      </c>
      <c r="D1" s="37">
        <v>4</v>
      </c>
      <c r="E1" s="37">
        <v>14</v>
      </c>
      <c r="F1" s="37">
        <v>5</v>
      </c>
      <c r="G1" s="37">
        <v>10</v>
      </c>
      <c r="I1" s="8">
        <f>COUNT(Кат!$V:$V,Торг!$W:$W)/COUNT(Кат!$A:$A,Торг!$B:$B)</f>
        <v>0.62088428974600185</v>
      </c>
      <c r="J1" s="77">
        <f>COUNTA(Кат!$Z:$Z,Торг!$W:$W)/COUNT(Кат!$A:$A,Торг!$B:$B)</f>
        <v>0.98588899341486358</v>
      </c>
      <c r="N1" s="37">
        <v>8</v>
      </c>
      <c r="O1" s="37">
        <v>9</v>
      </c>
      <c r="P1" s="38"/>
      <c r="Q1" s="38"/>
      <c r="R1" s="39">
        <v>0.2</v>
      </c>
      <c r="S1" s="40" t="str">
        <f>_xlfn.CONCAT(ROUND(MIN(S3:S8987)*100,0),"-",ROUND(MAX(S3:S8987)*100,0),"%")</f>
        <v>30-127%</v>
      </c>
      <c r="T1" s="40" t="str">
        <f>_xlfn.CONCAT(ROUND(SUBTOTAL(5,T3:T8987)*100,0)," - ",ROUND(SUBTOTAL(4,T3:T8987)*100,0),"%")</f>
        <v>-908 - 80%</v>
      </c>
      <c r="U1" s="40" t="str">
        <f>_xlfn.CONCAT(ROUND(SUBTOTAL(5,U3:U89987)*100,0)," - ",ROUND(SUBTOTAL(4,U3:U89987)*100,0),"%")</f>
        <v>-87 - 926%</v>
      </c>
      <c r="V1" s="41"/>
      <c r="W1" s="38">
        <v>4</v>
      </c>
      <c r="Y1" s="42">
        <f>AC1</f>
        <v>0</v>
      </c>
    </row>
    <row r="2" spans="1:27" x14ac:dyDescent="0.25">
      <c r="A2" s="43" t="s">
        <v>0</v>
      </c>
      <c r="B2" s="44" t="s">
        <v>1</v>
      </c>
      <c r="C2" s="44" t="s">
        <v>4154</v>
      </c>
      <c r="D2" s="44"/>
      <c r="E2" s="44"/>
      <c r="F2" s="44" t="s">
        <v>4155</v>
      </c>
      <c r="G2" s="15" t="s">
        <v>2103</v>
      </c>
      <c r="H2" s="43" t="s">
        <v>4156</v>
      </c>
      <c r="I2" s="43"/>
      <c r="J2" s="45" t="s">
        <v>4157</v>
      </c>
      <c r="K2" s="43"/>
      <c r="L2" s="46"/>
      <c r="M2" s="45" t="s">
        <v>4158</v>
      </c>
      <c r="N2" s="44"/>
      <c r="O2" s="44"/>
      <c r="P2" s="47"/>
      <c r="Q2" s="47"/>
      <c r="R2" s="48">
        <v>0</v>
      </c>
      <c r="S2" s="49" t="s">
        <v>4159</v>
      </c>
      <c r="T2" s="49" t="s">
        <v>4160</v>
      </c>
      <c r="U2" s="49" t="s">
        <v>4161</v>
      </c>
      <c r="V2" s="50" t="s">
        <v>4162</v>
      </c>
      <c r="W2" s="68" t="s">
        <v>4163</v>
      </c>
      <c r="X2" s="51"/>
      <c r="Y2" s="51" t="s">
        <v>4164</v>
      </c>
      <c r="Z2" s="50" t="s">
        <v>4162</v>
      </c>
      <c r="AA2" s="50" t="s">
        <v>4162</v>
      </c>
    </row>
    <row r="3" spans="1:27" ht="45" x14ac:dyDescent="0.25">
      <c r="A3" s="52">
        <v>132876</v>
      </c>
      <c r="B3" s="52">
        <f>VLOOKUP($A3,'Выгр Кат'!$A:$R,B$1,0)</f>
        <v>23530</v>
      </c>
      <c r="C3" s="53" t="str">
        <f>VLOOKUP($A3,'Выгр Кат'!$A:$R,C$1,0)</f>
        <v>Арка внутренняя "АвтоВАЗ" (левая, заднего колеса) для ВАЗ 2111, Лада Приора универсал</v>
      </c>
      <c r="D3" s="52" t="str">
        <f>VLOOKUP($A3,'Выгр Кат'!$A:$R,D$1,0)</f>
        <v>Y</v>
      </c>
      <c r="E3" s="52" t="str">
        <f>VLOOKUP($A3,'Выгр Кат'!$A:$R,E$1,0)</f>
        <v>1</v>
      </c>
      <c r="F3" s="52" t="str">
        <f>VLOOKUP($A3,'Выгр Кат'!$A:$R,F$1,0)</f>
        <v>21110510124110</v>
      </c>
      <c r="G3" s="52" t="str">
        <f>IF(VLOOKUP($A3,'Выгр Кат'!$A:$R,G$1,0)=0,"",VLOOKUP($A3,'Выгр Кат'!$A:$R,G$1,0))</f>
        <v/>
      </c>
      <c r="H3" s="52"/>
      <c r="I3" s="52"/>
      <c r="J3" s="54">
        <f>N3</f>
        <v>3083.09</v>
      </c>
      <c r="K3" s="55">
        <f>VLOOKUP(J3,Наценка!$A$1:$B$8,2,1)</f>
        <v>1.4</v>
      </c>
      <c r="L3" s="56">
        <f>J3*K3</f>
        <v>4316.326</v>
      </c>
      <c r="M3" s="57">
        <f>IF(L3&lt;=1000,(ROUNDUP(L3,-1)-1),(ROUNDUP(L3,-2)-10))</f>
        <v>4390</v>
      </c>
      <c r="N3" s="52">
        <f>VLOOKUP($A3,'Выгр Кат'!$A:$R,N$1,0)</f>
        <v>3083.09</v>
      </c>
      <c r="O3" s="52">
        <f>VLOOKUP($A3,'Выгр Кат'!$A:$R,O$1,0)</f>
        <v>4390</v>
      </c>
      <c r="P3" s="47">
        <f>N3-J3</f>
        <v>0</v>
      </c>
      <c r="Q3" s="47">
        <f>O3-M3</f>
        <v>0</v>
      </c>
      <c r="R3" s="58">
        <f>IFERROR(ROUND(M3*(1-$R$2),),"")</f>
        <v>4390</v>
      </c>
      <c r="S3" s="59">
        <f>IFERROR(R3/J3-1,"")</f>
        <v>0.42389615612907816</v>
      </c>
      <c r="T3" s="59">
        <f>IFERROR((V3-R3)/V3,"")</f>
        <v>4.357298474945534E-2</v>
      </c>
      <c r="U3" s="59">
        <f>IFERROR(IF(V3="","",V3/J3-1),"")</f>
        <v>0.48876614046297706</v>
      </c>
      <c r="V3" s="42">
        <f t="shared" ref="V3:V4" si="0">Z3</f>
        <v>4590</v>
      </c>
      <c r="W3" s="69">
        <f>IFERROR((VLOOKUP($A3,'Из ГУГЛа'!$B:$Z,W$1,0)+Y3)*X3,VLOOKUP($A3,'Из ГУГЛа'!$B:$Z,W$1,0))</f>
        <v>4590</v>
      </c>
      <c r="X3" s="61">
        <v>1</v>
      </c>
      <c r="Y3" s="61">
        <v>0</v>
      </c>
      <c r="Z3" s="60">
        <v>4590</v>
      </c>
      <c r="AA3" s="60" t="s">
        <v>24</v>
      </c>
    </row>
    <row r="4" spans="1:27" ht="45" x14ac:dyDescent="0.25">
      <c r="A4" s="52">
        <v>132877</v>
      </c>
      <c r="B4" s="52">
        <f>VLOOKUP($A4,'Выгр Кат'!$A:$R,B$1,0)</f>
        <v>23524</v>
      </c>
      <c r="C4" s="53" t="str">
        <f>VLOOKUP($A4,'Выгр Кат'!$A:$R,C$1,0)</f>
        <v>Арка внутренняя "АвтоВАЗ" (правая, заднего колеса) для ВАЗ 2111, Лада Приора универсал</v>
      </c>
      <c r="D4" s="52" t="str">
        <f>VLOOKUP($A4,'Выгр Кат'!$A:$R,D$1,0)</f>
        <v>Y</v>
      </c>
      <c r="E4" s="52" t="str">
        <f>VLOOKUP($A4,'Выгр Кат'!$A:$R,E$1,0)</f>
        <v>1</v>
      </c>
      <c r="F4" s="52" t="str">
        <f>VLOOKUP($A4,'Выгр Кат'!$A:$R,F$1,0)</f>
        <v>21110510124010</v>
      </c>
      <c r="G4" s="52" t="str">
        <f>IF(VLOOKUP($A4,'Выгр Кат'!$A:$R,G$1,0)=0,"",VLOOKUP($A4,'Выгр Кат'!$A:$R,G$1,0))</f>
        <v>https://motorring.ru/product/930-arka-kolesa-zadnego-vnutrennyaya-pravaya-vaz-2111</v>
      </c>
      <c r="H4" s="52"/>
      <c r="I4" s="52"/>
      <c r="J4" s="54">
        <f t="shared" ref="J4:J66" si="1">N4</f>
        <v>2969</v>
      </c>
      <c r="K4" s="55">
        <f>VLOOKUP(J4,Наценка!$A$1:$B$8,2,1)</f>
        <v>1.4</v>
      </c>
      <c r="L4" s="56">
        <f t="shared" ref="L4:L66" si="2">J4*K4</f>
        <v>4156.5999999999995</v>
      </c>
      <c r="M4" s="57">
        <f t="shared" ref="M4:M66" si="3">IF(L4&lt;=1000,(ROUNDUP(L4,-1)-1),(ROUNDUP(L4,-2)-10))</f>
        <v>4190</v>
      </c>
      <c r="N4" s="52">
        <f>VLOOKUP($A4,'Выгр Кат'!$A:$R,N$1,0)</f>
        <v>2969</v>
      </c>
      <c r="O4" s="52">
        <f>VLOOKUP($A4,'Выгр Кат'!$A:$R,O$1,0)</f>
        <v>4190</v>
      </c>
      <c r="P4" s="47">
        <f t="shared" ref="P4:P66" si="4">N4-J4</f>
        <v>0</v>
      </c>
      <c r="Q4" s="47">
        <f t="shared" ref="Q4:Q66" si="5">O4-M4</f>
        <v>0</v>
      </c>
      <c r="R4" s="58">
        <f t="shared" ref="R4:R66" si="6">IFERROR(ROUND(M4*(1-$R$2),),"")</f>
        <v>4190</v>
      </c>
      <c r="S4" s="59">
        <f t="shared" ref="S4:S66" si="7">IFERROR(R4/J4-1,"")</f>
        <v>0.41124957898282255</v>
      </c>
      <c r="T4" s="59">
        <f t="shared" ref="T4:T66" si="8">IFERROR((V4-R4)/V4,"")</f>
        <v>0</v>
      </c>
      <c r="U4" s="59">
        <f t="shared" ref="U4:U66" si="9">IFERROR(IF(V4="","",V4/J4-1),"")</f>
        <v>0.41124957898282255</v>
      </c>
      <c r="V4" s="42">
        <f t="shared" si="0"/>
        <v>4190</v>
      </c>
      <c r="W4" s="69">
        <f>IFERROR((VLOOKUP($A4,'Из ГУГЛа'!$B:$Z,W$1,0)+Y4)*X4,VLOOKUP($A4,'Из ГУГЛа'!$B:$Z,W$1,0))</f>
        <v>4190</v>
      </c>
      <c r="X4" s="61">
        <v>1</v>
      </c>
      <c r="Y4" s="61">
        <v>0</v>
      </c>
      <c r="Z4" s="70">
        <v>4190</v>
      </c>
      <c r="AA4" s="60" t="s">
        <v>19</v>
      </c>
    </row>
    <row r="5" spans="1:27" ht="60" x14ac:dyDescent="0.25">
      <c r="A5" s="52">
        <v>132878</v>
      </c>
      <c r="B5" s="52">
        <f>VLOOKUP($A5,'Выгр Кат'!$A:$R,B$1,0)</f>
        <v>31478</v>
      </c>
      <c r="C5" s="53" t="str">
        <f>VLOOKUP($A5,'Выгр Кат'!$A:$R,C$1,0)</f>
        <v>Арка заднего колеса "АвтоВАЗ" внутренняя левая (катафорез) для Лада Калина, Калина 2, Гранта, Гранта FL</v>
      </c>
      <c r="D5" s="52" t="str">
        <f>VLOOKUP($A5,'Выгр Кат'!$A:$R,D$1,0)</f>
        <v>Y</v>
      </c>
      <c r="E5" s="52" t="str">
        <f>VLOOKUP($A5,'Выгр Кат'!$A:$R,E$1,0)</f>
        <v>1</v>
      </c>
      <c r="F5" s="52" t="str">
        <f>VLOOKUP($A5,'Выгр Кат'!$A:$R,F$1,0)</f>
        <v>11180510124175</v>
      </c>
      <c r="G5" s="52" t="str">
        <f>IF(VLOOKUP($A5,'Выгр Кат'!$A:$R,G$1,0)=0,"",VLOOKUP($A5,'Выгр Кат'!$A:$R,G$1,0))</f>
        <v/>
      </c>
      <c r="H5" s="52"/>
      <c r="I5" s="52"/>
      <c r="J5" s="54">
        <f t="shared" si="1"/>
        <v>2997.58</v>
      </c>
      <c r="K5" s="55">
        <f>VLOOKUP(J5,Наценка!$A$1:$B$8,2,1)</f>
        <v>1.4</v>
      </c>
      <c r="L5" s="56">
        <f t="shared" si="2"/>
        <v>4196.6120000000001</v>
      </c>
      <c r="M5" s="57">
        <f t="shared" si="3"/>
        <v>4190</v>
      </c>
      <c r="N5" s="52">
        <f>VLOOKUP($A5,'Выгр Кат'!$A:$R,N$1,0)</f>
        <v>2997.58</v>
      </c>
      <c r="O5" s="52">
        <f>VLOOKUP($A5,'Выгр Кат'!$A:$R,O$1,0)</f>
        <v>4190</v>
      </c>
      <c r="P5" s="47">
        <f t="shared" si="4"/>
        <v>0</v>
      </c>
      <c r="Q5" s="47">
        <f t="shared" si="5"/>
        <v>0</v>
      </c>
      <c r="R5" s="58">
        <f t="shared" si="6"/>
        <v>4190</v>
      </c>
      <c r="S5" s="59">
        <f t="shared" si="7"/>
        <v>0.39779422067134163</v>
      </c>
      <c r="T5" s="59" t="str">
        <f t="shared" si="8"/>
        <v/>
      </c>
      <c r="U5" s="59" t="str">
        <f t="shared" si="9"/>
        <v/>
      </c>
      <c r="V5" s="60"/>
      <c r="W5" s="69">
        <f>IFERROR((VLOOKUP($A5,'Из ГУГЛа'!$B:$Z,W$1,0)+Y5)*X5,VLOOKUP($A5,'Из ГУГЛа'!$B:$Z,W$1,0))</f>
        <v>1990</v>
      </c>
      <c r="X5" s="61">
        <v>1</v>
      </c>
      <c r="Y5" s="61">
        <v>0</v>
      </c>
      <c r="Z5" s="60" t="s">
        <v>4168</v>
      </c>
      <c r="AA5" s="60" t="s">
        <v>28</v>
      </c>
    </row>
    <row r="6" spans="1:27" ht="45" x14ac:dyDescent="0.25">
      <c r="A6" s="52">
        <v>132879</v>
      </c>
      <c r="B6" s="52">
        <f>VLOOKUP($A6,'Выгр Кат'!$A:$R,B$1,0)</f>
        <v>31728</v>
      </c>
      <c r="C6" s="53" t="str">
        <f>VLOOKUP($A6,'Выгр Кат'!$A:$R,C$1,0)</f>
        <v>Арка заднего колеса "АвтоВАЗ" внутренняя левая для ВАЗ 2110, 2112, Лада Приора</v>
      </c>
      <c r="D6" s="52" t="str">
        <f>VLOOKUP($A6,'Выгр Кат'!$A:$R,D$1,0)</f>
        <v>Y</v>
      </c>
      <c r="E6" s="52" t="str">
        <f>VLOOKUP($A6,'Выгр Кат'!$A:$R,E$1,0)</f>
        <v>1</v>
      </c>
      <c r="F6" s="52" t="str">
        <f>VLOOKUP($A6,'Выгр Кат'!$A:$R,F$1,0)</f>
        <v>21100510124110</v>
      </c>
      <c r="G6" s="52" t="str">
        <f>IF(VLOOKUP($A6,'Выгр Кат'!$A:$R,G$1,0)=0,"",VLOOKUP($A6,'Выгр Кат'!$A:$R,G$1,0))</f>
        <v>https://motorring.ru/product/21663-arka-kolesa-zadnego-vnutrennyaya-levaya-vaz-2110-2112</v>
      </c>
      <c r="H6" s="52"/>
      <c r="I6" s="52"/>
      <c r="J6" s="54">
        <f t="shared" si="1"/>
        <v>3312</v>
      </c>
      <c r="K6" s="55">
        <f>VLOOKUP(J6,Наценка!$A$1:$B$8,2,1)</f>
        <v>1.4</v>
      </c>
      <c r="L6" s="56">
        <f t="shared" si="2"/>
        <v>4636.7999999999993</v>
      </c>
      <c r="M6" s="57">
        <f t="shared" si="3"/>
        <v>4690</v>
      </c>
      <c r="N6" s="52">
        <f>VLOOKUP($A6,'Выгр Кат'!$A:$R,N$1,0)</f>
        <v>3312</v>
      </c>
      <c r="O6" s="52">
        <f>VLOOKUP($A6,'Выгр Кат'!$A:$R,O$1,0)</f>
        <v>4690</v>
      </c>
      <c r="P6" s="47">
        <f t="shared" si="4"/>
        <v>0</v>
      </c>
      <c r="Q6" s="47">
        <f t="shared" si="5"/>
        <v>0</v>
      </c>
      <c r="R6" s="58">
        <f t="shared" si="6"/>
        <v>4690</v>
      </c>
      <c r="S6" s="59">
        <f t="shared" si="7"/>
        <v>0.41606280193236711</v>
      </c>
      <c r="T6" s="59">
        <f t="shared" si="8"/>
        <v>-2.178649237472767E-2</v>
      </c>
      <c r="U6" s="59">
        <f t="shared" si="9"/>
        <v>0.38586956521739135</v>
      </c>
      <c r="V6" s="42">
        <f t="shared" ref="V6:V9" si="10">Z6</f>
        <v>4590</v>
      </c>
      <c r="W6" s="69">
        <f>IFERROR((VLOOKUP($A6,'Из ГУГЛа'!$B:$Z,W$1,0)+Y6)*X6,VLOOKUP($A6,'Из ГУГЛа'!$B:$Z,W$1,0))</f>
        <v>4590</v>
      </c>
      <c r="X6" s="61">
        <v>1</v>
      </c>
      <c r="Y6" s="61">
        <v>0</v>
      </c>
      <c r="Z6" s="70">
        <v>4590</v>
      </c>
      <c r="AA6" s="60" t="s">
        <v>24</v>
      </c>
    </row>
    <row r="7" spans="1:27" ht="60" x14ac:dyDescent="0.25">
      <c r="A7" s="52">
        <v>132880</v>
      </c>
      <c r="B7" s="52">
        <f>VLOOKUP($A7,'Выгр Кат'!$A:$R,B$1,0)</f>
        <v>44778</v>
      </c>
      <c r="C7" s="53" t="str">
        <f>VLOOKUP($A7,'Выгр Кат'!$A:$R,C$1,0)</f>
        <v>Арка заднего колеса "АвтоВАЗ" внутренняя правая (катафорез) для Лада Калина, Калина 2, Гранта, Гранта FL</v>
      </c>
      <c r="D7" s="52" t="str">
        <f>VLOOKUP($A7,'Выгр Кат'!$A:$R,D$1,0)</f>
        <v>Y</v>
      </c>
      <c r="E7" s="52" t="str">
        <f>VLOOKUP($A7,'Выгр Кат'!$A:$R,E$1,0)</f>
        <v>1</v>
      </c>
      <c r="F7" s="52" t="str">
        <f>VLOOKUP($A7,'Выгр Кат'!$A:$R,F$1,0)</f>
        <v>11180510124075</v>
      </c>
      <c r="G7" s="52" t="str">
        <f>IF(VLOOKUP($A7,'Выгр Кат'!$A:$R,G$1,0)=0,"",VLOOKUP($A7,'Выгр Кат'!$A:$R,G$1,0))</f>
        <v>https://motorring.ru/product/18260-arka-zadnego-kolesa-vnutrennyaya-pravaya-kataforeznoe</v>
      </c>
      <c r="H7" s="52"/>
      <c r="I7" s="52"/>
      <c r="J7" s="54">
        <f t="shared" si="1"/>
        <v>3082</v>
      </c>
      <c r="K7" s="55">
        <f>VLOOKUP(J7,Наценка!$A$1:$B$8,2,1)</f>
        <v>1.4</v>
      </c>
      <c r="L7" s="56">
        <f t="shared" si="2"/>
        <v>4314.7999999999993</v>
      </c>
      <c r="M7" s="57">
        <f t="shared" si="3"/>
        <v>4390</v>
      </c>
      <c r="N7" s="52">
        <f>VLOOKUP($A7,'Выгр Кат'!$A:$R,N$1,0)</f>
        <v>3082</v>
      </c>
      <c r="O7" s="52">
        <f>VLOOKUP($A7,'Выгр Кат'!$A:$R,O$1,0)</f>
        <v>4390</v>
      </c>
      <c r="P7" s="47">
        <f t="shared" si="4"/>
        <v>0</v>
      </c>
      <c r="Q7" s="47">
        <f t="shared" si="5"/>
        <v>0</v>
      </c>
      <c r="R7" s="58">
        <f t="shared" si="6"/>
        <v>4390</v>
      </c>
      <c r="S7" s="59">
        <f t="shared" si="7"/>
        <v>0.42439974042829332</v>
      </c>
      <c r="T7" s="59">
        <f t="shared" si="8"/>
        <v>-1.2060301507537687</v>
      </c>
      <c r="U7" s="59">
        <f t="shared" si="9"/>
        <v>-0.35431537962362103</v>
      </c>
      <c r="V7" s="42">
        <f t="shared" si="10"/>
        <v>1990</v>
      </c>
      <c r="W7" s="69">
        <f>IFERROR((VLOOKUP($A7,'Из ГУГЛа'!$B:$Z,W$1,0)+Y7)*X7,VLOOKUP($A7,'Из ГУГЛа'!$B:$Z,W$1,0))</f>
        <v>1990</v>
      </c>
      <c r="X7" s="61">
        <v>1</v>
      </c>
      <c r="Y7" s="61">
        <v>0</v>
      </c>
      <c r="Z7" s="70">
        <v>1990</v>
      </c>
      <c r="AA7" s="60" t="s">
        <v>28</v>
      </c>
    </row>
    <row r="8" spans="1:27" ht="45" x14ac:dyDescent="0.25">
      <c r="A8" s="52">
        <v>132881</v>
      </c>
      <c r="B8" s="52">
        <f>VLOOKUP($A8,'Выгр Кат'!$A:$R,B$1,0)</f>
        <v>31727</v>
      </c>
      <c r="C8" s="53" t="str">
        <f>VLOOKUP($A8,'Выгр Кат'!$A:$R,C$1,0)</f>
        <v>Арка заднего колеса "АвтоВАЗ" внутренняя правая для ВАЗ 2110, 2112, Лада Приора</v>
      </c>
      <c r="D8" s="52" t="str">
        <f>VLOOKUP($A8,'Выгр Кат'!$A:$R,D$1,0)</f>
        <v>Y</v>
      </c>
      <c r="E8" s="52" t="str">
        <f>VLOOKUP($A8,'Выгр Кат'!$A:$R,E$1,0)</f>
        <v>1</v>
      </c>
      <c r="F8" s="52" t="str">
        <f>VLOOKUP($A8,'Выгр Кат'!$A:$R,F$1,0)</f>
        <v>21100510124010</v>
      </c>
      <c r="G8" s="52" t="str">
        <f>IF(VLOOKUP($A8,'Выгр Кат'!$A:$R,G$1,0)=0,"",VLOOKUP($A8,'Выгр Кат'!$A:$R,G$1,0))</f>
        <v>https://motorring.ru/product/21662-arka-kolesa-zadnego-vnutrennyaya-pravaya-vaz-2110-2112</v>
      </c>
      <c r="H8" s="52"/>
      <c r="I8" s="52"/>
      <c r="J8" s="54">
        <f t="shared" si="1"/>
        <v>3408</v>
      </c>
      <c r="K8" s="55">
        <f>VLOOKUP(J8,Наценка!$A$1:$B$8,2,1)</f>
        <v>1.4</v>
      </c>
      <c r="L8" s="56">
        <f t="shared" si="2"/>
        <v>4771.2</v>
      </c>
      <c r="M8" s="57">
        <f t="shared" si="3"/>
        <v>4790</v>
      </c>
      <c r="N8" s="52">
        <f>VLOOKUP($A8,'Выгр Кат'!$A:$R,N$1,0)</f>
        <v>3408</v>
      </c>
      <c r="O8" s="52">
        <f>VLOOKUP($A8,'Выгр Кат'!$A:$R,O$1,0)</f>
        <v>4790</v>
      </c>
      <c r="P8" s="47">
        <f t="shared" si="4"/>
        <v>0</v>
      </c>
      <c r="Q8" s="47">
        <f t="shared" si="5"/>
        <v>0</v>
      </c>
      <c r="R8" s="58">
        <f t="shared" si="6"/>
        <v>4790</v>
      </c>
      <c r="S8" s="59">
        <f t="shared" si="7"/>
        <v>0.40551643192488274</v>
      </c>
      <c r="T8" s="59">
        <f t="shared" si="8"/>
        <v>-4.357298474945534E-2</v>
      </c>
      <c r="U8" s="59">
        <f t="shared" si="9"/>
        <v>0.346830985915493</v>
      </c>
      <c r="V8" s="42">
        <f t="shared" si="10"/>
        <v>4590</v>
      </c>
      <c r="W8" s="69">
        <f>IFERROR((VLOOKUP($A8,'Из ГУГЛа'!$B:$Z,W$1,0)+Y8)*X8,VLOOKUP($A8,'Из ГУГЛа'!$B:$Z,W$1,0))</f>
        <v>4590</v>
      </c>
      <c r="X8" s="61">
        <v>1</v>
      </c>
      <c r="Y8" s="61">
        <v>0</v>
      </c>
      <c r="Z8" s="70">
        <v>4590</v>
      </c>
      <c r="AA8" s="60" t="s">
        <v>31</v>
      </c>
    </row>
    <row r="9" spans="1:27" ht="30" x14ac:dyDescent="0.25">
      <c r="A9" s="52">
        <v>132882</v>
      </c>
      <c r="B9" s="52">
        <f>VLOOKUP($A9,'Выгр Кат'!$A:$R,B$1,0)</f>
        <v>32480</v>
      </c>
      <c r="C9" s="53" t="str">
        <f>VLOOKUP($A9,'Выгр Кат'!$A:$R,C$1,0)</f>
        <v>Арка заднего колеса "АвтоВАЗ" левая (катафорез) для Шевроле Нива</v>
      </c>
      <c r="D9" s="52" t="str">
        <f>VLOOKUP($A9,'Выгр Кат'!$A:$R,D$1,0)</f>
        <v>Y</v>
      </c>
      <c r="E9" s="52" t="str">
        <f>VLOOKUP($A9,'Выгр Кат'!$A:$R,E$1,0)</f>
        <v>1</v>
      </c>
      <c r="F9" s="52" t="str">
        <f>VLOOKUP($A9,'Выгр Кат'!$A:$R,F$1,0)</f>
        <v>21230510124170</v>
      </c>
      <c r="G9" s="52" t="str">
        <f>IF(VLOOKUP($A9,'Выгр Кат'!$A:$R,G$1,0)=0,"",VLOOKUP($A9,'Выгр Кат'!$A:$R,G$1,0))</f>
        <v>https://motorring.ru/product/6535-arka-kolesa-zadnego-vnutrennyaya-levaya-shevrole-niva</v>
      </c>
      <c r="H9" s="52"/>
      <c r="I9" s="52"/>
      <c r="J9" s="54">
        <f t="shared" si="1"/>
        <v>2100</v>
      </c>
      <c r="K9" s="55">
        <f>VLOOKUP(J9,Наценка!$A$1:$B$8,2,1)</f>
        <v>1.4</v>
      </c>
      <c r="L9" s="56">
        <f t="shared" si="2"/>
        <v>2940</v>
      </c>
      <c r="M9" s="57">
        <f t="shared" si="3"/>
        <v>2990</v>
      </c>
      <c r="N9" s="52">
        <f>VLOOKUP($A9,'Выгр Кат'!$A:$R,N$1,0)</f>
        <v>2100</v>
      </c>
      <c r="O9" s="52">
        <f>VLOOKUP($A9,'Выгр Кат'!$A:$R,O$1,0)</f>
        <v>2990</v>
      </c>
      <c r="P9" s="47">
        <f t="shared" si="4"/>
        <v>0</v>
      </c>
      <c r="Q9" s="47">
        <f t="shared" si="5"/>
        <v>0</v>
      </c>
      <c r="R9" s="58">
        <f t="shared" si="6"/>
        <v>2990</v>
      </c>
      <c r="S9" s="59">
        <f t="shared" si="7"/>
        <v>0.42380952380952386</v>
      </c>
      <c r="T9" s="59">
        <f t="shared" si="8"/>
        <v>-3.4602076124567477E-2</v>
      </c>
      <c r="U9" s="59">
        <f t="shared" si="9"/>
        <v>0.37619047619047619</v>
      </c>
      <c r="V9" s="42">
        <f t="shared" si="10"/>
        <v>2890</v>
      </c>
      <c r="W9" s="69">
        <f>IFERROR((VLOOKUP($A9,'Из ГУГЛа'!$B:$Z,W$1,0)+Y9)*X9,VLOOKUP($A9,'Из ГУГЛа'!$B:$Z,W$1,0))</f>
        <v>2890</v>
      </c>
      <c r="X9" s="61">
        <v>1</v>
      </c>
      <c r="Y9" s="61">
        <v>0</v>
      </c>
      <c r="Z9" s="70">
        <v>2890</v>
      </c>
      <c r="AA9" s="60" t="s">
        <v>34</v>
      </c>
    </row>
    <row r="10" spans="1:27" ht="45" x14ac:dyDescent="0.25">
      <c r="A10" s="52">
        <v>132883</v>
      </c>
      <c r="B10" s="52">
        <f>VLOOKUP($A10,'Выгр Кат'!$A:$R,B$1,0)</f>
        <v>31954</v>
      </c>
      <c r="C10" s="53" t="str">
        <f>VLOOKUP($A10,'Выгр Кат'!$A:$R,C$1,0)</f>
        <v>Арка заднего колеса "АвтоВАЗ" наружная левая (катафорез) для Лада Приора седан, хэтчбек</v>
      </c>
      <c r="D10" s="52" t="str">
        <f>VLOOKUP($A10,'Выгр Кат'!$A:$R,D$1,0)</f>
        <v>Y</v>
      </c>
      <c r="E10" s="52" t="str">
        <f>VLOOKUP($A10,'Выгр Кат'!$A:$R,E$1,0)</f>
        <v>0</v>
      </c>
      <c r="F10" s="52" t="str">
        <f>VLOOKUP($A10,'Выгр Кат'!$A:$R,F$1,0)</f>
        <v>21700540117510</v>
      </c>
      <c r="G10" s="52" t="str">
        <f>IF(VLOOKUP($A10,'Выгр Кат'!$A:$R,G$1,0)=0,"",VLOOKUP($A10,'Выгр Кат'!$A:$R,G$1,0))</f>
        <v/>
      </c>
      <c r="H10" s="52"/>
      <c r="I10" s="52"/>
      <c r="J10" s="54">
        <f t="shared" si="1"/>
        <v>3208</v>
      </c>
      <c r="K10" s="55">
        <f>VLOOKUP(J10,Наценка!$A$1:$B$8,2,1)</f>
        <v>1.4</v>
      </c>
      <c r="L10" s="56">
        <f t="shared" si="2"/>
        <v>4491.2</v>
      </c>
      <c r="M10" s="57">
        <f t="shared" si="3"/>
        <v>4490</v>
      </c>
      <c r="N10" s="52">
        <f>VLOOKUP($A10,'Выгр Кат'!$A:$R,N$1,0)</f>
        <v>3208</v>
      </c>
      <c r="O10" s="52">
        <f>VLOOKUP($A10,'Выгр Кат'!$A:$R,O$1,0)</f>
        <v>4490</v>
      </c>
      <c r="P10" s="47">
        <f t="shared" si="4"/>
        <v>0</v>
      </c>
      <c r="Q10" s="47">
        <f t="shared" si="5"/>
        <v>0</v>
      </c>
      <c r="R10" s="58">
        <f t="shared" si="6"/>
        <v>4490</v>
      </c>
      <c r="S10" s="59">
        <f t="shared" si="7"/>
        <v>0.39962593516209477</v>
      </c>
      <c r="T10" s="59" t="str">
        <f t="shared" si="8"/>
        <v/>
      </c>
      <c r="U10" s="59" t="str">
        <f t="shared" si="9"/>
        <v/>
      </c>
      <c r="V10" s="60"/>
      <c r="W10" s="69" t="str">
        <f>IFERROR((VLOOKUP($A10,'Из ГУГЛа'!$B:$Z,W$1,0)+Y10)*X10,VLOOKUP($A10,'Из ГУГЛа'!$B:$Z,W$1,0))</f>
        <v/>
      </c>
      <c r="X10" s="61">
        <v>1</v>
      </c>
      <c r="Y10" s="61">
        <v>0</v>
      </c>
      <c r="Z10" s="76" t="s">
        <v>4285</v>
      </c>
      <c r="AA10" s="60"/>
    </row>
    <row r="11" spans="1:27" ht="45" x14ac:dyDescent="0.25">
      <c r="A11" s="52">
        <v>132884</v>
      </c>
      <c r="B11" s="52">
        <f>VLOOKUP($A11,'Выгр Кат'!$A:$R,B$1,0)</f>
        <v>50814</v>
      </c>
      <c r="C11" s="53" t="str">
        <f>VLOOKUP($A11,'Выгр Кат'!$A:$R,C$1,0)</f>
        <v>Арка заднего колеса "АвтоВАЗ" наружная правая для Лада Веста, SW, SW Cross</v>
      </c>
      <c r="D11" s="52" t="str">
        <f>VLOOKUP($A11,'Выгр Кат'!$A:$R,D$1,0)</f>
        <v>Y</v>
      </c>
      <c r="E11" s="52" t="str">
        <f>VLOOKUP($A11,'Выгр Кат'!$A:$R,E$1,0)</f>
        <v>1</v>
      </c>
      <c r="F11" s="52" t="str">
        <f>VLOOKUP($A11,'Выгр Кат'!$A:$R,F$1,0)</f>
        <v>8450105139</v>
      </c>
      <c r="G11" s="52" t="str">
        <f>IF(VLOOKUP($A11,'Выгр Кат'!$A:$R,G$1,0)=0,"",VLOOKUP($A11,'Выгр Кат'!$A:$R,G$1,0))</f>
        <v>https://motorring.ru/product/36822-arka-zadnego-kolesa-narughnaya-pravaya-dlya-lada-vesta</v>
      </c>
      <c r="H11" s="52"/>
      <c r="I11" s="52"/>
      <c r="J11" s="54">
        <f t="shared" si="1"/>
        <v>1536</v>
      </c>
      <c r="K11" s="55">
        <f>VLOOKUP(J11,Наценка!$A$1:$B$8,2,1)</f>
        <v>1.5</v>
      </c>
      <c r="L11" s="56">
        <f t="shared" si="2"/>
        <v>2304</v>
      </c>
      <c r="M11" s="57">
        <f t="shared" si="3"/>
        <v>2390</v>
      </c>
      <c r="N11" s="52">
        <f>VLOOKUP($A11,'Выгр Кат'!$A:$R,N$1,0)</f>
        <v>1536</v>
      </c>
      <c r="O11" s="52">
        <f>VLOOKUP($A11,'Выгр Кат'!$A:$R,O$1,0)</f>
        <v>2390</v>
      </c>
      <c r="P11" s="47">
        <f t="shared" si="4"/>
        <v>0</v>
      </c>
      <c r="Q11" s="47">
        <f t="shared" si="5"/>
        <v>0</v>
      </c>
      <c r="R11" s="58">
        <f t="shared" si="6"/>
        <v>2390</v>
      </c>
      <c r="S11" s="59">
        <f t="shared" si="7"/>
        <v>0.55598958333333326</v>
      </c>
      <c r="T11" s="59">
        <f t="shared" si="8"/>
        <v>0</v>
      </c>
      <c r="U11" s="59">
        <f t="shared" si="9"/>
        <v>0.55598958333333326</v>
      </c>
      <c r="V11" s="42">
        <f t="shared" ref="V11:V12" si="11">Z11</f>
        <v>2390</v>
      </c>
      <c r="W11" s="69">
        <f>IFERROR((VLOOKUP($A11,'Из ГУГЛа'!$B:$Z,W$1,0)+Y11)*X11,VLOOKUP($A11,'Из ГУГЛа'!$B:$Z,W$1,0))</f>
        <v>2390</v>
      </c>
      <c r="X11" s="61">
        <v>1</v>
      </c>
      <c r="Y11" s="61">
        <v>0</v>
      </c>
      <c r="Z11" s="70">
        <v>2390</v>
      </c>
      <c r="AA11" s="60" t="s">
        <v>41</v>
      </c>
    </row>
    <row r="12" spans="1:27" ht="30" x14ac:dyDescent="0.25">
      <c r="A12" s="52">
        <v>132885</v>
      </c>
      <c r="B12" s="52">
        <f>VLOOKUP($A12,'Выгр Кат'!$A:$R,B$1,0)</f>
        <v>32478</v>
      </c>
      <c r="C12" s="53" t="str">
        <f>VLOOKUP($A12,'Выгр Кат'!$A:$R,C$1,0)</f>
        <v>Арка заднего колеса "АвтоВАЗ" правая (катафорез) для Шевроле Нива</v>
      </c>
      <c r="D12" s="52" t="str">
        <f>VLOOKUP($A12,'Выгр Кат'!$A:$R,D$1,0)</f>
        <v>Y</v>
      </c>
      <c r="E12" s="52" t="str">
        <f>VLOOKUP($A12,'Выгр Кат'!$A:$R,E$1,0)</f>
        <v>1ск1</v>
      </c>
      <c r="F12" s="52" t="str">
        <f>VLOOKUP($A12,'Выгр Кат'!$A:$R,F$1,0)</f>
        <v>21230510124070</v>
      </c>
      <c r="G12" s="52" t="str">
        <f>IF(VLOOKUP($A12,'Выгр Кат'!$A:$R,G$1,0)=0,"",VLOOKUP($A12,'Выгр Кат'!$A:$R,G$1,0))</f>
        <v/>
      </c>
      <c r="H12" s="52"/>
      <c r="I12" s="52"/>
      <c r="J12" s="54">
        <f t="shared" si="1"/>
        <v>1870.94</v>
      </c>
      <c r="K12" s="55">
        <f>VLOOKUP(J12,Наценка!$A$1:$B$8,2,1)</f>
        <v>1.5</v>
      </c>
      <c r="L12" s="56">
        <f t="shared" si="2"/>
        <v>2806.41</v>
      </c>
      <c r="M12" s="57">
        <f t="shared" si="3"/>
        <v>2890</v>
      </c>
      <c r="N12" s="52">
        <f>VLOOKUP($A12,'Выгр Кат'!$A:$R,N$1,0)</f>
        <v>1870.94</v>
      </c>
      <c r="O12" s="52">
        <f>VLOOKUP($A12,'Выгр Кат'!$A:$R,O$1,0)</f>
        <v>2890</v>
      </c>
      <c r="P12" s="47">
        <f t="shared" si="4"/>
        <v>0</v>
      </c>
      <c r="Q12" s="47">
        <f t="shared" si="5"/>
        <v>0</v>
      </c>
      <c r="R12" s="58">
        <f t="shared" si="6"/>
        <v>2890</v>
      </c>
      <c r="S12" s="59">
        <f t="shared" si="7"/>
        <v>0.54467807626113074</v>
      </c>
      <c r="T12" s="59">
        <f t="shared" si="8"/>
        <v>0</v>
      </c>
      <c r="U12" s="59">
        <f t="shared" si="9"/>
        <v>0.54467807626113074</v>
      </c>
      <c r="V12" s="42">
        <f t="shared" si="11"/>
        <v>2890</v>
      </c>
      <c r="W12" s="69">
        <f>IFERROR((VLOOKUP($A12,'Из ГУГЛа'!$B:$Z,W$1,0)+Y12)*X12,VLOOKUP($A12,'Из ГУГЛа'!$B:$Z,W$1,0))</f>
        <v>2890</v>
      </c>
      <c r="X12" s="61">
        <v>1</v>
      </c>
      <c r="Y12" s="61">
        <v>0</v>
      </c>
      <c r="Z12" s="60">
        <v>2890</v>
      </c>
      <c r="AA12" s="60" t="s">
        <v>67</v>
      </c>
    </row>
    <row r="13" spans="1:27" ht="30" x14ac:dyDescent="0.25">
      <c r="A13" s="52">
        <v>132886</v>
      </c>
      <c r="B13" s="52">
        <f>VLOOKUP($A13,'Выгр Кат'!$A:$R,B$1,0)</f>
        <v>32710</v>
      </c>
      <c r="C13" s="53" t="str">
        <f>VLOOKUP($A13,'Выгр Кат'!$A:$R,C$1,0)</f>
        <v>Арка заднего колеса "АвтоВАЗ" правая в сборе для Лада Веста седан</v>
      </c>
      <c r="D13" s="52" t="str">
        <f>VLOOKUP($A13,'Выгр Кат'!$A:$R,D$1,0)</f>
        <v>Y</v>
      </c>
      <c r="E13" s="52" t="str">
        <f>VLOOKUP($A13,'Выгр Кат'!$A:$R,E$1,0)</f>
        <v>1</v>
      </c>
      <c r="F13" s="52" t="str">
        <f>VLOOKUP($A13,'Выгр Кат'!$A:$R,F$1,0)</f>
        <v>8450007171</v>
      </c>
      <c r="G13" s="52" t="str">
        <f>IF(VLOOKUP($A13,'Выгр Кат'!$A:$R,G$1,0)=0,"",VLOOKUP($A13,'Выгр Кат'!$A:$R,G$1,0))</f>
        <v/>
      </c>
      <c r="H13" s="52"/>
      <c r="I13" s="52"/>
      <c r="J13" s="54">
        <f t="shared" si="1"/>
        <v>2232</v>
      </c>
      <c r="K13" s="55">
        <f>VLOOKUP(J13,Наценка!$A$1:$B$8,2,1)</f>
        <v>1.4</v>
      </c>
      <c r="L13" s="56">
        <f t="shared" si="2"/>
        <v>3124.7999999999997</v>
      </c>
      <c r="M13" s="57">
        <f t="shared" si="3"/>
        <v>3190</v>
      </c>
      <c r="N13" s="52">
        <f>VLOOKUP($A13,'Выгр Кат'!$A:$R,N$1,0)</f>
        <v>2232</v>
      </c>
      <c r="O13" s="52">
        <f>VLOOKUP($A13,'Выгр Кат'!$A:$R,O$1,0)</f>
        <v>3190</v>
      </c>
      <c r="P13" s="47">
        <f t="shared" si="4"/>
        <v>0</v>
      </c>
      <c r="Q13" s="47">
        <f t="shared" si="5"/>
        <v>0</v>
      </c>
      <c r="R13" s="58">
        <f t="shared" si="6"/>
        <v>3190</v>
      </c>
      <c r="S13" s="59">
        <f t="shared" si="7"/>
        <v>0.42921146953405009</v>
      </c>
      <c r="T13" s="59" t="str">
        <f t="shared" si="8"/>
        <v/>
      </c>
      <c r="U13" s="59" t="str">
        <f t="shared" si="9"/>
        <v/>
      </c>
      <c r="V13" s="60"/>
      <c r="W13" s="69" t="str">
        <f>IFERROR((VLOOKUP($A13,'Из ГУГЛа'!$B:$Z,W$1,0)+Y13)*X13,VLOOKUP($A13,'Из ГУГЛа'!$B:$Z,W$1,0))</f>
        <v/>
      </c>
      <c r="X13" s="61">
        <v>1</v>
      </c>
      <c r="Y13" s="61">
        <v>0</v>
      </c>
      <c r="Z13" s="62" t="s">
        <v>4170</v>
      </c>
      <c r="AA13" s="60"/>
    </row>
    <row r="14" spans="1:27" ht="45" x14ac:dyDescent="0.25">
      <c r="A14" s="52">
        <v>132887</v>
      </c>
      <c r="B14" s="52">
        <f>VLOOKUP($A14,'Выгр Кат'!$A:$R,B$1,0)</f>
        <v>31085</v>
      </c>
      <c r="C14" s="53" t="str">
        <f>VLOOKUP($A14,'Выгр Кат'!$A:$R,C$1,0)</f>
        <v>Арка заднего колеса "АвтоВАЗ" правая, в сборе (катафорез) для Лада XRAY</v>
      </c>
      <c r="D14" s="52" t="str">
        <f>VLOOKUP($A14,'Выгр Кат'!$A:$R,D$1,0)</f>
        <v>Y</v>
      </c>
      <c r="E14" s="52" t="str">
        <f>VLOOKUP($A14,'Выгр Кат'!$A:$R,E$1,0)</f>
        <v>1</v>
      </c>
      <c r="F14" s="52" t="str">
        <f>VLOOKUP($A14,'Выгр Кат'!$A:$R,F$1,0)</f>
        <v>8450104011</v>
      </c>
      <c r="G14" s="52" t="str">
        <f>IF(VLOOKUP($A14,'Выгр Кат'!$A:$R,G$1,0)=0,"",VLOOKUP($A14,'Выгр Кат'!$A:$R,G$1,0))</f>
        <v/>
      </c>
      <c r="H14" s="52"/>
      <c r="I14" s="52"/>
      <c r="J14" s="54">
        <f t="shared" si="1"/>
        <v>3657</v>
      </c>
      <c r="K14" s="55">
        <f>VLOOKUP(J14,Наценка!$A$1:$B$8,2,1)</f>
        <v>1.4</v>
      </c>
      <c r="L14" s="56">
        <f t="shared" si="2"/>
        <v>5119.7999999999993</v>
      </c>
      <c r="M14" s="57">
        <f t="shared" si="3"/>
        <v>5190</v>
      </c>
      <c r="N14" s="52">
        <f>VLOOKUP($A14,'Выгр Кат'!$A:$R,N$1,0)</f>
        <v>3657</v>
      </c>
      <c r="O14" s="52">
        <f>VLOOKUP($A14,'Выгр Кат'!$A:$R,O$1,0)</f>
        <v>5190</v>
      </c>
      <c r="P14" s="47">
        <f t="shared" si="4"/>
        <v>0</v>
      </c>
      <c r="Q14" s="47">
        <f t="shared" si="5"/>
        <v>0</v>
      </c>
      <c r="R14" s="58">
        <f t="shared" si="6"/>
        <v>5190</v>
      </c>
      <c r="S14" s="59">
        <f t="shared" si="7"/>
        <v>0.41919606234618545</v>
      </c>
      <c r="T14" s="59" t="str">
        <f t="shared" si="8"/>
        <v/>
      </c>
      <c r="U14" s="59" t="str">
        <f t="shared" si="9"/>
        <v/>
      </c>
      <c r="V14" s="60"/>
      <c r="W14" s="69" t="str">
        <f>IFERROR((VLOOKUP($A14,'Из ГУГЛа'!$B:$Z,W$1,0)+Y14)*X14,VLOOKUP($A14,'Из ГУГЛа'!$B:$Z,W$1,0))</f>
        <v/>
      </c>
      <c r="X14" s="61">
        <v>1</v>
      </c>
      <c r="Y14" s="61">
        <v>0</v>
      </c>
      <c r="Z14" s="62" t="s">
        <v>4170</v>
      </c>
      <c r="AA14" s="60"/>
    </row>
    <row r="15" spans="1:27" ht="45" x14ac:dyDescent="0.25">
      <c r="A15" s="52">
        <v>132888</v>
      </c>
      <c r="B15" s="52">
        <f>VLOOKUP($A15,'Выгр Кат'!$A:$R,B$1,0)</f>
        <v>31191</v>
      </c>
      <c r="C15" s="53" t="str">
        <f>VLOOKUP($A15,'Выгр Кат'!$A:$R,C$1,0)</f>
        <v>Арка заднего колеса левая в сборе (катафорез) "АвтоВАЗ" для Лада Веста седан</v>
      </c>
      <c r="D15" s="52" t="str">
        <f>VLOOKUP($A15,'Выгр Кат'!$A:$R,D$1,0)</f>
        <v>Y</v>
      </c>
      <c r="E15" s="52" t="str">
        <f>VLOOKUP($A15,'Выгр Кат'!$A:$R,E$1,0)</f>
        <v>1</v>
      </c>
      <c r="F15" s="52" t="str">
        <f>VLOOKUP($A15,'Выгр Кат'!$A:$R,F$1,0)</f>
        <v>8450039206</v>
      </c>
      <c r="G15" s="52" t="str">
        <f>IF(VLOOKUP($A15,'Выгр Кат'!$A:$R,G$1,0)=0,"",VLOOKUP($A15,'Выгр Кат'!$A:$R,G$1,0))</f>
        <v>https://motorring.ru/product/36849-arka-zadnego-kolesa-vnutrennyaya-levaya-dlya-lada-vesta</v>
      </c>
      <c r="H15" s="52"/>
      <c r="I15" s="52"/>
      <c r="J15" s="54">
        <f t="shared" si="1"/>
        <v>4017</v>
      </c>
      <c r="K15" s="55">
        <f>VLOOKUP(J15,Наценка!$A$1:$B$8,2,1)</f>
        <v>1.4</v>
      </c>
      <c r="L15" s="56">
        <f t="shared" si="2"/>
        <v>5623.7999999999993</v>
      </c>
      <c r="M15" s="57">
        <f t="shared" si="3"/>
        <v>5690</v>
      </c>
      <c r="N15" s="52">
        <f>VLOOKUP($A15,'Выгр Кат'!$A:$R,N$1,0)</f>
        <v>4017</v>
      </c>
      <c r="O15" s="52">
        <f>VLOOKUP($A15,'Выгр Кат'!$A:$R,O$1,0)</f>
        <v>5690</v>
      </c>
      <c r="P15" s="47">
        <f t="shared" si="4"/>
        <v>0</v>
      </c>
      <c r="Q15" s="47">
        <f t="shared" si="5"/>
        <v>0</v>
      </c>
      <c r="R15" s="58">
        <f t="shared" si="6"/>
        <v>5690</v>
      </c>
      <c r="S15" s="59">
        <f t="shared" si="7"/>
        <v>0.41647996016928057</v>
      </c>
      <c r="T15" s="59">
        <f t="shared" si="8"/>
        <v>-0.14028056112224449</v>
      </c>
      <c r="U15" s="59">
        <f t="shared" si="9"/>
        <v>0.24222056260891223</v>
      </c>
      <c r="V15" s="42">
        <f t="shared" ref="V15:V19" si="12">Z15</f>
        <v>4990</v>
      </c>
      <c r="W15" s="69">
        <f>IFERROR((VLOOKUP($A15,'Из ГУГЛа'!$B:$Z,W$1,0)+Y15)*X15,VLOOKUP($A15,'Из ГУГЛа'!$B:$Z,W$1,0))</f>
        <v>4990</v>
      </c>
      <c r="X15" s="61">
        <v>1</v>
      </c>
      <c r="Y15" s="61">
        <v>0</v>
      </c>
      <c r="Z15" s="70">
        <v>4990</v>
      </c>
      <c r="AA15" s="60" t="s">
        <v>50</v>
      </c>
    </row>
    <row r="16" spans="1:27" ht="45" x14ac:dyDescent="0.25">
      <c r="A16" s="52">
        <v>132889</v>
      </c>
      <c r="B16" s="52">
        <f>VLOOKUP($A16,'Выгр Кат'!$A:$R,B$1,0)</f>
        <v>32728</v>
      </c>
      <c r="C16" s="53" t="str">
        <f>VLOOKUP($A16,'Выгр Кат'!$A:$R,C$1,0)</f>
        <v>Арка заднего колеса наружная (катафорез) "АвтоВАЗ" левая для Лада Веста</v>
      </c>
      <c r="D16" s="52" t="str">
        <f>VLOOKUP($A16,'Выгр Кат'!$A:$R,D$1,0)</f>
        <v>Y</v>
      </c>
      <c r="E16" s="52" t="str">
        <f>VLOOKUP($A16,'Выгр Кат'!$A:$R,E$1,0)</f>
        <v>1</v>
      </c>
      <c r="F16" s="52" t="str">
        <f>VLOOKUP($A16,'Выгр Кат'!$A:$R,F$1,0)</f>
        <v>8450039437</v>
      </c>
      <c r="G16" s="52" t="str">
        <f>IF(VLOOKUP($A16,'Выгр Кат'!$A:$R,G$1,0)=0,"",VLOOKUP($A16,'Выгр Кат'!$A:$R,G$1,0))</f>
        <v>https://motorring.ru/product/36823-arka-zadnego-kolesa-narughnaya-levaya-dlya-lada-vesta</v>
      </c>
      <c r="H16" s="52"/>
      <c r="I16" s="52"/>
      <c r="J16" s="54">
        <f t="shared" si="1"/>
        <v>2242</v>
      </c>
      <c r="K16" s="55">
        <f>VLOOKUP(J16,Наценка!$A$1:$B$8,2,1)</f>
        <v>1.4</v>
      </c>
      <c r="L16" s="56">
        <f t="shared" si="2"/>
        <v>3138.7999999999997</v>
      </c>
      <c r="M16" s="57">
        <f t="shared" si="3"/>
        <v>3190</v>
      </c>
      <c r="N16" s="52">
        <f>VLOOKUP($A16,'Выгр Кат'!$A:$R,N$1,0)</f>
        <v>2242</v>
      </c>
      <c r="O16" s="52">
        <f>VLOOKUP($A16,'Выгр Кат'!$A:$R,O$1,0)</f>
        <v>3190</v>
      </c>
      <c r="P16" s="47">
        <f t="shared" si="4"/>
        <v>0</v>
      </c>
      <c r="Q16" s="47">
        <f t="shared" si="5"/>
        <v>0</v>
      </c>
      <c r="R16" s="58">
        <f t="shared" si="6"/>
        <v>3190</v>
      </c>
      <c r="S16" s="59">
        <f t="shared" si="7"/>
        <v>0.4228367528991972</v>
      </c>
      <c r="T16" s="59">
        <f t="shared" si="8"/>
        <v>3.0395136778115502E-2</v>
      </c>
      <c r="U16" s="59">
        <f t="shared" si="9"/>
        <v>0.46743978590544155</v>
      </c>
      <c r="V16" s="42">
        <f t="shared" si="12"/>
        <v>3290</v>
      </c>
      <c r="W16" s="69">
        <f>IFERROR((VLOOKUP($A16,'Из ГУГЛа'!$B:$Z,W$1,0)+Y16)*X16,VLOOKUP($A16,'Из ГУГЛа'!$B:$Z,W$1,0))</f>
        <v>3290</v>
      </c>
      <c r="X16" s="61">
        <v>1</v>
      </c>
      <c r="Y16" s="61">
        <v>0</v>
      </c>
      <c r="Z16" s="70">
        <v>3290</v>
      </c>
      <c r="AA16" s="60" t="s">
        <v>53</v>
      </c>
    </row>
    <row r="17" spans="1:28" s="38" customFormat="1" ht="45" x14ac:dyDescent="0.25">
      <c r="A17" s="52">
        <v>132890</v>
      </c>
      <c r="B17" s="52">
        <f>VLOOKUP($A17,'Выгр Кат'!$A:$R,B$1,0)</f>
        <v>31187</v>
      </c>
      <c r="C17" s="53" t="str">
        <f>VLOOKUP($A17,'Выгр Кат'!$A:$R,C$1,0)</f>
        <v>Арка заднего колеса правая в сборе (катафорез) "АвтоВАЗ" для Лада Веста седан</v>
      </c>
      <c r="D17" s="52" t="str">
        <f>VLOOKUP($A17,'Выгр Кат'!$A:$R,D$1,0)</f>
        <v>Y</v>
      </c>
      <c r="E17" s="52" t="str">
        <f>VLOOKUP($A17,'Выгр Кат'!$A:$R,E$1,0)</f>
        <v>1</v>
      </c>
      <c r="F17" s="52" t="str">
        <f>VLOOKUP($A17,'Выгр Кат'!$A:$R,F$1,0)</f>
        <v>8450039207</v>
      </c>
      <c r="G17" s="52" t="str">
        <f>IF(VLOOKUP($A17,'Выгр Кат'!$A:$R,G$1,0)=0,"",VLOOKUP($A17,'Выгр Кат'!$A:$R,G$1,0))</f>
        <v>https://motorring.ru/product/36848-arka-zadnego-kolesa-vnutrennyaya-pravaya-dlya-lada-vesta</v>
      </c>
      <c r="H17" s="52"/>
      <c r="I17" s="52"/>
      <c r="J17" s="54">
        <f t="shared" si="1"/>
        <v>4079</v>
      </c>
      <c r="K17" s="55">
        <f>VLOOKUP(J17,Наценка!$A$1:$B$8,2,1)</f>
        <v>1.4</v>
      </c>
      <c r="L17" s="56">
        <f t="shared" si="2"/>
        <v>5710.5999999999995</v>
      </c>
      <c r="M17" s="57">
        <f t="shared" si="3"/>
        <v>5790</v>
      </c>
      <c r="N17" s="52">
        <f>VLOOKUP($A17,'Выгр Кат'!$A:$R,N$1,0)</f>
        <v>4079</v>
      </c>
      <c r="O17" s="52">
        <f>VLOOKUP($A17,'Выгр Кат'!$A:$R,O$1,0)</f>
        <v>5790</v>
      </c>
      <c r="P17" s="47">
        <f t="shared" si="4"/>
        <v>0</v>
      </c>
      <c r="Q17" s="47">
        <f t="shared" si="5"/>
        <v>0</v>
      </c>
      <c r="R17" s="58">
        <f t="shared" si="6"/>
        <v>5790</v>
      </c>
      <c r="S17" s="59">
        <f t="shared" si="7"/>
        <v>0.41946555528315765</v>
      </c>
      <c r="T17" s="59">
        <f t="shared" si="8"/>
        <v>1.6977928692699491E-2</v>
      </c>
      <c r="U17" s="59">
        <f t="shared" si="9"/>
        <v>0.44398136798234855</v>
      </c>
      <c r="V17" s="42">
        <f t="shared" si="12"/>
        <v>5890</v>
      </c>
      <c r="W17" s="69">
        <f>IFERROR((VLOOKUP($A17,'Из ГУГЛа'!$B:$Z,W$1,0)+Y17)*X17,VLOOKUP($A17,'Из ГУГЛа'!$B:$Z,W$1,0))</f>
        <v>5890</v>
      </c>
      <c r="X17" s="61">
        <v>1</v>
      </c>
      <c r="Y17" s="61">
        <v>0</v>
      </c>
      <c r="Z17" s="70">
        <v>5890</v>
      </c>
      <c r="AA17" s="60" t="s">
        <v>56</v>
      </c>
      <c r="AB17" s="37"/>
    </row>
    <row r="18" spans="1:28" ht="30" x14ac:dyDescent="0.25">
      <c r="A18" s="52">
        <v>132891</v>
      </c>
      <c r="B18" s="52">
        <f>VLOOKUP($A18,'Выгр Кат'!$A:$R,B$1,0)</f>
        <v>31091</v>
      </c>
      <c r="C18" s="53" t="str">
        <f>VLOOKUP($A18,'Выгр Кат'!$A:$R,C$1,0)</f>
        <v>Арка колеса "АвтоВАЗ" задняя левая для Лада XRAY</v>
      </c>
      <c r="D18" s="52" t="str">
        <f>VLOOKUP($A18,'Выгр Кат'!$A:$R,D$1,0)</f>
        <v>Y</v>
      </c>
      <c r="E18" s="52" t="str">
        <f>VLOOKUP($A18,'Выгр Кат'!$A:$R,E$1,0)</f>
        <v>1</v>
      </c>
      <c r="F18" s="52" t="str">
        <f>VLOOKUP($A18,'Выгр Кат'!$A:$R,F$1,0)</f>
        <v>767137851R</v>
      </c>
      <c r="G18" s="52" t="str">
        <f>IF(VLOOKUP($A18,'Выгр Кат'!$A:$R,G$1,0)=0,"",VLOOKUP($A18,'Выгр Кат'!$A:$R,G$1,0))</f>
        <v>https://motorring.ru/product/36805-arka-zadnego-kolesa-narughnaya-levaya-dlya-lada-iks-rey</v>
      </c>
      <c r="H18" s="52"/>
      <c r="I18" s="52"/>
      <c r="J18" s="54">
        <f t="shared" si="1"/>
        <v>2575</v>
      </c>
      <c r="K18" s="55">
        <f>VLOOKUP(J18,Наценка!$A$1:$B$8,2,1)</f>
        <v>1.4</v>
      </c>
      <c r="L18" s="56">
        <f t="shared" si="2"/>
        <v>3604.9999999999995</v>
      </c>
      <c r="M18" s="57">
        <f t="shared" si="3"/>
        <v>3690</v>
      </c>
      <c r="N18" s="52">
        <f>VLOOKUP($A18,'Выгр Кат'!$A:$R,N$1,0)</f>
        <v>2575</v>
      </c>
      <c r="O18" s="52">
        <f>VLOOKUP($A18,'Выгр Кат'!$A:$R,O$1,0)</f>
        <v>3690</v>
      </c>
      <c r="P18" s="47">
        <f t="shared" si="4"/>
        <v>0</v>
      </c>
      <c r="Q18" s="47">
        <f t="shared" si="5"/>
        <v>0</v>
      </c>
      <c r="R18" s="58">
        <f t="shared" si="6"/>
        <v>3690</v>
      </c>
      <c r="S18" s="59">
        <f t="shared" si="7"/>
        <v>0.43300970873786415</v>
      </c>
      <c r="T18" s="59">
        <f t="shared" si="8"/>
        <v>-0.37174721189591076</v>
      </c>
      <c r="U18" s="59">
        <f t="shared" si="9"/>
        <v>4.4660194174757306E-2</v>
      </c>
      <c r="V18" s="42">
        <f t="shared" si="12"/>
        <v>2690</v>
      </c>
      <c r="W18" s="69">
        <f>IFERROR((VLOOKUP($A18,'Из ГУГЛа'!$B:$Z,W$1,0)+Y18)*X18,VLOOKUP($A18,'Из ГУГЛа'!$B:$Z,W$1,0))</f>
        <v>2690</v>
      </c>
      <c r="X18" s="61">
        <v>1</v>
      </c>
      <c r="Y18" s="61">
        <v>0</v>
      </c>
      <c r="Z18" s="70">
        <v>2690</v>
      </c>
      <c r="AA18" s="60" t="s">
        <v>59</v>
      </c>
    </row>
    <row r="19" spans="1:28" ht="30" x14ac:dyDescent="0.25">
      <c r="A19" s="52">
        <v>132892</v>
      </c>
      <c r="B19" s="52">
        <f>VLOOKUP($A19,'Выгр Кат'!$A:$R,B$1,0)</f>
        <v>31092</v>
      </c>
      <c r="C19" s="53" t="str">
        <f>VLOOKUP($A19,'Выгр Кат'!$A:$R,C$1,0)</f>
        <v>Арка колеса "АвтоВАЗ" задняя правая для Лада XRAY</v>
      </c>
      <c r="D19" s="52" t="str">
        <f>VLOOKUP($A19,'Выгр Кат'!$A:$R,D$1,0)</f>
        <v>Y</v>
      </c>
      <c r="E19" s="52" t="str">
        <f>VLOOKUP($A19,'Выгр Кат'!$A:$R,E$1,0)</f>
        <v>1</v>
      </c>
      <c r="F19" s="52" t="str">
        <f>VLOOKUP($A19,'Выгр Кат'!$A:$R,F$1,0)</f>
        <v>767120601R</v>
      </c>
      <c r="G19" s="52" t="str">
        <f>IF(VLOOKUP($A19,'Выгр Кат'!$A:$R,G$1,0)=0,"",VLOOKUP($A19,'Выгр Кат'!$A:$R,G$1,0))</f>
        <v>https://motorring.ru/product/36806-arka-zadnego-kolesa-narughnaya-pravaya-dlya-lada-iks-rey</v>
      </c>
      <c r="H19" s="52"/>
      <c r="I19" s="52"/>
      <c r="J19" s="54">
        <f t="shared" si="1"/>
        <v>4800</v>
      </c>
      <c r="K19" s="55">
        <f>VLOOKUP(J19,Наценка!$A$1:$B$8,2,1)</f>
        <v>1.4</v>
      </c>
      <c r="L19" s="56">
        <f t="shared" si="2"/>
        <v>6720</v>
      </c>
      <c r="M19" s="57">
        <f t="shared" si="3"/>
        <v>6790</v>
      </c>
      <c r="N19" s="52">
        <f>VLOOKUP($A19,'Выгр Кат'!$A:$R,N$1,0)</f>
        <v>4800</v>
      </c>
      <c r="O19" s="52">
        <f>VLOOKUP($A19,'Выгр Кат'!$A:$R,O$1,0)</f>
        <v>6790</v>
      </c>
      <c r="P19" s="47">
        <f t="shared" si="4"/>
        <v>0</v>
      </c>
      <c r="Q19" s="47">
        <f t="shared" si="5"/>
        <v>0</v>
      </c>
      <c r="R19" s="58">
        <f t="shared" si="6"/>
        <v>6790</v>
      </c>
      <c r="S19" s="59">
        <f t="shared" si="7"/>
        <v>0.4145833333333333</v>
      </c>
      <c r="T19" s="59">
        <f t="shared" si="8"/>
        <v>-9.6930533117932149E-2</v>
      </c>
      <c r="U19" s="59">
        <f t="shared" si="9"/>
        <v>0.2895833333333333</v>
      </c>
      <c r="V19" s="42">
        <f t="shared" si="12"/>
        <v>6190</v>
      </c>
      <c r="W19" s="69">
        <f>IFERROR((VLOOKUP($A19,'Из ГУГЛа'!$B:$Z,W$1,0)+Y19)*X19,VLOOKUP($A19,'Из ГУГЛа'!$B:$Z,W$1,0))</f>
        <v>6190</v>
      </c>
      <c r="X19" s="61">
        <v>1</v>
      </c>
      <c r="Y19" s="61">
        <v>0</v>
      </c>
      <c r="Z19" s="70">
        <v>6190</v>
      </c>
      <c r="AA19" s="60" t="s">
        <v>62</v>
      </c>
    </row>
    <row r="20" spans="1:28" s="38" customFormat="1" ht="30" x14ac:dyDescent="0.25">
      <c r="A20" s="52">
        <v>132893</v>
      </c>
      <c r="B20" s="52">
        <f>VLOOKUP($A20,'Выгр Кат'!$A:$R,B$1,0)</f>
        <v>31288</v>
      </c>
      <c r="C20" s="53" t="str">
        <f>VLOOKUP($A20,'Выгр Кат'!$A:$R,C$1,0)</f>
        <v>Арка колеса заднего "АвтоВАЗ" внутренняя левая для Шевроле Нива</v>
      </c>
      <c r="D20" s="52" t="str">
        <f>VLOOKUP($A20,'Выгр Кат'!$A:$R,D$1,0)</f>
        <v>Y</v>
      </c>
      <c r="E20" s="52" t="str">
        <f>VLOOKUP($A20,'Выгр Кат'!$A:$R,E$1,0)</f>
        <v>0</v>
      </c>
      <c r="F20" s="52" t="str">
        <f>VLOOKUP($A20,'Выгр Кат'!$A:$R,F$1,0)</f>
        <v>21230510124100</v>
      </c>
      <c r="G20" s="52" t="str">
        <f>IF(VLOOKUP($A20,'Выгр Кат'!$A:$R,G$1,0)=0,"",VLOOKUP($A20,'Выгр Кат'!$A:$R,G$1,0))</f>
        <v/>
      </c>
      <c r="H20" s="52"/>
      <c r="I20" s="52"/>
      <c r="J20" s="54">
        <f t="shared" si="1"/>
        <v>855</v>
      </c>
      <c r="K20" s="55">
        <f>VLOOKUP(J20,Наценка!$A$1:$B$8,2,1)</f>
        <v>1.55</v>
      </c>
      <c r="L20" s="56">
        <f t="shared" si="2"/>
        <v>1325.25</v>
      </c>
      <c r="M20" s="57">
        <f t="shared" si="3"/>
        <v>1390</v>
      </c>
      <c r="N20" s="52">
        <f>VLOOKUP($A20,'Выгр Кат'!$A:$R,N$1,0)</f>
        <v>855</v>
      </c>
      <c r="O20" s="52">
        <f>VLOOKUP($A20,'Выгр Кат'!$A:$R,O$1,0)</f>
        <v>1390</v>
      </c>
      <c r="P20" s="47">
        <f t="shared" si="4"/>
        <v>0</v>
      </c>
      <c r="Q20" s="47">
        <f t="shared" si="5"/>
        <v>0</v>
      </c>
      <c r="R20" s="58">
        <f t="shared" si="6"/>
        <v>1390</v>
      </c>
      <c r="S20" s="59">
        <f t="shared" si="7"/>
        <v>0.6257309941520468</v>
      </c>
      <c r="T20" s="59" t="str">
        <f t="shared" si="8"/>
        <v/>
      </c>
      <c r="U20" s="59" t="str">
        <f t="shared" si="9"/>
        <v/>
      </c>
      <c r="V20" s="60"/>
      <c r="W20" s="69" t="str">
        <f>IFERROR((VLOOKUP($A20,'Из ГУГЛа'!$B:$Z,W$1,0)+Y20)*X20,VLOOKUP($A20,'Из ГУГЛа'!$B:$Z,W$1,0))</f>
        <v/>
      </c>
      <c r="X20" s="61">
        <v>1</v>
      </c>
      <c r="Y20" s="61">
        <v>0</v>
      </c>
      <c r="Z20" s="60" t="s">
        <v>4169</v>
      </c>
      <c r="AA20" s="60"/>
      <c r="AB20" s="37"/>
    </row>
    <row r="21" spans="1:28" s="38" customFormat="1" ht="30" x14ac:dyDescent="0.25">
      <c r="A21" s="52">
        <v>132894</v>
      </c>
      <c r="B21" s="52">
        <f>VLOOKUP($A21,'Выгр Кат'!$A:$R,B$1,0)</f>
        <v>31289</v>
      </c>
      <c r="C21" s="53" t="str">
        <f>VLOOKUP($A21,'Выгр Кат'!$A:$R,C$1,0)</f>
        <v>Арка колеса заднего "АвтоВАЗ" внутренняя правая для Шевроле Нива</v>
      </c>
      <c r="D21" s="52" t="str">
        <f>VLOOKUP($A21,'Выгр Кат'!$A:$R,D$1,0)</f>
        <v>Y</v>
      </c>
      <c r="E21" s="52" t="str">
        <f>VLOOKUP($A21,'Выгр Кат'!$A:$R,E$1,0)</f>
        <v>0</v>
      </c>
      <c r="F21" s="52" t="str">
        <f>VLOOKUP($A21,'Выгр Кат'!$A:$R,F$1,0)</f>
        <v>21230510124000</v>
      </c>
      <c r="G21" s="52" t="str">
        <f>IF(VLOOKUP($A21,'Выгр Кат'!$A:$R,G$1,0)=0,"",VLOOKUP($A21,'Выгр Кат'!$A:$R,G$1,0))</f>
        <v>https://motorring.ru/product/6534-arka-kolesa-zadnego-vnutrennyaya-pravaya-shevrole-niva</v>
      </c>
      <c r="H21" s="52"/>
      <c r="I21" s="52"/>
      <c r="J21" s="54">
        <f t="shared" si="1"/>
        <v>3255</v>
      </c>
      <c r="K21" s="55">
        <f>VLOOKUP(J21,Наценка!$A$1:$B$8,2,1)</f>
        <v>1.4</v>
      </c>
      <c r="L21" s="56">
        <f t="shared" si="2"/>
        <v>4557</v>
      </c>
      <c r="M21" s="57">
        <f t="shared" si="3"/>
        <v>4590</v>
      </c>
      <c r="N21" s="52">
        <f>VLOOKUP($A21,'Выгр Кат'!$A:$R,N$1,0)</f>
        <v>3255</v>
      </c>
      <c r="O21" s="52">
        <f>VLOOKUP($A21,'Выгр Кат'!$A:$R,O$1,0)</f>
        <v>4590</v>
      </c>
      <c r="P21" s="47">
        <f t="shared" si="4"/>
        <v>0</v>
      </c>
      <c r="Q21" s="47">
        <f t="shared" si="5"/>
        <v>0</v>
      </c>
      <c r="R21" s="58">
        <f t="shared" si="6"/>
        <v>4590</v>
      </c>
      <c r="S21" s="59">
        <f t="shared" si="7"/>
        <v>0.41013824884792616</v>
      </c>
      <c r="T21" s="59">
        <f t="shared" si="8"/>
        <v>-0.58823529411764708</v>
      </c>
      <c r="U21" s="59">
        <f t="shared" si="9"/>
        <v>-0.11213517665130568</v>
      </c>
      <c r="V21" s="42">
        <f>Z21</f>
        <v>2890</v>
      </c>
      <c r="W21" s="69">
        <f>IFERROR((VLOOKUP($A21,'Из ГУГЛа'!$B:$Z,W$1,0)+Y21)*X21,VLOOKUP($A21,'Из ГУГЛа'!$B:$Z,W$1,0))</f>
        <v>2890</v>
      </c>
      <c r="X21" s="61">
        <v>1</v>
      </c>
      <c r="Y21" s="61">
        <v>0</v>
      </c>
      <c r="Z21" s="70">
        <v>2890</v>
      </c>
      <c r="AA21" s="60" t="s">
        <v>67</v>
      </c>
      <c r="AB21" s="37"/>
    </row>
    <row r="22" spans="1:28" s="38" customFormat="1" ht="45" x14ac:dyDescent="0.25">
      <c r="A22" s="52">
        <v>132895</v>
      </c>
      <c r="B22" s="52">
        <f>VLOOKUP($A22,'Выгр Кат'!$A:$R,B$1,0)</f>
        <v>25092</v>
      </c>
      <c r="C22" s="53" t="str">
        <f>VLOOKUP($A22,'Выгр Кат'!$A:$R,C$1,0)</f>
        <v>Арка колеса заднего "АвтоВАЗ" наружная, правая (катафорез) для Лада Приора универсал</v>
      </c>
      <c r="D22" s="52" t="str">
        <f>VLOOKUP($A22,'Выгр Кат'!$A:$R,D$1,0)</f>
        <v>Y</v>
      </c>
      <c r="E22" s="52" t="str">
        <f>VLOOKUP($A22,'Выгр Кат'!$A:$R,E$1,0)</f>
        <v>0</v>
      </c>
      <c r="F22" s="52" t="str">
        <f>VLOOKUP($A22,'Выгр Кат'!$A:$R,F$1,0)</f>
        <v>21710540117410</v>
      </c>
      <c r="G22" s="52" t="str">
        <f>IF(VLOOKUP($A22,'Выгр Кат'!$A:$R,G$1,0)=0,"",VLOOKUP($A22,'Выгр Кат'!$A:$R,G$1,0))</f>
        <v/>
      </c>
      <c r="H22" s="52"/>
      <c r="I22" s="52"/>
      <c r="J22" s="54">
        <f t="shared" si="1"/>
        <v>1254</v>
      </c>
      <c r="K22" s="55">
        <f>VLOOKUP(J22,Наценка!$A$1:$B$8,2,1)</f>
        <v>1.5</v>
      </c>
      <c r="L22" s="56">
        <f t="shared" si="2"/>
        <v>1881</v>
      </c>
      <c r="M22" s="57">
        <f t="shared" si="3"/>
        <v>1890</v>
      </c>
      <c r="N22" s="52">
        <f>VLOOKUP($A22,'Выгр Кат'!$A:$R,N$1,0)</f>
        <v>1254</v>
      </c>
      <c r="O22" s="52">
        <f>VLOOKUP($A22,'Выгр Кат'!$A:$R,O$1,0)</f>
        <v>1890</v>
      </c>
      <c r="P22" s="47">
        <f t="shared" si="4"/>
        <v>0</v>
      </c>
      <c r="Q22" s="47">
        <f t="shared" si="5"/>
        <v>0</v>
      </c>
      <c r="R22" s="58">
        <f t="shared" si="6"/>
        <v>1890</v>
      </c>
      <c r="S22" s="59">
        <f t="shared" si="7"/>
        <v>0.50717703349282295</v>
      </c>
      <c r="T22" s="59" t="str">
        <f t="shared" si="8"/>
        <v/>
      </c>
      <c r="U22" s="59" t="str">
        <f t="shared" si="9"/>
        <v/>
      </c>
      <c r="V22" s="60"/>
      <c r="W22" s="69" t="str">
        <f>IFERROR((VLOOKUP($A22,'Из ГУГЛа'!$B:$Z,W$1,0)+Y22)*X22,VLOOKUP($A22,'Из ГУГЛа'!$B:$Z,W$1,0))</f>
        <v/>
      </c>
      <c r="X22" s="61">
        <v>1</v>
      </c>
      <c r="Y22" s="61">
        <v>0</v>
      </c>
      <c r="Z22" s="76" t="s">
        <v>4285</v>
      </c>
      <c r="AA22" s="60"/>
      <c r="AB22" s="37"/>
    </row>
    <row r="23" spans="1:28" s="38" customFormat="1" ht="45" x14ac:dyDescent="0.25">
      <c r="A23" s="52">
        <v>132896</v>
      </c>
      <c r="B23" s="52">
        <f>VLOOKUP($A23,'Выгр Кат'!$A:$R,B$1,0)</f>
        <v>32640</v>
      </c>
      <c r="C23" s="53" t="str">
        <f>VLOOKUP($A23,'Выгр Кат'!$A:$R,C$1,0)</f>
        <v>Арка колеса заднего (катафорез) "АвтоВАЗ" внутренняя левая в сборе для Лада Нива 4x4 Урбан</v>
      </c>
      <c r="D23" s="52" t="str">
        <f>VLOOKUP($A23,'Выгр Кат'!$A:$R,D$1,0)</f>
        <v>Y</v>
      </c>
      <c r="E23" s="52" t="str">
        <f>VLOOKUP($A23,'Выгр Кат'!$A:$R,E$1,0)</f>
        <v>1</v>
      </c>
      <c r="F23" s="52" t="str">
        <f>VLOOKUP($A23,'Выгр Кат'!$A:$R,F$1,0)</f>
        <v>21214510124120</v>
      </c>
      <c r="G23" s="52" t="str">
        <f>IF(VLOOKUP($A23,'Выгр Кат'!$A:$R,G$1,0)=0,"",VLOOKUP($A23,'Выгр Кат'!$A:$R,G$1,0))</f>
        <v>https://motorring.ru/product/6519-arka-kolesa-zadnego-vnutrennyaya-levaya-sbore-lada-niva-4h4</v>
      </c>
      <c r="H23" s="52"/>
      <c r="I23" s="52"/>
      <c r="J23" s="54">
        <f t="shared" si="1"/>
        <v>1872</v>
      </c>
      <c r="K23" s="55">
        <f>VLOOKUP(J23,Наценка!$A$1:$B$8,2,1)</f>
        <v>1.5</v>
      </c>
      <c r="L23" s="56">
        <f t="shared" si="2"/>
        <v>2808</v>
      </c>
      <c r="M23" s="57">
        <f t="shared" si="3"/>
        <v>2890</v>
      </c>
      <c r="N23" s="52">
        <f>VLOOKUP($A23,'Выгр Кат'!$A:$R,N$1,0)</f>
        <v>1872</v>
      </c>
      <c r="O23" s="52">
        <f>VLOOKUP($A23,'Выгр Кат'!$A:$R,O$1,0)</f>
        <v>2890</v>
      </c>
      <c r="P23" s="47">
        <f t="shared" si="4"/>
        <v>0</v>
      </c>
      <c r="Q23" s="47">
        <f t="shared" si="5"/>
        <v>0</v>
      </c>
      <c r="R23" s="58">
        <f t="shared" si="6"/>
        <v>2890</v>
      </c>
      <c r="S23" s="59">
        <f t="shared" si="7"/>
        <v>0.54380341880341887</v>
      </c>
      <c r="T23" s="59">
        <f t="shared" si="8"/>
        <v>3.3444816053511704E-2</v>
      </c>
      <c r="U23" s="59">
        <f t="shared" si="9"/>
        <v>0.59722222222222232</v>
      </c>
      <c r="V23" s="42">
        <f t="shared" ref="V23:V25" si="13">Z23</f>
        <v>2990</v>
      </c>
      <c r="W23" s="69">
        <f>IFERROR((VLOOKUP($A23,'Из ГУГЛа'!$B:$Z,W$1,0)+Y23)*X23,VLOOKUP($A23,'Из ГУГЛа'!$B:$Z,W$1,0))</f>
        <v>2990</v>
      </c>
      <c r="X23" s="61">
        <v>1</v>
      </c>
      <c r="Y23" s="61">
        <v>0</v>
      </c>
      <c r="Z23" s="70">
        <v>2990</v>
      </c>
      <c r="AA23" s="60" t="s">
        <v>73</v>
      </c>
      <c r="AB23" s="37"/>
    </row>
    <row r="24" spans="1:28" s="38" customFormat="1" ht="45" x14ac:dyDescent="0.25">
      <c r="A24" s="52">
        <v>132897</v>
      </c>
      <c r="B24" s="52">
        <f>VLOOKUP($A24,'Выгр Кат'!$A:$R,B$1,0)</f>
        <v>31305</v>
      </c>
      <c r="C24" s="53" t="str">
        <f>VLOOKUP($A24,'Выгр Кат'!$A:$R,C$1,0)</f>
        <v>Арка колеса заднего (катафорез) "АвтоВАЗ" внутренняя правая в сборе для Лада Нива 4x4 Урбан</v>
      </c>
      <c r="D24" s="52" t="str">
        <f>VLOOKUP($A24,'Выгр Кат'!$A:$R,D$1,0)</f>
        <v>Y</v>
      </c>
      <c r="E24" s="52" t="str">
        <f>VLOOKUP($A24,'Выгр Кат'!$A:$R,E$1,0)</f>
        <v>1</v>
      </c>
      <c r="F24" s="52" t="str">
        <f>VLOOKUP($A24,'Выгр Кат'!$A:$R,F$1,0)</f>
        <v>21214510124020</v>
      </c>
      <c r="G24" s="52" t="str">
        <f>IF(VLOOKUP($A24,'Выгр Кат'!$A:$R,G$1,0)=0,"",VLOOKUP($A24,'Выгр Кат'!$A:$R,G$1,0))</f>
        <v>https://motorring.ru/product/6517-arka-kolesa-zadnego-vnutrennyaya-pravaya-sbore-lada-4h4</v>
      </c>
      <c r="H24" s="52"/>
      <c r="I24" s="52"/>
      <c r="J24" s="54">
        <f t="shared" si="1"/>
        <v>2256</v>
      </c>
      <c r="K24" s="55">
        <f>VLOOKUP(J24,Наценка!$A$1:$B$8,2,1)</f>
        <v>1.4</v>
      </c>
      <c r="L24" s="56">
        <f t="shared" si="2"/>
        <v>3158.3999999999996</v>
      </c>
      <c r="M24" s="57">
        <f t="shared" si="3"/>
        <v>3190</v>
      </c>
      <c r="N24" s="52">
        <f>VLOOKUP($A24,'Выгр Кат'!$A:$R,N$1,0)</f>
        <v>2256</v>
      </c>
      <c r="O24" s="52">
        <f>VLOOKUP($A24,'Выгр Кат'!$A:$R,O$1,0)</f>
        <v>3190</v>
      </c>
      <c r="P24" s="47">
        <f t="shared" si="4"/>
        <v>0</v>
      </c>
      <c r="Q24" s="47">
        <f t="shared" si="5"/>
        <v>0</v>
      </c>
      <c r="R24" s="58">
        <f t="shared" si="6"/>
        <v>3190</v>
      </c>
      <c r="S24" s="59">
        <f t="shared" si="7"/>
        <v>0.41400709219858145</v>
      </c>
      <c r="T24" s="59">
        <f t="shared" si="8"/>
        <v>-6.6889632107023408E-2</v>
      </c>
      <c r="U24" s="59">
        <f t="shared" si="9"/>
        <v>0.32535460992907805</v>
      </c>
      <c r="V24" s="42">
        <f t="shared" si="13"/>
        <v>2990</v>
      </c>
      <c r="W24" s="69">
        <f>IFERROR((VLOOKUP($A24,'Из ГУГЛа'!$B:$Z,W$1,0)+Y24)*X24,VLOOKUP($A24,'Из ГУГЛа'!$B:$Z,W$1,0))</f>
        <v>2990</v>
      </c>
      <c r="X24" s="61">
        <v>1</v>
      </c>
      <c r="Y24" s="61">
        <v>0</v>
      </c>
      <c r="Z24" s="70">
        <v>2990</v>
      </c>
      <c r="AA24" s="60" t="s">
        <v>76</v>
      </c>
      <c r="AB24" s="37"/>
    </row>
    <row r="25" spans="1:28" s="38" customFormat="1" ht="45" x14ac:dyDescent="0.25">
      <c r="A25" s="52">
        <v>132899</v>
      </c>
      <c r="B25" s="52">
        <f>VLOOKUP($A25,'Выгр Кат'!$A:$R,B$1,0)</f>
        <v>31434</v>
      </c>
      <c r="C25" s="53" t="str">
        <f>VLOOKUP($A25,'Выгр Кат'!$A:$R,C$1,0)</f>
        <v>Арка колеса заднего внутренняя (катафорез) "АвтоВАЗ" правая для ВАЗ 2108-21099, 2113-2115</v>
      </c>
      <c r="D25" s="52" t="str">
        <f>VLOOKUP($A25,'Выгр Кат'!$A:$R,D$1,0)</f>
        <v>Y</v>
      </c>
      <c r="E25" s="52" t="str">
        <f>VLOOKUP($A25,'Выгр Кат'!$A:$R,E$1,0)</f>
        <v>1</v>
      </c>
      <c r="F25" s="52" t="str">
        <f>VLOOKUP($A25,'Выгр Кат'!$A:$R,F$1,0)</f>
        <v>21080510124010</v>
      </c>
      <c r="G25" s="52" t="str">
        <f>IF(VLOOKUP($A25,'Выгр Кат'!$A:$R,G$1,0)=0,"",VLOOKUP($A25,'Выгр Кат'!$A:$R,G$1,0))</f>
        <v/>
      </c>
      <c r="H25" s="52"/>
      <c r="I25" s="52"/>
      <c r="J25" s="54">
        <f t="shared" si="1"/>
        <v>2266</v>
      </c>
      <c r="K25" s="55">
        <f>VLOOKUP(J25,Наценка!$A$1:$B$8,2,1)</f>
        <v>1.4</v>
      </c>
      <c r="L25" s="56">
        <f t="shared" si="2"/>
        <v>3172.3999999999996</v>
      </c>
      <c r="M25" s="57">
        <f t="shared" si="3"/>
        <v>3190</v>
      </c>
      <c r="N25" s="52">
        <f>VLOOKUP($A25,'Выгр Кат'!$A:$R,N$1,0)</f>
        <v>2266</v>
      </c>
      <c r="O25" s="52">
        <f>VLOOKUP($A25,'Выгр Кат'!$A:$R,O$1,0)</f>
        <v>3190</v>
      </c>
      <c r="P25" s="47">
        <f t="shared" si="4"/>
        <v>0</v>
      </c>
      <c r="Q25" s="47">
        <f t="shared" si="5"/>
        <v>0</v>
      </c>
      <c r="R25" s="58">
        <f t="shared" si="6"/>
        <v>3190</v>
      </c>
      <c r="S25" s="59">
        <f t="shared" si="7"/>
        <v>0.40776699029126218</v>
      </c>
      <c r="T25" s="59">
        <f t="shared" si="8"/>
        <v>-6.6889632107023408E-2</v>
      </c>
      <c r="U25" s="59">
        <f t="shared" si="9"/>
        <v>0.31950573698146512</v>
      </c>
      <c r="V25" s="42">
        <f t="shared" si="13"/>
        <v>2990</v>
      </c>
      <c r="W25" s="69">
        <f>IFERROR((VLOOKUP($A25,'Из ГУГЛа'!$B:$Z,W$1,0)+Y25)*X25,VLOOKUP($A25,'Из ГУГЛа'!$B:$Z,W$1,0))</f>
        <v>2990</v>
      </c>
      <c r="X25" s="61">
        <v>1</v>
      </c>
      <c r="Y25" s="61">
        <v>0</v>
      </c>
      <c r="Z25" s="60">
        <v>2990</v>
      </c>
      <c r="AA25" s="60" t="s">
        <v>4171</v>
      </c>
      <c r="AB25" s="37"/>
    </row>
    <row r="26" spans="1:28" s="38" customFormat="1" ht="30" x14ac:dyDescent="0.25">
      <c r="A26" s="52">
        <v>132900</v>
      </c>
      <c r="B26" s="52">
        <f>VLOOKUP($A26,'Выгр Кат'!$A:$R,B$1,0)</f>
        <v>32779</v>
      </c>
      <c r="C26" s="53" t="str">
        <f>VLOOKUP($A26,'Выгр Кат'!$A:$R,C$1,0)</f>
        <v>Арка колеса заднего наружная "АвтоВАЗ" левая для Лада Приора купе</v>
      </c>
      <c r="D26" s="52" t="str">
        <f>VLOOKUP($A26,'Выгр Кат'!$A:$R,D$1,0)</f>
        <v>Y</v>
      </c>
      <c r="E26" s="52" t="str">
        <f>VLOOKUP($A26,'Выгр Кат'!$A:$R,E$1,0)</f>
        <v>1</v>
      </c>
      <c r="F26" s="52" t="str">
        <f>VLOOKUP($A26,'Выгр Кат'!$A:$R,F$1,0)</f>
        <v>21728540117100</v>
      </c>
      <c r="G26" s="52" t="str">
        <f>IF(VLOOKUP($A26,'Выгр Кат'!$A:$R,G$1,0)=0,"",VLOOKUP($A26,'Выгр Кат'!$A:$R,G$1,0))</f>
        <v/>
      </c>
      <c r="H26" s="52"/>
      <c r="I26" s="52"/>
      <c r="J26" s="54">
        <f t="shared" si="1"/>
        <v>8232</v>
      </c>
      <c r="K26" s="55">
        <f>VLOOKUP(J26,Наценка!$A$1:$B$8,2,1)</f>
        <v>1.35</v>
      </c>
      <c r="L26" s="56">
        <f t="shared" si="2"/>
        <v>11113.2</v>
      </c>
      <c r="M26" s="57">
        <f t="shared" si="3"/>
        <v>11190</v>
      </c>
      <c r="N26" s="52">
        <f>VLOOKUP($A26,'Выгр Кат'!$A:$R,N$1,0)</f>
        <v>8232</v>
      </c>
      <c r="O26" s="52">
        <f>VLOOKUP($A26,'Выгр Кат'!$A:$R,O$1,0)</f>
        <v>11590</v>
      </c>
      <c r="P26" s="47">
        <f t="shared" si="4"/>
        <v>0</v>
      </c>
      <c r="Q26" s="47">
        <f t="shared" si="5"/>
        <v>400</v>
      </c>
      <c r="R26" s="58">
        <f t="shared" si="6"/>
        <v>11190</v>
      </c>
      <c r="S26" s="59">
        <f t="shared" si="7"/>
        <v>0.35932944606413986</v>
      </c>
      <c r="T26" s="59" t="str">
        <f t="shared" si="8"/>
        <v/>
      </c>
      <c r="U26" s="59" t="str">
        <f t="shared" si="9"/>
        <v/>
      </c>
      <c r="V26" s="60"/>
      <c r="W26" s="69" t="str">
        <f>IFERROR((VLOOKUP($A26,'Из ГУГЛа'!$B:$Z,W$1,0)+Y26)*X26,VLOOKUP($A26,'Из ГУГЛа'!$B:$Z,W$1,0))</f>
        <v/>
      </c>
      <c r="X26" s="61">
        <v>1</v>
      </c>
      <c r="Y26" s="61">
        <v>0</v>
      </c>
      <c r="Z26" s="62" t="s">
        <v>4170</v>
      </c>
      <c r="AA26" s="60"/>
      <c r="AB26" s="37"/>
    </row>
    <row r="27" spans="1:28" s="38" customFormat="1" ht="45" x14ac:dyDescent="0.25">
      <c r="A27" s="52">
        <v>132901</v>
      </c>
      <c r="B27" s="52">
        <f>VLOOKUP($A27,'Выгр Кат'!$A:$R,B$1,0)</f>
        <v>32777</v>
      </c>
      <c r="C27" s="53" t="str">
        <f>VLOOKUP($A27,'Выгр Кат'!$A:$R,C$1,0)</f>
        <v>Арка колеса заднего наружная "АвтоВАЗ" правая для Лада Приора купе</v>
      </c>
      <c r="D27" s="52" t="str">
        <f>VLOOKUP($A27,'Выгр Кат'!$A:$R,D$1,0)</f>
        <v>Y</v>
      </c>
      <c r="E27" s="52" t="str">
        <f>VLOOKUP($A27,'Выгр Кат'!$A:$R,E$1,0)</f>
        <v>1</v>
      </c>
      <c r="F27" s="52" t="str">
        <f>VLOOKUP($A27,'Выгр Кат'!$A:$R,F$1,0)</f>
        <v>21728540117000</v>
      </c>
      <c r="G27" s="52" t="str">
        <f>IF(VLOOKUP($A27,'Выгр Кат'!$A:$R,G$1,0)=0,"",VLOOKUP($A27,'Выгр Кат'!$A:$R,G$1,0))</f>
        <v/>
      </c>
      <c r="H27" s="52"/>
      <c r="I27" s="52"/>
      <c r="J27" s="54">
        <f t="shared" si="1"/>
        <v>5186</v>
      </c>
      <c r="K27" s="55">
        <f>VLOOKUP(J27,Наценка!$A$1:$B$8,2,1)</f>
        <v>1.35</v>
      </c>
      <c r="L27" s="56">
        <f t="shared" si="2"/>
        <v>7001.1</v>
      </c>
      <c r="M27" s="57">
        <f t="shared" si="3"/>
        <v>7090</v>
      </c>
      <c r="N27" s="52">
        <f>VLOOKUP($A27,'Выгр Кат'!$A:$R,N$1,0)</f>
        <v>5186</v>
      </c>
      <c r="O27" s="52">
        <f>VLOOKUP($A27,'Выгр Кат'!$A:$R,O$1,0)</f>
        <v>7290</v>
      </c>
      <c r="P27" s="47">
        <f t="shared" si="4"/>
        <v>0</v>
      </c>
      <c r="Q27" s="47">
        <f t="shared" si="5"/>
        <v>200</v>
      </c>
      <c r="R27" s="58">
        <f t="shared" si="6"/>
        <v>7090</v>
      </c>
      <c r="S27" s="59">
        <f t="shared" si="7"/>
        <v>0.36714230620902422</v>
      </c>
      <c r="T27" s="59" t="str">
        <f t="shared" si="8"/>
        <v/>
      </c>
      <c r="U27" s="59" t="str">
        <f t="shared" si="9"/>
        <v/>
      </c>
      <c r="V27" s="60"/>
      <c r="W27" s="69" t="str">
        <f>IFERROR((VLOOKUP($A27,'Из ГУГЛа'!$B:$Z,W$1,0)+Y27)*X27,VLOOKUP($A27,'Из ГУГЛа'!$B:$Z,W$1,0))</f>
        <v/>
      </c>
      <c r="X27" s="61">
        <v>1</v>
      </c>
      <c r="Y27" s="61">
        <v>0</v>
      </c>
      <c r="Z27" s="62" t="s">
        <v>4170</v>
      </c>
      <c r="AA27" s="60"/>
      <c r="AB27" s="37"/>
    </row>
    <row r="28" spans="1:28" ht="45" x14ac:dyDescent="0.25">
      <c r="A28" s="52">
        <v>132902</v>
      </c>
      <c r="B28" s="52">
        <f>VLOOKUP($A28,'Выгр Кат'!$A:$R,B$1,0)</f>
        <v>32694</v>
      </c>
      <c r="C28" s="53" t="str">
        <f>VLOOKUP($A28,'Выгр Кат'!$A:$R,C$1,0)</f>
        <v>Арка колеса заднего наружная (катафорез) "АвтоВАЗ" левая для Лада Приора, Приора 2 универсал</v>
      </c>
      <c r="D28" s="52" t="str">
        <f>VLOOKUP($A28,'Выгр Кат'!$A:$R,D$1,0)</f>
        <v>Y</v>
      </c>
      <c r="E28" s="52" t="str">
        <f>VLOOKUP($A28,'Выгр Кат'!$A:$R,E$1,0)</f>
        <v>0</v>
      </c>
      <c r="F28" s="52" t="str">
        <f>VLOOKUP($A28,'Выгр Кат'!$A:$R,F$1,0)</f>
        <v>21710540117510</v>
      </c>
      <c r="G28" s="52" t="str">
        <f>IF(VLOOKUP($A28,'Выгр Кат'!$A:$R,G$1,0)=0,"",VLOOKUP($A28,'Выгр Кат'!$A:$R,G$1,0))</f>
        <v/>
      </c>
      <c r="H28" s="52"/>
      <c r="I28" s="52"/>
      <c r="J28" s="54">
        <f t="shared" si="1"/>
        <v>1256</v>
      </c>
      <c r="K28" s="55">
        <f>VLOOKUP(J28,Наценка!$A$1:$B$8,2,1)</f>
        <v>1.5</v>
      </c>
      <c r="L28" s="56">
        <f t="shared" si="2"/>
        <v>1884</v>
      </c>
      <c r="M28" s="57">
        <f t="shared" si="3"/>
        <v>1890</v>
      </c>
      <c r="N28" s="52">
        <f>VLOOKUP($A28,'Выгр Кат'!$A:$R,N$1,0)</f>
        <v>1256</v>
      </c>
      <c r="O28" s="52">
        <f>VLOOKUP($A28,'Выгр Кат'!$A:$R,O$1,0)</f>
        <v>1890</v>
      </c>
      <c r="P28" s="47">
        <f t="shared" si="4"/>
        <v>0</v>
      </c>
      <c r="Q28" s="47">
        <f t="shared" si="5"/>
        <v>0</v>
      </c>
      <c r="R28" s="58">
        <f t="shared" si="6"/>
        <v>1890</v>
      </c>
      <c r="S28" s="59">
        <f t="shared" si="7"/>
        <v>0.50477707006369421</v>
      </c>
      <c r="T28" s="59" t="str">
        <f t="shared" si="8"/>
        <v/>
      </c>
      <c r="U28" s="59" t="str">
        <f t="shared" si="9"/>
        <v/>
      </c>
      <c r="V28" s="60"/>
      <c r="W28" s="69" t="str">
        <f>IFERROR((VLOOKUP($A28,'Из ГУГЛа'!$B:$Z,W$1,0)+Y28)*X28,VLOOKUP($A28,'Из ГУГЛа'!$B:$Z,W$1,0))</f>
        <v/>
      </c>
      <c r="X28" s="61">
        <v>1</v>
      </c>
      <c r="Y28" s="61">
        <v>0</v>
      </c>
      <c r="Z28" s="62" t="s">
        <v>4170</v>
      </c>
      <c r="AA28" s="60"/>
    </row>
    <row r="29" spans="1:28" ht="30" x14ac:dyDescent="0.25">
      <c r="A29" s="52">
        <v>132903</v>
      </c>
      <c r="B29" s="52">
        <f>VLOOKUP($A29,'Выгр Кат'!$A:$R,B$1,0)</f>
        <v>31016</v>
      </c>
      <c r="C29" s="53" t="str">
        <f>VLOOKUP($A29,'Выгр Кат'!$A:$R,C$1,0)</f>
        <v>Арка колеса переднего правая "Renault" в сборе для Лада Ларгус</v>
      </c>
      <c r="D29" s="52" t="str">
        <f>VLOOKUP($A29,'Выгр Кат'!$A:$R,D$1,0)</f>
        <v>Y</v>
      </c>
      <c r="E29" s="52" t="str">
        <f>VLOOKUP($A29,'Выгр Кат'!$A:$R,E$1,0)</f>
        <v>1</v>
      </c>
      <c r="F29" s="52" t="str">
        <f>VLOOKUP($A29,'Выгр Кат'!$A:$R,F$1,0)</f>
        <v>6001549866</v>
      </c>
      <c r="G29" s="52" t="str">
        <f>IF(VLOOKUP($A29,'Выгр Кат'!$A:$R,G$1,0)=0,"",VLOOKUP($A29,'Выгр Кат'!$A:$R,G$1,0))</f>
        <v>https://motorring.ru/product/15198</v>
      </c>
      <c r="H29" s="52"/>
      <c r="I29" s="52"/>
      <c r="J29" s="54">
        <f t="shared" si="1"/>
        <v>2933</v>
      </c>
      <c r="K29" s="55">
        <f>VLOOKUP(J29,Наценка!$A$1:$B$8,2,1)</f>
        <v>1.4</v>
      </c>
      <c r="L29" s="56">
        <f t="shared" si="2"/>
        <v>4106.2</v>
      </c>
      <c r="M29" s="57">
        <f t="shared" si="3"/>
        <v>4190</v>
      </c>
      <c r="N29" s="52">
        <f>VLOOKUP($A29,'Выгр Кат'!$A:$R,N$1,0)</f>
        <v>2933</v>
      </c>
      <c r="O29" s="52">
        <f>VLOOKUP($A29,'Выгр Кат'!$A:$R,O$1,0)</f>
        <v>4190</v>
      </c>
      <c r="P29" s="47">
        <f t="shared" si="4"/>
        <v>0</v>
      </c>
      <c r="Q29" s="47">
        <f t="shared" si="5"/>
        <v>0</v>
      </c>
      <c r="R29" s="58">
        <f t="shared" si="6"/>
        <v>4190</v>
      </c>
      <c r="S29" s="59">
        <f t="shared" si="7"/>
        <v>0.4285714285714286</v>
      </c>
      <c r="T29" s="59">
        <f t="shared" si="8"/>
        <v>-0.91324200913242004</v>
      </c>
      <c r="U29" s="59">
        <f t="shared" si="9"/>
        <v>-0.25332424139106713</v>
      </c>
      <c r="V29" s="42">
        <f t="shared" ref="V29:V32" si="14">Z29</f>
        <v>2190</v>
      </c>
      <c r="W29" s="69">
        <f>IFERROR((VLOOKUP($A29,'Из ГУГЛа'!$B:$Z,W$1,0)+Y29)*X29,VLOOKUP($A29,'Из ГУГЛа'!$B:$Z,W$1,0))</f>
        <v>2190</v>
      </c>
      <c r="X29" s="61">
        <v>1</v>
      </c>
      <c r="Y29" s="61">
        <v>0</v>
      </c>
      <c r="Z29" s="70">
        <v>2190</v>
      </c>
      <c r="AA29" s="60" t="s">
        <v>87</v>
      </c>
    </row>
    <row r="30" spans="1:28" s="38" customFormat="1" ht="45" x14ac:dyDescent="0.25">
      <c r="A30" s="52">
        <v>132898</v>
      </c>
      <c r="B30" s="52">
        <f>VLOOKUP($A30,'Выгр Кат'!$A:$R,B$1,0)</f>
        <v>31433</v>
      </c>
      <c r="C30" s="53" t="str">
        <f>VLOOKUP($A30,'Выгр Кат'!$A:$R,C$1,0)</f>
        <v>Арка левая "АвтоВАЗ" колеса заднего внутренняя (катафорез) для ВАЗ 2108-21099, 2113-2115</v>
      </c>
      <c r="D30" s="52" t="str">
        <f>VLOOKUP($A30,'Выгр Кат'!$A:$R,D$1,0)</f>
        <v>Y</v>
      </c>
      <c r="E30" s="52" t="str">
        <f>VLOOKUP($A30,'Выгр Кат'!$A:$R,E$1,0)</f>
        <v>1</v>
      </c>
      <c r="F30" s="52" t="str">
        <f>VLOOKUP($A30,'Выгр Кат'!$A:$R,F$1,0)</f>
        <v>21080510124110</v>
      </c>
      <c r="G30" s="52" t="str">
        <f>IF(VLOOKUP($A30,'Выгр Кат'!$A:$R,G$1,0)=0,"",VLOOKUP($A30,'Выгр Кат'!$A:$R,G$1,0))</f>
        <v/>
      </c>
      <c r="H30" s="52"/>
      <c r="I30" s="52"/>
      <c r="J30" s="54">
        <f t="shared" si="1"/>
        <v>2250</v>
      </c>
      <c r="K30" s="55">
        <f>VLOOKUP(J30,Наценка!$A$1:$B$8,2,1)</f>
        <v>1.4</v>
      </c>
      <c r="L30" s="56">
        <f t="shared" si="2"/>
        <v>3150</v>
      </c>
      <c r="M30" s="57">
        <f t="shared" si="3"/>
        <v>3190</v>
      </c>
      <c r="N30" s="52">
        <f>VLOOKUP($A30,'Выгр Кат'!$A:$R,N$1,0)</f>
        <v>2250</v>
      </c>
      <c r="O30" s="52">
        <f>VLOOKUP($A30,'Выгр Кат'!$A:$R,O$1,0)</f>
        <v>3190</v>
      </c>
      <c r="P30" s="47">
        <f t="shared" si="4"/>
        <v>0</v>
      </c>
      <c r="Q30" s="47">
        <f t="shared" si="5"/>
        <v>0</v>
      </c>
      <c r="R30" s="58">
        <f t="shared" si="6"/>
        <v>3190</v>
      </c>
      <c r="S30" s="59">
        <f t="shared" si="7"/>
        <v>0.4177777777777778</v>
      </c>
      <c r="T30" s="59">
        <f t="shared" si="8"/>
        <v>-6.6889632107023408E-2</v>
      </c>
      <c r="U30" s="59">
        <f t="shared" si="9"/>
        <v>0.32888888888888879</v>
      </c>
      <c r="V30" s="42">
        <f t="shared" si="14"/>
        <v>2990</v>
      </c>
      <c r="W30" s="69">
        <f>IFERROR((VLOOKUP($A30,'Из ГУГЛа'!$B:$Z,W$1,0)+Y30)*X30,VLOOKUP($A30,'Из ГУГЛа'!$B:$Z,W$1,0))</f>
        <v>2990</v>
      </c>
      <c r="X30" s="61">
        <v>1</v>
      </c>
      <c r="Y30" s="61">
        <v>0</v>
      </c>
      <c r="Z30" s="60">
        <v>2990</v>
      </c>
      <c r="AA30" s="60" t="s">
        <v>4172</v>
      </c>
      <c r="AB30" s="37"/>
    </row>
    <row r="31" spans="1:28" s="38" customFormat="1" ht="30" x14ac:dyDescent="0.25">
      <c r="A31" s="52">
        <v>242804</v>
      </c>
      <c r="B31" s="52">
        <f>VLOOKUP($A31,'Выгр Кат'!$A:$R,B$1,0)</f>
        <v>170671</v>
      </c>
      <c r="C31" s="53" t="str">
        <f>VLOOKUP($A31,'Выгр Кат'!$A:$R,C$1,0)</f>
        <v>Балка "АвтоВАЗ" переднего бампера для Лада Нива Travel</v>
      </c>
      <c r="D31" s="52" t="str">
        <f>VLOOKUP($A31,'Выгр Кат'!$A:$R,D$1,0)</f>
        <v>Y</v>
      </c>
      <c r="E31" s="52" t="str">
        <f>VLOOKUP($A31,'Выгр Кат'!$A:$R,E$1,0)</f>
        <v>1ск1</v>
      </c>
      <c r="F31" s="52" t="str">
        <f>VLOOKUP($A31,'Выгр Кат'!$A:$R,F$1,0)</f>
        <v>21230280313081</v>
      </c>
      <c r="G31" s="52" t="str">
        <f>IF(VLOOKUP($A31,'Выгр Кат'!$A:$R,G$1,0)=0,"",VLOOKUP($A31,'Выгр Кат'!$A:$R,G$1,0))</f>
        <v>https://motorring.ru/product/36796-balka-perednego-bampera-kataforeznym-pokrytiem-niva-trevel</v>
      </c>
      <c r="H31" s="52"/>
      <c r="I31" s="52"/>
      <c r="J31" s="54">
        <f t="shared" si="1"/>
        <v>3223</v>
      </c>
      <c r="K31" s="55">
        <f>VLOOKUP(J31,Наценка!$A$1:$B$8,2,1)</f>
        <v>1.4</v>
      </c>
      <c r="L31" s="56">
        <f t="shared" si="2"/>
        <v>4512.2</v>
      </c>
      <c r="M31" s="57">
        <f t="shared" si="3"/>
        <v>4590</v>
      </c>
      <c r="N31" s="52">
        <f>VLOOKUP($A31,'Выгр Кат'!$A:$R,N$1,0)</f>
        <v>3223</v>
      </c>
      <c r="O31" s="52">
        <f>VLOOKUP($A31,'Выгр Кат'!$A:$R,O$1,0)</f>
        <v>4590</v>
      </c>
      <c r="P31" s="47">
        <f t="shared" si="4"/>
        <v>0</v>
      </c>
      <c r="Q31" s="47">
        <f t="shared" si="5"/>
        <v>0</v>
      </c>
      <c r="R31" s="58">
        <f t="shared" si="6"/>
        <v>4590</v>
      </c>
      <c r="S31" s="59">
        <f t="shared" si="7"/>
        <v>0.4241390009308097</v>
      </c>
      <c r="T31" s="59">
        <f t="shared" si="8"/>
        <v>-6.9930069930069935E-2</v>
      </c>
      <c r="U31" s="59">
        <f t="shared" si="9"/>
        <v>0.33105802047781574</v>
      </c>
      <c r="V31" s="42">
        <f t="shared" si="14"/>
        <v>4290</v>
      </c>
      <c r="W31" s="69">
        <f>IFERROR((VLOOKUP($A31,'Из ГУГЛа'!$B:$Z,W$1,0)+Y31)*X31,VLOOKUP($A31,'Из ГУГЛа'!$B:$Z,W$1,0))</f>
        <v>4290</v>
      </c>
      <c r="X31" s="61">
        <v>1</v>
      </c>
      <c r="Y31" s="61">
        <v>0</v>
      </c>
      <c r="Z31" s="70">
        <v>4290</v>
      </c>
      <c r="AA31" s="60" t="s">
        <v>92</v>
      </c>
      <c r="AB31" s="37"/>
    </row>
    <row r="32" spans="1:28" s="38" customFormat="1" ht="30" x14ac:dyDescent="0.25">
      <c r="A32" s="52">
        <v>133219</v>
      </c>
      <c r="B32" s="52">
        <f>VLOOKUP($A32,'Выгр Кат'!$A:$R,B$1,0)</f>
        <v>31297</v>
      </c>
      <c r="C32" s="53" t="str">
        <f>VLOOKUP($A32,'Выгр Кат'!$A:$R,C$1,0)</f>
        <v>Балка бампера заднего (катафорез) "АвтоВАЗ" в сборе для Шевроле Нива</v>
      </c>
      <c r="D32" s="52" t="str">
        <f>VLOOKUP($A32,'Выгр Кат'!$A:$R,D$1,0)</f>
        <v>Y</v>
      </c>
      <c r="E32" s="52" t="str">
        <f>VLOOKUP($A32,'Выгр Кат'!$A:$R,E$1,0)</f>
        <v>1ск1</v>
      </c>
      <c r="F32" s="52" t="str">
        <f>VLOOKUP($A32,'Выгр Кат'!$A:$R,F$1,0)</f>
        <v>21230280414070</v>
      </c>
      <c r="G32" s="52" t="str">
        <f>IF(VLOOKUP($A32,'Выгр Кат'!$A:$R,G$1,0)=0,"",VLOOKUP($A32,'Выгр Кат'!$A:$R,G$1,0))</f>
        <v>https://motorring.ru/product/6522-balka-bampera-zadnego-sbore-kataforeznoe-pokrytie-shevrole</v>
      </c>
      <c r="H32" s="52"/>
      <c r="I32" s="52"/>
      <c r="J32" s="54">
        <f t="shared" si="1"/>
        <v>4276</v>
      </c>
      <c r="K32" s="55">
        <f>VLOOKUP(J32,Наценка!$A$1:$B$8,2,1)</f>
        <v>1.4</v>
      </c>
      <c r="L32" s="56">
        <f t="shared" si="2"/>
        <v>5986.4</v>
      </c>
      <c r="M32" s="57">
        <f t="shared" si="3"/>
        <v>5990</v>
      </c>
      <c r="N32" s="52">
        <f>VLOOKUP($A32,'Выгр Кат'!$A:$R,N$1,0)</f>
        <v>4276</v>
      </c>
      <c r="O32" s="52">
        <f>VLOOKUP($A32,'Выгр Кат'!$A:$R,O$1,0)</f>
        <v>5990</v>
      </c>
      <c r="P32" s="47">
        <f t="shared" si="4"/>
        <v>0</v>
      </c>
      <c r="Q32" s="47">
        <f t="shared" si="5"/>
        <v>0</v>
      </c>
      <c r="R32" s="58">
        <f t="shared" si="6"/>
        <v>5990</v>
      </c>
      <c r="S32" s="59">
        <f t="shared" si="7"/>
        <v>0.4008419083255379</v>
      </c>
      <c r="T32" s="59">
        <f t="shared" si="8"/>
        <v>-7.1556350626118065E-2</v>
      </c>
      <c r="U32" s="59">
        <f t="shared" si="9"/>
        <v>0.30729653882132824</v>
      </c>
      <c r="V32" s="42">
        <f t="shared" si="14"/>
        <v>5590</v>
      </c>
      <c r="W32" s="69">
        <f>IFERROR((VLOOKUP($A32,'Из ГУГЛа'!$B:$Z,W$1,0)+Y32)*X32,VLOOKUP($A32,'Из ГУГЛа'!$B:$Z,W$1,0))</f>
        <v>5590</v>
      </c>
      <c r="X32" s="61">
        <v>1</v>
      </c>
      <c r="Y32" s="61">
        <v>0</v>
      </c>
      <c r="Z32" s="70">
        <v>5590</v>
      </c>
      <c r="AA32" s="60" t="s">
        <v>95</v>
      </c>
      <c r="AB32" s="37"/>
    </row>
    <row r="33" spans="1:28" s="38" customFormat="1" ht="30" x14ac:dyDescent="0.25">
      <c r="A33" s="52">
        <v>133289</v>
      </c>
      <c r="B33" s="52">
        <f>VLOOKUP($A33,'Выгр Кат'!$A:$R,B$1,0)</f>
        <v>32645</v>
      </c>
      <c r="C33" s="53" t="str">
        <f>VLOOKUP($A33,'Выгр Кат'!$A:$R,C$1,0)</f>
        <v>Балка задка верхняя "АвтоВАЗ" для Лада Нива 4x4</v>
      </c>
      <c r="D33" s="52" t="str">
        <f>VLOOKUP($A33,'Выгр Кат'!$A:$R,D$1,0)</f>
        <v>Y</v>
      </c>
      <c r="E33" s="52" t="str">
        <f>VLOOKUP($A33,'Выгр Кат'!$A:$R,E$1,0)</f>
        <v>1</v>
      </c>
      <c r="F33" s="52" t="str">
        <f>VLOOKUP($A33,'Выгр Кат'!$A:$R,F$1,0)</f>
        <v>8450108928</v>
      </c>
      <c r="G33" s="52" t="str">
        <f>IF(VLOOKUP($A33,'Выгр Кат'!$A:$R,G$1,0)=0,"",VLOOKUP($A33,'Выгр Кат'!$A:$R,G$1,0))</f>
        <v/>
      </c>
      <c r="H33" s="52"/>
      <c r="I33" s="52"/>
      <c r="J33" s="54">
        <f t="shared" si="1"/>
        <v>324.38</v>
      </c>
      <c r="K33" s="55">
        <f>VLOOKUP(J33,Наценка!$A$1:$B$8,2,1)</f>
        <v>1.6</v>
      </c>
      <c r="L33" s="56">
        <f t="shared" si="2"/>
        <v>519.00800000000004</v>
      </c>
      <c r="M33" s="57">
        <f t="shared" si="3"/>
        <v>519</v>
      </c>
      <c r="N33" s="52">
        <f>VLOOKUP($A33,'Выгр Кат'!$A:$R,N$1,0)</f>
        <v>324.38</v>
      </c>
      <c r="O33" s="52">
        <f>VLOOKUP($A33,'Выгр Кат'!$A:$R,O$1,0)</f>
        <v>519</v>
      </c>
      <c r="P33" s="47">
        <f t="shared" si="4"/>
        <v>0</v>
      </c>
      <c r="Q33" s="47">
        <f t="shared" si="5"/>
        <v>0</v>
      </c>
      <c r="R33" s="58">
        <f t="shared" si="6"/>
        <v>519</v>
      </c>
      <c r="S33" s="59">
        <f t="shared" si="7"/>
        <v>0.5999753375670509</v>
      </c>
      <c r="T33" s="59" t="str">
        <f t="shared" si="8"/>
        <v/>
      </c>
      <c r="U33" s="59" t="str">
        <f t="shared" si="9"/>
        <v/>
      </c>
      <c r="V33" s="60"/>
      <c r="W33" s="69" t="str">
        <f>IFERROR((VLOOKUP($A33,'Из ГУГЛа'!$B:$Z,W$1,0)+Y33)*X33,VLOOKUP($A33,'Из ГУГЛа'!$B:$Z,W$1,0))</f>
        <v/>
      </c>
      <c r="X33" s="61">
        <v>1</v>
      </c>
      <c r="Y33" s="61">
        <v>0</v>
      </c>
      <c r="Z33" s="62" t="s">
        <v>4170</v>
      </c>
      <c r="AA33" s="60"/>
      <c r="AB33" s="37"/>
    </row>
    <row r="34" spans="1:28" s="38" customFormat="1" ht="30" x14ac:dyDescent="0.25">
      <c r="A34" s="52">
        <v>133300</v>
      </c>
      <c r="B34" s="52">
        <f>VLOOKUP($A34,'Выгр Кат'!$A:$R,B$1,0)</f>
        <v>31387</v>
      </c>
      <c r="C34" s="53" t="str">
        <f>VLOOKUP($A34,'Выгр Кат'!$A:$R,C$1,0)</f>
        <v>Балка крыши "АвтоВАЗ" задняя для ВАЗ 2112</v>
      </c>
      <c r="D34" s="52" t="str">
        <f>VLOOKUP($A34,'Выгр Кат'!$A:$R,D$1,0)</f>
        <v>Y</v>
      </c>
      <c r="E34" s="52" t="str">
        <f>VLOOKUP($A34,'Выгр Кат'!$A:$R,E$1,0)</f>
        <v>1</v>
      </c>
      <c r="F34" s="52" t="str">
        <f>VLOOKUP($A34,'Выгр Кат'!$A:$R,F$1,0)</f>
        <v>21120570112410</v>
      </c>
      <c r="G34" s="52" t="str">
        <f>IF(VLOOKUP($A34,'Выгр Кат'!$A:$R,G$1,0)=0,"",VLOOKUP($A34,'Выгр Кат'!$A:$R,G$1,0))</f>
        <v>https://motorring.ru/product/832-poperechina-kryshi-zadnyaya-vaz-2112</v>
      </c>
      <c r="H34" s="52"/>
      <c r="I34" s="52"/>
      <c r="J34" s="54">
        <f t="shared" si="1"/>
        <v>290</v>
      </c>
      <c r="K34" s="55">
        <f>VLOOKUP(J34,Наценка!$A$1:$B$8,2,1)</f>
        <v>1.8</v>
      </c>
      <c r="L34" s="56">
        <f t="shared" si="2"/>
        <v>522</v>
      </c>
      <c r="M34" s="57">
        <f t="shared" si="3"/>
        <v>529</v>
      </c>
      <c r="N34" s="52">
        <f>VLOOKUP($A34,'Выгр Кат'!$A:$R,N$1,0)</f>
        <v>290</v>
      </c>
      <c r="O34" s="52">
        <f>VLOOKUP($A34,'Выгр Кат'!$A:$R,O$1,0)</f>
        <v>529</v>
      </c>
      <c r="P34" s="47">
        <f t="shared" si="4"/>
        <v>0</v>
      </c>
      <c r="Q34" s="47">
        <f t="shared" si="5"/>
        <v>0</v>
      </c>
      <c r="R34" s="58">
        <f t="shared" si="6"/>
        <v>529</v>
      </c>
      <c r="S34" s="59">
        <f t="shared" si="7"/>
        <v>0.82413793103448274</v>
      </c>
      <c r="T34" s="59">
        <f t="shared" si="8"/>
        <v>-0.17817371937639198</v>
      </c>
      <c r="U34" s="59">
        <f t="shared" si="9"/>
        <v>0.54827586206896561</v>
      </c>
      <c r="V34" s="42">
        <f t="shared" ref="V34:V35" si="15">Z34</f>
        <v>449</v>
      </c>
      <c r="W34" s="69">
        <f>IFERROR((VLOOKUP($A34,'Из ГУГЛа'!$B:$Z,W$1,0)+Y34)*X34,VLOOKUP($A34,'Из ГУГЛа'!$B:$Z,W$1,0))</f>
        <v>449</v>
      </c>
      <c r="X34" s="61">
        <v>1</v>
      </c>
      <c r="Y34" s="61">
        <v>0</v>
      </c>
      <c r="Z34" s="70">
        <v>449</v>
      </c>
      <c r="AA34" s="60" t="s">
        <v>100</v>
      </c>
      <c r="AB34" s="37"/>
    </row>
    <row r="35" spans="1:28" s="38" customFormat="1" ht="30" x14ac:dyDescent="0.25">
      <c r="A35" s="52">
        <v>133301</v>
      </c>
      <c r="B35" s="52">
        <f>VLOOKUP($A35,'Выгр Кат'!$A:$R,B$1,0)</f>
        <v>31261</v>
      </c>
      <c r="C35" s="53" t="str">
        <f>VLOOKUP($A35,'Выгр Кат'!$A:$R,C$1,0)</f>
        <v>Балка крыши "АвтоВАЗ" задняя для Шевроле Нива</v>
      </c>
      <c r="D35" s="52" t="str">
        <f>VLOOKUP($A35,'Выгр Кат'!$A:$R,D$1,0)</f>
        <v>Y</v>
      </c>
      <c r="E35" s="52" t="str">
        <f>VLOOKUP($A35,'Выгр Кат'!$A:$R,E$1,0)</f>
        <v>1</v>
      </c>
      <c r="F35" s="52" t="str">
        <f>VLOOKUP($A35,'Выгр Кат'!$A:$R,F$1,0)</f>
        <v>21230570112000</v>
      </c>
      <c r="G35" s="52" t="str">
        <f>IF(VLOOKUP($A35,'Выгр Кат'!$A:$R,G$1,0)=0,"",VLOOKUP($A35,'Выгр Кат'!$A:$R,G$1,0))</f>
        <v>https://motorring.ru/product/38191-usilitely-kryshi-zadniy-balka-dlya-shevrole-niva</v>
      </c>
      <c r="H35" s="52"/>
      <c r="I35" s="52"/>
      <c r="J35" s="54">
        <f t="shared" si="1"/>
        <v>547</v>
      </c>
      <c r="K35" s="55">
        <f>VLOOKUP(J35,Наценка!$A$1:$B$8,2,1)</f>
        <v>1.55</v>
      </c>
      <c r="L35" s="56">
        <f t="shared" si="2"/>
        <v>847.85</v>
      </c>
      <c r="M35" s="57">
        <f t="shared" si="3"/>
        <v>849</v>
      </c>
      <c r="N35" s="52">
        <f>VLOOKUP($A35,'Выгр Кат'!$A:$R,N$1,0)</f>
        <v>547</v>
      </c>
      <c r="O35" s="52">
        <f>VLOOKUP($A35,'Выгр Кат'!$A:$R,O$1,0)</f>
        <v>849</v>
      </c>
      <c r="P35" s="47">
        <f t="shared" si="4"/>
        <v>0</v>
      </c>
      <c r="Q35" s="47">
        <f t="shared" si="5"/>
        <v>0</v>
      </c>
      <c r="R35" s="58">
        <f t="shared" si="6"/>
        <v>849</v>
      </c>
      <c r="S35" s="59">
        <f t="shared" si="7"/>
        <v>0.55210237659963446</v>
      </c>
      <c r="T35" s="59">
        <f t="shared" si="8"/>
        <v>0.34186046511627904</v>
      </c>
      <c r="U35" s="59">
        <f t="shared" si="9"/>
        <v>1.3583180987202925</v>
      </c>
      <c r="V35" s="42">
        <f t="shared" si="15"/>
        <v>1290</v>
      </c>
      <c r="W35" s="69">
        <f>IFERROR((VLOOKUP($A35,'Из ГУГЛа'!$B:$Z,W$1,0)+Y35)*X35,VLOOKUP($A35,'Из ГУГЛа'!$B:$Z,W$1,0))</f>
        <v>1290</v>
      </c>
      <c r="X35" s="61">
        <v>1</v>
      </c>
      <c r="Y35" s="61">
        <v>0</v>
      </c>
      <c r="Z35" s="70">
        <v>1290</v>
      </c>
      <c r="AA35" s="60" t="s">
        <v>103</v>
      </c>
      <c r="AB35" s="37"/>
    </row>
    <row r="36" spans="1:28" s="38" customFormat="1" ht="30" x14ac:dyDescent="0.25">
      <c r="A36" s="52">
        <v>133302</v>
      </c>
      <c r="B36" s="52">
        <f>VLOOKUP($A36,'Выгр Кат'!$A:$R,B$1,0)</f>
        <v>52994</v>
      </c>
      <c r="C36" s="53" t="str">
        <f>VLOOKUP($A36,'Выгр Кат'!$A:$R,C$1,0)</f>
        <v>Балка крыши "АвтоВАЗ" передняя в сборе для Лада Ларгус, Ларгус FL</v>
      </c>
      <c r="D36" s="52" t="str">
        <f>VLOOKUP($A36,'Выгр Кат'!$A:$R,D$1,0)</f>
        <v>Y</v>
      </c>
      <c r="E36" s="52" t="str">
        <f>VLOOKUP($A36,'Выгр Кат'!$A:$R,E$1,0)</f>
        <v>1ск1</v>
      </c>
      <c r="F36" s="52" t="str">
        <f>VLOOKUP($A36,'Выгр Кат'!$A:$R,F$1,0)</f>
        <v>8450105264</v>
      </c>
      <c r="G36" s="52" t="str">
        <f>IF(VLOOKUP($A36,'Выгр Кат'!$A:$R,G$1,0)=0,"",VLOOKUP($A36,'Выгр Кат'!$A:$R,G$1,0))</f>
        <v/>
      </c>
      <c r="H36" s="52"/>
      <c r="I36" s="52"/>
      <c r="J36" s="54">
        <f t="shared" si="1"/>
        <v>1434</v>
      </c>
      <c r="K36" s="55">
        <f>VLOOKUP(J36,Наценка!$A$1:$B$8,2,1)</f>
        <v>1.5</v>
      </c>
      <c r="L36" s="56">
        <f t="shared" si="2"/>
        <v>2151</v>
      </c>
      <c r="M36" s="57">
        <f t="shared" si="3"/>
        <v>2190</v>
      </c>
      <c r="N36" s="52">
        <f>VLOOKUP($A36,'Выгр Кат'!$A:$R,N$1,0)</f>
        <v>1434</v>
      </c>
      <c r="O36" s="52">
        <f>VLOOKUP($A36,'Выгр Кат'!$A:$R,O$1,0)</f>
        <v>2190</v>
      </c>
      <c r="P36" s="47">
        <f t="shared" si="4"/>
        <v>0</v>
      </c>
      <c r="Q36" s="47">
        <f t="shared" si="5"/>
        <v>0</v>
      </c>
      <c r="R36" s="58">
        <f t="shared" si="6"/>
        <v>2190</v>
      </c>
      <c r="S36" s="59">
        <f t="shared" si="7"/>
        <v>0.5271966527196652</v>
      </c>
      <c r="T36" s="59" t="str">
        <f t="shared" si="8"/>
        <v/>
      </c>
      <c r="U36" s="59" t="str">
        <f t="shared" si="9"/>
        <v/>
      </c>
      <c r="V36" s="60"/>
      <c r="W36" s="69" t="str">
        <f>IFERROR((VLOOKUP($A36,'Из ГУГЛа'!$B:$Z,W$1,0)+Y36)*X36,VLOOKUP($A36,'Из ГУГЛа'!$B:$Z,W$1,0))</f>
        <v/>
      </c>
      <c r="X36" s="61">
        <v>1</v>
      </c>
      <c r="Y36" s="61">
        <v>0</v>
      </c>
      <c r="Z36" s="62" t="s">
        <v>4170</v>
      </c>
      <c r="AA36" s="60"/>
      <c r="AB36" s="37"/>
    </row>
    <row r="37" spans="1:28" ht="30" x14ac:dyDescent="0.25">
      <c r="A37" s="52">
        <v>133303</v>
      </c>
      <c r="B37" s="52">
        <f>VLOOKUP($A37,'Выгр Кат'!$A:$R,B$1,0)</f>
        <v>52755</v>
      </c>
      <c r="C37" s="53" t="str">
        <f>VLOOKUP($A37,'Выгр Кат'!$A:$R,C$1,0)</f>
        <v>Балка крыши "АвтоВАЗ" передняя для Лада Ларгус FL</v>
      </c>
      <c r="D37" s="52" t="str">
        <f>VLOOKUP($A37,'Выгр Кат'!$A:$R,D$1,0)</f>
        <v>Y</v>
      </c>
      <c r="E37" s="52" t="str">
        <f>VLOOKUP($A37,'Выгр Кат'!$A:$R,E$1,0)</f>
        <v>1</v>
      </c>
      <c r="F37" s="52" t="str">
        <f>VLOOKUP($A37,'Выгр Кат'!$A:$R,F$1,0)</f>
        <v>8450013861</v>
      </c>
      <c r="G37" s="52" t="str">
        <f>IF(VLOOKUP($A37,'Выгр Кат'!$A:$R,G$1,0)=0,"",VLOOKUP($A37,'Выгр Кат'!$A:$R,G$1,0))</f>
        <v/>
      </c>
      <c r="H37" s="52"/>
      <c r="I37" s="52"/>
      <c r="J37" s="54">
        <f t="shared" si="1"/>
        <v>5841</v>
      </c>
      <c r="K37" s="55">
        <f>VLOOKUP(J37,Наценка!$A$1:$B$8,2,1)</f>
        <v>1.35</v>
      </c>
      <c r="L37" s="56">
        <f t="shared" si="2"/>
        <v>7885.35</v>
      </c>
      <c r="M37" s="57">
        <f t="shared" si="3"/>
        <v>7890</v>
      </c>
      <c r="N37" s="52">
        <f>VLOOKUP($A37,'Выгр Кат'!$A:$R,N$1,0)</f>
        <v>5841</v>
      </c>
      <c r="O37" s="52">
        <f>VLOOKUP($A37,'Выгр Кат'!$A:$R,O$1,0)</f>
        <v>8190</v>
      </c>
      <c r="P37" s="47">
        <f t="shared" si="4"/>
        <v>0</v>
      </c>
      <c r="Q37" s="47">
        <f t="shared" si="5"/>
        <v>300</v>
      </c>
      <c r="R37" s="58">
        <f t="shared" si="6"/>
        <v>7890</v>
      </c>
      <c r="S37" s="59">
        <f t="shared" si="7"/>
        <v>0.35079609655880839</v>
      </c>
      <c r="T37" s="59" t="str">
        <f t="shared" si="8"/>
        <v/>
      </c>
      <c r="U37" s="59" t="str">
        <f t="shared" si="9"/>
        <v/>
      </c>
      <c r="V37" s="60"/>
      <c r="W37" s="69" t="str">
        <f>IFERROR((VLOOKUP($A37,'Из ГУГЛа'!$B:$Z,W$1,0)+Y37)*X37,VLOOKUP($A37,'Из ГУГЛа'!$B:$Z,W$1,0))</f>
        <v/>
      </c>
      <c r="X37" s="61">
        <v>1</v>
      </c>
      <c r="Y37" s="61">
        <v>0</v>
      </c>
      <c r="Z37" s="62" t="s">
        <v>4170</v>
      </c>
      <c r="AA37" s="60"/>
    </row>
    <row r="38" spans="1:28" ht="30" x14ac:dyDescent="0.25">
      <c r="A38" s="52">
        <v>133304</v>
      </c>
      <c r="B38" s="52">
        <f>VLOOKUP($A38,'Выгр Кат'!$A:$R,B$1,0)</f>
        <v>31400</v>
      </c>
      <c r="C38" s="53" t="str">
        <f>VLOOKUP($A38,'Выгр Кат'!$A:$R,C$1,0)</f>
        <v>Балка крыши (катафорез) "АвтоВАЗ" задняя для ВАЗ 2110</v>
      </c>
      <c r="D38" s="52" t="str">
        <f>VLOOKUP($A38,'Выгр Кат'!$A:$R,D$1,0)</f>
        <v>Y</v>
      </c>
      <c r="E38" s="52" t="str">
        <f>VLOOKUP($A38,'Выгр Кат'!$A:$R,E$1,0)</f>
        <v>1</v>
      </c>
      <c r="F38" s="52" t="str">
        <f>VLOOKUP($A38,'Выгр Кат'!$A:$R,F$1,0)</f>
        <v>21100570112410</v>
      </c>
      <c r="G38" s="52" t="str">
        <f>IF(VLOOKUP($A38,'Выгр Кат'!$A:$R,G$1,0)=0,"",VLOOKUP($A38,'Выгр Кат'!$A:$R,G$1,0))</f>
        <v>https://motorring.ru/product/2425-poperechina-kryshi-zadnyaya-vaz-2110-2111</v>
      </c>
      <c r="H38" s="52"/>
      <c r="I38" s="52"/>
      <c r="J38" s="54">
        <f t="shared" si="1"/>
        <v>104</v>
      </c>
      <c r="K38" s="55">
        <f>VLOOKUP(J38,Наценка!$A$1:$B$8,2,1)</f>
        <v>1.8</v>
      </c>
      <c r="L38" s="56">
        <f t="shared" si="2"/>
        <v>187.20000000000002</v>
      </c>
      <c r="M38" s="57">
        <f t="shared" si="3"/>
        <v>189</v>
      </c>
      <c r="N38" s="52">
        <f>VLOOKUP($A38,'Выгр Кат'!$A:$R,N$1,0)</f>
        <v>104</v>
      </c>
      <c r="O38" s="52">
        <f>VLOOKUP($A38,'Выгр Кат'!$A:$R,O$1,0)</f>
        <v>189</v>
      </c>
      <c r="P38" s="47">
        <f t="shared" si="4"/>
        <v>0</v>
      </c>
      <c r="Q38" s="47">
        <f t="shared" si="5"/>
        <v>0</v>
      </c>
      <c r="R38" s="58">
        <f t="shared" si="6"/>
        <v>189</v>
      </c>
      <c r="S38" s="59">
        <f t="shared" si="7"/>
        <v>0.81730769230769229</v>
      </c>
      <c r="T38" s="59">
        <f t="shared" si="8"/>
        <v>0.61428571428571432</v>
      </c>
      <c r="U38" s="59">
        <f t="shared" si="9"/>
        <v>3.7115384615384617</v>
      </c>
      <c r="V38" s="42">
        <f>Z38</f>
        <v>490</v>
      </c>
      <c r="W38" s="69">
        <f>IFERROR((VLOOKUP($A38,'Из ГУГЛа'!$B:$Z,W$1,0)+Y38)*X38,VLOOKUP($A38,'Из ГУГЛа'!$B:$Z,W$1,0))</f>
        <v>490</v>
      </c>
      <c r="X38" s="61">
        <v>1</v>
      </c>
      <c r="Y38" s="61">
        <v>0</v>
      </c>
      <c r="Z38" s="70">
        <v>490</v>
      </c>
      <c r="AA38" s="60" t="s">
        <v>112</v>
      </c>
    </row>
    <row r="39" spans="1:28" ht="30" x14ac:dyDescent="0.25">
      <c r="A39" s="52">
        <v>133305</v>
      </c>
      <c r="B39" s="52">
        <f>VLOOKUP($A39,'Выгр Кат'!$A:$R,B$1,0)</f>
        <v>31116</v>
      </c>
      <c r="C39" s="53" t="str">
        <f>VLOOKUP($A39,'Выгр Кат'!$A:$R,C$1,0)</f>
        <v>Балка крыши задняя "АвтоВАЗ" в сборе для Лада Веста SW универсал</v>
      </c>
      <c r="D39" s="52" t="str">
        <f>VLOOKUP($A39,'Выгр Кат'!$A:$R,D$1,0)</f>
        <v>Y</v>
      </c>
      <c r="E39" s="52" t="str">
        <f>VLOOKUP($A39,'Выгр Кат'!$A:$R,E$1,0)</f>
        <v>1</v>
      </c>
      <c r="F39" s="52" t="str">
        <f>VLOOKUP($A39,'Выгр Кат'!$A:$R,F$1,0)</f>
        <v>8450102332</v>
      </c>
      <c r="G39" s="52" t="str">
        <f>IF(VLOOKUP($A39,'Выгр Кат'!$A:$R,G$1,0)=0,"",VLOOKUP($A39,'Выгр Кат'!$A:$R,G$1,0))</f>
        <v/>
      </c>
      <c r="H39" s="52"/>
      <c r="I39" s="52"/>
      <c r="J39" s="54">
        <f t="shared" si="1"/>
        <v>3168</v>
      </c>
      <c r="K39" s="55">
        <f>VLOOKUP(J39,Наценка!$A$1:$B$8,2,1)</f>
        <v>1.4</v>
      </c>
      <c r="L39" s="56">
        <f t="shared" si="2"/>
        <v>4435.2</v>
      </c>
      <c r="M39" s="57">
        <f t="shared" si="3"/>
        <v>4490</v>
      </c>
      <c r="N39" s="52">
        <f>VLOOKUP($A39,'Выгр Кат'!$A:$R,N$1,0)</f>
        <v>3168</v>
      </c>
      <c r="O39" s="52">
        <f>VLOOKUP($A39,'Выгр Кат'!$A:$R,O$1,0)</f>
        <v>4490</v>
      </c>
      <c r="P39" s="47">
        <f t="shared" si="4"/>
        <v>0</v>
      </c>
      <c r="Q39" s="47">
        <f t="shared" si="5"/>
        <v>0</v>
      </c>
      <c r="R39" s="58">
        <f t="shared" si="6"/>
        <v>4490</v>
      </c>
      <c r="S39" s="59">
        <f t="shared" si="7"/>
        <v>0.41729797979797989</v>
      </c>
      <c r="T39" s="59" t="str">
        <f t="shared" si="8"/>
        <v/>
      </c>
      <c r="U39" s="59" t="str">
        <f t="shared" si="9"/>
        <v/>
      </c>
      <c r="V39" s="60"/>
      <c r="W39" s="69" t="str">
        <f>IFERROR((VLOOKUP($A39,'Из ГУГЛа'!$B:$Z,W$1,0)+Y39)*X39,VLOOKUP($A39,'Из ГУГЛа'!$B:$Z,W$1,0))</f>
        <v/>
      </c>
      <c r="X39" s="61">
        <v>1</v>
      </c>
      <c r="Y39" s="61">
        <v>0</v>
      </c>
      <c r="Z39" s="62" t="s">
        <v>4170</v>
      </c>
      <c r="AA39" s="60"/>
    </row>
    <row r="40" spans="1:28" ht="45" x14ac:dyDescent="0.25">
      <c r="A40" s="52">
        <v>133306</v>
      </c>
      <c r="B40" s="52">
        <f>VLOOKUP($A40,'Выгр Кат'!$A:$R,B$1,0)</f>
        <v>31264</v>
      </c>
      <c r="C40" s="53" t="str">
        <f>VLOOKUP($A40,'Выгр Кат'!$A:$R,C$1,0)</f>
        <v>Балка крыши нового образца (катафорез) "АвтоВАЗ" передняя в сборе для Шевроле Нива</v>
      </c>
      <c r="D40" s="52" t="str">
        <f>VLOOKUP($A40,'Выгр Кат'!$A:$R,D$1,0)</f>
        <v>Y</v>
      </c>
      <c r="E40" s="52" t="str">
        <f>VLOOKUP($A40,'Выгр Кат'!$A:$R,E$1,0)</f>
        <v>1</v>
      </c>
      <c r="F40" s="52" t="str">
        <f>VLOOKUP($A40,'Выгр Кат'!$A:$R,F$1,0)</f>
        <v>21230570107275</v>
      </c>
      <c r="G40" s="52" t="str">
        <f>IF(VLOOKUP($A40,'Выгр Кат'!$A:$R,G$1,0)=0,"",VLOOKUP($A40,'Выгр Кат'!$A:$R,G$1,0))</f>
        <v/>
      </c>
      <c r="H40" s="52"/>
      <c r="I40" s="52"/>
      <c r="J40" s="54">
        <f t="shared" si="1"/>
        <v>990</v>
      </c>
      <c r="K40" s="55">
        <f>VLOOKUP(J40,Наценка!$A$1:$B$8,2,1)</f>
        <v>1.55</v>
      </c>
      <c r="L40" s="56">
        <f t="shared" si="2"/>
        <v>1534.5</v>
      </c>
      <c r="M40" s="57">
        <f t="shared" si="3"/>
        <v>1590</v>
      </c>
      <c r="N40" s="52">
        <f>VLOOKUP($A40,'Выгр Кат'!$A:$R,N$1,0)</f>
        <v>990</v>
      </c>
      <c r="O40" s="52">
        <f>VLOOKUP($A40,'Выгр Кат'!$A:$R,O$1,0)</f>
        <v>1590</v>
      </c>
      <c r="P40" s="47">
        <f t="shared" si="4"/>
        <v>0</v>
      </c>
      <c r="Q40" s="47">
        <f t="shared" si="5"/>
        <v>0</v>
      </c>
      <c r="R40" s="58">
        <f t="shared" si="6"/>
        <v>1590</v>
      </c>
      <c r="S40" s="59">
        <f t="shared" si="7"/>
        <v>0.60606060606060597</v>
      </c>
      <c r="T40" s="59" t="str">
        <f t="shared" si="8"/>
        <v/>
      </c>
      <c r="U40" s="59" t="str">
        <f t="shared" si="9"/>
        <v/>
      </c>
      <c r="V40" s="60"/>
      <c r="W40" s="69" t="str">
        <f>IFERROR((VLOOKUP($A40,'Из ГУГЛа'!$B:$Z,W$1,0)+Y40)*X40,VLOOKUP($A40,'Из ГУГЛа'!$B:$Z,W$1,0))</f>
        <v/>
      </c>
      <c r="X40" s="61">
        <v>1</v>
      </c>
      <c r="Y40" s="61">
        <v>0</v>
      </c>
      <c r="Z40" s="60" t="s">
        <v>4170</v>
      </c>
      <c r="AA40" s="60"/>
    </row>
    <row r="41" spans="1:28" ht="30" x14ac:dyDescent="0.25">
      <c r="A41" s="52">
        <v>133324</v>
      </c>
      <c r="B41" s="52">
        <f>VLOOKUP($A41,'Выгр Кат'!$A:$R,B$1,0)</f>
        <v>41847</v>
      </c>
      <c r="C41" s="53" t="str">
        <f>VLOOKUP($A41,'Выгр Кат'!$A:$R,C$1,0)</f>
        <v>Балка переднего бампера "АвтоВАЗ" в сборе для Лада Веста NG</v>
      </c>
      <c r="D41" s="52" t="str">
        <f>VLOOKUP($A41,'Выгр Кат'!$A:$R,D$1,0)</f>
        <v>Y</v>
      </c>
      <c r="E41" s="52" t="str">
        <f>VLOOKUP($A41,'Выгр Кат'!$A:$R,E$1,0)</f>
        <v>1</v>
      </c>
      <c r="F41" s="52" t="str">
        <f>VLOOKUP($A41,'Выгр Кат'!$A:$R,F$1,0)</f>
        <v>8450041380</v>
      </c>
      <c r="G41" s="52" t="str">
        <f>IF(VLOOKUP($A41,'Выгр Кат'!$A:$R,G$1,0)=0,"",VLOOKUP($A41,'Выгр Кат'!$A:$R,G$1,0))</f>
        <v>https://motorring.ru/product/36859-balka-perednego-bampera-dlya-lada-vesta-ng</v>
      </c>
      <c r="H41" s="52"/>
      <c r="I41" s="52"/>
      <c r="J41" s="54">
        <f t="shared" si="1"/>
        <v>12800</v>
      </c>
      <c r="K41" s="55">
        <f>VLOOKUP(J41,Наценка!$A$1:$B$8,2,1)</f>
        <v>1.3</v>
      </c>
      <c r="L41" s="56">
        <f t="shared" si="2"/>
        <v>16640</v>
      </c>
      <c r="M41" s="57">
        <f t="shared" si="3"/>
        <v>16690</v>
      </c>
      <c r="N41" s="52">
        <f>VLOOKUP($A41,'Выгр Кат'!$A:$R,N$1,0)</f>
        <v>12800</v>
      </c>
      <c r="O41" s="52">
        <f>VLOOKUP($A41,'Выгр Кат'!$A:$R,O$1,0)</f>
        <v>17990</v>
      </c>
      <c r="P41" s="47">
        <f t="shared" si="4"/>
        <v>0</v>
      </c>
      <c r="Q41" s="47">
        <f t="shared" si="5"/>
        <v>1300</v>
      </c>
      <c r="R41" s="58">
        <f t="shared" si="6"/>
        <v>16690</v>
      </c>
      <c r="S41" s="59">
        <f t="shared" si="7"/>
        <v>0.30390625000000004</v>
      </c>
      <c r="T41" s="59">
        <f t="shared" si="8"/>
        <v>-4.3777360850531584E-2</v>
      </c>
      <c r="U41" s="59">
        <f t="shared" si="9"/>
        <v>0.24921875000000004</v>
      </c>
      <c r="V41" s="42">
        <f t="shared" ref="V41:V43" si="16">Z41</f>
        <v>15990</v>
      </c>
      <c r="W41" s="69">
        <f>IFERROR((VLOOKUP($A41,'Из ГУГЛа'!$B:$Z,W$1,0)+Y41)*X41,VLOOKUP($A41,'Из ГУГЛа'!$B:$Z,W$1,0))</f>
        <v>15990</v>
      </c>
      <c r="X41" s="61">
        <v>1</v>
      </c>
      <c r="Y41" s="61">
        <v>0</v>
      </c>
      <c r="Z41" s="70">
        <v>15990</v>
      </c>
      <c r="AA41" s="60" t="s">
        <v>120</v>
      </c>
    </row>
    <row r="42" spans="1:28" ht="30" x14ac:dyDescent="0.25">
      <c r="A42" s="52">
        <v>133325</v>
      </c>
      <c r="B42" s="52">
        <f>VLOOKUP($A42,'Выгр Кат'!$A:$R,B$1,0)</f>
        <v>51771</v>
      </c>
      <c r="C42" s="53" t="str">
        <f>VLOOKUP($A42,'Выгр Кат'!$A:$R,C$1,0)</f>
        <v>Балка переднего бампера "АвтоВАЗ" в сборе для Лада Ларгус</v>
      </c>
      <c r="D42" s="52" t="str">
        <f>VLOOKUP($A42,'Выгр Кат'!$A:$R,D$1,0)</f>
        <v>Y</v>
      </c>
      <c r="E42" s="52" t="str">
        <f>VLOOKUP($A42,'Выгр Кат'!$A:$R,E$1,0)</f>
        <v>1</v>
      </c>
      <c r="F42" s="52" t="str">
        <f>VLOOKUP($A42,'Выгр Кат'!$A:$R,F$1,0)</f>
        <v>8450013075</v>
      </c>
      <c r="G42" s="52" t="str">
        <f>IF(VLOOKUP($A42,'Выгр Кат'!$A:$R,G$1,0)=0,"",VLOOKUP($A42,'Выгр Кат'!$A:$R,G$1,0))</f>
        <v>https://motorring.ru/product/36878-balka-perednego-bampera-dlya-lada-largus-fl-iks-rey-logan2</v>
      </c>
      <c r="H42" s="52"/>
      <c r="I42" s="52"/>
      <c r="J42" s="54">
        <f t="shared" si="1"/>
        <v>4750</v>
      </c>
      <c r="K42" s="55">
        <f>VLOOKUP(J42,Наценка!$A$1:$B$8,2,1)</f>
        <v>1.4</v>
      </c>
      <c r="L42" s="56">
        <f t="shared" si="2"/>
        <v>6650</v>
      </c>
      <c r="M42" s="57">
        <f t="shared" si="3"/>
        <v>6690</v>
      </c>
      <c r="N42" s="52">
        <f>VLOOKUP($A42,'Выгр Кат'!$A:$R,N$1,0)</f>
        <v>4750</v>
      </c>
      <c r="O42" s="52">
        <f>VLOOKUP($A42,'Выгр Кат'!$A:$R,O$1,0)</f>
        <v>6690</v>
      </c>
      <c r="P42" s="47">
        <f t="shared" si="4"/>
        <v>0</v>
      </c>
      <c r="Q42" s="47">
        <f t="shared" si="5"/>
        <v>0</v>
      </c>
      <c r="R42" s="58">
        <f t="shared" si="6"/>
        <v>6690</v>
      </c>
      <c r="S42" s="59">
        <f t="shared" si="7"/>
        <v>0.40842105263157902</v>
      </c>
      <c r="T42" s="59">
        <f t="shared" si="8"/>
        <v>-6.3593004769475353E-2</v>
      </c>
      <c r="U42" s="59">
        <f t="shared" si="9"/>
        <v>0.3242105263157895</v>
      </c>
      <c r="V42" s="42">
        <f t="shared" si="16"/>
        <v>6290</v>
      </c>
      <c r="W42" s="69">
        <f>IFERROR((VLOOKUP($A42,'Из ГУГЛа'!$B:$Z,W$1,0)+Y42)*X42,VLOOKUP($A42,'Из ГУГЛа'!$B:$Z,W$1,0))</f>
        <v>6290</v>
      </c>
      <c r="X42" s="61">
        <v>1</v>
      </c>
      <c r="Y42" s="61">
        <v>0</v>
      </c>
      <c r="Z42" s="70">
        <v>6290</v>
      </c>
      <c r="AA42" s="60" t="s">
        <v>124</v>
      </c>
    </row>
    <row r="43" spans="1:28" ht="30" x14ac:dyDescent="0.25">
      <c r="A43" s="52">
        <v>133329</v>
      </c>
      <c r="B43" s="52">
        <f>VLOOKUP($A43,'Выгр Кат'!$A:$R,B$1,0)</f>
        <v>6012</v>
      </c>
      <c r="C43" s="53" t="str">
        <f>VLOOKUP($A43,'Выгр Кат'!$A:$R,C$1,0)</f>
        <v>Балка переднего бампера (металлическая) для Шевроле Нива</v>
      </c>
      <c r="D43" s="52" t="str">
        <f>VLOOKUP($A43,'Выгр Кат'!$A:$R,D$1,0)</f>
        <v>Y</v>
      </c>
      <c r="E43" s="52" t="str">
        <f>VLOOKUP($A43,'Выгр Кат'!$A:$R,E$1,0)</f>
        <v>1ск1</v>
      </c>
      <c r="F43" s="52" t="str">
        <f>VLOOKUP($A43,'Выгр Кат'!$A:$R,F$1,0)</f>
        <v>21230280313070</v>
      </c>
      <c r="G43" s="52" t="str">
        <f>IF(VLOOKUP($A43,'Выгр Кат'!$A:$R,G$1,0)=0,"",VLOOKUP($A43,'Выгр Кат'!$A:$R,G$1,0))</f>
        <v>https://motorring.ru/product/6521-balka-bampera-perednego-kataforeznoe-pokrytie-shevrole-niva</v>
      </c>
      <c r="H43" s="52"/>
      <c r="I43" s="52"/>
      <c r="J43" s="54">
        <f t="shared" si="1"/>
        <v>2731</v>
      </c>
      <c r="K43" s="55">
        <f>VLOOKUP(J43,Наценка!$A$1:$B$8,2,1)</f>
        <v>1.4</v>
      </c>
      <c r="L43" s="56">
        <f t="shared" si="2"/>
        <v>3823.3999999999996</v>
      </c>
      <c r="M43" s="57">
        <f t="shared" si="3"/>
        <v>3890</v>
      </c>
      <c r="N43" s="52">
        <f>VLOOKUP($A43,'Выгр Кат'!$A:$R,N$1,0)</f>
        <v>2731</v>
      </c>
      <c r="O43" s="52">
        <f>VLOOKUP($A43,'Выгр Кат'!$A:$R,O$1,0)</f>
        <v>3890</v>
      </c>
      <c r="P43" s="47">
        <f t="shared" si="4"/>
        <v>0</v>
      </c>
      <c r="Q43" s="47">
        <f t="shared" si="5"/>
        <v>0</v>
      </c>
      <c r="R43" s="58">
        <f t="shared" si="6"/>
        <v>3890</v>
      </c>
      <c r="S43" s="59">
        <f t="shared" si="7"/>
        <v>0.4243866715488831</v>
      </c>
      <c r="T43" s="59">
        <f t="shared" si="8"/>
        <v>0</v>
      </c>
      <c r="U43" s="59">
        <f t="shared" si="9"/>
        <v>0.4243866715488831</v>
      </c>
      <c r="V43" s="42">
        <f t="shared" si="16"/>
        <v>3890</v>
      </c>
      <c r="W43" s="69">
        <f>IFERROR((VLOOKUP($A43,'Из ГУГЛа'!$B:$Z,W$1,0)+Y43)*X43,VLOOKUP($A43,'Из ГУГЛа'!$B:$Z,W$1,0))</f>
        <v>3890</v>
      </c>
      <c r="X43" s="61">
        <v>1</v>
      </c>
      <c r="Y43" s="61">
        <v>0</v>
      </c>
      <c r="Z43" s="70">
        <v>3890</v>
      </c>
      <c r="AA43" s="60" t="s">
        <v>127</v>
      </c>
    </row>
    <row r="44" spans="1:28" ht="30" x14ac:dyDescent="0.25">
      <c r="A44" s="52">
        <v>133351</v>
      </c>
      <c r="B44" s="52">
        <f>VLOOKUP($A44,'Выгр Кат'!$A:$R,B$1,0)</f>
        <v>169538</v>
      </c>
      <c r="C44" s="53" t="str">
        <f>VLOOKUP($A44,'Выгр Кат'!$A:$R,C$1,0)</f>
        <v>Бампер "АвтоВАЗ" передний под ПТФ, голый для Лада Веста NG Cross</v>
      </c>
      <c r="D44" s="52" t="str">
        <f>VLOOKUP($A44,'Выгр Кат'!$A:$R,D$1,0)</f>
        <v>Y</v>
      </c>
      <c r="E44" s="52" t="str">
        <f>VLOOKUP($A44,'Выгр Кат'!$A:$R,E$1,0)</f>
        <v>1</v>
      </c>
      <c r="F44" s="52" t="str">
        <f>VLOOKUP($A44,'Выгр Кат'!$A:$R,F$1,0)</f>
        <v>8450040056</v>
      </c>
      <c r="G44" s="52" t="str">
        <f>IF(VLOOKUP($A44,'Выгр Кат'!$A:$R,G$1,0)=0,"",VLOOKUP($A44,'Выгр Кат'!$A:$R,G$1,0))</f>
        <v/>
      </c>
      <c r="H44" s="52"/>
      <c r="I44" s="52"/>
      <c r="J44" s="54">
        <f t="shared" si="1"/>
        <v>6240</v>
      </c>
      <c r="K44" s="55">
        <f>VLOOKUP(J44,Наценка!$A$1:$B$8,2,1)</f>
        <v>1.35</v>
      </c>
      <c r="L44" s="56">
        <f t="shared" si="2"/>
        <v>8424</v>
      </c>
      <c r="M44" s="57">
        <f t="shared" si="3"/>
        <v>8490</v>
      </c>
      <c r="N44" s="52">
        <f>VLOOKUP($A44,'Выгр Кат'!$A:$R,N$1,0)</f>
        <v>6240</v>
      </c>
      <c r="O44" s="52">
        <f>VLOOKUP($A44,'Выгр Кат'!$A:$R,O$1,0)</f>
        <v>8790</v>
      </c>
      <c r="P44" s="47">
        <f t="shared" si="4"/>
        <v>0</v>
      </c>
      <c r="Q44" s="47">
        <f t="shared" si="5"/>
        <v>300</v>
      </c>
      <c r="R44" s="58">
        <f t="shared" si="6"/>
        <v>8490</v>
      </c>
      <c r="S44" s="59">
        <f t="shared" si="7"/>
        <v>0.36057692307692313</v>
      </c>
      <c r="T44" s="59" t="str">
        <f t="shared" si="8"/>
        <v/>
      </c>
      <c r="U44" s="59" t="str">
        <f t="shared" si="9"/>
        <v/>
      </c>
      <c r="V44" s="60"/>
      <c r="W44" s="69" t="str">
        <f>IFERROR((VLOOKUP($A44,'Из ГУГЛа'!$B:$Z,W$1,0)+Y44)*X44,VLOOKUP($A44,'Из ГУГЛа'!$B:$Z,W$1,0))</f>
        <v/>
      </c>
      <c r="X44" s="61">
        <v>1</v>
      </c>
      <c r="Y44" s="61">
        <v>0</v>
      </c>
      <c r="Z44" s="62" t="s">
        <v>4170</v>
      </c>
      <c r="AA44" s="60"/>
    </row>
    <row r="45" spans="1:28" ht="30" x14ac:dyDescent="0.25">
      <c r="A45" s="52">
        <v>357544</v>
      </c>
      <c r="B45" s="52">
        <f>VLOOKUP($A45,'Выгр Кат'!$A:$R,B$1,0)</f>
        <v>357544</v>
      </c>
      <c r="C45" s="53" t="str">
        <f>VLOOKUP($A45,'Выгр Кат'!$A:$R,C$1,0)</f>
        <v>Боковая панель пола "Renault" S.A.S съемная (левая) для Лада Ларгус</v>
      </c>
      <c r="D45" s="52" t="str">
        <f>VLOOKUP($A45,'Выгр Кат'!$A:$R,D$1,0)</f>
        <v>Y</v>
      </c>
      <c r="E45" s="52" t="str">
        <f>VLOOKUP($A45,'Выгр Кат'!$A:$R,E$1,0)</f>
        <v>1</v>
      </c>
      <c r="F45" s="52" t="str">
        <f>VLOOKUP($A45,'Выгр Кат'!$A:$R,F$1,0)</f>
        <v>6001548794</v>
      </c>
      <c r="G45" s="52" t="str">
        <f>IF(VLOOKUP($A45,'Выгр Кат'!$A:$R,G$1,0)=0,"",VLOOKUP($A45,'Выгр Кат'!$A:$R,G$1,0))</f>
        <v/>
      </c>
      <c r="H45" s="52"/>
      <c r="I45" s="52"/>
      <c r="J45" s="54">
        <f t="shared" si="1"/>
        <v>2375</v>
      </c>
      <c r="K45" s="55">
        <f>VLOOKUP(J45,Наценка!$A$1:$B$8,2,1)</f>
        <v>1.4</v>
      </c>
      <c r="L45" s="56">
        <f t="shared" si="2"/>
        <v>3325</v>
      </c>
      <c r="M45" s="57">
        <f t="shared" si="3"/>
        <v>3390</v>
      </c>
      <c r="N45" s="52">
        <f>VLOOKUP($A45,'Выгр Кат'!$A:$R,N$1,0)</f>
        <v>2375</v>
      </c>
      <c r="O45" s="52">
        <f>VLOOKUP($A45,'Выгр Кат'!$A:$R,O$1,0)</f>
        <v>3390</v>
      </c>
      <c r="P45" s="47">
        <f t="shared" si="4"/>
        <v>0</v>
      </c>
      <c r="Q45" s="47">
        <f t="shared" si="5"/>
        <v>0</v>
      </c>
      <c r="R45" s="58">
        <f t="shared" si="6"/>
        <v>3390</v>
      </c>
      <c r="S45" s="59">
        <f t="shared" si="7"/>
        <v>0.42736842105263162</v>
      </c>
      <c r="T45" s="59" t="str">
        <f t="shared" si="8"/>
        <v/>
      </c>
      <c r="U45" s="59" t="str">
        <f t="shared" si="9"/>
        <v/>
      </c>
      <c r="V45" s="60"/>
      <c r="W45" s="69" t="str">
        <f>IFERROR((VLOOKUP($A45,'Из ГУГЛа'!$B:$Z,W$1,0)+Y45)*X45,VLOOKUP($A45,'Из ГУГЛа'!$B:$Z,W$1,0))</f>
        <v/>
      </c>
      <c r="X45" s="61">
        <v>1</v>
      </c>
      <c r="Y45" s="61">
        <v>0</v>
      </c>
      <c r="Z45" s="62" t="s">
        <v>4170</v>
      </c>
      <c r="AA45" s="60"/>
    </row>
    <row r="46" spans="1:28" ht="30" x14ac:dyDescent="0.25">
      <c r="A46" s="52">
        <v>357550</v>
      </c>
      <c r="B46" s="52">
        <f>VLOOKUP($A46,'Выгр Кат'!$A:$R,B$1,0)</f>
        <v>357550</v>
      </c>
      <c r="C46" s="53" t="str">
        <f>VLOOKUP($A46,'Выгр Кат'!$A:$R,C$1,0)</f>
        <v>Боковая панель пола "Renault" S.A.S съемная (правая) для Лада Ларгус</v>
      </c>
      <c r="D46" s="52" t="str">
        <f>VLOOKUP($A46,'Выгр Кат'!$A:$R,D$1,0)</f>
        <v>Y</v>
      </c>
      <c r="E46" s="52" t="str">
        <f>VLOOKUP($A46,'Выгр Кат'!$A:$R,E$1,0)</f>
        <v>1</v>
      </c>
      <c r="F46" s="52" t="str">
        <f>VLOOKUP($A46,'Выгр Кат'!$A:$R,F$1,0)</f>
        <v>6001548795</v>
      </c>
      <c r="G46" s="52" t="str">
        <f>IF(VLOOKUP($A46,'Выгр Кат'!$A:$R,G$1,0)=0,"",VLOOKUP($A46,'Выгр Кат'!$A:$R,G$1,0))</f>
        <v/>
      </c>
      <c r="H46" s="52"/>
      <c r="I46" s="52"/>
      <c r="J46" s="54">
        <f t="shared" si="1"/>
        <v>2375</v>
      </c>
      <c r="K46" s="55">
        <f>VLOOKUP(J46,Наценка!$A$1:$B$8,2,1)</f>
        <v>1.4</v>
      </c>
      <c r="L46" s="56">
        <f t="shared" si="2"/>
        <v>3325</v>
      </c>
      <c r="M46" s="57">
        <f t="shared" si="3"/>
        <v>3390</v>
      </c>
      <c r="N46" s="52">
        <f>VLOOKUP($A46,'Выгр Кат'!$A:$R,N$1,0)</f>
        <v>2375</v>
      </c>
      <c r="O46" s="52">
        <f>VLOOKUP($A46,'Выгр Кат'!$A:$R,O$1,0)</f>
        <v>3390</v>
      </c>
      <c r="P46" s="47">
        <f t="shared" si="4"/>
        <v>0</v>
      </c>
      <c r="Q46" s="47">
        <f t="shared" si="5"/>
        <v>0</v>
      </c>
      <c r="R46" s="58">
        <f t="shared" si="6"/>
        <v>3390</v>
      </c>
      <c r="S46" s="59">
        <f t="shared" si="7"/>
        <v>0.42736842105263162</v>
      </c>
      <c r="T46" s="59" t="str">
        <f t="shared" si="8"/>
        <v/>
      </c>
      <c r="U46" s="59" t="str">
        <f t="shared" si="9"/>
        <v/>
      </c>
      <c r="V46" s="60"/>
      <c r="W46" s="69" t="str">
        <f>IFERROR((VLOOKUP($A46,'Из ГУГЛа'!$B:$Z,W$1,0)+Y46)*X46,VLOOKUP($A46,'Из ГУГЛа'!$B:$Z,W$1,0))</f>
        <v/>
      </c>
      <c r="X46" s="61">
        <v>1</v>
      </c>
      <c r="Y46" s="61">
        <v>0</v>
      </c>
      <c r="Z46" s="62" t="s">
        <v>4170</v>
      </c>
      <c r="AA46" s="60"/>
    </row>
    <row r="47" spans="1:28" ht="30" x14ac:dyDescent="0.25">
      <c r="A47" s="52">
        <v>137073</v>
      </c>
      <c r="B47" s="52">
        <f>VLOOKUP($A47,'Выгр Кат'!$A:$R,B$1,0)</f>
        <v>23523</v>
      </c>
      <c r="C47" s="53" t="str">
        <f>VLOOKUP($A47,'Выгр Кат'!$A:$R,C$1,0)</f>
        <v>Боковина кузова "АвтоВАЗ" (левая) для ВАЗ 2111</v>
      </c>
      <c r="D47" s="52" t="str">
        <f>VLOOKUP($A47,'Выгр Кат'!$A:$R,D$1,0)</f>
        <v>Y</v>
      </c>
      <c r="E47" s="52" t="str">
        <f>VLOOKUP($A47,'Выгр Кат'!$A:$R,E$1,0)</f>
        <v>1</v>
      </c>
      <c r="F47" s="52" t="str">
        <f>VLOOKUP($A47,'Выгр Кат'!$A:$R,F$1,0)</f>
        <v>21110540106100</v>
      </c>
      <c r="G47" s="52" t="str">
        <f>IF(VLOOKUP($A47,'Выгр Кат'!$A:$R,G$1,0)=0,"",VLOOKUP($A47,'Выгр Кат'!$A:$R,G$1,0))</f>
        <v>https://motorring.ru/product/866</v>
      </c>
      <c r="H47" s="52"/>
      <c r="I47" s="52"/>
      <c r="J47" s="54">
        <f t="shared" si="1"/>
        <v>915</v>
      </c>
      <c r="K47" s="55">
        <f>VLOOKUP(J47,Наценка!$A$1:$B$8,2,1)</f>
        <v>1.55</v>
      </c>
      <c r="L47" s="56">
        <f t="shared" si="2"/>
        <v>1418.25</v>
      </c>
      <c r="M47" s="57">
        <f t="shared" si="3"/>
        <v>1490</v>
      </c>
      <c r="N47" s="52">
        <f>VLOOKUP($A47,'Выгр Кат'!$A:$R,N$1,0)</f>
        <v>915</v>
      </c>
      <c r="O47" s="52">
        <f>VLOOKUP($A47,'Выгр Кат'!$A:$R,O$1,0)</f>
        <v>1490</v>
      </c>
      <c r="P47" s="47">
        <f t="shared" si="4"/>
        <v>0</v>
      </c>
      <c r="Q47" s="47">
        <f t="shared" si="5"/>
        <v>0</v>
      </c>
      <c r="R47" s="58">
        <f t="shared" si="6"/>
        <v>1490</v>
      </c>
      <c r="S47" s="59">
        <f t="shared" si="7"/>
        <v>0.62841530054644812</v>
      </c>
      <c r="T47" s="59">
        <f t="shared" si="8"/>
        <v>0.55241814358666264</v>
      </c>
      <c r="U47" s="59">
        <f t="shared" si="9"/>
        <v>2.6382513661202185</v>
      </c>
      <c r="V47" s="42">
        <f>Z47</f>
        <v>3329</v>
      </c>
      <c r="W47" s="69">
        <f>IFERROR((VLOOKUP($A47,'Из ГУГЛа'!$B:$Z,W$1,0)+Y47)*X47,VLOOKUP($A47,'Из ГУГЛа'!$B:$Z,W$1,0))</f>
        <v>3329</v>
      </c>
      <c r="X47" s="61">
        <v>1</v>
      </c>
      <c r="Y47" s="61">
        <v>0</v>
      </c>
      <c r="Z47" s="70">
        <v>3329</v>
      </c>
      <c r="AA47" s="60" t="s">
        <v>136</v>
      </c>
    </row>
    <row r="48" spans="1:28" ht="30" x14ac:dyDescent="0.25">
      <c r="A48" s="52">
        <v>137074</v>
      </c>
      <c r="B48" s="52">
        <f>VLOOKUP($A48,'Выгр Кат'!$A:$R,B$1,0)</f>
        <v>23529</v>
      </c>
      <c r="C48" s="53" t="str">
        <f>VLOOKUP($A48,'Выгр Кат'!$A:$R,C$1,0)</f>
        <v>Боковина кузова "АвтоВАЗ" (правая) для ВАЗ 2111</v>
      </c>
      <c r="D48" s="52" t="str">
        <f>VLOOKUP($A48,'Выгр Кат'!$A:$R,D$1,0)</f>
        <v>Y</v>
      </c>
      <c r="E48" s="52" t="str">
        <f>VLOOKUP($A48,'Выгр Кат'!$A:$R,E$1,0)</f>
        <v>1</v>
      </c>
      <c r="F48" s="52" t="str">
        <f>VLOOKUP($A48,'Выгр Кат'!$A:$R,F$1,0)</f>
        <v>21110540106000</v>
      </c>
      <c r="G48" s="52" t="str">
        <f>IF(VLOOKUP($A48,'Выгр Кат'!$A:$R,G$1,0)=0,"",VLOOKUP($A48,'Выгр Кат'!$A:$R,G$1,0))</f>
        <v/>
      </c>
      <c r="H48" s="52"/>
      <c r="I48" s="52"/>
      <c r="J48" s="54">
        <f t="shared" si="1"/>
        <v>1404</v>
      </c>
      <c r="K48" s="55">
        <f>VLOOKUP(J48,Наценка!$A$1:$B$8,2,1)</f>
        <v>1.5</v>
      </c>
      <c r="L48" s="56">
        <f t="shared" si="2"/>
        <v>2106</v>
      </c>
      <c r="M48" s="57">
        <f t="shared" si="3"/>
        <v>2190</v>
      </c>
      <c r="N48" s="52">
        <f>VLOOKUP($A48,'Выгр Кат'!$A:$R,N$1,0)</f>
        <v>1404</v>
      </c>
      <c r="O48" s="52">
        <f>VLOOKUP($A48,'Выгр Кат'!$A:$R,O$1,0)</f>
        <v>2190</v>
      </c>
      <c r="P48" s="47">
        <f t="shared" si="4"/>
        <v>0</v>
      </c>
      <c r="Q48" s="47">
        <f t="shared" si="5"/>
        <v>0</v>
      </c>
      <c r="R48" s="58">
        <f t="shared" si="6"/>
        <v>2190</v>
      </c>
      <c r="S48" s="59">
        <f t="shared" si="7"/>
        <v>0.55982905982905984</v>
      </c>
      <c r="T48" s="59">
        <f t="shared" si="8"/>
        <v>-0.12365315546434069</v>
      </c>
      <c r="U48" s="59">
        <f t="shared" si="9"/>
        <v>0.38817663817663828</v>
      </c>
      <c r="V48" s="42">
        <f t="shared" ref="V48:V49" si="17">Z48</f>
        <v>1949</v>
      </c>
      <c r="W48" s="69">
        <f>IFERROR((VLOOKUP($A48,'Из ГУГЛа'!$B:$Z,W$1,0)+Y48)*X48,VLOOKUP($A48,'Из ГУГЛа'!$B:$Z,W$1,0))</f>
        <v>1949</v>
      </c>
      <c r="X48" s="61">
        <v>1</v>
      </c>
      <c r="Y48" s="61">
        <v>0</v>
      </c>
      <c r="Z48" s="60">
        <v>1949</v>
      </c>
      <c r="AA48" s="60" t="s">
        <v>4247</v>
      </c>
    </row>
    <row r="49" spans="1:27" ht="45" x14ac:dyDescent="0.25">
      <c r="A49" s="52">
        <v>137075</v>
      </c>
      <c r="B49" s="52">
        <f>VLOOKUP($A49,'Выгр Кат'!$A:$R,B$1,0)</f>
        <v>52985</v>
      </c>
      <c r="C49" s="53" t="str">
        <f>VLOOKUP($A49,'Выгр Кат'!$A:$R,C$1,0)</f>
        <v>Боковина кузова "АвтоВАЗ" заднее левое (под молдинг) для Лада Ларгус Кросс</v>
      </c>
      <c r="D49" s="52" t="str">
        <f>VLOOKUP($A49,'Выгр Кат'!$A:$R,D$1,0)</f>
        <v>Y</v>
      </c>
      <c r="E49" s="52" t="str">
        <f>VLOOKUP($A49,'Выгр Кат'!$A:$R,E$1,0)</f>
        <v>1</v>
      </c>
      <c r="F49" s="52" t="str">
        <f>VLOOKUP($A49,'Выгр Кат'!$A:$R,F$1,0)</f>
        <v>8450090400</v>
      </c>
      <c r="G49" s="52" t="str">
        <f>IF(VLOOKUP($A49,'Выгр Кат'!$A:$R,G$1,0)=0,"",VLOOKUP($A49,'Выгр Кат'!$A:$R,G$1,0))</f>
        <v/>
      </c>
      <c r="H49" s="52"/>
      <c r="I49" s="52"/>
      <c r="J49" s="54">
        <f t="shared" si="1"/>
        <v>11543</v>
      </c>
      <c r="K49" s="55">
        <f>VLOOKUP(J49,Наценка!$A$1:$B$8,2,1)</f>
        <v>1.3</v>
      </c>
      <c r="L49" s="56">
        <f t="shared" si="2"/>
        <v>15005.9</v>
      </c>
      <c r="M49" s="57">
        <f t="shared" si="3"/>
        <v>15090</v>
      </c>
      <c r="N49" s="52">
        <f>VLOOKUP($A49,'Выгр Кат'!$A:$R,N$1,0)</f>
        <v>11543</v>
      </c>
      <c r="O49" s="52">
        <f>VLOOKUP($A49,'Выгр Кат'!$A:$R,O$1,0)</f>
        <v>16190</v>
      </c>
      <c r="P49" s="47">
        <f t="shared" si="4"/>
        <v>0</v>
      </c>
      <c r="Q49" s="47">
        <f t="shared" si="5"/>
        <v>1100</v>
      </c>
      <c r="R49" s="58">
        <f t="shared" si="6"/>
        <v>15090</v>
      </c>
      <c r="S49" s="59">
        <f t="shared" si="7"/>
        <v>0.30728580091830549</v>
      </c>
      <c r="T49" s="59">
        <f t="shared" si="8"/>
        <v>3.2071840923669021E-2</v>
      </c>
      <c r="U49" s="59">
        <f t="shared" si="9"/>
        <v>0.35060209650870666</v>
      </c>
      <c r="V49" s="42">
        <f t="shared" si="17"/>
        <v>15590</v>
      </c>
      <c r="W49" s="69">
        <f>IFERROR((VLOOKUP($A49,'Из ГУГЛа'!$B:$Z,W$1,0)+Y49)*X49,VLOOKUP($A49,'Из ГУГЛа'!$B:$Z,W$1,0))</f>
        <v>15590</v>
      </c>
      <c r="X49" s="61">
        <v>1</v>
      </c>
      <c r="Y49" s="61">
        <v>0</v>
      </c>
      <c r="Z49" s="60">
        <v>15590</v>
      </c>
      <c r="AA49" s="60" t="s">
        <v>4252</v>
      </c>
    </row>
    <row r="50" spans="1:27" ht="45" x14ac:dyDescent="0.25">
      <c r="A50" s="52">
        <v>137076</v>
      </c>
      <c r="B50" s="52">
        <f>VLOOKUP($A50,'Выгр Кат'!$A:$R,B$1,0)</f>
        <v>32515</v>
      </c>
      <c r="C50" s="53" t="str">
        <f>VLOOKUP($A50,'Выгр Кат'!$A:$R,C$1,0)</f>
        <v>Боковина кузова "АвтоВАЗ" левая (катафорез, с отверстиями под молдинг) для Лада Калина 2 Кросс</v>
      </c>
      <c r="D50" s="52" t="str">
        <f>VLOOKUP($A50,'Выгр Кат'!$A:$R,D$1,0)</f>
        <v>Y</v>
      </c>
      <c r="E50" s="52" t="str">
        <f>VLOOKUP($A50,'Выгр Кат'!$A:$R,E$1,0)</f>
        <v>1</v>
      </c>
      <c r="F50" s="52" t="str">
        <f>VLOOKUP($A50,'Выгр Кат'!$A:$R,F$1,0)</f>
        <v>11180540106185</v>
      </c>
      <c r="G50" s="52" t="str">
        <f>IF(VLOOKUP($A50,'Выгр Кат'!$A:$R,G$1,0)=0,"",VLOOKUP($A50,'Выгр Кат'!$A:$R,G$1,0))</f>
        <v/>
      </c>
      <c r="H50" s="52"/>
      <c r="I50" s="52"/>
      <c r="J50" s="54">
        <f t="shared" si="1"/>
        <v>5220</v>
      </c>
      <c r="K50" s="55">
        <f>VLOOKUP(J50,Наценка!$A$1:$B$8,2,1)</f>
        <v>1.35</v>
      </c>
      <c r="L50" s="56">
        <f t="shared" si="2"/>
        <v>7047.0000000000009</v>
      </c>
      <c r="M50" s="57">
        <f t="shared" si="3"/>
        <v>7090</v>
      </c>
      <c r="N50" s="52">
        <f>VLOOKUP($A50,'Выгр Кат'!$A:$R,N$1,0)</f>
        <v>5220</v>
      </c>
      <c r="O50" s="52">
        <f>VLOOKUP($A50,'Выгр Кат'!$A:$R,O$1,0)</f>
        <v>7390</v>
      </c>
      <c r="P50" s="47">
        <f t="shared" si="4"/>
        <v>0</v>
      </c>
      <c r="Q50" s="47">
        <f t="shared" si="5"/>
        <v>300</v>
      </c>
      <c r="R50" s="58">
        <f t="shared" si="6"/>
        <v>7090</v>
      </c>
      <c r="S50" s="59">
        <f t="shared" si="7"/>
        <v>0.35823754789272022</v>
      </c>
      <c r="T50" s="59" t="str">
        <f t="shared" si="8"/>
        <v/>
      </c>
      <c r="U50" s="59" t="str">
        <f t="shared" si="9"/>
        <v/>
      </c>
      <c r="V50" s="60"/>
      <c r="W50" s="69" t="str">
        <f>IFERROR((VLOOKUP($A50,'Из ГУГЛа'!$B:$Z,W$1,0)+Y50)*X50,VLOOKUP($A50,'Из ГУГЛа'!$B:$Z,W$1,0))</f>
        <v/>
      </c>
      <c r="X50" s="61">
        <v>1</v>
      </c>
      <c r="Y50" s="61">
        <v>0</v>
      </c>
      <c r="Z50" s="60" t="s">
        <v>4170</v>
      </c>
      <c r="AA50" s="60"/>
    </row>
    <row r="51" spans="1:27" ht="30" x14ac:dyDescent="0.25">
      <c r="A51" s="52">
        <v>333228</v>
      </c>
      <c r="B51" s="52">
        <f>VLOOKUP($A51,'Выгр Кат'!$A:$R,B$1,0)</f>
        <v>333228</v>
      </c>
      <c r="C51" s="53" t="str">
        <f>VLOOKUP($A51,'Выгр Кат'!$A:$R,C$1,0)</f>
        <v>Боковина кузова "АвтоВАЗ" левая (катафорез) для ВАЗ 2110</v>
      </c>
      <c r="D51" s="52" t="str">
        <f>VLOOKUP($A51,'Выгр Кат'!$A:$R,D$1,0)</f>
        <v>Y</v>
      </c>
      <c r="E51" s="52" t="str">
        <f>VLOOKUP($A51,'Выгр Кат'!$A:$R,E$1,0)</f>
        <v>1</v>
      </c>
      <c r="F51" s="52" t="str">
        <f>VLOOKUP($A51,'Выгр Кат'!$A:$R,F$1,0)</f>
        <v>21110540106100</v>
      </c>
      <c r="G51" s="52" t="str">
        <f>IF(VLOOKUP($A51,'Выгр Кат'!$A:$R,G$1,0)=0,"",VLOOKUP($A51,'Выгр Кат'!$A:$R,G$1,0))</f>
        <v>https://motorring.ru/product/866</v>
      </c>
      <c r="H51" s="52"/>
      <c r="I51" s="52"/>
      <c r="J51" s="54">
        <f t="shared" si="1"/>
        <v>2595</v>
      </c>
      <c r="K51" s="55">
        <f>VLOOKUP(J51,Наценка!$A$1:$B$8,2,1)</f>
        <v>1.4</v>
      </c>
      <c r="L51" s="56">
        <f t="shared" si="2"/>
        <v>3632.9999999999995</v>
      </c>
      <c r="M51" s="57">
        <f t="shared" si="3"/>
        <v>3690</v>
      </c>
      <c r="N51" s="52">
        <f>VLOOKUP($A51,'Выгр Кат'!$A:$R,N$1,0)</f>
        <v>2595</v>
      </c>
      <c r="O51" s="52">
        <f>VLOOKUP($A51,'Выгр Кат'!$A:$R,O$1,0)</f>
        <v>3690</v>
      </c>
      <c r="P51" s="47">
        <f t="shared" si="4"/>
        <v>0</v>
      </c>
      <c r="Q51" s="47">
        <f t="shared" si="5"/>
        <v>0</v>
      </c>
      <c r="R51" s="58">
        <f t="shared" si="6"/>
        <v>3690</v>
      </c>
      <c r="S51" s="59">
        <f t="shared" si="7"/>
        <v>0.42196531791907521</v>
      </c>
      <c r="T51" s="59">
        <f t="shared" si="8"/>
        <v>-0.10844097326524482</v>
      </c>
      <c r="U51" s="59">
        <f t="shared" si="9"/>
        <v>0.28285163776493261</v>
      </c>
      <c r="V51" s="42">
        <f t="shared" ref="V51:V53" si="18">Z51</f>
        <v>3329</v>
      </c>
      <c r="W51" s="69">
        <f>IFERROR((VLOOKUP($A51,'Из ГУГЛа'!$B:$Z,W$1,0)+Y51)*X51,VLOOKUP($A51,'Из ГУГЛа'!$B:$Z,W$1,0))</f>
        <v>3329</v>
      </c>
      <c r="X51" s="61">
        <v>1</v>
      </c>
      <c r="Y51" s="61">
        <v>0</v>
      </c>
      <c r="Z51" s="70">
        <v>3329</v>
      </c>
      <c r="AA51" s="60" t="s">
        <v>136</v>
      </c>
    </row>
    <row r="52" spans="1:27" ht="45" x14ac:dyDescent="0.25">
      <c r="A52" s="52">
        <v>137077</v>
      </c>
      <c r="B52" s="52">
        <f>VLOOKUP($A52,'Выгр Кат'!$A:$R,B$1,0)</f>
        <v>32513</v>
      </c>
      <c r="C52" s="53" t="str">
        <f>VLOOKUP($A52,'Выгр Кат'!$A:$R,C$1,0)</f>
        <v>Боковина кузова "АвтоВАЗ" левая (катафорез) для Лада Калина, Калина 2, Гранта</v>
      </c>
      <c r="D52" s="52" t="str">
        <f>VLOOKUP($A52,'Выгр Кат'!$A:$R,D$1,0)</f>
        <v>Y</v>
      </c>
      <c r="E52" s="52" t="str">
        <f>VLOOKUP($A52,'Выгр Кат'!$A:$R,E$1,0)</f>
        <v>1</v>
      </c>
      <c r="F52" s="52" t="str">
        <f>VLOOKUP($A52,'Выгр Кат'!$A:$R,F$1,0)</f>
        <v>11180540106170</v>
      </c>
      <c r="G52" s="52" t="str">
        <f>IF(VLOOKUP($A52,'Выгр Кат'!$A:$R,G$1,0)=0,"",VLOOKUP($A52,'Выгр Кат'!$A:$R,G$1,0))</f>
        <v>https://motorring.ru/product/16640-bokovina-kuzova-levaya-kataforeznoe-pokrytie-dlya-lada</v>
      </c>
      <c r="H52" s="52"/>
      <c r="I52" s="52"/>
      <c r="J52" s="54">
        <f t="shared" si="1"/>
        <v>5783</v>
      </c>
      <c r="K52" s="55">
        <f>VLOOKUP(J52,Наценка!$A$1:$B$8,2,1)</f>
        <v>1.35</v>
      </c>
      <c r="L52" s="56">
        <f t="shared" si="2"/>
        <v>7807.05</v>
      </c>
      <c r="M52" s="57">
        <f t="shared" si="3"/>
        <v>7890</v>
      </c>
      <c r="N52" s="52">
        <f>VLOOKUP($A52,'Выгр Кат'!$A:$R,N$1,0)</f>
        <v>5783</v>
      </c>
      <c r="O52" s="52">
        <f>VLOOKUP($A52,'Выгр Кат'!$A:$R,O$1,0)</f>
        <v>8090</v>
      </c>
      <c r="P52" s="47">
        <f t="shared" si="4"/>
        <v>0</v>
      </c>
      <c r="Q52" s="47">
        <f t="shared" si="5"/>
        <v>200</v>
      </c>
      <c r="R52" s="58">
        <f t="shared" si="6"/>
        <v>7890</v>
      </c>
      <c r="S52" s="59">
        <f t="shared" si="7"/>
        <v>0.36434376621130893</v>
      </c>
      <c r="T52" s="59">
        <f t="shared" si="8"/>
        <v>4.8250904704463207E-2</v>
      </c>
      <c r="U52" s="59">
        <f t="shared" si="9"/>
        <v>0.4335120179837455</v>
      </c>
      <c r="V52" s="42">
        <f t="shared" si="18"/>
        <v>8290</v>
      </c>
      <c r="W52" s="69">
        <f>IFERROR((VLOOKUP($A52,'Из ГУГЛа'!$B:$Z,W$1,0)+Y52)*X52,VLOOKUP($A52,'Из ГУГЛа'!$B:$Z,W$1,0))</f>
        <v>8290</v>
      </c>
      <c r="X52" s="61">
        <v>1</v>
      </c>
      <c r="Y52" s="61">
        <v>0</v>
      </c>
      <c r="Z52" s="70">
        <v>8290</v>
      </c>
      <c r="AA52" s="60" t="s">
        <v>147</v>
      </c>
    </row>
    <row r="53" spans="1:27" ht="45" x14ac:dyDescent="0.25">
      <c r="A53" s="52">
        <v>137078</v>
      </c>
      <c r="B53" s="52">
        <f>VLOOKUP($A53,'Выгр Кат'!$A:$R,B$1,0)</f>
        <v>46272</v>
      </c>
      <c r="C53" s="53" t="str">
        <f>VLOOKUP($A53,'Выгр Кат'!$A:$R,C$1,0)</f>
        <v>Боковина кузова "АвтоВАЗ" левая (катафорез) для Лада Нива Travel, Шевроле Нива</v>
      </c>
      <c r="D53" s="52" t="str">
        <f>VLOOKUP($A53,'Выгр Кат'!$A:$R,D$1,0)</f>
        <v>Y</v>
      </c>
      <c r="E53" s="52" t="str">
        <f>VLOOKUP($A53,'Выгр Кат'!$A:$R,E$1,0)</f>
        <v>1</v>
      </c>
      <c r="F53" s="52" t="str">
        <f>VLOOKUP($A53,'Выгр Кат'!$A:$R,F$1,0)</f>
        <v>21230540106170</v>
      </c>
      <c r="G53" s="52" t="str">
        <f>IF(VLOOKUP($A53,'Выгр Кат'!$A:$R,G$1,0)=0,"",VLOOKUP($A53,'Выгр Кат'!$A:$R,G$1,0))</f>
        <v>https://motorring.ru/product/38313-bokovina-kuzova-levaya-dlya-shevrole-niva</v>
      </c>
      <c r="H53" s="52"/>
      <c r="I53" s="52"/>
      <c r="J53" s="54">
        <f t="shared" si="1"/>
        <v>8243</v>
      </c>
      <c r="K53" s="55">
        <f>VLOOKUP(J53,Наценка!$A$1:$B$8,2,1)</f>
        <v>1.35</v>
      </c>
      <c r="L53" s="56">
        <f t="shared" si="2"/>
        <v>11128.050000000001</v>
      </c>
      <c r="M53" s="57">
        <f t="shared" si="3"/>
        <v>11190</v>
      </c>
      <c r="N53" s="52">
        <f>VLOOKUP($A53,'Выгр Кат'!$A:$R,N$1,0)</f>
        <v>8243</v>
      </c>
      <c r="O53" s="52">
        <f>VLOOKUP($A53,'Выгр Кат'!$A:$R,O$1,0)</f>
        <v>11190</v>
      </c>
      <c r="P53" s="47">
        <f t="shared" si="4"/>
        <v>0</v>
      </c>
      <c r="Q53" s="47">
        <f t="shared" si="5"/>
        <v>0</v>
      </c>
      <c r="R53" s="58">
        <f t="shared" si="6"/>
        <v>11190</v>
      </c>
      <c r="S53" s="59">
        <f t="shared" si="7"/>
        <v>0.35751546766953779</v>
      </c>
      <c r="T53" s="59">
        <f t="shared" si="8"/>
        <v>-0.15479876160990713</v>
      </c>
      <c r="U53" s="59">
        <f t="shared" si="9"/>
        <v>0.17554288487201264</v>
      </c>
      <c r="V53" s="42">
        <f t="shared" si="18"/>
        <v>9690</v>
      </c>
      <c r="W53" s="69">
        <f>IFERROR((VLOOKUP($A53,'Из ГУГЛа'!$B:$Z,W$1,0)+Y53)*X53,VLOOKUP($A53,'Из ГУГЛа'!$B:$Z,W$1,0))</f>
        <v>9690</v>
      </c>
      <c r="X53" s="61">
        <v>1</v>
      </c>
      <c r="Y53" s="61">
        <v>0</v>
      </c>
      <c r="Z53" s="70">
        <v>9690</v>
      </c>
      <c r="AA53" s="60" t="s">
        <v>151</v>
      </c>
    </row>
    <row r="54" spans="1:27" ht="30" x14ac:dyDescent="0.25">
      <c r="A54" s="52">
        <v>137079</v>
      </c>
      <c r="B54" s="52">
        <f>VLOOKUP($A54,'Выгр Кат'!$A:$R,B$1,0)</f>
        <v>32740</v>
      </c>
      <c r="C54" s="53" t="str">
        <f>VLOOKUP($A54,'Выгр Кат'!$A:$R,C$1,0)</f>
        <v>Боковина кузова "АвтоВАЗ" левая в сборе для Лада Веста седан</v>
      </c>
      <c r="D54" s="52" t="str">
        <f>VLOOKUP($A54,'Выгр Кат'!$A:$R,D$1,0)</f>
        <v>Y</v>
      </c>
      <c r="E54" s="52" t="str">
        <f>VLOOKUP($A54,'Выгр Кат'!$A:$R,E$1,0)</f>
        <v>1</v>
      </c>
      <c r="F54" s="52" t="str">
        <f>VLOOKUP($A54,'Выгр Кат'!$A:$R,F$1,0)</f>
        <v>8450105166</v>
      </c>
      <c r="G54" s="52" t="str">
        <f>IF(VLOOKUP($A54,'Выгр Кат'!$A:$R,G$1,0)=0,"",VLOOKUP($A54,'Выгр Кат'!$A:$R,G$1,0))</f>
        <v/>
      </c>
      <c r="H54" s="52"/>
      <c r="I54" s="52"/>
      <c r="J54" s="54">
        <f t="shared" si="1"/>
        <v>25945</v>
      </c>
      <c r="K54" s="55">
        <f>VLOOKUP(J54,Наценка!$A$1:$B$8,2,1)</f>
        <v>1.3</v>
      </c>
      <c r="L54" s="56">
        <f t="shared" si="2"/>
        <v>33728.5</v>
      </c>
      <c r="M54" s="57">
        <f t="shared" si="3"/>
        <v>33790</v>
      </c>
      <c r="N54" s="52">
        <f>VLOOKUP($A54,'Выгр Кат'!$A:$R,N$1,0)</f>
        <v>25945</v>
      </c>
      <c r="O54" s="52">
        <f>VLOOKUP($A54,'Выгр Кат'!$A:$R,O$1,0)</f>
        <v>36390</v>
      </c>
      <c r="P54" s="47">
        <f t="shared" si="4"/>
        <v>0</v>
      </c>
      <c r="Q54" s="47">
        <f t="shared" si="5"/>
        <v>2600</v>
      </c>
      <c r="R54" s="58">
        <f t="shared" si="6"/>
        <v>33790</v>
      </c>
      <c r="S54" s="59">
        <f t="shared" si="7"/>
        <v>0.30237039892079398</v>
      </c>
      <c r="T54" s="59" t="str">
        <f t="shared" si="8"/>
        <v/>
      </c>
      <c r="U54" s="59" t="str">
        <f t="shared" si="9"/>
        <v/>
      </c>
      <c r="V54" s="60"/>
      <c r="W54" s="69" t="str">
        <f>IFERROR((VLOOKUP($A54,'Из ГУГЛа'!$B:$Z,W$1,0)+Y54)*X54,VLOOKUP($A54,'Из ГУГЛа'!$B:$Z,W$1,0))</f>
        <v/>
      </c>
      <c r="X54" s="61">
        <v>1</v>
      </c>
      <c r="Y54" s="61">
        <v>0</v>
      </c>
      <c r="Z54" s="60" t="s">
        <v>4170</v>
      </c>
      <c r="AA54" s="60"/>
    </row>
    <row r="55" spans="1:27" ht="30" x14ac:dyDescent="0.25">
      <c r="A55" s="52">
        <v>137080</v>
      </c>
      <c r="B55" s="52">
        <f>VLOOKUP($A55,'Выгр Кат'!$A:$R,B$1,0)</f>
        <v>32934</v>
      </c>
      <c r="C55" s="53" t="str">
        <f>VLOOKUP($A55,'Выгр Кат'!$A:$R,C$1,0)</f>
        <v>Боковина кузова "АвтоВАЗ" левая в сборе для Лада Гранта лифтбек</v>
      </c>
      <c r="D55" s="52" t="str">
        <f>VLOOKUP($A55,'Выгр Кат'!$A:$R,D$1,0)</f>
        <v>Y</v>
      </c>
      <c r="E55" s="52" t="str">
        <f>VLOOKUP($A55,'Выгр Кат'!$A:$R,E$1,0)</f>
        <v>0ск1</v>
      </c>
      <c r="F55" s="52" t="str">
        <f>VLOOKUP($A55,'Выгр Кат'!$A:$R,F$1,0)</f>
        <v>21910540001100</v>
      </c>
      <c r="G55" s="52" t="str">
        <f>IF(VLOOKUP($A55,'Выгр Кат'!$A:$R,G$1,0)=0,"",VLOOKUP($A55,'Выгр Кат'!$A:$R,G$1,0))</f>
        <v>https://motorring.ru/product/15217</v>
      </c>
      <c r="H55" s="52"/>
      <c r="I55" s="52"/>
      <c r="J55" s="54">
        <f t="shared" si="1"/>
        <v>10143</v>
      </c>
      <c r="K55" s="55">
        <f>VLOOKUP(J55,Наценка!$A$1:$B$8,2,1)</f>
        <v>1.3</v>
      </c>
      <c r="L55" s="56">
        <f t="shared" si="2"/>
        <v>13185.9</v>
      </c>
      <c r="M55" s="57">
        <f t="shared" si="3"/>
        <v>13190</v>
      </c>
      <c r="N55" s="52">
        <f>VLOOKUP($A55,'Выгр Кат'!$A:$R,N$1,0)</f>
        <v>10143</v>
      </c>
      <c r="O55" s="52">
        <f>VLOOKUP($A55,'Выгр Кат'!$A:$R,O$1,0)</f>
        <v>13190</v>
      </c>
      <c r="P55" s="47">
        <f t="shared" si="4"/>
        <v>0</v>
      </c>
      <c r="Q55" s="47">
        <f t="shared" si="5"/>
        <v>0</v>
      </c>
      <c r="R55" s="58">
        <f t="shared" si="6"/>
        <v>13190</v>
      </c>
      <c r="S55" s="59">
        <f t="shared" si="7"/>
        <v>0.30040421965887809</v>
      </c>
      <c r="T55" s="59">
        <f t="shared" si="8"/>
        <v>0.33211808192819892</v>
      </c>
      <c r="U55" s="59">
        <f t="shared" si="9"/>
        <v>0.94705708370304653</v>
      </c>
      <c r="V55" s="42">
        <f>Z55</f>
        <v>19749</v>
      </c>
      <c r="W55" s="69">
        <f>IFERROR((VLOOKUP($A55,'Из ГУГЛа'!$B:$Z,W$1,0)+Y55)*X55,VLOOKUP($A55,'Из ГУГЛа'!$B:$Z,W$1,0))</f>
        <v>19749</v>
      </c>
      <c r="X55" s="61">
        <v>1</v>
      </c>
      <c r="Y55" s="61">
        <v>0</v>
      </c>
      <c r="Z55" s="70">
        <v>19749</v>
      </c>
      <c r="AA55" s="60" t="s">
        <v>156</v>
      </c>
    </row>
    <row r="56" spans="1:27" ht="30" x14ac:dyDescent="0.25">
      <c r="A56" s="52">
        <v>137081</v>
      </c>
      <c r="B56" s="52">
        <f>VLOOKUP($A56,'Выгр Кат'!$A:$R,B$1,0)</f>
        <v>32768</v>
      </c>
      <c r="C56" s="53" t="str">
        <f>VLOOKUP($A56,'Выгр Кат'!$A:$R,C$1,0)</f>
        <v>Боковина кузова "АвтоВАЗ" левая в сборе для Лада Приора купе</v>
      </c>
      <c r="D56" s="52" t="str">
        <f>VLOOKUP($A56,'Выгр Кат'!$A:$R,D$1,0)</f>
        <v>Y</v>
      </c>
      <c r="E56" s="52" t="str">
        <f>VLOOKUP($A56,'Выгр Кат'!$A:$R,E$1,0)</f>
        <v>1</v>
      </c>
      <c r="F56" s="52" t="str">
        <f>VLOOKUP($A56,'Выгр Кат'!$A:$R,F$1,0)</f>
        <v>21728540001100</v>
      </c>
      <c r="G56" s="52" t="str">
        <f>IF(VLOOKUP($A56,'Выгр Кат'!$A:$R,G$1,0)=0,"",VLOOKUP($A56,'Выгр Кат'!$A:$R,G$1,0))</f>
        <v/>
      </c>
      <c r="H56" s="52"/>
      <c r="I56" s="52"/>
      <c r="J56" s="54">
        <f t="shared" si="1"/>
        <v>31990</v>
      </c>
      <c r="K56" s="55">
        <f>VLOOKUP(J56,Наценка!$A$1:$B$8,2,1)</f>
        <v>1.3</v>
      </c>
      <c r="L56" s="56">
        <f t="shared" si="2"/>
        <v>41587</v>
      </c>
      <c r="M56" s="57">
        <f t="shared" si="3"/>
        <v>41590</v>
      </c>
      <c r="N56" s="52">
        <f>VLOOKUP($A56,'Выгр Кат'!$A:$R,N$1,0)</f>
        <v>31990</v>
      </c>
      <c r="O56" s="52">
        <f>VLOOKUP($A56,'Выгр Кат'!$A:$R,O$1,0)</f>
        <v>44790</v>
      </c>
      <c r="P56" s="47">
        <f t="shared" si="4"/>
        <v>0</v>
      </c>
      <c r="Q56" s="47">
        <f t="shared" si="5"/>
        <v>3200</v>
      </c>
      <c r="R56" s="58">
        <f t="shared" si="6"/>
        <v>41590</v>
      </c>
      <c r="S56" s="59">
        <f t="shared" si="7"/>
        <v>0.3000937793060332</v>
      </c>
      <c r="T56" s="59">
        <f t="shared" si="8"/>
        <v>5.4557854057740399E-2</v>
      </c>
      <c r="U56" s="59">
        <f t="shared" si="9"/>
        <v>0.37511722413254134</v>
      </c>
      <c r="V56" s="42">
        <f t="shared" ref="V56" si="19">Z56</f>
        <v>43990</v>
      </c>
      <c r="W56" s="69">
        <f>IFERROR((VLOOKUP($A56,'Из ГУГЛа'!$B:$Z,W$1,0)+Y56)*X56,VLOOKUP($A56,'Из ГУГЛа'!$B:$Z,W$1,0))</f>
        <v>43990</v>
      </c>
      <c r="X56" s="61">
        <v>1</v>
      </c>
      <c r="Y56" s="61">
        <v>0</v>
      </c>
      <c r="Z56" s="60">
        <v>43990</v>
      </c>
      <c r="AA56" s="60" t="s">
        <v>4250</v>
      </c>
    </row>
    <row r="57" spans="1:27" ht="30" x14ac:dyDescent="0.25">
      <c r="A57" s="52">
        <v>137082</v>
      </c>
      <c r="B57" s="52">
        <f>VLOOKUP($A57,'Выгр Кат'!$A:$R,B$1,0)</f>
        <v>32937</v>
      </c>
      <c r="C57" s="53" t="str">
        <f>VLOOKUP($A57,'Выгр Кат'!$A:$R,C$1,0)</f>
        <v>Боковина кузова "АвтоВАЗ" левая в сборе для Лада Приора универсал</v>
      </c>
      <c r="D57" s="52" t="str">
        <f>VLOOKUP($A57,'Выгр Кат'!$A:$R,D$1,0)</f>
        <v>Y</v>
      </c>
      <c r="E57" s="52" t="str">
        <f>VLOOKUP($A57,'Выгр Кат'!$A:$R,E$1,0)</f>
        <v>1</v>
      </c>
      <c r="F57" s="52" t="str">
        <f>VLOOKUP($A57,'Выгр Кат'!$A:$R,F$1,0)</f>
        <v>21710540001100</v>
      </c>
      <c r="G57" s="52" t="str">
        <f>IF(VLOOKUP($A57,'Выгр Кат'!$A:$R,G$1,0)=0,"",VLOOKUP($A57,'Выгр Кат'!$A:$R,G$1,0))</f>
        <v/>
      </c>
      <c r="H57" s="52"/>
      <c r="I57" s="52"/>
      <c r="J57" s="54">
        <f t="shared" si="1"/>
        <v>8970</v>
      </c>
      <c r="K57" s="55">
        <f>VLOOKUP(J57,Наценка!$A$1:$B$8,2,1)</f>
        <v>1.35</v>
      </c>
      <c r="L57" s="56">
        <f t="shared" si="2"/>
        <v>12109.5</v>
      </c>
      <c r="M57" s="57">
        <f t="shared" si="3"/>
        <v>12190</v>
      </c>
      <c r="N57" s="52">
        <f>VLOOKUP($A57,'Выгр Кат'!$A:$R,N$1,0)</f>
        <v>8970</v>
      </c>
      <c r="O57" s="52">
        <f>VLOOKUP($A57,'Выгр Кат'!$A:$R,O$1,0)</f>
        <v>12590</v>
      </c>
      <c r="P57" s="47">
        <f t="shared" si="4"/>
        <v>0</v>
      </c>
      <c r="Q57" s="47">
        <f t="shared" si="5"/>
        <v>400</v>
      </c>
      <c r="R57" s="58">
        <f t="shared" si="6"/>
        <v>12190</v>
      </c>
      <c r="S57" s="59">
        <f t="shared" si="7"/>
        <v>0.35897435897435903</v>
      </c>
      <c r="T57" s="59" t="str">
        <f t="shared" si="8"/>
        <v/>
      </c>
      <c r="U57" s="59" t="str">
        <f t="shared" si="9"/>
        <v/>
      </c>
      <c r="V57" s="60"/>
      <c r="W57" s="69" t="str">
        <f>IFERROR((VLOOKUP($A57,'Из ГУГЛа'!$B:$Z,W$1,0)+Y57)*X57,VLOOKUP($A57,'Из ГУГЛа'!$B:$Z,W$1,0))</f>
        <v/>
      </c>
      <c r="X57" s="61">
        <v>1</v>
      </c>
      <c r="Y57" s="61">
        <v>0</v>
      </c>
      <c r="Z57" s="60" t="s">
        <v>4170</v>
      </c>
      <c r="AA57" s="60"/>
    </row>
    <row r="58" spans="1:27" ht="30" x14ac:dyDescent="0.25">
      <c r="A58" s="52">
        <v>137083</v>
      </c>
      <c r="B58" s="52">
        <f>VLOOKUP($A58,'Выгр Кат'!$A:$R,B$1,0)</f>
        <v>32759</v>
      </c>
      <c r="C58" s="53" t="str">
        <f>VLOOKUP($A58,'Выгр Кат'!$A:$R,C$1,0)</f>
        <v>Боковина кузова "АвтоВАЗ" левая для Лада XRAY Cross</v>
      </c>
      <c r="D58" s="52" t="str">
        <f>VLOOKUP($A58,'Выгр Кат'!$A:$R,D$1,0)</f>
        <v>Y</v>
      </c>
      <c r="E58" s="52" t="str">
        <f>VLOOKUP($A58,'Выгр Кат'!$A:$R,E$1,0)</f>
        <v>1</v>
      </c>
      <c r="F58" s="52" t="str">
        <f>VLOOKUP($A58,'Выгр Кат'!$A:$R,F$1,0)</f>
        <v>8450105003</v>
      </c>
      <c r="G58" s="52" t="str">
        <f>IF(VLOOKUP($A58,'Выгр Кат'!$A:$R,G$1,0)=0,"",VLOOKUP($A58,'Выгр Кат'!$A:$R,G$1,0))</f>
        <v/>
      </c>
      <c r="H58" s="52"/>
      <c r="I58" s="52"/>
      <c r="J58" s="54">
        <f t="shared" si="1"/>
        <v>16817</v>
      </c>
      <c r="K58" s="55">
        <f>VLOOKUP(J58,Наценка!$A$1:$B$8,2,1)</f>
        <v>1.3</v>
      </c>
      <c r="L58" s="56">
        <f t="shared" si="2"/>
        <v>21862.100000000002</v>
      </c>
      <c r="M58" s="57">
        <f t="shared" si="3"/>
        <v>21890</v>
      </c>
      <c r="N58" s="52">
        <f>VLOOKUP($A58,'Выгр Кат'!$A:$R,N$1,0)</f>
        <v>16817</v>
      </c>
      <c r="O58" s="52">
        <f>VLOOKUP($A58,'Выгр Кат'!$A:$R,O$1,0)</f>
        <v>23590</v>
      </c>
      <c r="P58" s="47">
        <f t="shared" si="4"/>
        <v>0</v>
      </c>
      <c r="Q58" s="47">
        <f t="shared" si="5"/>
        <v>1700</v>
      </c>
      <c r="R58" s="58">
        <f t="shared" si="6"/>
        <v>21890</v>
      </c>
      <c r="S58" s="59">
        <f t="shared" si="7"/>
        <v>0.30165903549979189</v>
      </c>
      <c r="T58" s="59">
        <f t="shared" si="8"/>
        <v>7.5981426762346982E-2</v>
      </c>
      <c r="U58" s="59">
        <f t="shared" si="9"/>
        <v>0.40869358387346133</v>
      </c>
      <c r="V58" s="42">
        <f t="shared" ref="V58" si="20">Z58</f>
        <v>23690</v>
      </c>
      <c r="W58" s="69">
        <f>IFERROR((VLOOKUP($A58,'Из ГУГЛа'!$B:$Z,W$1,0)+Y58)*X58,VLOOKUP($A58,'Из ГУГЛа'!$B:$Z,W$1,0))</f>
        <v>23690</v>
      </c>
      <c r="X58" s="61">
        <v>1</v>
      </c>
      <c r="Y58" s="61">
        <v>0</v>
      </c>
      <c r="Z58" s="60">
        <v>23690</v>
      </c>
      <c r="AA58" s="60" t="s">
        <v>4248</v>
      </c>
    </row>
    <row r="59" spans="1:27" ht="30" x14ac:dyDescent="0.25">
      <c r="A59" s="52">
        <v>137084</v>
      </c>
      <c r="B59" s="52">
        <f>VLOOKUP($A59,'Выгр Кат'!$A:$R,B$1,0)</f>
        <v>32766</v>
      </c>
      <c r="C59" s="53" t="str">
        <f>VLOOKUP($A59,'Выгр Кат'!$A:$R,C$1,0)</f>
        <v>Боковина кузова "АвтоВАЗ" передняя левая для Лада Ларгус</v>
      </c>
      <c r="D59" s="52" t="str">
        <f>VLOOKUP($A59,'Выгр Кат'!$A:$R,D$1,0)</f>
        <v>Y</v>
      </c>
      <c r="E59" s="52" t="str">
        <f>VLOOKUP($A59,'Выгр Кат'!$A:$R,E$1,0)</f>
        <v>1</v>
      </c>
      <c r="F59" s="52" t="str">
        <f>VLOOKUP($A59,'Выгр Кат'!$A:$R,F$1,0)</f>
        <v>760312697R / 8450090403 / 8450013056 / 760311522R</v>
      </c>
      <c r="G59" s="52" t="str">
        <f>IF(VLOOKUP($A59,'Выгр Кат'!$A:$R,G$1,0)=0,"",VLOOKUP($A59,'Выгр Кат'!$A:$R,G$1,0))</f>
        <v/>
      </c>
      <c r="H59" s="52"/>
      <c r="I59" s="52"/>
      <c r="J59" s="54">
        <f t="shared" si="1"/>
        <v>9720</v>
      </c>
      <c r="K59" s="55">
        <f>VLOOKUP(J59,Наценка!$A$1:$B$8,2,1)</f>
        <v>1.35</v>
      </c>
      <c r="L59" s="56">
        <f t="shared" si="2"/>
        <v>13122</v>
      </c>
      <c r="M59" s="57">
        <f t="shared" si="3"/>
        <v>13190</v>
      </c>
      <c r="N59" s="52">
        <f>VLOOKUP($A59,'Выгр Кат'!$A:$R,N$1,0)</f>
        <v>9720</v>
      </c>
      <c r="O59" s="52">
        <f>VLOOKUP($A59,'Выгр Кат'!$A:$R,O$1,0)</f>
        <v>13690</v>
      </c>
      <c r="P59" s="47">
        <f t="shared" si="4"/>
        <v>0</v>
      </c>
      <c r="Q59" s="47">
        <f t="shared" si="5"/>
        <v>500</v>
      </c>
      <c r="R59" s="58">
        <f t="shared" si="6"/>
        <v>13190</v>
      </c>
      <c r="S59" s="59">
        <f t="shared" si="7"/>
        <v>0.35699588477366251</v>
      </c>
      <c r="T59" s="59" t="str">
        <f t="shared" si="8"/>
        <v/>
      </c>
      <c r="U59" s="59" t="str">
        <f t="shared" si="9"/>
        <v/>
      </c>
      <c r="V59" s="60"/>
      <c r="W59" s="69" t="str">
        <f>IFERROR((VLOOKUP($A59,'Из ГУГЛа'!$B:$Z,W$1,0)+Y59)*X59,VLOOKUP($A59,'Из ГУГЛа'!$B:$Z,W$1,0))</f>
        <v/>
      </c>
      <c r="X59" s="61">
        <v>1</v>
      </c>
      <c r="Y59" s="61">
        <v>0</v>
      </c>
      <c r="Z59" s="60" t="s">
        <v>4170</v>
      </c>
      <c r="AA59" s="60"/>
    </row>
    <row r="60" spans="1:27" ht="30" x14ac:dyDescent="0.25">
      <c r="A60" s="52">
        <v>137085</v>
      </c>
      <c r="B60" s="52">
        <f>VLOOKUP($A60,'Выгр Кат'!$A:$R,B$1,0)</f>
        <v>32765</v>
      </c>
      <c r="C60" s="53" t="str">
        <f>VLOOKUP($A60,'Выгр Кат'!$A:$R,C$1,0)</f>
        <v>Боковина кузова "АвтоВАЗ" передняя правая для Лада Ларгус</v>
      </c>
      <c r="D60" s="52" t="str">
        <f>VLOOKUP($A60,'Выгр Кат'!$A:$R,D$1,0)</f>
        <v>Y</v>
      </c>
      <c r="E60" s="52" t="str">
        <f>VLOOKUP($A60,'Выгр Кат'!$A:$R,E$1,0)</f>
        <v>1</v>
      </c>
      <c r="F60" s="52" t="str">
        <f>VLOOKUP($A60,'Выгр Кат'!$A:$R,F$1,0)</f>
        <v>760309989R / 8450013055 / 8450090402 / 760309118R</v>
      </c>
      <c r="G60" s="52" t="str">
        <f>IF(VLOOKUP($A60,'Выгр Кат'!$A:$R,G$1,0)=0,"",VLOOKUP($A60,'Выгр Кат'!$A:$R,G$1,0))</f>
        <v/>
      </c>
      <c r="H60" s="52"/>
      <c r="I60" s="52"/>
      <c r="J60" s="54">
        <f t="shared" si="1"/>
        <v>8973.86</v>
      </c>
      <c r="K60" s="55">
        <f>VLOOKUP(J60,Наценка!$A$1:$B$8,2,1)</f>
        <v>1.35</v>
      </c>
      <c r="L60" s="56">
        <f t="shared" si="2"/>
        <v>12114.711000000001</v>
      </c>
      <c r="M60" s="57">
        <f t="shared" si="3"/>
        <v>12190</v>
      </c>
      <c r="N60" s="52">
        <f>VLOOKUP($A60,'Выгр Кат'!$A:$R,N$1,0)</f>
        <v>8973.86</v>
      </c>
      <c r="O60" s="52">
        <f>VLOOKUP($A60,'Выгр Кат'!$A:$R,O$1,0)</f>
        <v>12190</v>
      </c>
      <c r="P60" s="47">
        <f t="shared" si="4"/>
        <v>0</v>
      </c>
      <c r="Q60" s="47">
        <f t="shared" si="5"/>
        <v>0</v>
      </c>
      <c r="R60" s="58">
        <f t="shared" si="6"/>
        <v>12190</v>
      </c>
      <c r="S60" s="59">
        <f t="shared" si="7"/>
        <v>0.35838981218784327</v>
      </c>
      <c r="T60" s="59" t="str">
        <f t="shared" si="8"/>
        <v/>
      </c>
      <c r="U60" s="59" t="str">
        <f t="shared" si="9"/>
        <v/>
      </c>
      <c r="V60" s="60"/>
      <c r="W60" s="69" t="str">
        <f>IFERROR((VLOOKUP($A60,'Из ГУГЛа'!$B:$Z,W$1,0)+Y60)*X60,VLOOKUP($A60,'Из ГУГЛа'!$B:$Z,W$1,0))</f>
        <v/>
      </c>
      <c r="X60" s="61">
        <v>1</v>
      </c>
      <c r="Y60" s="61">
        <v>0</v>
      </c>
      <c r="Z60" s="60" t="s">
        <v>4170</v>
      </c>
      <c r="AA60" s="60"/>
    </row>
    <row r="61" spans="1:27" ht="30" x14ac:dyDescent="0.25">
      <c r="A61" s="52">
        <v>137086</v>
      </c>
      <c r="B61" s="52">
        <f>VLOOKUP($A61,'Выгр Кат'!$A:$R,B$1,0)</f>
        <v>32539</v>
      </c>
      <c r="C61" s="53" t="str">
        <f>VLOOKUP($A61,'Выгр Кат'!$A:$R,C$1,0)</f>
        <v>Боковина кузова "АвтоВАЗ" правая (катафорез) для ВАЗ 2110</v>
      </c>
      <c r="D61" s="52" t="str">
        <f>VLOOKUP($A61,'Выгр Кат'!$A:$R,D$1,0)</f>
        <v>Y</v>
      </c>
      <c r="E61" s="52" t="str">
        <f>VLOOKUP($A61,'Выгр Кат'!$A:$R,E$1,0)</f>
        <v>1</v>
      </c>
      <c r="F61" s="52" t="str">
        <f>VLOOKUP($A61,'Выгр Кат'!$A:$R,F$1,0)</f>
        <v>21100540106010</v>
      </c>
      <c r="G61" s="52" t="str">
        <f>IF(VLOOKUP($A61,'Выгр Кат'!$A:$R,G$1,0)=0,"",VLOOKUP($A61,'Выгр Кат'!$A:$R,G$1,0))</f>
        <v>https://motorring.ru/product/759</v>
      </c>
      <c r="H61" s="52"/>
      <c r="I61" s="52"/>
      <c r="J61" s="54">
        <f t="shared" si="1"/>
        <v>3676</v>
      </c>
      <c r="K61" s="55">
        <f>VLOOKUP(J61,Наценка!$A$1:$B$8,2,1)</f>
        <v>1.4</v>
      </c>
      <c r="L61" s="56">
        <f t="shared" si="2"/>
        <v>5146.3999999999996</v>
      </c>
      <c r="M61" s="57">
        <f t="shared" si="3"/>
        <v>5190</v>
      </c>
      <c r="N61" s="52">
        <f>VLOOKUP($A61,'Выгр Кат'!$A:$R,N$1,0)</f>
        <v>3676</v>
      </c>
      <c r="O61" s="52">
        <f>VLOOKUP($A61,'Выгр Кат'!$A:$R,O$1,0)</f>
        <v>5190</v>
      </c>
      <c r="P61" s="47">
        <f t="shared" si="4"/>
        <v>0</v>
      </c>
      <c r="Q61" s="47">
        <f t="shared" si="5"/>
        <v>0</v>
      </c>
      <c r="R61" s="58">
        <f t="shared" si="6"/>
        <v>5190</v>
      </c>
      <c r="S61" s="59">
        <f t="shared" si="7"/>
        <v>0.41186071817192604</v>
      </c>
      <c r="T61" s="59">
        <f t="shared" si="8"/>
        <v>-6.1349693251533742E-2</v>
      </c>
      <c r="U61" s="59">
        <f t="shared" si="9"/>
        <v>0.33025027203482038</v>
      </c>
      <c r="V61" s="42">
        <f t="shared" ref="V61:V62" si="21">Z61</f>
        <v>4890</v>
      </c>
      <c r="W61" s="69">
        <f>IFERROR((VLOOKUP($A61,'Из ГУГЛа'!$B:$Z,W$1,0)+Y61)*X61,VLOOKUP($A61,'Из ГУГЛа'!$B:$Z,W$1,0))</f>
        <v>4890</v>
      </c>
      <c r="X61" s="61">
        <v>1</v>
      </c>
      <c r="Y61" s="61">
        <v>0</v>
      </c>
      <c r="Z61" s="70">
        <v>4890</v>
      </c>
      <c r="AA61" s="60" t="s">
        <v>169</v>
      </c>
    </row>
    <row r="62" spans="1:27" ht="45" x14ac:dyDescent="0.25">
      <c r="A62" s="52">
        <v>137087</v>
      </c>
      <c r="B62" s="52">
        <f>VLOOKUP($A62,'Выгр Кат'!$A:$R,B$1,0)</f>
        <v>32512</v>
      </c>
      <c r="C62" s="53" t="str">
        <f>VLOOKUP($A62,'Выгр Кат'!$A:$R,C$1,0)</f>
        <v>Боковина кузова "АвтоВАЗ" правая (катафорез) для Лада Калина, Калина 2, Гранта</v>
      </c>
      <c r="D62" s="52" t="str">
        <f>VLOOKUP($A62,'Выгр Кат'!$A:$R,D$1,0)</f>
        <v>Y</v>
      </c>
      <c r="E62" s="52" t="str">
        <f>VLOOKUP($A62,'Выгр Кат'!$A:$R,E$1,0)</f>
        <v>1</v>
      </c>
      <c r="F62" s="52" t="str">
        <f>VLOOKUP($A62,'Выгр Кат'!$A:$R,F$1,0)</f>
        <v>11180540106070</v>
      </c>
      <c r="G62" s="52" t="str">
        <f>IF(VLOOKUP($A62,'Выгр Кат'!$A:$R,G$1,0)=0,"",VLOOKUP($A62,'Выгр Кат'!$A:$R,G$1,0))</f>
        <v>https://motorring.ru/product/35027-bokovina-kuzova-pravaya-kataforez-lada-kalina-sedan</v>
      </c>
      <c r="H62" s="52"/>
      <c r="I62" s="52"/>
      <c r="J62" s="54">
        <f t="shared" si="1"/>
        <v>5947</v>
      </c>
      <c r="K62" s="55">
        <f>VLOOKUP(J62,Наценка!$A$1:$B$8,2,1)</f>
        <v>1.35</v>
      </c>
      <c r="L62" s="56">
        <f t="shared" si="2"/>
        <v>8028.4500000000007</v>
      </c>
      <c r="M62" s="57">
        <f t="shared" si="3"/>
        <v>8090</v>
      </c>
      <c r="N62" s="52">
        <f>VLOOKUP($A62,'Выгр Кат'!$A:$R,N$1,0)</f>
        <v>5947</v>
      </c>
      <c r="O62" s="52">
        <f>VLOOKUP($A62,'Выгр Кат'!$A:$R,O$1,0)</f>
        <v>8390</v>
      </c>
      <c r="P62" s="47">
        <f t="shared" si="4"/>
        <v>0</v>
      </c>
      <c r="Q62" s="47">
        <f t="shared" si="5"/>
        <v>300</v>
      </c>
      <c r="R62" s="58">
        <f t="shared" si="6"/>
        <v>8090</v>
      </c>
      <c r="S62" s="59">
        <f t="shared" si="7"/>
        <v>0.36034975617958631</v>
      </c>
      <c r="T62" s="59">
        <f t="shared" si="8"/>
        <v>0.11001100110011001</v>
      </c>
      <c r="U62" s="59">
        <f t="shared" si="9"/>
        <v>0.52850176559609885</v>
      </c>
      <c r="V62" s="42">
        <f t="shared" si="21"/>
        <v>9090</v>
      </c>
      <c r="W62" s="69">
        <f>IFERROR((VLOOKUP($A62,'Из ГУГЛа'!$B:$Z,W$1,0)+Y62)*X62,VLOOKUP($A62,'Из ГУГЛа'!$B:$Z,W$1,0))</f>
        <v>9090</v>
      </c>
      <c r="X62" s="61">
        <v>1</v>
      </c>
      <c r="Y62" s="61">
        <v>0</v>
      </c>
      <c r="Z62" s="70">
        <v>9090</v>
      </c>
      <c r="AA62" s="60" t="s">
        <v>172</v>
      </c>
    </row>
    <row r="63" spans="1:27" ht="30" x14ac:dyDescent="0.25">
      <c r="A63" s="52">
        <v>137088</v>
      </c>
      <c r="B63" s="52">
        <f>VLOOKUP($A63,'Выгр Кат'!$A:$R,B$1,0)</f>
        <v>32739</v>
      </c>
      <c r="C63" s="53" t="str">
        <f>VLOOKUP($A63,'Выгр Кат'!$A:$R,C$1,0)</f>
        <v>Боковина кузова "АвтоВАЗ" правая в сборе для Лада Веста седан</v>
      </c>
      <c r="D63" s="52" t="str">
        <f>VLOOKUP($A63,'Выгр Кат'!$A:$R,D$1,0)</f>
        <v>Y</v>
      </c>
      <c r="E63" s="52" t="str">
        <f>VLOOKUP($A63,'Выгр Кат'!$A:$R,E$1,0)</f>
        <v>1</v>
      </c>
      <c r="F63" s="52" t="str">
        <f>VLOOKUP($A63,'Выгр Кат'!$A:$R,F$1,0)</f>
        <v>8450105165</v>
      </c>
      <c r="G63" s="52" t="str">
        <f>IF(VLOOKUP($A63,'Выгр Кат'!$A:$R,G$1,0)=0,"",VLOOKUP($A63,'Выгр Кат'!$A:$R,G$1,0))</f>
        <v/>
      </c>
      <c r="H63" s="52"/>
      <c r="I63" s="52"/>
      <c r="J63" s="54">
        <f t="shared" si="1"/>
        <v>32115</v>
      </c>
      <c r="K63" s="55">
        <f>VLOOKUP(J63,Наценка!$A$1:$B$8,2,1)</f>
        <v>1.3</v>
      </c>
      <c r="L63" s="56">
        <f t="shared" si="2"/>
        <v>41749.5</v>
      </c>
      <c r="M63" s="57">
        <f t="shared" si="3"/>
        <v>41790</v>
      </c>
      <c r="N63" s="52">
        <f>VLOOKUP($A63,'Выгр Кат'!$A:$R,N$1,0)</f>
        <v>32115</v>
      </c>
      <c r="O63" s="52">
        <f>VLOOKUP($A63,'Выгр Кат'!$A:$R,O$1,0)</f>
        <v>44990</v>
      </c>
      <c r="P63" s="47">
        <f t="shared" si="4"/>
        <v>0</v>
      </c>
      <c r="Q63" s="47">
        <f t="shared" si="5"/>
        <v>3200</v>
      </c>
      <c r="R63" s="58">
        <f t="shared" si="6"/>
        <v>41790</v>
      </c>
      <c r="S63" s="59">
        <f t="shared" si="7"/>
        <v>0.30126109294722103</v>
      </c>
      <c r="T63" s="59" t="str">
        <f t="shared" si="8"/>
        <v/>
      </c>
      <c r="U63" s="59" t="str">
        <f t="shared" si="9"/>
        <v/>
      </c>
      <c r="V63" s="60"/>
      <c r="W63" s="69" t="str">
        <f>IFERROR((VLOOKUP($A63,'Из ГУГЛа'!$B:$Z,W$1,0)+Y63)*X63,VLOOKUP($A63,'Из ГУГЛа'!$B:$Z,W$1,0))</f>
        <v/>
      </c>
      <c r="X63" s="61">
        <v>1</v>
      </c>
      <c r="Y63" s="61">
        <v>0</v>
      </c>
      <c r="Z63" s="60" t="s">
        <v>4170</v>
      </c>
      <c r="AA63" s="60"/>
    </row>
    <row r="64" spans="1:27" ht="30" x14ac:dyDescent="0.25">
      <c r="A64" s="52">
        <v>137089</v>
      </c>
      <c r="B64" s="52">
        <f>VLOOKUP($A64,'Выгр Кат'!$A:$R,B$1,0)</f>
        <v>32933</v>
      </c>
      <c r="C64" s="53" t="str">
        <f>VLOOKUP($A64,'Выгр Кат'!$A:$R,C$1,0)</f>
        <v>Боковина кузова "АвтоВАЗ" правая в сборе для Лада Гранта лифтбек</v>
      </c>
      <c r="D64" s="52" t="str">
        <f>VLOOKUP($A64,'Выгр Кат'!$A:$R,D$1,0)</f>
        <v>Y</v>
      </c>
      <c r="E64" s="52" t="str">
        <f>VLOOKUP($A64,'Выгр Кат'!$A:$R,E$1,0)</f>
        <v>1</v>
      </c>
      <c r="F64" s="52" t="str">
        <f>VLOOKUP($A64,'Выгр Кат'!$A:$R,F$1,0)</f>
        <v>21910540001000</v>
      </c>
      <c r="G64" s="52" t="str">
        <f>IF(VLOOKUP($A64,'Выгр Кат'!$A:$R,G$1,0)=0,"",VLOOKUP($A64,'Выгр Кат'!$A:$R,G$1,0))</f>
        <v/>
      </c>
      <c r="H64" s="52"/>
      <c r="I64" s="52"/>
      <c r="J64" s="54">
        <f t="shared" si="1"/>
        <v>10279</v>
      </c>
      <c r="K64" s="55">
        <f>VLOOKUP(J64,Наценка!$A$1:$B$8,2,1)</f>
        <v>1.3</v>
      </c>
      <c r="L64" s="56">
        <f t="shared" si="2"/>
        <v>13362.7</v>
      </c>
      <c r="M64" s="57">
        <f t="shared" si="3"/>
        <v>13390</v>
      </c>
      <c r="N64" s="52">
        <f>VLOOKUP($A64,'Выгр Кат'!$A:$R,N$1,0)</f>
        <v>10279</v>
      </c>
      <c r="O64" s="52">
        <f>VLOOKUP($A64,'Выгр Кат'!$A:$R,O$1,0)</f>
        <v>13390</v>
      </c>
      <c r="P64" s="47">
        <f t="shared" si="4"/>
        <v>0</v>
      </c>
      <c r="Q64" s="47">
        <f t="shared" si="5"/>
        <v>0</v>
      </c>
      <c r="R64" s="58">
        <f t="shared" si="6"/>
        <v>13390</v>
      </c>
      <c r="S64" s="59">
        <f t="shared" si="7"/>
        <v>0.30265590037941426</v>
      </c>
      <c r="T64" s="59">
        <f t="shared" si="8"/>
        <v>0.39928218932256615</v>
      </c>
      <c r="U64" s="59">
        <f t="shared" si="9"/>
        <v>1.1684988812141257</v>
      </c>
      <c r="V64" s="42">
        <f t="shared" ref="V64:V65" si="22">Z64</f>
        <v>22290</v>
      </c>
      <c r="W64" s="69">
        <f>IFERROR((VLOOKUP($A64,'Из ГУГЛа'!$B:$Z,W$1,0)+Y64)*X64,VLOOKUP($A64,'Из ГУГЛа'!$B:$Z,W$1,0))</f>
        <v>22290</v>
      </c>
      <c r="X64" s="61">
        <v>1</v>
      </c>
      <c r="Y64" s="61">
        <v>0</v>
      </c>
      <c r="Z64" s="60">
        <v>22290</v>
      </c>
      <c r="AA64" s="60" t="s">
        <v>4253</v>
      </c>
    </row>
    <row r="65" spans="1:27" ht="30" x14ac:dyDescent="0.25">
      <c r="A65" s="52">
        <v>137090</v>
      </c>
      <c r="B65" s="52">
        <f>VLOOKUP($A65,'Выгр Кат'!$A:$R,B$1,0)</f>
        <v>32767</v>
      </c>
      <c r="C65" s="53" t="str">
        <f>VLOOKUP($A65,'Выгр Кат'!$A:$R,C$1,0)</f>
        <v>Боковина кузова "АвтоВАЗ" правая в сборе для Лада Приора купе</v>
      </c>
      <c r="D65" s="52" t="str">
        <f>VLOOKUP($A65,'Выгр Кат'!$A:$R,D$1,0)</f>
        <v>Y</v>
      </c>
      <c r="E65" s="52" t="str">
        <f>VLOOKUP($A65,'Выгр Кат'!$A:$R,E$1,0)</f>
        <v>1</v>
      </c>
      <c r="F65" s="52" t="str">
        <f>VLOOKUP($A65,'Выгр Кат'!$A:$R,F$1,0)</f>
        <v>21728540001000</v>
      </c>
      <c r="G65" s="52" t="str">
        <f>IF(VLOOKUP($A65,'Выгр Кат'!$A:$R,G$1,0)=0,"",VLOOKUP($A65,'Выгр Кат'!$A:$R,G$1,0))</f>
        <v/>
      </c>
      <c r="H65" s="52"/>
      <c r="I65" s="52"/>
      <c r="J65" s="54">
        <f t="shared" si="1"/>
        <v>31990</v>
      </c>
      <c r="K65" s="55">
        <f>VLOOKUP(J65,Наценка!$A$1:$B$8,2,1)</f>
        <v>1.3</v>
      </c>
      <c r="L65" s="56">
        <f t="shared" si="2"/>
        <v>41587</v>
      </c>
      <c r="M65" s="57">
        <f t="shared" si="3"/>
        <v>41590</v>
      </c>
      <c r="N65" s="52">
        <f>VLOOKUP($A65,'Выгр Кат'!$A:$R,N$1,0)</f>
        <v>31990</v>
      </c>
      <c r="O65" s="52">
        <f>VLOOKUP($A65,'Выгр Кат'!$A:$R,O$1,0)</f>
        <v>44790</v>
      </c>
      <c r="P65" s="47">
        <f t="shared" si="4"/>
        <v>0</v>
      </c>
      <c r="Q65" s="47">
        <f t="shared" si="5"/>
        <v>3200</v>
      </c>
      <c r="R65" s="58">
        <f t="shared" si="6"/>
        <v>41590</v>
      </c>
      <c r="S65" s="59">
        <f t="shared" si="7"/>
        <v>0.3000937793060332</v>
      </c>
      <c r="T65" s="59">
        <f t="shared" si="8"/>
        <v>5.4557854057740399E-2</v>
      </c>
      <c r="U65" s="59">
        <f t="shared" si="9"/>
        <v>0.37511722413254134</v>
      </c>
      <c r="V65" s="42">
        <f t="shared" si="22"/>
        <v>43990</v>
      </c>
      <c r="W65" s="69">
        <f>IFERROR((VLOOKUP($A65,'Из ГУГЛа'!$B:$Z,W$1,0)+Y65)*X65,VLOOKUP($A65,'Из ГУГЛа'!$B:$Z,W$1,0))</f>
        <v>43990</v>
      </c>
      <c r="X65" s="61">
        <v>1</v>
      </c>
      <c r="Y65" s="61">
        <v>0</v>
      </c>
      <c r="Z65" s="60">
        <v>43990</v>
      </c>
      <c r="AA65" s="60" t="s">
        <v>4249</v>
      </c>
    </row>
    <row r="66" spans="1:27" ht="30" x14ac:dyDescent="0.25">
      <c r="A66" s="52">
        <v>137091</v>
      </c>
      <c r="B66" s="52">
        <f>VLOOKUP($A66,'Выгр Кат'!$A:$R,B$1,0)</f>
        <v>32754</v>
      </c>
      <c r="C66" s="53" t="str">
        <f>VLOOKUP($A66,'Выгр Кат'!$A:$R,C$1,0)</f>
        <v>Боковина кузова "АвтоВАЗ" правая для Лада XRAY Cross</v>
      </c>
      <c r="D66" s="52" t="str">
        <f>VLOOKUP($A66,'Выгр Кат'!$A:$R,D$1,0)</f>
        <v>Y</v>
      </c>
      <c r="E66" s="52" t="str">
        <f>VLOOKUP($A66,'Выгр Кат'!$A:$R,E$1,0)</f>
        <v>1</v>
      </c>
      <c r="F66" s="52" t="str">
        <f>VLOOKUP($A66,'Выгр Кат'!$A:$R,F$1,0)</f>
        <v>8450105002</v>
      </c>
      <c r="G66" s="52" t="str">
        <f>IF(VLOOKUP($A66,'Выгр Кат'!$A:$R,G$1,0)=0,"",VLOOKUP($A66,'Выгр Кат'!$A:$R,G$1,0))</f>
        <v/>
      </c>
      <c r="H66" s="52"/>
      <c r="I66" s="52"/>
      <c r="J66" s="54">
        <f t="shared" si="1"/>
        <v>16407</v>
      </c>
      <c r="K66" s="55">
        <f>VLOOKUP(J66,Наценка!$A$1:$B$8,2,1)</f>
        <v>1.3</v>
      </c>
      <c r="L66" s="56">
        <f t="shared" si="2"/>
        <v>21329.100000000002</v>
      </c>
      <c r="M66" s="57">
        <f t="shared" si="3"/>
        <v>21390</v>
      </c>
      <c r="N66" s="52">
        <f>VLOOKUP($A66,'Выгр Кат'!$A:$R,N$1,0)</f>
        <v>16407</v>
      </c>
      <c r="O66" s="52">
        <f>VLOOKUP($A66,'Выгр Кат'!$A:$R,O$1,0)</f>
        <v>22990</v>
      </c>
      <c r="P66" s="47">
        <f t="shared" si="4"/>
        <v>0</v>
      </c>
      <c r="Q66" s="47">
        <f t="shared" si="5"/>
        <v>1600</v>
      </c>
      <c r="R66" s="58">
        <f t="shared" si="6"/>
        <v>21390</v>
      </c>
      <c r="S66" s="59">
        <f t="shared" si="7"/>
        <v>0.30371183031632842</v>
      </c>
      <c r="T66" s="59" t="str">
        <f t="shared" si="8"/>
        <v/>
      </c>
      <c r="U66" s="59" t="str">
        <f t="shared" si="9"/>
        <v/>
      </c>
      <c r="V66" s="60"/>
      <c r="W66" s="69" t="str">
        <f>IFERROR((VLOOKUP($A66,'Из ГУГЛа'!$B:$Z,W$1,0)+Y66)*X66,VLOOKUP($A66,'Из ГУГЛа'!$B:$Z,W$1,0))</f>
        <v/>
      </c>
      <c r="X66" s="61">
        <v>1</v>
      </c>
      <c r="Y66" s="61">
        <v>0</v>
      </c>
      <c r="Z66" s="60" t="s">
        <v>4170</v>
      </c>
      <c r="AA66" s="60"/>
    </row>
    <row r="67" spans="1:27" ht="30" x14ac:dyDescent="0.25">
      <c r="A67" s="52">
        <v>137092</v>
      </c>
      <c r="B67" s="52">
        <f>VLOOKUP($A67,'Выгр Кат'!$A:$R,B$1,0)</f>
        <v>32632</v>
      </c>
      <c r="C67" s="53" t="str">
        <f>VLOOKUP($A67,'Выгр Кат'!$A:$R,C$1,0)</f>
        <v>Боковина кузова (катафорез) "АвтоВАЗ" левая для ВАЗ 2115</v>
      </c>
      <c r="D67" s="52" t="str">
        <f>VLOOKUP($A67,'Выгр Кат'!$A:$R,D$1,0)</f>
        <v>Y</v>
      </c>
      <c r="E67" s="52" t="str">
        <f>VLOOKUP($A67,'Выгр Кат'!$A:$R,E$1,0)</f>
        <v>1</v>
      </c>
      <c r="F67" s="52" t="str">
        <f>VLOOKUP($A67,'Выгр Кат'!$A:$R,F$1,0)</f>
        <v>21150540106110</v>
      </c>
      <c r="G67" s="52" t="str">
        <f>IF(VLOOKUP($A67,'Выгр Кат'!$A:$R,G$1,0)=0,"",VLOOKUP($A67,'Выгр Кат'!$A:$R,G$1,0))</f>
        <v>https://motorring.ru/product/215</v>
      </c>
      <c r="H67" s="52"/>
      <c r="I67" s="52"/>
      <c r="J67" s="54">
        <f t="shared" ref="J67:J123" si="23">N67</f>
        <v>2175</v>
      </c>
      <c r="K67" s="55">
        <f>VLOOKUP(J67,Наценка!$A$1:$B$8,2,1)</f>
        <v>1.4</v>
      </c>
      <c r="L67" s="56">
        <f t="shared" ref="L67:L123" si="24">J67*K67</f>
        <v>3045</v>
      </c>
      <c r="M67" s="57">
        <f t="shared" ref="M67:M123" si="25">IF(L67&lt;=1000,(ROUNDUP(L67,-1)-1),(ROUNDUP(L67,-2)-10))</f>
        <v>3090</v>
      </c>
      <c r="N67" s="52">
        <f>VLOOKUP($A67,'Выгр Кат'!$A:$R,N$1,0)</f>
        <v>2175</v>
      </c>
      <c r="O67" s="52">
        <f>VLOOKUP($A67,'Выгр Кат'!$A:$R,O$1,0)</f>
        <v>3090</v>
      </c>
      <c r="P67" s="47">
        <f t="shared" ref="P67:P123" si="26">N67-J67</f>
        <v>0</v>
      </c>
      <c r="Q67" s="47">
        <f t="shared" ref="Q67:Q123" si="27">O67-M67</f>
        <v>0</v>
      </c>
      <c r="R67" s="58">
        <f t="shared" ref="R67:R123" si="28">IFERROR(ROUND(M67*(1-$R$2),),"")</f>
        <v>3090</v>
      </c>
      <c r="S67" s="59">
        <f t="shared" ref="S67:S123" si="29">IFERROR(R67/J67-1,"")</f>
        <v>0.42068965517241375</v>
      </c>
      <c r="T67" s="59">
        <f t="shared" ref="T67:T123" si="30">IFERROR((V67-R67)/V67,"")</f>
        <v>-0.19305019305019305</v>
      </c>
      <c r="U67" s="59">
        <f t="shared" ref="U67:U123" si="31">IFERROR(IF(V67="","",V67/J67-1),"")</f>
        <v>0.19080459770114944</v>
      </c>
      <c r="V67" s="42">
        <f>Z67</f>
        <v>2590</v>
      </c>
      <c r="W67" s="69">
        <f>IFERROR((VLOOKUP($A67,'Из ГУГЛа'!$B:$Z,W$1,0)+Y67)*X67,VLOOKUP($A67,'Из ГУГЛа'!$B:$Z,W$1,0))</f>
        <v>2590</v>
      </c>
      <c r="X67" s="61">
        <v>1</v>
      </c>
      <c r="Y67" s="61">
        <v>0</v>
      </c>
      <c r="Z67" s="70">
        <v>2590</v>
      </c>
      <c r="AA67" s="60" t="s">
        <v>183</v>
      </c>
    </row>
    <row r="68" spans="1:27" ht="30" x14ac:dyDescent="0.25">
      <c r="A68" s="52">
        <v>137094</v>
      </c>
      <c r="B68" s="52">
        <f>VLOOKUP($A68,'Выгр Кат'!$A:$R,B$1,0)</f>
        <v>32631</v>
      </c>
      <c r="C68" s="53" t="str">
        <f>VLOOKUP($A68,'Выгр Кат'!$A:$R,C$1,0)</f>
        <v>Боковина кузова (катафорез) "АвтоВАЗ" правая для ВАЗ 2115</v>
      </c>
      <c r="D68" s="52" t="str">
        <f>VLOOKUP($A68,'Выгр Кат'!$A:$R,D$1,0)</f>
        <v>Y</v>
      </c>
      <c r="E68" s="52" t="str">
        <f>VLOOKUP($A68,'Выгр Кат'!$A:$R,E$1,0)</f>
        <v>1</v>
      </c>
      <c r="F68" s="52" t="str">
        <f>VLOOKUP($A68,'Выгр Кат'!$A:$R,F$1,0)</f>
        <v>21150540106010</v>
      </c>
      <c r="G68" s="52" t="str">
        <f>IF(VLOOKUP($A68,'Выгр Кат'!$A:$R,G$1,0)=0,"",VLOOKUP($A68,'Выгр Кат'!$A:$R,G$1,0))</f>
        <v/>
      </c>
      <c r="H68" s="52"/>
      <c r="I68" s="52"/>
      <c r="J68" s="54">
        <f t="shared" si="23"/>
        <v>1983</v>
      </c>
      <c r="K68" s="55">
        <f>VLOOKUP(J68,Наценка!$A$1:$B$8,2,1)</f>
        <v>1.5</v>
      </c>
      <c r="L68" s="56">
        <f t="shared" si="24"/>
        <v>2974.5</v>
      </c>
      <c r="M68" s="57">
        <f t="shared" si="25"/>
        <v>2990</v>
      </c>
      <c r="N68" s="52">
        <f>VLOOKUP($A68,'Выгр Кат'!$A:$R,N$1,0)</f>
        <v>1983</v>
      </c>
      <c r="O68" s="52">
        <f>VLOOKUP($A68,'Выгр Кат'!$A:$R,O$1,0)</f>
        <v>2990</v>
      </c>
      <c r="P68" s="47">
        <f t="shared" si="26"/>
        <v>0</v>
      </c>
      <c r="Q68" s="47">
        <f t="shared" si="27"/>
        <v>0</v>
      </c>
      <c r="R68" s="58">
        <f t="shared" si="28"/>
        <v>2990</v>
      </c>
      <c r="S68" s="59">
        <f t="shared" si="29"/>
        <v>0.50781643973777113</v>
      </c>
      <c r="T68" s="59">
        <f t="shared" si="30"/>
        <v>-0.11152416356877323</v>
      </c>
      <c r="U68" s="59">
        <f t="shared" si="31"/>
        <v>0.35653050932929897</v>
      </c>
      <c r="V68" s="42">
        <f t="shared" ref="V68" si="32">Z68</f>
        <v>2690</v>
      </c>
      <c r="W68" s="69">
        <f>IFERROR((VLOOKUP($A68,'Из ГУГЛа'!$B:$Z,W$1,0)+Y68)*X68,VLOOKUP($A68,'Из ГУГЛа'!$B:$Z,W$1,0))</f>
        <v>2690</v>
      </c>
      <c r="X68" s="61">
        <v>1</v>
      </c>
      <c r="Y68" s="61">
        <v>0</v>
      </c>
      <c r="Z68" s="60">
        <v>2690</v>
      </c>
      <c r="AA68" s="60" t="s">
        <v>4251</v>
      </c>
    </row>
    <row r="69" spans="1:27" ht="30" x14ac:dyDescent="0.25">
      <c r="A69" s="52">
        <v>137095</v>
      </c>
      <c r="B69" s="52">
        <f>VLOOKUP($A69,'Выгр Кат'!$A:$R,B$1,0)</f>
        <v>32659</v>
      </c>
      <c r="C69" s="53" t="str">
        <f>VLOOKUP($A69,'Выгр Кат'!$A:$R,C$1,0)</f>
        <v>Боковина кузова (катафорез) "АвтоВАЗ" правая для Шевроле Нива</v>
      </c>
      <c r="D69" s="52" t="str">
        <f>VLOOKUP($A69,'Выгр Кат'!$A:$R,D$1,0)</f>
        <v>Y</v>
      </c>
      <c r="E69" s="52" t="str">
        <f>VLOOKUP($A69,'Выгр Кат'!$A:$R,E$1,0)</f>
        <v>1</v>
      </c>
      <c r="F69" s="52" t="str">
        <f>VLOOKUP($A69,'Выгр Кат'!$A:$R,F$1,0)</f>
        <v>21230540106070</v>
      </c>
      <c r="G69" s="52" t="str">
        <f>IF(VLOOKUP($A69,'Выгр Кат'!$A:$R,G$1,0)=0,"",VLOOKUP($A69,'Выгр Кат'!$A:$R,G$1,0))</f>
        <v>https://motorring.ru/product/38312-bokovina-kuzova-pravaya-dlya-shevrole-niva</v>
      </c>
      <c r="H69" s="52"/>
      <c r="I69" s="52"/>
      <c r="J69" s="54">
        <f t="shared" si="23"/>
        <v>8104</v>
      </c>
      <c r="K69" s="55">
        <f>VLOOKUP(J69,Наценка!$A$1:$B$8,2,1)</f>
        <v>1.35</v>
      </c>
      <c r="L69" s="56">
        <f t="shared" si="24"/>
        <v>10940.400000000001</v>
      </c>
      <c r="M69" s="57">
        <f t="shared" si="25"/>
        <v>10990</v>
      </c>
      <c r="N69" s="52">
        <f>VLOOKUP($A69,'Выгр Кат'!$A:$R,N$1,0)</f>
        <v>8104</v>
      </c>
      <c r="O69" s="52">
        <f>VLOOKUP($A69,'Выгр Кат'!$A:$R,O$1,0)</f>
        <v>11390</v>
      </c>
      <c r="P69" s="47">
        <f t="shared" si="26"/>
        <v>0</v>
      </c>
      <c r="Q69" s="47">
        <f t="shared" si="27"/>
        <v>400</v>
      </c>
      <c r="R69" s="58">
        <f t="shared" si="28"/>
        <v>10990</v>
      </c>
      <c r="S69" s="59">
        <f t="shared" si="29"/>
        <v>0.35612043435340568</v>
      </c>
      <c r="T69" s="59">
        <f t="shared" si="30"/>
        <v>1.7873100983020553E-2</v>
      </c>
      <c r="U69" s="59">
        <f t="shared" si="31"/>
        <v>0.3807996051332676</v>
      </c>
      <c r="V69" s="42">
        <f>Z69</f>
        <v>11190</v>
      </c>
      <c r="W69" s="69">
        <f>IFERROR((VLOOKUP($A69,'Из ГУГЛа'!$B:$Z,W$1,0)+Y69)*X69,VLOOKUP($A69,'Из ГУГЛа'!$B:$Z,W$1,0))</f>
        <v>11190</v>
      </c>
      <c r="X69" s="61">
        <v>1</v>
      </c>
      <c r="Y69" s="61">
        <v>0</v>
      </c>
      <c r="Z69" s="70">
        <v>11190</v>
      </c>
      <c r="AA69" s="60" t="s">
        <v>188</v>
      </c>
    </row>
    <row r="70" spans="1:27" ht="45" x14ac:dyDescent="0.25">
      <c r="A70" s="52">
        <v>137096</v>
      </c>
      <c r="B70" s="52">
        <f>VLOOKUP($A70,'Выгр Кат'!$A:$R,B$1,0)</f>
        <v>31002</v>
      </c>
      <c r="C70" s="53" t="str">
        <f>VLOOKUP($A70,'Выгр Кат'!$A:$R,C$1,0)</f>
        <v>Боковина кузова задняя левая "АвтоВАЗ" глухая для Лада Ларгус фургон</v>
      </c>
      <c r="D70" s="52" t="str">
        <f>VLOOKUP($A70,'Выгр Кат'!$A:$R,D$1,0)</f>
        <v>Y</v>
      </c>
      <c r="E70" s="52" t="str">
        <f>VLOOKUP($A70,'Выгр Кат'!$A:$R,E$1,0)</f>
        <v>1</v>
      </c>
      <c r="F70" s="52" t="str">
        <f>VLOOKUP($A70,'Выгр Кат'!$A:$R,F$1,0)</f>
        <v>8450104265</v>
      </c>
      <c r="G70" s="52" t="str">
        <f>IF(VLOOKUP($A70,'Выгр Кат'!$A:$R,G$1,0)=0,"",VLOOKUP($A70,'Выгр Кат'!$A:$R,G$1,0))</f>
        <v/>
      </c>
      <c r="H70" s="52"/>
      <c r="I70" s="52"/>
      <c r="J70" s="54">
        <f t="shared" si="23"/>
        <v>21080</v>
      </c>
      <c r="K70" s="55">
        <f>VLOOKUP(J70,Наценка!$A$1:$B$8,2,1)</f>
        <v>1.3</v>
      </c>
      <c r="L70" s="56">
        <f t="shared" si="24"/>
        <v>27404</v>
      </c>
      <c r="M70" s="57">
        <f t="shared" si="25"/>
        <v>27490</v>
      </c>
      <c r="N70" s="52">
        <f>VLOOKUP($A70,'Выгр Кат'!$A:$R,N$1,0)</f>
        <v>21080</v>
      </c>
      <c r="O70" s="52">
        <f>VLOOKUP($A70,'Выгр Кат'!$A:$R,O$1,0)</f>
        <v>27490</v>
      </c>
      <c r="P70" s="47">
        <f t="shared" si="26"/>
        <v>0</v>
      </c>
      <c r="Q70" s="47">
        <f t="shared" si="27"/>
        <v>0</v>
      </c>
      <c r="R70" s="58">
        <f t="shared" si="28"/>
        <v>27490</v>
      </c>
      <c r="S70" s="59">
        <f t="shared" si="29"/>
        <v>0.30407969639468702</v>
      </c>
      <c r="T70" s="59" t="str">
        <f t="shared" si="30"/>
        <v/>
      </c>
      <c r="U70" s="59" t="str">
        <f t="shared" si="31"/>
        <v/>
      </c>
      <c r="V70" s="60"/>
      <c r="W70" s="69" t="str">
        <f>IFERROR((VLOOKUP($A70,'Из ГУГЛа'!$B:$Z,W$1,0)+Y70)*X70,VLOOKUP($A70,'Из ГУГЛа'!$B:$Z,W$1,0))</f>
        <v/>
      </c>
      <c r="X70" s="61">
        <v>1</v>
      </c>
      <c r="Y70" s="61">
        <v>0</v>
      </c>
      <c r="Z70" s="60" t="s">
        <v>4170</v>
      </c>
      <c r="AA70" s="60"/>
    </row>
    <row r="71" spans="1:27" ht="30" x14ac:dyDescent="0.25">
      <c r="A71" s="52">
        <v>137097</v>
      </c>
      <c r="B71" s="52">
        <f>VLOOKUP($A71,'Выгр Кат'!$A:$R,B$1,0)</f>
        <v>31001</v>
      </c>
      <c r="C71" s="53" t="str">
        <f>VLOOKUP($A71,'Выгр Кат'!$A:$R,C$1,0)</f>
        <v>Боковина кузова задняя левая "АвтоВАЗ" под стекло для Лада Ларгус</v>
      </c>
      <c r="D71" s="52" t="str">
        <f>VLOOKUP($A71,'Выгр Кат'!$A:$R,D$1,0)</f>
        <v>Y</v>
      </c>
      <c r="E71" s="52" t="str">
        <f>VLOOKUP($A71,'Выгр Кат'!$A:$R,E$1,0)</f>
        <v>1</v>
      </c>
      <c r="F71" s="52" t="str">
        <f>VLOOKUP($A71,'Выгр Кат'!$A:$R,F$1,0)</f>
        <v>8450104266</v>
      </c>
      <c r="G71" s="52" t="str">
        <f>IF(VLOOKUP($A71,'Выгр Кат'!$A:$R,G$1,0)=0,"",VLOOKUP($A71,'Выгр Кат'!$A:$R,G$1,0))</f>
        <v/>
      </c>
      <c r="H71" s="52"/>
      <c r="I71" s="52"/>
      <c r="J71" s="54">
        <f t="shared" si="23"/>
        <v>21932</v>
      </c>
      <c r="K71" s="55">
        <f>VLOOKUP(J71,Наценка!$A$1:$B$8,2,1)</f>
        <v>1.3</v>
      </c>
      <c r="L71" s="56">
        <f t="shared" si="24"/>
        <v>28511.600000000002</v>
      </c>
      <c r="M71" s="57">
        <f t="shared" si="25"/>
        <v>28590</v>
      </c>
      <c r="N71" s="52">
        <f>VLOOKUP($A71,'Выгр Кат'!$A:$R,N$1,0)</f>
        <v>21932</v>
      </c>
      <c r="O71" s="52">
        <f>VLOOKUP($A71,'Выгр Кат'!$A:$R,O$1,0)</f>
        <v>30790</v>
      </c>
      <c r="P71" s="47">
        <f t="shared" si="26"/>
        <v>0</v>
      </c>
      <c r="Q71" s="47">
        <f t="shared" si="27"/>
        <v>2200</v>
      </c>
      <c r="R71" s="58">
        <f t="shared" si="28"/>
        <v>28590</v>
      </c>
      <c r="S71" s="59">
        <f t="shared" si="29"/>
        <v>0.30357468539120913</v>
      </c>
      <c r="T71" s="59" t="str">
        <f t="shared" si="30"/>
        <v/>
      </c>
      <c r="U71" s="59" t="str">
        <f t="shared" si="31"/>
        <v/>
      </c>
      <c r="V71" s="60"/>
      <c r="W71" s="69" t="str">
        <f>IFERROR((VLOOKUP($A71,'Из ГУГЛа'!$B:$Z,W$1,0)+Y71)*X71,VLOOKUP($A71,'Из ГУГЛа'!$B:$Z,W$1,0))</f>
        <v/>
      </c>
      <c r="X71" s="61">
        <v>1</v>
      </c>
      <c r="Y71" s="61">
        <v>0</v>
      </c>
      <c r="Z71" s="60" t="s">
        <v>4170</v>
      </c>
      <c r="AA71" s="60"/>
    </row>
    <row r="72" spans="1:27" ht="45" x14ac:dyDescent="0.25">
      <c r="A72" s="52">
        <v>137098</v>
      </c>
      <c r="B72" s="52">
        <f>VLOOKUP($A72,'Выгр Кат'!$A:$R,B$1,0)</f>
        <v>31003</v>
      </c>
      <c r="C72" s="53" t="str">
        <f>VLOOKUP($A72,'Выгр Кат'!$A:$R,C$1,0)</f>
        <v>Боковина кузова задняя правая "АвтоВАЗ" глухая для Лада Ларгус фургон</v>
      </c>
      <c r="D72" s="52" t="str">
        <f>VLOOKUP($A72,'Выгр Кат'!$A:$R,D$1,0)</f>
        <v>Y</v>
      </c>
      <c r="E72" s="52" t="str">
        <f>VLOOKUP($A72,'Выгр Кат'!$A:$R,E$1,0)</f>
        <v>1</v>
      </c>
      <c r="F72" s="52" t="str">
        <f>VLOOKUP($A72,'Выгр Кат'!$A:$R,F$1,0)</f>
        <v>8450104264</v>
      </c>
      <c r="G72" s="52" t="str">
        <f>IF(VLOOKUP($A72,'Выгр Кат'!$A:$R,G$1,0)=0,"",VLOOKUP($A72,'Выгр Кат'!$A:$R,G$1,0))</f>
        <v/>
      </c>
      <c r="H72" s="52"/>
      <c r="I72" s="52"/>
      <c r="J72" s="54">
        <f t="shared" si="23"/>
        <v>26301</v>
      </c>
      <c r="K72" s="55">
        <f>VLOOKUP(J72,Наценка!$A$1:$B$8,2,1)</f>
        <v>1.3</v>
      </c>
      <c r="L72" s="56">
        <f t="shared" si="24"/>
        <v>34191.300000000003</v>
      </c>
      <c r="M72" s="57">
        <f t="shared" si="25"/>
        <v>34190</v>
      </c>
      <c r="N72" s="52">
        <f>VLOOKUP($A72,'Выгр Кат'!$A:$R,N$1,0)</f>
        <v>26301</v>
      </c>
      <c r="O72" s="52">
        <f>VLOOKUP($A72,'Выгр Кат'!$A:$R,O$1,0)</f>
        <v>36890</v>
      </c>
      <c r="P72" s="47">
        <f t="shared" si="26"/>
        <v>0</v>
      </c>
      <c r="Q72" s="47">
        <f t="shared" si="27"/>
        <v>2700</v>
      </c>
      <c r="R72" s="58">
        <f t="shared" si="28"/>
        <v>34190</v>
      </c>
      <c r="S72" s="59">
        <f t="shared" si="29"/>
        <v>0.2999505722215885</v>
      </c>
      <c r="T72" s="59" t="str">
        <f t="shared" si="30"/>
        <v/>
      </c>
      <c r="U72" s="59" t="str">
        <f t="shared" si="31"/>
        <v/>
      </c>
      <c r="V72" s="60"/>
      <c r="W72" s="69" t="str">
        <f>IFERROR((VLOOKUP($A72,'Из ГУГЛа'!$B:$Z,W$1,0)+Y72)*X72,VLOOKUP($A72,'Из ГУГЛа'!$B:$Z,W$1,0))</f>
        <v/>
      </c>
      <c r="X72" s="61">
        <v>1</v>
      </c>
      <c r="Y72" s="61">
        <v>0</v>
      </c>
      <c r="Z72" s="60" t="s">
        <v>4170</v>
      </c>
      <c r="AA72" s="60"/>
    </row>
    <row r="73" spans="1:27" ht="30" x14ac:dyDescent="0.25">
      <c r="A73" s="52">
        <v>137099</v>
      </c>
      <c r="B73" s="52">
        <f>VLOOKUP($A73,'Выгр Кат'!$A:$R,B$1,0)</f>
        <v>31000</v>
      </c>
      <c r="C73" s="53" t="str">
        <f>VLOOKUP($A73,'Выгр Кат'!$A:$R,C$1,0)</f>
        <v>Боковина кузова задняя правая "АвтоВАЗ" под стекло для Лада Ларгус</v>
      </c>
      <c r="D73" s="52" t="str">
        <f>VLOOKUP($A73,'Выгр Кат'!$A:$R,D$1,0)</f>
        <v>Y</v>
      </c>
      <c r="E73" s="52" t="str">
        <f>VLOOKUP($A73,'Выгр Кат'!$A:$R,E$1,0)</f>
        <v>1</v>
      </c>
      <c r="F73" s="52" t="str">
        <f>VLOOKUP($A73,'Выгр Кат'!$A:$R,F$1,0)</f>
        <v>8450104267</v>
      </c>
      <c r="G73" s="52" t="str">
        <f>IF(VLOOKUP($A73,'Выгр Кат'!$A:$R,G$1,0)=0,"",VLOOKUP($A73,'Выгр Кат'!$A:$R,G$1,0))</f>
        <v/>
      </c>
      <c r="H73" s="52"/>
      <c r="I73" s="52"/>
      <c r="J73" s="54">
        <f t="shared" si="23"/>
        <v>26832</v>
      </c>
      <c r="K73" s="55">
        <f>VLOOKUP(J73,Наценка!$A$1:$B$8,2,1)</f>
        <v>1.3</v>
      </c>
      <c r="L73" s="56">
        <f t="shared" si="24"/>
        <v>34881.599999999999</v>
      </c>
      <c r="M73" s="57">
        <f t="shared" si="25"/>
        <v>34890</v>
      </c>
      <c r="N73" s="52">
        <f>VLOOKUP($A73,'Выгр Кат'!$A:$R,N$1,0)</f>
        <v>26832</v>
      </c>
      <c r="O73" s="52">
        <f>VLOOKUP($A73,'Выгр Кат'!$A:$R,O$1,0)</f>
        <v>34890</v>
      </c>
      <c r="P73" s="47">
        <f t="shared" si="26"/>
        <v>0</v>
      </c>
      <c r="Q73" s="47">
        <f t="shared" si="27"/>
        <v>0</v>
      </c>
      <c r="R73" s="58">
        <f t="shared" si="28"/>
        <v>34890</v>
      </c>
      <c r="S73" s="59">
        <f t="shared" si="29"/>
        <v>0.3003130590339893</v>
      </c>
      <c r="T73" s="59" t="str">
        <f t="shared" si="30"/>
        <v/>
      </c>
      <c r="U73" s="59" t="str">
        <f t="shared" si="31"/>
        <v/>
      </c>
      <c r="V73" s="60"/>
      <c r="W73" s="69" t="str">
        <f>IFERROR((VLOOKUP($A73,'Из ГУГЛа'!$B:$Z,W$1,0)+Y73)*X73,VLOOKUP($A73,'Из ГУГЛа'!$B:$Z,W$1,0))</f>
        <v/>
      </c>
      <c r="X73" s="61">
        <v>1</v>
      </c>
      <c r="Y73" s="61">
        <v>0</v>
      </c>
      <c r="Z73" s="60" t="s">
        <v>4170</v>
      </c>
      <c r="AA73" s="60"/>
    </row>
    <row r="74" spans="1:27" ht="30" x14ac:dyDescent="0.25">
      <c r="A74" s="52">
        <v>137100</v>
      </c>
      <c r="B74" s="52">
        <f>VLOOKUP($A74,'Выгр Кат'!$A:$R,B$1,0)</f>
        <v>48403</v>
      </c>
      <c r="C74" s="53" t="str">
        <f>VLOOKUP($A74,'Выгр Кат'!$A:$R,C$1,0)</f>
        <v>Боковина кузова правая "АвтоВАЗ" в сборе для Лада Приора универсал</v>
      </c>
      <c r="D74" s="52" t="str">
        <f>VLOOKUP($A74,'Выгр Кат'!$A:$R,D$1,0)</f>
        <v>Y</v>
      </c>
      <c r="E74" s="52" t="str">
        <f>VLOOKUP($A74,'Выгр Кат'!$A:$R,E$1,0)</f>
        <v>1</v>
      </c>
      <c r="F74" s="52" t="str">
        <f>VLOOKUP($A74,'Выгр Кат'!$A:$R,F$1,0)</f>
        <v>21710540001000</v>
      </c>
      <c r="G74" s="52" t="str">
        <f>IF(VLOOKUP($A74,'Выгр Кат'!$A:$R,G$1,0)=0,"",VLOOKUP($A74,'Выгр Кат'!$A:$R,G$1,0))</f>
        <v/>
      </c>
      <c r="H74" s="52"/>
      <c r="I74" s="52"/>
      <c r="J74" s="54">
        <f t="shared" si="23"/>
        <v>8970</v>
      </c>
      <c r="K74" s="55">
        <f>VLOOKUP(J74,Наценка!$A$1:$B$8,2,1)</f>
        <v>1.35</v>
      </c>
      <c r="L74" s="56">
        <f t="shared" si="24"/>
        <v>12109.5</v>
      </c>
      <c r="M74" s="57">
        <f t="shared" si="25"/>
        <v>12190</v>
      </c>
      <c r="N74" s="52">
        <f>VLOOKUP($A74,'Выгр Кат'!$A:$R,N$1,0)</f>
        <v>8970</v>
      </c>
      <c r="O74" s="52">
        <f>VLOOKUP($A74,'Выгр Кат'!$A:$R,O$1,0)</f>
        <v>12590</v>
      </c>
      <c r="P74" s="47">
        <f t="shared" si="26"/>
        <v>0</v>
      </c>
      <c r="Q74" s="47">
        <f t="shared" si="27"/>
        <v>400</v>
      </c>
      <c r="R74" s="58">
        <f t="shared" si="28"/>
        <v>12190</v>
      </c>
      <c r="S74" s="59">
        <f t="shared" si="29"/>
        <v>0.35897435897435903</v>
      </c>
      <c r="T74" s="59" t="str">
        <f t="shared" si="30"/>
        <v/>
      </c>
      <c r="U74" s="59" t="str">
        <f t="shared" si="31"/>
        <v/>
      </c>
      <c r="V74" s="60"/>
      <c r="W74" s="69" t="str">
        <f>IFERROR((VLOOKUP($A74,'Из ГУГЛа'!$B:$Z,W$1,0)+Y74)*X74,VLOOKUP($A74,'Из ГУГЛа'!$B:$Z,W$1,0))</f>
        <v/>
      </c>
      <c r="X74" s="61">
        <v>1</v>
      </c>
      <c r="Y74" s="61">
        <v>0</v>
      </c>
      <c r="Z74" s="60" t="s">
        <v>4170</v>
      </c>
      <c r="AA74" s="60"/>
    </row>
    <row r="75" spans="1:27" ht="45" x14ac:dyDescent="0.25">
      <c r="A75" s="52">
        <v>138722</v>
      </c>
      <c r="B75" s="52">
        <f>VLOOKUP($A75,'Выгр Кат'!$A:$R,B$1,0)</f>
        <v>32676</v>
      </c>
      <c r="C75" s="53" t="str">
        <f>VLOOKUP($A75,'Выгр Кат'!$A:$R,C$1,0)</f>
        <v>Брызговик (лопух) крыла переднего левого (катафорез) "АвтоВАЗ" без лонжерона для Шевроле Нива</v>
      </c>
      <c r="D75" s="52" t="str">
        <f>VLOOKUP($A75,'Выгр Кат'!$A:$R,D$1,0)</f>
        <v>Y</v>
      </c>
      <c r="E75" s="52" t="str">
        <f>VLOOKUP($A75,'Выгр Кат'!$A:$R,E$1,0)</f>
        <v>1ск1</v>
      </c>
      <c r="F75" s="52" t="str">
        <f>VLOOKUP($A75,'Выгр Кат'!$A:$R,F$1,0)</f>
        <v>21230840326370 / 8460008582</v>
      </c>
      <c r="G75" s="52" t="str">
        <f>IF(VLOOKUP($A75,'Выгр Кат'!$A:$R,G$1,0)=0,"",VLOOKUP($A75,'Выгр Кат'!$A:$R,G$1,0))</f>
        <v>https://motorring.ru/product/38285-bryzgovik-perednego-kryla-levyy-dlya-shevrole-niva</v>
      </c>
      <c r="H75" s="52"/>
      <c r="I75" s="52"/>
      <c r="J75" s="54">
        <f t="shared" si="23"/>
        <v>3408</v>
      </c>
      <c r="K75" s="55">
        <f>VLOOKUP(J75,Наценка!$A$1:$B$8,2,1)</f>
        <v>1.4</v>
      </c>
      <c r="L75" s="56">
        <f t="shared" si="24"/>
        <v>4771.2</v>
      </c>
      <c r="M75" s="57">
        <f t="shared" si="25"/>
        <v>4790</v>
      </c>
      <c r="N75" s="52">
        <f>VLOOKUP($A75,'Выгр Кат'!$A:$R,N$1,0)</f>
        <v>3408</v>
      </c>
      <c r="O75" s="52">
        <f>VLOOKUP($A75,'Выгр Кат'!$A:$R,O$1,0)</f>
        <v>4790</v>
      </c>
      <c r="P75" s="47">
        <f t="shared" si="26"/>
        <v>0</v>
      </c>
      <c r="Q75" s="47">
        <f t="shared" si="27"/>
        <v>0</v>
      </c>
      <c r="R75" s="58">
        <f t="shared" si="28"/>
        <v>4790</v>
      </c>
      <c r="S75" s="59">
        <f t="shared" si="29"/>
        <v>0.40551643192488274</v>
      </c>
      <c r="T75" s="59">
        <f t="shared" si="30"/>
        <v>-0.20050125313283207</v>
      </c>
      <c r="U75" s="59">
        <f t="shared" si="31"/>
        <v>0.17077464788732399</v>
      </c>
      <c r="V75" s="42">
        <f t="shared" ref="V75:V76" si="33">Z75</f>
        <v>3990</v>
      </c>
      <c r="W75" s="69">
        <f>IFERROR((VLOOKUP($A75,'Из ГУГЛа'!$B:$Z,W$1,0)+Y75)*X75,VLOOKUP($A75,'Из ГУГЛа'!$B:$Z,W$1,0))</f>
        <v>3990</v>
      </c>
      <c r="X75" s="61">
        <v>1</v>
      </c>
      <c r="Y75" s="61">
        <v>0</v>
      </c>
      <c r="Z75" s="70">
        <v>3990</v>
      </c>
      <c r="AA75" s="60" t="s">
        <v>203</v>
      </c>
    </row>
    <row r="76" spans="1:27" ht="45" x14ac:dyDescent="0.25">
      <c r="A76" s="52">
        <v>138723</v>
      </c>
      <c r="B76" s="52">
        <f>VLOOKUP($A76,'Выгр Кат'!$A:$R,B$1,0)</f>
        <v>31247</v>
      </c>
      <c r="C76" s="53" t="str">
        <f>VLOOKUP($A76,'Выгр Кат'!$A:$R,C$1,0)</f>
        <v>Брызговик (лопух) крыла переднего правого (катафорез) "АвтоВАЗ" без лонжерона для Шевроле Нива</v>
      </c>
      <c r="D76" s="52" t="str">
        <f>VLOOKUP($A76,'Выгр Кат'!$A:$R,D$1,0)</f>
        <v>Y</v>
      </c>
      <c r="E76" s="52" t="str">
        <f>VLOOKUP($A76,'Выгр Кат'!$A:$R,E$1,0)</f>
        <v>1</v>
      </c>
      <c r="F76" s="52" t="str">
        <f>VLOOKUP($A76,'Выгр Кат'!$A:$R,F$1,0)</f>
        <v>21230840326270</v>
      </c>
      <c r="G76" s="52" t="str">
        <f>IF(VLOOKUP($A76,'Выгр Кат'!$A:$R,G$1,0)=0,"",VLOOKUP($A76,'Выгр Кат'!$A:$R,G$1,0))</f>
        <v>https://motorring.ru/product/38284-bryzgovik-perednego-kryla-pravyy-dlya-shevrole-niva</v>
      </c>
      <c r="H76" s="52"/>
      <c r="I76" s="52"/>
      <c r="J76" s="54">
        <f t="shared" si="23"/>
        <v>2847</v>
      </c>
      <c r="K76" s="55">
        <f>VLOOKUP(J76,Наценка!$A$1:$B$8,2,1)</f>
        <v>1.4</v>
      </c>
      <c r="L76" s="56">
        <f t="shared" si="24"/>
        <v>3985.7999999999997</v>
      </c>
      <c r="M76" s="57">
        <f t="shared" si="25"/>
        <v>3990</v>
      </c>
      <c r="N76" s="52">
        <f>VLOOKUP($A76,'Выгр Кат'!$A:$R,N$1,0)</f>
        <v>2847</v>
      </c>
      <c r="O76" s="52">
        <f>VLOOKUP($A76,'Выгр Кат'!$A:$R,O$1,0)</f>
        <v>3990</v>
      </c>
      <c r="P76" s="47">
        <f t="shared" si="26"/>
        <v>0</v>
      </c>
      <c r="Q76" s="47">
        <f t="shared" si="27"/>
        <v>0</v>
      </c>
      <c r="R76" s="58">
        <f t="shared" si="28"/>
        <v>3990</v>
      </c>
      <c r="S76" s="59">
        <f t="shared" si="29"/>
        <v>0.40147523709167543</v>
      </c>
      <c r="T76" s="59">
        <f t="shared" si="30"/>
        <v>0</v>
      </c>
      <c r="U76" s="59">
        <f t="shared" si="31"/>
        <v>0.40147523709167543</v>
      </c>
      <c r="V76" s="42">
        <f t="shared" si="33"/>
        <v>3990</v>
      </c>
      <c r="W76" s="69">
        <f>IFERROR((VLOOKUP($A76,'Из ГУГЛа'!$B:$Z,W$1,0)+Y76)*X76,VLOOKUP($A76,'Из ГУГЛа'!$B:$Z,W$1,0))</f>
        <v>3990</v>
      </c>
      <c r="X76" s="61">
        <v>1</v>
      </c>
      <c r="Y76" s="61">
        <v>0</v>
      </c>
      <c r="Z76" s="70">
        <v>3990</v>
      </c>
      <c r="AA76" s="60" t="s">
        <v>206</v>
      </c>
    </row>
    <row r="77" spans="1:27" ht="45" x14ac:dyDescent="0.25">
      <c r="A77" s="52">
        <v>138733</v>
      </c>
      <c r="B77" s="52">
        <f>VLOOKUP($A77,'Выгр Кат'!$A:$R,B$1,0)</f>
        <v>48021</v>
      </c>
      <c r="C77" s="53" t="str">
        <f>VLOOKUP($A77,'Выгр Кат'!$A:$R,C$1,0)</f>
        <v>Брызговик крыла "АвтоВАЗ" переднего правого в сборе для Лада Нива Travel</v>
      </c>
      <c r="D77" s="52" t="str">
        <f>VLOOKUP($A77,'Выгр Кат'!$A:$R,D$1,0)</f>
        <v>Y</v>
      </c>
      <c r="E77" s="52" t="str">
        <f>VLOOKUP($A77,'Выгр Кат'!$A:$R,E$1,0)</f>
        <v>1</v>
      </c>
      <c r="F77" s="52" t="str">
        <f>VLOOKUP($A77,'Выгр Кат'!$A:$R,F$1,0)</f>
        <v>21230840326381</v>
      </c>
      <c r="G77" s="52" t="str">
        <f>IF(VLOOKUP($A77,'Выгр Кат'!$A:$R,G$1,0)=0,"",VLOOKUP($A77,'Выгр Кат'!$A:$R,G$1,0))</f>
        <v/>
      </c>
      <c r="H77" s="52"/>
      <c r="I77" s="52"/>
      <c r="J77" s="54">
        <f t="shared" si="23"/>
        <v>3450</v>
      </c>
      <c r="K77" s="55">
        <f>VLOOKUP(J77,Наценка!$A$1:$B$8,2,1)</f>
        <v>1.4</v>
      </c>
      <c r="L77" s="56">
        <f t="shared" si="24"/>
        <v>4830</v>
      </c>
      <c r="M77" s="57">
        <f t="shared" si="25"/>
        <v>4890</v>
      </c>
      <c r="N77" s="52">
        <f>VLOOKUP($A77,'Выгр Кат'!$A:$R,N$1,0)</f>
        <v>3450</v>
      </c>
      <c r="O77" s="52">
        <f>VLOOKUP($A77,'Выгр Кат'!$A:$R,O$1,0)</f>
        <v>4890</v>
      </c>
      <c r="P77" s="47">
        <f t="shared" si="26"/>
        <v>0</v>
      </c>
      <c r="Q77" s="47">
        <f t="shared" si="27"/>
        <v>0</v>
      </c>
      <c r="R77" s="58">
        <f t="shared" si="28"/>
        <v>4890</v>
      </c>
      <c r="S77" s="59">
        <f t="shared" si="29"/>
        <v>0.41739130434782612</v>
      </c>
      <c r="T77" s="59" t="str">
        <f t="shared" si="30"/>
        <v/>
      </c>
      <c r="U77" s="59" t="str">
        <f t="shared" si="31"/>
        <v/>
      </c>
      <c r="V77" s="60"/>
      <c r="W77" s="69" t="str">
        <f>IFERROR((VLOOKUP($A77,'Из ГУГЛа'!$B:$Z,W$1,0)+Y77)*X77,VLOOKUP($A77,'Из ГУГЛа'!$B:$Z,W$1,0))</f>
        <v/>
      </c>
      <c r="X77" s="61">
        <v>1</v>
      </c>
      <c r="Y77" s="61">
        <v>0</v>
      </c>
      <c r="Z77" s="60" t="s">
        <v>4170</v>
      </c>
      <c r="AA77" s="60"/>
    </row>
    <row r="78" spans="1:27" ht="45" x14ac:dyDescent="0.25">
      <c r="A78" s="52">
        <v>138734</v>
      </c>
      <c r="B78" s="52">
        <f>VLOOKUP($A78,'Выгр Кат'!$A:$R,B$1,0)</f>
        <v>45931</v>
      </c>
      <c r="C78" s="53" t="str">
        <f>VLOOKUP($A78,'Выгр Кат'!$A:$R,C$1,0)</f>
        <v>Брызговик крыла "АвтоВАЗ" переднего правого с лонжероном в сборе для Лада Нива 4x4, Нива Legend</v>
      </c>
      <c r="D78" s="52" t="str">
        <f>VLOOKUP($A78,'Выгр Кат'!$A:$R,D$1,0)</f>
        <v>Y</v>
      </c>
      <c r="E78" s="52" t="str">
        <f>VLOOKUP($A78,'Выгр Кат'!$A:$R,E$1,0)</f>
        <v>1</v>
      </c>
      <c r="F78" s="52" t="str">
        <f>VLOOKUP($A78,'Выгр Кат'!$A:$R,F$1,0)</f>
        <v>21214840326040</v>
      </c>
      <c r="G78" s="52" t="str">
        <f>IF(VLOOKUP($A78,'Выгр Кат'!$A:$R,G$1,0)=0,"",VLOOKUP($A78,'Выгр Кат'!$A:$R,G$1,0))</f>
        <v>https://motorring.ru/product/13893-bryzgovik-kryla-perednego-pravogo-longheronom-sbore</v>
      </c>
      <c r="H78" s="52"/>
      <c r="I78" s="52"/>
      <c r="J78" s="54">
        <f t="shared" si="23"/>
        <v>7285</v>
      </c>
      <c r="K78" s="55">
        <f>VLOOKUP(J78,Наценка!$A$1:$B$8,2,1)</f>
        <v>1.35</v>
      </c>
      <c r="L78" s="56">
        <f t="shared" si="24"/>
        <v>9834.75</v>
      </c>
      <c r="M78" s="57">
        <f t="shared" si="25"/>
        <v>9890</v>
      </c>
      <c r="N78" s="52">
        <f>VLOOKUP($A78,'Выгр Кат'!$A:$R,N$1,0)</f>
        <v>7285</v>
      </c>
      <c r="O78" s="52">
        <f>VLOOKUP($A78,'Выгр Кат'!$A:$R,O$1,0)</f>
        <v>10190</v>
      </c>
      <c r="P78" s="47">
        <f t="shared" si="26"/>
        <v>0</v>
      </c>
      <c r="Q78" s="47">
        <f t="shared" si="27"/>
        <v>300</v>
      </c>
      <c r="R78" s="58">
        <f t="shared" si="28"/>
        <v>9890</v>
      </c>
      <c r="S78" s="59">
        <f t="shared" si="29"/>
        <v>0.35758407687028138</v>
      </c>
      <c r="T78" s="59">
        <f t="shared" si="30"/>
        <v>-7.6169749727965183E-2</v>
      </c>
      <c r="U78" s="59">
        <f t="shared" si="31"/>
        <v>0.26149622512010984</v>
      </c>
      <c r="V78" s="42">
        <f t="shared" ref="V78:V79" si="34">Z78</f>
        <v>9190</v>
      </c>
      <c r="W78" s="69">
        <f>IFERROR((VLOOKUP($A78,'Из ГУГЛа'!$B:$Z,W$1,0)+Y78)*X78,VLOOKUP($A78,'Из ГУГЛа'!$B:$Z,W$1,0))</f>
        <v>9190</v>
      </c>
      <c r="X78" s="61">
        <v>1</v>
      </c>
      <c r="Y78" s="61">
        <v>0</v>
      </c>
      <c r="Z78" s="70">
        <v>9190</v>
      </c>
      <c r="AA78" s="60" t="s">
        <v>218</v>
      </c>
    </row>
    <row r="79" spans="1:27" ht="30" x14ac:dyDescent="0.25">
      <c r="A79" s="52">
        <v>138736</v>
      </c>
      <c r="B79" s="52">
        <f>VLOOKUP($A79,'Выгр Кат'!$A:$R,B$1,0)</f>
        <v>48647</v>
      </c>
      <c r="C79" s="53" t="str">
        <f>VLOOKUP($A79,'Выгр Кат'!$A:$R,C$1,0)</f>
        <v>Брызговик крыла "АвтоВАЗ" передний левый в сборе для Лада Гранта FL</v>
      </c>
      <c r="D79" s="52" t="str">
        <f>VLOOKUP($A79,'Выгр Кат'!$A:$R,D$1,0)</f>
        <v>Y</v>
      </c>
      <c r="E79" s="52" t="str">
        <f>VLOOKUP($A79,'Выгр Кат'!$A:$R,E$1,0)</f>
        <v>1</v>
      </c>
      <c r="F79" s="52" t="str">
        <f>VLOOKUP($A79,'Выгр Кат'!$A:$R,F$1,0)</f>
        <v>8450105399</v>
      </c>
      <c r="G79" s="52" t="str">
        <f>IF(VLOOKUP($A79,'Выгр Кат'!$A:$R,G$1,0)=0,"",VLOOKUP($A79,'Выгр Кат'!$A:$R,G$1,0))</f>
        <v>https://motorring.ru/product/4140-bryzgovik-kryla-perednego-levogo-bez-longherona-lopuh</v>
      </c>
      <c r="H79" s="52"/>
      <c r="I79" s="52"/>
      <c r="J79" s="54">
        <f t="shared" si="23"/>
        <v>1258</v>
      </c>
      <c r="K79" s="55">
        <f>VLOOKUP(J79,Наценка!$A$1:$B$8,2,1)</f>
        <v>1.5</v>
      </c>
      <c r="L79" s="56">
        <f t="shared" si="24"/>
        <v>1887</v>
      </c>
      <c r="M79" s="57">
        <f t="shared" si="25"/>
        <v>1890</v>
      </c>
      <c r="N79" s="52">
        <f>VLOOKUP($A79,'Выгр Кат'!$A:$R,N$1,0)</f>
        <v>1258</v>
      </c>
      <c r="O79" s="52">
        <f>VLOOKUP($A79,'Выгр Кат'!$A:$R,O$1,0)</f>
        <v>1890</v>
      </c>
      <c r="P79" s="47">
        <f t="shared" si="26"/>
        <v>0</v>
      </c>
      <c r="Q79" s="47">
        <f t="shared" si="27"/>
        <v>0</v>
      </c>
      <c r="R79" s="58">
        <f t="shared" si="28"/>
        <v>1890</v>
      </c>
      <c r="S79" s="59">
        <f t="shared" si="29"/>
        <v>0.50238473767885528</v>
      </c>
      <c r="T79" s="59">
        <f t="shared" si="30"/>
        <v>0.34602076124567471</v>
      </c>
      <c r="U79" s="59">
        <f t="shared" si="31"/>
        <v>1.2972972972972974</v>
      </c>
      <c r="V79" s="42">
        <f t="shared" si="34"/>
        <v>2890</v>
      </c>
      <c r="W79" s="69">
        <f>IFERROR((VLOOKUP($A79,'Из ГУГЛа'!$B:$Z,W$1,0)+Y79)*X79,VLOOKUP($A79,'Из ГУГЛа'!$B:$Z,W$1,0))</f>
        <v>2890</v>
      </c>
      <c r="X79" s="61">
        <v>1</v>
      </c>
      <c r="Y79" s="61">
        <v>0</v>
      </c>
      <c r="Z79" s="70">
        <v>2890</v>
      </c>
      <c r="AA79" s="60" t="s">
        <v>222</v>
      </c>
    </row>
    <row r="80" spans="1:27" ht="45" x14ac:dyDescent="0.25">
      <c r="A80" s="52">
        <v>138737</v>
      </c>
      <c r="B80" s="52">
        <f>VLOOKUP($A80,'Выгр Кат'!$A:$R,B$1,0)</f>
        <v>31421</v>
      </c>
      <c r="C80" s="53" t="str">
        <f>VLOOKUP($A80,'Выгр Кат'!$A:$R,C$1,0)</f>
        <v>Брызговик крыла (лопух) переднего левого (катафорез) "АвтоВАЗ" без лонжерона для ВАЗ 2108-21099, 2115</v>
      </c>
      <c r="D80" s="52" t="str">
        <f>VLOOKUP($A80,'Выгр Кат'!$A:$R,D$1,0)</f>
        <v>Y</v>
      </c>
      <c r="E80" s="52" t="str">
        <f>VLOOKUP($A80,'Выгр Кат'!$A:$R,E$1,0)</f>
        <v>0</v>
      </c>
      <c r="F80" s="52" t="str">
        <f>VLOOKUP($A80,'Выгр Кат'!$A:$R,F$1,0)</f>
        <v>21080840326510</v>
      </c>
      <c r="G80" s="52" t="str">
        <f>IF(VLOOKUP($A80,'Выгр Кат'!$A:$R,G$1,0)=0,"",VLOOKUP($A80,'Выгр Кат'!$A:$R,G$1,0))</f>
        <v/>
      </c>
      <c r="H80" s="52"/>
      <c r="I80" s="52"/>
      <c r="J80" s="54">
        <f t="shared" si="23"/>
        <v>1831</v>
      </c>
      <c r="K80" s="55">
        <f>VLOOKUP(J80,Наценка!$A$1:$B$8,2,1)</f>
        <v>1.5</v>
      </c>
      <c r="L80" s="56">
        <f t="shared" si="24"/>
        <v>2746.5</v>
      </c>
      <c r="M80" s="57">
        <f t="shared" si="25"/>
        <v>2790</v>
      </c>
      <c r="N80" s="52">
        <f>VLOOKUP($A80,'Выгр Кат'!$A:$R,N$1,0)</f>
        <v>1831</v>
      </c>
      <c r="O80" s="52">
        <f>VLOOKUP($A80,'Выгр Кат'!$A:$R,O$1,0)</f>
        <v>2790</v>
      </c>
      <c r="P80" s="47">
        <f t="shared" si="26"/>
        <v>0</v>
      </c>
      <c r="Q80" s="47">
        <f t="shared" si="27"/>
        <v>0</v>
      </c>
      <c r="R80" s="58">
        <f t="shared" si="28"/>
        <v>2790</v>
      </c>
      <c r="S80" s="59">
        <f t="shared" si="29"/>
        <v>0.52375750955761879</v>
      </c>
      <c r="T80" s="59" t="str">
        <f t="shared" si="30"/>
        <v/>
      </c>
      <c r="U80" s="59" t="str">
        <f t="shared" si="31"/>
        <v/>
      </c>
      <c r="V80" s="60"/>
      <c r="W80" s="69" t="str">
        <f>IFERROR((VLOOKUP($A80,'Из ГУГЛа'!$B:$Z,W$1,0)+Y80)*X80,VLOOKUP($A80,'Из ГУГЛа'!$B:$Z,W$1,0))</f>
        <v/>
      </c>
      <c r="X80" s="61">
        <v>1</v>
      </c>
      <c r="Y80" s="61">
        <v>0</v>
      </c>
      <c r="Z80" s="76" t="s">
        <v>4285</v>
      </c>
      <c r="AA80" s="60"/>
    </row>
    <row r="81" spans="1:27" ht="45" x14ac:dyDescent="0.25">
      <c r="A81" s="52">
        <v>138738</v>
      </c>
      <c r="B81" s="52">
        <f>VLOOKUP($A81,'Выгр Кат'!$A:$R,B$1,0)</f>
        <v>32703</v>
      </c>
      <c r="C81" s="53" t="str">
        <f>VLOOKUP($A81,'Выгр Кат'!$A:$R,C$1,0)</f>
        <v>Брызговик крыла переднего "АвтоВАЗ" правый в сборе для Лада Гранта FL</v>
      </c>
      <c r="D81" s="52" t="str">
        <f>VLOOKUP($A81,'Выгр Кат'!$A:$R,D$1,0)</f>
        <v>Y</v>
      </c>
      <c r="E81" s="52" t="str">
        <f>VLOOKUP($A81,'Выгр Кат'!$A:$R,E$1,0)</f>
        <v>1</v>
      </c>
      <c r="F81" s="52" t="str">
        <f>VLOOKUP($A81,'Выгр Кат'!$A:$R,F$1,0)</f>
        <v>8450105400</v>
      </c>
      <c r="G81" s="52" t="str">
        <f>IF(VLOOKUP($A81,'Выгр Кат'!$A:$R,G$1,0)=0,"",VLOOKUP($A81,'Выгр Кат'!$A:$R,G$1,0))</f>
        <v>https://motorring.ru/product/40833-bryzgovik-kryla-perednego-pravogo-bez-longherona-lopuh</v>
      </c>
      <c r="H81" s="52"/>
      <c r="I81" s="52"/>
      <c r="J81" s="54">
        <f t="shared" si="23"/>
        <v>2000</v>
      </c>
      <c r="K81" s="55">
        <f>VLOOKUP(J81,Наценка!$A$1:$B$8,2,1)</f>
        <v>1.4</v>
      </c>
      <c r="L81" s="56">
        <f t="shared" si="24"/>
        <v>2800</v>
      </c>
      <c r="M81" s="57">
        <f t="shared" si="25"/>
        <v>2790</v>
      </c>
      <c r="N81" s="52">
        <f>VLOOKUP($A81,'Выгр Кат'!$A:$R,N$1,0)</f>
        <v>2000</v>
      </c>
      <c r="O81" s="52">
        <f>VLOOKUP($A81,'Выгр Кат'!$A:$R,O$1,0)</f>
        <v>2790</v>
      </c>
      <c r="P81" s="47">
        <f t="shared" si="26"/>
        <v>0</v>
      </c>
      <c r="Q81" s="47">
        <f t="shared" si="27"/>
        <v>0</v>
      </c>
      <c r="R81" s="58">
        <f t="shared" si="28"/>
        <v>2790</v>
      </c>
      <c r="S81" s="59">
        <f t="shared" si="29"/>
        <v>0.39500000000000002</v>
      </c>
      <c r="T81" s="59">
        <f t="shared" si="30"/>
        <v>9.7087378640776698E-2</v>
      </c>
      <c r="U81" s="59">
        <f t="shared" si="31"/>
        <v>0.54499999999999993</v>
      </c>
      <c r="V81" s="42">
        <f t="shared" ref="V81:V82" si="35">Z81</f>
        <v>3090</v>
      </c>
      <c r="W81" s="69">
        <f>IFERROR((VLOOKUP($A81,'Из ГУГЛа'!$B:$Z,W$1,0)+Y81)*X81,VLOOKUP($A81,'Из ГУГЛа'!$B:$Z,W$1,0))</f>
        <v>3090</v>
      </c>
      <c r="X81" s="61">
        <v>1</v>
      </c>
      <c r="Y81" s="61">
        <v>0</v>
      </c>
      <c r="Z81" s="70">
        <v>3090</v>
      </c>
      <c r="AA81" s="60" t="s">
        <v>227</v>
      </c>
    </row>
    <row r="82" spans="1:27" ht="45" x14ac:dyDescent="0.25">
      <c r="A82" s="52">
        <v>138739</v>
      </c>
      <c r="B82" s="52">
        <f>VLOOKUP($A82,'Выгр Кат'!$A:$R,B$1,0)</f>
        <v>31304</v>
      </c>
      <c r="C82" s="53" t="str">
        <f>VLOOKUP($A82,'Выгр Кат'!$A:$R,C$1,0)</f>
        <v>Брызговик крыла переднего левого с лонжероном (катафорез) "АвтоВАЗ" в сборе для Лада Нива 4x4 Урбан</v>
      </c>
      <c r="D82" s="52" t="str">
        <f>VLOOKUP($A82,'Выгр Кат'!$A:$R,D$1,0)</f>
        <v>Y</v>
      </c>
      <c r="E82" s="52" t="str">
        <f>VLOOKUP($A82,'Выгр Кат'!$A:$R,E$1,0)</f>
        <v>1</v>
      </c>
      <c r="F82" s="52" t="str">
        <f>VLOOKUP($A82,'Выгр Кат'!$A:$R,F$1,0)</f>
        <v>21214840326140</v>
      </c>
      <c r="G82" s="52" t="str">
        <f>IF(VLOOKUP($A82,'Выгр Кат'!$A:$R,G$1,0)=0,"",VLOOKUP($A82,'Выгр Кат'!$A:$R,G$1,0))</f>
        <v>https://motorring.ru/product/16585-bryzgovik-kryla-perednego-levogo-longheronom-sbore</v>
      </c>
      <c r="H82" s="52"/>
      <c r="I82" s="52"/>
      <c r="J82" s="54">
        <f t="shared" si="23"/>
        <v>7846</v>
      </c>
      <c r="K82" s="55">
        <f>VLOOKUP(J82,Наценка!$A$1:$B$8,2,1)</f>
        <v>1.35</v>
      </c>
      <c r="L82" s="56">
        <f t="shared" si="24"/>
        <v>10592.1</v>
      </c>
      <c r="M82" s="57">
        <f t="shared" si="25"/>
        <v>10590</v>
      </c>
      <c r="N82" s="52">
        <f>VLOOKUP($A82,'Выгр Кат'!$A:$R,N$1,0)</f>
        <v>7846</v>
      </c>
      <c r="O82" s="52">
        <f>VLOOKUP($A82,'Выгр Кат'!$A:$R,O$1,0)</f>
        <v>10990</v>
      </c>
      <c r="P82" s="47">
        <f t="shared" si="26"/>
        <v>0</v>
      </c>
      <c r="Q82" s="47">
        <f t="shared" si="27"/>
        <v>400</v>
      </c>
      <c r="R82" s="58">
        <f t="shared" si="28"/>
        <v>10590</v>
      </c>
      <c r="S82" s="59">
        <f t="shared" si="29"/>
        <v>0.34973234769309203</v>
      </c>
      <c r="T82" s="59">
        <f t="shared" si="30"/>
        <v>1.8535681186283594E-2</v>
      </c>
      <c r="U82" s="59">
        <f t="shared" si="31"/>
        <v>0.37522304358908998</v>
      </c>
      <c r="V82" s="42">
        <f t="shared" si="35"/>
        <v>10790</v>
      </c>
      <c r="W82" s="69">
        <f>IFERROR((VLOOKUP($A82,'Из ГУГЛа'!$B:$Z,W$1,0)+Y82)*X82,VLOOKUP($A82,'Из ГУГЛа'!$B:$Z,W$1,0))</f>
        <v>10790</v>
      </c>
      <c r="X82" s="61">
        <v>1</v>
      </c>
      <c r="Y82" s="61">
        <v>0</v>
      </c>
      <c r="Z82" s="70">
        <v>10790</v>
      </c>
      <c r="AA82" s="60" t="s">
        <v>230</v>
      </c>
    </row>
    <row r="83" spans="1:27" ht="45" x14ac:dyDescent="0.25">
      <c r="A83" s="52">
        <v>138740</v>
      </c>
      <c r="B83" s="52">
        <f>VLOOKUP($A83,'Выгр Кат'!$A:$R,B$1,0)</f>
        <v>31173</v>
      </c>
      <c r="C83" s="53" t="str">
        <f>VLOOKUP($A83,'Выгр Кат'!$A:$R,C$1,0)</f>
        <v>Брызговик крыла переднего левого с лонжероном в сборе (катафорез) "АвтоВАЗ" для Лада Веста</v>
      </c>
      <c r="D83" s="52" t="str">
        <f>VLOOKUP($A83,'Выгр Кат'!$A:$R,D$1,0)</f>
        <v>Y</v>
      </c>
      <c r="E83" s="52" t="str">
        <f>VLOOKUP($A83,'Выгр Кат'!$A:$R,E$1,0)</f>
        <v>1</v>
      </c>
      <c r="F83" s="52" t="str">
        <f>VLOOKUP($A83,'Выгр Кат'!$A:$R,F$1,0)</f>
        <v>8450039285</v>
      </c>
      <c r="G83" s="52" t="str">
        <f>IF(VLOOKUP($A83,'Выгр Кат'!$A:$R,G$1,0)=0,"",VLOOKUP($A83,'Выгр Кат'!$A:$R,G$1,0))</f>
        <v/>
      </c>
      <c r="H83" s="52"/>
      <c r="I83" s="52"/>
      <c r="J83" s="54">
        <f t="shared" si="23"/>
        <v>27934</v>
      </c>
      <c r="K83" s="55">
        <f>VLOOKUP(J83,Наценка!$A$1:$B$8,2,1)</f>
        <v>1.3</v>
      </c>
      <c r="L83" s="56">
        <f t="shared" si="24"/>
        <v>36314.200000000004</v>
      </c>
      <c r="M83" s="57">
        <f t="shared" si="25"/>
        <v>36390</v>
      </c>
      <c r="N83" s="52">
        <f>VLOOKUP($A83,'Выгр Кат'!$A:$R,N$1,0)</f>
        <v>27934</v>
      </c>
      <c r="O83" s="52">
        <f>VLOOKUP($A83,'Выгр Кат'!$A:$R,O$1,0)</f>
        <v>39190</v>
      </c>
      <c r="P83" s="47">
        <f t="shared" si="26"/>
        <v>0</v>
      </c>
      <c r="Q83" s="47">
        <f t="shared" si="27"/>
        <v>2800</v>
      </c>
      <c r="R83" s="58">
        <f t="shared" si="28"/>
        <v>36390</v>
      </c>
      <c r="S83" s="59">
        <f t="shared" si="29"/>
        <v>0.30271353905634713</v>
      </c>
      <c r="T83" s="59" t="str">
        <f t="shared" si="30"/>
        <v/>
      </c>
      <c r="U83" s="59" t="str">
        <f t="shared" si="31"/>
        <v/>
      </c>
      <c r="V83" s="60"/>
      <c r="W83" s="69" t="str">
        <f>IFERROR((VLOOKUP($A83,'Из ГУГЛа'!$B:$Z,W$1,0)+Y83)*X83,VLOOKUP($A83,'Из ГУГЛа'!$B:$Z,W$1,0))</f>
        <v/>
      </c>
      <c r="X83" s="61">
        <v>1</v>
      </c>
      <c r="Y83" s="61">
        <v>0</v>
      </c>
      <c r="Z83" s="60" t="s">
        <v>4170</v>
      </c>
      <c r="AA83" s="60"/>
    </row>
    <row r="84" spans="1:27" ht="45" x14ac:dyDescent="0.25">
      <c r="A84" s="52">
        <v>138741</v>
      </c>
      <c r="B84" s="52">
        <f>VLOOKUP($A84,'Выгр Кат'!$A:$R,B$1,0)</f>
        <v>31174</v>
      </c>
      <c r="C84" s="53" t="str">
        <f>VLOOKUP($A84,'Выгр Кат'!$A:$R,C$1,0)</f>
        <v>Брызговик крыла переднего правого с лонжероном в сборе (катафорез) "АвтоВАЗ" для Лада Веста</v>
      </c>
      <c r="D84" s="52" t="str">
        <f>VLOOKUP($A84,'Выгр Кат'!$A:$R,D$1,0)</f>
        <v>Y</v>
      </c>
      <c r="E84" s="52" t="str">
        <f>VLOOKUP($A84,'Выгр Кат'!$A:$R,E$1,0)</f>
        <v>1</v>
      </c>
      <c r="F84" s="52" t="str">
        <f>VLOOKUP($A84,'Выгр Кат'!$A:$R,F$1,0)</f>
        <v>8450039284</v>
      </c>
      <c r="G84" s="52" t="str">
        <f>IF(VLOOKUP($A84,'Выгр Кат'!$A:$R,G$1,0)=0,"",VLOOKUP($A84,'Выгр Кат'!$A:$R,G$1,0))</f>
        <v>https://motorring.ru/product/33359-bryzgovik-perednego-kryla-lada-ighevsk-longheronom-vesta</v>
      </c>
      <c r="H84" s="52"/>
      <c r="I84" s="52"/>
      <c r="J84" s="54">
        <f t="shared" si="23"/>
        <v>24185</v>
      </c>
      <c r="K84" s="55">
        <f>VLOOKUP(J84,Наценка!$A$1:$B$8,2,1)</f>
        <v>1.3</v>
      </c>
      <c r="L84" s="56">
        <f t="shared" si="24"/>
        <v>31440.5</v>
      </c>
      <c r="M84" s="57">
        <f t="shared" si="25"/>
        <v>31490</v>
      </c>
      <c r="N84" s="52">
        <f>VLOOKUP($A84,'Выгр Кат'!$A:$R,N$1,0)</f>
        <v>24185</v>
      </c>
      <c r="O84" s="52">
        <f>VLOOKUP($A84,'Выгр Кат'!$A:$R,O$1,0)</f>
        <v>33890</v>
      </c>
      <c r="P84" s="47">
        <f t="shared" si="26"/>
        <v>0</v>
      </c>
      <c r="Q84" s="47">
        <f t="shared" si="27"/>
        <v>2400</v>
      </c>
      <c r="R84" s="58">
        <f t="shared" si="28"/>
        <v>31490</v>
      </c>
      <c r="S84" s="59">
        <f t="shared" si="29"/>
        <v>0.30204672317552195</v>
      </c>
      <c r="T84" s="59">
        <f t="shared" si="30"/>
        <v>-2.9421379535796013E-2</v>
      </c>
      <c r="U84" s="59">
        <f t="shared" si="31"/>
        <v>0.26483357452966705</v>
      </c>
      <c r="V84" s="42">
        <f>Z84</f>
        <v>30590</v>
      </c>
      <c r="W84" s="69">
        <f>IFERROR((VLOOKUP($A84,'Из ГУГЛа'!$B:$Z,W$1,0)+Y84)*X84,VLOOKUP($A84,'Из ГУГЛа'!$B:$Z,W$1,0))</f>
        <v>30590</v>
      </c>
      <c r="X84" s="61">
        <v>1</v>
      </c>
      <c r="Y84" s="61">
        <v>0</v>
      </c>
      <c r="Z84" s="70">
        <v>30590</v>
      </c>
      <c r="AA84" s="60" t="s">
        <v>235</v>
      </c>
    </row>
    <row r="85" spans="1:27" ht="45" x14ac:dyDescent="0.25">
      <c r="A85" s="52">
        <v>138742</v>
      </c>
      <c r="B85" s="52">
        <f>VLOOKUP($A85,'Выгр Кат'!$A:$R,B$1,0)</f>
        <v>41673</v>
      </c>
      <c r="C85" s="53" t="str">
        <f>VLOOKUP($A85,'Выгр Кат'!$A:$R,C$1,0)</f>
        <v>Брызговик переднего крыла с лонжероном "АвтоВАЗ" правый в сборе для Лада Веста NG седан</v>
      </c>
      <c r="D85" s="52" t="str">
        <f>VLOOKUP($A85,'Выгр Кат'!$A:$R,D$1,0)</f>
        <v>Y</v>
      </c>
      <c r="E85" s="52" t="str">
        <f>VLOOKUP($A85,'Выгр Кат'!$A:$R,E$1,0)</f>
        <v>1</v>
      </c>
      <c r="F85" s="52" t="str">
        <f>VLOOKUP($A85,'Выгр Кат'!$A:$R,F$1,0)</f>
        <v>8450013778</v>
      </c>
      <c r="G85" s="52" t="str">
        <f>IF(VLOOKUP($A85,'Выгр Кат'!$A:$R,G$1,0)=0,"",VLOOKUP($A85,'Выгр Кат'!$A:$R,G$1,0))</f>
        <v/>
      </c>
      <c r="H85" s="52"/>
      <c r="I85" s="52"/>
      <c r="J85" s="54">
        <f t="shared" si="23"/>
        <v>13306</v>
      </c>
      <c r="K85" s="55">
        <f>VLOOKUP(J85,Наценка!$A$1:$B$8,2,1)</f>
        <v>1.3</v>
      </c>
      <c r="L85" s="56">
        <f t="shared" si="24"/>
        <v>17297.8</v>
      </c>
      <c r="M85" s="57">
        <f t="shared" si="25"/>
        <v>17290</v>
      </c>
      <c r="N85" s="52">
        <f>VLOOKUP($A85,'Выгр Кат'!$A:$R,N$1,0)</f>
        <v>13306</v>
      </c>
      <c r="O85" s="52">
        <f>VLOOKUP($A85,'Выгр Кат'!$A:$R,O$1,0)</f>
        <v>17290</v>
      </c>
      <c r="P85" s="47">
        <f t="shared" si="26"/>
        <v>0</v>
      </c>
      <c r="Q85" s="47">
        <f t="shared" si="27"/>
        <v>0</v>
      </c>
      <c r="R85" s="58">
        <f t="shared" si="28"/>
        <v>17290</v>
      </c>
      <c r="S85" s="59">
        <f t="shared" si="29"/>
        <v>0.29941379828648729</v>
      </c>
      <c r="T85" s="59" t="str">
        <f t="shared" si="30"/>
        <v/>
      </c>
      <c r="U85" s="59" t="str">
        <f t="shared" si="31"/>
        <v/>
      </c>
      <c r="V85" s="60"/>
      <c r="W85" s="69" t="str">
        <f>IFERROR((VLOOKUP($A85,'Из ГУГЛа'!$B:$Z,W$1,0)+Y85)*X85,VLOOKUP($A85,'Из ГУГЛа'!$B:$Z,W$1,0))</f>
        <v/>
      </c>
      <c r="X85" s="61">
        <v>1</v>
      </c>
      <c r="Y85" s="61">
        <v>0</v>
      </c>
      <c r="Z85" s="60" t="s">
        <v>4170</v>
      </c>
      <c r="AA85" s="60"/>
    </row>
    <row r="86" spans="1:27" ht="45" x14ac:dyDescent="0.25">
      <c r="A86" s="52">
        <v>138743</v>
      </c>
      <c r="B86" s="52">
        <f>VLOOKUP($A86,'Выгр Кат'!$A:$R,B$1,0)</f>
        <v>53044</v>
      </c>
      <c r="C86" s="53" t="str">
        <f>VLOOKUP($A86,'Выгр Кат'!$A:$R,C$1,0)</f>
        <v>Брызговик с лонжероном "АвтоВАЗ" левый в сборе (для запчастей) для Лада Ларгус</v>
      </c>
      <c r="D86" s="52" t="str">
        <f>VLOOKUP($A86,'Выгр Кат'!$A:$R,D$1,0)</f>
        <v>Y</v>
      </c>
      <c r="E86" s="52" t="str">
        <f>VLOOKUP($A86,'Выгр Кат'!$A:$R,E$1,0)</f>
        <v>1</v>
      </c>
      <c r="F86" s="52" t="str">
        <f>VLOOKUP($A86,'Выгр Кат'!$A:$R,F$1,0)</f>
        <v>8450108436</v>
      </c>
      <c r="G86" s="52" t="str">
        <f>IF(VLOOKUP($A86,'Выгр Кат'!$A:$R,G$1,0)=0,"",VLOOKUP($A86,'Выгр Кат'!$A:$R,G$1,0))</f>
        <v/>
      </c>
      <c r="H86" s="52"/>
      <c r="I86" s="52"/>
      <c r="J86" s="54">
        <f t="shared" si="23"/>
        <v>12291</v>
      </c>
      <c r="K86" s="55">
        <f>VLOOKUP(J86,Наценка!$A$1:$B$8,2,1)</f>
        <v>1.3</v>
      </c>
      <c r="L86" s="56">
        <f t="shared" si="24"/>
        <v>15978.300000000001</v>
      </c>
      <c r="M86" s="57">
        <f t="shared" si="25"/>
        <v>15990</v>
      </c>
      <c r="N86" s="52">
        <f>VLOOKUP($A86,'Выгр Кат'!$A:$R,N$1,0)</f>
        <v>12291</v>
      </c>
      <c r="O86" s="52">
        <f>VLOOKUP($A86,'Выгр Кат'!$A:$R,O$1,0)</f>
        <v>15990</v>
      </c>
      <c r="P86" s="47">
        <f t="shared" si="26"/>
        <v>0</v>
      </c>
      <c r="Q86" s="47">
        <f t="shared" si="27"/>
        <v>0</v>
      </c>
      <c r="R86" s="58">
        <f t="shared" si="28"/>
        <v>15990</v>
      </c>
      <c r="S86" s="59">
        <f t="shared" si="29"/>
        <v>0.30095191603612403</v>
      </c>
      <c r="T86" s="59" t="str">
        <f t="shared" si="30"/>
        <v/>
      </c>
      <c r="U86" s="59" t="str">
        <f t="shared" si="31"/>
        <v/>
      </c>
      <c r="V86" s="60"/>
      <c r="W86" s="69" t="str">
        <f>IFERROR((VLOOKUP($A86,'Из ГУГЛа'!$B:$Z,W$1,0)+Y86)*X86,VLOOKUP($A86,'Из ГУГЛа'!$B:$Z,W$1,0))</f>
        <v/>
      </c>
      <c r="X86" s="61">
        <v>1</v>
      </c>
      <c r="Y86" s="61">
        <v>0</v>
      </c>
      <c r="Z86" s="60" t="s">
        <v>4170</v>
      </c>
      <c r="AA86" s="60"/>
    </row>
    <row r="87" spans="1:27" ht="30" x14ac:dyDescent="0.25">
      <c r="A87" s="52">
        <v>138744</v>
      </c>
      <c r="B87" s="52">
        <f>VLOOKUP($A87,'Выгр Кат'!$A:$R,B$1,0)</f>
        <v>50999</v>
      </c>
      <c r="C87" s="53" t="str">
        <f>VLOOKUP($A87,'Выгр Кат'!$A:$R,C$1,0)</f>
        <v>Брызговик с лонжероном "АвтоВАЗ" левый в сборе для Лада XRAY Cross</v>
      </c>
      <c r="D87" s="52" t="str">
        <f>VLOOKUP($A87,'Выгр Кат'!$A:$R,D$1,0)</f>
        <v>Y</v>
      </c>
      <c r="E87" s="52" t="str">
        <f>VLOOKUP($A87,'Выгр Кат'!$A:$R,E$1,0)</f>
        <v>1</v>
      </c>
      <c r="F87" s="52" t="str">
        <f>VLOOKUP($A87,'Выгр Кат'!$A:$R,F$1,0)</f>
        <v>8450105011</v>
      </c>
      <c r="G87" s="52" t="str">
        <f>IF(VLOOKUP($A87,'Выгр Кат'!$A:$R,G$1,0)=0,"",VLOOKUP($A87,'Выгр Кат'!$A:$R,G$1,0))</f>
        <v/>
      </c>
      <c r="H87" s="52"/>
      <c r="I87" s="52"/>
      <c r="J87" s="54">
        <f t="shared" si="23"/>
        <v>9088</v>
      </c>
      <c r="K87" s="55">
        <f>VLOOKUP(J87,Наценка!$A$1:$B$8,2,1)</f>
        <v>1.35</v>
      </c>
      <c r="L87" s="56">
        <f t="shared" si="24"/>
        <v>12268.800000000001</v>
      </c>
      <c r="M87" s="57">
        <f t="shared" si="25"/>
        <v>12290</v>
      </c>
      <c r="N87" s="52">
        <f>VLOOKUP($A87,'Выгр Кат'!$A:$R,N$1,0)</f>
        <v>9088</v>
      </c>
      <c r="O87" s="52">
        <f>VLOOKUP($A87,'Выгр Кат'!$A:$R,O$1,0)</f>
        <v>12790</v>
      </c>
      <c r="P87" s="47">
        <f t="shared" si="26"/>
        <v>0</v>
      </c>
      <c r="Q87" s="47">
        <f t="shared" si="27"/>
        <v>500</v>
      </c>
      <c r="R87" s="58">
        <f t="shared" si="28"/>
        <v>12290</v>
      </c>
      <c r="S87" s="59">
        <f t="shared" si="29"/>
        <v>0.35233274647887325</v>
      </c>
      <c r="T87" s="59" t="str">
        <f t="shared" si="30"/>
        <v/>
      </c>
      <c r="U87" s="59" t="str">
        <f t="shared" si="31"/>
        <v/>
      </c>
      <c r="V87" s="60"/>
      <c r="W87" s="69" t="str">
        <f>IFERROR((VLOOKUP($A87,'Из ГУГЛа'!$B:$Z,W$1,0)+Y87)*X87,VLOOKUP($A87,'Из ГУГЛа'!$B:$Z,W$1,0))</f>
        <v/>
      </c>
      <c r="X87" s="61">
        <v>1</v>
      </c>
      <c r="Y87" s="61">
        <v>0</v>
      </c>
      <c r="Z87" s="62" t="s">
        <v>4170</v>
      </c>
      <c r="AA87" s="60"/>
    </row>
    <row r="88" spans="1:27" ht="30" x14ac:dyDescent="0.25">
      <c r="A88" s="52">
        <v>138745</v>
      </c>
      <c r="B88" s="52">
        <f>VLOOKUP($A88,'Выгр Кат'!$A:$R,B$1,0)</f>
        <v>51763</v>
      </c>
      <c r="C88" s="53" t="str">
        <f>VLOOKUP($A88,'Выгр Кат'!$A:$R,C$1,0)</f>
        <v>Брызговик с лонжероном "АвтоВАЗ" левый в сборе для Лада Ларгус FL</v>
      </c>
      <c r="D88" s="52" t="str">
        <f>VLOOKUP($A88,'Выгр Кат'!$A:$R,D$1,0)</f>
        <v>Y</v>
      </c>
      <c r="E88" s="52" t="str">
        <f>VLOOKUP($A88,'Выгр Кат'!$A:$R,E$1,0)</f>
        <v>1</v>
      </c>
      <c r="F88" s="52" t="str">
        <f>VLOOKUP($A88,'Выгр Кат'!$A:$R,F$1,0)</f>
        <v>8450013072</v>
      </c>
      <c r="G88" s="52" t="str">
        <f>IF(VLOOKUP($A88,'Выгр Кат'!$A:$R,G$1,0)=0,"",VLOOKUP($A88,'Выгр Кат'!$A:$R,G$1,0))</f>
        <v/>
      </c>
      <c r="H88" s="52"/>
      <c r="I88" s="52"/>
      <c r="J88" s="54">
        <f t="shared" si="23"/>
        <v>14066</v>
      </c>
      <c r="K88" s="55">
        <f>VLOOKUP(J88,Наценка!$A$1:$B$8,2,1)</f>
        <v>1.3</v>
      </c>
      <c r="L88" s="56">
        <f t="shared" si="24"/>
        <v>18285.8</v>
      </c>
      <c r="M88" s="57">
        <f t="shared" si="25"/>
        <v>18290</v>
      </c>
      <c r="N88" s="52">
        <f>VLOOKUP($A88,'Выгр Кат'!$A:$R,N$1,0)</f>
        <v>14066</v>
      </c>
      <c r="O88" s="52">
        <f>VLOOKUP($A88,'Выгр Кат'!$A:$R,O$1,0)</f>
        <v>19690</v>
      </c>
      <c r="P88" s="47">
        <f t="shared" si="26"/>
        <v>0</v>
      </c>
      <c r="Q88" s="47">
        <f t="shared" si="27"/>
        <v>1400</v>
      </c>
      <c r="R88" s="58">
        <f t="shared" si="28"/>
        <v>18290</v>
      </c>
      <c r="S88" s="59">
        <f t="shared" si="29"/>
        <v>0.30029859235034828</v>
      </c>
      <c r="T88" s="59" t="str">
        <f t="shared" si="30"/>
        <v/>
      </c>
      <c r="U88" s="59" t="str">
        <f t="shared" si="31"/>
        <v/>
      </c>
      <c r="V88" s="60"/>
      <c r="W88" s="69" t="str">
        <f>IFERROR((VLOOKUP($A88,'Из ГУГЛа'!$B:$Z,W$1,0)+Y88)*X88,VLOOKUP($A88,'Из ГУГЛа'!$B:$Z,W$1,0))</f>
        <v/>
      </c>
      <c r="X88" s="61">
        <v>1</v>
      </c>
      <c r="Y88" s="61">
        <v>0</v>
      </c>
      <c r="Z88" s="60" t="s">
        <v>4170</v>
      </c>
      <c r="AA88" s="60"/>
    </row>
    <row r="89" spans="1:27" ht="30" x14ac:dyDescent="0.25">
      <c r="A89" s="52">
        <v>138746</v>
      </c>
      <c r="B89" s="52">
        <f>VLOOKUP($A89,'Выгр Кат'!$A:$R,B$1,0)</f>
        <v>31110</v>
      </c>
      <c r="C89" s="53" t="str">
        <f>VLOOKUP($A89,'Выгр Кат'!$A:$R,C$1,0)</f>
        <v>Брызговик с лонжероном "АвтоВАЗ" левый, в сборе для Лада Веста</v>
      </c>
      <c r="D89" s="52" t="str">
        <f>VLOOKUP($A89,'Выгр Кат'!$A:$R,D$1,0)</f>
        <v>Y</v>
      </c>
      <c r="E89" s="52" t="str">
        <f>VLOOKUP($A89,'Выгр Кат'!$A:$R,E$1,0)</f>
        <v>1</v>
      </c>
      <c r="F89" s="52" t="str">
        <f>VLOOKUP($A89,'Выгр Кат'!$A:$R,F$1,0)</f>
        <v>8460008776</v>
      </c>
      <c r="G89" s="52" t="str">
        <f>IF(VLOOKUP($A89,'Выгр Кат'!$A:$R,G$1,0)=0,"",VLOOKUP($A89,'Выгр Кат'!$A:$R,G$1,0))</f>
        <v>https://motorring.ru/product/36821-bryzgovik-perednego-kryla-leviy-longheronom-vesta</v>
      </c>
      <c r="H89" s="52"/>
      <c r="I89" s="52"/>
      <c r="J89" s="54">
        <f t="shared" si="23"/>
        <v>21777</v>
      </c>
      <c r="K89" s="55">
        <f>VLOOKUP(J89,Наценка!$A$1:$B$8,2,1)</f>
        <v>1.3</v>
      </c>
      <c r="L89" s="56">
        <f t="shared" si="24"/>
        <v>28310.100000000002</v>
      </c>
      <c r="M89" s="57">
        <f t="shared" si="25"/>
        <v>28390</v>
      </c>
      <c r="N89" s="52">
        <f>VLOOKUP($A89,'Выгр Кат'!$A:$R,N$1,0)</f>
        <v>21777</v>
      </c>
      <c r="O89" s="52">
        <f>VLOOKUP($A89,'Выгр Кат'!$A:$R,O$1,0)</f>
        <v>30490</v>
      </c>
      <c r="P89" s="47">
        <f t="shared" si="26"/>
        <v>0</v>
      </c>
      <c r="Q89" s="47">
        <f t="shared" si="27"/>
        <v>2100</v>
      </c>
      <c r="R89" s="58">
        <f t="shared" si="28"/>
        <v>28390</v>
      </c>
      <c r="S89" s="59">
        <f t="shared" si="29"/>
        <v>0.30366900858704127</v>
      </c>
      <c r="T89" s="59">
        <f t="shared" si="30"/>
        <v>7.1918927754168027E-2</v>
      </c>
      <c r="U89" s="59">
        <f t="shared" si="31"/>
        <v>0.40469302475088398</v>
      </c>
      <c r="V89" s="42">
        <f>Z89</f>
        <v>30590</v>
      </c>
      <c r="W89" s="69">
        <f>IFERROR((VLOOKUP($A89,'Из ГУГЛа'!$B:$Z,W$1,0)+Y89)*X89,VLOOKUP($A89,'Из ГУГЛа'!$B:$Z,W$1,0))</f>
        <v>30590</v>
      </c>
      <c r="X89" s="61">
        <v>1</v>
      </c>
      <c r="Y89" s="61">
        <v>0</v>
      </c>
      <c r="Z89" s="70">
        <v>30590</v>
      </c>
      <c r="AA89" s="60" t="s">
        <v>250</v>
      </c>
    </row>
    <row r="90" spans="1:27" ht="30" x14ac:dyDescent="0.25">
      <c r="A90" s="52">
        <v>138747</v>
      </c>
      <c r="B90" s="52">
        <f>VLOOKUP($A90,'Выгр Кат'!$A:$R,B$1,0)</f>
        <v>51765</v>
      </c>
      <c r="C90" s="53" t="str">
        <f>VLOOKUP($A90,'Выгр Кат'!$A:$R,C$1,0)</f>
        <v>Брызговик с лонжероном "АвтоВАЗ" правый в сборе для Лада Ларгус</v>
      </c>
      <c r="D90" s="52" t="str">
        <f>VLOOKUP($A90,'Выгр Кат'!$A:$R,D$1,0)</f>
        <v>Y</v>
      </c>
      <c r="E90" s="52" t="str">
        <f>VLOOKUP($A90,'Выгр Кат'!$A:$R,E$1,0)</f>
        <v>1</v>
      </c>
      <c r="F90" s="52" t="str">
        <f>VLOOKUP($A90,'Выгр Кат'!$A:$R,F$1,0)</f>
        <v>8450013073</v>
      </c>
      <c r="G90" s="52" t="str">
        <f>IF(VLOOKUP($A90,'Выгр Кат'!$A:$R,G$1,0)=0,"",VLOOKUP($A90,'Выгр Кат'!$A:$R,G$1,0))</f>
        <v/>
      </c>
      <c r="H90" s="52"/>
      <c r="I90" s="52"/>
      <c r="J90" s="54">
        <f t="shared" si="23"/>
        <v>15840</v>
      </c>
      <c r="K90" s="55">
        <f>VLOOKUP(J90,Наценка!$A$1:$B$8,2,1)</f>
        <v>1.3</v>
      </c>
      <c r="L90" s="56">
        <f t="shared" si="24"/>
        <v>20592</v>
      </c>
      <c r="M90" s="57">
        <f t="shared" si="25"/>
        <v>20590</v>
      </c>
      <c r="N90" s="52">
        <f>VLOOKUP($A90,'Выгр Кат'!$A:$R,N$1,0)</f>
        <v>15840</v>
      </c>
      <c r="O90" s="52">
        <f>VLOOKUP($A90,'Выгр Кат'!$A:$R,O$1,0)</f>
        <v>22190</v>
      </c>
      <c r="P90" s="47">
        <f t="shared" si="26"/>
        <v>0</v>
      </c>
      <c r="Q90" s="47">
        <f t="shared" si="27"/>
        <v>1600</v>
      </c>
      <c r="R90" s="58">
        <f t="shared" si="28"/>
        <v>20590</v>
      </c>
      <c r="S90" s="59">
        <f t="shared" si="29"/>
        <v>0.29987373737373746</v>
      </c>
      <c r="T90" s="59" t="str">
        <f t="shared" si="30"/>
        <v/>
      </c>
      <c r="U90" s="59" t="str">
        <f t="shared" si="31"/>
        <v/>
      </c>
      <c r="V90" s="60"/>
      <c r="W90" s="69" t="str">
        <f>IFERROR((VLOOKUP($A90,'Из ГУГЛа'!$B:$Z,W$1,0)+Y90)*X90,VLOOKUP($A90,'Из ГУГЛа'!$B:$Z,W$1,0))</f>
        <v/>
      </c>
      <c r="X90" s="61">
        <v>1</v>
      </c>
      <c r="Y90" s="61">
        <v>0</v>
      </c>
      <c r="Z90" s="60" t="s">
        <v>4170</v>
      </c>
      <c r="AA90" s="60"/>
    </row>
    <row r="91" spans="1:27" ht="30" x14ac:dyDescent="0.25">
      <c r="A91" s="52">
        <v>138748</v>
      </c>
      <c r="B91" s="52">
        <f>VLOOKUP($A91,'Выгр Кат'!$A:$R,B$1,0)</f>
        <v>31083</v>
      </c>
      <c r="C91" s="53" t="str">
        <f>VLOOKUP($A91,'Выгр Кат'!$A:$R,C$1,0)</f>
        <v>Брызговик с лонжероном "АвтоВАЗ" правый, в сборе для Лада XRAY</v>
      </c>
      <c r="D91" s="52" t="str">
        <f>VLOOKUP($A91,'Выгр Кат'!$A:$R,D$1,0)</f>
        <v>Y</v>
      </c>
      <c r="E91" s="52" t="str">
        <f>VLOOKUP($A91,'Выгр Кат'!$A:$R,E$1,0)</f>
        <v>1</v>
      </c>
      <c r="F91" s="52" t="str">
        <f>VLOOKUP($A91,'Выгр Кат'!$A:$R,F$1,0)</f>
        <v>8450105010</v>
      </c>
      <c r="G91" s="52" t="str">
        <f>IF(VLOOKUP($A91,'Выгр Кат'!$A:$R,G$1,0)=0,"",VLOOKUP($A91,'Выгр Кат'!$A:$R,G$1,0))</f>
        <v>https://motorring.ru/product/40890-pravyy-bryzgovik-longheronom-sbore-kataforez-lada-xray</v>
      </c>
      <c r="H91" s="52"/>
      <c r="I91" s="52"/>
      <c r="J91" s="54">
        <f t="shared" si="23"/>
        <v>8298</v>
      </c>
      <c r="K91" s="55">
        <f>VLOOKUP(J91,Наценка!$A$1:$B$8,2,1)</f>
        <v>1.35</v>
      </c>
      <c r="L91" s="56">
        <f t="shared" si="24"/>
        <v>11202.300000000001</v>
      </c>
      <c r="M91" s="57">
        <f t="shared" si="25"/>
        <v>11290</v>
      </c>
      <c r="N91" s="52">
        <f>VLOOKUP($A91,'Выгр Кат'!$A:$R,N$1,0)</f>
        <v>8298</v>
      </c>
      <c r="O91" s="52">
        <f>VLOOKUP($A91,'Выгр Кат'!$A:$R,O$1,0)</f>
        <v>11690</v>
      </c>
      <c r="P91" s="47">
        <f t="shared" si="26"/>
        <v>0</v>
      </c>
      <c r="Q91" s="47">
        <f t="shared" si="27"/>
        <v>400</v>
      </c>
      <c r="R91" s="58">
        <f t="shared" si="28"/>
        <v>11290</v>
      </c>
      <c r="S91" s="59">
        <f t="shared" si="29"/>
        <v>0.36056881176187039</v>
      </c>
      <c r="T91" s="59">
        <f t="shared" si="30"/>
        <v>8.7796312554872698E-3</v>
      </c>
      <c r="U91" s="59">
        <f t="shared" si="31"/>
        <v>0.37261990841166548</v>
      </c>
      <c r="V91" s="42">
        <f t="shared" ref="V91:V95" si="36">Z91</f>
        <v>11390</v>
      </c>
      <c r="W91" s="69">
        <f>IFERROR((VLOOKUP($A91,'Из ГУГЛа'!$B:$Z,W$1,0)+Y91)*X91,VLOOKUP($A91,'Из ГУГЛа'!$B:$Z,W$1,0))</f>
        <v>11390</v>
      </c>
      <c r="X91" s="61">
        <v>1</v>
      </c>
      <c r="Y91" s="61">
        <v>0</v>
      </c>
      <c r="Z91" s="70">
        <v>11390</v>
      </c>
      <c r="AA91" s="60" t="s">
        <v>256</v>
      </c>
    </row>
    <row r="92" spans="1:27" ht="45" x14ac:dyDescent="0.25">
      <c r="A92" s="52">
        <v>138749</v>
      </c>
      <c r="B92" s="52">
        <f>VLOOKUP($A92,'Выгр Кат'!$A:$R,B$1,0)</f>
        <v>31203</v>
      </c>
      <c r="C92" s="53" t="str">
        <f>VLOOKUP($A92,'Выгр Кат'!$A:$R,C$1,0)</f>
        <v>Брызговик с лонжероном в сборе (катафорез) "АвтоВАЗ" левый для Лада Калина 2</v>
      </c>
      <c r="D92" s="52" t="str">
        <f>VLOOKUP($A92,'Выгр Кат'!$A:$R,D$1,0)</f>
        <v>Y</v>
      </c>
      <c r="E92" s="52" t="str">
        <f>VLOOKUP($A92,'Выгр Кат'!$A:$R,E$1,0)</f>
        <v>1</v>
      </c>
      <c r="F92" s="52" t="str">
        <f>VLOOKUP($A92,'Выгр Кат'!$A:$R,F$1,0)</f>
        <v>8450104963</v>
      </c>
      <c r="G92" s="52" t="str">
        <f>IF(VLOOKUP($A92,'Выгр Кат'!$A:$R,G$1,0)=0,"",VLOOKUP($A92,'Выгр Кат'!$A:$R,G$1,0))</f>
        <v>https://motorring.ru/product/33607-bryzgovik-levyy-longheronom-sbore-kataforez-granta-fl</v>
      </c>
      <c r="H92" s="52"/>
      <c r="I92" s="52"/>
      <c r="J92" s="54">
        <f t="shared" si="23"/>
        <v>16655</v>
      </c>
      <c r="K92" s="55">
        <f>VLOOKUP(J92,Наценка!$A$1:$B$8,2,1)</f>
        <v>1.3</v>
      </c>
      <c r="L92" s="56">
        <f t="shared" si="24"/>
        <v>21651.5</v>
      </c>
      <c r="M92" s="57">
        <f t="shared" si="25"/>
        <v>21690</v>
      </c>
      <c r="N92" s="52">
        <f>VLOOKUP($A92,'Выгр Кат'!$A:$R,N$1,0)</f>
        <v>16655</v>
      </c>
      <c r="O92" s="52">
        <f>VLOOKUP($A92,'Выгр Кат'!$A:$R,O$1,0)</f>
        <v>21690</v>
      </c>
      <c r="P92" s="47">
        <f t="shared" si="26"/>
        <v>0</v>
      </c>
      <c r="Q92" s="47">
        <f t="shared" si="27"/>
        <v>0</v>
      </c>
      <c r="R92" s="58">
        <f t="shared" si="28"/>
        <v>21690</v>
      </c>
      <c r="S92" s="59">
        <f t="shared" si="29"/>
        <v>0.30231161813269281</v>
      </c>
      <c r="T92" s="59">
        <f t="shared" si="30"/>
        <v>-0.22611644997173544</v>
      </c>
      <c r="U92" s="59">
        <f t="shared" si="31"/>
        <v>6.2143500450315248E-2</v>
      </c>
      <c r="V92" s="42">
        <f t="shared" si="36"/>
        <v>17690</v>
      </c>
      <c r="W92" s="69">
        <f>IFERROR((VLOOKUP($A92,'Из ГУГЛа'!$B:$Z,W$1,0)+Y92)*X92,VLOOKUP($A92,'Из ГУГЛа'!$B:$Z,W$1,0))</f>
        <v>17690</v>
      </c>
      <c r="X92" s="61">
        <v>1</v>
      </c>
      <c r="Y92" s="61">
        <v>0</v>
      </c>
      <c r="Z92" s="70">
        <v>17690</v>
      </c>
      <c r="AA92" s="60" t="s">
        <v>259</v>
      </c>
    </row>
    <row r="93" spans="1:27" ht="45" x14ac:dyDescent="0.25">
      <c r="A93" s="52">
        <v>138750</v>
      </c>
      <c r="B93" s="52">
        <f>VLOOKUP($A93,'Выгр Кат'!$A:$R,B$1,0)</f>
        <v>31204</v>
      </c>
      <c r="C93" s="53" t="str">
        <f>VLOOKUP($A93,'Выгр Кат'!$A:$R,C$1,0)</f>
        <v>Брызговик с лонжероном в сборе (катафорез) "АвтоВАЗ" правый для Лада Калина 2</v>
      </c>
      <c r="D93" s="52" t="str">
        <f>VLOOKUP($A93,'Выгр Кат'!$A:$R,D$1,0)</f>
        <v>Y</v>
      </c>
      <c r="E93" s="52" t="str">
        <f>VLOOKUP($A93,'Выгр Кат'!$A:$R,E$1,0)</f>
        <v>1</v>
      </c>
      <c r="F93" s="52" t="str">
        <f>VLOOKUP($A93,'Выгр Кат'!$A:$R,F$1,0)</f>
        <v>8450104962</v>
      </c>
      <c r="G93" s="52" t="str">
        <f>IF(VLOOKUP($A93,'Выгр Кат'!$A:$R,G$1,0)=0,"",VLOOKUP($A93,'Выгр Кат'!$A:$R,G$1,0))</f>
        <v>https://motorring.ru/product/33608-bryzgovik-pravyy-longheronom-sbore-kataforez-granta-fl</v>
      </c>
      <c r="H93" s="52"/>
      <c r="I93" s="52"/>
      <c r="J93" s="54">
        <f t="shared" si="23"/>
        <v>13362</v>
      </c>
      <c r="K93" s="55">
        <f>VLOOKUP(J93,Наценка!$A$1:$B$8,2,1)</f>
        <v>1.3</v>
      </c>
      <c r="L93" s="56">
        <f t="shared" si="24"/>
        <v>17370.600000000002</v>
      </c>
      <c r="M93" s="57">
        <f t="shared" si="25"/>
        <v>17390</v>
      </c>
      <c r="N93" s="52">
        <f>VLOOKUP($A93,'Выгр Кат'!$A:$R,N$1,0)</f>
        <v>13362</v>
      </c>
      <c r="O93" s="52">
        <f>VLOOKUP($A93,'Выгр Кат'!$A:$R,O$1,0)</f>
        <v>18790</v>
      </c>
      <c r="P93" s="47">
        <f t="shared" si="26"/>
        <v>0</v>
      </c>
      <c r="Q93" s="47">
        <f t="shared" si="27"/>
        <v>1400</v>
      </c>
      <c r="R93" s="58">
        <f t="shared" si="28"/>
        <v>17390</v>
      </c>
      <c r="S93" s="59">
        <f t="shared" si="29"/>
        <v>0.30145187846130828</v>
      </c>
      <c r="T93" s="59">
        <f t="shared" si="30"/>
        <v>1.6958733747880157E-2</v>
      </c>
      <c r="U93" s="59">
        <f t="shared" si="31"/>
        <v>0.32390360724442457</v>
      </c>
      <c r="V93" s="42">
        <f t="shared" si="36"/>
        <v>17690</v>
      </c>
      <c r="W93" s="69">
        <f>IFERROR((VLOOKUP($A93,'Из ГУГЛа'!$B:$Z,W$1,0)+Y93)*X93,VLOOKUP($A93,'Из ГУГЛа'!$B:$Z,W$1,0))</f>
        <v>17690</v>
      </c>
      <c r="X93" s="61">
        <v>1</v>
      </c>
      <c r="Y93" s="61">
        <v>0</v>
      </c>
      <c r="Z93" s="70">
        <v>17690</v>
      </c>
      <c r="AA93" s="60" t="s">
        <v>262</v>
      </c>
    </row>
    <row r="94" spans="1:27" ht="30" x14ac:dyDescent="0.25">
      <c r="A94" s="52">
        <v>138838</v>
      </c>
      <c r="B94" s="52">
        <f>VLOOKUP($A94,'Выгр Кат'!$A:$R,B$1,0)</f>
        <v>6697</v>
      </c>
      <c r="C94" s="53" t="str">
        <f>VLOOKUP($A94,'Выгр Кат'!$A:$R,C$1,0)</f>
        <v>Буксировочный крюк с кронштейном для Лада Приора 2</v>
      </c>
      <c r="D94" s="52" t="str">
        <f>VLOOKUP($A94,'Выгр Кат'!$A:$R,D$1,0)</f>
        <v>Y</v>
      </c>
      <c r="E94" s="52" t="str">
        <f>VLOOKUP($A94,'Выгр Кат'!$A:$R,E$1,0)</f>
        <v>1</v>
      </c>
      <c r="F94" s="52">
        <f>VLOOKUP($A94,'Выгр Кат'!$A:$R,F$1,0)</f>
        <v>0</v>
      </c>
      <c r="G94" s="52" t="str">
        <f>IF(VLOOKUP($A94,'Выгр Кат'!$A:$R,G$1,0)=0,"",VLOOKUP($A94,'Выгр Кат'!$A:$R,G$1,0))</f>
        <v>https://motorring.ru/product/3474-buksirovochnyy-kryuk-kronshteynom-lada-priora</v>
      </c>
      <c r="H94" s="52"/>
      <c r="I94" s="52"/>
      <c r="J94" s="54">
        <f t="shared" si="23"/>
        <v>650</v>
      </c>
      <c r="K94" s="55">
        <f>VLOOKUP(J94,Наценка!$A$1:$B$8,2,1)</f>
        <v>1.55</v>
      </c>
      <c r="L94" s="56">
        <f t="shared" si="24"/>
        <v>1007.5</v>
      </c>
      <c r="M94" s="57">
        <f t="shared" si="25"/>
        <v>1090</v>
      </c>
      <c r="N94" s="52">
        <f>VLOOKUP($A94,'Выгр Кат'!$A:$R,N$1,0)</f>
        <v>650</v>
      </c>
      <c r="O94" s="52">
        <f>VLOOKUP($A94,'Выгр Кат'!$A:$R,O$1,0)</f>
        <v>950</v>
      </c>
      <c r="P94" s="47">
        <f t="shared" si="26"/>
        <v>0</v>
      </c>
      <c r="Q94" s="47">
        <f t="shared" si="27"/>
        <v>-140</v>
      </c>
      <c r="R94" s="58">
        <f t="shared" si="28"/>
        <v>1090</v>
      </c>
      <c r="S94" s="59">
        <f t="shared" si="29"/>
        <v>0.67692307692307696</v>
      </c>
      <c r="T94" s="59">
        <f t="shared" si="30"/>
        <v>-0.10101010101010101</v>
      </c>
      <c r="U94" s="59">
        <f t="shared" si="31"/>
        <v>0.52307692307692299</v>
      </c>
      <c r="V94" s="42">
        <f t="shared" si="36"/>
        <v>990</v>
      </c>
      <c r="W94" s="69">
        <f>IFERROR((VLOOKUP($A94,'Из ГУГЛа'!$B:$Z,W$1,0)+Y94)*X94,VLOOKUP($A94,'Из ГУГЛа'!$B:$Z,W$1,0))</f>
        <v>990</v>
      </c>
      <c r="X94" s="61">
        <v>1</v>
      </c>
      <c r="Y94" s="61">
        <v>0</v>
      </c>
      <c r="Z94" s="70">
        <v>990</v>
      </c>
      <c r="AA94" s="60" t="s">
        <v>264</v>
      </c>
    </row>
    <row r="95" spans="1:27" ht="30" x14ac:dyDescent="0.25">
      <c r="A95" s="52">
        <v>139262</v>
      </c>
      <c r="B95" s="52">
        <f>VLOOKUP($A95,'Выгр Кат'!$A:$R,B$1,0)</f>
        <v>23627</v>
      </c>
      <c r="C95" s="53" t="str">
        <f>VLOOKUP($A95,'Выгр Кат'!$A:$R,C$1,0)</f>
        <v>Внутренний порог "НАЧАЛО" (левый) для ВАЗ 2110-2112, Лада Приора</v>
      </c>
      <c r="D95" s="52" t="str">
        <f>VLOOKUP($A95,'Выгр Кат'!$A:$R,D$1,0)</f>
        <v>Y</v>
      </c>
      <c r="E95" s="52" t="str">
        <f>VLOOKUP($A95,'Выгр Кат'!$A:$R,E$1,0)</f>
        <v>1</v>
      </c>
      <c r="F95" s="52" t="str">
        <f>VLOOKUP($A95,'Выгр Кат'!$A:$R,F$1,0)</f>
        <v>21100510106720</v>
      </c>
      <c r="G95" s="52" t="str">
        <f>IF(VLOOKUP($A95,'Выгр Кат'!$A:$R,G$1,0)=0,"",VLOOKUP($A95,'Выгр Кат'!$A:$R,G$1,0))</f>
        <v>https://motorring.ru/product/35453-soedinitely-poroga-pola-levyy-kataforez-sbore-vaz-2110</v>
      </c>
      <c r="H95" s="52"/>
      <c r="I95" s="52"/>
      <c r="J95" s="54">
        <f t="shared" si="23"/>
        <v>1810</v>
      </c>
      <c r="K95" s="55">
        <f>VLOOKUP(J95,Наценка!$A$1:$B$8,2,1)</f>
        <v>1.5</v>
      </c>
      <c r="L95" s="56">
        <f t="shared" si="24"/>
        <v>2715</v>
      </c>
      <c r="M95" s="57">
        <f t="shared" si="25"/>
        <v>2790</v>
      </c>
      <c r="N95" s="52">
        <f>VLOOKUP($A95,'Выгр Кат'!$A:$R,N$1,0)</f>
        <v>1810</v>
      </c>
      <c r="O95" s="52">
        <f>VLOOKUP($A95,'Выгр Кат'!$A:$R,O$1,0)</f>
        <v>2790</v>
      </c>
      <c r="P95" s="47">
        <f t="shared" si="26"/>
        <v>0</v>
      </c>
      <c r="Q95" s="47">
        <f t="shared" si="27"/>
        <v>0</v>
      </c>
      <c r="R95" s="58">
        <f t="shared" si="28"/>
        <v>2790</v>
      </c>
      <c r="S95" s="59">
        <f t="shared" si="29"/>
        <v>0.54143646408839774</v>
      </c>
      <c r="T95" s="59">
        <f t="shared" si="30"/>
        <v>-1.8181818181818181</v>
      </c>
      <c r="U95" s="59">
        <f t="shared" si="31"/>
        <v>-0.45303867403314912</v>
      </c>
      <c r="V95" s="42">
        <f t="shared" si="36"/>
        <v>990</v>
      </c>
      <c r="W95" s="69">
        <f>IFERROR((VLOOKUP($A95,'Из ГУГЛа'!$B:$Z,W$1,0)+Y95)*X95,VLOOKUP($A95,'Из ГУГЛа'!$B:$Z,W$1,0))</f>
        <v>990</v>
      </c>
      <c r="X95" s="61">
        <v>1</v>
      </c>
      <c r="Y95" s="61">
        <v>0</v>
      </c>
      <c r="Z95" s="70">
        <v>990</v>
      </c>
      <c r="AA95" s="60" t="s">
        <v>267</v>
      </c>
    </row>
    <row r="96" spans="1:27" ht="30" x14ac:dyDescent="0.25">
      <c r="A96" s="52">
        <v>139619</v>
      </c>
      <c r="B96" s="52">
        <f>VLOOKUP($A96,'Выгр Кат'!$A:$R,B$1,0)</f>
        <v>42933</v>
      </c>
      <c r="C96" s="53" t="str">
        <f>VLOOKUP($A96,'Выгр Кат'!$A:$R,C$1,0)</f>
        <v>Вставка заднего бампера "АвтоВАЗ" правая в сборе для Лада Веста NG</v>
      </c>
      <c r="D96" s="52" t="str">
        <f>VLOOKUP($A96,'Выгр Кат'!$A:$R,D$1,0)</f>
        <v>Y</v>
      </c>
      <c r="E96" s="52" t="str">
        <f>VLOOKUP($A96,'Выгр Кат'!$A:$R,E$1,0)</f>
        <v>1</v>
      </c>
      <c r="F96" s="52" t="str">
        <f>VLOOKUP($A96,'Выгр Кат'!$A:$R,F$1,0)</f>
        <v>8450041042</v>
      </c>
      <c r="G96" s="52" t="str">
        <f>IF(VLOOKUP($A96,'Выгр Кат'!$A:$R,G$1,0)=0,"",VLOOKUP($A96,'Выгр Кат'!$A:$R,G$1,0))</f>
        <v>https://motorring.ru/product/38196-kronshteyn-zadnego-bampera-pravyy-dlya-lada-vesta</v>
      </c>
      <c r="H96" s="52"/>
      <c r="I96" s="52"/>
      <c r="J96" s="54">
        <f t="shared" si="23"/>
        <v>880</v>
      </c>
      <c r="K96" s="55">
        <f>VLOOKUP(J96,Наценка!$A$1:$B$8,2,1)</f>
        <v>1.55</v>
      </c>
      <c r="L96" s="56">
        <f t="shared" si="24"/>
        <v>1364</v>
      </c>
      <c r="M96" s="57">
        <f t="shared" si="25"/>
        <v>1390</v>
      </c>
      <c r="N96" s="52">
        <f>VLOOKUP($A96,'Выгр Кат'!$A:$R,N$1,0)</f>
        <v>880</v>
      </c>
      <c r="O96" s="52">
        <f>VLOOKUP($A96,'Выгр Кат'!$A:$R,O$1,0)</f>
        <v>1390</v>
      </c>
      <c r="P96" s="47">
        <f t="shared" si="26"/>
        <v>0</v>
      </c>
      <c r="Q96" s="47">
        <f t="shared" si="27"/>
        <v>0</v>
      </c>
      <c r="R96" s="58">
        <f t="shared" si="28"/>
        <v>1390</v>
      </c>
      <c r="S96" s="59">
        <f t="shared" si="29"/>
        <v>0.57954545454545459</v>
      </c>
      <c r="T96" s="59">
        <f t="shared" si="30"/>
        <v>-7.7519379844961239E-2</v>
      </c>
      <c r="U96" s="59">
        <f t="shared" si="31"/>
        <v>0.46590909090909083</v>
      </c>
      <c r="V96" s="42">
        <f>Z96</f>
        <v>1290</v>
      </c>
      <c r="W96" s="69">
        <f>IFERROR((VLOOKUP($A96,'Из ГУГЛа'!$B:$Z,W$1,0)+Y96)*X96,VLOOKUP($A96,'Из ГУГЛа'!$B:$Z,W$1,0))</f>
        <v>1290</v>
      </c>
      <c r="X96" s="61">
        <v>1</v>
      </c>
      <c r="Y96" s="61">
        <v>0</v>
      </c>
      <c r="Z96" s="70">
        <v>1290</v>
      </c>
      <c r="AA96" s="60" t="s">
        <v>271</v>
      </c>
    </row>
    <row r="97" spans="1:27" x14ac:dyDescent="0.25">
      <c r="A97" s="52">
        <v>142251</v>
      </c>
      <c r="B97" s="52">
        <f>VLOOKUP($A97,'Выгр Кат'!$A:$R,B$1,0)</f>
        <v>30061</v>
      </c>
      <c r="C97" s="53" t="str">
        <f>VLOOKUP($A97,'Выгр Кат'!$A:$R,C$1,0)</f>
        <v>Дверь задняя левая для ВАЗ 2105, 2107</v>
      </c>
      <c r="D97" s="52" t="str">
        <f>VLOOKUP($A97,'Выгр Кат'!$A:$R,D$1,0)</f>
        <v>Y</v>
      </c>
      <c r="E97" s="52" t="str">
        <f>VLOOKUP($A97,'Выгр Кат'!$A:$R,E$1,0)</f>
        <v>1</v>
      </c>
      <c r="F97" s="52" t="str">
        <f>VLOOKUP($A97,'Выгр Кат'!$A:$R,F$1,0)</f>
        <v>21050620001518</v>
      </c>
      <c r="G97" s="52" t="str">
        <f>IF(VLOOKUP($A97,'Выгр Кат'!$A:$R,G$1,0)=0,"",VLOOKUP($A97,'Выгр Кат'!$A:$R,G$1,0))</f>
        <v/>
      </c>
      <c r="H97" s="52"/>
      <c r="I97" s="52"/>
      <c r="J97" s="54">
        <f t="shared" si="23"/>
        <v>9410</v>
      </c>
      <c r="K97" s="55">
        <f>VLOOKUP(J97,Наценка!$A$1:$B$8,2,1)</f>
        <v>1.35</v>
      </c>
      <c r="L97" s="56">
        <f t="shared" si="24"/>
        <v>12703.5</v>
      </c>
      <c r="M97" s="57">
        <f t="shared" si="25"/>
        <v>12790</v>
      </c>
      <c r="N97" s="52">
        <f>VLOOKUP($A97,'Выгр Кат'!$A:$R,N$1,0)</f>
        <v>9410</v>
      </c>
      <c r="O97" s="52">
        <f>VLOOKUP($A97,'Выгр Кат'!$A:$R,O$1,0)</f>
        <v>12790</v>
      </c>
      <c r="P97" s="47">
        <f t="shared" si="26"/>
        <v>0</v>
      </c>
      <c r="Q97" s="47">
        <f t="shared" si="27"/>
        <v>0</v>
      </c>
      <c r="R97" s="58">
        <f t="shared" si="28"/>
        <v>12790</v>
      </c>
      <c r="S97" s="59">
        <f t="shared" si="29"/>
        <v>0.35919234856535609</v>
      </c>
      <c r="T97" s="59">
        <f t="shared" si="30"/>
        <v>-0.40704070407040704</v>
      </c>
      <c r="U97" s="59">
        <f t="shared" si="31"/>
        <v>-3.4006376195536703E-2</v>
      </c>
      <c r="V97" s="42">
        <f t="shared" ref="V97:V98" si="37">Z97</f>
        <v>9090</v>
      </c>
      <c r="W97" s="69" t="str">
        <f>IFERROR((VLOOKUP($A97,'Из ГУГЛа'!$B:$Z,W$1,0)+Y97)*X97,VLOOKUP($A97,'Из ГУГЛа'!$B:$Z,W$1,0))</f>
        <v/>
      </c>
      <c r="X97" s="61">
        <v>1</v>
      </c>
      <c r="Y97" s="61">
        <v>0</v>
      </c>
      <c r="Z97" s="60">
        <v>9090</v>
      </c>
      <c r="AA97" s="60" t="s">
        <v>4289</v>
      </c>
    </row>
    <row r="98" spans="1:27" ht="30" x14ac:dyDescent="0.25">
      <c r="A98" s="52">
        <v>142253</v>
      </c>
      <c r="B98" s="52">
        <f>VLOOKUP($A98,'Выгр Кат'!$A:$R,B$1,0)</f>
        <v>8470</v>
      </c>
      <c r="C98" s="53" t="str">
        <f>VLOOKUP($A98,'Выгр Кат'!$A:$R,C$1,0)</f>
        <v>Дверь задняя правая для ВАЗ 2105, 2107</v>
      </c>
      <c r="D98" s="52" t="str">
        <f>VLOOKUP($A98,'Выгр Кат'!$A:$R,D$1,0)</f>
        <v>Y</v>
      </c>
      <c r="E98" s="52" t="str">
        <f>VLOOKUP($A98,'Выгр Кат'!$A:$R,E$1,0)</f>
        <v>1</v>
      </c>
      <c r="F98" s="52" t="str">
        <f>VLOOKUP($A98,'Выгр Кат'!$A:$R,F$1,0)</f>
        <v>21050620001418</v>
      </c>
      <c r="G98" s="52" t="str">
        <f>IF(VLOOKUP($A98,'Выгр Кат'!$A:$R,G$1,0)=0,"",VLOOKUP($A98,'Выгр Кат'!$A:$R,G$1,0))</f>
        <v/>
      </c>
      <c r="H98" s="52"/>
      <c r="I98" s="52"/>
      <c r="J98" s="54">
        <f t="shared" si="23"/>
        <v>9608</v>
      </c>
      <c r="K98" s="55">
        <f>VLOOKUP(J98,Наценка!$A$1:$B$8,2,1)</f>
        <v>1.35</v>
      </c>
      <c r="L98" s="56">
        <f t="shared" si="24"/>
        <v>12970.800000000001</v>
      </c>
      <c r="M98" s="57">
        <f t="shared" si="25"/>
        <v>12990</v>
      </c>
      <c r="N98" s="52">
        <f>VLOOKUP($A98,'Выгр Кат'!$A:$R,N$1,0)</f>
        <v>9608</v>
      </c>
      <c r="O98" s="52">
        <f>VLOOKUP($A98,'Выгр Кат'!$A:$R,O$1,0)</f>
        <v>12990</v>
      </c>
      <c r="P98" s="47">
        <f t="shared" si="26"/>
        <v>0</v>
      </c>
      <c r="Q98" s="47">
        <f t="shared" si="27"/>
        <v>0</v>
      </c>
      <c r="R98" s="58">
        <f t="shared" si="28"/>
        <v>12990</v>
      </c>
      <c r="S98" s="59">
        <f t="shared" si="29"/>
        <v>0.35199833472106579</v>
      </c>
      <c r="T98" s="59">
        <f t="shared" si="30"/>
        <v>-0.42904290429042902</v>
      </c>
      <c r="U98" s="59">
        <f t="shared" si="31"/>
        <v>-5.3913405495420452E-2</v>
      </c>
      <c r="V98" s="42">
        <f t="shared" si="37"/>
        <v>9090</v>
      </c>
      <c r="W98" s="69" t="str">
        <f>IFERROR((VLOOKUP($A98,'Из ГУГЛа'!$B:$Z,W$1,0)+Y98)*X98,VLOOKUP($A98,'Из ГУГЛа'!$B:$Z,W$1,0))</f>
        <v/>
      </c>
      <c r="X98" s="61">
        <v>1</v>
      </c>
      <c r="Y98" s="61">
        <v>0</v>
      </c>
      <c r="Z98" s="60">
        <v>9090</v>
      </c>
      <c r="AA98" s="60" t="s">
        <v>4290</v>
      </c>
    </row>
    <row r="99" spans="1:27" ht="30" x14ac:dyDescent="0.25">
      <c r="A99" s="52">
        <v>142285</v>
      </c>
      <c r="B99" s="52">
        <f>VLOOKUP($A99,'Выгр Кат'!$A:$R,B$1,0)</f>
        <v>17439</v>
      </c>
      <c r="C99" s="53" t="str">
        <f>VLOOKUP($A99,'Выгр Кат'!$A:$R,C$1,0)</f>
        <v>Дверь передняя левая на ВАЗ 2104, 2105, 2107</v>
      </c>
      <c r="D99" s="52" t="str">
        <f>VLOOKUP($A99,'Выгр Кат'!$A:$R,D$1,0)</f>
        <v>Y</v>
      </c>
      <c r="E99" s="52" t="str">
        <f>VLOOKUP($A99,'Выгр Кат'!$A:$R,E$1,0)</f>
        <v>0</v>
      </c>
      <c r="F99" s="52" t="str">
        <f>VLOOKUP($A99,'Выгр Кат'!$A:$R,F$1,0)</f>
        <v>21050610001518</v>
      </c>
      <c r="G99" s="52" t="str">
        <f>IF(VLOOKUP($A99,'Выгр Кат'!$A:$R,G$1,0)=0,"",VLOOKUP($A99,'Выгр Кат'!$A:$R,G$1,0))</f>
        <v/>
      </c>
      <c r="H99" s="52"/>
      <c r="I99" s="52"/>
      <c r="J99" s="54">
        <f t="shared" si="23"/>
        <v>7800</v>
      </c>
      <c r="K99" s="55">
        <f>VLOOKUP(J99,Наценка!$A$1:$B$8,2,1)</f>
        <v>1.35</v>
      </c>
      <c r="L99" s="56">
        <f t="shared" si="24"/>
        <v>10530</v>
      </c>
      <c r="M99" s="57">
        <f t="shared" si="25"/>
        <v>10590</v>
      </c>
      <c r="N99" s="52">
        <f>VLOOKUP($A99,'Выгр Кат'!$A:$R,N$1,0)</f>
        <v>7800</v>
      </c>
      <c r="O99" s="52">
        <f>VLOOKUP($A99,'Выгр Кат'!$A:$R,O$1,0)</f>
        <v>10590</v>
      </c>
      <c r="P99" s="47">
        <f t="shared" si="26"/>
        <v>0</v>
      </c>
      <c r="Q99" s="47">
        <f t="shared" si="27"/>
        <v>0</v>
      </c>
      <c r="R99" s="58">
        <f t="shared" si="28"/>
        <v>10590</v>
      </c>
      <c r="S99" s="59">
        <f t="shared" si="29"/>
        <v>0.35769230769230775</v>
      </c>
      <c r="T99" s="59" t="str">
        <f t="shared" si="30"/>
        <v/>
      </c>
      <c r="U99" s="59" t="str">
        <f t="shared" si="31"/>
        <v/>
      </c>
      <c r="V99" s="60"/>
      <c r="W99" s="69" t="str">
        <f>IFERROR((VLOOKUP($A99,'Из ГУГЛа'!$B:$Z,W$1,0)+Y99)*X99,VLOOKUP($A99,'Из ГУГЛа'!$B:$Z,W$1,0))</f>
        <v/>
      </c>
      <c r="X99" s="61">
        <v>1</v>
      </c>
      <c r="Y99" s="61">
        <v>0</v>
      </c>
      <c r="Z99" s="76" t="s">
        <v>4285</v>
      </c>
      <c r="AA99" s="60"/>
    </row>
    <row r="100" spans="1:27" ht="30" x14ac:dyDescent="0.25">
      <c r="A100" s="52">
        <v>142289</v>
      </c>
      <c r="B100" s="52">
        <f>VLOOKUP($A100,'Выгр Кат'!$A:$R,B$1,0)</f>
        <v>8469</v>
      </c>
      <c r="C100" s="53" t="str">
        <f>VLOOKUP($A100,'Выгр Кат'!$A:$R,C$1,0)</f>
        <v>Дверь передняя правая на ВАЗ 2104, 2105, 2107</v>
      </c>
      <c r="D100" s="52" t="str">
        <f>VLOOKUP($A100,'Выгр Кат'!$A:$R,D$1,0)</f>
        <v>Y</v>
      </c>
      <c r="E100" s="52" t="str">
        <f>VLOOKUP($A100,'Выгр Кат'!$A:$R,E$1,0)</f>
        <v>0</v>
      </c>
      <c r="F100" s="52" t="str">
        <f>VLOOKUP($A100,'Выгр Кат'!$A:$R,F$1,0)</f>
        <v>21050610001418</v>
      </c>
      <c r="G100" s="52" t="str">
        <f>IF(VLOOKUP($A100,'Выгр Кат'!$A:$R,G$1,0)=0,"",VLOOKUP($A100,'Выгр Кат'!$A:$R,G$1,0))</f>
        <v/>
      </c>
      <c r="H100" s="52"/>
      <c r="I100" s="52"/>
      <c r="J100" s="54">
        <f t="shared" si="23"/>
        <v>6800</v>
      </c>
      <c r="K100" s="55">
        <f>VLOOKUP(J100,Наценка!$A$1:$B$8,2,1)</f>
        <v>1.35</v>
      </c>
      <c r="L100" s="56">
        <f t="shared" si="24"/>
        <v>9180</v>
      </c>
      <c r="M100" s="57">
        <f t="shared" si="25"/>
        <v>9190</v>
      </c>
      <c r="N100" s="52">
        <f>VLOOKUP($A100,'Выгр Кат'!$A:$R,N$1,0)</f>
        <v>6800</v>
      </c>
      <c r="O100" s="52">
        <f>VLOOKUP($A100,'Выгр Кат'!$A:$R,O$1,0)</f>
        <v>9190</v>
      </c>
      <c r="P100" s="47">
        <f t="shared" si="26"/>
        <v>0</v>
      </c>
      <c r="Q100" s="47">
        <f t="shared" si="27"/>
        <v>0</v>
      </c>
      <c r="R100" s="58">
        <f t="shared" si="28"/>
        <v>9190</v>
      </c>
      <c r="S100" s="59">
        <f t="shared" si="29"/>
        <v>0.3514705882352942</v>
      </c>
      <c r="T100" s="59" t="str">
        <f t="shared" si="30"/>
        <v/>
      </c>
      <c r="U100" s="59" t="str">
        <f t="shared" si="31"/>
        <v/>
      </c>
      <c r="V100" s="60"/>
      <c r="W100" s="69" t="str">
        <f>IFERROR((VLOOKUP($A100,'Из ГУГЛа'!$B:$Z,W$1,0)+Y100)*X100,VLOOKUP($A100,'Из ГУГЛа'!$B:$Z,W$1,0))</f>
        <v/>
      </c>
      <c r="X100" s="61">
        <v>1</v>
      </c>
      <c r="Y100" s="61">
        <v>0</v>
      </c>
      <c r="Z100" s="76" t="s">
        <v>4285</v>
      </c>
      <c r="AA100" s="60"/>
    </row>
    <row r="101" spans="1:27" ht="45" x14ac:dyDescent="0.25">
      <c r="A101" s="52">
        <v>145010</v>
      </c>
      <c r="B101" s="52">
        <f>VLOOKUP($A101,'Выгр Кат'!$A:$R,B$1,0)</f>
        <v>50827</v>
      </c>
      <c r="C101" s="53" t="str">
        <f>VLOOKUP($A101,'Выгр Кат'!$A:$R,C$1,0)</f>
        <v>Желоб заднего крыла "АвтоВАЗ" с надставкой в сборе для Лада Веста SW, SW Cross</v>
      </c>
      <c r="D101" s="52" t="str">
        <f>VLOOKUP($A101,'Выгр Кат'!$A:$R,D$1,0)</f>
        <v>Y</v>
      </c>
      <c r="E101" s="52" t="str">
        <f>VLOOKUP($A101,'Выгр Кат'!$A:$R,E$1,0)</f>
        <v>1</v>
      </c>
      <c r="F101" s="52" t="str">
        <f>VLOOKUP($A101,'Выгр Кат'!$A:$R,F$1,0)</f>
        <v>8450105461</v>
      </c>
      <c r="G101" s="52" t="str">
        <f>IF(VLOOKUP($A101,'Выгр Кат'!$A:$R,G$1,0)=0,"",VLOOKUP($A101,'Выгр Кат'!$A:$R,G$1,0))</f>
        <v/>
      </c>
      <c r="H101" s="52"/>
      <c r="I101" s="52"/>
      <c r="J101" s="54">
        <f t="shared" si="23"/>
        <v>1576</v>
      </c>
      <c r="K101" s="55">
        <f>VLOOKUP(J101,Наценка!$A$1:$B$8,2,1)</f>
        <v>1.5</v>
      </c>
      <c r="L101" s="56">
        <f t="shared" si="24"/>
        <v>2364</v>
      </c>
      <c r="M101" s="57">
        <f t="shared" si="25"/>
        <v>2390</v>
      </c>
      <c r="N101" s="52">
        <f>VLOOKUP($A101,'Выгр Кат'!$A:$R,N$1,0)</f>
        <v>1576</v>
      </c>
      <c r="O101" s="52">
        <f>VLOOKUP($A101,'Выгр Кат'!$A:$R,O$1,0)</f>
        <v>2390</v>
      </c>
      <c r="P101" s="47">
        <f t="shared" si="26"/>
        <v>0</v>
      </c>
      <c r="Q101" s="47">
        <f t="shared" si="27"/>
        <v>0</v>
      </c>
      <c r="R101" s="58">
        <f t="shared" si="28"/>
        <v>2390</v>
      </c>
      <c r="S101" s="59">
        <f t="shared" si="29"/>
        <v>0.51649746192893398</v>
      </c>
      <c r="T101" s="59" t="str">
        <f t="shared" si="30"/>
        <v/>
      </c>
      <c r="U101" s="59" t="str">
        <f t="shared" si="31"/>
        <v/>
      </c>
      <c r="V101" s="60"/>
      <c r="W101" s="69" t="str">
        <f>IFERROR((VLOOKUP($A101,'Из ГУГЛа'!$B:$Z,W$1,0)+Y101)*X101,VLOOKUP($A101,'Из ГУГЛа'!$B:$Z,W$1,0))</f>
        <v/>
      </c>
      <c r="X101" s="61">
        <v>1</v>
      </c>
      <c r="Y101" s="61">
        <v>0</v>
      </c>
      <c r="Z101" s="60" t="s">
        <v>4170</v>
      </c>
      <c r="AA101" s="60"/>
    </row>
    <row r="102" spans="1:27" ht="30" x14ac:dyDescent="0.25">
      <c r="A102" s="52">
        <v>145011</v>
      </c>
      <c r="B102" s="52">
        <f>VLOOKUP($A102,'Выгр Кат'!$A:$R,B$1,0)</f>
        <v>31446</v>
      </c>
      <c r="C102" s="53" t="str">
        <f>VLOOKUP($A102,'Выгр Кат'!$A:$R,C$1,0)</f>
        <v>Желоб заднего левого крыла "АвтоВАЗ" для Лада Калина хэтчбек</v>
      </c>
      <c r="D102" s="52" t="str">
        <f>VLOOKUP($A102,'Выгр Кат'!$A:$R,D$1,0)</f>
        <v>Y</v>
      </c>
      <c r="E102" s="52" t="str">
        <f>VLOOKUP($A102,'Выгр Кат'!$A:$R,E$1,0)</f>
        <v>1</v>
      </c>
      <c r="F102" s="52" t="str">
        <f>VLOOKUP($A102,'Выгр Кат'!$A:$R,F$1,0)</f>
        <v>11190840405700</v>
      </c>
      <c r="G102" s="52" t="str">
        <f>IF(VLOOKUP($A102,'Выгр Кат'!$A:$R,G$1,0)=0,"",VLOOKUP($A102,'Выгр Кат'!$A:$R,G$1,0))</f>
        <v/>
      </c>
      <c r="H102" s="52"/>
      <c r="I102" s="52"/>
      <c r="J102" s="54">
        <f t="shared" si="23"/>
        <v>62</v>
      </c>
      <c r="K102" s="55">
        <f>VLOOKUP(J102,Наценка!$A$1:$B$8,2,1)</f>
        <v>2</v>
      </c>
      <c r="L102" s="56">
        <f t="shared" si="24"/>
        <v>124</v>
      </c>
      <c r="M102" s="57">
        <f t="shared" si="25"/>
        <v>129</v>
      </c>
      <c r="N102" s="52">
        <f>VLOOKUP($A102,'Выгр Кат'!$A:$R,N$1,0)</f>
        <v>62</v>
      </c>
      <c r="O102" s="52">
        <f>VLOOKUP($A102,'Выгр Кат'!$A:$R,O$1,0)</f>
        <v>129</v>
      </c>
      <c r="P102" s="47">
        <f t="shared" si="26"/>
        <v>0</v>
      </c>
      <c r="Q102" s="47">
        <f t="shared" si="27"/>
        <v>0</v>
      </c>
      <c r="R102" s="58">
        <f t="shared" si="28"/>
        <v>129</v>
      </c>
      <c r="S102" s="59">
        <f t="shared" si="29"/>
        <v>1.0806451612903225</v>
      </c>
      <c r="T102" s="59" t="str">
        <f t="shared" si="30"/>
        <v/>
      </c>
      <c r="U102" s="59" t="str">
        <f t="shared" si="31"/>
        <v/>
      </c>
      <c r="V102" s="60"/>
      <c r="W102" s="69" t="str">
        <f>IFERROR((VLOOKUP($A102,'Из ГУГЛа'!$B:$Z,W$1,0)+Y102)*X102,VLOOKUP($A102,'Из ГУГЛа'!$B:$Z,W$1,0))</f>
        <v/>
      </c>
      <c r="X102" s="61">
        <v>1</v>
      </c>
      <c r="Y102" s="61">
        <v>0</v>
      </c>
      <c r="Z102" s="60" t="s">
        <v>4170</v>
      </c>
      <c r="AA102" s="60"/>
    </row>
    <row r="103" spans="1:27" ht="30" x14ac:dyDescent="0.25">
      <c r="A103" s="52">
        <v>145012</v>
      </c>
      <c r="B103" s="52">
        <f>VLOOKUP($A103,'Выгр Кат'!$A:$R,B$1,0)</f>
        <v>31447</v>
      </c>
      <c r="C103" s="53" t="str">
        <f>VLOOKUP($A103,'Выгр Кат'!$A:$R,C$1,0)</f>
        <v>Желоб заднего правого крыла "АвтоВАЗ" для Лада Калина хэтчбек</v>
      </c>
      <c r="D103" s="52" t="str">
        <f>VLOOKUP($A103,'Выгр Кат'!$A:$R,D$1,0)</f>
        <v>Y</v>
      </c>
      <c r="E103" s="52" t="str">
        <f>VLOOKUP($A103,'Выгр Кат'!$A:$R,E$1,0)</f>
        <v>1</v>
      </c>
      <c r="F103" s="52" t="str">
        <f>VLOOKUP($A103,'Выгр Кат'!$A:$R,F$1,0)</f>
        <v>11190840405600</v>
      </c>
      <c r="G103" s="52" t="str">
        <f>IF(VLOOKUP($A103,'Выгр Кат'!$A:$R,G$1,0)=0,"",VLOOKUP($A103,'Выгр Кат'!$A:$R,G$1,0))</f>
        <v/>
      </c>
      <c r="H103" s="52"/>
      <c r="I103" s="52"/>
      <c r="J103" s="54">
        <f t="shared" si="23"/>
        <v>77</v>
      </c>
      <c r="K103" s="55">
        <f>VLOOKUP(J103,Наценка!$A$1:$B$8,2,1)</f>
        <v>2</v>
      </c>
      <c r="L103" s="56">
        <f t="shared" si="24"/>
        <v>154</v>
      </c>
      <c r="M103" s="57">
        <f t="shared" si="25"/>
        <v>159</v>
      </c>
      <c r="N103" s="52">
        <f>VLOOKUP($A103,'Выгр Кат'!$A:$R,N$1,0)</f>
        <v>77</v>
      </c>
      <c r="O103" s="52">
        <f>VLOOKUP($A103,'Выгр Кат'!$A:$R,O$1,0)</f>
        <v>159</v>
      </c>
      <c r="P103" s="47">
        <f t="shared" si="26"/>
        <v>0</v>
      </c>
      <c r="Q103" s="47">
        <f t="shared" si="27"/>
        <v>0</v>
      </c>
      <c r="R103" s="58">
        <f t="shared" si="28"/>
        <v>159</v>
      </c>
      <c r="S103" s="59">
        <f t="shared" si="29"/>
        <v>1.0649350649350651</v>
      </c>
      <c r="T103" s="59" t="str">
        <f t="shared" si="30"/>
        <v/>
      </c>
      <c r="U103" s="59" t="str">
        <f t="shared" si="31"/>
        <v/>
      </c>
      <c r="V103" s="60"/>
      <c r="W103" s="69" t="str">
        <f>IFERROR((VLOOKUP($A103,'Из ГУГЛа'!$B:$Z,W$1,0)+Y103)*X103,VLOOKUP($A103,'Из ГУГЛа'!$B:$Z,W$1,0))</f>
        <v/>
      </c>
      <c r="X103" s="61">
        <v>1</v>
      </c>
      <c r="Y103" s="61">
        <v>0</v>
      </c>
      <c r="Z103" s="60" t="s">
        <v>4170</v>
      </c>
      <c r="AA103" s="60"/>
    </row>
    <row r="104" spans="1:27" ht="30" x14ac:dyDescent="0.25">
      <c r="A104" s="52">
        <v>145013</v>
      </c>
      <c r="B104" s="52">
        <f>VLOOKUP($A104,'Выгр Кат'!$A:$R,B$1,0)</f>
        <v>50226</v>
      </c>
      <c r="C104" s="53" t="str">
        <f>VLOOKUP($A104,'Выгр Кат'!$A:$R,C$1,0)</f>
        <v>Желоб крыла "АвтоВАЗ" заднего левого для Лада Гранта, Гранта FL</v>
      </c>
      <c r="D104" s="52" t="str">
        <f>VLOOKUP($A104,'Выгр Кат'!$A:$R,D$1,0)</f>
        <v>Y</v>
      </c>
      <c r="E104" s="52" t="str">
        <f>VLOOKUP($A104,'Выгр Кат'!$A:$R,E$1,0)</f>
        <v>1</v>
      </c>
      <c r="F104" s="52" t="str">
        <f>VLOOKUP($A104,'Выгр Кат'!$A:$R,F$1,0)</f>
        <v>21910840405170</v>
      </c>
      <c r="G104" s="52" t="str">
        <f>IF(VLOOKUP($A104,'Выгр Кат'!$A:$R,G$1,0)=0,"",VLOOKUP($A104,'Выгр Кат'!$A:$R,G$1,0))</f>
        <v>https://motorring.ru/product/5161-ghelobok-zadnego-kryla-levyy-lada-granta-liftbek</v>
      </c>
      <c r="H104" s="52"/>
      <c r="I104" s="52"/>
      <c r="J104" s="54">
        <f t="shared" si="23"/>
        <v>1725</v>
      </c>
      <c r="K104" s="55">
        <f>VLOOKUP(J104,Наценка!$A$1:$B$8,2,1)</f>
        <v>1.5</v>
      </c>
      <c r="L104" s="56">
        <f t="shared" si="24"/>
        <v>2587.5</v>
      </c>
      <c r="M104" s="57">
        <f t="shared" si="25"/>
        <v>2590</v>
      </c>
      <c r="N104" s="52">
        <f>VLOOKUP($A104,'Выгр Кат'!$A:$R,N$1,0)</f>
        <v>1725</v>
      </c>
      <c r="O104" s="52">
        <f>VLOOKUP($A104,'Выгр Кат'!$A:$R,O$1,0)</f>
        <v>2490</v>
      </c>
      <c r="P104" s="47">
        <f t="shared" si="26"/>
        <v>0</v>
      </c>
      <c r="Q104" s="47">
        <f t="shared" si="27"/>
        <v>-100</v>
      </c>
      <c r="R104" s="58">
        <f t="shared" si="28"/>
        <v>2590</v>
      </c>
      <c r="S104" s="59">
        <f t="shared" si="29"/>
        <v>0.50144927536231876</v>
      </c>
      <c r="T104" s="59">
        <f t="shared" si="30"/>
        <v>-0.37037037037037035</v>
      </c>
      <c r="U104" s="59">
        <f t="shared" si="31"/>
        <v>9.565217391304337E-2</v>
      </c>
      <c r="V104" s="42">
        <f>Z104</f>
        <v>1890</v>
      </c>
      <c r="W104" s="69">
        <f>IFERROR((VLOOKUP($A104,'Из ГУГЛа'!$B:$Z,W$1,0)+Y104)*X104,VLOOKUP($A104,'Из ГУГЛа'!$B:$Z,W$1,0))</f>
        <v>1890</v>
      </c>
      <c r="X104" s="61">
        <v>1</v>
      </c>
      <c r="Y104" s="61">
        <v>0</v>
      </c>
      <c r="Z104" s="70">
        <v>1890</v>
      </c>
      <c r="AA104" s="60" t="s">
        <v>290</v>
      </c>
    </row>
    <row r="105" spans="1:27" ht="45" x14ac:dyDescent="0.25">
      <c r="A105" s="52">
        <v>145014</v>
      </c>
      <c r="B105" s="52">
        <f>VLOOKUP($A105,'Выгр Кат'!$A:$R,B$1,0)</f>
        <v>48566</v>
      </c>
      <c r="C105" s="53" t="str">
        <f>VLOOKUP($A105,'Выгр Кат'!$A:$R,C$1,0)</f>
        <v>Желоб крыла "АвтоВАЗ" заднего левого с надставкой (катафорез) для Лада Гранта, Гранта FL</v>
      </c>
      <c r="D105" s="52" t="str">
        <f>VLOOKUP($A105,'Выгр Кат'!$A:$R,D$1,0)</f>
        <v>Y</v>
      </c>
      <c r="E105" s="52" t="str">
        <f>VLOOKUP($A105,'Выгр Кат'!$A:$R,E$1,0)</f>
        <v>1</v>
      </c>
      <c r="F105" s="52" t="str">
        <f>VLOOKUP($A105,'Выгр Кат'!$A:$R,F$1,0)</f>
        <v>21900840405170</v>
      </c>
      <c r="G105" s="52" t="str">
        <f>IF(VLOOKUP($A105,'Выгр Кат'!$A:$R,G$1,0)=0,"",VLOOKUP($A105,'Выгр Кат'!$A:$R,G$1,0))</f>
        <v/>
      </c>
      <c r="H105" s="52"/>
      <c r="I105" s="52"/>
      <c r="J105" s="54">
        <f t="shared" si="23"/>
        <v>1730</v>
      </c>
      <c r="K105" s="55">
        <f>VLOOKUP(J105,Наценка!$A$1:$B$8,2,1)</f>
        <v>1.5</v>
      </c>
      <c r="L105" s="56">
        <f t="shared" si="24"/>
        <v>2595</v>
      </c>
      <c r="M105" s="57">
        <f t="shared" si="25"/>
        <v>2590</v>
      </c>
      <c r="N105" s="52">
        <f>VLOOKUP($A105,'Выгр Кат'!$A:$R,N$1,0)</f>
        <v>1730</v>
      </c>
      <c r="O105" s="52">
        <f>VLOOKUP($A105,'Выгр Кат'!$A:$R,O$1,0)</f>
        <v>2590</v>
      </c>
      <c r="P105" s="47">
        <f t="shared" si="26"/>
        <v>0</v>
      </c>
      <c r="Q105" s="47">
        <f t="shared" si="27"/>
        <v>0</v>
      </c>
      <c r="R105" s="58">
        <f t="shared" si="28"/>
        <v>2590</v>
      </c>
      <c r="S105" s="59">
        <f t="shared" si="29"/>
        <v>0.49710982658959546</v>
      </c>
      <c r="T105" s="59" t="str">
        <f t="shared" si="30"/>
        <v/>
      </c>
      <c r="U105" s="59" t="str">
        <f t="shared" si="31"/>
        <v/>
      </c>
      <c r="V105" s="60"/>
      <c r="W105" s="69" t="str">
        <f>IFERROR((VLOOKUP($A105,'Из ГУГЛа'!$B:$Z,W$1,0)+Y105)*X105,VLOOKUP($A105,'Из ГУГЛа'!$B:$Z,W$1,0))</f>
        <v/>
      </c>
      <c r="X105" s="61">
        <v>1</v>
      </c>
      <c r="Y105" s="61">
        <v>0</v>
      </c>
      <c r="Z105" s="60">
        <v>1890</v>
      </c>
      <c r="AA105" s="60" t="s">
        <v>290</v>
      </c>
    </row>
    <row r="106" spans="1:27" ht="30" x14ac:dyDescent="0.25">
      <c r="A106" s="52">
        <v>145015</v>
      </c>
      <c r="B106" s="52">
        <f>VLOOKUP($A106,'Выгр Кат'!$A:$R,B$1,0)</f>
        <v>50215</v>
      </c>
      <c r="C106" s="53" t="str">
        <f>VLOOKUP($A106,'Выгр Кат'!$A:$R,C$1,0)</f>
        <v>Желоб крыла "АвтоВАЗ" заднего правого для Лада Гранта, Гранта FL</v>
      </c>
      <c r="D106" s="52" t="str">
        <f>VLOOKUP($A106,'Выгр Кат'!$A:$R,D$1,0)</f>
        <v>Y</v>
      </c>
      <c r="E106" s="52" t="str">
        <f>VLOOKUP($A106,'Выгр Кат'!$A:$R,E$1,0)</f>
        <v>1</v>
      </c>
      <c r="F106" s="52" t="str">
        <f>VLOOKUP($A106,'Выгр Кат'!$A:$R,F$1,0)</f>
        <v>21910840405070</v>
      </c>
      <c r="G106" s="52" t="str">
        <f>IF(VLOOKUP($A106,'Выгр Кат'!$A:$R,G$1,0)=0,"",VLOOKUP($A106,'Выгр Кат'!$A:$R,G$1,0))</f>
        <v>https://motorring.ru/product/5162</v>
      </c>
      <c r="H106" s="52"/>
      <c r="I106" s="52"/>
      <c r="J106" s="54">
        <f t="shared" si="23"/>
        <v>1479</v>
      </c>
      <c r="K106" s="55">
        <f>VLOOKUP(J106,Наценка!$A$1:$B$8,2,1)</f>
        <v>1.5</v>
      </c>
      <c r="L106" s="56">
        <f t="shared" si="24"/>
        <v>2218.5</v>
      </c>
      <c r="M106" s="57">
        <f t="shared" si="25"/>
        <v>2290</v>
      </c>
      <c r="N106" s="52">
        <f>VLOOKUP($A106,'Выгр Кат'!$A:$R,N$1,0)</f>
        <v>1479</v>
      </c>
      <c r="O106" s="52">
        <f>VLOOKUP($A106,'Выгр Кат'!$A:$R,O$1,0)</f>
        <v>2290</v>
      </c>
      <c r="P106" s="47">
        <f t="shared" si="26"/>
        <v>0</v>
      </c>
      <c r="Q106" s="47">
        <f t="shared" si="27"/>
        <v>0</v>
      </c>
      <c r="R106" s="58">
        <f t="shared" si="28"/>
        <v>2290</v>
      </c>
      <c r="S106" s="59">
        <f t="shared" si="29"/>
        <v>0.5483434753211629</v>
      </c>
      <c r="T106" s="59">
        <f t="shared" si="30"/>
        <v>-0.21164021164021163</v>
      </c>
      <c r="U106" s="59">
        <f t="shared" si="31"/>
        <v>0.27789046653144012</v>
      </c>
      <c r="V106" s="42">
        <f>Z106</f>
        <v>1890</v>
      </c>
      <c r="W106" s="69">
        <f>IFERROR((VLOOKUP($A106,'Из ГУГЛа'!$B:$Z,W$1,0)+Y106)*X106,VLOOKUP($A106,'Из ГУГЛа'!$B:$Z,W$1,0))</f>
        <v>1890</v>
      </c>
      <c r="X106" s="61">
        <v>1</v>
      </c>
      <c r="Y106" s="61">
        <v>0</v>
      </c>
      <c r="Z106" s="70">
        <v>1890</v>
      </c>
      <c r="AA106" s="60" t="s">
        <v>297</v>
      </c>
    </row>
    <row r="107" spans="1:27" ht="45" x14ac:dyDescent="0.25">
      <c r="A107" s="52">
        <v>145016</v>
      </c>
      <c r="B107" s="52">
        <f>VLOOKUP($A107,'Выгр Кат'!$A:$R,B$1,0)</f>
        <v>31269</v>
      </c>
      <c r="C107" s="53" t="str">
        <f>VLOOKUP($A107,'Выгр Кат'!$A:$R,C$1,0)</f>
        <v>Желобок боковины сточный "АвтоВАЗ" передний правый для Шевроле Нива</v>
      </c>
      <c r="D107" s="52" t="str">
        <f>VLOOKUP($A107,'Выгр Кат'!$A:$R,D$1,0)</f>
        <v>Y</v>
      </c>
      <c r="E107" s="52" t="str">
        <f>VLOOKUP($A107,'Выгр Кат'!$A:$R,E$1,0)</f>
        <v>1</v>
      </c>
      <c r="F107" s="52" t="str">
        <f>VLOOKUP($A107,'Выгр Кат'!$A:$R,F$1,0)</f>
        <v>21230540120400</v>
      </c>
      <c r="G107" s="52" t="str">
        <f>IF(VLOOKUP($A107,'Выгр Кат'!$A:$R,G$1,0)=0,"",VLOOKUP($A107,'Выгр Кат'!$A:$R,G$1,0))</f>
        <v/>
      </c>
      <c r="H107" s="52"/>
      <c r="I107" s="52"/>
      <c r="J107" s="54">
        <f t="shared" si="23"/>
        <v>26</v>
      </c>
      <c r="K107" s="55">
        <f>VLOOKUP(J107,Наценка!$A$1:$B$8,2,1)</f>
        <v>2</v>
      </c>
      <c r="L107" s="56">
        <f t="shared" si="24"/>
        <v>52</v>
      </c>
      <c r="M107" s="57">
        <f t="shared" si="25"/>
        <v>59</v>
      </c>
      <c r="N107" s="52">
        <f>VLOOKUP($A107,'Выгр Кат'!$A:$R,N$1,0)</f>
        <v>26</v>
      </c>
      <c r="O107" s="52">
        <f>VLOOKUP($A107,'Выгр Кат'!$A:$R,O$1,0)</f>
        <v>59</v>
      </c>
      <c r="P107" s="47">
        <f t="shared" si="26"/>
        <v>0</v>
      </c>
      <c r="Q107" s="47">
        <f t="shared" si="27"/>
        <v>0</v>
      </c>
      <c r="R107" s="58">
        <f t="shared" si="28"/>
        <v>59</v>
      </c>
      <c r="S107" s="59">
        <f t="shared" si="29"/>
        <v>1.2692307692307692</v>
      </c>
      <c r="T107" s="59" t="str">
        <f t="shared" si="30"/>
        <v/>
      </c>
      <c r="U107" s="59" t="str">
        <f t="shared" si="31"/>
        <v/>
      </c>
      <c r="V107" s="60"/>
      <c r="W107" s="69" t="str">
        <f>IFERROR((VLOOKUP($A107,'Из ГУГЛа'!$B:$Z,W$1,0)+Y107)*X107,VLOOKUP($A107,'Из ГУГЛа'!$B:$Z,W$1,0))</f>
        <v/>
      </c>
      <c r="X107" s="61">
        <v>1</v>
      </c>
      <c r="Y107" s="61">
        <v>0</v>
      </c>
      <c r="Z107" s="60" t="s">
        <v>4170</v>
      </c>
      <c r="AA107" s="60"/>
    </row>
    <row r="108" spans="1:27" ht="45" x14ac:dyDescent="0.25">
      <c r="A108" s="52">
        <v>145017</v>
      </c>
      <c r="B108" s="52">
        <f>VLOOKUP($A108,'Выгр Кат'!$A:$R,B$1,0)</f>
        <v>32707</v>
      </c>
      <c r="C108" s="53" t="str">
        <f>VLOOKUP($A108,'Выгр Кат'!$A:$R,C$1,0)</f>
        <v>Желобок заднего крыла (катафорез) "АвтоВАЗ" левый для Лада Калина 2 универсал</v>
      </c>
      <c r="D108" s="52" t="str">
        <f>VLOOKUP($A108,'Выгр Кат'!$A:$R,D$1,0)</f>
        <v>Y</v>
      </c>
      <c r="E108" s="52" t="str">
        <f>VLOOKUP($A108,'Выгр Кат'!$A:$R,E$1,0)</f>
        <v>1</v>
      </c>
      <c r="F108" s="52" t="str">
        <f>VLOOKUP($A108,'Выгр Кат'!$A:$R,F$1,0)</f>
        <v>21940840405170</v>
      </c>
      <c r="G108" s="52" t="str">
        <f>IF(VLOOKUP($A108,'Выгр Кат'!$A:$R,G$1,0)=0,"",VLOOKUP($A108,'Выгр Кат'!$A:$R,G$1,0))</f>
        <v>https://motorring.ru/product/38236-levyy-ghelobok-zadnego-kryla-dlya-lada-kalina2-universal</v>
      </c>
      <c r="H108" s="52"/>
      <c r="I108" s="52"/>
      <c r="J108" s="54">
        <f t="shared" si="23"/>
        <v>2956</v>
      </c>
      <c r="K108" s="55">
        <f>VLOOKUP(J108,Наценка!$A$1:$B$8,2,1)</f>
        <v>1.4</v>
      </c>
      <c r="L108" s="56">
        <f t="shared" si="24"/>
        <v>4138.3999999999996</v>
      </c>
      <c r="M108" s="57">
        <f t="shared" si="25"/>
        <v>4190</v>
      </c>
      <c r="N108" s="52">
        <f>VLOOKUP($A108,'Выгр Кат'!$A:$R,N$1,0)</f>
        <v>2956</v>
      </c>
      <c r="O108" s="52">
        <f>VLOOKUP($A108,'Выгр Кат'!$A:$R,O$1,0)</f>
        <v>4190</v>
      </c>
      <c r="P108" s="47">
        <f t="shared" si="26"/>
        <v>0</v>
      </c>
      <c r="Q108" s="47">
        <f t="shared" si="27"/>
        <v>0</v>
      </c>
      <c r="R108" s="58">
        <f t="shared" si="28"/>
        <v>4190</v>
      </c>
      <c r="S108" s="59">
        <f t="shared" si="29"/>
        <v>0.41745602165087958</v>
      </c>
      <c r="T108" s="59">
        <f t="shared" si="30"/>
        <v>-0.61776061776061775</v>
      </c>
      <c r="U108" s="59">
        <f t="shared" si="31"/>
        <v>-0.12381596752368063</v>
      </c>
      <c r="V108" s="42">
        <f>Z108</f>
        <v>2590</v>
      </c>
      <c r="W108" s="69">
        <f>IFERROR((VLOOKUP($A108,'Из ГУГЛа'!$B:$Z,W$1,0)+Y108)*X108,VLOOKUP($A108,'Из ГУГЛа'!$B:$Z,W$1,0))</f>
        <v>2590</v>
      </c>
      <c r="X108" s="61">
        <v>1</v>
      </c>
      <c r="Y108" s="61">
        <v>0</v>
      </c>
      <c r="Z108" s="70">
        <v>2590</v>
      </c>
      <c r="AA108" s="60" t="s">
        <v>302</v>
      </c>
    </row>
    <row r="109" spans="1:27" ht="45" x14ac:dyDescent="0.25">
      <c r="A109" s="52">
        <v>145018</v>
      </c>
      <c r="B109" s="52">
        <f>VLOOKUP($A109,'Выгр Кат'!$A:$R,B$1,0)</f>
        <v>31222</v>
      </c>
      <c r="C109" s="53" t="str">
        <f>VLOOKUP($A109,'Выгр Кат'!$A:$R,C$1,0)</f>
        <v>Желобок заднего крыла в сборе "АвтоВАЗ" левый для Лада Приора, Приора 2 универсал</v>
      </c>
      <c r="D109" s="52" t="str">
        <f>VLOOKUP($A109,'Выгр Кат'!$A:$R,D$1,0)</f>
        <v>Y</v>
      </c>
      <c r="E109" s="52" t="str">
        <f>VLOOKUP($A109,'Выгр Кат'!$A:$R,E$1,0)</f>
        <v>1</v>
      </c>
      <c r="F109" s="52" t="str">
        <f>VLOOKUP($A109,'Выгр Кат'!$A:$R,F$1,0)</f>
        <v>21710840405100</v>
      </c>
      <c r="G109" s="52" t="str">
        <f>IF(VLOOKUP($A109,'Выгр Кат'!$A:$R,G$1,0)=0,"",VLOOKUP($A109,'Выгр Кат'!$A:$R,G$1,0))</f>
        <v/>
      </c>
      <c r="H109" s="52"/>
      <c r="I109" s="52"/>
      <c r="J109" s="54">
        <f t="shared" si="23"/>
        <v>658</v>
      </c>
      <c r="K109" s="55">
        <f>VLOOKUP(J109,Наценка!$A$1:$B$8,2,1)</f>
        <v>1.55</v>
      </c>
      <c r="L109" s="56">
        <f t="shared" si="24"/>
        <v>1019.9</v>
      </c>
      <c r="M109" s="57">
        <f t="shared" si="25"/>
        <v>1090</v>
      </c>
      <c r="N109" s="52">
        <f>VLOOKUP($A109,'Выгр Кат'!$A:$R,N$1,0)</f>
        <v>658</v>
      </c>
      <c r="O109" s="52">
        <f>VLOOKUP($A109,'Выгр Кат'!$A:$R,O$1,0)</f>
        <v>1090</v>
      </c>
      <c r="P109" s="47">
        <f t="shared" si="26"/>
        <v>0</v>
      </c>
      <c r="Q109" s="47">
        <f t="shared" si="27"/>
        <v>0</v>
      </c>
      <c r="R109" s="58">
        <f t="shared" si="28"/>
        <v>1090</v>
      </c>
      <c r="S109" s="59">
        <f t="shared" si="29"/>
        <v>0.65653495440729492</v>
      </c>
      <c r="T109" s="59">
        <f t="shared" si="30"/>
        <v>0.54393305439330542</v>
      </c>
      <c r="U109" s="59">
        <f t="shared" si="31"/>
        <v>2.6322188449848025</v>
      </c>
      <c r="V109" s="42">
        <f>Z109</f>
        <v>2390</v>
      </c>
      <c r="W109" s="69" t="str">
        <f>IFERROR((VLOOKUP($A109,'Из ГУГЛа'!$B:$Z,W$1,0)+Y109)*X109,VLOOKUP($A109,'Из ГУГЛа'!$B:$Z,W$1,0))</f>
        <v/>
      </c>
      <c r="X109" s="61">
        <v>1</v>
      </c>
      <c r="Y109" s="61">
        <v>0</v>
      </c>
      <c r="Z109" s="60">
        <v>2390</v>
      </c>
      <c r="AA109" s="60" t="s">
        <v>4303</v>
      </c>
    </row>
    <row r="110" spans="1:27" ht="45" x14ac:dyDescent="0.25">
      <c r="A110" s="52">
        <v>145019</v>
      </c>
      <c r="B110" s="52">
        <f>VLOOKUP($A110,'Выгр Кат'!$A:$R,B$1,0)</f>
        <v>31215</v>
      </c>
      <c r="C110" s="53" t="str">
        <f>VLOOKUP($A110,'Выгр Кат'!$A:$R,C$1,0)</f>
        <v>Желобок заднего крыла в сборе "АвтоВАЗ" левый для Лада Приора, Приора 2 хэтчбек</v>
      </c>
      <c r="D110" s="52" t="str">
        <f>VLOOKUP($A110,'Выгр Кат'!$A:$R,D$1,0)</f>
        <v>Y</v>
      </c>
      <c r="E110" s="52" t="str">
        <f>VLOOKUP($A110,'Выгр Кат'!$A:$R,E$1,0)</f>
        <v>1</v>
      </c>
      <c r="F110" s="52" t="str">
        <f>VLOOKUP($A110,'Выгр Кат'!$A:$R,F$1,0)</f>
        <v>21720840405500</v>
      </c>
      <c r="G110" s="52" t="str">
        <f>IF(VLOOKUP($A110,'Выгр Кат'!$A:$R,G$1,0)=0,"",VLOOKUP($A110,'Выгр Кат'!$A:$R,G$1,0))</f>
        <v>https://motorring.ru/product/38201-usilitely-zadnego-kryla-levyy-rucheek-priora-hetchback</v>
      </c>
      <c r="H110" s="52"/>
      <c r="I110" s="52"/>
      <c r="J110" s="54">
        <f t="shared" si="23"/>
        <v>480</v>
      </c>
      <c r="K110" s="55">
        <f>VLOOKUP(J110,Наценка!$A$1:$B$8,2,1)</f>
        <v>1.6</v>
      </c>
      <c r="L110" s="56">
        <f t="shared" si="24"/>
        <v>768</v>
      </c>
      <c r="M110" s="57">
        <f t="shared" si="25"/>
        <v>769</v>
      </c>
      <c r="N110" s="52">
        <f>VLOOKUP($A110,'Выгр Кат'!$A:$R,N$1,0)</f>
        <v>480</v>
      </c>
      <c r="O110" s="52">
        <f>VLOOKUP($A110,'Выгр Кат'!$A:$R,O$1,0)</f>
        <v>769</v>
      </c>
      <c r="P110" s="47">
        <f t="shared" si="26"/>
        <v>0</v>
      </c>
      <c r="Q110" s="47">
        <f t="shared" si="27"/>
        <v>0</v>
      </c>
      <c r="R110" s="58">
        <f t="shared" si="28"/>
        <v>769</v>
      </c>
      <c r="S110" s="59">
        <f t="shared" si="29"/>
        <v>0.6020833333333333</v>
      </c>
      <c r="T110" s="59">
        <f t="shared" si="30"/>
        <v>0.44676258992805756</v>
      </c>
      <c r="U110" s="59">
        <f t="shared" si="31"/>
        <v>1.8958333333333335</v>
      </c>
      <c r="V110" s="42">
        <f t="shared" ref="V110:V123" si="38">Z110</f>
        <v>1390</v>
      </c>
      <c r="W110" s="69">
        <f>IFERROR((VLOOKUP($A110,'Из ГУГЛа'!$B:$Z,W$1,0)+Y110)*X110,VLOOKUP($A110,'Из ГУГЛа'!$B:$Z,W$1,0))</f>
        <v>1390</v>
      </c>
      <c r="X110" s="61">
        <v>1</v>
      </c>
      <c r="Y110" s="61">
        <v>0</v>
      </c>
      <c r="Z110" s="70">
        <v>1390</v>
      </c>
      <c r="AA110" s="60" t="s">
        <v>307</v>
      </c>
    </row>
    <row r="111" spans="1:27" ht="45" x14ac:dyDescent="0.25">
      <c r="A111" s="52">
        <v>145020</v>
      </c>
      <c r="B111" s="52">
        <f>VLOOKUP($A111,'Выгр Кат'!$A:$R,B$1,0)</f>
        <v>31223</v>
      </c>
      <c r="C111" s="53" t="str">
        <f>VLOOKUP($A111,'Выгр Кат'!$A:$R,C$1,0)</f>
        <v>Желобок заднего крыла в сборе "АвтоВАЗ" правый для Лада Приора, Приора 2 универсал</v>
      </c>
      <c r="D111" s="52" t="str">
        <f>VLOOKUP($A111,'Выгр Кат'!$A:$R,D$1,0)</f>
        <v>Y</v>
      </c>
      <c r="E111" s="52" t="str">
        <f>VLOOKUP($A111,'Выгр Кат'!$A:$R,E$1,0)</f>
        <v>1</v>
      </c>
      <c r="F111" s="52" t="str">
        <f>VLOOKUP($A111,'Выгр Кат'!$A:$R,F$1,0)</f>
        <v>21710840405000</v>
      </c>
      <c r="G111" s="52" t="str">
        <f>IF(VLOOKUP($A111,'Выгр Кат'!$A:$R,G$1,0)=0,"",VLOOKUP($A111,'Выгр Кат'!$A:$R,G$1,0))</f>
        <v>https://motorring.ru/product/38233-ghelobok-zadnego-kryla-pravyy-dlya-lada-priora-universal</v>
      </c>
      <c r="H111" s="52"/>
      <c r="I111" s="52"/>
      <c r="J111" s="54">
        <f t="shared" si="23"/>
        <v>1503</v>
      </c>
      <c r="K111" s="55">
        <f>VLOOKUP(J111,Наценка!$A$1:$B$8,2,1)</f>
        <v>1.5</v>
      </c>
      <c r="L111" s="56">
        <f t="shared" si="24"/>
        <v>2254.5</v>
      </c>
      <c r="M111" s="57">
        <f t="shared" si="25"/>
        <v>2290</v>
      </c>
      <c r="N111" s="52">
        <f>VLOOKUP($A111,'Выгр Кат'!$A:$R,N$1,0)</f>
        <v>1503</v>
      </c>
      <c r="O111" s="52">
        <f>VLOOKUP($A111,'Выгр Кат'!$A:$R,O$1,0)</f>
        <v>2290</v>
      </c>
      <c r="P111" s="47">
        <f t="shared" si="26"/>
        <v>0</v>
      </c>
      <c r="Q111" s="47">
        <f t="shared" si="27"/>
        <v>0</v>
      </c>
      <c r="R111" s="58">
        <f t="shared" si="28"/>
        <v>2290</v>
      </c>
      <c r="S111" s="59">
        <f t="shared" si="29"/>
        <v>0.52361942781104465</v>
      </c>
      <c r="T111" s="59">
        <f t="shared" si="30"/>
        <v>4.1841004184100417E-2</v>
      </c>
      <c r="U111" s="59">
        <f t="shared" si="31"/>
        <v>0.59015302727877583</v>
      </c>
      <c r="V111" s="42">
        <f t="shared" si="38"/>
        <v>2390</v>
      </c>
      <c r="W111" s="69">
        <f>IFERROR((VLOOKUP($A111,'Из ГУГЛа'!$B:$Z,W$1,0)+Y111)*X111,VLOOKUP($A111,'Из ГУГЛа'!$B:$Z,W$1,0))</f>
        <v>2390</v>
      </c>
      <c r="X111" s="61">
        <v>1</v>
      </c>
      <c r="Y111" s="61">
        <v>0</v>
      </c>
      <c r="Z111" s="70">
        <v>2390</v>
      </c>
      <c r="AA111" s="60" t="s">
        <v>310</v>
      </c>
    </row>
    <row r="112" spans="1:27" ht="45" x14ac:dyDescent="0.25">
      <c r="A112" s="52">
        <v>145021</v>
      </c>
      <c r="B112" s="52">
        <f>VLOOKUP($A112,'Выгр Кат'!$A:$R,B$1,0)</f>
        <v>31216</v>
      </c>
      <c r="C112" s="53" t="str">
        <f>VLOOKUP($A112,'Выгр Кат'!$A:$R,C$1,0)</f>
        <v>Желобок заднего крыла в сборе "АвтоВАЗ" правый для Лада Приора, Приора 2 хэтчбек</v>
      </c>
      <c r="D112" s="52" t="str">
        <f>VLOOKUP($A112,'Выгр Кат'!$A:$R,D$1,0)</f>
        <v>Y</v>
      </c>
      <c r="E112" s="52" t="str">
        <f>VLOOKUP($A112,'Выгр Кат'!$A:$R,E$1,0)</f>
        <v>1</v>
      </c>
      <c r="F112" s="52" t="str">
        <f>VLOOKUP($A112,'Выгр Кат'!$A:$R,F$1,0)</f>
        <v>21720840405400</v>
      </c>
      <c r="G112" s="52" t="str">
        <f>IF(VLOOKUP($A112,'Выгр Кат'!$A:$R,G$1,0)=0,"",VLOOKUP($A112,'Выгр Кат'!$A:$R,G$1,0))</f>
        <v>https://motorring.ru/product/38200-usilitely-zadnego-kryla-pravyy-rucheek-priora-hetchback</v>
      </c>
      <c r="H112" s="52"/>
      <c r="I112" s="52"/>
      <c r="J112" s="54">
        <f t="shared" si="23"/>
        <v>377</v>
      </c>
      <c r="K112" s="55">
        <f>VLOOKUP(J112,Наценка!$A$1:$B$8,2,1)</f>
        <v>1.6</v>
      </c>
      <c r="L112" s="56">
        <f t="shared" si="24"/>
        <v>603.20000000000005</v>
      </c>
      <c r="M112" s="57">
        <f t="shared" si="25"/>
        <v>609</v>
      </c>
      <c r="N112" s="52">
        <f>VLOOKUP($A112,'Выгр Кат'!$A:$R,N$1,0)</f>
        <v>377</v>
      </c>
      <c r="O112" s="52">
        <f>VLOOKUP($A112,'Выгр Кат'!$A:$R,O$1,0)</f>
        <v>609</v>
      </c>
      <c r="P112" s="47">
        <f t="shared" si="26"/>
        <v>0</v>
      </c>
      <c r="Q112" s="47">
        <f t="shared" si="27"/>
        <v>0</v>
      </c>
      <c r="R112" s="58">
        <f t="shared" si="28"/>
        <v>609</v>
      </c>
      <c r="S112" s="59">
        <f t="shared" si="29"/>
        <v>0.61538461538461542</v>
      </c>
      <c r="T112" s="59">
        <f t="shared" si="30"/>
        <v>0.56187050359712232</v>
      </c>
      <c r="U112" s="59">
        <f t="shared" si="31"/>
        <v>2.6870026525198938</v>
      </c>
      <c r="V112" s="42">
        <f t="shared" si="38"/>
        <v>1390</v>
      </c>
      <c r="W112" s="69">
        <f>IFERROR((VLOOKUP($A112,'Из ГУГЛа'!$B:$Z,W$1,0)+Y112)*X112,VLOOKUP($A112,'Из ГУГЛа'!$B:$Z,W$1,0))</f>
        <v>1390</v>
      </c>
      <c r="X112" s="61">
        <v>1</v>
      </c>
      <c r="Y112" s="61">
        <v>0</v>
      </c>
      <c r="Z112" s="70">
        <v>1390</v>
      </c>
      <c r="AA112" s="60" t="s">
        <v>313</v>
      </c>
    </row>
    <row r="113" spans="1:27" ht="45" x14ac:dyDescent="0.25">
      <c r="A113" s="52">
        <v>145022</v>
      </c>
      <c r="B113" s="52">
        <f>VLOOKUP($A113,'Выгр Кат'!$A:$R,B$1,0)</f>
        <v>31183</v>
      </c>
      <c r="C113" s="53" t="str">
        <f>VLOOKUP($A113,'Выгр Кат'!$A:$R,C$1,0)</f>
        <v>Желобок заднего крыла левый в сборе (катафорез) "АвтоВАЗ" для Лада Веста седан</v>
      </c>
      <c r="D113" s="52" t="str">
        <f>VLOOKUP($A113,'Выгр Кат'!$A:$R,D$1,0)</f>
        <v>Y</v>
      </c>
      <c r="E113" s="52" t="str">
        <f>VLOOKUP($A113,'Выгр Кат'!$A:$R,E$1,0)</f>
        <v>1ск1</v>
      </c>
      <c r="F113" s="52" t="str">
        <f>VLOOKUP($A113,'Выгр Кат'!$A:$R,F$1,0)</f>
        <v>8450039228</v>
      </c>
      <c r="G113" s="52" t="str">
        <f>IF(VLOOKUP($A113,'Выгр Кат'!$A:$R,G$1,0)=0,"",VLOOKUP($A113,'Выгр Кат'!$A:$R,G$1,0))</f>
        <v>https://motorring.ru/product/36842-ghelobok-zadnego-kryla-levyy-dlya-lada-vesta</v>
      </c>
      <c r="H113" s="52"/>
      <c r="I113" s="52"/>
      <c r="J113" s="54">
        <f t="shared" si="23"/>
        <v>3100</v>
      </c>
      <c r="K113" s="55">
        <f>VLOOKUP(J113,Наценка!$A$1:$B$8,2,1)</f>
        <v>1.4</v>
      </c>
      <c r="L113" s="56">
        <f t="shared" si="24"/>
        <v>4340</v>
      </c>
      <c r="M113" s="57">
        <f t="shared" si="25"/>
        <v>4390</v>
      </c>
      <c r="N113" s="52">
        <f>VLOOKUP($A113,'Выгр Кат'!$A:$R,N$1,0)</f>
        <v>3100</v>
      </c>
      <c r="O113" s="52">
        <f>VLOOKUP($A113,'Выгр Кат'!$A:$R,O$1,0)</f>
        <v>4390</v>
      </c>
      <c r="P113" s="47">
        <f t="shared" si="26"/>
        <v>0</v>
      </c>
      <c r="Q113" s="47">
        <f t="shared" si="27"/>
        <v>0</v>
      </c>
      <c r="R113" s="58">
        <f t="shared" si="28"/>
        <v>4390</v>
      </c>
      <c r="S113" s="59">
        <f t="shared" si="29"/>
        <v>0.41612903225806441</v>
      </c>
      <c r="T113" s="59">
        <f t="shared" si="30"/>
        <v>-0.10025062656641603</v>
      </c>
      <c r="U113" s="59">
        <f t="shared" si="31"/>
        <v>0.2870967741935484</v>
      </c>
      <c r="V113" s="42">
        <f t="shared" si="38"/>
        <v>3990</v>
      </c>
      <c r="W113" s="69">
        <f>IFERROR((VLOOKUP($A113,'Из ГУГЛа'!$B:$Z,W$1,0)+Y113)*X113,VLOOKUP($A113,'Из ГУГЛа'!$B:$Z,W$1,0))</f>
        <v>3990</v>
      </c>
      <c r="X113" s="61">
        <v>1</v>
      </c>
      <c r="Y113" s="61">
        <v>0</v>
      </c>
      <c r="Z113" s="70">
        <v>3990</v>
      </c>
      <c r="AA113" s="60" t="s">
        <v>316</v>
      </c>
    </row>
    <row r="114" spans="1:27" ht="45" x14ac:dyDescent="0.25">
      <c r="A114" s="52">
        <v>145023</v>
      </c>
      <c r="B114" s="52">
        <f>VLOOKUP($A114,'Выгр Кат'!$A:$R,B$1,0)</f>
        <v>31182</v>
      </c>
      <c r="C114" s="53" t="str">
        <f>VLOOKUP($A114,'Выгр Кат'!$A:$R,C$1,0)</f>
        <v>Желобок заднего крыла правый в сборе (катафорез) "АвтоВАЗ" для Лада Веста седан</v>
      </c>
      <c r="D114" s="52" t="str">
        <f>VLOOKUP($A114,'Выгр Кат'!$A:$R,D$1,0)</f>
        <v>Y</v>
      </c>
      <c r="E114" s="52" t="str">
        <f>VLOOKUP($A114,'Выгр Кат'!$A:$R,E$1,0)</f>
        <v>1ск1</v>
      </c>
      <c r="F114" s="52" t="str">
        <f>VLOOKUP($A114,'Выгр Кат'!$A:$R,F$1,0)</f>
        <v>8450039231</v>
      </c>
      <c r="G114" s="52" t="str">
        <f>IF(VLOOKUP($A114,'Выгр Кат'!$A:$R,G$1,0)=0,"",VLOOKUP($A114,'Выгр Кат'!$A:$R,G$1,0))</f>
        <v>https://motorring.ru/product/35935-ghelobok-zadnego-kryla-pravyy-kataforeznym-pokrytiem-sbore</v>
      </c>
      <c r="H114" s="52"/>
      <c r="I114" s="52"/>
      <c r="J114" s="54">
        <f t="shared" si="23"/>
        <v>5301</v>
      </c>
      <c r="K114" s="55">
        <f>VLOOKUP(J114,Наценка!$A$1:$B$8,2,1)</f>
        <v>1.35</v>
      </c>
      <c r="L114" s="56">
        <f t="shared" si="24"/>
        <v>7156.35</v>
      </c>
      <c r="M114" s="57">
        <f t="shared" si="25"/>
        <v>7190</v>
      </c>
      <c r="N114" s="52">
        <f>VLOOKUP($A114,'Выгр Кат'!$A:$R,N$1,0)</f>
        <v>5301</v>
      </c>
      <c r="O114" s="52">
        <f>VLOOKUP($A114,'Выгр Кат'!$A:$R,O$1,0)</f>
        <v>7190</v>
      </c>
      <c r="P114" s="47">
        <f t="shared" si="26"/>
        <v>0</v>
      </c>
      <c r="Q114" s="47">
        <f t="shared" si="27"/>
        <v>0</v>
      </c>
      <c r="R114" s="58">
        <f t="shared" si="28"/>
        <v>7190</v>
      </c>
      <c r="S114" s="59">
        <f t="shared" si="29"/>
        <v>0.35634785889454812</v>
      </c>
      <c r="T114" s="59">
        <f t="shared" si="30"/>
        <v>-0.80200501253132828</v>
      </c>
      <c r="U114" s="59">
        <f t="shared" si="31"/>
        <v>-0.24731182795698925</v>
      </c>
      <c r="V114" s="42">
        <f t="shared" si="38"/>
        <v>3990</v>
      </c>
      <c r="W114" s="69">
        <f>IFERROR((VLOOKUP($A114,'Из ГУГЛа'!$B:$Z,W$1,0)+Y114)*X114,VLOOKUP($A114,'Из ГУГЛа'!$B:$Z,W$1,0))</f>
        <v>3990</v>
      </c>
      <c r="X114" s="61">
        <v>1</v>
      </c>
      <c r="Y114" s="61">
        <v>0</v>
      </c>
      <c r="Z114" s="70">
        <v>3990</v>
      </c>
      <c r="AA114" s="60" t="s">
        <v>319</v>
      </c>
    </row>
    <row r="115" spans="1:27" ht="30" x14ac:dyDescent="0.25">
      <c r="A115" s="52">
        <v>145024</v>
      </c>
      <c r="B115" s="52">
        <f>VLOOKUP($A115,'Выгр Кат'!$A:$R,B$1,0)</f>
        <v>31427</v>
      </c>
      <c r="C115" s="53" t="str">
        <f>VLOOKUP($A115,'Выгр Кат'!$A:$R,C$1,0)</f>
        <v>Желобок задний "АвтоВАЗ" левый для ВАЗ 2108</v>
      </c>
      <c r="D115" s="52" t="str">
        <f>VLOOKUP($A115,'Выгр Кат'!$A:$R,D$1,0)</f>
        <v>Y</v>
      </c>
      <c r="E115" s="52" t="str">
        <f>VLOOKUP($A115,'Выгр Кат'!$A:$R,E$1,0)</f>
        <v>1</v>
      </c>
      <c r="F115" s="52" t="str">
        <f>VLOOKUP($A115,'Выгр Кат'!$A:$R,F$1,0)</f>
        <v>21080540124300</v>
      </c>
      <c r="G115" s="52" t="str">
        <f>IF(VLOOKUP($A115,'Выгр Кат'!$A:$R,G$1,0)=0,"",VLOOKUP($A115,'Выгр Кат'!$A:$R,G$1,0))</f>
        <v>https://motorring.ru/product/4581-ghelobok-zadniy-levyy-vaz-2108</v>
      </c>
      <c r="H115" s="52"/>
      <c r="I115" s="52"/>
      <c r="J115" s="54">
        <f t="shared" si="23"/>
        <v>130</v>
      </c>
      <c r="K115" s="55">
        <f>VLOOKUP(J115,Наценка!$A$1:$B$8,2,1)</f>
        <v>1.8</v>
      </c>
      <c r="L115" s="56">
        <f t="shared" si="24"/>
        <v>234</v>
      </c>
      <c r="M115" s="57">
        <f t="shared" si="25"/>
        <v>239</v>
      </c>
      <c r="N115" s="52">
        <f>VLOOKUP($A115,'Выгр Кат'!$A:$R,N$1,0)</f>
        <v>130</v>
      </c>
      <c r="O115" s="52">
        <f>VLOOKUP($A115,'Выгр Кат'!$A:$R,O$1,0)</f>
        <v>239</v>
      </c>
      <c r="P115" s="47">
        <f t="shared" si="26"/>
        <v>0</v>
      </c>
      <c r="Q115" s="47">
        <f t="shared" si="27"/>
        <v>0</v>
      </c>
      <c r="R115" s="58">
        <f t="shared" si="28"/>
        <v>239</v>
      </c>
      <c r="S115" s="59">
        <f t="shared" si="29"/>
        <v>0.83846153846153837</v>
      </c>
      <c r="T115" s="59">
        <f t="shared" si="30"/>
        <v>0.17586206896551723</v>
      </c>
      <c r="U115" s="59">
        <f t="shared" si="31"/>
        <v>1.2307692307692308</v>
      </c>
      <c r="V115" s="42">
        <f t="shared" si="38"/>
        <v>290</v>
      </c>
      <c r="W115" s="69">
        <f>IFERROR((VLOOKUP($A115,'Из ГУГЛа'!$B:$Z,W$1,0)+Y115)*X115,VLOOKUP($A115,'Из ГУГЛа'!$B:$Z,W$1,0))</f>
        <v>290</v>
      </c>
      <c r="X115" s="61">
        <v>1</v>
      </c>
      <c r="Y115" s="61">
        <v>0</v>
      </c>
      <c r="Z115" s="70">
        <v>290</v>
      </c>
      <c r="AA115" s="60" t="s">
        <v>322</v>
      </c>
    </row>
    <row r="116" spans="1:27" ht="30" x14ac:dyDescent="0.25">
      <c r="A116" s="52">
        <v>145025</v>
      </c>
      <c r="B116" s="52">
        <f>VLOOKUP($A116,'Выгр Кат'!$A:$R,B$1,0)</f>
        <v>31392</v>
      </c>
      <c r="C116" s="53" t="str">
        <f>VLOOKUP($A116,'Выгр Кат'!$A:$R,C$1,0)</f>
        <v>Желобок крыла заднего "АвтоВАЗ" левый для ВАЗ 2111</v>
      </c>
      <c r="D116" s="52" t="str">
        <f>VLOOKUP($A116,'Выгр Кат'!$A:$R,D$1,0)</f>
        <v>Y</v>
      </c>
      <c r="E116" s="52" t="str">
        <f>VLOOKUP($A116,'Выгр Кат'!$A:$R,E$1,0)</f>
        <v>1</v>
      </c>
      <c r="F116" s="52" t="str">
        <f>VLOOKUP($A116,'Выгр Кат'!$A:$R,F$1,0)</f>
        <v>21110840405100</v>
      </c>
      <c r="G116" s="52" t="str">
        <f>IF(VLOOKUP($A116,'Выгр Кат'!$A:$R,G$1,0)=0,"",VLOOKUP($A116,'Выгр Кат'!$A:$R,G$1,0))</f>
        <v>https://motorring.ru/product/194-ghelobok-kryla-zadnego-levyy-vaz-2111</v>
      </c>
      <c r="H116" s="52"/>
      <c r="I116" s="52"/>
      <c r="J116" s="54">
        <f t="shared" si="23"/>
        <v>106</v>
      </c>
      <c r="K116" s="55">
        <f>VLOOKUP(J116,Наценка!$A$1:$B$8,2,1)</f>
        <v>1.8</v>
      </c>
      <c r="L116" s="56">
        <f t="shared" si="24"/>
        <v>190.8</v>
      </c>
      <c r="M116" s="57">
        <f t="shared" si="25"/>
        <v>199</v>
      </c>
      <c r="N116" s="52">
        <f>VLOOKUP($A116,'Выгр Кат'!$A:$R,N$1,0)</f>
        <v>106</v>
      </c>
      <c r="O116" s="52">
        <f>VLOOKUP($A116,'Выгр Кат'!$A:$R,O$1,0)</f>
        <v>199</v>
      </c>
      <c r="P116" s="47">
        <f t="shared" si="26"/>
        <v>0</v>
      </c>
      <c r="Q116" s="47">
        <f t="shared" si="27"/>
        <v>0</v>
      </c>
      <c r="R116" s="58">
        <f t="shared" si="28"/>
        <v>199</v>
      </c>
      <c r="S116" s="59">
        <f t="shared" si="29"/>
        <v>0.87735849056603765</v>
      </c>
      <c r="T116" s="59">
        <f t="shared" si="30"/>
        <v>0.20080321285140562</v>
      </c>
      <c r="U116" s="59">
        <f t="shared" si="31"/>
        <v>1.3490566037735849</v>
      </c>
      <c r="V116" s="42">
        <f t="shared" si="38"/>
        <v>249</v>
      </c>
      <c r="W116" s="69">
        <f>IFERROR((VLOOKUP($A116,'Из ГУГЛа'!$B:$Z,W$1,0)+Y116)*X116,VLOOKUP($A116,'Из ГУГЛа'!$B:$Z,W$1,0))</f>
        <v>249</v>
      </c>
      <c r="X116" s="61">
        <v>1</v>
      </c>
      <c r="Y116" s="61">
        <v>0</v>
      </c>
      <c r="Z116" s="70">
        <v>249</v>
      </c>
      <c r="AA116" s="60" t="s">
        <v>325</v>
      </c>
    </row>
    <row r="117" spans="1:27" ht="30" x14ac:dyDescent="0.25">
      <c r="A117" s="52">
        <v>145026</v>
      </c>
      <c r="B117" s="52">
        <f>VLOOKUP($A117,'Выгр Кат'!$A:$R,B$1,0)</f>
        <v>30988</v>
      </c>
      <c r="C117" s="53" t="str">
        <f>VLOOKUP($A117,'Выгр Кат'!$A:$R,C$1,0)</f>
        <v>Желобок крыла заднего "АвтоВАЗ" левый для Лада Калина универсал</v>
      </c>
      <c r="D117" s="52" t="str">
        <f>VLOOKUP($A117,'Выгр Кат'!$A:$R,D$1,0)</f>
        <v>Y</v>
      </c>
      <c r="E117" s="52" t="str">
        <f>VLOOKUP($A117,'Выгр Кат'!$A:$R,E$1,0)</f>
        <v>1</v>
      </c>
      <c r="F117" s="52" t="str">
        <f>VLOOKUP($A117,'Выгр Кат'!$A:$R,F$1,0)</f>
        <v>11170840405700</v>
      </c>
      <c r="G117" s="52" t="str">
        <f>IF(VLOOKUP($A117,'Выгр Кат'!$A:$R,G$1,0)=0,"",VLOOKUP($A117,'Выгр Кат'!$A:$R,G$1,0))</f>
        <v>https://motorring.ru/product/16619-ghelobok-kryla-zadnego-levyy-dlya-lada-kalina-universal</v>
      </c>
      <c r="H117" s="52"/>
      <c r="I117" s="52"/>
      <c r="J117" s="54">
        <f t="shared" si="23"/>
        <v>211</v>
      </c>
      <c r="K117" s="55">
        <f>VLOOKUP(J117,Наценка!$A$1:$B$8,2,1)</f>
        <v>1.8</v>
      </c>
      <c r="L117" s="56">
        <f t="shared" si="24"/>
        <v>379.8</v>
      </c>
      <c r="M117" s="57">
        <f t="shared" si="25"/>
        <v>379</v>
      </c>
      <c r="N117" s="52">
        <f>VLOOKUP($A117,'Выгр Кат'!$A:$R,N$1,0)</f>
        <v>211</v>
      </c>
      <c r="O117" s="52">
        <f>VLOOKUP($A117,'Выгр Кат'!$A:$R,O$1,0)</f>
        <v>379</v>
      </c>
      <c r="P117" s="47">
        <f t="shared" si="26"/>
        <v>0</v>
      </c>
      <c r="Q117" s="47">
        <f t="shared" si="27"/>
        <v>0</v>
      </c>
      <c r="R117" s="58">
        <f t="shared" si="28"/>
        <v>379</v>
      </c>
      <c r="S117" s="59">
        <f t="shared" si="29"/>
        <v>0.79620853080568721</v>
      </c>
      <c r="T117" s="59">
        <f t="shared" si="30"/>
        <v>0.28355387523629488</v>
      </c>
      <c r="U117" s="59">
        <f t="shared" si="31"/>
        <v>1.5071090047393363</v>
      </c>
      <c r="V117" s="42">
        <f t="shared" si="38"/>
        <v>529</v>
      </c>
      <c r="W117" s="69">
        <f>IFERROR((VLOOKUP($A117,'Из ГУГЛа'!$B:$Z,W$1,0)+Y117)*X117,VLOOKUP($A117,'Из ГУГЛа'!$B:$Z,W$1,0))</f>
        <v>529</v>
      </c>
      <c r="X117" s="61">
        <v>1</v>
      </c>
      <c r="Y117" s="61">
        <v>0</v>
      </c>
      <c r="Z117" s="70">
        <v>529</v>
      </c>
      <c r="AA117" s="60" t="s">
        <v>328</v>
      </c>
    </row>
    <row r="118" spans="1:27" ht="30" x14ac:dyDescent="0.25">
      <c r="A118" s="52">
        <v>145027</v>
      </c>
      <c r="B118" s="52">
        <f>VLOOKUP($A118,'Выгр Кат'!$A:$R,B$1,0)</f>
        <v>31393</v>
      </c>
      <c r="C118" s="53" t="str">
        <f>VLOOKUP($A118,'Выгр Кат'!$A:$R,C$1,0)</f>
        <v>Желобок крыла заднего "АвтоВАЗ" правый для ВАЗ 2111</v>
      </c>
      <c r="D118" s="52" t="str">
        <f>VLOOKUP($A118,'Выгр Кат'!$A:$R,D$1,0)</f>
        <v>Y</v>
      </c>
      <c r="E118" s="52" t="str">
        <f>VLOOKUP($A118,'Выгр Кат'!$A:$R,E$1,0)</f>
        <v>1</v>
      </c>
      <c r="F118" s="52" t="str">
        <f>VLOOKUP($A118,'Выгр Кат'!$A:$R,F$1,0)</f>
        <v>21110840405000</v>
      </c>
      <c r="G118" s="52" t="str">
        <f>IF(VLOOKUP($A118,'Выгр Кат'!$A:$R,G$1,0)=0,"",VLOOKUP($A118,'Выгр Кат'!$A:$R,G$1,0))</f>
        <v>https://motorring.ru/product/167-ghelobok-kryla-zadnego-pravyy-vaz-2111</v>
      </c>
      <c r="H118" s="52"/>
      <c r="I118" s="52"/>
      <c r="J118" s="54">
        <f t="shared" si="23"/>
        <v>113</v>
      </c>
      <c r="K118" s="55">
        <f>VLOOKUP(J118,Наценка!$A$1:$B$8,2,1)</f>
        <v>1.8</v>
      </c>
      <c r="L118" s="56">
        <f t="shared" si="24"/>
        <v>203.4</v>
      </c>
      <c r="M118" s="57">
        <f t="shared" si="25"/>
        <v>209</v>
      </c>
      <c r="N118" s="52">
        <f>VLOOKUP($A118,'Выгр Кат'!$A:$R,N$1,0)</f>
        <v>113</v>
      </c>
      <c r="O118" s="52">
        <f>VLOOKUP($A118,'Выгр Кат'!$A:$R,O$1,0)</f>
        <v>209</v>
      </c>
      <c r="P118" s="47">
        <f t="shared" si="26"/>
        <v>0</v>
      </c>
      <c r="Q118" s="47">
        <f t="shared" si="27"/>
        <v>0</v>
      </c>
      <c r="R118" s="58">
        <f t="shared" si="28"/>
        <v>209</v>
      </c>
      <c r="S118" s="59">
        <f t="shared" si="29"/>
        <v>0.84955752212389379</v>
      </c>
      <c r="T118" s="59">
        <f t="shared" si="30"/>
        <v>0.1606425702811245</v>
      </c>
      <c r="U118" s="59">
        <f t="shared" si="31"/>
        <v>1.2035398230088497</v>
      </c>
      <c r="V118" s="42">
        <f t="shared" si="38"/>
        <v>249</v>
      </c>
      <c r="W118" s="69">
        <f>IFERROR((VLOOKUP($A118,'Из ГУГЛа'!$B:$Z,W$1,0)+Y118)*X118,VLOOKUP($A118,'Из ГУГЛа'!$B:$Z,W$1,0))</f>
        <v>249</v>
      </c>
      <c r="X118" s="61">
        <v>1</v>
      </c>
      <c r="Y118" s="61">
        <v>0</v>
      </c>
      <c r="Z118" s="70">
        <v>249</v>
      </c>
      <c r="AA118" s="60" t="s">
        <v>331</v>
      </c>
    </row>
    <row r="119" spans="1:27" ht="30" x14ac:dyDescent="0.25">
      <c r="A119" s="52">
        <v>145028</v>
      </c>
      <c r="B119" s="52">
        <f>VLOOKUP($A119,'Выгр Кат'!$A:$R,B$1,0)</f>
        <v>30987</v>
      </c>
      <c r="C119" s="53" t="str">
        <f>VLOOKUP($A119,'Выгр Кат'!$A:$R,C$1,0)</f>
        <v>Желобок крыла заднего "АвтоВАЗ" правый для Лада Калина универсал</v>
      </c>
      <c r="D119" s="52" t="str">
        <f>VLOOKUP($A119,'Выгр Кат'!$A:$R,D$1,0)</f>
        <v>Y</v>
      </c>
      <c r="E119" s="52" t="str">
        <f>VLOOKUP($A119,'Выгр Кат'!$A:$R,E$1,0)</f>
        <v>1</v>
      </c>
      <c r="F119" s="52" t="str">
        <f>VLOOKUP($A119,'Выгр Кат'!$A:$R,F$1,0)</f>
        <v>11170840405600</v>
      </c>
      <c r="G119" s="52" t="str">
        <f>IF(VLOOKUP($A119,'Выгр Кат'!$A:$R,G$1,0)=0,"",VLOOKUP($A119,'Выгр Кат'!$A:$R,G$1,0))</f>
        <v>https://motorring.ru/product/16628-ghelobok-kryla-zadnego-pravyy-lada-kalina-universal</v>
      </c>
      <c r="H119" s="52"/>
      <c r="I119" s="52"/>
      <c r="J119" s="54">
        <f t="shared" si="23"/>
        <v>267</v>
      </c>
      <c r="K119" s="55">
        <f>VLOOKUP(J119,Наценка!$A$1:$B$8,2,1)</f>
        <v>1.8</v>
      </c>
      <c r="L119" s="56">
        <f t="shared" si="24"/>
        <v>480.6</v>
      </c>
      <c r="M119" s="57">
        <f t="shared" si="25"/>
        <v>489</v>
      </c>
      <c r="N119" s="52">
        <f>VLOOKUP($A119,'Выгр Кат'!$A:$R,N$1,0)</f>
        <v>267</v>
      </c>
      <c r="O119" s="52">
        <f>VLOOKUP($A119,'Выгр Кат'!$A:$R,O$1,0)</f>
        <v>489</v>
      </c>
      <c r="P119" s="47">
        <f t="shared" si="26"/>
        <v>0</v>
      </c>
      <c r="Q119" s="47">
        <f t="shared" si="27"/>
        <v>0</v>
      </c>
      <c r="R119" s="58">
        <f t="shared" si="28"/>
        <v>489</v>
      </c>
      <c r="S119" s="59">
        <f t="shared" si="29"/>
        <v>0.8314606741573034</v>
      </c>
      <c r="T119" s="59">
        <f t="shared" si="30"/>
        <v>7.5614366729678639E-2</v>
      </c>
      <c r="U119" s="59">
        <f t="shared" si="31"/>
        <v>0.98127340823970033</v>
      </c>
      <c r="V119" s="42">
        <f t="shared" si="38"/>
        <v>529</v>
      </c>
      <c r="W119" s="69">
        <f>IFERROR((VLOOKUP($A119,'Из ГУГЛа'!$B:$Z,W$1,0)+Y119)*X119,VLOOKUP($A119,'Из ГУГЛа'!$B:$Z,W$1,0))</f>
        <v>529</v>
      </c>
      <c r="X119" s="61">
        <v>1</v>
      </c>
      <c r="Y119" s="61">
        <v>0</v>
      </c>
      <c r="Z119" s="70">
        <v>529</v>
      </c>
      <c r="AA119" s="60" t="s">
        <v>334</v>
      </c>
    </row>
    <row r="120" spans="1:27" ht="45" x14ac:dyDescent="0.25">
      <c r="A120" s="52">
        <v>145029</v>
      </c>
      <c r="B120" s="52">
        <f>VLOOKUP($A120,'Выгр Кат'!$A:$R,B$1,0)</f>
        <v>32691</v>
      </c>
      <c r="C120" s="53" t="str">
        <f>VLOOKUP($A120,'Выгр Кат'!$A:$R,C$1,0)</f>
        <v>Желобок крыла заднего с надставкой (катафорез) "АвтоВАЗ" левый для Лада Приора, Приора 2 седан</v>
      </c>
      <c r="D120" s="52" t="str">
        <f>VLOOKUP($A120,'Выгр Кат'!$A:$R,D$1,0)</f>
        <v>Y</v>
      </c>
      <c r="E120" s="52" t="str">
        <f>VLOOKUP($A120,'Выгр Кат'!$A:$R,E$1,0)</f>
        <v>1</v>
      </c>
      <c r="F120" s="52" t="str">
        <f>VLOOKUP($A120,'Выгр Кат'!$A:$R,F$1,0)</f>
        <v>21700840405110</v>
      </c>
      <c r="G120" s="52" t="str">
        <f>IF(VLOOKUP($A120,'Выгр Кат'!$A:$R,G$1,0)=0,"",VLOOKUP($A120,'Выгр Кат'!$A:$R,G$1,0))</f>
        <v>https://motorring.ru/product/4799-ghelobok-kryla-zadnego-levyy-nadstavkoy-kataforeznoe</v>
      </c>
      <c r="H120" s="52"/>
      <c r="I120" s="52"/>
      <c r="J120" s="54">
        <f t="shared" si="23"/>
        <v>3266</v>
      </c>
      <c r="K120" s="55">
        <f>VLOOKUP(J120,Наценка!$A$1:$B$8,2,1)</f>
        <v>1.4</v>
      </c>
      <c r="L120" s="56">
        <f t="shared" si="24"/>
        <v>4572.3999999999996</v>
      </c>
      <c r="M120" s="57">
        <f t="shared" si="25"/>
        <v>4590</v>
      </c>
      <c r="N120" s="52">
        <f>VLOOKUP($A120,'Выгр Кат'!$A:$R,N$1,0)</f>
        <v>3266</v>
      </c>
      <c r="O120" s="52">
        <f>VLOOKUP($A120,'Выгр Кат'!$A:$R,O$1,0)</f>
        <v>4590</v>
      </c>
      <c r="P120" s="47">
        <f t="shared" si="26"/>
        <v>0</v>
      </c>
      <c r="Q120" s="47">
        <f t="shared" si="27"/>
        <v>0</v>
      </c>
      <c r="R120" s="58">
        <f t="shared" si="28"/>
        <v>4590</v>
      </c>
      <c r="S120" s="59">
        <f t="shared" si="29"/>
        <v>0.40538885486834042</v>
      </c>
      <c r="T120" s="59">
        <f t="shared" si="30"/>
        <v>0</v>
      </c>
      <c r="U120" s="59">
        <f t="shared" si="31"/>
        <v>0.40538885486834042</v>
      </c>
      <c r="V120" s="42">
        <f t="shared" si="38"/>
        <v>4590</v>
      </c>
      <c r="W120" s="69">
        <f>IFERROR((VLOOKUP($A120,'Из ГУГЛа'!$B:$Z,W$1,0)+Y120)*X120,VLOOKUP($A120,'Из ГУГЛа'!$B:$Z,W$1,0))</f>
        <v>4590</v>
      </c>
      <c r="X120" s="61">
        <v>1</v>
      </c>
      <c r="Y120" s="61">
        <v>0</v>
      </c>
      <c r="Z120" s="70">
        <v>4590</v>
      </c>
      <c r="AA120" s="60" t="s">
        <v>337</v>
      </c>
    </row>
    <row r="121" spans="1:27" ht="45" x14ac:dyDescent="0.25">
      <c r="A121" s="52">
        <v>145030</v>
      </c>
      <c r="B121" s="52">
        <f>VLOOKUP($A121,'Выгр Кат'!$A:$R,B$1,0)</f>
        <v>31213</v>
      </c>
      <c r="C121" s="53" t="str">
        <f>VLOOKUP($A121,'Выгр Кат'!$A:$R,C$1,0)</f>
        <v>Желобок крыла заднего с надставкой (катафорезное покрытие) "АвтоВАЗ" правый для Лада Гранта седан</v>
      </c>
      <c r="D121" s="52" t="str">
        <f>VLOOKUP($A121,'Выгр Кат'!$A:$R,D$1,0)</f>
        <v>Y</v>
      </c>
      <c r="E121" s="52" t="str">
        <f>VLOOKUP($A121,'Выгр Кат'!$A:$R,E$1,0)</f>
        <v>1</v>
      </c>
      <c r="F121" s="52" t="str">
        <f>VLOOKUP($A121,'Выгр Кат'!$A:$R,F$1,0)</f>
        <v>21900840405070</v>
      </c>
      <c r="G121" s="52" t="str">
        <f>IF(VLOOKUP($A121,'Выгр Кат'!$A:$R,G$1,0)=0,"",VLOOKUP($A121,'Выгр Кат'!$A:$R,G$1,0))</f>
        <v>https://motorring.ru/product/10267</v>
      </c>
      <c r="H121" s="52"/>
      <c r="I121" s="52"/>
      <c r="J121" s="54">
        <f t="shared" si="23"/>
        <v>1792.39</v>
      </c>
      <c r="K121" s="55">
        <f>VLOOKUP(J121,Наценка!$A$1:$B$8,2,1)</f>
        <v>1.5</v>
      </c>
      <c r="L121" s="56">
        <f t="shared" si="24"/>
        <v>2688.585</v>
      </c>
      <c r="M121" s="57">
        <f t="shared" si="25"/>
        <v>2690</v>
      </c>
      <c r="N121" s="52">
        <f>VLOOKUP($A121,'Выгр Кат'!$A:$R,N$1,0)</f>
        <v>1792.39</v>
      </c>
      <c r="O121" s="52">
        <f>VLOOKUP($A121,'Выгр Кат'!$A:$R,O$1,0)</f>
        <v>2690</v>
      </c>
      <c r="P121" s="47">
        <f t="shared" si="26"/>
        <v>0</v>
      </c>
      <c r="Q121" s="47">
        <f t="shared" si="27"/>
        <v>0</v>
      </c>
      <c r="R121" s="58">
        <f t="shared" si="28"/>
        <v>2690</v>
      </c>
      <c r="S121" s="59">
        <f t="shared" si="29"/>
        <v>0.50078944872488673</v>
      </c>
      <c r="T121" s="59">
        <f t="shared" si="30"/>
        <v>-0.17467248908296942</v>
      </c>
      <c r="U121" s="59">
        <f t="shared" si="31"/>
        <v>0.27762373144237573</v>
      </c>
      <c r="V121" s="42">
        <f t="shared" si="38"/>
        <v>2290</v>
      </c>
      <c r="W121" s="69">
        <f>IFERROR((VLOOKUP($A121,'Из ГУГЛа'!$B:$Z,W$1,0)+Y121)*X121,VLOOKUP($A121,'Из ГУГЛа'!$B:$Z,W$1,0))</f>
        <v>2290</v>
      </c>
      <c r="X121" s="61">
        <v>1</v>
      </c>
      <c r="Y121" s="61">
        <v>0</v>
      </c>
      <c r="Z121" s="70">
        <v>2290</v>
      </c>
      <c r="AA121" s="60" t="s">
        <v>340</v>
      </c>
    </row>
    <row r="122" spans="1:27" ht="45" x14ac:dyDescent="0.25">
      <c r="A122" s="52">
        <v>145031</v>
      </c>
      <c r="B122" s="52">
        <f>VLOOKUP($A122,'Выгр Кат'!$A:$R,B$1,0)</f>
        <v>31202</v>
      </c>
      <c r="C122" s="53" t="str">
        <f>VLOOKUP($A122,'Выгр Кат'!$A:$R,C$1,0)</f>
        <v>Желобок крыла заднего с надставкой (катафорезное покрытие) "АвтоВАЗ" правый для Лада Калина 2 универсал</v>
      </c>
      <c r="D122" s="52" t="str">
        <f>VLOOKUP($A122,'Выгр Кат'!$A:$R,D$1,0)</f>
        <v>Y</v>
      </c>
      <c r="E122" s="52" t="str">
        <f>VLOOKUP($A122,'Выгр Кат'!$A:$R,E$1,0)</f>
        <v>1</v>
      </c>
      <c r="F122" s="52" t="str">
        <f>VLOOKUP($A122,'Выгр Кат'!$A:$R,F$1,0)</f>
        <v>21940840405070</v>
      </c>
      <c r="G122" s="52" t="str">
        <f>IF(VLOOKUP($A122,'Выгр Кат'!$A:$R,G$1,0)=0,"",VLOOKUP($A122,'Выгр Кат'!$A:$R,G$1,0))</f>
        <v>https://motorring.ru/product/38238-pravyy-ghelobok-zadnego-kryla-dlya-lada-kalina2-universal</v>
      </c>
      <c r="H122" s="52"/>
      <c r="I122" s="52"/>
      <c r="J122" s="54">
        <f t="shared" si="23"/>
        <v>2517</v>
      </c>
      <c r="K122" s="55">
        <f>VLOOKUP(J122,Наценка!$A$1:$B$8,2,1)</f>
        <v>1.4</v>
      </c>
      <c r="L122" s="56">
        <f t="shared" si="24"/>
        <v>3523.7999999999997</v>
      </c>
      <c r="M122" s="57">
        <f t="shared" si="25"/>
        <v>3590</v>
      </c>
      <c r="N122" s="52">
        <f>VLOOKUP($A122,'Выгр Кат'!$A:$R,N$1,0)</f>
        <v>2517</v>
      </c>
      <c r="O122" s="52">
        <f>VLOOKUP($A122,'Выгр Кат'!$A:$R,O$1,0)</f>
        <v>3590</v>
      </c>
      <c r="P122" s="47">
        <f t="shared" si="26"/>
        <v>0</v>
      </c>
      <c r="Q122" s="47">
        <f t="shared" si="27"/>
        <v>0</v>
      </c>
      <c r="R122" s="58">
        <f t="shared" si="28"/>
        <v>3590</v>
      </c>
      <c r="S122" s="59">
        <f t="shared" si="29"/>
        <v>0.4263011521652762</v>
      </c>
      <c r="T122" s="59">
        <f t="shared" si="30"/>
        <v>-0.33457249070631973</v>
      </c>
      <c r="U122" s="59">
        <f t="shared" si="31"/>
        <v>6.8732618196265305E-2</v>
      </c>
      <c r="V122" s="42">
        <f t="shared" si="38"/>
        <v>2690</v>
      </c>
      <c r="W122" s="69">
        <f>IFERROR((VLOOKUP($A122,'Из ГУГЛа'!$B:$Z,W$1,0)+Y122)*X122,VLOOKUP($A122,'Из ГУГЛа'!$B:$Z,W$1,0))</f>
        <v>2690</v>
      </c>
      <c r="X122" s="61">
        <v>1</v>
      </c>
      <c r="Y122" s="61">
        <v>0</v>
      </c>
      <c r="Z122" s="70">
        <v>2690</v>
      </c>
      <c r="AA122" s="60" t="s">
        <v>343</v>
      </c>
    </row>
    <row r="123" spans="1:27" ht="60" x14ac:dyDescent="0.25">
      <c r="A123" s="52">
        <v>145032</v>
      </c>
      <c r="B123" s="52">
        <f>VLOOKUP($A123,'Выгр Кат'!$A:$R,B$1,0)</f>
        <v>31229</v>
      </c>
      <c r="C123" s="53" t="str">
        <f>VLOOKUP($A123,'Выгр Кат'!$A:$R,C$1,0)</f>
        <v>Желобок крыла заднего с надставкой (катафорезное покрытие) "АвтоВАЗ" правый для Лада Приора, Приора 2 седан</v>
      </c>
      <c r="D123" s="52" t="str">
        <f>VLOOKUP($A123,'Выгр Кат'!$A:$R,D$1,0)</f>
        <v>Y</v>
      </c>
      <c r="E123" s="52" t="str">
        <f>VLOOKUP($A123,'Выгр Кат'!$A:$R,E$1,0)</f>
        <v>1</v>
      </c>
      <c r="F123" s="52" t="str">
        <f>VLOOKUP($A123,'Выгр Кат'!$A:$R,F$1,0)</f>
        <v>21700840405010</v>
      </c>
      <c r="G123" s="52" t="str">
        <f>IF(VLOOKUP($A123,'Выгр Кат'!$A:$R,G$1,0)=0,"",VLOOKUP($A123,'Выгр Кат'!$A:$R,G$1,0))</f>
        <v>https://motorring.ru/product/4781-ghelobok-kryla-zadnego-pravyy-nadstavkoy-kataforeznoe</v>
      </c>
      <c r="H123" s="52"/>
      <c r="I123" s="52"/>
      <c r="J123" s="54">
        <f t="shared" si="23"/>
        <v>3266</v>
      </c>
      <c r="K123" s="55">
        <f>VLOOKUP(J123,Наценка!$A$1:$B$8,2,1)</f>
        <v>1.4</v>
      </c>
      <c r="L123" s="56">
        <f t="shared" si="24"/>
        <v>4572.3999999999996</v>
      </c>
      <c r="M123" s="57">
        <f t="shared" si="25"/>
        <v>4590</v>
      </c>
      <c r="N123" s="52">
        <f>VLOOKUP($A123,'Выгр Кат'!$A:$R,N$1,0)</f>
        <v>3266</v>
      </c>
      <c r="O123" s="52">
        <f>VLOOKUP($A123,'Выгр Кат'!$A:$R,O$1,0)</f>
        <v>4590</v>
      </c>
      <c r="P123" s="47">
        <f t="shared" si="26"/>
        <v>0</v>
      </c>
      <c r="Q123" s="47">
        <f t="shared" si="27"/>
        <v>0</v>
      </c>
      <c r="R123" s="58">
        <f t="shared" si="28"/>
        <v>4590</v>
      </c>
      <c r="S123" s="59">
        <f t="shared" si="29"/>
        <v>0.40538885486834042</v>
      </c>
      <c r="T123" s="59">
        <f t="shared" si="30"/>
        <v>0</v>
      </c>
      <c r="U123" s="59">
        <f t="shared" si="31"/>
        <v>0.40538885486834042</v>
      </c>
      <c r="V123" s="42">
        <f t="shared" si="38"/>
        <v>4590</v>
      </c>
      <c r="W123" s="69">
        <f>IFERROR((VLOOKUP($A123,'Из ГУГЛа'!$B:$Z,W$1,0)+Y123)*X123,VLOOKUP($A123,'Из ГУГЛа'!$B:$Z,W$1,0))</f>
        <v>4590</v>
      </c>
      <c r="X123" s="61">
        <v>1</v>
      </c>
      <c r="Y123" s="61">
        <v>0</v>
      </c>
      <c r="Z123" s="70">
        <v>4590</v>
      </c>
      <c r="AA123" s="60" t="s">
        <v>346</v>
      </c>
    </row>
    <row r="124" spans="1:27" ht="30" x14ac:dyDescent="0.25">
      <c r="A124" s="52">
        <v>152866</v>
      </c>
      <c r="B124" s="52">
        <f>VLOOKUP($A124,'Выгр Кат'!$A:$R,B$1,0)</f>
        <v>31415</v>
      </c>
      <c r="C124" s="53" t="str">
        <f>VLOOKUP($A124,'Выгр Кат'!$A:$R,C$1,0)</f>
        <v>Звено петли багажника "АвтоВАЗ" левое для ВАЗ 21099</v>
      </c>
      <c r="D124" s="52" t="str">
        <f>VLOOKUP($A124,'Выгр Кат'!$A:$R,D$1,0)</f>
        <v>Y</v>
      </c>
      <c r="E124" s="52" t="str">
        <f>VLOOKUP($A124,'Выгр Кат'!$A:$R,E$1,0)</f>
        <v>1</v>
      </c>
      <c r="F124" s="52" t="str">
        <f>VLOOKUP($A124,'Выгр Кат'!$A:$R,F$1,0)</f>
        <v>21099560502300</v>
      </c>
      <c r="G124" s="52" t="str">
        <f>IF(VLOOKUP($A124,'Выгр Кат'!$A:$R,G$1,0)=0,"",VLOOKUP($A124,'Выгр Кат'!$A:$R,G$1,0))</f>
        <v/>
      </c>
      <c r="H124" s="52"/>
      <c r="I124" s="52"/>
      <c r="J124" s="54">
        <f t="shared" ref="J124:J183" si="39">N124</f>
        <v>265</v>
      </c>
      <c r="K124" s="55">
        <f>VLOOKUP(J124,Наценка!$A$1:$B$8,2,1)</f>
        <v>1.8</v>
      </c>
      <c r="L124" s="56">
        <f t="shared" ref="L124:L183" si="40">J124*K124</f>
        <v>477</v>
      </c>
      <c r="M124" s="57">
        <f t="shared" ref="M124:M183" si="41">IF(L124&lt;=1000,(ROUNDUP(L124,-1)-1),(ROUNDUP(L124,-2)-10))</f>
        <v>479</v>
      </c>
      <c r="N124" s="52">
        <f>VLOOKUP($A124,'Выгр Кат'!$A:$R,N$1,0)</f>
        <v>265</v>
      </c>
      <c r="O124" s="52">
        <f>VLOOKUP($A124,'Выгр Кат'!$A:$R,O$1,0)</f>
        <v>479</v>
      </c>
      <c r="P124" s="47">
        <f t="shared" ref="P124:P183" si="42">N124-J124</f>
        <v>0</v>
      </c>
      <c r="Q124" s="47">
        <f t="shared" ref="Q124:Q183" si="43">O124-M124</f>
        <v>0</v>
      </c>
      <c r="R124" s="58">
        <f t="shared" ref="R124:R183" si="44">IFERROR(ROUND(M124*(1-$R$2),),"")</f>
        <v>479</v>
      </c>
      <c r="S124" s="59">
        <f t="shared" ref="S124:S183" si="45">IFERROR(R124/J124-1,"")</f>
        <v>0.8075471698113208</v>
      </c>
      <c r="T124" s="59" t="str">
        <f t="shared" ref="T124:T183" si="46">IFERROR((V124-R124)/V124,"")</f>
        <v/>
      </c>
      <c r="U124" s="59" t="str">
        <f t="shared" ref="U124:U183" si="47">IFERROR(IF(V124="","",V124/J124-1),"")</f>
        <v/>
      </c>
      <c r="V124" s="60"/>
      <c r="W124" s="69" t="str">
        <f>IFERROR((VLOOKUP($A124,'Из ГУГЛа'!$B:$Z,W$1,0)+Y124)*X124,VLOOKUP($A124,'Из ГУГЛа'!$B:$Z,W$1,0))</f>
        <v/>
      </c>
      <c r="X124" s="61">
        <v>1</v>
      </c>
      <c r="Y124" s="61">
        <v>0</v>
      </c>
      <c r="Z124" s="60" t="s">
        <v>4170</v>
      </c>
      <c r="AA124" s="60"/>
    </row>
    <row r="125" spans="1:27" ht="45" x14ac:dyDescent="0.25">
      <c r="A125" s="52">
        <v>155727</v>
      </c>
      <c r="B125" s="52">
        <f>VLOOKUP($A125,'Выгр Кат'!$A:$R,B$1,0)</f>
        <v>32729</v>
      </c>
      <c r="C125" s="53" t="str">
        <f>VLOOKUP($A125,'Выгр Кат'!$A:$R,C$1,0)</f>
        <v>Каркас боковины (катафорез) "АвтоВАЗ" правый в сборе для Лада Веста</v>
      </c>
      <c r="D125" s="52" t="str">
        <f>VLOOKUP($A125,'Выгр Кат'!$A:$R,D$1,0)</f>
        <v>Y</v>
      </c>
      <c r="E125" s="52" t="str">
        <f>VLOOKUP($A125,'Выгр Кат'!$A:$R,E$1,0)</f>
        <v>1</v>
      </c>
      <c r="F125" s="52" t="str">
        <f>VLOOKUP($A125,'Выгр Кат'!$A:$R,F$1,0)</f>
        <v>8450039440</v>
      </c>
      <c r="G125" s="52" t="str">
        <f>IF(VLOOKUP($A125,'Выгр Кат'!$A:$R,G$1,0)=0,"",VLOOKUP($A125,'Выгр Кат'!$A:$R,G$1,0))</f>
        <v/>
      </c>
      <c r="H125" s="52"/>
      <c r="I125" s="52"/>
      <c r="J125" s="54">
        <f t="shared" si="39"/>
        <v>10601</v>
      </c>
      <c r="K125" s="55">
        <f>VLOOKUP(J125,Наценка!$A$1:$B$8,2,1)</f>
        <v>1.3</v>
      </c>
      <c r="L125" s="56">
        <f t="shared" si="40"/>
        <v>13781.300000000001</v>
      </c>
      <c r="M125" s="57">
        <f t="shared" si="41"/>
        <v>13790</v>
      </c>
      <c r="N125" s="52">
        <f>VLOOKUP($A125,'Выгр Кат'!$A:$R,N$1,0)</f>
        <v>10601</v>
      </c>
      <c r="O125" s="52">
        <f>VLOOKUP($A125,'Выгр Кат'!$A:$R,O$1,0)</f>
        <v>14890</v>
      </c>
      <c r="P125" s="47">
        <f t="shared" si="42"/>
        <v>0</v>
      </c>
      <c r="Q125" s="47">
        <f t="shared" si="43"/>
        <v>1100</v>
      </c>
      <c r="R125" s="58">
        <f t="shared" si="44"/>
        <v>13790</v>
      </c>
      <c r="S125" s="59">
        <f t="shared" si="45"/>
        <v>0.30082067729459494</v>
      </c>
      <c r="T125" s="59" t="str">
        <f t="shared" si="46"/>
        <v/>
      </c>
      <c r="U125" s="59" t="str">
        <f t="shared" si="47"/>
        <v/>
      </c>
      <c r="V125" s="60"/>
      <c r="W125" s="69" t="str">
        <f>IFERROR((VLOOKUP($A125,'Из ГУГЛа'!$B:$Z,W$1,0)+Y125)*X125,VLOOKUP($A125,'Из ГУГЛа'!$B:$Z,W$1,0))</f>
        <v/>
      </c>
      <c r="X125" s="61">
        <v>1</v>
      </c>
      <c r="Y125" s="61">
        <v>0</v>
      </c>
      <c r="Z125" s="60" t="s">
        <v>4170</v>
      </c>
      <c r="AA125" s="60"/>
    </row>
    <row r="126" spans="1:27" ht="45" x14ac:dyDescent="0.25">
      <c r="A126" s="52">
        <v>155729</v>
      </c>
      <c r="B126" s="52">
        <f>VLOOKUP($A126,'Выгр Кат'!$A:$R,B$1,0)</f>
        <v>32648</v>
      </c>
      <c r="C126" s="53" t="str">
        <f>VLOOKUP($A126,'Выгр Кат'!$A:$R,C$1,0)</f>
        <v>Каркас переднего пола (катафорез) "АвтоВАЗ" левый в сборе для Шевроле Нива</v>
      </c>
      <c r="D126" s="52" t="str">
        <f>VLOOKUP($A126,'Выгр Кат'!$A:$R,D$1,0)</f>
        <v>Y</v>
      </c>
      <c r="E126" s="52" t="str">
        <f>VLOOKUP($A126,'Выгр Кат'!$A:$R,E$1,0)</f>
        <v>1</v>
      </c>
      <c r="F126" s="52" t="str">
        <f>VLOOKUP($A126,'Выгр Кат'!$A:$R,F$1,0)</f>
        <v>21230510003170</v>
      </c>
      <c r="G126" s="52" t="str">
        <f>IF(VLOOKUP($A126,'Выгр Кат'!$A:$R,G$1,0)=0,"",VLOOKUP($A126,'Выгр Кат'!$A:$R,G$1,0))</f>
        <v>https://motorring.ru/product/38241-longheron-pola-levyy-sbore-sredniy-prodolynyy-shevrole-niva</v>
      </c>
      <c r="H126" s="52"/>
      <c r="I126" s="52"/>
      <c r="J126" s="54">
        <f t="shared" si="39"/>
        <v>5291</v>
      </c>
      <c r="K126" s="55">
        <f>VLOOKUP(J126,Наценка!$A$1:$B$8,2,1)</f>
        <v>1.35</v>
      </c>
      <c r="L126" s="56">
        <f t="shared" si="40"/>
        <v>7142.85</v>
      </c>
      <c r="M126" s="57">
        <f t="shared" si="41"/>
        <v>7190</v>
      </c>
      <c r="N126" s="52">
        <f>VLOOKUP($A126,'Выгр Кат'!$A:$R,N$1,0)</f>
        <v>5291</v>
      </c>
      <c r="O126" s="52">
        <f>VLOOKUP($A126,'Выгр Кат'!$A:$R,O$1,0)</f>
        <v>7490</v>
      </c>
      <c r="P126" s="47">
        <f t="shared" si="42"/>
        <v>0</v>
      </c>
      <c r="Q126" s="47">
        <f t="shared" si="43"/>
        <v>300</v>
      </c>
      <c r="R126" s="58">
        <f t="shared" si="44"/>
        <v>7190</v>
      </c>
      <c r="S126" s="59">
        <f t="shared" si="45"/>
        <v>0.35891135891135884</v>
      </c>
      <c r="T126" s="59">
        <f t="shared" si="46"/>
        <v>4.0053404539385849E-2</v>
      </c>
      <c r="U126" s="59">
        <f t="shared" si="47"/>
        <v>0.41561141561141568</v>
      </c>
      <c r="V126" s="42">
        <f t="shared" ref="V126:V127" si="48">Z126</f>
        <v>7490</v>
      </c>
      <c r="W126" s="69">
        <f>IFERROR((VLOOKUP($A126,'Из ГУГЛа'!$B:$Z,W$1,0)+Y126)*X126,VLOOKUP($A126,'Из ГУГЛа'!$B:$Z,W$1,0))</f>
        <v>7490</v>
      </c>
      <c r="X126" s="61">
        <v>1</v>
      </c>
      <c r="Y126" s="61">
        <v>0</v>
      </c>
      <c r="Z126" s="70">
        <v>7490</v>
      </c>
      <c r="AA126" s="60" t="s">
        <v>353</v>
      </c>
    </row>
    <row r="127" spans="1:27" ht="45" x14ac:dyDescent="0.25">
      <c r="A127" s="52">
        <v>155730</v>
      </c>
      <c r="B127" s="52">
        <f>VLOOKUP($A127,'Выгр Кат'!$A:$R,B$1,0)</f>
        <v>31296</v>
      </c>
      <c r="C127" s="53" t="str">
        <f>VLOOKUP($A127,'Выгр Кат'!$A:$R,C$1,0)</f>
        <v>Каркас переднего пола (катафорез) "АвтоВАЗ" правый в сборе для Шевроле Нива</v>
      </c>
      <c r="D127" s="52" t="str">
        <f>VLOOKUP($A127,'Выгр Кат'!$A:$R,D$1,0)</f>
        <v>Y</v>
      </c>
      <c r="E127" s="52" t="str">
        <f>VLOOKUP($A127,'Выгр Кат'!$A:$R,E$1,0)</f>
        <v>1</v>
      </c>
      <c r="F127" s="52" t="str">
        <f>VLOOKUP($A127,'Выгр Кат'!$A:$R,F$1,0)</f>
        <v>21230510003070</v>
      </c>
      <c r="G127" s="52" t="str">
        <f>IF(VLOOKUP($A127,'Выгр Кат'!$A:$R,G$1,0)=0,"",VLOOKUP($A127,'Выгр Кат'!$A:$R,G$1,0))</f>
        <v>https://motorring.ru/product/37042-karkas-perednego-pola-pravyy-sbore-dlya-shevrole-niva</v>
      </c>
      <c r="H127" s="52"/>
      <c r="I127" s="52"/>
      <c r="J127" s="54">
        <f t="shared" si="39"/>
        <v>5291</v>
      </c>
      <c r="K127" s="55">
        <f>VLOOKUP(J127,Наценка!$A$1:$B$8,2,1)</f>
        <v>1.35</v>
      </c>
      <c r="L127" s="56">
        <f t="shared" si="40"/>
        <v>7142.85</v>
      </c>
      <c r="M127" s="57">
        <f t="shared" si="41"/>
        <v>7190</v>
      </c>
      <c r="N127" s="52">
        <f>VLOOKUP($A127,'Выгр Кат'!$A:$R,N$1,0)</f>
        <v>5291</v>
      </c>
      <c r="O127" s="52">
        <f>VLOOKUP($A127,'Выгр Кат'!$A:$R,O$1,0)</f>
        <v>7490</v>
      </c>
      <c r="P127" s="47">
        <f t="shared" si="42"/>
        <v>0</v>
      </c>
      <c r="Q127" s="47">
        <f t="shared" si="43"/>
        <v>300</v>
      </c>
      <c r="R127" s="58">
        <f t="shared" si="44"/>
        <v>7190</v>
      </c>
      <c r="S127" s="59">
        <f t="shared" si="45"/>
        <v>0.35891135891135884</v>
      </c>
      <c r="T127" s="59">
        <f t="shared" si="46"/>
        <v>2.7063599458728011E-2</v>
      </c>
      <c r="U127" s="59">
        <f t="shared" si="47"/>
        <v>0.39671139671139666</v>
      </c>
      <c r="V127" s="42">
        <f t="shared" si="48"/>
        <v>7390</v>
      </c>
      <c r="W127" s="69">
        <f>IFERROR((VLOOKUP($A127,'Из ГУГЛа'!$B:$Z,W$1,0)+Y127)*X127,VLOOKUP($A127,'Из ГУГЛа'!$B:$Z,W$1,0))</f>
        <v>7390</v>
      </c>
      <c r="X127" s="61">
        <v>1</v>
      </c>
      <c r="Y127" s="61">
        <v>0</v>
      </c>
      <c r="Z127" s="70">
        <v>7390</v>
      </c>
      <c r="AA127" s="60" t="s">
        <v>356</v>
      </c>
    </row>
    <row r="128" spans="1:27" ht="30" x14ac:dyDescent="0.25">
      <c r="A128" s="52">
        <v>160331</v>
      </c>
      <c r="B128" s="52">
        <f>VLOOKUP($A128,'Выгр Кат'!$A:$R,B$1,0)</f>
        <v>31444</v>
      </c>
      <c r="C128" s="53" t="str">
        <f>VLOOKUP($A128,'Выгр Кат'!$A:$R,C$1,0)</f>
        <v>Коробка воздухозаборника "АвтоВАЗ" для ВАЗ 2105, 2107</v>
      </c>
      <c r="D128" s="52" t="str">
        <f>VLOOKUP($A128,'Выгр Кат'!$A:$R,D$1,0)</f>
        <v>Y</v>
      </c>
      <c r="E128" s="52" t="str">
        <f>VLOOKUP($A128,'Выгр Кат'!$A:$R,E$1,0)</f>
        <v>1</v>
      </c>
      <c r="F128" s="52" t="str">
        <f>VLOOKUP($A128,'Выгр Кат'!$A:$R,F$1,0)</f>
        <v>21050530135000</v>
      </c>
      <c r="G128" s="52" t="str">
        <f>IF(VLOOKUP($A128,'Выгр Кат'!$A:$R,G$1,0)=0,"",VLOOKUP($A128,'Выгр Кат'!$A:$R,G$1,0))</f>
        <v/>
      </c>
      <c r="H128" s="52"/>
      <c r="I128" s="52"/>
      <c r="J128" s="54">
        <f t="shared" si="39"/>
        <v>86</v>
      </c>
      <c r="K128" s="55">
        <f>VLOOKUP(J128,Наценка!$A$1:$B$8,2,1)</f>
        <v>2</v>
      </c>
      <c r="L128" s="56">
        <f t="shared" si="40"/>
        <v>172</v>
      </c>
      <c r="M128" s="57">
        <f t="shared" si="41"/>
        <v>179</v>
      </c>
      <c r="N128" s="52">
        <f>VLOOKUP($A128,'Выгр Кат'!$A:$R,N$1,0)</f>
        <v>86</v>
      </c>
      <c r="O128" s="52">
        <f>VLOOKUP($A128,'Выгр Кат'!$A:$R,O$1,0)</f>
        <v>179</v>
      </c>
      <c r="P128" s="47">
        <f t="shared" si="42"/>
        <v>0</v>
      </c>
      <c r="Q128" s="47">
        <f t="shared" si="43"/>
        <v>0</v>
      </c>
      <c r="R128" s="58">
        <f t="shared" si="44"/>
        <v>179</v>
      </c>
      <c r="S128" s="59">
        <f t="shared" si="45"/>
        <v>1.0813953488372094</v>
      </c>
      <c r="T128" s="59" t="str">
        <f t="shared" si="46"/>
        <v/>
      </c>
      <c r="U128" s="59" t="str">
        <f t="shared" si="47"/>
        <v/>
      </c>
      <c r="V128" s="60"/>
      <c r="W128" s="69" t="str">
        <f>IFERROR((VLOOKUP($A128,'Из ГУГЛа'!$B:$Z,W$1,0)+Y128)*X128,VLOOKUP($A128,'Из ГУГЛа'!$B:$Z,W$1,0))</f>
        <v/>
      </c>
      <c r="X128" s="61">
        <v>1</v>
      </c>
      <c r="Y128" s="61">
        <v>0</v>
      </c>
      <c r="Z128" s="62" t="s">
        <v>4170</v>
      </c>
      <c r="AA128" s="60"/>
    </row>
    <row r="129" spans="1:27" ht="45" x14ac:dyDescent="0.25">
      <c r="A129" s="52">
        <v>160632</v>
      </c>
      <c r="B129" s="52">
        <f>VLOOKUP($A129,'Выгр Кат'!$A:$R,B$1,0)</f>
        <v>31381</v>
      </c>
      <c r="C129" s="53" t="str">
        <f>VLOOKUP($A129,'Выгр Кат'!$A:$R,C$1,0)</f>
        <v>Кронштейн домкрата "АвтоВАЗ" задний левый в сборе для Лада Нива 4x4</v>
      </c>
      <c r="D129" s="52" t="str">
        <f>VLOOKUP($A129,'Выгр Кат'!$A:$R,D$1,0)</f>
        <v>Y</v>
      </c>
      <c r="E129" s="52" t="str">
        <f>VLOOKUP($A129,'Выгр Кат'!$A:$R,E$1,0)</f>
        <v>1</v>
      </c>
      <c r="F129" s="52" t="str">
        <f>VLOOKUP($A129,'Выгр Кат'!$A:$R,F$1,0)</f>
        <v>21210510141120</v>
      </c>
      <c r="G129" s="52" t="str">
        <f>IF(VLOOKUP($A129,'Выгр Кат'!$A:$R,G$1,0)=0,"",VLOOKUP($A129,'Выгр Кат'!$A:$R,G$1,0))</f>
        <v/>
      </c>
      <c r="H129" s="52"/>
      <c r="I129" s="52"/>
      <c r="J129" s="54">
        <f t="shared" si="39"/>
        <v>1066</v>
      </c>
      <c r="K129" s="55">
        <f>VLOOKUP(J129,Наценка!$A$1:$B$8,2,1)</f>
        <v>1.5</v>
      </c>
      <c r="L129" s="56">
        <f t="shared" si="40"/>
        <v>1599</v>
      </c>
      <c r="M129" s="57">
        <f t="shared" si="41"/>
        <v>1590</v>
      </c>
      <c r="N129" s="52">
        <f>VLOOKUP($A129,'Выгр Кат'!$A:$R,N$1,0)</f>
        <v>1066</v>
      </c>
      <c r="O129" s="52">
        <f>VLOOKUP($A129,'Выгр Кат'!$A:$R,O$1,0)</f>
        <v>1590</v>
      </c>
      <c r="P129" s="47">
        <f t="shared" si="42"/>
        <v>0</v>
      </c>
      <c r="Q129" s="47">
        <f t="shared" si="43"/>
        <v>0</v>
      </c>
      <c r="R129" s="58">
        <f t="shared" si="44"/>
        <v>1590</v>
      </c>
      <c r="S129" s="59">
        <f t="shared" si="45"/>
        <v>0.49155722326454043</v>
      </c>
      <c r="T129" s="59" t="str">
        <f t="shared" si="46"/>
        <v/>
      </c>
      <c r="U129" s="59" t="str">
        <f t="shared" si="47"/>
        <v/>
      </c>
      <c r="V129" s="60"/>
      <c r="W129" s="69" t="str">
        <f>IFERROR((VLOOKUP($A129,'Из ГУГЛа'!$B:$Z,W$1,0)+Y129)*X129,VLOOKUP($A129,'Из ГУГЛа'!$B:$Z,W$1,0))</f>
        <v/>
      </c>
      <c r="X129" s="61">
        <v>1</v>
      </c>
      <c r="Y129" s="61">
        <v>0</v>
      </c>
      <c r="Z129" s="60" t="s">
        <v>4170</v>
      </c>
      <c r="AA129" s="60"/>
    </row>
    <row r="130" spans="1:27" ht="45" x14ac:dyDescent="0.25">
      <c r="A130" s="52">
        <v>160633</v>
      </c>
      <c r="B130" s="52">
        <f>VLOOKUP($A130,'Выгр Кат'!$A:$R,B$1,0)</f>
        <v>31382</v>
      </c>
      <c r="C130" s="53" t="str">
        <f>VLOOKUP($A130,'Выгр Кат'!$A:$R,C$1,0)</f>
        <v>Кронштейн домкрата "АвтоВАЗ" задний правый в сборе для Лада Нива 4x4</v>
      </c>
      <c r="D130" s="52" t="str">
        <f>VLOOKUP($A130,'Выгр Кат'!$A:$R,D$1,0)</f>
        <v>Y</v>
      </c>
      <c r="E130" s="52" t="str">
        <f>VLOOKUP($A130,'Выгр Кат'!$A:$R,E$1,0)</f>
        <v>1</v>
      </c>
      <c r="F130" s="52" t="str">
        <f>VLOOKUP($A130,'Выгр Кат'!$A:$R,F$1,0)</f>
        <v>21210510141020</v>
      </c>
      <c r="G130" s="52" t="str">
        <f>IF(VLOOKUP($A130,'Выгр Кат'!$A:$R,G$1,0)=0,"",VLOOKUP($A130,'Выгр Кат'!$A:$R,G$1,0))</f>
        <v/>
      </c>
      <c r="H130" s="52"/>
      <c r="I130" s="52"/>
      <c r="J130" s="54">
        <f t="shared" si="39"/>
        <v>198</v>
      </c>
      <c r="K130" s="55">
        <f>VLOOKUP(J130,Наценка!$A$1:$B$8,2,1)</f>
        <v>1.8</v>
      </c>
      <c r="L130" s="56">
        <f t="shared" si="40"/>
        <v>356.40000000000003</v>
      </c>
      <c r="M130" s="57">
        <f t="shared" si="41"/>
        <v>359</v>
      </c>
      <c r="N130" s="52">
        <f>VLOOKUP($A130,'Выгр Кат'!$A:$R,N$1,0)</f>
        <v>198</v>
      </c>
      <c r="O130" s="52">
        <f>VLOOKUP($A130,'Выгр Кат'!$A:$R,O$1,0)</f>
        <v>359</v>
      </c>
      <c r="P130" s="47">
        <f t="shared" si="42"/>
        <v>0</v>
      </c>
      <c r="Q130" s="47">
        <f t="shared" si="43"/>
        <v>0</v>
      </c>
      <c r="R130" s="58">
        <f t="shared" si="44"/>
        <v>359</v>
      </c>
      <c r="S130" s="59">
        <f t="shared" si="45"/>
        <v>0.81313131313131315</v>
      </c>
      <c r="T130" s="59" t="str">
        <f t="shared" si="46"/>
        <v/>
      </c>
      <c r="U130" s="59" t="str">
        <f t="shared" si="47"/>
        <v/>
      </c>
      <c r="V130" s="60"/>
      <c r="W130" s="69" t="str">
        <f>IFERROR((VLOOKUP($A130,'Из ГУГЛа'!$B:$Z,W$1,0)+Y130)*X130,VLOOKUP($A130,'Из ГУГЛа'!$B:$Z,W$1,0))</f>
        <v/>
      </c>
      <c r="X130" s="61">
        <v>1</v>
      </c>
      <c r="Y130" s="61">
        <v>0</v>
      </c>
      <c r="Z130" s="60" t="s">
        <v>4170</v>
      </c>
      <c r="AA130" s="60"/>
    </row>
    <row r="131" spans="1:27" ht="30" x14ac:dyDescent="0.25">
      <c r="A131" s="52">
        <v>160634</v>
      </c>
      <c r="B131" s="52">
        <f>VLOOKUP($A131,'Выгр Кат'!$A:$R,B$1,0)</f>
        <v>31383</v>
      </c>
      <c r="C131" s="53" t="str">
        <f>VLOOKUP($A131,'Выгр Кат'!$A:$R,C$1,0)</f>
        <v>Кронштейн домкрата "АвтоВАЗ" передний в сборе для Лада Нива 4x4</v>
      </c>
      <c r="D131" s="52" t="str">
        <f>VLOOKUP($A131,'Выгр Кат'!$A:$R,D$1,0)</f>
        <v>Y</v>
      </c>
      <c r="E131" s="52" t="str">
        <f>VLOOKUP($A131,'Выгр Кат'!$A:$R,E$1,0)</f>
        <v>1</v>
      </c>
      <c r="F131" s="52" t="str">
        <f>VLOOKUP($A131,'Выгр Кат'!$A:$R,F$1,0)</f>
        <v>21210510140020</v>
      </c>
      <c r="G131" s="52" t="str">
        <f>IF(VLOOKUP($A131,'Выгр Кат'!$A:$R,G$1,0)=0,"",VLOOKUP($A131,'Выгр Кат'!$A:$R,G$1,0))</f>
        <v/>
      </c>
      <c r="H131" s="52"/>
      <c r="I131" s="52"/>
      <c r="J131" s="54">
        <f t="shared" si="39"/>
        <v>311</v>
      </c>
      <c r="K131" s="55">
        <f>VLOOKUP(J131,Наценка!$A$1:$B$8,2,1)</f>
        <v>1.6</v>
      </c>
      <c r="L131" s="56">
        <f t="shared" si="40"/>
        <v>497.6</v>
      </c>
      <c r="M131" s="57">
        <f t="shared" si="41"/>
        <v>499</v>
      </c>
      <c r="N131" s="52">
        <f>VLOOKUP($A131,'Выгр Кат'!$A:$R,N$1,0)</f>
        <v>311</v>
      </c>
      <c r="O131" s="52">
        <f>VLOOKUP($A131,'Выгр Кат'!$A:$R,O$1,0)</f>
        <v>499</v>
      </c>
      <c r="P131" s="47">
        <f t="shared" si="42"/>
        <v>0</v>
      </c>
      <c r="Q131" s="47">
        <f t="shared" si="43"/>
        <v>0</v>
      </c>
      <c r="R131" s="58">
        <f t="shared" si="44"/>
        <v>499</v>
      </c>
      <c r="S131" s="59">
        <f t="shared" si="45"/>
        <v>0.60450160771704176</v>
      </c>
      <c r="T131" s="59" t="str">
        <f t="shared" si="46"/>
        <v/>
      </c>
      <c r="U131" s="59" t="str">
        <f t="shared" si="47"/>
        <v/>
      </c>
      <c r="V131" s="60"/>
      <c r="W131" s="69" t="str">
        <f>IFERROR((VLOOKUP($A131,'Из ГУГЛа'!$B:$Z,W$1,0)+Y131)*X131,VLOOKUP($A131,'Из ГУГЛа'!$B:$Z,W$1,0))</f>
        <v/>
      </c>
      <c r="X131" s="61">
        <v>1</v>
      </c>
      <c r="Y131" s="61">
        <v>0</v>
      </c>
      <c r="Z131" s="60" t="s">
        <v>4170</v>
      </c>
      <c r="AA131" s="60"/>
    </row>
    <row r="132" spans="1:27" ht="45" x14ac:dyDescent="0.25">
      <c r="A132" s="52">
        <v>160635</v>
      </c>
      <c r="B132" s="52">
        <f>VLOOKUP($A132,'Выгр Кат'!$A:$R,B$1,0)</f>
        <v>45962</v>
      </c>
      <c r="C132" s="53" t="str">
        <f>VLOOKUP($A132,'Выгр Кат'!$A:$R,C$1,0)</f>
        <v>Кронштейн заднего бампера "АвтоВАЗ" внутренний левый для Лада Нива 4x4, Нива Legend</v>
      </c>
      <c r="D132" s="52" t="str">
        <f>VLOOKUP($A132,'Выгр Кат'!$A:$R,D$1,0)</f>
        <v>Y</v>
      </c>
      <c r="E132" s="52" t="str">
        <f>VLOOKUP($A132,'Выгр Кат'!$A:$R,E$1,0)</f>
        <v>1</v>
      </c>
      <c r="F132" s="52" t="str">
        <f>VLOOKUP($A132,'Выгр Кат'!$A:$R,F$1,0)</f>
        <v>8450107433</v>
      </c>
      <c r="G132" s="52" t="str">
        <f>IF(VLOOKUP($A132,'Выгр Кат'!$A:$R,G$1,0)=0,"",VLOOKUP($A132,'Выгр Кат'!$A:$R,G$1,0))</f>
        <v/>
      </c>
      <c r="H132" s="52"/>
      <c r="I132" s="52"/>
      <c r="J132" s="54">
        <f t="shared" si="39"/>
        <v>698</v>
      </c>
      <c r="K132" s="55">
        <f>VLOOKUP(J132,Наценка!$A$1:$B$8,2,1)</f>
        <v>1.55</v>
      </c>
      <c r="L132" s="56">
        <f t="shared" si="40"/>
        <v>1081.9000000000001</v>
      </c>
      <c r="M132" s="57">
        <f t="shared" si="41"/>
        <v>1090</v>
      </c>
      <c r="N132" s="52">
        <f>VLOOKUP($A132,'Выгр Кат'!$A:$R,N$1,0)</f>
        <v>698</v>
      </c>
      <c r="O132" s="52">
        <f>VLOOKUP($A132,'Выгр Кат'!$A:$R,O$1,0)</f>
        <v>1090</v>
      </c>
      <c r="P132" s="47">
        <f t="shared" si="42"/>
        <v>0</v>
      </c>
      <c r="Q132" s="47">
        <f t="shared" si="43"/>
        <v>0</v>
      </c>
      <c r="R132" s="58">
        <f t="shared" si="44"/>
        <v>1090</v>
      </c>
      <c r="S132" s="59">
        <f t="shared" si="45"/>
        <v>0.56160458452722062</v>
      </c>
      <c r="T132" s="59" t="str">
        <f t="shared" si="46"/>
        <v/>
      </c>
      <c r="U132" s="59" t="str">
        <f t="shared" si="47"/>
        <v/>
      </c>
      <c r="V132" s="60"/>
      <c r="W132" s="69" t="str">
        <f>IFERROR((VLOOKUP($A132,'Из ГУГЛа'!$B:$Z,W$1,0)+Y132)*X132,VLOOKUP($A132,'Из ГУГЛа'!$B:$Z,W$1,0))</f>
        <v/>
      </c>
      <c r="X132" s="61">
        <v>1</v>
      </c>
      <c r="Y132" s="61">
        <v>0</v>
      </c>
      <c r="Z132" s="60" t="s">
        <v>4170</v>
      </c>
      <c r="AA132" s="60"/>
    </row>
    <row r="133" spans="1:27" ht="45" x14ac:dyDescent="0.25">
      <c r="A133" s="52">
        <v>160636</v>
      </c>
      <c r="B133" s="52">
        <f>VLOOKUP($A133,'Выгр Кат'!$A:$R,B$1,0)</f>
        <v>45961</v>
      </c>
      <c r="C133" s="53" t="str">
        <f>VLOOKUP($A133,'Выгр Кат'!$A:$R,C$1,0)</f>
        <v>Кронштейн заднего бампера "АвтоВАЗ" внутренний правый для Лада Нива 4x4, Нива Legend</v>
      </c>
      <c r="D133" s="52" t="str">
        <f>VLOOKUP($A133,'Выгр Кат'!$A:$R,D$1,0)</f>
        <v>Y</v>
      </c>
      <c r="E133" s="52" t="str">
        <f>VLOOKUP($A133,'Выгр Кат'!$A:$R,E$1,0)</f>
        <v>1</v>
      </c>
      <c r="F133" s="52" t="str">
        <f>VLOOKUP($A133,'Выгр Кат'!$A:$R,F$1,0)</f>
        <v>8450107432</v>
      </c>
      <c r="G133" s="52" t="str">
        <f>IF(VLOOKUP($A133,'Выгр Кат'!$A:$R,G$1,0)=0,"",VLOOKUP($A133,'Выгр Кат'!$A:$R,G$1,0))</f>
        <v/>
      </c>
      <c r="H133" s="52"/>
      <c r="I133" s="52"/>
      <c r="J133" s="54">
        <f t="shared" si="39"/>
        <v>1143</v>
      </c>
      <c r="K133" s="55">
        <f>VLOOKUP(J133,Наценка!$A$1:$B$8,2,1)</f>
        <v>1.5</v>
      </c>
      <c r="L133" s="56">
        <f t="shared" si="40"/>
        <v>1714.5</v>
      </c>
      <c r="M133" s="57">
        <f t="shared" si="41"/>
        <v>1790</v>
      </c>
      <c r="N133" s="52">
        <f>VLOOKUP($A133,'Выгр Кат'!$A:$R,N$1,0)</f>
        <v>1143</v>
      </c>
      <c r="O133" s="52">
        <f>VLOOKUP($A133,'Выгр Кат'!$A:$R,O$1,0)</f>
        <v>1790</v>
      </c>
      <c r="P133" s="47">
        <f t="shared" si="42"/>
        <v>0</v>
      </c>
      <c r="Q133" s="47">
        <f t="shared" si="43"/>
        <v>0</v>
      </c>
      <c r="R133" s="58">
        <f t="shared" si="44"/>
        <v>1790</v>
      </c>
      <c r="S133" s="59">
        <f t="shared" si="45"/>
        <v>0.56605424321959763</v>
      </c>
      <c r="T133" s="59" t="str">
        <f t="shared" si="46"/>
        <v/>
      </c>
      <c r="U133" s="59" t="str">
        <f t="shared" si="47"/>
        <v/>
      </c>
      <c r="V133" s="60"/>
      <c r="W133" s="69" t="str">
        <f>IFERROR((VLOOKUP($A133,'Из ГУГЛа'!$B:$Z,W$1,0)+Y133)*X133,VLOOKUP($A133,'Из ГУГЛа'!$B:$Z,W$1,0))</f>
        <v/>
      </c>
      <c r="X133" s="61">
        <v>1</v>
      </c>
      <c r="Y133" s="61">
        <v>0</v>
      </c>
      <c r="Z133" s="60" t="s">
        <v>4170</v>
      </c>
      <c r="AA133" s="60"/>
    </row>
    <row r="134" spans="1:27" ht="30" x14ac:dyDescent="0.25">
      <c r="A134" s="52">
        <v>160637</v>
      </c>
      <c r="B134" s="52">
        <f>VLOOKUP($A134,'Выгр Кат'!$A:$R,B$1,0)</f>
        <v>32761</v>
      </c>
      <c r="C134" s="53" t="str">
        <f>VLOOKUP($A134,'Выгр Кат'!$A:$R,C$1,0)</f>
        <v>Кронштейн заднего бампера "АвтоВАЗ" левый для Лада XRAY</v>
      </c>
      <c r="D134" s="52" t="str">
        <f>VLOOKUP($A134,'Выгр Кат'!$A:$R,D$1,0)</f>
        <v>Y</v>
      </c>
      <c r="E134" s="52" t="str">
        <f>VLOOKUP($A134,'Выгр Кат'!$A:$R,E$1,0)</f>
        <v>1</v>
      </c>
      <c r="F134" s="52" t="str">
        <f>VLOOKUP($A134,'Выгр Кат'!$A:$R,F$1,0)</f>
        <v>850452011R</v>
      </c>
      <c r="G134" s="52" t="str">
        <f>IF(VLOOKUP($A134,'Выгр Кат'!$A:$R,G$1,0)=0,"",VLOOKUP($A134,'Выгр Кат'!$A:$R,G$1,0))</f>
        <v/>
      </c>
      <c r="H134" s="52"/>
      <c r="I134" s="52"/>
      <c r="J134" s="54">
        <f t="shared" si="39"/>
        <v>730</v>
      </c>
      <c r="K134" s="55">
        <f>VLOOKUP(J134,Наценка!$A$1:$B$8,2,1)</f>
        <v>1.55</v>
      </c>
      <c r="L134" s="56">
        <f t="shared" si="40"/>
        <v>1131.5</v>
      </c>
      <c r="M134" s="57">
        <f t="shared" si="41"/>
        <v>1190</v>
      </c>
      <c r="N134" s="52">
        <f>VLOOKUP($A134,'Выгр Кат'!$A:$R,N$1,0)</f>
        <v>730</v>
      </c>
      <c r="O134" s="52">
        <f>VLOOKUP($A134,'Выгр Кат'!$A:$R,O$1,0)</f>
        <v>1190</v>
      </c>
      <c r="P134" s="47">
        <f t="shared" si="42"/>
        <v>0</v>
      </c>
      <c r="Q134" s="47">
        <f t="shared" si="43"/>
        <v>0</v>
      </c>
      <c r="R134" s="58">
        <f t="shared" si="44"/>
        <v>1190</v>
      </c>
      <c r="S134" s="59">
        <f t="shared" si="45"/>
        <v>0.63013698630136994</v>
      </c>
      <c r="T134" s="59" t="str">
        <f t="shared" si="46"/>
        <v/>
      </c>
      <c r="U134" s="59" t="str">
        <f t="shared" si="47"/>
        <v/>
      </c>
      <c r="V134" s="60"/>
      <c r="W134" s="69" t="str">
        <f>IFERROR((VLOOKUP($A134,'Из ГУГЛа'!$B:$Z,W$1,0)+Y134)*X134,VLOOKUP($A134,'Из ГУГЛа'!$B:$Z,W$1,0))</f>
        <v/>
      </c>
      <c r="X134" s="61">
        <v>1</v>
      </c>
      <c r="Y134" s="61">
        <v>0</v>
      </c>
      <c r="Z134" s="62" t="s">
        <v>4170</v>
      </c>
      <c r="AA134" s="60"/>
    </row>
    <row r="135" spans="1:27" ht="30" x14ac:dyDescent="0.25">
      <c r="A135" s="52">
        <v>160638</v>
      </c>
      <c r="B135" s="52">
        <f>VLOOKUP($A135,'Выгр Кат'!$A:$R,B$1,0)</f>
        <v>31078</v>
      </c>
      <c r="C135" s="53" t="str">
        <f>VLOOKUP($A135,'Выгр Кат'!$A:$R,C$1,0)</f>
        <v>Кронштейн заднего бампера "АвтоВАЗ" правый для Лада XRAY</v>
      </c>
      <c r="D135" s="52" t="str">
        <f>VLOOKUP($A135,'Выгр Кат'!$A:$R,D$1,0)</f>
        <v>Y</v>
      </c>
      <c r="E135" s="52" t="str">
        <f>VLOOKUP($A135,'Выгр Кат'!$A:$R,E$1,0)</f>
        <v>1</v>
      </c>
      <c r="F135" s="52" t="str">
        <f>VLOOKUP($A135,'Выгр Кат'!$A:$R,F$1,0)</f>
        <v>850443633R</v>
      </c>
      <c r="G135" s="52" t="str">
        <f>IF(VLOOKUP($A135,'Выгр Кат'!$A:$R,G$1,0)=0,"",VLOOKUP($A135,'Выгр Кат'!$A:$R,G$1,0))</f>
        <v/>
      </c>
      <c r="H135" s="52"/>
      <c r="I135" s="52"/>
      <c r="J135" s="54">
        <f t="shared" si="39"/>
        <v>755</v>
      </c>
      <c r="K135" s="55">
        <f>VLOOKUP(J135,Наценка!$A$1:$B$8,2,1)</f>
        <v>1.55</v>
      </c>
      <c r="L135" s="56">
        <f t="shared" si="40"/>
        <v>1170.25</v>
      </c>
      <c r="M135" s="57">
        <f t="shared" si="41"/>
        <v>1190</v>
      </c>
      <c r="N135" s="52">
        <f>VLOOKUP($A135,'Выгр Кат'!$A:$R,N$1,0)</f>
        <v>755</v>
      </c>
      <c r="O135" s="52">
        <f>VLOOKUP($A135,'Выгр Кат'!$A:$R,O$1,0)</f>
        <v>1190</v>
      </c>
      <c r="P135" s="47">
        <f t="shared" si="42"/>
        <v>0</v>
      </c>
      <c r="Q135" s="47">
        <f t="shared" si="43"/>
        <v>0</v>
      </c>
      <c r="R135" s="58">
        <f t="shared" si="44"/>
        <v>1190</v>
      </c>
      <c r="S135" s="59">
        <f t="shared" si="45"/>
        <v>0.57615894039735105</v>
      </c>
      <c r="T135" s="59" t="str">
        <f t="shared" si="46"/>
        <v/>
      </c>
      <c r="U135" s="59" t="str">
        <f t="shared" si="47"/>
        <v/>
      </c>
      <c r="V135" s="60"/>
      <c r="W135" s="69" t="str">
        <f>IFERROR((VLOOKUP($A135,'Из ГУГЛа'!$B:$Z,W$1,0)+Y135)*X135,VLOOKUP($A135,'Из ГУГЛа'!$B:$Z,W$1,0))</f>
        <v/>
      </c>
      <c r="X135" s="61">
        <v>1</v>
      </c>
      <c r="Y135" s="61">
        <v>0</v>
      </c>
      <c r="Z135" s="62" t="s">
        <v>4170</v>
      </c>
      <c r="AA135" s="60"/>
    </row>
    <row r="136" spans="1:27" ht="45" x14ac:dyDescent="0.25">
      <c r="A136" s="52">
        <v>160649</v>
      </c>
      <c r="B136" s="52">
        <f>VLOOKUP($A136,'Выгр Кат'!$A:$R,B$1,0)</f>
        <v>47959</v>
      </c>
      <c r="C136" s="53" t="str">
        <f>VLOOKUP($A136,'Выгр Кат'!$A:$R,C$1,0)</f>
        <v>Кронштейн конденсатора кондиционера "АвтоВАЗ" верхний левый в сборе для Лада Нива Travel</v>
      </c>
      <c r="D136" s="52" t="str">
        <f>VLOOKUP($A136,'Выгр Кат'!$A:$R,D$1,0)</f>
        <v>Y</v>
      </c>
      <c r="E136" s="52" t="str">
        <f>VLOOKUP($A136,'Выгр Кат'!$A:$R,E$1,0)</f>
        <v>1</v>
      </c>
      <c r="F136" s="52" t="str">
        <f>VLOOKUP($A136,'Выгр Кат'!$A:$R,F$1,0)</f>
        <v>21230840118381</v>
      </c>
      <c r="G136" s="52" t="str">
        <f>IF(VLOOKUP($A136,'Выгр Кат'!$A:$R,G$1,0)=0,"",VLOOKUP($A136,'Выгр Кат'!$A:$R,G$1,0))</f>
        <v/>
      </c>
      <c r="H136" s="52"/>
      <c r="I136" s="52"/>
      <c r="J136" s="54">
        <f t="shared" si="39"/>
        <v>407</v>
      </c>
      <c r="K136" s="55">
        <f>VLOOKUP(J136,Наценка!$A$1:$B$8,2,1)</f>
        <v>1.6</v>
      </c>
      <c r="L136" s="56">
        <f t="shared" si="40"/>
        <v>651.20000000000005</v>
      </c>
      <c r="M136" s="57">
        <f t="shared" si="41"/>
        <v>659</v>
      </c>
      <c r="N136" s="52">
        <f>VLOOKUP($A136,'Выгр Кат'!$A:$R,N$1,0)</f>
        <v>407</v>
      </c>
      <c r="O136" s="52">
        <f>VLOOKUP($A136,'Выгр Кат'!$A:$R,O$1,0)</f>
        <v>659</v>
      </c>
      <c r="P136" s="47">
        <f t="shared" si="42"/>
        <v>0</v>
      </c>
      <c r="Q136" s="47">
        <f t="shared" si="43"/>
        <v>0</v>
      </c>
      <c r="R136" s="58">
        <f t="shared" si="44"/>
        <v>659</v>
      </c>
      <c r="S136" s="59">
        <f t="shared" si="45"/>
        <v>0.61916461916461918</v>
      </c>
      <c r="T136" s="59" t="str">
        <f t="shared" si="46"/>
        <v/>
      </c>
      <c r="U136" s="59" t="str">
        <f t="shared" si="47"/>
        <v/>
      </c>
      <c r="V136" s="60"/>
      <c r="W136" s="69" t="str">
        <f>IFERROR((VLOOKUP($A136,'Из ГУГЛа'!$B:$Z,W$1,0)+Y136)*X136,VLOOKUP($A136,'Из ГУГЛа'!$B:$Z,W$1,0))</f>
        <v/>
      </c>
      <c r="X136" s="61">
        <v>1</v>
      </c>
      <c r="Y136" s="61">
        <v>0</v>
      </c>
      <c r="Z136" s="60" t="s">
        <v>4170</v>
      </c>
      <c r="AA136" s="60"/>
    </row>
    <row r="137" spans="1:27" ht="45" x14ac:dyDescent="0.25">
      <c r="A137" s="52">
        <v>160650</v>
      </c>
      <c r="B137" s="52">
        <f>VLOOKUP($A137,'Выгр Кат'!$A:$R,B$1,0)</f>
        <v>47955</v>
      </c>
      <c r="C137" s="53" t="str">
        <f>VLOOKUP($A137,'Выгр Кат'!$A:$R,C$1,0)</f>
        <v>Кронштейн конденсатора кондиционера "АвтоВАЗ" верхний правый в сборе для Лада Нива Travel</v>
      </c>
      <c r="D137" s="52" t="str">
        <f>VLOOKUP($A137,'Выгр Кат'!$A:$R,D$1,0)</f>
        <v>Y</v>
      </c>
      <c r="E137" s="52" t="str">
        <f>VLOOKUP($A137,'Выгр Кат'!$A:$R,E$1,0)</f>
        <v>1</v>
      </c>
      <c r="F137" s="52" t="str">
        <f>VLOOKUP($A137,'Выгр Кат'!$A:$R,F$1,0)</f>
        <v>21230840118281</v>
      </c>
      <c r="G137" s="52" t="str">
        <f>IF(VLOOKUP($A137,'Выгр Кат'!$A:$R,G$1,0)=0,"",VLOOKUP($A137,'Выгр Кат'!$A:$R,G$1,0))</f>
        <v/>
      </c>
      <c r="H137" s="52"/>
      <c r="I137" s="52"/>
      <c r="J137" s="54">
        <f t="shared" si="39"/>
        <v>407</v>
      </c>
      <c r="K137" s="55">
        <f>VLOOKUP(J137,Наценка!$A$1:$B$8,2,1)</f>
        <v>1.6</v>
      </c>
      <c r="L137" s="56">
        <f t="shared" si="40"/>
        <v>651.20000000000005</v>
      </c>
      <c r="M137" s="57">
        <f t="shared" si="41"/>
        <v>659</v>
      </c>
      <c r="N137" s="52">
        <f>VLOOKUP($A137,'Выгр Кат'!$A:$R,N$1,0)</f>
        <v>407</v>
      </c>
      <c r="O137" s="52">
        <f>VLOOKUP($A137,'Выгр Кат'!$A:$R,O$1,0)</f>
        <v>659</v>
      </c>
      <c r="P137" s="47">
        <f t="shared" si="42"/>
        <v>0</v>
      </c>
      <c r="Q137" s="47">
        <f t="shared" si="43"/>
        <v>0</v>
      </c>
      <c r="R137" s="58">
        <f t="shared" si="44"/>
        <v>659</v>
      </c>
      <c r="S137" s="59">
        <f t="shared" si="45"/>
        <v>0.61916461916461918</v>
      </c>
      <c r="T137" s="59" t="str">
        <f t="shared" si="46"/>
        <v/>
      </c>
      <c r="U137" s="59" t="str">
        <f t="shared" si="47"/>
        <v/>
      </c>
      <c r="V137" s="60"/>
      <c r="W137" s="69" t="str">
        <f>IFERROR((VLOOKUP($A137,'Из ГУГЛа'!$B:$Z,W$1,0)+Y137)*X137,VLOOKUP($A137,'Из ГУГЛа'!$B:$Z,W$1,0))</f>
        <v/>
      </c>
      <c r="X137" s="61">
        <v>1</v>
      </c>
      <c r="Y137" s="61">
        <v>0</v>
      </c>
      <c r="Z137" s="60" t="s">
        <v>4170</v>
      </c>
      <c r="AA137" s="60"/>
    </row>
    <row r="138" spans="1:27" ht="45" x14ac:dyDescent="0.25">
      <c r="A138" s="52">
        <v>160678</v>
      </c>
      <c r="B138" s="52">
        <f>VLOOKUP($A138,'Выгр Кат'!$A:$R,B$1,0)</f>
        <v>32713</v>
      </c>
      <c r="C138" s="53" t="str">
        <f>VLOOKUP($A138,'Выгр Кат'!$A:$R,C$1,0)</f>
        <v>Кронштейн крепления переднего крыла "АвтоВАЗ" правый в сборе для Лада Веста</v>
      </c>
      <c r="D138" s="52" t="str">
        <f>VLOOKUP($A138,'Выгр Кат'!$A:$R,D$1,0)</f>
        <v>Y</v>
      </c>
      <c r="E138" s="52" t="str">
        <f>VLOOKUP($A138,'Выгр Кат'!$A:$R,E$1,0)</f>
        <v>1</v>
      </c>
      <c r="F138" s="52" t="str">
        <f>VLOOKUP($A138,'Выгр Кат'!$A:$R,F$1,0)</f>
        <v>8450008187</v>
      </c>
      <c r="G138" s="52" t="str">
        <f>IF(VLOOKUP($A138,'Выгр Кат'!$A:$R,G$1,0)=0,"",VLOOKUP($A138,'Выгр Кат'!$A:$R,G$1,0))</f>
        <v>https://motorring.ru/product/18846-kronshteyn-bolyshoy-krepleniya-kryla-pravyy-lada-vesta</v>
      </c>
      <c r="H138" s="52"/>
      <c r="I138" s="52"/>
      <c r="J138" s="54">
        <f t="shared" si="39"/>
        <v>340</v>
      </c>
      <c r="K138" s="55">
        <f>VLOOKUP(J138,Наценка!$A$1:$B$8,2,1)</f>
        <v>1.6</v>
      </c>
      <c r="L138" s="56">
        <f t="shared" si="40"/>
        <v>544</v>
      </c>
      <c r="M138" s="57">
        <f t="shared" si="41"/>
        <v>549</v>
      </c>
      <c r="N138" s="52">
        <f>VLOOKUP($A138,'Выгр Кат'!$A:$R,N$1,0)</f>
        <v>340</v>
      </c>
      <c r="O138" s="52">
        <f>VLOOKUP($A138,'Выгр Кат'!$A:$R,O$1,0)</f>
        <v>549</v>
      </c>
      <c r="P138" s="47">
        <f t="shared" si="42"/>
        <v>0</v>
      </c>
      <c r="Q138" s="47">
        <f t="shared" si="43"/>
        <v>0</v>
      </c>
      <c r="R138" s="58">
        <f t="shared" si="44"/>
        <v>549</v>
      </c>
      <c r="S138" s="59">
        <f t="shared" si="45"/>
        <v>0.61470588235294121</v>
      </c>
      <c r="T138" s="59">
        <f t="shared" si="46"/>
        <v>0.12718600953895071</v>
      </c>
      <c r="U138" s="59">
        <f t="shared" si="47"/>
        <v>0.85000000000000009</v>
      </c>
      <c r="V138" s="42">
        <f>Z138</f>
        <v>629</v>
      </c>
      <c r="W138" s="69">
        <f>IFERROR((VLOOKUP($A138,'Из ГУГЛа'!$B:$Z,W$1,0)+Y138)*X138,VLOOKUP($A138,'Из ГУГЛа'!$B:$Z,W$1,0))</f>
        <v>629</v>
      </c>
      <c r="X138" s="61">
        <v>1</v>
      </c>
      <c r="Y138" s="61">
        <v>0</v>
      </c>
      <c r="Z138" s="70">
        <v>629</v>
      </c>
      <c r="AA138" s="60" t="s">
        <v>383</v>
      </c>
    </row>
    <row r="139" spans="1:27" ht="45" x14ac:dyDescent="0.25">
      <c r="A139" s="52">
        <v>160695</v>
      </c>
      <c r="B139" s="52">
        <f>VLOOKUP($A139,'Выгр Кат'!$A:$R,B$1,0)</f>
        <v>19407</v>
      </c>
      <c r="C139" s="53" t="str">
        <f>VLOOKUP($A139,'Выгр Кат'!$A:$R,C$1,0)</f>
        <v>Кронштейн крепления рулевой рейки "АвтоВАЗ" для ВАЗ 2110-2112, Лада Приора</v>
      </c>
      <c r="D139" s="52" t="str">
        <f>VLOOKUP($A139,'Выгр Кат'!$A:$R,D$1,0)</f>
        <v>Y</v>
      </c>
      <c r="E139" s="52" t="str">
        <f>VLOOKUP($A139,'Выгр Кат'!$A:$R,E$1,0)</f>
        <v>1</v>
      </c>
      <c r="F139" s="52" t="str">
        <f>VLOOKUP($A139,'Выгр Кат'!$A:$R,F$1,0)</f>
        <v>21100340301610</v>
      </c>
      <c r="G139" s="52" t="str">
        <f>IF(VLOOKUP($A139,'Выгр Кат'!$A:$R,G$1,0)=0,"",VLOOKUP($A139,'Выгр Кат'!$A:$R,G$1,0))</f>
        <v/>
      </c>
      <c r="H139" s="52"/>
      <c r="I139" s="52"/>
      <c r="J139" s="54">
        <f t="shared" si="39"/>
        <v>108</v>
      </c>
      <c r="K139" s="55">
        <f>VLOOKUP(J139,Наценка!$A$1:$B$8,2,1)</f>
        <v>1.8</v>
      </c>
      <c r="L139" s="56">
        <f t="shared" si="40"/>
        <v>194.4</v>
      </c>
      <c r="M139" s="57">
        <f t="shared" si="41"/>
        <v>199</v>
      </c>
      <c r="N139" s="52">
        <f>VLOOKUP($A139,'Выгр Кат'!$A:$R,N$1,0)</f>
        <v>108</v>
      </c>
      <c r="O139" s="52">
        <f>VLOOKUP($A139,'Выгр Кат'!$A:$R,O$1,0)</f>
        <v>199</v>
      </c>
      <c r="P139" s="47">
        <f t="shared" si="42"/>
        <v>0</v>
      </c>
      <c r="Q139" s="47">
        <f t="shared" si="43"/>
        <v>0</v>
      </c>
      <c r="R139" s="58">
        <f t="shared" si="44"/>
        <v>199</v>
      </c>
      <c r="S139" s="59">
        <f t="shared" si="45"/>
        <v>0.84259259259259256</v>
      </c>
      <c r="T139" s="59" t="str">
        <f t="shared" si="46"/>
        <v/>
      </c>
      <c r="U139" s="59" t="str">
        <f t="shared" si="47"/>
        <v/>
      </c>
      <c r="V139" s="60"/>
      <c r="W139" s="69" t="str">
        <f>IFERROR((VLOOKUP($A139,'Из ГУГЛа'!$B:$Z,W$1,0)+Y139)*X139,VLOOKUP($A139,'Из ГУГЛа'!$B:$Z,W$1,0))</f>
        <v/>
      </c>
      <c r="X139" s="61">
        <v>1</v>
      </c>
      <c r="Y139" s="61">
        <v>0</v>
      </c>
      <c r="Z139" s="60" t="s">
        <v>4170</v>
      </c>
      <c r="AA139" s="60"/>
    </row>
    <row r="140" spans="1:27" ht="45" x14ac:dyDescent="0.25">
      <c r="A140" s="52">
        <v>160696</v>
      </c>
      <c r="B140" s="52">
        <f>VLOOKUP($A140,'Выгр Кат'!$A:$R,B$1,0)</f>
        <v>31199</v>
      </c>
      <c r="C140" s="53" t="str">
        <f>VLOOKUP($A140,'Выгр Кат'!$A:$R,C$1,0)</f>
        <v>Кронштейн крепления рычага задней подвески правый в сборе "АвтоВАЗ" для Лада Веста</v>
      </c>
      <c r="D140" s="52" t="str">
        <f>VLOOKUP($A140,'Выгр Кат'!$A:$R,D$1,0)</f>
        <v>Y</v>
      </c>
      <c r="E140" s="52" t="str">
        <f>VLOOKUP($A140,'Выгр Кат'!$A:$R,E$1,0)</f>
        <v>1</v>
      </c>
      <c r="F140" s="52" t="str">
        <f>VLOOKUP($A140,'Выгр Кат'!$A:$R,F$1,0)</f>
        <v>8450008091</v>
      </c>
      <c r="G140" s="52" t="str">
        <f>IF(VLOOKUP($A140,'Выгр Кат'!$A:$R,G$1,0)=0,"",VLOOKUP($A140,'Выгр Кат'!$A:$R,G$1,0))</f>
        <v/>
      </c>
      <c r="H140" s="52"/>
      <c r="I140" s="52"/>
      <c r="J140" s="54">
        <f t="shared" si="39"/>
        <v>1370</v>
      </c>
      <c r="K140" s="55">
        <f>VLOOKUP(J140,Наценка!$A$1:$B$8,2,1)</f>
        <v>1.5</v>
      </c>
      <c r="L140" s="56">
        <f t="shared" si="40"/>
        <v>2055</v>
      </c>
      <c r="M140" s="57">
        <f t="shared" si="41"/>
        <v>2090</v>
      </c>
      <c r="N140" s="52">
        <f>VLOOKUP($A140,'Выгр Кат'!$A:$R,N$1,0)</f>
        <v>1370</v>
      </c>
      <c r="O140" s="52">
        <f>VLOOKUP($A140,'Выгр Кат'!$A:$R,O$1,0)</f>
        <v>2090</v>
      </c>
      <c r="P140" s="47">
        <f t="shared" si="42"/>
        <v>0</v>
      </c>
      <c r="Q140" s="47">
        <f t="shared" si="43"/>
        <v>0</v>
      </c>
      <c r="R140" s="58">
        <f t="shared" si="44"/>
        <v>2090</v>
      </c>
      <c r="S140" s="59">
        <f t="shared" si="45"/>
        <v>0.52554744525547448</v>
      </c>
      <c r="T140" s="59" t="str">
        <f t="shared" si="46"/>
        <v/>
      </c>
      <c r="U140" s="59" t="str">
        <f t="shared" si="47"/>
        <v/>
      </c>
      <c r="V140" s="60"/>
      <c r="W140" s="69" t="str">
        <f>IFERROR((VLOOKUP($A140,'Из ГУГЛа'!$B:$Z,W$1,0)+Y140)*X140,VLOOKUP($A140,'Из ГУГЛа'!$B:$Z,W$1,0))</f>
        <v/>
      </c>
      <c r="X140" s="61">
        <v>1</v>
      </c>
      <c r="Y140" s="61">
        <v>0</v>
      </c>
      <c r="Z140" s="60" t="s">
        <v>4170</v>
      </c>
      <c r="AA140" s="60"/>
    </row>
    <row r="141" spans="1:27" ht="45" x14ac:dyDescent="0.25">
      <c r="A141" s="52">
        <v>160704</v>
      </c>
      <c r="B141" s="52">
        <f>VLOOKUP($A141,'Выгр Кат'!$A:$R,B$1,0)</f>
        <v>45976</v>
      </c>
      <c r="C141" s="53" t="str">
        <f>VLOOKUP($A141,'Выгр Кат'!$A:$R,C$1,0)</f>
        <v>Кронштейн крепления фартука "АвтоВАЗ" левый для Лада Нива 4x4 Урбан</v>
      </c>
      <c r="D141" s="52" t="str">
        <f>VLOOKUP($A141,'Выгр Кат'!$A:$R,D$1,0)</f>
        <v>Y</v>
      </c>
      <c r="E141" s="52" t="str">
        <f>VLOOKUP($A141,'Выгр Кат'!$A:$R,E$1,0)</f>
        <v>1</v>
      </c>
      <c r="F141" s="52" t="str">
        <f>VLOOKUP($A141,'Выгр Кат'!$A:$R,F$1,0)</f>
        <v>8450107441</v>
      </c>
      <c r="G141" s="52" t="str">
        <f>IF(VLOOKUP($A141,'Выгр Кат'!$A:$R,G$1,0)=0,"",VLOOKUP($A141,'Выгр Кат'!$A:$R,G$1,0))</f>
        <v/>
      </c>
      <c r="H141" s="52"/>
      <c r="I141" s="52"/>
      <c r="J141" s="54">
        <f t="shared" si="39"/>
        <v>435</v>
      </c>
      <c r="K141" s="55">
        <f>VLOOKUP(J141,Наценка!$A$1:$B$8,2,1)</f>
        <v>1.6</v>
      </c>
      <c r="L141" s="56">
        <f t="shared" si="40"/>
        <v>696</v>
      </c>
      <c r="M141" s="57">
        <f t="shared" si="41"/>
        <v>699</v>
      </c>
      <c r="N141" s="52">
        <f>VLOOKUP($A141,'Выгр Кат'!$A:$R,N$1,0)</f>
        <v>435</v>
      </c>
      <c r="O141" s="52">
        <f>VLOOKUP($A141,'Выгр Кат'!$A:$R,O$1,0)</f>
        <v>699</v>
      </c>
      <c r="P141" s="47">
        <f t="shared" si="42"/>
        <v>0</v>
      </c>
      <c r="Q141" s="47">
        <f t="shared" si="43"/>
        <v>0</v>
      </c>
      <c r="R141" s="58">
        <f t="shared" si="44"/>
        <v>699</v>
      </c>
      <c r="S141" s="59">
        <f t="shared" si="45"/>
        <v>0.60689655172413803</v>
      </c>
      <c r="T141" s="59" t="str">
        <f t="shared" si="46"/>
        <v/>
      </c>
      <c r="U141" s="59" t="str">
        <f t="shared" si="47"/>
        <v/>
      </c>
      <c r="V141" s="60"/>
      <c r="W141" s="69" t="str">
        <f>IFERROR((VLOOKUP($A141,'Из ГУГЛа'!$B:$Z,W$1,0)+Y141)*X141,VLOOKUP($A141,'Из ГУГЛа'!$B:$Z,W$1,0))</f>
        <v/>
      </c>
      <c r="X141" s="61">
        <v>1</v>
      </c>
      <c r="Y141" s="61">
        <v>0</v>
      </c>
      <c r="Z141" s="60" t="s">
        <v>4170</v>
      </c>
      <c r="AA141" s="60"/>
    </row>
    <row r="142" spans="1:27" ht="45" x14ac:dyDescent="0.25">
      <c r="A142" s="52">
        <v>160705</v>
      </c>
      <c r="B142" s="52">
        <f>VLOOKUP($A142,'Выгр Кат'!$A:$R,B$1,0)</f>
        <v>45974</v>
      </c>
      <c r="C142" s="53" t="str">
        <f>VLOOKUP($A142,'Выгр Кат'!$A:$R,C$1,0)</f>
        <v>Кронштейн крепления фартука "АвтоВАЗ" правый для Лада Нива 4x4 Урбан</v>
      </c>
      <c r="D142" s="52" t="str">
        <f>VLOOKUP($A142,'Выгр Кат'!$A:$R,D$1,0)</f>
        <v>Y</v>
      </c>
      <c r="E142" s="52" t="str">
        <f>VLOOKUP($A142,'Выгр Кат'!$A:$R,E$1,0)</f>
        <v>1</v>
      </c>
      <c r="F142" s="52" t="str">
        <f>VLOOKUP($A142,'Выгр Кат'!$A:$R,F$1,0)</f>
        <v>8450107440</v>
      </c>
      <c r="G142" s="52" t="str">
        <f>IF(VLOOKUP($A142,'Выгр Кат'!$A:$R,G$1,0)=0,"",VLOOKUP($A142,'Выгр Кат'!$A:$R,G$1,0))</f>
        <v/>
      </c>
      <c r="H142" s="52"/>
      <c r="I142" s="52"/>
      <c r="J142" s="54">
        <f t="shared" si="39"/>
        <v>435</v>
      </c>
      <c r="K142" s="55">
        <f>VLOOKUP(J142,Наценка!$A$1:$B$8,2,1)</f>
        <v>1.6</v>
      </c>
      <c r="L142" s="56">
        <f t="shared" si="40"/>
        <v>696</v>
      </c>
      <c r="M142" s="57">
        <f t="shared" si="41"/>
        <v>699</v>
      </c>
      <c r="N142" s="52">
        <f>VLOOKUP($A142,'Выгр Кат'!$A:$R,N$1,0)</f>
        <v>435</v>
      </c>
      <c r="O142" s="52">
        <f>VLOOKUP($A142,'Выгр Кат'!$A:$R,O$1,0)</f>
        <v>699</v>
      </c>
      <c r="P142" s="47">
        <f t="shared" si="42"/>
        <v>0</v>
      </c>
      <c r="Q142" s="47">
        <f t="shared" si="43"/>
        <v>0</v>
      </c>
      <c r="R142" s="58">
        <f t="shared" si="44"/>
        <v>699</v>
      </c>
      <c r="S142" s="59">
        <f t="shared" si="45"/>
        <v>0.60689655172413803</v>
      </c>
      <c r="T142" s="59" t="str">
        <f t="shared" si="46"/>
        <v/>
      </c>
      <c r="U142" s="59" t="str">
        <f t="shared" si="47"/>
        <v/>
      </c>
      <c r="V142" s="60"/>
      <c r="W142" s="69" t="str">
        <f>IFERROR((VLOOKUP($A142,'Из ГУГЛа'!$B:$Z,W$1,0)+Y142)*X142,VLOOKUP($A142,'Из ГУГЛа'!$B:$Z,W$1,0))</f>
        <v/>
      </c>
      <c r="X142" s="61">
        <v>1</v>
      </c>
      <c r="Y142" s="61">
        <v>0</v>
      </c>
      <c r="Z142" s="60" t="s">
        <v>4170</v>
      </c>
      <c r="AA142" s="60"/>
    </row>
    <row r="143" spans="1:27" ht="30" x14ac:dyDescent="0.25">
      <c r="A143" s="52">
        <v>160706</v>
      </c>
      <c r="B143" s="52">
        <f>VLOOKUP($A143,'Выгр Кат'!$A:$R,B$1,0)</f>
        <v>31253</v>
      </c>
      <c r="C143" s="53" t="str">
        <f>VLOOKUP($A143,'Выгр Кат'!$A:$R,C$1,0)</f>
        <v>Кронштейн крепления центральный "АвтоВАЗ" в сборе для Шевроле Нива</v>
      </c>
      <c r="D143" s="52" t="str">
        <f>VLOOKUP($A143,'Выгр Кат'!$A:$R,D$1,0)</f>
        <v>Y</v>
      </c>
      <c r="E143" s="52" t="str">
        <f>VLOOKUP($A143,'Выгр Кат'!$A:$R,E$1,0)</f>
        <v>0</v>
      </c>
      <c r="F143" s="52" t="str">
        <f>VLOOKUP($A143,'Выгр Кат'!$A:$R,F$1,0)</f>
        <v>21230570717200</v>
      </c>
      <c r="G143" s="52" t="str">
        <f>IF(VLOOKUP($A143,'Выгр Кат'!$A:$R,G$1,0)=0,"",VLOOKUP($A143,'Выгр Кат'!$A:$R,G$1,0))</f>
        <v/>
      </c>
      <c r="H143" s="52"/>
      <c r="I143" s="52"/>
      <c r="J143" s="54">
        <f t="shared" si="39"/>
        <v>142</v>
      </c>
      <c r="K143" s="55">
        <f>VLOOKUP(J143,Наценка!$A$1:$B$8,2,1)</f>
        <v>1.8</v>
      </c>
      <c r="L143" s="56">
        <f t="shared" si="40"/>
        <v>255.6</v>
      </c>
      <c r="M143" s="57">
        <f t="shared" si="41"/>
        <v>259</v>
      </c>
      <c r="N143" s="52">
        <f>VLOOKUP($A143,'Выгр Кат'!$A:$R,N$1,0)</f>
        <v>142</v>
      </c>
      <c r="O143" s="52">
        <f>VLOOKUP($A143,'Выгр Кат'!$A:$R,O$1,0)</f>
        <v>259</v>
      </c>
      <c r="P143" s="47">
        <f t="shared" si="42"/>
        <v>0</v>
      </c>
      <c r="Q143" s="47">
        <f t="shared" si="43"/>
        <v>0</v>
      </c>
      <c r="R143" s="58">
        <f t="shared" si="44"/>
        <v>259</v>
      </c>
      <c r="S143" s="59">
        <f t="shared" si="45"/>
        <v>0.823943661971831</v>
      </c>
      <c r="T143" s="59" t="str">
        <f t="shared" si="46"/>
        <v/>
      </c>
      <c r="U143" s="59" t="str">
        <f t="shared" si="47"/>
        <v/>
      </c>
      <c r="V143" s="60"/>
      <c r="W143" s="69" t="str">
        <f>IFERROR((VLOOKUP($A143,'Из ГУГЛа'!$B:$Z,W$1,0)+Y143)*X143,VLOOKUP($A143,'Из ГУГЛа'!$B:$Z,W$1,0))</f>
        <v/>
      </c>
      <c r="X143" s="61">
        <v>1</v>
      </c>
      <c r="Y143" s="61">
        <v>0</v>
      </c>
      <c r="Z143" s="76" t="s">
        <v>4285</v>
      </c>
      <c r="AA143" s="60"/>
    </row>
    <row r="144" spans="1:27" ht="30" x14ac:dyDescent="0.25">
      <c r="A144" s="52">
        <v>160708</v>
      </c>
      <c r="B144" s="52">
        <f>VLOOKUP($A144,'Выгр Кат'!$A:$R,B$1,0)</f>
        <v>19611</v>
      </c>
      <c r="C144" s="53" t="str">
        <f>VLOOKUP($A144,'Выгр Кат'!$A:$R,C$1,0)</f>
        <v>Кронштейн крыла для LADA Vesta правый верхний передний</v>
      </c>
      <c r="D144" s="52" t="str">
        <f>VLOOKUP($A144,'Выгр Кат'!$A:$R,D$1,0)</f>
        <v>Y</v>
      </c>
      <c r="E144" s="52" t="str">
        <f>VLOOKUP($A144,'Выгр Кат'!$A:$R,E$1,0)</f>
        <v>1</v>
      </c>
      <c r="F144" s="52" t="str">
        <f>VLOOKUP($A144,'Выгр Кат'!$A:$R,F$1,0)</f>
        <v>8450008589, 8450039456</v>
      </c>
      <c r="G144" s="52" t="str">
        <f>IF(VLOOKUP($A144,'Выгр Кат'!$A:$R,G$1,0)=0,"",VLOOKUP($A144,'Выгр Кат'!$A:$R,G$1,0))</f>
        <v>https://motorring.ru/product/18995-kronshteyn-krepleniya-perednego-kryla-malyy-pravyy-lada</v>
      </c>
      <c r="H144" s="52"/>
      <c r="I144" s="52"/>
      <c r="J144" s="54">
        <f t="shared" si="39"/>
        <v>202</v>
      </c>
      <c r="K144" s="55">
        <f>VLOOKUP(J144,Наценка!$A$1:$B$8,2,1)</f>
        <v>1.8</v>
      </c>
      <c r="L144" s="56">
        <f t="shared" si="40"/>
        <v>363.6</v>
      </c>
      <c r="M144" s="57">
        <f t="shared" si="41"/>
        <v>369</v>
      </c>
      <c r="N144" s="52">
        <f>VLOOKUP($A144,'Выгр Кат'!$A:$R,N$1,0)</f>
        <v>202</v>
      </c>
      <c r="O144" s="52">
        <f>VLOOKUP($A144,'Выгр Кат'!$A:$R,O$1,0)</f>
        <v>369</v>
      </c>
      <c r="P144" s="47">
        <f t="shared" si="42"/>
        <v>0</v>
      </c>
      <c r="Q144" s="47">
        <f t="shared" si="43"/>
        <v>0</v>
      </c>
      <c r="R144" s="58">
        <f t="shared" si="44"/>
        <v>369</v>
      </c>
      <c r="S144" s="59">
        <f t="shared" si="45"/>
        <v>0.8267326732673268</v>
      </c>
      <c r="T144" s="59">
        <f t="shared" si="46"/>
        <v>0.24693877551020407</v>
      </c>
      <c r="U144" s="59">
        <f t="shared" si="47"/>
        <v>1.4257425742574257</v>
      </c>
      <c r="V144" s="42">
        <f>Z144</f>
        <v>490</v>
      </c>
      <c r="W144" s="69">
        <f>IFERROR((VLOOKUP($A144,'Из ГУГЛа'!$B:$Z,W$1,0)+Y144)*X144,VLOOKUP($A144,'Из ГУГЛа'!$B:$Z,W$1,0))</f>
        <v>490</v>
      </c>
      <c r="X144" s="61">
        <v>1</v>
      </c>
      <c r="Y144" s="61">
        <v>0</v>
      </c>
      <c r="Z144" s="70">
        <v>490</v>
      </c>
      <c r="AA144" s="60" t="s">
        <v>398</v>
      </c>
    </row>
    <row r="145" spans="1:27" ht="30" x14ac:dyDescent="0.25">
      <c r="A145" s="52">
        <v>160721</v>
      </c>
      <c r="B145" s="52">
        <f>VLOOKUP($A145,'Выгр Кат'!$A:$R,B$1,0)</f>
        <v>31007</v>
      </c>
      <c r="C145" s="53" t="str">
        <f>VLOOKUP($A145,'Выгр Кат'!$A:$R,C$1,0)</f>
        <v>Кронштейн опоры двигателя верхний "АвтоВАЗ" для Лада Ларгус</v>
      </c>
      <c r="D145" s="52" t="str">
        <f>VLOOKUP($A145,'Выгр Кат'!$A:$R,D$1,0)</f>
        <v>Y</v>
      </c>
      <c r="E145" s="52" t="str">
        <f>VLOOKUP($A145,'Выгр Кат'!$A:$R,E$1,0)</f>
        <v>1</v>
      </c>
      <c r="F145" s="52" t="str">
        <f>VLOOKUP($A145,'Выгр Кат'!$A:$R,F$1,0)</f>
        <v>8200487939</v>
      </c>
      <c r="G145" s="52" t="str">
        <f>IF(VLOOKUP($A145,'Выгр Кат'!$A:$R,G$1,0)=0,"",VLOOKUP($A145,'Выгр Кат'!$A:$R,G$1,0))</f>
        <v/>
      </c>
      <c r="H145" s="52"/>
      <c r="I145" s="52"/>
      <c r="J145" s="54">
        <f t="shared" si="39"/>
        <v>2561</v>
      </c>
      <c r="K145" s="55">
        <f>VLOOKUP(J145,Наценка!$A$1:$B$8,2,1)</f>
        <v>1.4</v>
      </c>
      <c r="L145" s="56">
        <f t="shared" si="40"/>
        <v>3585.3999999999996</v>
      </c>
      <c r="M145" s="57">
        <f t="shared" si="41"/>
        <v>3590</v>
      </c>
      <c r="N145" s="52">
        <f>VLOOKUP($A145,'Выгр Кат'!$A:$R,N$1,0)</f>
        <v>2561</v>
      </c>
      <c r="O145" s="52">
        <f>VLOOKUP($A145,'Выгр Кат'!$A:$R,O$1,0)</f>
        <v>3590</v>
      </c>
      <c r="P145" s="47">
        <f t="shared" si="42"/>
        <v>0</v>
      </c>
      <c r="Q145" s="47">
        <f t="shared" si="43"/>
        <v>0</v>
      </c>
      <c r="R145" s="58">
        <f t="shared" si="44"/>
        <v>3590</v>
      </c>
      <c r="S145" s="59">
        <f t="shared" si="45"/>
        <v>0.40179617336977747</v>
      </c>
      <c r="T145" s="59" t="str">
        <f t="shared" si="46"/>
        <v/>
      </c>
      <c r="U145" s="59" t="str">
        <f t="shared" si="47"/>
        <v/>
      </c>
      <c r="V145" s="60"/>
      <c r="W145" s="69" t="str">
        <f>IFERROR((VLOOKUP($A145,'Из ГУГЛа'!$B:$Z,W$1,0)+Y145)*X145,VLOOKUP($A145,'Из ГУГЛа'!$B:$Z,W$1,0))</f>
        <v/>
      </c>
      <c r="X145" s="61">
        <v>1</v>
      </c>
      <c r="Y145" s="61">
        <v>0</v>
      </c>
      <c r="Z145" s="60" t="s">
        <v>4170</v>
      </c>
      <c r="AA145" s="60"/>
    </row>
    <row r="146" spans="1:27" ht="30" x14ac:dyDescent="0.25">
      <c r="A146" s="52">
        <v>160724</v>
      </c>
      <c r="B146" s="52">
        <f>VLOOKUP($A146,'Выгр Кат'!$A:$R,B$1,0)</f>
        <v>48010</v>
      </c>
      <c r="C146" s="53" t="str">
        <f>VLOOKUP($A146,'Выгр Кат'!$A:$R,C$1,0)</f>
        <v>Кронштейн переднего крыла "АвтоВАЗ" левый для Лада Нива Travel</v>
      </c>
      <c r="D146" s="52" t="str">
        <f>VLOOKUP($A146,'Выгр Кат'!$A:$R,D$1,0)</f>
        <v>Y</v>
      </c>
      <c r="E146" s="52" t="str">
        <f>VLOOKUP($A146,'Выгр Кат'!$A:$R,E$1,0)</f>
        <v>1</v>
      </c>
      <c r="F146" s="52" t="str">
        <f>VLOOKUP($A146,'Выгр Кат'!$A:$R,F$1,0)</f>
        <v>21230840303581</v>
      </c>
      <c r="G146" s="52" t="str">
        <f>IF(VLOOKUP($A146,'Выгр Кат'!$A:$R,G$1,0)=0,"",VLOOKUP($A146,'Выгр Кат'!$A:$R,G$1,0))</f>
        <v/>
      </c>
      <c r="H146" s="52"/>
      <c r="I146" s="52"/>
      <c r="J146" s="54">
        <f t="shared" si="39"/>
        <v>544</v>
      </c>
      <c r="K146" s="55">
        <f>VLOOKUP(J146,Наценка!$A$1:$B$8,2,1)</f>
        <v>1.55</v>
      </c>
      <c r="L146" s="56">
        <f t="shared" si="40"/>
        <v>843.2</v>
      </c>
      <c r="M146" s="57">
        <f t="shared" si="41"/>
        <v>849</v>
      </c>
      <c r="N146" s="52">
        <f>VLOOKUP($A146,'Выгр Кат'!$A:$R,N$1,0)</f>
        <v>544</v>
      </c>
      <c r="O146" s="52">
        <f>VLOOKUP($A146,'Выгр Кат'!$A:$R,O$1,0)</f>
        <v>849</v>
      </c>
      <c r="P146" s="47">
        <f t="shared" si="42"/>
        <v>0</v>
      </c>
      <c r="Q146" s="47">
        <f t="shared" si="43"/>
        <v>0</v>
      </c>
      <c r="R146" s="58">
        <f t="shared" si="44"/>
        <v>849</v>
      </c>
      <c r="S146" s="59">
        <f t="shared" si="45"/>
        <v>0.56066176470588225</v>
      </c>
      <c r="T146" s="59" t="str">
        <f t="shared" si="46"/>
        <v/>
      </c>
      <c r="U146" s="59" t="str">
        <f t="shared" si="47"/>
        <v/>
      </c>
      <c r="V146" s="60"/>
      <c r="W146" s="69" t="str">
        <f>IFERROR((VLOOKUP($A146,'Из ГУГЛа'!$B:$Z,W$1,0)+Y146)*X146,VLOOKUP($A146,'Из ГУГЛа'!$B:$Z,W$1,0))</f>
        <v/>
      </c>
      <c r="X146" s="61">
        <v>1</v>
      </c>
      <c r="Y146" s="61">
        <v>0</v>
      </c>
      <c r="Z146" s="60" t="s">
        <v>4170</v>
      </c>
      <c r="AA146" s="60"/>
    </row>
    <row r="147" spans="1:27" ht="45" x14ac:dyDescent="0.25">
      <c r="A147" s="52">
        <v>160725</v>
      </c>
      <c r="B147" s="52">
        <f>VLOOKUP($A147,'Выгр Кат'!$A:$R,B$1,0)</f>
        <v>48014</v>
      </c>
      <c r="C147" s="53" t="str">
        <f>VLOOKUP($A147,'Выгр Кат'!$A:$R,C$1,0)</f>
        <v>Кронштейн переднего крыла "АвтоВАЗ" правый для Лада Нива Travel</v>
      </c>
      <c r="D147" s="52" t="str">
        <f>VLOOKUP($A147,'Выгр Кат'!$A:$R,D$1,0)</f>
        <v>Y</v>
      </c>
      <c r="E147" s="52" t="str">
        <f>VLOOKUP($A147,'Выгр Кат'!$A:$R,E$1,0)</f>
        <v>1</v>
      </c>
      <c r="F147" s="52" t="str">
        <f>VLOOKUP($A147,'Выгр Кат'!$A:$R,F$1,0)</f>
        <v>21230840303681</v>
      </c>
      <c r="G147" s="52" t="str">
        <f>IF(VLOOKUP($A147,'Выгр Кат'!$A:$R,G$1,0)=0,"",VLOOKUP($A147,'Выгр Кат'!$A:$R,G$1,0))</f>
        <v/>
      </c>
      <c r="H147" s="52"/>
      <c r="I147" s="52"/>
      <c r="J147" s="54">
        <f t="shared" si="39"/>
        <v>544</v>
      </c>
      <c r="K147" s="55">
        <f>VLOOKUP(J147,Наценка!$A$1:$B$8,2,1)</f>
        <v>1.55</v>
      </c>
      <c r="L147" s="56">
        <f t="shared" si="40"/>
        <v>843.2</v>
      </c>
      <c r="M147" s="57">
        <f t="shared" si="41"/>
        <v>849</v>
      </c>
      <c r="N147" s="52">
        <f>VLOOKUP($A147,'Выгр Кат'!$A:$R,N$1,0)</f>
        <v>544</v>
      </c>
      <c r="O147" s="52">
        <f>VLOOKUP($A147,'Выгр Кат'!$A:$R,O$1,0)</f>
        <v>849</v>
      </c>
      <c r="P147" s="47">
        <f t="shared" si="42"/>
        <v>0</v>
      </c>
      <c r="Q147" s="47">
        <f t="shared" si="43"/>
        <v>0</v>
      </c>
      <c r="R147" s="58">
        <f t="shared" si="44"/>
        <v>849</v>
      </c>
      <c r="S147" s="59">
        <f t="shared" si="45"/>
        <v>0.56066176470588225</v>
      </c>
      <c r="T147" s="59" t="str">
        <f t="shared" si="46"/>
        <v/>
      </c>
      <c r="U147" s="59" t="str">
        <f t="shared" si="47"/>
        <v/>
      </c>
      <c r="V147" s="60"/>
      <c r="W147" s="69" t="str">
        <f>IFERROR((VLOOKUP($A147,'Из ГУГЛа'!$B:$Z,W$1,0)+Y147)*X147,VLOOKUP($A147,'Из ГУГЛа'!$B:$Z,W$1,0))</f>
        <v/>
      </c>
      <c r="X147" s="61">
        <v>1</v>
      </c>
      <c r="Y147" s="61">
        <v>0</v>
      </c>
      <c r="Z147" s="60" t="s">
        <v>4170</v>
      </c>
      <c r="AA147" s="60"/>
    </row>
    <row r="148" spans="1:27" ht="45" x14ac:dyDescent="0.25">
      <c r="A148" s="52">
        <v>160728</v>
      </c>
      <c r="B148" s="52">
        <f>VLOOKUP($A148,'Выгр Кат'!$A:$R,B$1,0)</f>
        <v>31309</v>
      </c>
      <c r="C148" s="53" t="str">
        <f>VLOOKUP($A148,'Выгр Кат'!$A:$R,C$1,0)</f>
        <v>Кронштейн переднего сиденья боковой "АвтоВАЗ" левый в сборе для Лада Нива 4x4</v>
      </c>
      <c r="D148" s="52" t="str">
        <f>VLOOKUP($A148,'Выгр Кат'!$A:$R,D$1,0)</f>
        <v>Y</v>
      </c>
      <c r="E148" s="52" t="str">
        <f>VLOOKUP($A148,'Выгр Кат'!$A:$R,E$1,0)</f>
        <v>1</v>
      </c>
      <c r="F148" s="52" t="str">
        <f>VLOOKUP($A148,'Выгр Кат'!$A:$R,F$1,0)</f>
        <v>21213681003120</v>
      </c>
      <c r="G148" s="52" t="str">
        <f>IF(VLOOKUP($A148,'Выгр Кат'!$A:$R,G$1,0)=0,"",VLOOKUP($A148,'Выгр Кат'!$A:$R,G$1,0))</f>
        <v/>
      </c>
      <c r="H148" s="52"/>
      <c r="I148" s="52"/>
      <c r="J148" s="54">
        <f t="shared" si="39"/>
        <v>82</v>
      </c>
      <c r="K148" s="55">
        <f>VLOOKUP(J148,Наценка!$A$1:$B$8,2,1)</f>
        <v>2</v>
      </c>
      <c r="L148" s="56">
        <f t="shared" si="40"/>
        <v>164</v>
      </c>
      <c r="M148" s="57">
        <f t="shared" si="41"/>
        <v>169</v>
      </c>
      <c r="N148" s="52">
        <f>VLOOKUP($A148,'Выгр Кат'!$A:$R,N$1,0)</f>
        <v>82</v>
      </c>
      <c r="O148" s="52">
        <f>VLOOKUP($A148,'Выгр Кат'!$A:$R,O$1,0)</f>
        <v>169</v>
      </c>
      <c r="P148" s="47">
        <f t="shared" si="42"/>
        <v>0</v>
      </c>
      <c r="Q148" s="47">
        <f t="shared" si="43"/>
        <v>0</v>
      </c>
      <c r="R148" s="58">
        <f t="shared" si="44"/>
        <v>169</v>
      </c>
      <c r="S148" s="59">
        <f t="shared" si="45"/>
        <v>1.0609756097560976</v>
      </c>
      <c r="T148" s="59" t="str">
        <f t="shared" si="46"/>
        <v/>
      </c>
      <c r="U148" s="59" t="str">
        <f t="shared" si="47"/>
        <v/>
      </c>
      <c r="V148" s="60"/>
      <c r="W148" s="69" t="str">
        <f>IFERROR((VLOOKUP($A148,'Из ГУГЛа'!$B:$Z,W$1,0)+Y148)*X148,VLOOKUP($A148,'Из ГУГЛа'!$B:$Z,W$1,0))</f>
        <v/>
      </c>
      <c r="X148" s="61">
        <v>1</v>
      </c>
      <c r="Y148" s="61">
        <v>0</v>
      </c>
      <c r="Z148" s="60" t="s">
        <v>4170</v>
      </c>
      <c r="AA148" s="60"/>
    </row>
    <row r="149" spans="1:27" ht="60" x14ac:dyDescent="0.25">
      <c r="A149" s="52">
        <v>160754</v>
      </c>
      <c r="B149" s="52">
        <f>VLOOKUP($A149,'Выгр Кат'!$A:$R,B$1,0)</f>
        <v>50663</v>
      </c>
      <c r="C149" s="53" t="str">
        <f>VLOOKUP($A149,'Выгр Кат'!$A:$R,C$1,0)</f>
        <v>Кронштейн правой опоры двигателя "АвтоВАЗ" с усилителем в сборе (катафорез) для Лада Веста, Веста Кросс, Веста Спорт</v>
      </c>
      <c r="D149" s="52" t="str">
        <f>VLOOKUP($A149,'Выгр Кат'!$A:$R,D$1,0)</f>
        <v>Y</v>
      </c>
      <c r="E149" s="52" t="str">
        <f>VLOOKUP($A149,'Выгр Кат'!$A:$R,E$1,0)</f>
        <v>1</v>
      </c>
      <c r="F149" s="52" t="str">
        <f>VLOOKUP($A149,'Выгр Кат'!$A:$R,F$1,0)</f>
        <v>8450039331</v>
      </c>
      <c r="G149" s="52" t="str">
        <f>IF(VLOOKUP($A149,'Выгр Кат'!$A:$R,G$1,0)=0,"",VLOOKUP($A149,'Выгр Кат'!$A:$R,G$1,0))</f>
        <v/>
      </c>
      <c r="H149" s="52"/>
      <c r="I149" s="52"/>
      <c r="J149" s="54">
        <f t="shared" si="39"/>
        <v>1086</v>
      </c>
      <c r="K149" s="55">
        <f>VLOOKUP(J149,Наценка!$A$1:$B$8,2,1)</f>
        <v>1.5</v>
      </c>
      <c r="L149" s="56">
        <f t="shared" si="40"/>
        <v>1629</v>
      </c>
      <c r="M149" s="57">
        <f t="shared" si="41"/>
        <v>1690</v>
      </c>
      <c r="N149" s="52">
        <f>VLOOKUP($A149,'Выгр Кат'!$A:$R,N$1,0)</f>
        <v>1086</v>
      </c>
      <c r="O149" s="52">
        <f>VLOOKUP($A149,'Выгр Кат'!$A:$R,O$1,0)</f>
        <v>1690</v>
      </c>
      <c r="P149" s="47">
        <f t="shared" si="42"/>
        <v>0</v>
      </c>
      <c r="Q149" s="47">
        <f t="shared" si="43"/>
        <v>0</v>
      </c>
      <c r="R149" s="58">
        <f t="shared" si="44"/>
        <v>1690</v>
      </c>
      <c r="S149" s="59">
        <f t="shared" si="45"/>
        <v>0.55616942909760581</v>
      </c>
      <c r="T149" s="59" t="str">
        <f t="shared" si="46"/>
        <v/>
      </c>
      <c r="U149" s="59" t="str">
        <f t="shared" si="47"/>
        <v/>
      </c>
      <c r="V149" s="60"/>
      <c r="W149" s="69" t="str">
        <f>IFERROR((VLOOKUP($A149,'Из ГУГЛа'!$B:$Z,W$1,0)+Y149)*X149,VLOOKUP($A149,'Из ГУГЛа'!$B:$Z,W$1,0))</f>
        <v/>
      </c>
      <c r="X149" s="61">
        <v>1</v>
      </c>
      <c r="Y149" s="61">
        <v>0</v>
      </c>
      <c r="Z149" s="60" t="s">
        <v>4170</v>
      </c>
      <c r="AA149" s="60"/>
    </row>
    <row r="150" spans="1:27" ht="45" x14ac:dyDescent="0.25">
      <c r="A150" s="52">
        <v>160783</v>
      </c>
      <c r="B150" s="52">
        <f>VLOOKUP($A150,'Выгр Кат'!$A:$R,B$1,0)</f>
        <v>31063</v>
      </c>
      <c r="C150" s="53" t="str">
        <f>VLOOKUP($A150,'Выгр Кат'!$A:$R,C$1,0)</f>
        <v>Кронштейн сидений 3-го ряда "Renault" левый, в сборе для Лада Ларгус</v>
      </c>
      <c r="D150" s="52" t="str">
        <f>VLOOKUP($A150,'Выгр Кат'!$A:$R,D$1,0)</f>
        <v>Y</v>
      </c>
      <c r="E150" s="52" t="str">
        <f>VLOOKUP($A150,'Выгр Кат'!$A:$R,E$1,0)</f>
        <v>1</v>
      </c>
      <c r="F150" s="52" t="str">
        <f>VLOOKUP($A150,'Выгр Кат'!$A:$R,F$1,0)</f>
        <v>6001548791</v>
      </c>
      <c r="G150" s="52" t="str">
        <f>IF(VLOOKUP($A150,'Выгр Кат'!$A:$R,G$1,0)=0,"",VLOOKUP($A150,'Выгр Кат'!$A:$R,G$1,0))</f>
        <v/>
      </c>
      <c r="H150" s="52"/>
      <c r="I150" s="52"/>
      <c r="J150" s="54">
        <f t="shared" si="39"/>
        <v>1854</v>
      </c>
      <c r="K150" s="55">
        <f>VLOOKUP(J150,Наценка!$A$1:$B$8,2,1)</f>
        <v>1.5</v>
      </c>
      <c r="L150" s="56">
        <f t="shared" si="40"/>
        <v>2781</v>
      </c>
      <c r="M150" s="57">
        <f t="shared" si="41"/>
        <v>2790</v>
      </c>
      <c r="N150" s="52">
        <f>VLOOKUP($A150,'Выгр Кат'!$A:$R,N$1,0)</f>
        <v>1854</v>
      </c>
      <c r="O150" s="52">
        <f>VLOOKUP($A150,'Выгр Кат'!$A:$R,O$1,0)</f>
        <v>2790</v>
      </c>
      <c r="P150" s="47">
        <f t="shared" si="42"/>
        <v>0</v>
      </c>
      <c r="Q150" s="47">
        <f t="shared" si="43"/>
        <v>0</v>
      </c>
      <c r="R150" s="58">
        <f t="shared" si="44"/>
        <v>2790</v>
      </c>
      <c r="S150" s="59">
        <f t="shared" si="45"/>
        <v>0.50485436893203883</v>
      </c>
      <c r="T150" s="59" t="str">
        <f t="shared" si="46"/>
        <v/>
      </c>
      <c r="U150" s="59" t="str">
        <f t="shared" si="47"/>
        <v/>
      </c>
      <c r="V150" s="60"/>
      <c r="W150" s="69" t="str">
        <f>IFERROR((VLOOKUP($A150,'Из ГУГЛа'!$B:$Z,W$1,0)+Y150)*X150,VLOOKUP($A150,'Из ГУГЛа'!$B:$Z,W$1,0))</f>
        <v/>
      </c>
      <c r="X150" s="61">
        <v>1</v>
      </c>
      <c r="Y150" s="61">
        <v>0</v>
      </c>
      <c r="Z150" s="60" t="s">
        <v>4170</v>
      </c>
      <c r="AA150" s="60"/>
    </row>
    <row r="151" spans="1:27" ht="30" x14ac:dyDescent="0.25">
      <c r="A151" s="52">
        <v>160894</v>
      </c>
      <c r="B151" s="52">
        <f>VLOOKUP($A151,'Выгр Кат'!$A:$R,B$1,0)</f>
        <v>45773</v>
      </c>
      <c r="C151" s="53" t="str">
        <f>VLOOKUP($A151,'Выгр Кат'!$A:$R,C$1,0)</f>
        <v>Крыло заднее "АвтоВАЗ" левое (катафорез) для ВАЗ 2112</v>
      </c>
      <c r="D151" s="52" t="str">
        <f>VLOOKUP($A151,'Выгр Кат'!$A:$R,D$1,0)</f>
        <v>Y</v>
      </c>
      <c r="E151" s="52" t="str">
        <f>VLOOKUP($A151,'Выгр Кат'!$A:$R,E$1,0)</f>
        <v>1</v>
      </c>
      <c r="F151" s="52" t="str">
        <f>VLOOKUP($A151,'Выгр Кат'!$A:$R,F$1,0)</f>
        <v>21120840401510</v>
      </c>
      <c r="G151" s="52" t="str">
        <f>IF(VLOOKUP($A151,'Выгр Кат'!$A:$R,G$1,0)=0,"",VLOOKUP($A151,'Выгр Кат'!$A:$R,G$1,0))</f>
        <v/>
      </c>
      <c r="H151" s="52"/>
      <c r="I151" s="52"/>
      <c r="J151" s="54">
        <f t="shared" si="39"/>
        <v>9624</v>
      </c>
      <c r="K151" s="55">
        <f>VLOOKUP(J151,Наценка!$A$1:$B$8,2,1)</f>
        <v>1.35</v>
      </c>
      <c r="L151" s="56">
        <f t="shared" si="40"/>
        <v>12992.400000000001</v>
      </c>
      <c r="M151" s="57">
        <f t="shared" si="41"/>
        <v>12990</v>
      </c>
      <c r="N151" s="52">
        <f>VLOOKUP($A151,'Выгр Кат'!$A:$R,N$1,0)</f>
        <v>9624</v>
      </c>
      <c r="O151" s="52">
        <f>VLOOKUP($A151,'Выгр Кат'!$A:$R,O$1,0)</f>
        <v>13490</v>
      </c>
      <c r="P151" s="47">
        <f t="shared" si="42"/>
        <v>0</v>
      </c>
      <c r="Q151" s="47">
        <f t="shared" si="43"/>
        <v>500</v>
      </c>
      <c r="R151" s="58">
        <f t="shared" si="44"/>
        <v>12990</v>
      </c>
      <c r="S151" s="59">
        <f t="shared" si="45"/>
        <v>0.34975062344139651</v>
      </c>
      <c r="T151" s="59" t="str">
        <f t="shared" si="46"/>
        <v/>
      </c>
      <c r="U151" s="59" t="str">
        <f t="shared" si="47"/>
        <v/>
      </c>
      <c r="V151" s="60"/>
      <c r="W151" s="69">
        <f>IFERROR((VLOOKUP($A151,'Из ГУГЛа'!$B:$Z,W$1,0)+Y151)*X151,VLOOKUP($A151,'Из ГУГЛа'!$B:$Z,W$1,0))</f>
        <v>13490</v>
      </c>
      <c r="X151" s="61">
        <v>1</v>
      </c>
      <c r="Y151" s="61">
        <v>0</v>
      </c>
      <c r="Z151" s="60" t="s">
        <v>4193</v>
      </c>
      <c r="AA151" s="60" t="s">
        <v>4192</v>
      </c>
    </row>
    <row r="152" spans="1:27" ht="30" x14ac:dyDescent="0.25">
      <c r="A152" s="52">
        <v>160895</v>
      </c>
      <c r="B152" s="52">
        <f>VLOOKUP($A152,'Выгр Кат'!$A:$R,B$1,0)</f>
        <v>45777</v>
      </c>
      <c r="C152" s="53" t="str">
        <f>VLOOKUP($A152,'Выгр Кат'!$A:$R,C$1,0)</f>
        <v>Крыло заднее "АвтоВАЗ" левое (катафорез) для ВАЗ 2115</v>
      </c>
      <c r="D152" s="52" t="str">
        <f>VLOOKUP($A152,'Выгр Кат'!$A:$R,D$1,0)</f>
        <v>Y</v>
      </c>
      <c r="E152" s="52" t="str">
        <f>VLOOKUP($A152,'Выгр Кат'!$A:$R,E$1,0)</f>
        <v>1</v>
      </c>
      <c r="F152" s="52" t="str">
        <f>VLOOKUP($A152,'Выгр Кат'!$A:$R,F$1,0)</f>
        <v>21150840401510</v>
      </c>
      <c r="G152" s="52" t="str">
        <f>IF(VLOOKUP($A152,'Выгр Кат'!$A:$R,G$1,0)=0,"",VLOOKUP($A152,'Выгр Кат'!$A:$R,G$1,0))</f>
        <v/>
      </c>
      <c r="H152" s="52"/>
      <c r="I152" s="52"/>
      <c r="J152" s="54">
        <f t="shared" si="39"/>
        <v>4215</v>
      </c>
      <c r="K152" s="55">
        <f>VLOOKUP(J152,Наценка!$A$1:$B$8,2,1)</f>
        <v>1.4</v>
      </c>
      <c r="L152" s="56">
        <f t="shared" si="40"/>
        <v>5901</v>
      </c>
      <c r="M152" s="57">
        <f t="shared" si="41"/>
        <v>5990</v>
      </c>
      <c r="N152" s="52">
        <f>VLOOKUP($A152,'Выгр Кат'!$A:$R,N$1,0)</f>
        <v>4215</v>
      </c>
      <c r="O152" s="52">
        <f>VLOOKUP($A152,'Выгр Кат'!$A:$R,O$1,0)</f>
        <v>5990</v>
      </c>
      <c r="P152" s="47">
        <f t="shared" si="42"/>
        <v>0</v>
      </c>
      <c r="Q152" s="47">
        <f t="shared" si="43"/>
        <v>0</v>
      </c>
      <c r="R152" s="58">
        <f t="shared" si="44"/>
        <v>5990</v>
      </c>
      <c r="S152" s="59">
        <f t="shared" si="45"/>
        <v>0.42111506524317921</v>
      </c>
      <c r="T152" s="59">
        <f t="shared" si="46"/>
        <v>0</v>
      </c>
      <c r="U152" s="59">
        <f t="shared" si="47"/>
        <v>0.42111506524317921</v>
      </c>
      <c r="V152" s="42">
        <f t="shared" ref="V152" si="49">Z152</f>
        <v>5990</v>
      </c>
      <c r="W152" s="69">
        <f>IFERROR((VLOOKUP($A152,'Из ГУГЛа'!$B:$Z,W$1,0)+Y152)*X152,VLOOKUP($A152,'Из ГУГЛа'!$B:$Z,W$1,0))</f>
        <v>5990</v>
      </c>
      <c r="X152" s="61">
        <v>1</v>
      </c>
      <c r="Y152" s="61">
        <v>0</v>
      </c>
      <c r="Z152" s="60">
        <v>5990</v>
      </c>
      <c r="AA152" s="60" t="s">
        <v>4175</v>
      </c>
    </row>
    <row r="153" spans="1:27" ht="30" x14ac:dyDescent="0.25">
      <c r="A153" s="52">
        <v>160896</v>
      </c>
      <c r="B153" s="52">
        <f>VLOOKUP($A153,'Выгр Кат'!$A:$R,B$1,0)</f>
        <v>48548</v>
      </c>
      <c r="C153" s="53" t="str">
        <f>VLOOKUP($A153,'Выгр Кат'!$A:$R,C$1,0)</f>
        <v>Крыло заднее "АвтоВАЗ" левое (катафорез) для Лада Гранта, Гранта FL</v>
      </c>
      <c r="D153" s="52" t="str">
        <f>VLOOKUP($A153,'Выгр Кат'!$A:$R,D$1,0)</f>
        <v>Y</v>
      </c>
      <c r="E153" s="52" t="str">
        <f>VLOOKUP($A153,'Выгр Кат'!$A:$R,E$1,0)</f>
        <v>1</v>
      </c>
      <c r="F153" s="52" t="str">
        <f>VLOOKUP($A153,'Выгр Кат'!$A:$R,F$1,0)</f>
        <v>21900840401575</v>
      </c>
      <c r="G153" s="52" t="str">
        <f>IF(VLOOKUP($A153,'Выгр Кат'!$A:$R,G$1,0)=0,"",VLOOKUP($A153,'Выгр Кат'!$A:$R,G$1,0))</f>
        <v/>
      </c>
      <c r="H153" s="52"/>
      <c r="I153" s="52"/>
      <c r="J153" s="54">
        <f t="shared" si="39"/>
        <v>11552</v>
      </c>
      <c r="K153" s="55">
        <f>VLOOKUP(J153,Наценка!$A$1:$B$8,2,1)</f>
        <v>1.3</v>
      </c>
      <c r="L153" s="56">
        <f t="shared" si="40"/>
        <v>15017.6</v>
      </c>
      <c r="M153" s="57">
        <f t="shared" si="41"/>
        <v>15090</v>
      </c>
      <c r="N153" s="52">
        <f>VLOOKUP($A153,'Выгр Кат'!$A:$R,N$1,0)</f>
        <v>11552</v>
      </c>
      <c r="O153" s="52">
        <f>VLOOKUP($A153,'Выгр Кат'!$A:$R,O$1,0)</f>
        <v>16190</v>
      </c>
      <c r="P153" s="47">
        <f t="shared" si="42"/>
        <v>0</v>
      </c>
      <c r="Q153" s="47">
        <f t="shared" si="43"/>
        <v>1100</v>
      </c>
      <c r="R153" s="58">
        <f t="shared" si="44"/>
        <v>15090</v>
      </c>
      <c r="S153" s="59">
        <f t="shared" si="45"/>
        <v>0.30626731301939047</v>
      </c>
      <c r="T153" s="59" t="str">
        <f t="shared" si="46"/>
        <v/>
      </c>
      <c r="U153" s="59" t="str">
        <f t="shared" si="47"/>
        <v/>
      </c>
      <c r="V153" s="60"/>
      <c r="W153" s="69">
        <f>IFERROR((VLOOKUP($A153,'Из ГУГЛа'!$B:$Z,W$1,0)+Y153)*X153,VLOOKUP($A153,'Из ГУГЛа'!$B:$Z,W$1,0))</f>
        <v>13990</v>
      </c>
      <c r="X153" s="61">
        <v>1</v>
      </c>
      <c r="Y153" s="61">
        <v>0</v>
      </c>
      <c r="Z153" s="60" t="s">
        <v>4177</v>
      </c>
      <c r="AA153" s="60" t="s">
        <v>4176</v>
      </c>
    </row>
    <row r="154" spans="1:27" ht="45" x14ac:dyDescent="0.25">
      <c r="A154" s="52">
        <v>160897</v>
      </c>
      <c r="B154" s="52">
        <f>VLOOKUP($A154,'Выгр Кат'!$A:$R,B$1,0)</f>
        <v>50172</v>
      </c>
      <c r="C154" s="53" t="str">
        <f>VLOOKUP($A154,'Выгр Кат'!$A:$R,C$1,0)</f>
        <v>Крыло заднее "АвтоВАЗ" левое (катафорез) для Лада Гранта, Гранта FL лифтбек</v>
      </c>
      <c r="D154" s="52" t="str">
        <f>VLOOKUP($A154,'Выгр Кат'!$A:$R,D$1,0)</f>
        <v>Y</v>
      </c>
      <c r="E154" s="52" t="str">
        <f>VLOOKUP($A154,'Выгр Кат'!$A:$R,E$1,0)</f>
        <v>1</v>
      </c>
      <c r="F154" s="52" t="str">
        <f>VLOOKUP($A154,'Выгр Кат'!$A:$R,F$1,0)</f>
        <v>21910840401570</v>
      </c>
      <c r="G154" s="52" t="str">
        <f>IF(VLOOKUP($A154,'Выгр Кат'!$A:$R,G$1,0)=0,"",VLOOKUP($A154,'Выгр Кат'!$A:$R,G$1,0))</f>
        <v/>
      </c>
      <c r="H154" s="52"/>
      <c r="I154" s="52"/>
      <c r="J154" s="54">
        <f t="shared" si="39"/>
        <v>11462</v>
      </c>
      <c r="K154" s="55">
        <f>VLOOKUP(J154,Наценка!$A$1:$B$8,2,1)</f>
        <v>1.3</v>
      </c>
      <c r="L154" s="56">
        <f t="shared" si="40"/>
        <v>14900.6</v>
      </c>
      <c r="M154" s="57">
        <f t="shared" si="41"/>
        <v>14990</v>
      </c>
      <c r="N154" s="52">
        <f>VLOOKUP($A154,'Выгр Кат'!$A:$R,N$1,0)</f>
        <v>11462</v>
      </c>
      <c r="O154" s="52">
        <f>VLOOKUP($A154,'Выгр Кат'!$A:$R,O$1,0)</f>
        <v>16090</v>
      </c>
      <c r="P154" s="47">
        <f t="shared" si="42"/>
        <v>0</v>
      </c>
      <c r="Q154" s="47">
        <f t="shared" si="43"/>
        <v>1100</v>
      </c>
      <c r="R154" s="58">
        <f t="shared" si="44"/>
        <v>14990</v>
      </c>
      <c r="S154" s="59">
        <f t="shared" si="45"/>
        <v>0.30779968591868778</v>
      </c>
      <c r="T154" s="59">
        <f t="shared" si="46"/>
        <v>3.8486209108402822E-2</v>
      </c>
      <c r="U154" s="59">
        <f t="shared" si="47"/>
        <v>0.36014657127900884</v>
      </c>
      <c r="V154" s="42">
        <f t="shared" ref="V154:V161" si="50">Z154</f>
        <v>15590</v>
      </c>
      <c r="W154" s="69">
        <f>IFERROR((VLOOKUP($A154,'Из ГУГЛа'!$B:$Z,W$1,0)+Y154)*X154,VLOOKUP($A154,'Из ГУГЛа'!$B:$Z,W$1,0))</f>
        <v>15590</v>
      </c>
      <c r="X154" s="61">
        <v>1</v>
      </c>
      <c r="Y154" s="61">
        <v>0</v>
      </c>
      <c r="Z154" s="60">
        <v>15590</v>
      </c>
      <c r="AA154" s="60" t="s">
        <v>4178</v>
      </c>
    </row>
    <row r="155" spans="1:27" ht="45" x14ac:dyDescent="0.25">
      <c r="A155" s="52">
        <v>160900</v>
      </c>
      <c r="B155" s="52">
        <f>VLOOKUP($A155,'Выгр Кат'!$A:$R,B$1,0)</f>
        <v>50298</v>
      </c>
      <c r="C155" s="53" t="str">
        <f>VLOOKUP($A155,'Выгр Кат'!$A:$R,C$1,0)</f>
        <v>Крыло заднее "АвтоВАЗ" левое (катафорез) для Лада Калина 2, Гранта FL Кросс</v>
      </c>
      <c r="D155" s="52" t="str">
        <f>VLOOKUP($A155,'Выгр Кат'!$A:$R,D$1,0)</f>
        <v>Y</v>
      </c>
      <c r="E155" s="52" t="str">
        <f>VLOOKUP($A155,'Выгр Кат'!$A:$R,E$1,0)</f>
        <v>1</v>
      </c>
      <c r="F155" s="52" t="str">
        <f>VLOOKUP($A155,'Выгр Кат'!$A:$R,F$1,0)</f>
        <v>21940840401585</v>
      </c>
      <c r="G155" s="52" t="str">
        <f>IF(VLOOKUP($A155,'Выгр Кат'!$A:$R,G$1,0)=0,"",VLOOKUP($A155,'Выгр Кат'!$A:$R,G$1,0))</f>
        <v/>
      </c>
      <c r="H155" s="52"/>
      <c r="I155" s="52"/>
      <c r="J155" s="54">
        <f t="shared" si="39"/>
        <v>14216</v>
      </c>
      <c r="K155" s="55">
        <f>VLOOKUP(J155,Наценка!$A$1:$B$8,2,1)</f>
        <v>1.3</v>
      </c>
      <c r="L155" s="56">
        <f t="shared" si="40"/>
        <v>18480.8</v>
      </c>
      <c r="M155" s="57">
        <f t="shared" si="41"/>
        <v>18490</v>
      </c>
      <c r="N155" s="52">
        <f>VLOOKUP($A155,'Выгр Кат'!$A:$R,N$1,0)</f>
        <v>14216</v>
      </c>
      <c r="O155" s="52">
        <f>VLOOKUP($A155,'Выгр Кат'!$A:$R,O$1,0)</f>
        <v>19990</v>
      </c>
      <c r="P155" s="47">
        <f t="shared" si="42"/>
        <v>0</v>
      </c>
      <c r="Q155" s="47">
        <f t="shared" si="43"/>
        <v>1500</v>
      </c>
      <c r="R155" s="58">
        <f t="shared" si="44"/>
        <v>18490</v>
      </c>
      <c r="S155" s="59">
        <f t="shared" si="45"/>
        <v>0.30064715813168252</v>
      </c>
      <c r="T155" s="59">
        <f t="shared" si="46"/>
        <v>7.5037518759379696E-2</v>
      </c>
      <c r="U155" s="59">
        <f t="shared" si="47"/>
        <v>0.40616207090602141</v>
      </c>
      <c r="V155" s="42">
        <f t="shared" si="50"/>
        <v>19990</v>
      </c>
      <c r="W155" s="69">
        <f>IFERROR((VLOOKUP($A155,'Из ГУГЛа'!$B:$Z,W$1,0)+Y155)*X155,VLOOKUP($A155,'Из ГУГЛа'!$B:$Z,W$1,0))</f>
        <v>19990</v>
      </c>
      <c r="X155" s="61">
        <v>1</v>
      </c>
      <c r="Y155" s="61">
        <v>0</v>
      </c>
      <c r="Z155" s="60">
        <v>19990</v>
      </c>
      <c r="AA155" s="60" t="s">
        <v>4188</v>
      </c>
    </row>
    <row r="156" spans="1:27" ht="45" x14ac:dyDescent="0.25">
      <c r="A156" s="52">
        <v>160899</v>
      </c>
      <c r="B156" s="52">
        <f>VLOOKUP($A156,'Выгр Кат'!$A:$R,B$1,0)</f>
        <v>50293</v>
      </c>
      <c r="C156" s="53" t="str">
        <f>VLOOKUP($A156,'Выгр Кат'!$A:$R,C$1,0)</f>
        <v>Крыло заднее "АвтоВАЗ" левое (катафорез) для Лада Калина 2, Гранта FL универсал</v>
      </c>
      <c r="D156" s="52" t="str">
        <f>VLOOKUP($A156,'Выгр Кат'!$A:$R,D$1,0)</f>
        <v>Y</v>
      </c>
      <c r="E156" s="52" t="str">
        <f>VLOOKUP($A156,'Выгр Кат'!$A:$R,E$1,0)</f>
        <v>1</v>
      </c>
      <c r="F156" s="52" t="str">
        <f>VLOOKUP($A156,'Выгр Кат'!$A:$R,F$1,0)</f>
        <v>21940840401570</v>
      </c>
      <c r="G156" s="52" t="str">
        <f>IF(VLOOKUP($A156,'Выгр Кат'!$A:$R,G$1,0)=0,"",VLOOKUP($A156,'Выгр Кат'!$A:$R,G$1,0))</f>
        <v/>
      </c>
      <c r="H156" s="52"/>
      <c r="I156" s="52"/>
      <c r="J156" s="54">
        <f t="shared" si="39"/>
        <v>14270</v>
      </c>
      <c r="K156" s="55">
        <f>VLOOKUP(J156,Наценка!$A$1:$B$8,2,1)</f>
        <v>1.3</v>
      </c>
      <c r="L156" s="56">
        <f t="shared" si="40"/>
        <v>18551</v>
      </c>
      <c r="M156" s="57">
        <f t="shared" si="41"/>
        <v>18590</v>
      </c>
      <c r="N156" s="52">
        <f>VLOOKUP($A156,'Выгр Кат'!$A:$R,N$1,0)</f>
        <v>14270</v>
      </c>
      <c r="O156" s="52">
        <f>VLOOKUP($A156,'Выгр Кат'!$A:$R,O$1,0)</f>
        <v>19990</v>
      </c>
      <c r="P156" s="47">
        <f t="shared" si="42"/>
        <v>0</v>
      </c>
      <c r="Q156" s="47">
        <f t="shared" si="43"/>
        <v>1400</v>
      </c>
      <c r="R156" s="58">
        <f t="shared" si="44"/>
        <v>18590</v>
      </c>
      <c r="S156" s="59">
        <f t="shared" si="45"/>
        <v>0.30273300630693756</v>
      </c>
      <c r="T156" s="59">
        <f t="shared" si="46"/>
        <v>5.1046452271567129E-2</v>
      </c>
      <c r="U156" s="59">
        <f t="shared" si="47"/>
        <v>0.37281009110021013</v>
      </c>
      <c r="V156" s="42">
        <f t="shared" si="50"/>
        <v>19590</v>
      </c>
      <c r="W156" s="69">
        <f>IFERROR((VLOOKUP($A156,'Из ГУГЛа'!$B:$Z,W$1,0)+Y156)*X156,VLOOKUP($A156,'Из ГУГЛа'!$B:$Z,W$1,0))</f>
        <v>19590</v>
      </c>
      <c r="X156" s="61">
        <v>1</v>
      </c>
      <c r="Y156" s="61">
        <v>0</v>
      </c>
      <c r="Z156" s="60">
        <v>19590</v>
      </c>
      <c r="AA156" s="60" t="s">
        <v>4183</v>
      </c>
    </row>
    <row r="157" spans="1:27" ht="30" x14ac:dyDescent="0.25">
      <c r="A157" s="52">
        <v>160901</v>
      </c>
      <c r="B157" s="52">
        <f>VLOOKUP($A157,'Выгр Кат'!$A:$R,B$1,0)</f>
        <v>45481</v>
      </c>
      <c r="C157" s="53" t="str">
        <f>VLOOKUP($A157,'Выгр Кат'!$A:$R,C$1,0)</f>
        <v>Крыло заднее "АвтоВАЗ" левое (катафорез) для Лада Калина седан</v>
      </c>
      <c r="D157" s="52" t="str">
        <f>VLOOKUP($A157,'Выгр Кат'!$A:$R,D$1,0)</f>
        <v>Y</v>
      </c>
      <c r="E157" s="52" t="str">
        <f>VLOOKUP($A157,'Выгр Кат'!$A:$R,E$1,0)</f>
        <v>1</v>
      </c>
      <c r="F157" s="52" t="str">
        <f>VLOOKUP($A157,'Выгр Кат'!$A:$R,F$1,0)</f>
        <v>11180840401570</v>
      </c>
      <c r="G157" s="52" t="str">
        <f>IF(VLOOKUP($A157,'Выгр Кат'!$A:$R,G$1,0)=0,"",VLOOKUP($A157,'Выгр Кат'!$A:$R,G$1,0))</f>
        <v/>
      </c>
      <c r="H157" s="52"/>
      <c r="I157" s="52"/>
      <c r="J157" s="54">
        <f t="shared" si="39"/>
        <v>10260</v>
      </c>
      <c r="K157" s="55">
        <f>VLOOKUP(J157,Наценка!$A$1:$B$8,2,1)</f>
        <v>1.3</v>
      </c>
      <c r="L157" s="56">
        <f t="shared" si="40"/>
        <v>13338</v>
      </c>
      <c r="M157" s="57">
        <f t="shared" si="41"/>
        <v>13390</v>
      </c>
      <c r="N157" s="52">
        <f>VLOOKUP($A157,'Выгр Кат'!$A:$R,N$1,0)</f>
        <v>10260</v>
      </c>
      <c r="O157" s="52">
        <f>VLOOKUP($A157,'Выгр Кат'!$A:$R,O$1,0)</f>
        <v>14390</v>
      </c>
      <c r="P157" s="47">
        <f t="shared" si="42"/>
        <v>0</v>
      </c>
      <c r="Q157" s="47">
        <f t="shared" si="43"/>
        <v>1000</v>
      </c>
      <c r="R157" s="58">
        <f t="shared" si="44"/>
        <v>13390</v>
      </c>
      <c r="S157" s="59">
        <f t="shared" si="45"/>
        <v>0.30506822612085771</v>
      </c>
      <c r="T157" s="59">
        <f t="shared" si="46"/>
        <v>4.2887776983559688E-2</v>
      </c>
      <c r="U157" s="59">
        <f t="shared" si="47"/>
        <v>0.36354775828460029</v>
      </c>
      <c r="V157" s="42">
        <f t="shared" si="50"/>
        <v>13990</v>
      </c>
      <c r="W157" s="69">
        <f>IFERROR((VLOOKUP($A157,'Из ГУГЛа'!$B:$Z,W$1,0)+Y157)*X157,VLOOKUP($A157,'Из ГУГЛа'!$B:$Z,W$1,0))</f>
        <v>13990</v>
      </c>
      <c r="X157" s="61">
        <v>1</v>
      </c>
      <c r="Y157" s="61">
        <v>0</v>
      </c>
      <c r="Z157" s="60">
        <v>13990</v>
      </c>
      <c r="AA157" s="60" t="s">
        <v>4180</v>
      </c>
    </row>
    <row r="158" spans="1:27" ht="45" x14ac:dyDescent="0.25">
      <c r="A158" s="52">
        <v>160902</v>
      </c>
      <c r="B158" s="52">
        <f>VLOOKUP($A158,'Выгр Кат'!$A:$R,B$1,0)</f>
        <v>44761</v>
      </c>
      <c r="C158" s="53" t="str">
        <f>VLOOKUP($A158,'Выгр Кат'!$A:$R,C$1,0)</f>
        <v>Крыло заднее "АвтоВАЗ" левое (катафорез) для Лада Калина универсал</v>
      </c>
      <c r="D158" s="52" t="str">
        <f>VLOOKUP($A158,'Выгр Кат'!$A:$R,D$1,0)</f>
        <v>Y</v>
      </c>
      <c r="E158" s="52" t="str">
        <f>VLOOKUP($A158,'Выгр Кат'!$A:$R,E$1,0)</f>
        <v>1</v>
      </c>
      <c r="F158" s="52" t="str">
        <f>VLOOKUP($A158,'Выгр Кат'!$A:$R,F$1,0)</f>
        <v>11170840401570</v>
      </c>
      <c r="G158" s="52" t="str">
        <f>IF(VLOOKUP($A158,'Выгр Кат'!$A:$R,G$1,0)=0,"",VLOOKUP($A158,'Выгр Кат'!$A:$R,G$1,0))</f>
        <v/>
      </c>
      <c r="H158" s="52"/>
      <c r="I158" s="52"/>
      <c r="J158" s="54">
        <f t="shared" si="39"/>
        <v>9708</v>
      </c>
      <c r="K158" s="55">
        <f>VLOOKUP(J158,Наценка!$A$1:$B$8,2,1)</f>
        <v>1.35</v>
      </c>
      <c r="L158" s="56">
        <f t="shared" si="40"/>
        <v>13105.800000000001</v>
      </c>
      <c r="M158" s="57">
        <f t="shared" si="41"/>
        <v>13190</v>
      </c>
      <c r="N158" s="52">
        <f>VLOOKUP($A158,'Выгр Кат'!$A:$R,N$1,0)</f>
        <v>9708</v>
      </c>
      <c r="O158" s="52">
        <f>VLOOKUP($A158,'Выгр Кат'!$A:$R,O$1,0)</f>
        <v>13590</v>
      </c>
      <c r="P158" s="47">
        <f t="shared" si="42"/>
        <v>0</v>
      </c>
      <c r="Q158" s="47">
        <f t="shared" si="43"/>
        <v>400</v>
      </c>
      <c r="R158" s="58">
        <f t="shared" si="44"/>
        <v>13190</v>
      </c>
      <c r="S158" s="59">
        <f t="shared" si="45"/>
        <v>0.35867325916769666</v>
      </c>
      <c r="T158" s="59">
        <f t="shared" si="46"/>
        <v>-1.5396458814472672E-2</v>
      </c>
      <c r="U158" s="59">
        <f t="shared" si="47"/>
        <v>0.33807169344870203</v>
      </c>
      <c r="V158" s="42">
        <f t="shared" si="50"/>
        <v>12990</v>
      </c>
      <c r="W158" s="69">
        <f>IFERROR((VLOOKUP($A158,'Из ГУГЛа'!$B:$Z,W$1,0)+Y158)*X158,VLOOKUP($A158,'Из ГУГЛа'!$B:$Z,W$1,0))</f>
        <v>12990</v>
      </c>
      <c r="X158" s="61">
        <v>1</v>
      </c>
      <c r="Y158" s="61">
        <v>0</v>
      </c>
      <c r="Z158" s="60">
        <v>12990</v>
      </c>
      <c r="AA158" s="60" t="s">
        <v>4194</v>
      </c>
    </row>
    <row r="159" spans="1:27" ht="30" x14ac:dyDescent="0.25">
      <c r="A159" s="52">
        <v>160898</v>
      </c>
      <c r="B159" s="52">
        <f>VLOOKUP($A159,'Выгр Кат'!$A:$R,B$1,0)</f>
        <v>45491</v>
      </c>
      <c r="C159" s="53" t="str">
        <f>VLOOKUP($A159,'Выгр Кат'!$A:$R,C$1,0)</f>
        <v>Крыло заднее "АвтоВАЗ" левое (катафорез) для Лада Калина хэтчбек</v>
      </c>
      <c r="D159" s="52" t="str">
        <f>VLOOKUP($A159,'Выгр Кат'!$A:$R,D$1,0)</f>
        <v>Y</v>
      </c>
      <c r="E159" s="52" t="str">
        <f>VLOOKUP($A159,'Выгр Кат'!$A:$R,E$1,0)</f>
        <v>1</v>
      </c>
      <c r="F159" s="52" t="str">
        <f>VLOOKUP($A159,'Выгр Кат'!$A:$R,F$1,0)</f>
        <v>11190840401570</v>
      </c>
      <c r="G159" s="52" t="str">
        <f>IF(VLOOKUP($A159,'Выгр Кат'!$A:$R,G$1,0)=0,"",VLOOKUP($A159,'Выгр Кат'!$A:$R,G$1,0))</f>
        <v/>
      </c>
      <c r="H159" s="52"/>
      <c r="I159" s="52"/>
      <c r="J159" s="54">
        <f t="shared" si="39"/>
        <v>10513</v>
      </c>
      <c r="K159" s="55">
        <f>VLOOKUP(J159,Наценка!$A$1:$B$8,2,1)</f>
        <v>1.3</v>
      </c>
      <c r="L159" s="56">
        <f t="shared" si="40"/>
        <v>13666.9</v>
      </c>
      <c r="M159" s="57">
        <f t="shared" si="41"/>
        <v>13690</v>
      </c>
      <c r="N159" s="52">
        <f>VLOOKUP($A159,'Выгр Кат'!$A:$R,N$1,0)</f>
        <v>10513</v>
      </c>
      <c r="O159" s="52">
        <f>VLOOKUP($A159,'Выгр Кат'!$A:$R,O$1,0)</f>
        <v>14790</v>
      </c>
      <c r="P159" s="47">
        <f t="shared" si="42"/>
        <v>0</v>
      </c>
      <c r="Q159" s="47">
        <f t="shared" si="43"/>
        <v>1100</v>
      </c>
      <c r="R159" s="58">
        <f t="shared" si="44"/>
        <v>13690</v>
      </c>
      <c r="S159" s="59">
        <f t="shared" si="45"/>
        <v>0.30219727955864162</v>
      </c>
      <c r="T159" s="59">
        <f t="shared" si="46"/>
        <v>4.8644892286309936E-2</v>
      </c>
      <c r="U159" s="59">
        <f t="shared" si="47"/>
        <v>0.36878150860838965</v>
      </c>
      <c r="V159" s="42">
        <f t="shared" si="50"/>
        <v>14390</v>
      </c>
      <c r="W159" s="69">
        <f>IFERROR((VLOOKUP($A159,'Из ГУГЛа'!$B:$Z,W$1,0)+Y159)*X159,VLOOKUP($A159,'Из ГУГЛа'!$B:$Z,W$1,0))</f>
        <v>14390</v>
      </c>
      <c r="X159" s="61">
        <v>1</v>
      </c>
      <c r="Y159" s="61">
        <v>0</v>
      </c>
      <c r="Z159" s="60">
        <v>14390</v>
      </c>
      <c r="AA159" s="60" t="s">
        <v>4179</v>
      </c>
    </row>
    <row r="160" spans="1:27" ht="30" x14ac:dyDescent="0.25">
      <c r="A160" s="52">
        <v>160903</v>
      </c>
      <c r="B160" s="52">
        <f>VLOOKUP($A160,'Выгр Кат'!$A:$R,B$1,0)</f>
        <v>48351</v>
      </c>
      <c r="C160" s="53" t="str">
        <f>VLOOKUP($A160,'Выгр Кат'!$A:$R,C$1,0)</f>
        <v>Крыло заднее "АвтоВАЗ" левое (катафорез) для Лада Приора седан</v>
      </c>
      <c r="D160" s="52" t="str">
        <f>VLOOKUP($A160,'Выгр Кат'!$A:$R,D$1,0)</f>
        <v>Y</v>
      </c>
      <c r="E160" s="52" t="str">
        <f>VLOOKUP($A160,'Выгр Кат'!$A:$R,E$1,0)</f>
        <v>1</v>
      </c>
      <c r="F160" s="52" t="str">
        <f>VLOOKUP($A160,'Выгр Кат'!$A:$R,F$1,0)</f>
        <v>21700840401510</v>
      </c>
      <c r="G160" s="52" t="str">
        <f>IF(VLOOKUP($A160,'Выгр Кат'!$A:$R,G$1,0)=0,"",VLOOKUP($A160,'Выгр Кат'!$A:$R,G$1,0))</f>
        <v/>
      </c>
      <c r="H160" s="52"/>
      <c r="I160" s="52"/>
      <c r="J160" s="54">
        <f t="shared" si="39"/>
        <v>12001</v>
      </c>
      <c r="K160" s="55">
        <f>VLOOKUP(J160,Наценка!$A$1:$B$8,2,1)</f>
        <v>1.3</v>
      </c>
      <c r="L160" s="56">
        <f t="shared" si="40"/>
        <v>15601.300000000001</v>
      </c>
      <c r="M160" s="57">
        <f t="shared" si="41"/>
        <v>15690</v>
      </c>
      <c r="N160" s="52">
        <f>VLOOKUP($A160,'Выгр Кат'!$A:$R,N$1,0)</f>
        <v>12001</v>
      </c>
      <c r="O160" s="52">
        <f>VLOOKUP($A160,'Выгр Кат'!$A:$R,O$1,0)</f>
        <v>16890</v>
      </c>
      <c r="P160" s="47">
        <f t="shared" si="42"/>
        <v>0</v>
      </c>
      <c r="Q160" s="47">
        <f t="shared" si="43"/>
        <v>1200</v>
      </c>
      <c r="R160" s="58">
        <f t="shared" si="44"/>
        <v>15690</v>
      </c>
      <c r="S160" s="59">
        <f t="shared" si="45"/>
        <v>0.30739105074577111</v>
      </c>
      <c r="T160" s="59">
        <f t="shared" si="46"/>
        <v>-5.3727333781061114E-2</v>
      </c>
      <c r="U160" s="59">
        <f t="shared" si="47"/>
        <v>0.24072993917173569</v>
      </c>
      <c r="V160" s="42">
        <f t="shared" si="50"/>
        <v>14890</v>
      </c>
      <c r="W160" s="69">
        <f>IFERROR((VLOOKUP($A160,'Из ГУГЛа'!$B:$Z,W$1,0)+Y160)*X160,VLOOKUP($A160,'Из ГУГЛа'!$B:$Z,W$1,0))</f>
        <v>14890</v>
      </c>
      <c r="X160" s="61">
        <v>1</v>
      </c>
      <c r="Y160" s="61">
        <v>0</v>
      </c>
      <c r="Z160" s="60">
        <v>14890</v>
      </c>
      <c r="AA160" s="60" t="s">
        <v>4202</v>
      </c>
    </row>
    <row r="161" spans="1:27" ht="30" x14ac:dyDescent="0.25">
      <c r="A161" s="52">
        <v>160904</v>
      </c>
      <c r="B161" s="52">
        <f>VLOOKUP($A161,'Выгр Кат'!$A:$R,B$1,0)</f>
        <v>48098</v>
      </c>
      <c r="C161" s="53" t="str">
        <f>VLOOKUP($A161,'Выгр Кат'!$A:$R,C$1,0)</f>
        <v>Крыло заднее "АвтоВАЗ" левое (катафорез) для Шевроле Нива</v>
      </c>
      <c r="D161" s="52" t="str">
        <f>VLOOKUP($A161,'Выгр Кат'!$A:$R,D$1,0)</f>
        <v>Y</v>
      </c>
      <c r="E161" s="52" t="str">
        <f>VLOOKUP($A161,'Выгр Кат'!$A:$R,E$1,0)</f>
        <v>1</v>
      </c>
      <c r="F161" s="52" t="str">
        <f>VLOOKUP($A161,'Выгр Кат'!$A:$R,F$1,0)</f>
        <v>21230840401171</v>
      </c>
      <c r="G161" s="52" t="str">
        <f>IF(VLOOKUP($A161,'Выгр Кат'!$A:$R,G$1,0)=0,"",VLOOKUP($A161,'Выгр Кат'!$A:$R,G$1,0))</f>
        <v/>
      </c>
      <c r="H161" s="52"/>
      <c r="I161" s="52"/>
      <c r="J161" s="54">
        <f t="shared" si="39"/>
        <v>13646</v>
      </c>
      <c r="K161" s="55">
        <f>VLOOKUP(J161,Наценка!$A$1:$B$8,2,1)</f>
        <v>1.3</v>
      </c>
      <c r="L161" s="56">
        <f t="shared" si="40"/>
        <v>17739.8</v>
      </c>
      <c r="M161" s="57">
        <f t="shared" si="41"/>
        <v>17790</v>
      </c>
      <c r="N161" s="52">
        <f>VLOOKUP($A161,'Выгр Кат'!$A:$R,N$1,0)</f>
        <v>13646</v>
      </c>
      <c r="O161" s="52">
        <f>VLOOKUP($A161,'Выгр Кат'!$A:$R,O$1,0)</f>
        <v>17790</v>
      </c>
      <c r="P161" s="47">
        <f t="shared" si="42"/>
        <v>0</v>
      </c>
      <c r="Q161" s="47">
        <f t="shared" si="43"/>
        <v>0</v>
      </c>
      <c r="R161" s="58">
        <f t="shared" si="44"/>
        <v>17790</v>
      </c>
      <c r="S161" s="59">
        <f t="shared" si="45"/>
        <v>0.30367873369485565</v>
      </c>
      <c r="T161" s="59">
        <f t="shared" si="46"/>
        <v>5.3219797764768491E-2</v>
      </c>
      <c r="U161" s="59">
        <f t="shared" si="47"/>
        <v>0.37696028140114324</v>
      </c>
      <c r="V161" s="42">
        <f t="shared" si="50"/>
        <v>18790</v>
      </c>
      <c r="W161" s="69">
        <f>IFERROR((VLOOKUP($A161,'Из ГУГЛа'!$B:$Z,W$1,0)+Y161)*X161,VLOOKUP($A161,'Из ГУГЛа'!$B:$Z,W$1,0))</f>
        <v>18790</v>
      </c>
      <c r="X161" s="61">
        <v>1</v>
      </c>
      <c r="Y161" s="61">
        <v>0</v>
      </c>
      <c r="Z161" s="60">
        <v>18790</v>
      </c>
      <c r="AA161" s="60" t="s">
        <v>4173</v>
      </c>
    </row>
    <row r="162" spans="1:27" ht="30" x14ac:dyDescent="0.25">
      <c r="A162" s="52">
        <v>160905</v>
      </c>
      <c r="B162" s="52">
        <f>VLOOKUP($A162,'Выгр Кат'!$A:$R,B$1,0)</f>
        <v>48532</v>
      </c>
      <c r="C162" s="53" t="str">
        <f>VLOOKUP($A162,'Выгр Кат'!$A:$R,C$1,0)</f>
        <v>Крыло заднее "АвтоВАЗ" левое для Лада Приора купе</v>
      </c>
      <c r="D162" s="52" t="str">
        <f>VLOOKUP($A162,'Выгр Кат'!$A:$R,D$1,0)</f>
        <v>Y</v>
      </c>
      <c r="E162" s="52" t="str">
        <f>VLOOKUP($A162,'Выгр Кат'!$A:$R,E$1,0)</f>
        <v>0</v>
      </c>
      <c r="F162" s="52" t="str">
        <f>VLOOKUP($A162,'Выгр Кат'!$A:$R,F$1,0)</f>
        <v>21728840401500</v>
      </c>
      <c r="G162" s="52" t="str">
        <f>IF(VLOOKUP($A162,'Выгр Кат'!$A:$R,G$1,0)=0,"",VLOOKUP($A162,'Выгр Кат'!$A:$R,G$1,0))</f>
        <v/>
      </c>
      <c r="H162" s="52"/>
      <c r="I162" s="52"/>
      <c r="J162" s="54">
        <f t="shared" si="39"/>
        <v>4350</v>
      </c>
      <c r="K162" s="55">
        <f>VLOOKUP(J162,Наценка!$A$1:$B$8,2,1)</f>
        <v>1.4</v>
      </c>
      <c r="L162" s="56">
        <f t="shared" si="40"/>
        <v>6090</v>
      </c>
      <c r="M162" s="57">
        <f t="shared" si="41"/>
        <v>6090</v>
      </c>
      <c r="N162" s="52">
        <f>VLOOKUP($A162,'Выгр Кат'!$A:$R,N$1,0)</f>
        <v>4350</v>
      </c>
      <c r="O162" s="52">
        <f>VLOOKUP($A162,'Выгр Кат'!$A:$R,O$1,0)</f>
        <v>6090</v>
      </c>
      <c r="P162" s="47">
        <f t="shared" si="42"/>
        <v>0</v>
      </c>
      <c r="Q162" s="47">
        <f t="shared" si="43"/>
        <v>0</v>
      </c>
      <c r="R162" s="58">
        <f t="shared" si="44"/>
        <v>6090</v>
      </c>
      <c r="S162" s="59">
        <f t="shared" si="45"/>
        <v>0.39999999999999991</v>
      </c>
      <c r="T162" s="59" t="str">
        <f t="shared" si="46"/>
        <v/>
      </c>
      <c r="U162" s="59" t="str">
        <f t="shared" si="47"/>
        <v/>
      </c>
      <c r="V162" s="60"/>
      <c r="W162" s="69">
        <f>IFERROR((VLOOKUP($A162,'Из ГУГЛа'!$B:$Z,W$1,0)+Y162)*X162,VLOOKUP($A162,'Из ГУГЛа'!$B:$Z,W$1,0))</f>
        <v>16590</v>
      </c>
      <c r="X162" s="61">
        <v>1</v>
      </c>
      <c r="Y162" s="61">
        <v>0</v>
      </c>
      <c r="Z162" s="60" t="s">
        <v>4198</v>
      </c>
      <c r="AA162" s="60" t="s">
        <v>4197</v>
      </c>
    </row>
    <row r="163" spans="1:27" ht="45" x14ac:dyDescent="0.25">
      <c r="A163" s="52">
        <v>160906</v>
      </c>
      <c r="B163" s="52">
        <f>VLOOKUP($A163,'Выгр Кат'!$A:$R,B$1,0)</f>
        <v>48121</v>
      </c>
      <c r="C163" s="53" t="str">
        <f>VLOOKUP($A163,'Выгр Кат'!$A:$R,C$1,0)</f>
        <v>Крыло заднее "АвтоВАЗ" левое с отверстиями под молдинг (катафорез) для Шевроле Нива</v>
      </c>
      <c r="D163" s="52" t="str">
        <f>VLOOKUP($A163,'Выгр Кат'!$A:$R,D$1,0)</f>
        <v>Y</v>
      </c>
      <c r="E163" s="52" t="str">
        <f>VLOOKUP($A163,'Выгр Кат'!$A:$R,E$1,0)</f>
        <v>1</v>
      </c>
      <c r="F163" s="52" t="str">
        <f>VLOOKUP($A163,'Выгр Кат'!$A:$R,F$1,0)</f>
        <v>21230840401175</v>
      </c>
      <c r="G163" s="52" t="str">
        <f>IF(VLOOKUP($A163,'Выгр Кат'!$A:$R,G$1,0)=0,"",VLOOKUP($A163,'Выгр Кат'!$A:$R,G$1,0))</f>
        <v/>
      </c>
      <c r="H163" s="52"/>
      <c r="I163" s="52"/>
      <c r="J163" s="54">
        <f t="shared" si="39"/>
        <v>11619</v>
      </c>
      <c r="K163" s="55">
        <f>VLOOKUP(J163,Наценка!$A$1:$B$8,2,1)</f>
        <v>1.3</v>
      </c>
      <c r="L163" s="56">
        <f t="shared" si="40"/>
        <v>15104.7</v>
      </c>
      <c r="M163" s="57">
        <f t="shared" si="41"/>
        <v>15190</v>
      </c>
      <c r="N163" s="52">
        <f>VLOOKUP($A163,'Выгр Кат'!$A:$R,N$1,0)</f>
        <v>11619</v>
      </c>
      <c r="O163" s="52">
        <f>VLOOKUP($A163,'Выгр Кат'!$A:$R,O$1,0)</f>
        <v>16290</v>
      </c>
      <c r="P163" s="47">
        <f t="shared" si="42"/>
        <v>0</v>
      </c>
      <c r="Q163" s="47">
        <f t="shared" si="43"/>
        <v>1100</v>
      </c>
      <c r="R163" s="58">
        <f t="shared" si="44"/>
        <v>15190</v>
      </c>
      <c r="S163" s="59">
        <f t="shared" si="45"/>
        <v>0.30734142353042437</v>
      </c>
      <c r="T163" s="59">
        <f t="shared" si="46"/>
        <v>1.9367333763718526E-2</v>
      </c>
      <c r="U163" s="59">
        <f t="shared" si="47"/>
        <v>0.33316120148033401</v>
      </c>
      <c r="V163" s="42">
        <f t="shared" ref="V163:V176" si="51">Z163</f>
        <v>15490</v>
      </c>
      <c r="W163" s="69">
        <f>IFERROR((VLOOKUP($A163,'Из ГУГЛа'!$B:$Z,W$1,0)+Y163)*X163,VLOOKUP($A163,'Из ГУГЛа'!$B:$Z,W$1,0))</f>
        <v>15490</v>
      </c>
      <c r="X163" s="61">
        <v>1</v>
      </c>
      <c r="Y163" s="61">
        <v>0</v>
      </c>
      <c r="Z163" s="60">
        <v>15490</v>
      </c>
      <c r="AA163" s="60" t="s">
        <v>4199</v>
      </c>
    </row>
    <row r="164" spans="1:27" ht="30" x14ac:dyDescent="0.25">
      <c r="A164" s="52">
        <v>160907</v>
      </c>
      <c r="B164" s="52">
        <f>VLOOKUP($A164,'Выгр Кат'!$A:$R,B$1,0)</f>
        <v>45759</v>
      </c>
      <c r="C164" s="53" t="str">
        <f>VLOOKUP($A164,'Выгр Кат'!$A:$R,C$1,0)</f>
        <v>Крыло заднее "АвтоВАЗ" правое (катафорез) для ВАЗ 2112</v>
      </c>
      <c r="D164" s="52" t="str">
        <f>VLOOKUP($A164,'Выгр Кат'!$A:$R,D$1,0)</f>
        <v>Y</v>
      </c>
      <c r="E164" s="52" t="str">
        <f>VLOOKUP($A164,'Выгр Кат'!$A:$R,E$1,0)</f>
        <v>1</v>
      </c>
      <c r="F164" s="52" t="str">
        <f>VLOOKUP($A164,'Выгр Кат'!$A:$R,F$1,0)</f>
        <v>21120840401410</v>
      </c>
      <c r="G164" s="52" t="str">
        <f>IF(VLOOKUP($A164,'Выгр Кат'!$A:$R,G$1,0)=0,"",VLOOKUP($A164,'Выгр Кат'!$A:$R,G$1,0))</f>
        <v/>
      </c>
      <c r="H164" s="52"/>
      <c r="I164" s="52"/>
      <c r="J164" s="54">
        <f t="shared" si="39"/>
        <v>10328</v>
      </c>
      <c r="K164" s="55">
        <f>VLOOKUP(J164,Наценка!$A$1:$B$8,2,1)</f>
        <v>1.3</v>
      </c>
      <c r="L164" s="56">
        <f t="shared" si="40"/>
        <v>13426.4</v>
      </c>
      <c r="M164" s="57">
        <f t="shared" si="41"/>
        <v>13490</v>
      </c>
      <c r="N164" s="52">
        <f>VLOOKUP($A164,'Выгр Кат'!$A:$R,N$1,0)</f>
        <v>10328</v>
      </c>
      <c r="O164" s="52">
        <f>VLOOKUP($A164,'Выгр Кат'!$A:$R,O$1,0)</f>
        <v>14490</v>
      </c>
      <c r="P164" s="47">
        <f t="shared" si="42"/>
        <v>0</v>
      </c>
      <c r="Q164" s="47">
        <f t="shared" si="43"/>
        <v>1000</v>
      </c>
      <c r="R164" s="58">
        <f t="shared" si="44"/>
        <v>13490</v>
      </c>
      <c r="S164" s="59">
        <f t="shared" si="45"/>
        <v>0.30615801704105339</v>
      </c>
      <c r="T164" s="59">
        <f t="shared" si="46"/>
        <v>7.5394105551747775E-2</v>
      </c>
      <c r="U164" s="59">
        <f t="shared" si="47"/>
        <v>0.41266460108443059</v>
      </c>
      <c r="V164" s="42">
        <f t="shared" si="51"/>
        <v>14590</v>
      </c>
      <c r="W164" s="69">
        <f>IFERROR((VLOOKUP($A164,'Из ГУГЛа'!$B:$Z,W$1,0)+Y164)*X164,VLOOKUP($A164,'Из ГУГЛа'!$B:$Z,W$1,0))</f>
        <v>14590</v>
      </c>
      <c r="X164" s="61">
        <v>1</v>
      </c>
      <c r="Y164" s="61">
        <v>0</v>
      </c>
      <c r="Z164" s="60">
        <v>14590</v>
      </c>
      <c r="AA164" s="60" t="s">
        <v>4182</v>
      </c>
    </row>
    <row r="165" spans="1:27" ht="30" x14ac:dyDescent="0.25">
      <c r="A165" s="52">
        <v>160908</v>
      </c>
      <c r="B165" s="52">
        <f>VLOOKUP($A165,'Выгр Кат'!$A:$R,B$1,0)</f>
        <v>45775</v>
      </c>
      <c r="C165" s="53" t="str">
        <f>VLOOKUP($A165,'Выгр Кат'!$A:$R,C$1,0)</f>
        <v>Крыло заднее "АвтоВАЗ" правое (катафорез) для ВАЗ 2115</v>
      </c>
      <c r="D165" s="52" t="str">
        <f>VLOOKUP($A165,'Выгр Кат'!$A:$R,D$1,0)</f>
        <v>Y</v>
      </c>
      <c r="E165" s="52" t="str">
        <f>VLOOKUP($A165,'Выгр Кат'!$A:$R,E$1,0)</f>
        <v>1</v>
      </c>
      <c r="F165" s="52" t="str">
        <f>VLOOKUP($A165,'Выгр Кат'!$A:$R,F$1,0)</f>
        <v>21150840401410</v>
      </c>
      <c r="G165" s="52" t="str">
        <f>IF(VLOOKUP($A165,'Выгр Кат'!$A:$R,G$1,0)=0,"",VLOOKUP($A165,'Выгр Кат'!$A:$R,G$1,0))</f>
        <v/>
      </c>
      <c r="H165" s="52"/>
      <c r="I165" s="52"/>
      <c r="J165" s="54">
        <f t="shared" si="39"/>
        <v>4125</v>
      </c>
      <c r="K165" s="55">
        <f>VLOOKUP(J165,Наценка!$A$1:$B$8,2,1)</f>
        <v>1.4</v>
      </c>
      <c r="L165" s="56">
        <f t="shared" si="40"/>
        <v>5775</v>
      </c>
      <c r="M165" s="57">
        <f t="shared" si="41"/>
        <v>5790</v>
      </c>
      <c r="N165" s="52">
        <f>VLOOKUP($A165,'Выгр Кат'!$A:$R,N$1,0)</f>
        <v>4125</v>
      </c>
      <c r="O165" s="52">
        <f>VLOOKUP($A165,'Выгр Кат'!$A:$R,O$1,0)</f>
        <v>5790</v>
      </c>
      <c r="P165" s="47">
        <f t="shared" si="42"/>
        <v>0</v>
      </c>
      <c r="Q165" s="47">
        <f t="shared" si="43"/>
        <v>0</v>
      </c>
      <c r="R165" s="58">
        <f t="shared" si="44"/>
        <v>5790</v>
      </c>
      <c r="S165" s="59">
        <f t="shared" si="45"/>
        <v>0.40363636363636357</v>
      </c>
      <c r="T165" s="59">
        <f t="shared" si="46"/>
        <v>3.3388981636060099E-2</v>
      </c>
      <c r="U165" s="59">
        <f t="shared" si="47"/>
        <v>0.45212121212121215</v>
      </c>
      <c r="V165" s="42">
        <f t="shared" si="51"/>
        <v>5990</v>
      </c>
      <c r="W165" s="69">
        <f>IFERROR((VLOOKUP($A165,'Из ГУГЛа'!$B:$Z,W$1,0)+Y165)*X165,VLOOKUP($A165,'Из ГУГЛа'!$B:$Z,W$1,0))</f>
        <v>5990</v>
      </c>
      <c r="X165" s="61">
        <v>1</v>
      </c>
      <c r="Y165" s="61">
        <v>0</v>
      </c>
      <c r="Z165" s="60">
        <v>5990</v>
      </c>
      <c r="AA165" s="60" t="s">
        <v>4181</v>
      </c>
    </row>
    <row r="166" spans="1:27" ht="30" x14ac:dyDescent="0.25">
      <c r="A166" s="52">
        <v>160909</v>
      </c>
      <c r="B166" s="52">
        <f>VLOOKUP($A166,'Выгр Кат'!$A:$R,B$1,0)</f>
        <v>48542</v>
      </c>
      <c r="C166" s="53" t="str">
        <f>VLOOKUP($A166,'Выгр Кат'!$A:$R,C$1,0)</f>
        <v>Крыло заднее "АвтоВАЗ" правое (катафорез) для Лада Гранта, Гранта FL</v>
      </c>
      <c r="D166" s="52" t="str">
        <f>VLOOKUP($A166,'Выгр Кат'!$A:$R,D$1,0)</f>
        <v>Y</v>
      </c>
      <c r="E166" s="52" t="str">
        <f>VLOOKUP($A166,'Выгр Кат'!$A:$R,E$1,0)</f>
        <v>1</v>
      </c>
      <c r="F166" s="52" t="str">
        <f>VLOOKUP($A166,'Выгр Кат'!$A:$R,F$1,0)</f>
        <v>21900840401070</v>
      </c>
      <c r="G166" s="52" t="str">
        <f>IF(VLOOKUP($A166,'Выгр Кат'!$A:$R,G$1,0)=0,"",VLOOKUP($A166,'Выгр Кат'!$A:$R,G$1,0))</f>
        <v/>
      </c>
      <c r="H166" s="52"/>
      <c r="I166" s="52"/>
      <c r="J166" s="54">
        <f t="shared" si="39"/>
        <v>11906</v>
      </c>
      <c r="K166" s="55">
        <f>VLOOKUP(J166,Наценка!$A$1:$B$8,2,1)</f>
        <v>1.3</v>
      </c>
      <c r="L166" s="56">
        <f t="shared" si="40"/>
        <v>15477.800000000001</v>
      </c>
      <c r="M166" s="57">
        <f t="shared" si="41"/>
        <v>15490</v>
      </c>
      <c r="N166" s="52">
        <f>VLOOKUP($A166,'Выгр Кат'!$A:$R,N$1,0)</f>
        <v>11906</v>
      </c>
      <c r="O166" s="52">
        <f>VLOOKUP($A166,'Выгр Кат'!$A:$R,O$1,0)</f>
        <v>16690</v>
      </c>
      <c r="P166" s="47">
        <f t="shared" si="42"/>
        <v>0</v>
      </c>
      <c r="Q166" s="47">
        <f t="shared" si="43"/>
        <v>1200</v>
      </c>
      <c r="R166" s="58">
        <f t="shared" si="44"/>
        <v>15490</v>
      </c>
      <c r="S166" s="59">
        <f t="shared" si="45"/>
        <v>0.30102469343188298</v>
      </c>
      <c r="T166" s="59">
        <f t="shared" si="46"/>
        <v>-6.4977257959714096E-3</v>
      </c>
      <c r="U166" s="59">
        <f t="shared" si="47"/>
        <v>0.29262556694103803</v>
      </c>
      <c r="V166" s="42">
        <f t="shared" si="51"/>
        <v>15390</v>
      </c>
      <c r="W166" s="69">
        <f>IFERROR((VLOOKUP($A166,'Из ГУГЛа'!$B:$Z,W$1,0)+Y166)*X166,VLOOKUP($A166,'Из ГУГЛа'!$B:$Z,W$1,0))</f>
        <v>15390</v>
      </c>
      <c r="X166" s="61">
        <v>1</v>
      </c>
      <c r="Y166" s="61">
        <v>0</v>
      </c>
      <c r="Z166" s="60">
        <v>15390</v>
      </c>
      <c r="AA166" s="60" t="s">
        <v>4203</v>
      </c>
    </row>
    <row r="167" spans="1:27" ht="45" x14ac:dyDescent="0.25">
      <c r="A167" s="52">
        <v>160910</v>
      </c>
      <c r="B167" s="52">
        <f>VLOOKUP($A167,'Выгр Кат'!$A:$R,B$1,0)</f>
        <v>48692</v>
      </c>
      <c r="C167" s="53" t="str">
        <f>VLOOKUP($A167,'Выгр Кат'!$A:$R,C$1,0)</f>
        <v>Крыло заднее "АвтоВАЗ" правое (катафорез) для Лада Гранта, Гранта FL лифтбек</v>
      </c>
      <c r="D167" s="52" t="str">
        <f>VLOOKUP($A167,'Выгр Кат'!$A:$R,D$1,0)</f>
        <v>Y</v>
      </c>
      <c r="E167" s="52" t="str">
        <f>VLOOKUP($A167,'Выгр Кат'!$A:$R,E$1,0)</f>
        <v>1</v>
      </c>
      <c r="F167" s="52" t="str">
        <f>VLOOKUP($A167,'Выгр Кат'!$A:$R,F$1,0)</f>
        <v>21910840401070</v>
      </c>
      <c r="G167" s="52" t="str">
        <f>IF(VLOOKUP($A167,'Выгр Кат'!$A:$R,G$1,0)=0,"",VLOOKUP($A167,'Выгр Кат'!$A:$R,G$1,0))</f>
        <v/>
      </c>
      <c r="H167" s="52"/>
      <c r="I167" s="52"/>
      <c r="J167" s="54">
        <f t="shared" si="39"/>
        <v>11350</v>
      </c>
      <c r="K167" s="55">
        <f>VLOOKUP(J167,Наценка!$A$1:$B$8,2,1)</f>
        <v>1.3</v>
      </c>
      <c r="L167" s="56">
        <f t="shared" si="40"/>
        <v>14755</v>
      </c>
      <c r="M167" s="57">
        <f t="shared" si="41"/>
        <v>14790</v>
      </c>
      <c r="N167" s="52">
        <f>VLOOKUP($A167,'Выгр Кат'!$A:$R,N$1,0)</f>
        <v>11350</v>
      </c>
      <c r="O167" s="52">
        <f>VLOOKUP($A167,'Выгр Кат'!$A:$R,O$1,0)</f>
        <v>15890</v>
      </c>
      <c r="P167" s="47">
        <f t="shared" si="42"/>
        <v>0</v>
      </c>
      <c r="Q167" s="47">
        <f t="shared" si="43"/>
        <v>1100</v>
      </c>
      <c r="R167" s="58">
        <f t="shared" si="44"/>
        <v>14790</v>
      </c>
      <c r="S167" s="59">
        <f t="shared" si="45"/>
        <v>0.30308370044052868</v>
      </c>
      <c r="T167" s="59">
        <f t="shared" si="46"/>
        <v>5.1314945477870431E-2</v>
      </c>
      <c r="U167" s="59">
        <f t="shared" si="47"/>
        <v>0.37356828193832592</v>
      </c>
      <c r="V167" s="42">
        <f t="shared" si="51"/>
        <v>15590</v>
      </c>
      <c r="W167" s="69">
        <f>IFERROR((VLOOKUP($A167,'Из ГУГЛа'!$B:$Z,W$1,0)+Y167)*X167,VLOOKUP($A167,'Из ГУГЛа'!$B:$Z,W$1,0))</f>
        <v>15590</v>
      </c>
      <c r="X167" s="61">
        <v>1</v>
      </c>
      <c r="Y167" s="61">
        <v>0</v>
      </c>
      <c r="Z167" s="60">
        <v>15590</v>
      </c>
      <c r="AA167" s="60" t="s">
        <v>4204</v>
      </c>
    </row>
    <row r="168" spans="1:27" ht="30" x14ac:dyDescent="0.25">
      <c r="A168" s="52">
        <v>160911</v>
      </c>
      <c r="B168" s="52">
        <f>VLOOKUP($A168,'Выгр Кат'!$A:$R,B$1,0)</f>
        <v>45476</v>
      </c>
      <c r="C168" s="53" t="str">
        <f>VLOOKUP($A168,'Выгр Кат'!$A:$R,C$1,0)</f>
        <v>Крыло заднее "АвтоВАЗ" правое (катафорез) для Лада Калина седан</v>
      </c>
      <c r="D168" s="52" t="str">
        <f>VLOOKUP($A168,'Выгр Кат'!$A:$R,D$1,0)</f>
        <v>Y</v>
      </c>
      <c r="E168" s="52" t="str">
        <f>VLOOKUP($A168,'Выгр Кат'!$A:$R,E$1,0)</f>
        <v>1</v>
      </c>
      <c r="F168" s="52" t="str">
        <f>VLOOKUP($A168,'Выгр Кат'!$A:$R,F$1,0)</f>
        <v>11180840401470</v>
      </c>
      <c r="G168" s="52" t="str">
        <f>IF(VLOOKUP($A168,'Выгр Кат'!$A:$R,G$1,0)=0,"",VLOOKUP($A168,'Выгр Кат'!$A:$R,G$1,0))</f>
        <v/>
      </c>
      <c r="H168" s="52"/>
      <c r="I168" s="52"/>
      <c r="J168" s="54">
        <f t="shared" si="39"/>
        <v>9322</v>
      </c>
      <c r="K168" s="55">
        <f>VLOOKUP(J168,Наценка!$A$1:$B$8,2,1)</f>
        <v>1.35</v>
      </c>
      <c r="L168" s="56">
        <f t="shared" si="40"/>
        <v>12584.7</v>
      </c>
      <c r="M168" s="57">
        <f t="shared" si="41"/>
        <v>12590</v>
      </c>
      <c r="N168" s="52">
        <f>VLOOKUP($A168,'Выгр Кат'!$A:$R,N$1,0)</f>
        <v>9322</v>
      </c>
      <c r="O168" s="52">
        <f>VLOOKUP($A168,'Выгр Кат'!$A:$R,O$1,0)</f>
        <v>13090</v>
      </c>
      <c r="P168" s="47">
        <f t="shared" si="42"/>
        <v>0</v>
      </c>
      <c r="Q168" s="47">
        <f t="shared" si="43"/>
        <v>500</v>
      </c>
      <c r="R168" s="58">
        <f t="shared" si="44"/>
        <v>12590</v>
      </c>
      <c r="S168" s="59">
        <f t="shared" si="45"/>
        <v>0.35056854752199107</v>
      </c>
      <c r="T168" s="59">
        <f t="shared" si="46"/>
        <v>-8.0064051240992789E-3</v>
      </c>
      <c r="U168" s="59">
        <f t="shared" si="47"/>
        <v>0.33984123578631187</v>
      </c>
      <c r="V168" s="42">
        <f t="shared" si="51"/>
        <v>12490</v>
      </c>
      <c r="W168" s="69">
        <f>IFERROR((VLOOKUP($A168,'Из ГУГЛа'!$B:$Z,W$1,0)+Y168)*X168,VLOOKUP($A168,'Из ГУГЛа'!$B:$Z,W$1,0))</f>
        <v>12490</v>
      </c>
      <c r="X168" s="61">
        <v>1</v>
      </c>
      <c r="Y168" s="61">
        <v>0</v>
      </c>
      <c r="Z168" s="60">
        <v>12490</v>
      </c>
      <c r="AA168" s="60" t="s">
        <v>4185</v>
      </c>
    </row>
    <row r="169" spans="1:27" ht="45" x14ac:dyDescent="0.25">
      <c r="A169" s="52">
        <v>160912</v>
      </c>
      <c r="B169" s="52">
        <f>VLOOKUP($A169,'Выгр Кат'!$A:$R,B$1,0)</f>
        <v>44509</v>
      </c>
      <c r="C169" s="53" t="str">
        <f>VLOOKUP($A169,'Выгр Кат'!$A:$R,C$1,0)</f>
        <v>Крыло заднее "АвтоВАЗ" правое (катафорез) для Лада Калина универсал</v>
      </c>
      <c r="D169" s="52" t="str">
        <f>VLOOKUP($A169,'Выгр Кат'!$A:$R,D$1,0)</f>
        <v>Y</v>
      </c>
      <c r="E169" s="52" t="str">
        <f>VLOOKUP($A169,'Выгр Кат'!$A:$R,E$1,0)</f>
        <v>1</v>
      </c>
      <c r="F169" s="52" t="str">
        <f>VLOOKUP($A169,'Выгр Кат'!$A:$R,F$1,0)</f>
        <v>11170840401470</v>
      </c>
      <c r="G169" s="52" t="str">
        <f>IF(VLOOKUP($A169,'Выгр Кат'!$A:$R,G$1,0)=0,"",VLOOKUP($A169,'Выгр Кат'!$A:$R,G$1,0))</f>
        <v/>
      </c>
      <c r="H169" s="52"/>
      <c r="I169" s="52"/>
      <c r="J169" s="54">
        <f t="shared" si="39"/>
        <v>9452</v>
      </c>
      <c r="K169" s="55">
        <f>VLOOKUP(J169,Наценка!$A$1:$B$8,2,1)</f>
        <v>1.35</v>
      </c>
      <c r="L169" s="56">
        <f t="shared" si="40"/>
        <v>12760.2</v>
      </c>
      <c r="M169" s="57">
        <f t="shared" si="41"/>
        <v>12790</v>
      </c>
      <c r="N169" s="52">
        <f>VLOOKUP($A169,'Выгр Кат'!$A:$R,N$1,0)</f>
        <v>9452</v>
      </c>
      <c r="O169" s="52">
        <f>VLOOKUP($A169,'Выгр Кат'!$A:$R,O$1,0)</f>
        <v>12790</v>
      </c>
      <c r="P169" s="47">
        <f t="shared" si="42"/>
        <v>0</v>
      </c>
      <c r="Q169" s="47">
        <f t="shared" si="43"/>
        <v>0</v>
      </c>
      <c r="R169" s="58">
        <f t="shared" si="44"/>
        <v>12790</v>
      </c>
      <c r="S169" s="59">
        <f t="shared" si="45"/>
        <v>0.35315277190012706</v>
      </c>
      <c r="T169" s="59">
        <f t="shared" si="46"/>
        <v>0</v>
      </c>
      <c r="U169" s="59">
        <f t="shared" si="47"/>
        <v>0.35315277190012706</v>
      </c>
      <c r="V169" s="42">
        <f t="shared" si="51"/>
        <v>12790</v>
      </c>
      <c r="W169" s="69">
        <f>IFERROR((VLOOKUP($A169,'Из ГУГЛа'!$B:$Z,W$1,0)+Y169)*X169,VLOOKUP($A169,'Из ГУГЛа'!$B:$Z,W$1,0))</f>
        <v>12790</v>
      </c>
      <c r="X169" s="61">
        <v>1</v>
      </c>
      <c r="Y169" s="61">
        <v>0</v>
      </c>
      <c r="Z169" s="60">
        <v>12790</v>
      </c>
      <c r="AA169" s="60" t="s">
        <v>4195</v>
      </c>
    </row>
    <row r="170" spans="1:27" ht="30" x14ac:dyDescent="0.25">
      <c r="A170" s="52">
        <v>160913</v>
      </c>
      <c r="B170" s="52">
        <f>VLOOKUP($A170,'Выгр Кат'!$A:$R,B$1,0)</f>
        <v>45488</v>
      </c>
      <c r="C170" s="53" t="str">
        <f>VLOOKUP($A170,'Выгр Кат'!$A:$R,C$1,0)</f>
        <v>Крыло заднее "АвтоВАЗ" правое (катафорез) для Лада Калина хэтчбек</v>
      </c>
      <c r="D170" s="52" t="str">
        <f>VLOOKUP($A170,'Выгр Кат'!$A:$R,D$1,0)</f>
        <v>Y</v>
      </c>
      <c r="E170" s="52" t="str">
        <f>VLOOKUP($A170,'Выгр Кат'!$A:$R,E$1,0)</f>
        <v>1</v>
      </c>
      <c r="F170" s="52" t="str">
        <f>VLOOKUP($A170,'Выгр Кат'!$A:$R,F$1,0)</f>
        <v>11190840401470</v>
      </c>
      <c r="G170" s="52" t="str">
        <f>IF(VLOOKUP($A170,'Выгр Кат'!$A:$R,G$1,0)=0,"",VLOOKUP($A170,'Выгр Кат'!$A:$R,G$1,0))</f>
        <v/>
      </c>
      <c r="H170" s="52"/>
      <c r="I170" s="52"/>
      <c r="J170" s="54">
        <f t="shared" si="39"/>
        <v>9141</v>
      </c>
      <c r="K170" s="55">
        <f>VLOOKUP(J170,Наценка!$A$1:$B$8,2,1)</f>
        <v>1.35</v>
      </c>
      <c r="L170" s="56">
        <f t="shared" si="40"/>
        <v>12340.35</v>
      </c>
      <c r="M170" s="57">
        <f t="shared" si="41"/>
        <v>12390</v>
      </c>
      <c r="N170" s="52">
        <f>VLOOKUP($A170,'Выгр Кат'!$A:$R,N$1,0)</f>
        <v>9141</v>
      </c>
      <c r="O170" s="52">
        <f>VLOOKUP($A170,'Выгр Кат'!$A:$R,O$1,0)</f>
        <v>12790</v>
      </c>
      <c r="P170" s="47">
        <f t="shared" si="42"/>
        <v>0</v>
      </c>
      <c r="Q170" s="47">
        <f t="shared" si="43"/>
        <v>400</v>
      </c>
      <c r="R170" s="58">
        <f t="shared" si="44"/>
        <v>12390</v>
      </c>
      <c r="S170" s="59">
        <f t="shared" si="45"/>
        <v>0.3554315720380703</v>
      </c>
      <c r="T170" s="59">
        <f t="shared" si="46"/>
        <v>6.0652009097801364E-2</v>
      </c>
      <c r="U170" s="59">
        <f t="shared" si="47"/>
        <v>0.44294934908653327</v>
      </c>
      <c r="V170" s="42">
        <f t="shared" si="51"/>
        <v>13190</v>
      </c>
      <c r="W170" s="69">
        <f>IFERROR((VLOOKUP($A170,'Из ГУГЛа'!$B:$Z,W$1,0)+Y170)*X170,VLOOKUP($A170,'Из ГУГЛа'!$B:$Z,W$1,0))</f>
        <v>13190</v>
      </c>
      <c r="X170" s="61">
        <v>1</v>
      </c>
      <c r="Y170" s="61">
        <v>0</v>
      </c>
      <c r="Z170" s="60">
        <v>13190</v>
      </c>
      <c r="AA170" s="60" t="s">
        <v>4196</v>
      </c>
    </row>
    <row r="171" spans="1:27" ht="30" x14ac:dyDescent="0.25">
      <c r="A171" s="52">
        <v>160914</v>
      </c>
      <c r="B171" s="52">
        <f>VLOOKUP($A171,'Выгр Кат'!$A:$R,B$1,0)</f>
        <v>48346</v>
      </c>
      <c r="C171" s="53" t="str">
        <f>VLOOKUP($A171,'Выгр Кат'!$A:$R,C$1,0)</f>
        <v>Крыло заднее "АвтоВАЗ" правое (катафорез) для Лада Приора седан</v>
      </c>
      <c r="D171" s="52" t="str">
        <f>VLOOKUP($A171,'Выгр Кат'!$A:$R,D$1,0)</f>
        <v>Y</v>
      </c>
      <c r="E171" s="52" t="str">
        <f>VLOOKUP($A171,'Выгр Кат'!$A:$R,E$1,0)</f>
        <v>1</v>
      </c>
      <c r="F171" s="52" t="str">
        <f>VLOOKUP($A171,'Выгр Кат'!$A:$R,F$1,0)</f>
        <v>21700840401010</v>
      </c>
      <c r="G171" s="52" t="str">
        <f>IF(VLOOKUP($A171,'Выгр Кат'!$A:$R,G$1,0)=0,"",VLOOKUP($A171,'Выгр Кат'!$A:$R,G$1,0))</f>
        <v/>
      </c>
      <c r="H171" s="52"/>
      <c r="I171" s="52"/>
      <c r="J171" s="54">
        <f t="shared" si="39"/>
        <v>12001</v>
      </c>
      <c r="K171" s="55">
        <f>VLOOKUP(J171,Наценка!$A$1:$B$8,2,1)</f>
        <v>1.3</v>
      </c>
      <c r="L171" s="56">
        <f t="shared" si="40"/>
        <v>15601.300000000001</v>
      </c>
      <c r="M171" s="57">
        <f t="shared" si="41"/>
        <v>15690</v>
      </c>
      <c r="N171" s="52">
        <f>VLOOKUP($A171,'Выгр Кат'!$A:$R,N$1,0)</f>
        <v>12001</v>
      </c>
      <c r="O171" s="52">
        <f>VLOOKUP($A171,'Выгр Кат'!$A:$R,O$1,0)</f>
        <v>16890</v>
      </c>
      <c r="P171" s="47">
        <f t="shared" si="42"/>
        <v>0</v>
      </c>
      <c r="Q171" s="47">
        <f t="shared" si="43"/>
        <v>1200</v>
      </c>
      <c r="R171" s="58">
        <f t="shared" si="44"/>
        <v>15690</v>
      </c>
      <c r="S171" s="59">
        <f t="shared" si="45"/>
        <v>0.30739105074577111</v>
      </c>
      <c r="T171" s="59">
        <f t="shared" si="46"/>
        <v>1.8761726078799251E-2</v>
      </c>
      <c r="U171" s="59">
        <f t="shared" si="47"/>
        <v>0.33238896758603453</v>
      </c>
      <c r="V171" s="42">
        <f t="shared" si="51"/>
        <v>15990</v>
      </c>
      <c r="W171" s="69">
        <f>IFERROR((VLOOKUP($A171,'Из ГУГЛа'!$B:$Z,W$1,0)+Y171)*X171,VLOOKUP($A171,'Из ГУГЛа'!$B:$Z,W$1,0))</f>
        <v>15990</v>
      </c>
      <c r="X171" s="61">
        <v>1</v>
      </c>
      <c r="Y171" s="61">
        <v>0</v>
      </c>
      <c r="Z171" s="60">
        <v>15990</v>
      </c>
      <c r="AA171" s="60" t="s">
        <v>4201</v>
      </c>
    </row>
    <row r="172" spans="1:27" ht="30" x14ac:dyDescent="0.25">
      <c r="A172" s="52">
        <v>160915</v>
      </c>
      <c r="B172" s="52">
        <f>VLOOKUP($A172,'Выгр Кат'!$A:$R,B$1,0)</f>
        <v>48422</v>
      </c>
      <c r="C172" s="53" t="str">
        <f>VLOOKUP($A172,'Выгр Кат'!$A:$R,C$1,0)</f>
        <v>Крыло заднее "АвтоВАЗ" правое (катафорез) для Лада Приора хэтчбек</v>
      </c>
      <c r="D172" s="52" t="str">
        <f>VLOOKUP($A172,'Выгр Кат'!$A:$R,D$1,0)</f>
        <v>Y</v>
      </c>
      <c r="E172" s="52" t="str">
        <f>VLOOKUP($A172,'Выгр Кат'!$A:$R,E$1,0)</f>
        <v>1</v>
      </c>
      <c r="F172" s="52" t="str">
        <f>VLOOKUP($A172,'Выгр Кат'!$A:$R,F$1,0)</f>
        <v>21720840401020</v>
      </c>
      <c r="G172" s="52" t="str">
        <f>IF(VLOOKUP($A172,'Выгр Кат'!$A:$R,G$1,0)=0,"",VLOOKUP($A172,'Выгр Кат'!$A:$R,G$1,0))</f>
        <v/>
      </c>
      <c r="H172" s="52"/>
      <c r="I172" s="52"/>
      <c r="J172" s="54">
        <f t="shared" si="39"/>
        <v>11526</v>
      </c>
      <c r="K172" s="55">
        <f>VLOOKUP(J172,Наценка!$A$1:$B$8,2,1)</f>
        <v>1.3</v>
      </c>
      <c r="L172" s="56">
        <f t="shared" si="40"/>
        <v>14983.800000000001</v>
      </c>
      <c r="M172" s="57">
        <f t="shared" si="41"/>
        <v>14990</v>
      </c>
      <c r="N172" s="52">
        <f>VLOOKUP($A172,'Выгр Кат'!$A:$R,N$1,0)</f>
        <v>11526</v>
      </c>
      <c r="O172" s="52">
        <f>VLOOKUP($A172,'Выгр Кат'!$A:$R,O$1,0)</f>
        <v>14990</v>
      </c>
      <c r="P172" s="47">
        <f t="shared" si="42"/>
        <v>0</v>
      </c>
      <c r="Q172" s="47">
        <f t="shared" si="43"/>
        <v>0</v>
      </c>
      <c r="R172" s="58">
        <f t="shared" si="44"/>
        <v>14990</v>
      </c>
      <c r="S172" s="59">
        <f t="shared" si="45"/>
        <v>0.30053791428075649</v>
      </c>
      <c r="T172" s="59">
        <f t="shared" si="46"/>
        <v>5.6639395846444306E-2</v>
      </c>
      <c r="U172" s="59">
        <f t="shared" si="47"/>
        <v>0.37862224535832034</v>
      </c>
      <c r="V172" s="42">
        <f t="shared" si="51"/>
        <v>15890</v>
      </c>
      <c r="W172" s="69">
        <f>IFERROR((VLOOKUP($A172,'Из ГУГЛа'!$B:$Z,W$1,0)+Y172)*X172,VLOOKUP($A172,'Из ГУГЛа'!$B:$Z,W$1,0))</f>
        <v>15890</v>
      </c>
      <c r="X172" s="61">
        <v>1</v>
      </c>
      <c r="Y172" s="61">
        <v>0</v>
      </c>
      <c r="Z172" s="60">
        <v>15890</v>
      </c>
      <c r="AA172" s="60" t="s">
        <v>4186</v>
      </c>
    </row>
    <row r="173" spans="1:27" ht="45" x14ac:dyDescent="0.25">
      <c r="A173" s="52">
        <v>160917</v>
      </c>
      <c r="B173" s="52">
        <f>VLOOKUP($A173,'Выгр Кат'!$A:$R,B$1,0)</f>
        <v>50291</v>
      </c>
      <c r="C173" s="53" t="str">
        <f>VLOOKUP($A173,'Выгр Кат'!$A:$R,C$1,0)</f>
        <v>Крыло заднее "АвтоВАЗ" правое в сборе (катафорез) для Лада Калина 2, Гранта FL Кросс</v>
      </c>
      <c r="D173" s="52" t="str">
        <f>VLOOKUP($A173,'Выгр Кат'!$A:$R,D$1,0)</f>
        <v>Y</v>
      </c>
      <c r="E173" s="52" t="str">
        <f>VLOOKUP($A173,'Выгр Кат'!$A:$R,E$1,0)</f>
        <v>1</v>
      </c>
      <c r="F173" s="52" t="str">
        <f>VLOOKUP($A173,'Выгр Кат'!$A:$R,F$1,0)</f>
        <v>21940840401075</v>
      </c>
      <c r="G173" s="52" t="str">
        <f>IF(VLOOKUP($A173,'Выгр Кат'!$A:$R,G$1,0)=0,"",VLOOKUP($A173,'Выгр Кат'!$A:$R,G$1,0))</f>
        <v/>
      </c>
      <c r="H173" s="52"/>
      <c r="I173" s="52"/>
      <c r="J173" s="54">
        <f t="shared" si="39"/>
        <v>13232</v>
      </c>
      <c r="K173" s="55">
        <f>VLOOKUP(J173,Наценка!$A$1:$B$8,2,1)</f>
        <v>1.3</v>
      </c>
      <c r="L173" s="56">
        <f t="shared" si="40"/>
        <v>17201.600000000002</v>
      </c>
      <c r="M173" s="57">
        <f t="shared" si="41"/>
        <v>17290</v>
      </c>
      <c r="N173" s="52">
        <f>VLOOKUP($A173,'Выгр Кат'!$A:$R,N$1,0)</f>
        <v>13232</v>
      </c>
      <c r="O173" s="52">
        <f>VLOOKUP($A173,'Выгр Кат'!$A:$R,O$1,0)</f>
        <v>18590</v>
      </c>
      <c r="P173" s="47">
        <f t="shared" si="42"/>
        <v>0</v>
      </c>
      <c r="Q173" s="47">
        <f t="shared" si="43"/>
        <v>1300</v>
      </c>
      <c r="R173" s="58">
        <f t="shared" si="44"/>
        <v>17290</v>
      </c>
      <c r="S173" s="59">
        <f t="shared" si="45"/>
        <v>0.30668077388149939</v>
      </c>
      <c r="T173" s="59">
        <f t="shared" si="46"/>
        <v>0.10368066355624676</v>
      </c>
      <c r="U173" s="59">
        <f t="shared" si="47"/>
        <v>0.45782950423216451</v>
      </c>
      <c r="V173" s="42">
        <f t="shared" si="51"/>
        <v>19290</v>
      </c>
      <c r="W173" s="69">
        <f>IFERROR((VLOOKUP($A173,'Из ГУГЛа'!$B:$Z,W$1,0)+Y173)*X173,VLOOKUP($A173,'Из ГУГЛа'!$B:$Z,W$1,0))</f>
        <v>19290</v>
      </c>
      <c r="X173" s="61">
        <v>1</v>
      </c>
      <c r="Y173" s="61">
        <v>0</v>
      </c>
      <c r="Z173" s="60">
        <v>19290</v>
      </c>
      <c r="AA173" s="60" t="s">
        <v>4184</v>
      </c>
    </row>
    <row r="174" spans="1:27" ht="45" x14ac:dyDescent="0.25">
      <c r="A174" s="52">
        <v>160916</v>
      </c>
      <c r="B174" s="52">
        <f>VLOOKUP($A174,'Выгр Кат'!$A:$R,B$1,0)</f>
        <v>50288</v>
      </c>
      <c r="C174" s="53" t="str">
        <f>VLOOKUP($A174,'Выгр Кат'!$A:$R,C$1,0)</f>
        <v>Крыло заднее "АвтоВАЗ" правое в сборе (катафорез) для Лада Калина 2, Гранта FL универсал</v>
      </c>
      <c r="D174" s="52" t="str">
        <f>VLOOKUP($A174,'Выгр Кат'!$A:$R,D$1,0)</f>
        <v>Y</v>
      </c>
      <c r="E174" s="52" t="str">
        <f>VLOOKUP($A174,'Выгр Кат'!$A:$R,E$1,0)</f>
        <v>1</v>
      </c>
      <c r="F174" s="52" t="str">
        <f>VLOOKUP($A174,'Выгр Кат'!$A:$R,F$1,0)</f>
        <v>21940840401070</v>
      </c>
      <c r="G174" s="52" t="str">
        <f>IF(VLOOKUP($A174,'Выгр Кат'!$A:$R,G$1,0)=0,"",VLOOKUP($A174,'Выгр Кат'!$A:$R,G$1,0))</f>
        <v/>
      </c>
      <c r="H174" s="52"/>
      <c r="I174" s="52"/>
      <c r="J174" s="54">
        <f t="shared" si="39"/>
        <v>13075</v>
      </c>
      <c r="K174" s="55">
        <f>VLOOKUP(J174,Наценка!$A$1:$B$8,2,1)</f>
        <v>1.3</v>
      </c>
      <c r="L174" s="56">
        <f t="shared" si="40"/>
        <v>16997.5</v>
      </c>
      <c r="M174" s="57">
        <f t="shared" si="41"/>
        <v>16990</v>
      </c>
      <c r="N174" s="52">
        <f>VLOOKUP($A174,'Выгр Кат'!$A:$R,N$1,0)</f>
        <v>13075</v>
      </c>
      <c r="O174" s="52">
        <f>VLOOKUP($A174,'Выгр Кат'!$A:$R,O$1,0)</f>
        <v>18390</v>
      </c>
      <c r="P174" s="47">
        <f t="shared" si="42"/>
        <v>0</v>
      </c>
      <c r="Q174" s="47">
        <f t="shared" si="43"/>
        <v>1400</v>
      </c>
      <c r="R174" s="58">
        <f t="shared" si="44"/>
        <v>16990</v>
      </c>
      <c r="S174" s="59">
        <f t="shared" si="45"/>
        <v>0.29942638623326956</v>
      </c>
      <c r="T174" s="59">
        <f t="shared" si="46"/>
        <v>-6.2539086929330828E-2</v>
      </c>
      <c r="U174" s="59">
        <f t="shared" si="47"/>
        <v>0.22294455066921604</v>
      </c>
      <c r="V174" s="42">
        <f t="shared" si="51"/>
        <v>15990</v>
      </c>
      <c r="W174" s="69">
        <f>IFERROR((VLOOKUP($A174,'Из ГУГЛа'!$B:$Z,W$1,0)+Y174)*X174,VLOOKUP($A174,'Из ГУГЛа'!$B:$Z,W$1,0))</f>
        <v>15990</v>
      </c>
      <c r="X174" s="61">
        <v>1</v>
      </c>
      <c r="Y174" s="61">
        <v>0</v>
      </c>
      <c r="Z174" s="60">
        <v>15990</v>
      </c>
      <c r="AA174" s="60" t="s">
        <v>4187</v>
      </c>
    </row>
    <row r="175" spans="1:27" ht="30" x14ac:dyDescent="0.25">
      <c r="A175" s="52">
        <v>160918</v>
      </c>
      <c r="B175" s="52">
        <f>VLOOKUP($A175,'Выгр Кат'!$A:$R,B$1,0)</f>
        <v>48520</v>
      </c>
      <c r="C175" s="53" t="str">
        <f>VLOOKUP($A175,'Выгр Кат'!$A:$R,C$1,0)</f>
        <v>Крыло заднее "АвтоВАЗ" правое для Лада Приора купе</v>
      </c>
      <c r="D175" s="52" t="str">
        <f>VLOOKUP($A175,'Выгр Кат'!$A:$R,D$1,0)</f>
        <v>Y</v>
      </c>
      <c r="E175" s="52" t="str">
        <f>VLOOKUP($A175,'Выгр Кат'!$A:$R,E$1,0)</f>
        <v>1</v>
      </c>
      <c r="F175" s="52" t="str">
        <f>VLOOKUP($A175,'Выгр Кат'!$A:$R,F$1,0)</f>
        <v>21728840401000</v>
      </c>
      <c r="G175" s="52" t="str">
        <f>IF(VLOOKUP($A175,'Выгр Кат'!$A:$R,G$1,0)=0,"",VLOOKUP($A175,'Выгр Кат'!$A:$R,G$1,0))</f>
        <v/>
      </c>
      <c r="H175" s="52"/>
      <c r="I175" s="52"/>
      <c r="J175" s="54">
        <f t="shared" si="39"/>
        <v>16242</v>
      </c>
      <c r="K175" s="55">
        <f>VLOOKUP(J175,Наценка!$A$1:$B$8,2,1)</f>
        <v>1.3</v>
      </c>
      <c r="L175" s="56">
        <f t="shared" si="40"/>
        <v>21114.600000000002</v>
      </c>
      <c r="M175" s="57">
        <f t="shared" si="41"/>
        <v>21190</v>
      </c>
      <c r="N175" s="52">
        <f>VLOOKUP($A175,'Выгр Кат'!$A:$R,N$1,0)</f>
        <v>16242</v>
      </c>
      <c r="O175" s="52">
        <f>VLOOKUP($A175,'Выгр Кат'!$A:$R,O$1,0)</f>
        <v>22790</v>
      </c>
      <c r="P175" s="47">
        <f t="shared" si="42"/>
        <v>0</v>
      </c>
      <c r="Q175" s="47">
        <f t="shared" si="43"/>
        <v>1600</v>
      </c>
      <c r="R175" s="58">
        <f t="shared" si="44"/>
        <v>21190</v>
      </c>
      <c r="S175" s="59">
        <f t="shared" si="45"/>
        <v>0.30464228543282856</v>
      </c>
      <c r="T175" s="59">
        <f t="shared" si="46"/>
        <v>-0.33354310887350536</v>
      </c>
      <c r="U175" s="59">
        <f t="shared" si="47"/>
        <v>-2.1672207856175296E-2</v>
      </c>
      <c r="V175" s="42">
        <f t="shared" si="51"/>
        <v>15890</v>
      </c>
      <c r="W175" s="69">
        <f>IFERROR((VLOOKUP($A175,'Из ГУГЛа'!$B:$Z,W$1,0)+Y175)*X175,VLOOKUP($A175,'Из ГУГЛа'!$B:$Z,W$1,0))</f>
        <v>15890</v>
      </c>
      <c r="X175" s="61">
        <v>1</v>
      </c>
      <c r="Y175" s="61">
        <v>0</v>
      </c>
      <c r="Z175" s="60">
        <v>15890</v>
      </c>
      <c r="AA175" s="60" t="s">
        <v>4186</v>
      </c>
    </row>
    <row r="176" spans="1:27" ht="45" x14ac:dyDescent="0.25">
      <c r="A176" s="52">
        <v>160919</v>
      </c>
      <c r="B176" s="52">
        <f>VLOOKUP($A176,'Выгр Кат'!$A:$R,B$1,0)</f>
        <v>48039</v>
      </c>
      <c r="C176" s="53" t="str">
        <f>VLOOKUP($A176,'Выгр Кат'!$A:$R,C$1,0)</f>
        <v>Крыло заднее "АвтоВАЗ" правое с отверстием под молдинг (катафорез) для Шевроле Нива</v>
      </c>
      <c r="D176" s="52" t="str">
        <f>VLOOKUP($A176,'Выгр Кат'!$A:$R,D$1,0)</f>
        <v>Y</v>
      </c>
      <c r="E176" s="52" t="str">
        <f>VLOOKUP($A176,'Выгр Кат'!$A:$R,E$1,0)</f>
        <v>1</v>
      </c>
      <c r="F176" s="52" t="str">
        <f>VLOOKUP($A176,'Выгр Кат'!$A:$R,F$1,0)</f>
        <v>21230840401075</v>
      </c>
      <c r="G176" s="52" t="str">
        <f>IF(VLOOKUP($A176,'Выгр Кат'!$A:$R,G$1,0)=0,"",VLOOKUP($A176,'Выгр Кат'!$A:$R,G$1,0))</f>
        <v/>
      </c>
      <c r="H176" s="52"/>
      <c r="I176" s="52"/>
      <c r="J176" s="54">
        <f t="shared" si="39"/>
        <v>14251</v>
      </c>
      <c r="K176" s="55">
        <f>VLOOKUP(J176,Наценка!$A$1:$B$8,2,1)</f>
        <v>1.3</v>
      </c>
      <c r="L176" s="56">
        <f t="shared" si="40"/>
        <v>18526.3</v>
      </c>
      <c r="M176" s="57">
        <f t="shared" si="41"/>
        <v>18590</v>
      </c>
      <c r="N176" s="52">
        <f>VLOOKUP($A176,'Выгр Кат'!$A:$R,N$1,0)</f>
        <v>14251</v>
      </c>
      <c r="O176" s="52">
        <f>VLOOKUP($A176,'Выгр Кат'!$A:$R,O$1,0)</f>
        <v>19990</v>
      </c>
      <c r="P176" s="47">
        <f t="shared" si="42"/>
        <v>0</v>
      </c>
      <c r="Q176" s="47">
        <f t="shared" si="43"/>
        <v>1400</v>
      </c>
      <c r="R176" s="58">
        <f t="shared" si="44"/>
        <v>18590</v>
      </c>
      <c r="S176" s="59">
        <f t="shared" si="45"/>
        <v>0.30446986176408664</v>
      </c>
      <c r="T176" s="59">
        <f t="shared" si="46"/>
        <v>3.1266284523189164E-2</v>
      </c>
      <c r="U176" s="59">
        <f t="shared" si="47"/>
        <v>0.34657217037400878</v>
      </c>
      <c r="V176" s="42">
        <f t="shared" si="51"/>
        <v>19190</v>
      </c>
      <c r="W176" s="69">
        <f>IFERROR((VLOOKUP($A176,'Из ГУГЛа'!$B:$Z,W$1,0)+Y176)*X176,VLOOKUP($A176,'Из ГУГЛа'!$B:$Z,W$1,0))</f>
        <v>19190</v>
      </c>
      <c r="X176" s="61">
        <v>1</v>
      </c>
      <c r="Y176" s="61">
        <v>0</v>
      </c>
      <c r="Z176" s="60">
        <v>19190</v>
      </c>
      <c r="AA176" s="60" t="s">
        <v>4200</v>
      </c>
    </row>
    <row r="177" spans="1:27" ht="30" x14ac:dyDescent="0.25">
      <c r="A177" s="52">
        <v>160922</v>
      </c>
      <c r="B177" s="52">
        <f>VLOOKUP($A177,'Выгр Кат'!$A:$R,B$1,0)</f>
        <v>19454</v>
      </c>
      <c r="C177" s="53" t="str">
        <f>VLOOKUP($A177,'Выгр Кат'!$A:$R,C$1,0)</f>
        <v>Крыло заднее левое "АвтоВАЗ" для ВАЗ 2110</v>
      </c>
      <c r="D177" s="52" t="str">
        <f>VLOOKUP($A177,'Выгр Кат'!$A:$R,D$1,0)</f>
        <v>Y</v>
      </c>
      <c r="E177" s="52" t="str">
        <f>VLOOKUP($A177,'Выгр Кат'!$A:$R,E$1,0)</f>
        <v>1</v>
      </c>
      <c r="F177" s="52" t="str">
        <f>VLOOKUP($A177,'Выгр Кат'!$A:$R,F$1,0)</f>
        <v>21100840401510</v>
      </c>
      <c r="G177" s="52" t="str">
        <f>IF(VLOOKUP($A177,'Выгр Кат'!$A:$R,G$1,0)=0,"",VLOOKUP($A177,'Выгр Кат'!$A:$R,G$1,0))</f>
        <v/>
      </c>
      <c r="H177" s="52"/>
      <c r="I177" s="52"/>
      <c r="J177" s="54">
        <f t="shared" si="39"/>
        <v>4721</v>
      </c>
      <c r="K177" s="55">
        <f>VLOOKUP(J177,Наценка!$A$1:$B$8,2,1)</f>
        <v>1.4</v>
      </c>
      <c r="L177" s="56">
        <f t="shared" si="40"/>
        <v>6609.4</v>
      </c>
      <c r="M177" s="57">
        <f t="shared" si="41"/>
        <v>6690</v>
      </c>
      <c r="N177" s="52">
        <f>VLOOKUP($A177,'Выгр Кат'!$A:$R,N$1,0)</f>
        <v>4721</v>
      </c>
      <c r="O177" s="52">
        <f>VLOOKUP($A177,'Выгр Кат'!$A:$R,O$1,0)</f>
        <v>6690</v>
      </c>
      <c r="P177" s="47">
        <f t="shared" si="42"/>
        <v>0</v>
      </c>
      <c r="Q177" s="47">
        <f t="shared" si="43"/>
        <v>0</v>
      </c>
      <c r="R177" s="58">
        <f t="shared" si="44"/>
        <v>6690</v>
      </c>
      <c r="S177" s="59">
        <f t="shared" si="45"/>
        <v>0.41707265409870797</v>
      </c>
      <c r="T177" s="59">
        <f t="shared" si="46"/>
        <v>-1.5174506828528073E-2</v>
      </c>
      <c r="U177" s="59">
        <f t="shared" si="47"/>
        <v>0.39589070112264357</v>
      </c>
      <c r="V177" s="42">
        <f>Z177</f>
        <v>6590</v>
      </c>
      <c r="W177" s="69" t="str">
        <f>IFERROR((VLOOKUP($A177,'Из ГУГЛа'!$B:$Z,W$1,0)+Y177)*X177,VLOOKUP($A177,'Из ГУГЛа'!$B:$Z,W$1,0))</f>
        <v/>
      </c>
      <c r="X177" s="61">
        <v>1</v>
      </c>
      <c r="Y177" s="61">
        <v>0</v>
      </c>
      <c r="Z177" s="60">
        <v>6590</v>
      </c>
      <c r="AA177" s="60" t="s">
        <v>4292</v>
      </c>
    </row>
    <row r="178" spans="1:27" ht="30" x14ac:dyDescent="0.25">
      <c r="A178" s="52">
        <v>160923</v>
      </c>
      <c r="B178" s="52">
        <f>VLOOKUP($A178,'Выгр Кат'!$A:$R,B$1,0)</f>
        <v>19455</v>
      </c>
      <c r="C178" s="53" t="str">
        <f>VLOOKUP($A178,'Выгр Кат'!$A:$R,C$1,0)</f>
        <v>Крыло заднее левое "АвтоВАЗ" для ВАЗ 2111</v>
      </c>
      <c r="D178" s="52" t="str">
        <f>VLOOKUP($A178,'Выгр Кат'!$A:$R,D$1,0)</f>
        <v>Y</v>
      </c>
      <c r="E178" s="52" t="str">
        <f>VLOOKUP($A178,'Выгр Кат'!$A:$R,E$1,0)</f>
        <v>1</v>
      </c>
      <c r="F178" s="52" t="str">
        <f>VLOOKUP($A178,'Выгр Кат'!$A:$R,F$1,0)</f>
        <v>21110840401510</v>
      </c>
      <c r="G178" s="52" t="str">
        <f>IF(VLOOKUP($A178,'Выгр Кат'!$A:$R,G$1,0)=0,"",VLOOKUP($A178,'Выгр Кат'!$A:$R,G$1,0))</f>
        <v/>
      </c>
      <c r="H178" s="52"/>
      <c r="I178" s="52"/>
      <c r="J178" s="54">
        <f t="shared" si="39"/>
        <v>9140</v>
      </c>
      <c r="K178" s="55">
        <f>VLOOKUP(J178,Наценка!$A$1:$B$8,2,1)</f>
        <v>1.35</v>
      </c>
      <c r="L178" s="56">
        <f t="shared" si="40"/>
        <v>12339</v>
      </c>
      <c r="M178" s="57">
        <f t="shared" si="41"/>
        <v>12390</v>
      </c>
      <c r="N178" s="52">
        <f>VLOOKUP($A178,'Выгр Кат'!$A:$R,N$1,0)</f>
        <v>9140</v>
      </c>
      <c r="O178" s="52">
        <f>VLOOKUP($A178,'Выгр Кат'!$A:$R,O$1,0)</f>
        <v>12790</v>
      </c>
      <c r="P178" s="47">
        <f t="shared" si="42"/>
        <v>0</v>
      </c>
      <c r="Q178" s="47">
        <f t="shared" si="43"/>
        <v>400</v>
      </c>
      <c r="R178" s="58">
        <f t="shared" si="44"/>
        <v>12390</v>
      </c>
      <c r="S178" s="59">
        <f t="shared" si="45"/>
        <v>0.35557986870897151</v>
      </c>
      <c r="T178" s="59">
        <f t="shared" si="46"/>
        <v>-6.9025021570319242E-2</v>
      </c>
      <c r="U178" s="59">
        <f t="shared" si="47"/>
        <v>0.26805251641137851</v>
      </c>
      <c r="V178" s="42">
        <f t="shared" ref="V178" si="52">Z178</f>
        <v>11590</v>
      </c>
      <c r="W178" s="69">
        <f>IFERROR((VLOOKUP($A178,'Из ГУГЛа'!$B:$Z,W$1,0)+Y178)*X178,VLOOKUP($A178,'Из ГУГЛа'!$B:$Z,W$1,0))</f>
        <v>11590</v>
      </c>
      <c r="X178" s="61">
        <v>1</v>
      </c>
      <c r="Y178" s="61">
        <v>0</v>
      </c>
      <c r="Z178" s="60">
        <v>11590</v>
      </c>
      <c r="AA178" s="60" t="s">
        <v>4174</v>
      </c>
    </row>
    <row r="179" spans="1:27" ht="30" x14ac:dyDescent="0.25">
      <c r="A179" s="52">
        <v>160925</v>
      </c>
      <c r="B179" s="52">
        <f>VLOOKUP($A179,'Выгр Кат'!$A:$R,B$1,0)</f>
        <v>19450</v>
      </c>
      <c r="C179" s="53" t="str">
        <f>VLOOKUP($A179,'Выгр Кат'!$A:$R,C$1,0)</f>
        <v>Крыло заднее правое "АвтоВАЗ" для ВАЗ 2110</v>
      </c>
      <c r="D179" s="52" t="str">
        <f>VLOOKUP($A179,'Выгр Кат'!$A:$R,D$1,0)</f>
        <v>Y</v>
      </c>
      <c r="E179" s="52" t="str">
        <f>VLOOKUP($A179,'Выгр Кат'!$A:$R,E$1,0)</f>
        <v>1</v>
      </c>
      <c r="F179" s="52" t="str">
        <f>VLOOKUP($A179,'Выгр Кат'!$A:$R,F$1,0)</f>
        <v>21100840401410</v>
      </c>
      <c r="G179" s="52" t="str">
        <f>IF(VLOOKUP($A179,'Выгр Кат'!$A:$R,G$1,0)=0,"",VLOOKUP($A179,'Выгр Кат'!$A:$R,G$1,0))</f>
        <v/>
      </c>
      <c r="H179" s="52"/>
      <c r="I179" s="52"/>
      <c r="J179" s="54">
        <f t="shared" si="39"/>
        <v>5088</v>
      </c>
      <c r="K179" s="55">
        <f>VLOOKUP(J179,Наценка!$A$1:$B$8,2,1)</f>
        <v>1.35</v>
      </c>
      <c r="L179" s="56">
        <f t="shared" si="40"/>
        <v>6868.8</v>
      </c>
      <c r="M179" s="57">
        <f t="shared" si="41"/>
        <v>6890</v>
      </c>
      <c r="N179" s="52">
        <f>VLOOKUP($A179,'Выгр Кат'!$A:$R,N$1,0)</f>
        <v>5088</v>
      </c>
      <c r="O179" s="52">
        <f>VLOOKUP($A179,'Выгр Кат'!$A:$R,O$1,0)</f>
        <v>7190</v>
      </c>
      <c r="P179" s="47">
        <f t="shared" si="42"/>
        <v>0</v>
      </c>
      <c r="Q179" s="47">
        <f t="shared" si="43"/>
        <v>300</v>
      </c>
      <c r="R179" s="58">
        <f t="shared" si="44"/>
        <v>6890</v>
      </c>
      <c r="S179" s="59">
        <f t="shared" si="45"/>
        <v>0.35416666666666674</v>
      </c>
      <c r="T179" s="59">
        <f t="shared" si="46"/>
        <v>1.4306151645207439E-2</v>
      </c>
      <c r="U179" s="59">
        <f t="shared" si="47"/>
        <v>0.37382075471698117</v>
      </c>
      <c r="V179" s="42">
        <f>Z179</f>
        <v>6990</v>
      </c>
      <c r="W179" s="69" t="str">
        <f>IFERROR((VLOOKUP($A179,'Из ГУГЛа'!$B:$Z,W$1,0)+Y179)*X179,VLOOKUP($A179,'Из ГУГЛа'!$B:$Z,W$1,0))</f>
        <v/>
      </c>
      <c r="X179" s="61">
        <v>1</v>
      </c>
      <c r="Y179" s="61">
        <v>0</v>
      </c>
      <c r="Z179" s="60">
        <v>6990</v>
      </c>
      <c r="AA179" s="60" t="s">
        <v>4291</v>
      </c>
    </row>
    <row r="180" spans="1:27" ht="30" x14ac:dyDescent="0.25">
      <c r="A180" s="52">
        <v>160926</v>
      </c>
      <c r="B180" s="52">
        <f>VLOOKUP($A180,'Выгр Кат'!$A:$R,B$1,0)</f>
        <v>19456</v>
      </c>
      <c r="C180" s="53" t="str">
        <f>VLOOKUP($A180,'Выгр Кат'!$A:$R,C$1,0)</f>
        <v>Крыло заднее правое "АвтоВАЗ" для ВАЗ 2111</v>
      </c>
      <c r="D180" s="52" t="str">
        <f>VLOOKUP($A180,'Выгр Кат'!$A:$R,D$1,0)</f>
        <v>Y</v>
      </c>
      <c r="E180" s="52" t="str">
        <f>VLOOKUP($A180,'Выгр Кат'!$A:$R,E$1,0)</f>
        <v>1</v>
      </c>
      <c r="F180" s="52" t="str">
        <f>VLOOKUP($A180,'Выгр Кат'!$A:$R,F$1,0)</f>
        <v>21110840401410</v>
      </c>
      <c r="G180" s="52" t="str">
        <f>IF(VLOOKUP($A180,'Выгр Кат'!$A:$R,G$1,0)=0,"",VLOOKUP($A180,'Выгр Кат'!$A:$R,G$1,0))</f>
        <v/>
      </c>
      <c r="H180" s="52"/>
      <c r="I180" s="52"/>
      <c r="J180" s="54">
        <f t="shared" si="39"/>
        <v>10599</v>
      </c>
      <c r="K180" s="55">
        <f>VLOOKUP(J180,Наценка!$A$1:$B$8,2,1)</f>
        <v>1.3</v>
      </c>
      <c r="L180" s="56">
        <f t="shared" si="40"/>
        <v>13778.7</v>
      </c>
      <c r="M180" s="57">
        <f t="shared" si="41"/>
        <v>13790</v>
      </c>
      <c r="N180" s="52">
        <f>VLOOKUP($A180,'Выгр Кат'!$A:$R,N$1,0)</f>
        <v>10599</v>
      </c>
      <c r="O180" s="52">
        <f>VLOOKUP($A180,'Выгр Кат'!$A:$R,O$1,0)</f>
        <v>13790</v>
      </c>
      <c r="P180" s="47">
        <f t="shared" si="42"/>
        <v>0</v>
      </c>
      <c r="Q180" s="47">
        <f t="shared" si="43"/>
        <v>0</v>
      </c>
      <c r="R180" s="58">
        <f t="shared" si="44"/>
        <v>13790</v>
      </c>
      <c r="S180" s="59">
        <f t="shared" si="45"/>
        <v>0.30106613831493534</v>
      </c>
      <c r="T180" s="59">
        <f t="shared" si="46"/>
        <v>-4.5489006823351025E-2</v>
      </c>
      <c r="U180" s="59">
        <f t="shared" si="47"/>
        <v>0.24445702424757054</v>
      </c>
      <c r="V180" s="42">
        <f t="shared" ref="V180:V182" si="53">Z180</f>
        <v>13190</v>
      </c>
      <c r="W180" s="69">
        <f>IFERROR((VLOOKUP($A180,'Из ГУГЛа'!$B:$Z,W$1,0)+Y180)*X180,VLOOKUP($A180,'Из ГУГЛа'!$B:$Z,W$1,0))</f>
        <v>13190</v>
      </c>
      <c r="X180" s="61">
        <v>1</v>
      </c>
      <c r="Y180" s="61">
        <v>0</v>
      </c>
      <c r="Z180" s="60">
        <v>13190</v>
      </c>
      <c r="AA180" s="60" t="s">
        <v>4191</v>
      </c>
    </row>
    <row r="181" spans="1:27" ht="30" x14ac:dyDescent="0.25">
      <c r="A181" s="52">
        <v>161096</v>
      </c>
      <c r="B181" s="52">
        <f>VLOOKUP($A181,'Выгр Кат'!$A:$R,B$1,0)</f>
        <v>0</v>
      </c>
      <c r="C181" s="53" t="str">
        <f>VLOOKUP($A181,'Выгр Кат'!$A:$R,C$1,0)</f>
        <v>Крыло переднее левое "АвтоВАЗ" для Лада Нива 4х4 (3-х дверная)</v>
      </c>
      <c r="D181" s="52" t="str">
        <f>VLOOKUP($A181,'Выгр Кат'!$A:$R,D$1,0)</f>
        <v>Y</v>
      </c>
      <c r="E181" s="52" t="str">
        <f>VLOOKUP($A181,'Выгр Кат'!$A:$R,E$1,0)</f>
        <v>1</v>
      </c>
      <c r="F181" s="52" t="str">
        <f>VLOOKUP($A181,'Выгр Кат'!$A:$R,F$1,0)</f>
        <v>21210840302510</v>
      </c>
      <c r="G181" s="52" t="str">
        <f>IF(VLOOKUP($A181,'Выгр Кат'!$A:$R,G$1,0)=0,"",VLOOKUP($A181,'Выгр Кат'!$A:$R,G$1,0))</f>
        <v/>
      </c>
      <c r="H181" s="52"/>
      <c r="I181" s="52"/>
      <c r="J181" s="54">
        <f t="shared" si="39"/>
        <v>1789</v>
      </c>
      <c r="K181" s="55">
        <f>VLOOKUP(J181,Наценка!$A$1:$B$8,2,1)</f>
        <v>1.5</v>
      </c>
      <c r="L181" s="56">
        <f t="shared" si="40"/>
        <v>2683.5</v>
      </c>
      <c r="M181" s="57">
        <f t="shared" si="41"/>
        <v>2690</v>
      </c>
      <c r="N181" s="52">
        <f>VLOOKUP($A181,'Выгр Кат'!$A:$R,N$1,0)</f>
        <v>1789</v>
      </c>
      <c r="O181" s="52">
        <f>VLOOKUP($A181,'Выгр Кат'!$A:$R,O$1,0)</f>
        <v>2690</v>
      </c>
      <c r="P181" s="47">
        <f t="shared" si="42"/>
        <v>0</v>
      </c>
      <c r="Q181" s="47">
        <f t="shared" si="43"/>
        <v>0</v>
      </c>
      <c r="R181" s="58">
        <f t="shared" si="44"/>
        <v>2690</v>
      </c>
      <c r="S181" s="59">
        <f t="shared" si="45"/>
        <v>0.50363331470095019</v>
      </c>
      <c r="T181" s="59">
        <f t="shared" si="46"/>
        <v>0</v>
      </c>
      <c r="U181" s="59">
        <f t="shared" si="47"/>
        <v>0.50363331470095019</v>
      </c>
      <c r="V181" s="42">
        <f t="shared" si="53"/>
        <v>2690</v>
      </c>
      <c r="W181" s="69">
        <f>IFERROR((VLOOKUP($A181,'Из ГУГЛа'!$B:$Z,W$1,0)+Y181)*X181,VLOOKUP($A181,'Из ГУГЛа'!$B:$Z,W$1,0))</f>
        <v>2690</v>
      </c>
      <c r="X181" s="61">
        <v>1</v>
      </c>
      <c r="Y181" s="61">
        <v>0</v>
      </c>
      <c r="Z181" s="60">
        <v>2690</v>
      </c>
      <c r="AA181" s="60" t="s">
        <v>4189</v>
      </c>
    </row>
    <row r="182" spans="1:27" ht="30" x14ac:dyDescent="0.25">
      <c r="A182" s="52">
        <v>161128</v>
      </c>
      <c r="B182" s="52">
        <f>VLOOKUP($A182,'Выгр Кат'!$A:$R,B$1,0)</f>
        <v>18737</v>
      </c>
      <c r="C182" s="53" t="str">
        <f>VLOOKUP($A182,'Выгр Кат'!$A:$R,C$1,0)</f>
        <v>Крыло переднее правое "АвтоВАЗ" для Лада Нива 4х4 (3-х дверная)</v>
      </c>
      <c r="D182" s="52" t="str">
        <f>VLOOKUP($A182,'Выгр Кат'!$A:$R,D$1,0)</f>
        <v>Y</v>
      </c>
      <c r="E182" s="52" t="str">
        <f>VLOOKUP($A182,'Выгр Кат'!$A:$R,E$1,0)</f>
        <v>1</v>
      </c>
      <c r="F182" s="52" t="str">
        <f>VLOOKUP($A182,'Выгр Кат'!$A:$R,F$1,0)</f>
        <v>21210840302410</v>
      </c>
      <c r="G182" s="52" t="str">
        <f>IF(VLOOKUP($A182,'Выгр Кат'!$A:$R,G$1,0)=0,"",VLOOKUP($A182,'Выгр Кат'!$A:$R,G$1,0))</f>
        <v/>
      </c>
      <c r="H182" s="52"/>
      <c r="I182" s="52"/>
      <c r="J182" s="54">
        <f t="shared" si="39"/>
        <v>1789</v>
      </c>
      <c r="K182" s="55">
        <f>VLOOKUP(J182,Наценка!$A$1:$B$8,2,1)</f>
        <v>1.5</v>
      </c>
      <c r="L182" s="56">
        <f t="shared" si="40"/>
        <v>2683.5</v>
      </c>
      <c r="M182" s="57">
        <f t="shared" si="41"/>
        <v>2690</v>
      </c>
      <c r="N182" s="52">
        <f>VLOOKUP($A182,'Выгр Кат'!$A:$R,N$1,0)</f>
        <v>1789</v>
      </c>
      <c r="O182" s="52">
        <f>VLOOKUP($A182,'Выгр Кат'!$A:$R,O$1,0)</f>
        <v>2690</v>
      </c>
      <c r="P182" s="47">
        <f t="shared" si="42"/>
        <v>0</v>
      </c>
      <c r="Q182" s="47">
        <f t="shared" si="43"/>
        <v>0</v>
      </c>
      <c r="R182" s="58">
        <f t="shared" si="44"/>
        <v>2690</v>
      </c>
      <c r="S182" s="59">
        <f t="shared" si="45"/>
        <v>0.50363331470095019</v>
      </c>
      <c r="T182" s="59">
        <f t="shared" si="46"/>
        <v>0</v>
      </c>
      <c r="U182" s="59">
        <f t="shared" si="47"/>
        <v>0.50363331470095019</v>
      </c>
      <c r="V182" s="42">
        <f t="shared" si="53"/>
        <v>2690</v>
      </c>
      <c r="W182" s="69">
        <f>IFERROR((VLOOKUP($A182,'Из ГУГЛа'!$B:$Z,W$1,0)+Y182)*X182,VLOOKUP($A182,'Из ГУГЛа'!$B:$Z,W$1,0))</f>
        <v>2690</v>
      </c>
      <c r="X182" s="61">
        <v>1</v>
      </c>
      <c r="Y182" s="61">
        <v>0</v>
      </c>
      <c r="Z182" s="60">
        <v>2690</v>
      </c>
      <c r="AA182" s="60" t="s">
        <v>4190</v>
      </c>
    </row>
    <row r="183" spans="1:27" x14ac:dyDescent="0.25">
      <c r="A183" s="52">
        <v>162327</v>
      </c>
      <c r="B183" s="52">
        <f>VLOOKUP($A183,'Выгр Кат'!$A:$R,B$1,0)</f>
        <v>32753</v>
      </c>
      <c r="C183" s="53" t="str">
        <f>VLOOKUP($A183,'Выгр Кат'!$A:$R,C$1,0)</f>
        <v>Крыша "АвтоВАЗ" для Лада XRAY</v>
      </c>
      <c r="D183" s="52" t="str">
        <f>VLOOKUP($A183,'Выгр Кат'!$A:$R,D$1,0)</f>
        <v>Y</v>
      </c>
      <c r="E183" s="52" t="str">
        <f>VLOOKUP($A183,'Выгр Кат'!$A:$R,E$1,0)</f>
        <v>1</v>
      </c>
      <c r="F183" s="52" t="str">
        <f>VLOOKUP($A183,'Выгр Кат'!$A:$R,F$1,0)</f>
        <v>8450105001</v>
      </c>
      <c r="G183" s="52" t="str">
        <f>IF(VLOOKUP($A183,'Выгр Кат'!$A:$R,G$1,0)=0,"",VLOOKUP($A183,'Выгр Кат'!$A:$R,G$1,0))</f>
        <v/>
      </c>
      <c r="H183" s="52"/>
      <c r="I183" s="52"/>
      <c r="J183" s="54">
        <f t="shared" si="39"/>
        <v>6610</v>
      </c>
      <c r="K183" s="55">
        <f>VLOOKUP(J183,Наценка!$A$1:$B$8,2,1)</f>
        <v>1.35</v>
      </c>
      <c r="L183" s="56">
        <f t="shared" si="40"/>
        <v>8923.5</v>
      </c>
      <c r="M183" s="57">
        <f t="shared" si="41"/>
        <v>8990</v>
      </c>
      <c r="N183" s="52">
        <f>VLOOKUP($A183,'Выгр Кат'!$A:$R,N$1,0)</f>
        <v>6610</v>
      </c>
      <c r="O183" s="52">
        <f>VLOOKUP($A183,'Выгр Кат'!$A:$R,O$1,0)</f>
        <v>9290</v>
      </c>
      <c r="P183" s="47">
        <f t="shared" si="42"/>
        <v>0</v>
      </c>
      <c r="Q183" s="47">
        <f t="shared" si="43"/>
        <v>300</v>
      </c>
      <c r="R183" s="58">
        <f t="shared" si="44"/>
        <v>8990</v>
      </c>
      <c r="S183" s="59">
        <f t="shared" si="45"/>
        <v>0.36006051437216335</v>
      </c>
      <c r="T183" s="59" t="str">
        <f t="shared" si="46"/>
        <v/>
      </c>
      <c r="U183" s="59" t="str">
        <f t="shared" si="47"/>
        <v/>
      </c>
      <c r="V183" s="60"/>
      <c r="W183" s="69" t="str">
        <f>IFERROR((VLOOKUP($A183,'Из ГУГЛа'!$B:$Z,W$1,0)+Y183)*X183,VLOOKUP($A183,'Из ГУГЛа'!$B:$Z,W$1,0))</f>
        <v/>
      </c>
      <c r="X183" s="61">
        <v>1</v>
      </c>
      <c r="Y183" s="61">
        <v>0</v>
      </c>
      <c r="Z183" s="62" t="s">
        <v>4170</v>
      </c>
      <c r="AA183" s="60"/>
    </row>
    <row r="184" spans="1:27" ht="45" x14ac:dyDescent="0.25">
      <c r="A184" s="52">
        <v>162914</v>
      </c>
      <c r="B184" s="52">
        <f>VLOOKUP($A184,'Выгр Кат'!$A:$R,B$1,0)</f>
        <v>15449</v>
      </c>
      <c r="C184" s="53" t="str">
        <f>VLOOKUP($A184,'Выгр Кат'!$A:$R,C$1,0)</f>
        <v>Левый задний соединитель порога пола (поддомкратник) для ВАЗ 2108-21099, 2113-2115</v>
      </c>
      <c r="D184" s="52" t="str">
        <f>VLOOKUP($A184,'Выгр Кат'!$A:$R,D$1,0)</f>
        <v>Y</v>
      </c>
      <c r="E184" s="52" t="str">
        <f>VLOOKUP($A184,'Выгр Кат'!$A:$R,E$1,0)</f>
        <v>1</v>
      </c>
      <c r="F184" s="52" t="str">
        <f>VLOOKUP($A184,'Выгр Кат'!$A:$R,F$1,0)</f>
        <v>21080510205563</v>
      </c>
      <c r="G184" s="52" t="str">
        <f>IF(VLOOKUP($A184,'Выгр Кат'!$A:$R,G$1,0)=0,"",VLOOKUP($A184,'Выгр Кат'!$A:$R,G$1,0))</f>
        <v>https://motorring.ru/product/18733-soedinitely-poroga-pola-zadniy-levyy-poddomkratnik-vaz</v>
      </c>
      <c r="H184" s="52"/>
      <c r="I184" s="52"/>
      <c r="J184" s="54">
        <f t="shared" ref="J184:J247" si="54">N184</f>
        <v>100</v>
      </c>
      <c r="K184" s="55">
        <f>VLOOKUP(J184,Наценка!$A$1:$B$8,2,1)</f>
        <v>1.8</v>
      </c>
      <c r="L184" s="56">
        <f t="shared" ref="L184:L247" si="55">J184*K184</f>
        <v>180</v>
      </c>
      <c r="M184" s="57">
        <f t="shared" ref="M184:M247" si="56">IF(L184&lt;=1000,(ROUNDUP(L184,-1)-1),(ROUNDUP(L184,-2)-10))</f>
        <v>179</v>
      </c>
      <c r="N184" s="52">
        <f>VLOOKUP($A184,'Выгр Кат'!$A:$R,N$1,0)</f>
        <v>100</v>
      </c>
      <c r="O184" s="52">
        <f>VLOOKUP($A184,'Выгр Кат'!$A:$R,O$1,0)</f>
        <v>179</v>
      </c>
      <c r="P184" s="47">
        <f t="shared" ref="P184:P247" si="57">N184-J184</f>
        <v>0</v>
      </c>
      <c r="Q184" s="47">
        <f t="shared" ref="Q184:Q247" si="58">O184-M184</f>
        <v>0</v>
      </c>
      <c r="R184" s="58">
        <f t="shared" ref="R184:R247" si="59">IFERROR(ROUND(M184*(1-$R$2),),"")</f>
        <v>179</v>
      </c>
      <c r="S184" s="59">
        <f t="shared" ref="S184:S247" si="60">IFERROR(R184/J184-1,"")</f>
        <v>0.79</v>
      </c>
      <c r="T184" s="59">
        <f t="shared" ref="T184:T247" si="61">IFERROR((V184-R184)/V184,"")</f>
        <v>0.33457249070631973</v>
      </c>
      <c r="U184" s="59">
        <f t="shared" ref="U184:U247" si="62">IFERROR(IF(V184="","",V184/J184-1),"")</f>
        <v>1.69</v>
      </c>
      <c r="V184" s="42">
        <f>Z184</f>
        <v>269</v>
      </c>
      <c r="W184" s="69">
        <f>IFERROR((VLOOKUP($A184,'Из ГУГЛа'!$B:$Z,W$1,0)+Y184)*X184,VLOOKUP($A184,'Из ГУГЛа'!$B:$Z,W$1,0))</f>
        <v>269</v>
      </c>
      <c r="X184" s="61">
        <v>1</v>
      </c>
      <c r="Y184" s="61">
        <v>0</v>
      </c>
      <c r="Z184" s="70">
        <v>269</v>
      </c>
      <c r="AA184" s="60" t="s">
        <v>506</v>
      </c>
    </row>
    <row r="185" spans="1:27" ht="30" x14ac:dyDescent="0.25">
      <c r="A185" s="52">
        <v>214050</v>
      </c>
      <c r="B185" s="52">
        <f>VLOOKUP($A185,'Выгр Кат'!$A:$R,B$1,0)</f>
        <v>15445</v>
      </c>
      <c r="C185" s="53" t="str">
        <f>VLOOKUP($A185,'Выгр Кат'!$A:$R,C$1,0)</f>
        <v>Левый соединитель порога "АвтоВАЗ" для ВАЗ 2108-21099, 2113-2115</v>
      </c>
      <c r="D185" s="52" t="str">
        <f>VLOOKUP($A185,'Выгр Кат'!$A:$R,D$1,0)</f>
        <v>Y</v>
      </c>
      <c r="E185" s="52" t="str">
        <f>VLOOKUP($A185,'Выгр Кат'!$A:$R,E$1,0)</f>
        <v>1</v>
      </c>
      <c r="F185" s="52" t="str">
        <f>VLOOKUP($A185,'Выгр Кат'!$A:$R,F$1,0)</f>
        <v>21080510106700</v>
      </c>
      <c r="G185" s="52" t="str">
        <f>IF(VLOOKUP($A185,'Выгр Кат'!$A:$R,G$1,0)=0,"",VLOOKUP($A185,'Выгр Кат'!$A:$R,G$1,0))</f>
        <v/>
      </c>
      <c r="H185" s="52"/>
      <c r="I185" s="52"/>
      <c r="J185" s="54">
        <f t="shared" si="54"/>
        <v>159</v>
      </c>
      <c r="K185" s="55">
        <f>VLOOKUP(J185,Наценка!$A$1:$B$8,2,1)</f>
        <v>1.8</v>
      </c>
      <c r="L185" s="56">
        <f t="shared" si="55"/>
        <v>286.2</v>
      </c>
      <c r="M185" s="57">
        <f t="shared" si="56"/>
        <v>289</v>
      </c>
      <c r="N185" s="52">
        <f>VLOOKUP($A185,'Выгр Кат'!$A:$R,N$1,0)</f>
        <v>159</v>
      </c>
      <c r="O185" s="52">
        <f>VLOOKUP($A185,'Выгр Кат'!$A:$R,O$1,0)</f>
        <v>289</v>
      </c>
      <c r="P185" s="47">
        <f t="shared" si="57"/>
        <v>0</v>
      </c>
      <c r="Q185" s="47">
        <f t="shared" si="58"/>
        <v>0</v>
      </c>
      <c r="R185" s="58">
        <f t="shared" si="59"/>
        <v>289</v>
      </c>
      <c r="S185" s="59">
        <f t="shared" si="60"/>
        <v>0.8176100628930818</v>
      </c>
      <c r="T185" s="59">
        <f t="shared" si="61"/>
        <v>-0.45226130653266333</v>
      </c>
      <c r="U185" s="59">
        <f t="shared" si="62"/>
        <v>0.2515723270440251</v>
      </c>
      <c r="V185" s="42">
        <f t="shared" ref="V185:V186" si="63">Z185</f>
        <v>199</v>
      </c>
      <c r="W185" s="69">
        <f>IFERROR((VLOOKUP($A185,'Из ГУГЛа'!$B:$Z,W$1,0)+Y185)*X185,VLOOKUP($A185,'Из ГУГЛа'!$B:$Z,W$1,0))</f>
        <v>199</v>
      </c>
      <c r="X185" s="61">
        <v>1</v>
      </c>
      <c r="Y185" s="61">
        <v>0</v>
      </c>
      <c r="Z185" s="60">
        <v>199</v>
      </c>
      <c r="AA185" s="60" t="s">
        <v>4227</v>
      </c>
    </row>
    <row r="186" spans="1:27" ht="45" x14ac:dyDescent="0.25">
      <c r="A186" s="52">
        <v>162917</v>
      </c>
      <c r="B186" s="52">
        <f>VLOOKUP($A186,'Выгр Кат'!$A:$R,B$1,0)</f>
        <v>15447</v>
      </c>
      <c r="C186" s="53" t="str">
        <f>VLOOKUP($A186,'Выгр Кат'!$A:$R,C$1,0)</f>
        <v>Левый соединитель порога пола (поддомкратник) "АвтоВАЗ" для ВАЗ 2108-21099, 2113-2115</v>
      </c>
      <c r="D186" s="52" t="str">
        <f>VLOOKUP($A186,'Выгр Кат'!$A:$R,D$1,0)</f>
        <v>Y</v>
      </c>
      <c r="E186" s="52" t="str">
        <f>VLOOKUP($A186,'Выгр Кат'!$A:$R,E$1,0)</f>
        <v>1</v>
      </c>
      <c r="F186" s="52" t="str">
        <f>VLOOKUP($A186,'Выгр Кат'!$A:$R,F$1,0)</f>
        <v>21080510105520</v>
      </c>
      <c r="G186" s="52" t="str">
        <f>IF(VLOOKUP($A186,'Выгр Кат'!$A:$R,G$1,0)=0,"",VLOOKUP($A186,'Выгр Кат'!$A:$R,G$1,0))</f>
        <v/>
      </c>
      <c r="H186" s="52"/>
      <c r="I186" s="52"/>
      <c r="J186" s="54">
        <f t="shared" si="54"/>
        <v>162</v>
      </c>
      <c r="K186" s="55">
        <f>VLOOKUP(J186,Наценка!$A$1:$B$8,2,1)</f>
        <v>1.8</v>
      </c>
      <c r="L186" s="56">
        <f t="shared" si="55"/>
        <v>291.60000000000002</v>
      </c>
      <c r="M186" s="57">
        <f t="shared" si="56"/>
        <v>299</v>
      </c>
      <c r="N186" s="52">
        <f>VLOOKUP($A186,'Выгр Кат'!$A:$R,N$1,0)</f>
        <v>162</v>
      </c>
      <c r="O186" s="52">
        <f>VLOOKUP($A186,'Выгр Кат'!$A:$R,O$1,0)</f>
        <v>299</v>
      </c>
      <c r="P186" s="47">
        <f t="shared" si="57"/>
        <v>0</v>
      </c>
      <c r="Q186" s="47">
        <f t="shared" si="58"/>
        <v>0</v>
      </c>
      <c r="R186" s="58">
        <f t="shared" si="59"/>
        <v>299</v>
      </c>
      <c r="S186" s="59">
        <f t="shared" si="60"/>
        <v>0.84567901234567899</v>
      </c>
      <c r="T186" s="59">
        <f t="shared" si="61"/>
        <v>-0.11152416356877323</v>
      </c>
      <c r="U186" s="59">
        <f t="shared" si="62"/>
        <v>0.66049382716049387</v>
      </c>
      <c r="V186" s="42">
        <f t="shared" si="63"/>
        <v>269</v>
      </c>
      <c r="W186" s="69">
        <f>IFERROR((VLOOKUP($A186,'Из ГУГЛа'!$B:$Z,W$1,0)+Y186)*X186,VLOOKUP($A186,'Из ГУГЛа'!$B:$Z,W$1,0))</f>
        <v>269</v>
      </c>
      <c r="X186" s="61">
        <v>1</v>
      </c>
      <c r="Y186" s="61">
        <v>0</v>
      </c>
      <c r="Z186" s="60">
        <v>269</v>
      </c>
      <c r="AA186" s="60" t="s">
        <v>506</v>
      </c>
    </row>
    <row r="187" spans="1:27" ht="30" x14ac:dyDescent="0.25">
      <c r="A187" s="52">
        <v>163474</v>
      </c>
      <c r="B187" s="52">
        <f>VLOOKUP($A187,'Выгр Кат'!$A:$R,B$1,0)</f>
        <v>48031</v>
      </c>
      <c r="C187" s="53" t="str">
        <f>VLOOKUP($A187,'Выгр Кат'!$A:$R,C$1,0)</f>
        <v>Лонжерон "АвтоВАЗ" передний левый в сборе для Лада Нива Travel</v>
      </c>
      <c r="D187" s="52" t="str">
        <f>VLOOKUP($A187,'Выгр Кат'!$A:$R,D$1,0)</f>
        <v>Y</v>
      </c>
      <c r="E187" s="52" t="str">
        <f>VLOOKUP($A187,'Выгр Кат'!$A:$R,E$1,0)</f>
        <v>1</v>
      </c>
      <c r="F187" s="52" t="str">
        <f>VLOOKUP($A187,'Выгр Кат'!$A:$R,F$1,0)</f>
        <v>21230840328181</v>
      </c>
      <c r="G187" s="52" t="str">
        <f>IF(VLOOKUP($A187,'Выгр Кат'!$A:$R,G$1,0)=0,"",VLOOKUP($A187,'Выгр Кат'!$A:$R,G$1,0))</f>
        <v/>
      </c>
      <c r="H187" s="52"/>
      <c r="I187" s="52"/>
      <c r="J187" s="54">
        <f t="shared" si="54"/>
        <v>8640</v>
      </c>
      <c r="K187" s="55">
        <f>VLOOKUP(J187,Наценка!$A$1:$B$8,2,1)</f>
        <v>1.35</v>
      </c>
      <c r="L187" s="56">
        <f t="shared" si="55"/>
        <v>11664</v>
      </c>
      <c r="M187" s="57">
        <f t="shared" si="56"/>
        <v>11690</v>
      </c>
      <c r="N187" s="52">
        <f>VLOOKUP($A187,'Выгр Кат'!$A:$R,N$1,0)</f>
        <v>8640</v>
      </c>
      <c r="O187" s="52">
        <f>VLOOKUP($A187,'Выгр Кат'!$A:$R,O$1,0)</f>
        <v>11690</v>
      </c>
      <c r="P187" s="47">
        <f t="shared" si="57"/>
        <v>0</v>
      </c>
      <c r="Q187" s="47">
        <f t="shared" si="58"/>
        <v>0</v>
      </c>
      <c r="R187" s="58">
        <f t="shared" si="59"/>
        <v>11690</v>
      </c>
      <c r="S187" s="59">
        <f t="shared" si="60"/>
        <v>0.3530092592592593</v>
      </c>
      <c r="T187" s="59" t="str">
        <f t="shared" si="61"/>
        <v/>
      </c>
      <c r="U187" s="59" t="str">
        <f t="shared" si="62"/>
        <v/>
      </c>
      <c r="V187" s="60"/>
      <c r="W187" s="69" t="str">
        <f>IFERROR((VLOOKUP($A187,'Из ГУГЛа'!$B:$Z,W$1,0)+Y187)*X187,VLOOKUP($A187,'Из ГУГЛа'!$B:$Z,W$1,0))</f>
        <v/>
      </c>
      <c r="X187" s="61">
        <v>1</v>
      </c>
      <c r="Y187" s="61">
        <v>0</v>
      </c>
      <c r="Z187" s="60" t="s">
        <v>4170</v>
      </c>
      <c r="AA187" s="60"/>
    </row>
    <row r="188" spans="1:27" ht="30" x14ac:dyDescent="0.25">
      <c r="A188" s="52">
        <v>163475</v>
      </c>
      <c r="B188" s="52">
        <f>VLOOKUP($A188,'Выгр Кат'!$A:$R,B$1,0)</f>
        <v>52996</v>
      </c>
      <c r="C188" s="53" t="str">
        <f>VLOOKUP($A188,'Выгр Кат'!$A:$R,C$1,0)</f>
        <v>Лонжерон "АвтоВАЗ" передний правый в сборе для Лада Ларгус</v>
      </c>
      <c r="D188" s="52" t="str">
        <f>VLOOKUP($A188,'Выгр Кат'!$A:$R,D$1,0)</f>
        <v>Y</v>
      </c>
      <c r="E188" s="52" t="str">
        <f>VLOOKUP($A188,'Выгр Кат'!$A:$R,E$1,0)</f>
        <v>1</v>
      </c>
      <c r="F188" s="52" t="str">
        <f>VLOOKUP($A188,'Выгр Кат'!$A:$R,F$1,0)</f>
        <v>8450106526</v>
      </c>
      <c r="G188" s="52" t="str">
        <f>IF(VLOOKUP($A188,'Выгр Кат'!$A:$R,G$1,0)=0,"",VLOOKUP($A188,'Выгр Кат'!$A:$R,G$1,0))</f>
        <v/>
      </c>
      <c r="H188" s="52"/>
      <c r="I188" s="52"/>
      <c r="J188" s="54">
        <f t="shared" si="54"/>
        <v>11603.11</v>
      </c>
      <c r="K188" s="55">
        <f>VLOOKUP(J188,Наценка!$A$1:$B$8,2,1)</f>
        <v>1.3</v>
      </c>
      <c r="L188" s="56">
        <f t="shared" si="55"/>
        <v>15084.043000000001</v>
      </c>
      <c r="M188" s="57">
        <f t="shared" si="56"/>
        <v>15090</v>
      </c>
      <c r="N188" s="52">
        <f>VLOOKUP($A188,'Выгр Кат'!$A:$R,N$1,0)</f>
        <v>11603.11</v>
      </c>
      <c r="O188" s="52">
        <f>VLOOKUP($A188,'Выгр Кат'!$A:$R,O$1,0)</f>
        <v>15090</v>
      </c>
      <c r="P188" s="47">
        <f t="shared" si="57"/>
        <v>0</v>
      </c>
      <c r="Q188" s="47">
        <f t="shared" si="58"/>
        <v>0</v>
      </c>
      <c r="R188" s="58">
        <f t="shared" si="59"/>
        <v>15090</v>
      </c>
      <c r="S188" s="59">
        <f t="shared" si="60"/>
        <v>0.30051339683929568</v>
      </c>
      <c r="T188" s="59" t="str">
        <f t="shared" si="61"/>
        <v/>
      </c>
      <c r="U188" s="59" t="str">
        <f t="shared" si="62"/>
        <v/>
      </c>
      <c r="V188" s="60"/>
      <c r="W188" s="69" t="str">
        <f>IFERROR((VLOOKUP($A188,'Из ГУГЛа'!$B:$Z,W$1,0)+Y188)*X188,VLOOKUP($A188,'Из ГУГЛа'!$B:$Z,W$1,0))</f>
        <v/>
      </c>
      <c r="X188" s="61">
        <v>1</v>
      </c>
      <c r="Y188" s="61">
        <v>0</v>
      </c>
      <c r="Z188" s="60" t="s">
        <v>4170</v>
      </c>
      <c r="AA188" s="60"/>
    </row>
    <row r="189" spans="1:27" ht="30" x14ac:dyDescent="0.25">
      <c r="A189" s="52">
        <v>163476</v>
      </c>
      <c r="B189" s="52">
        <f>VLOOKUP($A189,'Выгр Кат'!$A:$R,B$1,0)</f>
        <v>48028</v>
      </c>
      <c r="C189" s="53" t="str">
        <f>VLOOKUP($A189,'Выгр Кат'!$A:$R,C$1,0)</f>
        <v>Лонжерон "АвтоВАЗ" передний правый в сборе для Лада Нива Travel</v>
      </c>
      <c r="D189" s="52" t="str">
        <f>VLOOKUP($A189,'Выгр Кат'!$A:$R,D$1,0)</f>
        <v>Y</v>
      </c>
      <c r="E189" s="52" t="str">
        <f>VLOOKUP($A189,'Выгр Кат'!$A:$R,E$1,0)</f>
        <v>1</v>
      </c>
      <c r="F189" s="52" t="str">
        <f>VLOOKUP($A189,'Выгр Кат'!$A:$R,F$1,0)</f>
        <v>21230840328081</v>
      </c>
      <c r="G189" s="52" t="str">
        <f>IF(VLOOKUP($A189,'Выгр Кат'!$A:$R,G$1,0)=0,"",VLOOKUP($A189,'Выгр Кат'!$A:$R,G$1,0))</f>
        <v/>
      </c>
      <c r="H189" s="52"/>
      <c r="I189" s="52"/>
      <c r="J189" s="54">
        <f t="shared" si="54"/>
        <v>9200</v>
      </c>
      <c r="K189" s="55">
        <f>VLOOKUP(J189,Наценка!$A$1:$B$8,2,1)</f>
        <v>1.35</v>
      </c>
      <c r="L189" s="56">
        <f t="shared" si="55"/>
        <v>12420</v>
      </c>
      <c r="M189" s="57">
        <f t="shared" si="56"/>
        <v>12490</v>
      </c>
      <c r="N189" s="52">
        <f>VLOOKUP($A189,'Выгр Кат'!$A:$R,N$1,0)</f>
        <v>9200</v>
      </c>
      <c r="O189" s="52">
        <f>VLOOKUP($A189,'Выгр Кат'!$A:$R,O$1,0)</f>
        <v>12490</v>
      </c>
      <c r="P189" s="47">
        <f t="shared" si="57"/>
        <v>0</v>
      </c>
      <c r="Q189" s="47">
        <f t="shared" si="58"/>
        <v>0</v>
      </c>
      <c r="R189" s="58">
        <f t="shared" si="59"/>
        <v>12490</v>
      </c>
      <c r="S189" s="59">
        <f t="shared" si="60"/>
        <v>0.35760869565217401</v>
      </c>
      <c r="T189" s="59" t="str">
        <f t="shared" si="61"/>
        <v/>
      </c>
      <c r="U189" s="59" t="str">
        <f t="shared" si="62"/>
        <v/>
      </c>
      <c r="V189" s="60"/>
      <c r="W189" s="69" t="str">
        <f>IFERROR((VLOOKUP($A189,'Из ГУГЛа'!$B:$Z,W$1,0)+Y189)*X189,VLOOKUP($A189,'Из ГУГЛа'!$B:$Z,W$1,0))</f>
        <v/>
      </c>
      <c r="X189" s="61">
        <v>1</v>
      </c>
      <c r="Y189" s="61">
        <v>0</v>
      </c>
      <c r="Z189" s="60" t="s">
        <v>4170</v>
      </c>
      <c r="AA189" s="60"/>
    </row>
    <row r="190" spans="1:27" ht="30" x14ac:dyDescent="0.25">
      <c r="A190" s="52">
        <v>163477</v>
      </c>
      <c r="B190" s="52">
        <f>VLOOKUP($A190,'Выгр Кат'!$A:$R,B$1,0)</f>
        <v>32529</v>
      </c>
      <c r="C190" s="53" t="str">
        <f>VLOOKUP($A190,'Выгр Кат'!$A:$R,C$1,0)</f>
        <v>Лонжерон заднего пола "АвтоВАЗ" левый для ВАЗ 2108-21099, 2113-2115</v>
      </c>
      <c r="D190" s="52" t="str">
        <f>VLOOKUP($A190,'Выгр Кат'!$A:$R,D$1,0)</f>
        <v>Y</v>
      </c>
      <c r="E190" s="52" t="str">
        <f>VLOOKUP($A190,'Выгр Кат'!$A:$R,E$1,0)</f>
        <v>1</v>
      </c>
      <c r="F190" s="52" t="str">
        <f>VLOOKUP($A190,'Выгр Кат'!$A:$R,F$1,0)</f>
        <v>21080510137300</v>
      </c>
      <c r="G190" s="52" t="str">
        <f>IF(VLOOKUP($A190,'Выгр Кат'!$A:$R,G$1,0)=0,"",VLOOKUP($A190,'Выгр Кат'!$A:$R,G$1,0))</f>
        <v/>
      </c>
      <c r="H190" s="52"/>
      <c r="I190" s="52"/>
      <c r="J190" s="54">
        <f t="shared" si="54"/>
        <v>2292</v>
      </c>
      <c r="K190" s="55">
        <f>VLOOKUP(J190,Наценка!$A$1:$B$8,2,1)</f>
        <v>1.4</v>
      </c>
      <c r="L190" s="56">
        <f t="shared" si="55"/>
        <v>3208.7999999999997</v>
      </c>
      <c r="M190" s="57">
        <f t="shared" si="56"/>
        <v>3290</v>
      </c>
      <c r="N190" s="52">
        <f>VLOOKUP($A190,'Выгр Кат'!$A:$R,N$1,0)</f>
        <v>2292</v>
      </c>
      <c r="O190" s="52">
        <f>VLOOKUP($A190,'Выгр Кат'!$A:$R,O$1,0)</f>
        <v>3290</v>
      </c>
      <c r="P190" s="47">
        <f t="shared" si="57"/>
        <v>0</v>
      </c>
      <c r="Q190" s="47">
        <f t="shared" si="58"/>
        <v>0</v>
      </c>
      <c r="R190" s="58">
        <f t="shared" si="59"/>
        <v>3290</v>
      </c>
      <c r="S190" s="59">
        <f t="shared" si="60"/>
        <v>0.43542757417102962</v>
      </c>
      <c r="T190" s="59" t="str">
        <f t="shared" si="61"/>
        <v/>
      </c>
      <c r="U190" s="59" t="str">
        <f t="shared" si="62"/>
        <v/>
      </c>
      <c r="V190" s="60"/>
      <c r="W190" s="69" t="str">
        <f>IFERROR((VLOOKUP($A190,'Из ГУГЛа'!$B:$Z,W$1,0)+Y190)*X190,VLOOKUP($A190,'Из ГУГЛа'!$B:$Z,W$1,0))</f>
        <v/>
      </c>
      <c r="X190" s="61">
        <v>1</v>
      </c>
      <c r="Y190" s="61">
        <v>0</v>
      </c>
      <c r="Z190" s="60" t="s">
        <v>4170</v>
      </c>
      <c r="AA190" s="60"/>
    </row>
    <row r="191" spans="1:27" ht="45" x14ac:dyDescent="0.25">
      <c r="A191" s="52">
        <v>163478</v>
      </c>
      <c r="B191" s="52">
        <f>VLOOKUP($A191,'Выгр Кат'!$A:$R,B$1,0)</f>
        <v>31416</v>
      </c>
      <c r="C191" s="53" t="str">
        <f>VLOOKUP($A191,'Выгр Кат'!$A:$R,C$1,0)</f>
        <v>Лонжерон заднего пола (катафорез) "АвтоВАЗ" правый для ВАЗ 2108-21099, 2113-2115</v>
      </c>
      <c r="D191" s="52" t="str">
        <f>VLOOKUP($A191,'Выгр Кат'!$A:$R,D$1,0)</f>
        <v>Y</v>
      </c>
      <c r="E191" s="52" t="str">
        <f>VLOOKUP($A191,'Выгр Кат'!$A:$R,E$1,0)</f>
        <v>1ск1</v>
      </c>
      <c r="F191" s="52" t="str">
        <f>VLOOKUP($A191,'Выгр Кат'!$A:$R,F$1,0)</f>
        <v>21099510137220</v>
      </c>
      <c r="G191" s="52" t="str">
        <f>IF(VLOOKUP($A191,'Выгр Кат'!$A:$R,G$1,0)=0,"",VLOOKUP($A191,'Выгр Кат'!$A:$R,G$1,0))</f>
        <v/>
      </c>
      <c r="H191" s="52"/>
      <c r="I191" s="52"/>
      <c r="J191" s="54">
        <f t="shared" si="54"/>
        <v>3102</v>
      </c>
      <c r="K191" s="55">
        <f>VLOOKUP(J191,Наценка!$A$1:$B$8,2,1)</f>
        <v>1.4</v>
      </c>
      <c r="L191" s="56">
        <f t="shared" si="55"/>
        <v>4342.7999999999993</v>
      </c>
      <c r="M191" s="57">
        <f t="shared" si="56"/>
        <v>4390</v>
      </c>
      <c r="N191" s="52">
        <f>VLOOKUP($A191,'Выгр Кат'!$A:$R,N$1,0)</f>
        <v>3102</v>
      </c>
      <c r="O191" s="52">
        <f>VLOOKUP($A191,'Выгр Кат'!$A:$R,O$1,0)</f>
        <v>4390</v>
      </c>
      <c r="P191" s="47">
        <f t="shared" si="57"/>
        <v>0</v>
      </c>
      <c r="Q191" s="47">
        <f t="shared" si="58"/>
        <v>0</v>
      </c>
      <c r="R191" s="58">
        <f t="shared" si="59"/>
        <v>4390</v>
      </c>
      <c r="S191" s="59">
        <f t="shared" si="60"/>
        <v>0.4152159896840748</v>
      </c>
      <c r="T191" s="59" t="str">
        <f t="shared" si="61"/>
        <v/>
      </c>
      <c r="U191" s="59" t="str">
        <f t="shared" si="62"/>
        <v/>
      </c>
      <c r="V191" s="60"/>
      <c r="W191" s="69" t="str">
        <f>IFERROR((VLOOKUP($A191,'Из ГУГЛа'!$B:$Z,W$1,0)+Y191)*X191,VLOOKUP($A191,'Из ГУГЛа'!$B:$Z,W$1,0))</f>
        <v/>
      </c>
      <c r="X191" s="61">
        <v>1</v>
      </c>
      <c r="Y191" s="61">
        <v>0</v>
      </c>
      <c r="Z191" s="60" t="s">
        <v>4170</v>
      </c>
      <c r="AA191" s="60"/>
    </row>
    <row r="192" spans="1:27" ht="30" x14ac:dyDescent="0.25">
      <c r="A192" s="52">
        <v>363635</v>
      </c>
      <c r="B192" s="52">
        <f>VLOOKUP($A192,'Выгр Кат'!$A:$R,B$1,0)</f>
        <v>363635</v>
      </c>
      <c r="C192" s="53" t="str">
        <f>VLOOKUP($A192,'Выгр Кат'!$A:$R,C$1,0)</f>
        <v>Лонжерон задний левый для ВАЗ 2108-21099, 2113-2115</v>
      </c>
      <c r="D192" s="52" t="str">
        <f>VLOOKUP($A192,'Выгр Кат'!$A:$R,D$1,0)</f>
        <v>Y</v>
      </c>
      <c r="E192" s="52" t="str">
        <f>VLOOKUP($A192,'Выгр Кат'!$A:$R,E$1,0)</f>
        <v>1ск1</v>
      </c>
      <c r="F192" s="52" t="str">
        <f>VLOOKUP($A192,'Выгр Кат'!$A:$R,F$1,0)</f>
        <v>2108510137355</v>
      </c>
      <c r="G192" s="52" t="str">
        <f>IF(VLOOKUP($A192,'Выгр Кат'!$A:$R,G$1,0)=0,"",VLOOKUP($A192,'Выгр Кат'!$A:$R,G$1,0))</f>
        <v/>
      </c>
      <c r="H192" s="52"/>
      <c r="I192" s="52"/>
      <c r="J192" s="54">
        <f t="shared" si="54"/>
        <v>0</v>
      </c>
      <c r="K192" s="55" t="e">
        <f>VLOOKUP(J192,Наценка!$A$1:$B$8,2,1)</f>
        <v>#N/A</v>
      </c>
      <c r="L192" s="56" t="e">
        <f t="shared" si="55"/>
        <v>#N/A</v>
      </c>
      <c r="M192" s="57" t="e">
        <f t="shared" si="56"/>
        <v>#N/A</v>
      </c>
      <c r="N192" s="52">
        <f>VLOOKUP($A192,'Выгр Кат'!$A:$R,N$1,0)</f>
        <v>0</v>
      </c>
      <c r="O192" s="52">
        <f>VLOOKUP($A192,'Выгр Кат'!$A:$R,O$1,0)</f>
        <v>0</v>
      </c>
      <c r="P192" s="47">
        <f t="shared" si="57"/>
        <v>0</v>
      </c>
      <c r="Q192" s="47" t="e">
        <f t="shared" si="58"/>
        <v>#N/A</v>
      </c>
      <c r="R192" s="58" t="str">
        <f t="shared" si="59"/>
        <v/>
      </c>
      <c r="S192" s="59" t="str">
        <f t="shared" si="60"/>
        <v/>
      </c>
      <c r="T192" s="59" t="str">
        <f t="shared" si="61"/>
        <v/>
      </c>
      <c r="U192" s="59" t="str">
        <f t="shared" si="62"/>
        <v/>
      </c>
      <c r="V192" s="60"/>
      <c r="W192" s="69" t="str">
        <f>IFERROR((VLOOKUP($A192,'Из ГУГЛа'!$B:$Z,W$1,0)+Y192)*X192,VLOOKUP($A192,'Из ГУГЛа'!$B:$Z,W$1,0))</f>
        <v/>
      </c>
      <c r="X192" s="61">
        <v>1</v>
      </c>
      <c r="Y192" s="61">
        <v>0</v>
      </c>
      <c r="Z192" s="60" t="s">
        <v>4170</v>
      </c>
      <c r="AA192" s="60"/>
    </row>
    <row r="193" spans="1:27" ht="30" x14ac:dyDescent="0.25">
      <c r="A193" s="52">
        <v>163479</v>
      </c>
      <c r="B193" s="52">
        <f>VLOOKUP($A193,'Выгр Кат'!$A:$R,B$1,0)</f>
        <v>31006</v>
      </c>
      <c r="C193" s="53" t="str">
        <f>VLOOKUP($A193,'Выгр Кат'!$A:$R,C$1,0)</f>
        <v>Лонжерон задний правый "АвтоВАЗ" в сборе для Лада Ларгус</v>
      </c>
      <c r="D193" s="52" t="str">
        <f>VLOOKUP($A193,'Выгр Кат'!$A:$R,D$1,0)</f>
        <v>Y</v>
      </c>
      <c r="E193" s="52" t="str">
        <f>VLOOKUP($A193,'Выгр Кат'!$A:$R,E$1,0)</f>
        <v>1</v>
      </c>
      <c r="F193" s="52" t="str">
        <f>VLOOKUP($A193,'Выгр Кат'!$A:$R,F$1,0)</f>
        <v>8201034230</v>
      </c>
      <c r="G193" s="52" t="str">
        <f>IF(VLOOKUP($A193,'Выгр Кат'!$A:$R,G$1,0)=0,"",VLOOKUP($A193,'Выгр Кат'!$A:$R,G$1,0))</f>
        <v/>
      </c>
      <c r="H193" s="52"/>
      <c r="I193" s="52"/>
      <c r="J193" s="54">
        <f t="shared" si="54"/>
        <v>25746.82</v>
      </c>
      <c r="K193" s="55">
        <f>VLOOKUP(J193,Наценка!$A$1:$B$8,2,1)</f>
        <v>1.3</v>
      </c>
      <c r="L193" s="56">
        <f t="shared" si="55"/>
        <v>33470.866000000002</v>
      </c>
      <c r="M193" s="57">
        <f t="shared" si="56"/>
        <v>33490</v>
      </c>
      <c r="N193" s="52">
        <f>VLOOKUP($A193,'Выгр Кат'!$A:$R,N$1,0)</f>
        <v>25746.82</v>
      </c>
      <c r="O193" s="52">
        <f>VLOOKUP($A193,'Выгр Кат'!$A:$R,O$1,0)</f>
        <v>33490</v>
      </c>
      <c r="P193" s="47">
        <f t="shared" si="57"/>
        <v>0</v>
      </c>
      <c r="Q193" s="47">
        <f t="shared" si="58"/>
        <v>0</v>
      </c>
      <c r="R193" s="58">
        <f t="shared" si="59"/>
        <v>33490</v>
      </c>
      <c r="S193" s="59">
        <f t="shared" si="60"/>
        <v>0.3007431597377852</v>
      </c>
      <c r="T193" s="59" t="str">
        <f t="shared" si="61"/>
        <v/>
      </c>
      <c r="U193" s="59" t="str">
        <f t="shared" si="62"/>
        <v/>
      </c>
      <c r="V193" s="60"/>
      <c r="W193" s="69" t="str">
        <f>IFERROR((VLOOKUP($A193,'Из ГУГЛа'!$B:$Z,W$1,0)+Y193)*X193,VLOOKUP($A193,'Из ГУГЛа'!$B:$Z,W$1,0))</f>
        <v/>
      </c>
      <c r="X193" s="61">
        <v>1</v>
      </c>
      <c r="Y193" s="61">
        <v>0</v>
      </c>
      <c r="Z193" s="60" t="s">
        <v>4170</v>
      </c>
      <c r="AA193" s="60"/>
    </row>
    <row r="194" spans="1:27" ht="30" x14ac:dyDescent="0.25">
      <c r="A194" s="52">
        <v>163480</v>
      </c>
      <c r="B194" s="52">
        <f>VLOOKUP($A194,'Выгр Кат'!$A:$R,B$1,0)</f>
        <v>31095</v>
      </c>
      <c r="C194" s="53" t="str">
        <f>VLOOKUP($A194,'Выгр Кат'!$A:$R,C$1,0)</f>
        <v>Лонжерон передний "Renault" правый в сборе для Лада XRAY</v>
      </c>
      <c r="D194" s="52" t="str">
        <f>VLOOKUP($A194,'Выгр Кат'!$A:$R,D$1,0)</f>
        <v>Y</v>
      </c>
      <c r="E194" s="52" t="str">
        <f>VLOOKUP($A194,'Выгр Кат'!$A:$R,E$1,0)</f>
        <v>1</v>
      </c>
      <c r="F194" s="52" t="str">
        <f>VLOOKUP($A194,'Выгр Кат'!$A:$R,F$1,0)</f>
        <v>751102806R</v>
      </c>
      <c r="G194" s="52" t="str">
        <f>IF(VLOOKUP($A194,'Выгр Кат'!$A:$R,G$1,0)=0,"",VLOOKUP($A194,'Выгр Кат'!$A:$R,G$1,0))</f>
        <v>https://motorring.ru/product/36809-longheron-peredniy-pravyy-sbore-dlya-lada-iks-rey-iks-rey</v>
      </c>
      <c r="H194" s="52"/>
      <c r="I194" s="52"/>
      <c r="J194" s="54">
        <f t="shared" si="54"/>
        <v>18000</v>
      </c>
      <c r="K194" s="55">
        <f>VLOOKUP(J194,Наценка!$A$1:$B$8,2,1)</f>
        <v>1.3</v>
      </c>
      <c r="L194" s="56">
        <f t="shared" si="55"/>
        <v>23400</v>
      </c>
      <c r="M194" s="57">
        <f t="shared" si="56"/>
        <v>23390</v>
      </c>
      <c r="N194" s="52">
        <f>VLOOKUP($A194,'Выгр Кат'!$A:$R,N$1,0)</f>
        <v>18000</v>
      </c>
      <c r="O194" s="52">
        <f>VLOOKUP($A194,'Выгр Кат'!$A:$R,O$1,0)</f>
        <v>25190</v>
      </c>
      <c r="P194" s="47">
        <f t="shared" si="57"/>
        <v>0</v>
      </c>
      <c r="Q194" s="47">
        <f t="shared" si="58"/>
        <v>1800</v>
      </c>
      <c r="R194" s="58">
        <f t="shared" si="59"/>
        <v>23390</v>
      </c>
      <c r="S194" s="59">
        <f t="shared" si="60"/>
        <v>0.2994444444444444</v>
      </c>
      <c r="T194" s="59">
        <f t="shared" si="61"/>
        <v>-4.0017785682525564E-2</v>
      </c>
      <c r="U194" s="59">
        <f t="shared" si="62"/>
        <v>0.24944444444444436</v>
      </c>
      <c r="V194" s="42">
        <f t="shared" ref="V194:V195" si="64">Z194</f>
        <v>22490</v>
      </c>
      <c r="W194" s="69">
        <f>IFERROR((VLOOKUP($A194,'Из ГУГЛа'!$B:$Z,W$1,0)+Y194)*X194,VLOOKUP($A194,'Из ГУГЛа'!$B:$Z,W$1,0))</f>
        <v>22490</v>
      </c>
      <c r="X194" s="61">
        <v>1</v>
      </c>
      <c r="Y194" s="61">
        <v>0</v>
      </c>
      <c r="Z194" s="70">
        <v>22490</v>
      </c>
      <c r="AA194" s="60" t="s">
        <v>528</v>
      </c>
    </row>
    <row r="195" spans="1:27" ht="45" x14ac:dyDescent="0.25">
      <c r="A195" s="52">
        <v>163481</v>
      </c>
      <c r="B195" s="52">
        <f>VLOOKUP($A195,'Выгр Кат'!$A:$R,B$1,0)</f>
        <v>23549</v>
      </c>
      <c r="C195" s="53" t="str">
        <f>VLOOKUP($A195,'Выгр Кат'!$A:$R,C$1,0)</f>
        <v>Лонжерон передний "АвтоВАЗ" (правый) в сборе для ВАЗ 2110-2112, Лада Приора</v>
      </c>
      <c r="D195" s="52" t="str">
        <f>VLOOKUP($A195,'Выгр Кат'!$A:$R,D$1,0)</f>
        <v>Y</v>
      </c>
      <c r="E195" s="52" t="str">
        <f>VLOOKUP($A195,'Выгр Кат'!$A:$R,E$1,0)</f>
        <v>1</v>
      </c>
      <c r="F195" s="52" t="str">
        <f>VLOOKUP($A195,'Выгр Кат'!$A:$R,F$1,0)</f>
        <v>21100840328263</v>
      </c>
      <c r="G195" s="52" t="str">
        <f>IF(VLOOKUP($A195,'Выгр Кат'!$A:$R,G$1,0)=0,"",VLOOKUP($A195,'Выгр Кат'!$A:$R,G$1,0))</f>
        <v>https://motorring.ru/product/17241-longheron-peredniy-pravyy-sbore-vaz-2110-2111-2112</v>
      </c>
      <c r="H195" s="52"/>
      <c r="I195" s="52"/>
      <c r="J195" s="54">
        <f t="shared" si="54"/>
        <v>7413</v>
      </c>
      <c r="K195" s="55">
        <f>VLOOKUP(J195,Наценка!$A$1:$B$8,2,1)</f>
        <v>1.35</v>
      </c>
      <c r="L195" s="56">
        <f t="shared" si="55"/>
        <v>10007.550000000001</v>
      </c>
      <c r="M195" s="57">
        <f t="shared" si="56"/>
        <v>10090</v>
      </c>
      <c r="N195" s="52">
        <f>VLOOKUP($A195,'Выгр Кат'!$A:$R,N$1,0)</f>
        <v>7413</v>
      </c>
      <c r="O195" s="52">
        <f>VLOOKUP($A195,'Выгр Кат'!$A:$R,O$1,0)</f>
        <v>10390</v>
      </c>
      <c r="P195" s="47">
        <f t="shared" si="57"/>
        <v>0</v>
      </c>
      <c r="Q195" s="47">
        <f t="shared" si="58"/>
        <v>300</v>
      </c>
      <c r="R195" s="58">
        <f t="shared" si="59"/>
        <v>10090</v>
      </c>
      <c r="S195" s="59">
        <f t="shared" si="60"/>
        <v>0.36112235262376902</v>
      </c>
      <c r="T195" s="59">
        <f t="shared" si="61"/>
        <v>-0.40333796940194716</v>
      </c>
      <c r="U195" s="59">
        <f t="shared" si="62"/>
        <v>-3.0082287872656099E-2</v>
      </c>
      <c r="V195" s="42">
        <f t="shared" si="64"/>
        <v>7190</v>
      </c>
      <c r="W195" s="69">
        <f>IFERROR((VLOOKUP($A195,'Из ГУГЛа'!$B:$Z,W$1,0)+Y195)*X195,VLOOKUP($A195,'Из ГУГЛа'!$B:$Z,W$1,0))</f>
        <v>7190</v>
      </c>
      <c r="X195" s="61">
        <v>1</v>
      </c>
      <c r="Y195" s="61">
        <v>0</v>
      </c>
      <c r="Z195" s="70">
        <v>7190</v>
      </c>
      <c r="AA195" s="60" t="s">
        <v>531</v>
      </c>
    </row>
    <row r="196" spans="1:27" ht="30" x14ac:dyDescent="0.25">
      <c r="A196" s="52">
        <v>163482</v>
      </c>
      <c r="B196" s="52">
        <f>VLOOKUP($A196,'Выгр Кат'!$A:$R,B$1,0)</f>
        <v>53047</v>
      </c>
      <c r="C196" s="53" t="str">
        <f>VLOOKUP($A196,'Выгр Кат'!$A:$R,C$1,0)</f>
        <v>Лонжерон передний "АвтоВАЗ" левый в сборе (запчасть) для Лада Ларгус FL</v>
      </c>
      <c r="D196" s="52" t="str">
        <f>VLOOKUP($A196,'Выгр Кат'!$A:$R,D$1,0)</f>
        <v>Y</v>
      </c>
      <c r="E196" s="52" t="str">
        <f>VLOOKUP($A196,'Выгр Кат'!$A:$R,E$1,0)</f>
        <v>1</v>
      </c>
      <c r="F196" s="52" t="str">
        <f>VLOOKUP($A196,'Выгр Кат'!$A:$R,F$1,0)</f>
        <v>8460006783</v>
      </c>
      <c r="G196" s="52" t="str">
        <f>IF(VLOOKUP($A196,'Выгр Кат'!$A:$R,G$1,0)=0,"",VLOOKUP($A196,'Выгр Кат'!$A:$R,G$1,0))</f>
        <v/>
      </c>
      <c r="H196" s="52"/>
      <c r="I196" s="52"/>
      <c r="J196" s="54">
        <f t="shared" si="54"/>
        <v>5064.42</v>
      </c>
      <c r="K196" s="55">
        <f>VLOOKUP(J196,Наценка!$A$1:$B$8,2,1)</f>
        <v>1.35</v>
      </c>
      <c r="L196" s="56">
        <f t="shared" si="55"/>
        <v>6836.9670000000006</v>
      </c>
      <c r="M196" s="57">
        <f t="shared" si="56"/>
        <v>6890</v>
      </c>
      <c r="N196" s="52">
        <f>VLOOKUP($A196,'Выгр Кат'!$A:$R,N$1,0)</f>
        <v>5064.42</v>
      </c>
      <c r="O196" s="52">
        <f>VLOOKUP($A196,'Выгр Кат'!$A:$R,O$1,0)</f>
        <v>6890</v>
      </c>
      <c r="P196" s="47">
        <f t="shared" si="57"/>
        <v>0</v>
      </c>
      <c r="Q196" s="47">
        <f t="shared" si="58"/>
        <v>0</v>
      </c>
      <c r="R196" s="58">
        <f t="shared" si="59"/>
        <v>6890</v>
      </c>
      <c r="S196" s="59">
        <f t="shared" si="60"/>
        <v>0.36047168283831121</v>
      </c>
      <c r="T196" s="59" t="str">
        <f t="shared" si="61"/>
        <v/>
      </c>
      <c r="U196" s="59" t="str">
        <f t="shared" si="62"/>
        <v/>
      </c>
      <c r="V196" s="60"/>
      <c r="W196" s="69" t="str">
        <f>IFERROR((VLOOKUP($A196,'Из ГУГЛа'!$B:$Z,W$1,0)+Y196)*X196,VLOOKUP($A196,'Из ГУГЛа'!$B:$Z,W$1,0))</f>
        <v/>
      </c>
      <c r="X196" s="61">
        <v>1</v>
      </c>
      <c r="Y196" s="61">
        <v>0</v>
      </c>
      <c r="Z196" s="60" t="s">
        <v>4170</v>
      </c>
      <c r="AA196" s="60"/>
    </row>
    <row r="197" spans="1:27" ht="30" x14ac:dyDescent="0.25">
      <c r="A197" s="52">
        <v>163483</v>
      </c>
      <c r="B197" s="52">
        <f>VLOOKUP($A197,'Выгр Кат'!$A:$R,B$1,0)</f>
        <v>31094</v>
      </c>
      <c r="C197" s="53" t="str">
        <f>VLOOKUP($A197,'Выгр Кат'!$A:$R,C$1,0)</f>
        <v>Лонжерон передний "АвтоВАЗ" левый для Лада XRAY</v>
      </c>
      <c r="D197" s="52" t="str">
        <f>VLOOKUP($A197,'Выгр Кат'!$A:$R,D$1,0)</f>
        <v>Y</v>
      </c>
      <c r="E197" s="52" t="str">
        <f>VLOOKUP($A197,'Выгр Кат'!$A:$R,E$1,0)</f>
        <v>1</v>
      </c>
      <c r="F197" s="52" t="str">
        <f>VLOOKUP($A197,'Выгр Кат'!$A:$R,F$1,0)</f>
        <v>751119828R</v>
      </c>
      <c r="G197" s="52" t="str">
        <f>IF(VLOOKUP($A197,'Выгр Кат'!$A:$R,G$1,0)=0,"",VLOOKUP($A197,'Выгр Кат'!$A:$R,G$1,0))</f>
        <v/>
      </c>
      <c r="H197" s="52"/>
      <c r="I197" s="52"/>
      <c r="J197" s="54">
        <f t="shared" si="54"/>
        <v>12401</v>
      </c>
      <c r="K197" s="55">
        <f>VLOOKUP(J197,Наценка!$A$1:$B$8,2,1)</f>
        <v>1.3</v>
      </c>
      <c r="L197" s="56">
        <f t="shared" si="55"/>
        <v>16121.300000000001</v>
      </c>
      <c r="M197" s="57">
        <f t="shared" si="56"/>
        <v>16190</v>
      </c>
      <c r="N197" s="52">
        <f>VLOOKUP($A197,'Выгр Кат'!$A:$R,N$1,0)</f>
        <v>12401</v>
      </c>
      <c r="O197" s="52">
        <f>VLOOKUP($A197,'Выгр Кат'!$A:$R,O$1,0)</f>
        <v>17390</v>
      </c>
      <c r="P197" s="47">
        <f t="shared" si="57"/>
        <v>0</v>
      </c>
      <c r="Q197" s="47">
        <f t="shared" si="58"/>
        <v>1200</v>
      </c>
      <c r="R197" s="58">
        <f t="shared" si="59"/>
        <v>16190</v>
      </c>
      <c r="S197" s="59">
        <f t="shared" si="60"/>
        <v>0.30553987581646647</v>
      </c>
      <c r="T197" s="59" t="str">
        <f t="shared" si="61"/>
        <v/>
      </c>
      <c r="U197" s="59" t="str">
        <f t="shared" si="62"/>
        <v/>
      </c>
      <c r="V197" s="60"/>
      <c r="W197" s="69" t="str">
        <f>IFERROR((VLOOKUP($A197,'Из ГУГЛа'!$B:$Z,W$1,0)+Y197)*X197,VLOOKUP($A197,'Из ГУГЛа'!$B:$Z,W$1,0))</f>
        <v/>
      </c>
      <c r="X197" s="61">
        <v>1</v>
      </c>
      <c r="Y197" s="61">
        <v>0</v>
      </c>
      <c r="Z197" s="62" t="s">
        <v>4170</v>
      </c>
      <c r="AA197" s="60"/>
    </row>
    <row r="198" spans="1:27" ht="45" x14ac:dyDescent="0.25">
      <c r="A198" s="52">
        <v>163484</v>
      </c>
      <c r="B198" s="52">
        <f>VLOOKUP($A198,'Выгр Кат'!$A:$R,B$1,0)</f>
        <v>41676</v>
      </c>
      <c r="C198" s="53" t="str">
        <f>VLOOKUP($A198,'Выгр Кат'!$A:$R,C$1,0)</f>
        <v>Лонжерон передний "АвтоВАЗ" правый в сборе для Лада Веста NG Седан</v>
      </c>
      <c r="D198" s="52" t="str">
        <f>VLOOKUP($A198,'Выгр Кат'!$A:$R,D$1,0)</f>
        <v>Y</v>
      </c>
      <c r="E198" s="52" t="str">
        <f>VLOOKUP($A198,'Выгр Кат'!$A:$R,E$1,0)</f>
        <v>1</v>
      </c>
      <c r="F198" s="52" t="str">
        <f>VLOOKUP($A198,'Выгр Кат'!$A:$R,F$1,0)</f>
        <v>8450013779</v>
      </c>
      <c r="G198" s="52" t="str">
        <f>IF(VLOOKUP($A198,'Выгр Кат'!$A:$R,G$1,0)=0,"",VLOOKUP($A198,'Выгр Кат'!$A:$R,G$1,0))</f>
        <v/>
      </c>
      <c r="H198" s="52"/>
      <c r="I198" s="52"/>
      <c r="J198" s="54">
        <f t="shared" si="54"/>
        <v>5597</v>
      </c>
      <c r="K198" s="55">
        <f>VLOOKUP(J198,Наценка!$A$1:$B$8,2,1)</f>
        <v>1.35</v>
      </c>
      <c r="L198" s="56">
        <f t="shared" si="55"/>
        <v>7555.9500000000007</v>
      </c>
      <c r="M198" s="57">
        <f t="shared" si="56"/>
        <v>7590</v>
      </c>
      <c r="N198" s="52">
        <f>VLOOKUP($A198,'Выгр Кат'!$A:$R,N$1,0)</f>
        <v>5597</v>
      </c>
      <c r="O198" s="52">
        <f>VLOOKUP($A198,'Выгр Кат'!$A:$R,O$1,0)</f>
        <v>7890</v>
      </c>
      <c r="P198" s="47">
        <f t="shared" si="57"/>
        <v>0</v>
      </c>
      <c r="Q198" s="47">
        <f t="shared" si="58"/>
        <v>300</v>
      </c>
      <c r="R198" s="58">
        <f t="shared" si="59"/>
        <v>7590</v>
      </c>
      <c r="S198" s="59">
        <f t="shared" si="60"/>
        <v>0.35608361622297657</v>
      </c>
      <c r="T198" s="59" t="str">
        <f t="shared" si="61"/>
        <v/>
      </c>
      <c r="U198" s="59" t="str">
        <f t="shared" si="62"/>
        <v/>
      </c>
      <c r="V198" s="60"/>
      <c r="W198" s="69" t="str">
        <f>IFERROR((VLOOKUP($A198,'Из ГУГЛа'!$B:$Z,W$1,0)+Y198)*X198,VLOOKUP($A198,'Из ГУГЛа'!$B:$Z,W$1,0))</f>
        <v/>
      </c>
      <c r="X198" s="61">
        <v>1</v>
      </c>
      <c r="Y198" s="61">
        <v>0</v>
      </c>
      <c r="Z198" s="60" t="s">
        <v>4170</v>
      </c>
      <c r="AA198" s="60"/>
    </row>
    <row r="199" spans="1:27" ht="45" x14ac:dyDescent="0.25">
      <c r="A199" s="52">
        <v>163485</v>
      </c>
      <c r="B199" s="52">
        <f>VLOOKUP($A199,'Выгр Кат'!$A:$R,B$1,0)</f>
        <v>31420</v>
      </c>
      <c r="C199" s="53" t="str">
        <f>VLOOKUP($A199,'Выгр Кат'!$A:$R,C$1,0)</f>
        <v>Лонжерон передний (катафорез) "АвтоВАЗ" правый в сборе для ВАЗ 2108-21099</v>
      </c>
      <c r="D199" s="52" t="str">
        <f>VLOOKUP($A199,'Выгр Кат'!$A:$R,D$1,0)</f>
        <v>Y</v>
      </c>
      <c r="E199" s="52" t="str">
        <f>VLOOKUP($A199,'Выгр Кат'!$A:$R,E$1,0)</f>
        <v>1</v>
      </c>
      <c r="F199" s="52" t="str">
        <f>VLOOKUP($A199,'Выгр Кат'!$A:$R,F$1,0)</f>
        <v>21080840328010</v>
      </c>
      <c r="G199" s="52" t="str">
        <f>IF(VLOOKUP($A199,'Выгр Кат'!$A:$R,G$1,0)=0,"",VLOOKUP($A199,'Выгр Кат'!$A:$R,G$1,0))</f>
        <v/>
      </c>
      <c r="H199" s="52"/>
      <c r="I199" s="52"/>
      <c r="J199" s="54">
        <f t="shared" si="54"/>
        <v>6020</v>
      </c>
      <c r="K199" s="55">
        <f>VLOOKUP(J199,Наценка!$A$1:$B$8,2,1)</f>
        <v>1.35</v>
      </c>
      <c r="L199" s="56">
        <f t="shared" si="55"/>
        <v>8127.0000000000009</v>
      </c>
      <c r="M199" s="57">
        <f t="shared" si="56"/>
        <v>8190</v>
      </c>
      <c r="N199" s="52">
        <f>VLOOKUP($A199,'Выгр Кат'!$A:$R,N$1,0)</f>
        <v>6020</v>
      </c>
      <c r="O199" s="52">
        <f>VLOOKUP($A199,'Выгр Кат'!$A:$R,O$1,0)</f>
        <v>8490</v>
      </c>
      <c r="P199" s="47">
        <f t="shared" si="57"/>
        <v>0</v>
      </c>
      <c r="Q199" s="47">
        <f t="shared" si="58"/>
        <v>300</v>
      </c>
      <c r="R199" s="58">
        <f t="shared" si="59"/>
        <v>8190</v>
      </c>
      <c r="S199" s="59">
        <f t="shared" si="60"/>
        <v>0.36046511627906974</v>
      </c>
      <c r="T199" s="59">
        <f t="shared" si="61"/>
        <v>-0.70981210855949894</v>
      </c>
      <c r="U199" s="59">
        <f t="shared" si="62"/>
        <v>-0.20431893687707636</v>
      </c>
      <c r="V199" s="42">
        <f t="shared" ref="V199" si="65">Z199</f>
        <v>4790</v>
      </c>
      <c r="W199" s="69">
        <f>IFERROR((VLOOKUP($A199,'Из ГУГЛа'!$B:$Z,W$1,0)+Y199)*X199,VLOOKUP($A199,'Из ГУГЛа'!$B:$Z,W$1,0))</f>
        <v>4790</v>
      </c>
      <c r="X199" s="61">
        <v>1</v>
      </c>
      <c r="Y199" s="61">
        <v>0</v>
      </c>
      <c r="Z199" s="60">
        <v>4790</v>
      </c>
      <c r="AA199" s="60" t="s">
        <v>4254</v>
      </c>
    </row>
    <row r="200" spans="1:27" ht="30" x14ac:dyDescent="0.25">
      <c r="A200" s="52">
        <v>163486</v>
      </c>
      <c r="B200" s="52">
        <f>VLOOKUP($A200,'Выгр Кат'!$A:$R,B$1,0)</f>
        <v>23914</v>
      </c>
      <c r="C200" s="53" t="str">
        <f>VLOOKUP($A200,'Выгр Кат'!$A:$R,C$1,0)</f>
        <v>Лонжерон передний (левый) в сборе для ВАЗ 2110-2112, Лада Приора</v>
      </c>
      <c r="D200" s="52" t="str">
        <f>VLOOKUP($A200,'Выгр Кат'!$A:$R,D$1,0)</f>
        <v>Y</v>
      </c>
      <c r="E200" s="52" t="str">
        <f>VLOOKUP($A200,'Выгр Кат'!$A:$R,E$1,0)</f>
        <v>0</v>
      </c>
      <c r="F200" s="52" t="str">
        <f>VLOOKUP($A200,'Выгр Кат'!$A:$R,F$1,0)</f>
        <v>21100840328163</v>
      </c>
      <c r="G200" s="52" t="str">
        <f>IF(VLOOKUP($A200,'Выгр Кат'!$A:$R,G$1,0)=0,"",VLOOKUP($A200,'Выгр Кат'!$A:$R,G$1,0))</f>
        <v/>
      </c>
      <c r="H200" s="52"/>
      <c r="I200" s="52"/>
      <c r="J200" s="54">
        <f t="shared" si="54"/>
        <v>1921</v>
      </c>
      <c r="K200" s="55">
        <f>VLOOKUP(J200,Наценка!$A$1:$B$8,2,1)</f>
        <v>1.5</v>
      </c>
      <c r="L200" s="56">
        <f t="shared" si="55"/>
        <v>2881.5</v>
      </c>
      <c r="M200" s="57">
        <f t="shared" si="56"/>
        <v>2890</v>
      </c>
      <c r="N200" s="52">
        <f>VLOOKUP($A200,'Выгр Кат'!$A:$R,N$1,0)</f>
        <v>1921</v>
      </c>
      <c r="O200" s="52">
        <f>VLOOKUP($A200,'Выгр Кат'!$A:$R,O$1,0)</f>
        <v>2890</v>
      </c>
      <c r="P200" s="47">
        <f t="shared" si="57"/>
        <v>0</v>
      </c>
      <c r="Q200" s="47">
        <f t="shared" si="58"/>
        <v>0</v>
      </c>
      <c r="R200" s="58">
        <f t="shared" si="59"/>
        <v>2890</v>
      </c>
      <c r="S200" s="59">
        <f t="shared" si="60"/>
        <v>0.50442477876106184</v>
      </c>
      <c r="T200" s="59" t="str">
        <f t="shared" si="61"/>
        <v/>
      </c>
      <c r="U200" s="59" t="str">
        <f t="shared" si="62"/>
        <v/>
      </c>
      <c r="V200" s="60"/>
      <c r="W200" s="69" t="str">
        <f>IFERROR((VLOOKUP($A200,'Из ГУГЛа'!$B:$Z,W$1,0)+Y200)*X200,VLOOKUP($A200,'Из ГУГЛа'!$B:$Z,W$1,0))</f>
        <v/>
      </c>
      <c r="X200" s="61">
        <v>1</v>
      </c>
      <c r="Y200" s="61">
        <v>0</v>
      </c>
      <c r="Z200" s="76" t="s">
        <v>4285</v>
      </c>
      <c r="AA200" s="60"/>
    </row>
    <row r="201" spans="1:27" ht="45" x14ac:dyDescent="0.25">
      <c r="A201" s="52">
        <v>163487</v>
      </c>
      <c r="B201" s="52">
        <f>VLOOKUP($A201,'Выгр Кат'!$A:$R,B$1,0)</f>
        <v>32677</v>
      </c>
      <c r="C201" s="53" t="str">
        <f>VLOOKUP($A201,'Выгр Кат'!$A:$R,C$1,0)</f>
        <v>Лонжерон передний в сборе (катафорез) "АвтоВАЗ" левый для Шевроле Нива</v>
      </c>
      <c r="D201" s="52" t="str">
        <f>VLOOKUP($A201,'Выгр Кат'!$A:$R,D$1,0)</f>
        <v>Y</v>
      </c>
      <c r="E201" s="52" t="str">
        <f>VLOOKUP($A201,'Выгр Кат'!$A:$R,E$1,0)</f>
        <v>1</v>
      </c>
      <c r="F201" s="52" t="str">
        <f>VLOOKUP($A201,'Выгр Кат'!$A:$R,F$1,0)</f>
        <v>21230840328170</v>
      </c>
      <c r="G201" s="52" t="str">
        <f>IF(VLOOKUP($A201,'Выгр Кат'!$A:$R,G$1,0)=0,"",VLOOKUP($A201,'Выгр Кат'!$A:$R,G$1,0))</f>
        <v>https://motorring.ru/product/1208-longheron-peredniy-levyy-sbore-kataforeznym-pokrytiem-2123</v>
      </c>
      <c r="H201" s="52"/>
      <c r="I201" s="52"/>
      <c r="J201" s="54">
        <f t="shared" si="54"/>
        <v>9500</v>
      </c>
      <c r="K201" s="55">
        <f>VLOOKUP(J201,Наценка!$A$1:$B$8,2,1)</f>
        <v>1.35</v>
      </c>
      <c r="L201" s="56">
        <f t="shared" si="55"/>
        <v>12825</v>
      </c>
      <c r="M201" s="57">
        <f t="shared" si="56"/>
        <v>12890</v>
      </c>
      <c r="N201" s="52">
        <f>VLOOKUP($A201,'Выгр Кат'!$A:$R,N$1,0)</f>
        <v>9500</v>
      </c>
      <c r="O201" s="52">
        <f>VLOOKUP($A201,'Выгр Кат'!$A:$R,O$1,0)</f>
        <v>13290</v>
      </c>
      <c r="P201" s="47">
        <f t="shared" si="57"/>
        <v>0</v>
      </c>
      <c r="Q201" s="47">
        <f t="shared" si="58"/>
        <v>400</v>
      </c>
      <c r="R201" s="58">
        <f t="shared" si="59"/>
        <v>12890</v>
      </c>
      <c r="S201" s="59">
        <f t="shared" si="60"/>
        <v>0.35684210526315785</v>
      </c>
      <c r="T201" s="59">
        <f t="shared" si="61"/>
        <v>-8.4104289318755257E-2</v>
      </c>
      <c r="U201" s="59">
        <f t="shared" si="62"/>
        <v>0.25157894736842112</v>
      </c>
      <c r="V201" s="42">
        <f t="shared" ref="V201:V208" si="66">Z201</f>
        <v>11890</v>
      </c>
      <c r="W201" s="69">
        <f>IFERROR((VLOOKUP($A201,'Из ГУГЛа'!$B:$Z,W$1,0)+Y201)*X201,VLOOKUP($A201,'Из ГУГЛа'!$B:$Z,W$1,0))</f>
        <v>11890</v>
      </c>
      <c r="X201" s="61">
        <v>1</v>
      </c>
      <c r="Y201" s="61">
        <v>0</v>
      </c>
      <c r="Z201" s="70">
        <v>11890</v>
      </c>
      <c r="AA201" s="60" t="s">
        <v>546</v>
      </c>
    </row>
    <row r="202" spans="1:27" ht="45" x14ac:dyDescent="0.25">
      <c r="A202" s="52">
        <v>163488</v>
      </c>
      <c r="B202" s="52">
        <f>VLOOKUP($A202,'Выгр Кат'!$A:$R,B$1,0)</f>
        <v>31246</v>
      </c>
      <c r="C202" s="53" t="str">
        <f>VLOOKUP($A202,'Выгр Кат'!$A:$R,C$1,0)</f>
        <v>Лонжерон передний в сборе (катафорез) "АвтоВАЗ" правый для Шевроле Нива</v>
      </c>
      <c r="D202" s="52" t="str">
        <f>VLOOKUP($A202,'Выгр Кат'!$A:$R,D$1,0)</f>
        <v>Y</v>
      </c>
      <c r="E202" s="52" t="str">
        <f>VLOOKUP($A202,'Выгр Кат'!$A:$R,E$1,0)</f>
        <v>1</v>
      </c>
      <c r="F202" s="52" t="str">
        <f>VLOOKUP($A202,'Выгр Кат'!$A:$R,F$1,0)</f>
        <v>21230840328070</v>
      </c>
      <c r="G202" s="52" t="str">
        <f>IF(VLOOKUP($A202,'Выгр Кат'!$A:$R,G$1,0)=0,"",VLOOKUP($A202,'Выгр Кат'!$A:$R,G$1,0))</f>
        <v>https://motorring.ru/product/6403-longheron-peredniy-pravyy-sbore-kataforeznoe-pokrytie-2123</v>
      </c>
      <c r="H202" s="52"/>
      <c r="I202" s="52"/>
      <c r="J202" s="54">
        <f t="shared" si="54"/>
        <v>8582.4</v>
      </c>
      <c r="K202" s="55">
        <f>VLOOKUP(J202,Наценка!$A$1:$B$8,2,1)</f>
        <v>1.35</v>
      </c>
      <c r="L202" s="56">
        <f t="shared" si="55"/>
        <v>11586.24</v>
      </c>
      <c r="M202" s="57">
        <f t="shared" si="56"/>
        <v>11590</v>
      </c>
      <c r="N202" s="52">
        <f>VLOOKUP($A202,'Выгр Кат'!$A:$R,N$1,0)</f>
        <v>8582.4</v>
      </c>
      <c r="O202" s="52">
        <f>VLOOKUP($A202,'Выгр Кат'!$A:$R,O$1,0)</f>
        <v>11590</v>
      </c>
      <c r="P202" s="47">
        <f t="shared" si="57"/>
        <v>0</v>
      </c>
      <c r="Q202" s="47">
        <f t="shared" si="58"/>
        <v>0</v>
      </c>
      <c r="R202" s="58">
        <f t="shared" si="59"/>
        <v>11590</v>
      </c>
      <c r="S202" s="59">
        <f t="shared" si="60"/>
        <v>0.35043810589112612</v>
      </c>
      <c r="T202" s="59">
        <f t="shared" si="61"/>
        <v>-1.755926251097454E-2</v>
      </c>
      <c r="U202" s="59">
        <f t="shared" si="62"/>
        <v>0.32713460104399705</v>
      </c>
      <c r="V202" s="42">
        <f t="shared" si="66"/>
        <v>11390</v>
      </c>
      <c r="W202" s="69">
        <f>IFERROR((VLOOKUP($A202,'Из ГУГЛа'!$B:$Z,W$1,0)+Y202)*X202,VLOOKUP($A202,'Из ГУГЛа'!$B:$Z,W$1,0))</f>
        <v>11390</v>
      </c>
      <c r="X202" s="61">
        <v>1</v>
      </c>
      <c r="Y202" s="61">
        <v>0</v>
      </c>
      <c r="Z202" s="70">
        <v>11390</v>
      </c>
      <c r="AA202" s="60" t="s">
        <v>549</v>
      </c>
    </row>
    <row r="203" spans="1:27" ht="45" x14ac:dyDescent="0.25">
      <c r="A203" s="52">
        <v>163489</v>
      </c>
      <c r="B203" s="52">
        <f>VLOOKUP($A203,'Выгр Кат'!$A:$R,B$1,0)</f>
        <v>32523</v>
      </c>
      <c r="C203" s="53" t="str">
        <f>VLOOKUP($A203,'Выгр Кат'!$A:$R,C$1,0)</f>
        <v>Лонжерон передний левый (катафорез) "АвтоВАЗ" в сборе для Лада Калина</v>
      </c>
      <c r="D203" s="52" t="str">
        <f>VLOOKUP($A203,'Выгр Кат'!$A:$R,D$1,0)</f>
        <v>Y</v>
      </c>
      <c r="E203" s="52" t="str">
        <f>VLOOKUP($A203,'Выгр Кат'!$A:$R,E$1,0)</f>
        <v>1</v>
      </c>
      <c r="F203" s="52" t="str">
        <f>VLOOKUP($A203,'Выгр Кат'!$A:$R,F$1,0)</f>
        <v>11180840328170</v>
      </c>
      <c r="G203" s="52" t="str">
        <f>IF(VLOOKUP($A203,'Выгр Кат'!$A:$R,G$1,0)=0,"",VLOOKUP($A203,'Выгр Кат'!$A:$R,G$1,0))</f>
        <v>https://motorring.ru/product/17591-longheron-peredniy-levyy-sbore-kataforeznoe-pokrytie-lada</v>
      </c>
      <c r="H203" s="52"/>
      <c r="I203" s="52"/>
      <c r="J203" s="54">
        <f t="shared" si="54"/>
        <v>7444.17</v>
      </c>
      <c r="K203" s="55">
        <f>VLOOKUP(J203,Наценка!$A$1:$B$8,2,1)</f>
        <v>1.35</v>
      </c>
      <c r="L203" s="56">
        <f t="shared" si="55"/>
        <v>10049.629500000001</v>
      </c>
      <c r="M203" s="57">
        <f t="shared" si="56"/>
        <v>10090</v>
      </c>
      <c r="N203" s="52">
        <f>VLOOKUP($A203,'Выгр Кат'!$A:$R,N$1,0)</f>
        <v>7444.17</v>
      </c>
      <c r="O203" s="52">
        <f>VLOOKUP($A203,'Выгр Кат'!$A:$R,O$1,0)</f>
        <v>10090</v>
      </c>
      <c r="P203" s="47">
        <f t="shared" si="57"/>
        <v>0</v>
      </c>
      <c r="Q203" s="47">
        <f t="shared" si="58"/>
        <v>0</v>
      </c>
      <c r="R203" s="58">
        <f t="shared" si="59"/>
        <v>10090</v>
      </c>
      <c r="S203" s="59">
        <f t="shared" si="60"/>
        <v>0.35542310291140589</v>
      </c>
      <c r="T203" s="59">
        <f t="shared" si="61"/>
        <v>-0.13498312710911137</v>
      </c>
      <c r="U203" s="59">
        <f t="shared" si="62"/>
        <v>0.19422313031540117</v>
      </c>
      <c r="V203" s="42">
        <f t="shared" si="66"/>
        <v>8890</v>
      </c>
      <c r="W203" s="69">
        <f>IFERROR((VLOOKUP($A203,'Из ГУГЛа'!$B:$Z,W$1,0)+Y203)*X203,VLOOKUP($A203,'Из ГУГЛа'!$B:$Z,W$1,0))</f>
        <v>8890</v>
      </c>
      <c r="X203" s="61">
        <v>1</v>
      </c>
      <c r="Y203" s="61">
        <v>0</v>
      </c>
      <c r="Z203" s="70">
        <v>8890</v>
      </c>
      <c r="AA203" s="60" t="s">
        <v>552</v>
      </c>
    </row>
    <row r="204" spans="1:27" ht="30" x14ac:dyDescent="0.25">
      <c r="A204" s="52">
        <v>163490</v>
      </c>
      <c r="B204" s="52">
        <f>VLOOKUP($A204,'Выгр Кат'!$A:$R,B$1,0)</f>
        <v>32724</v>
      </c>
      <c r="C204" s="53" t="str">
        <f>VLOOKUP($A204,'Выгр Кат'!$A:$R,C$1,0)</f>
        <v>Лонжерон передний левый в сборе (катафорез) "АвтоВАЗ" для Лада Веста</v>
      </c>
      <c r="D204" s="52" t="str">
        <f>VLOOKUP($A204,'Выгр Кат'!$A:$R,D$1,0)</f>
        <v>Y</v>
      </c>
      <c r="E204" s="52" t="str">
        <f>VLOOKUP($A204,'Выгр Кат'!$A:$R,E$1,0)</f>
        <v>1</v>
      </c>
      <c r="F204" s="52" t="str">
        <f>VLOOKUP($A204,'Выгр Кат'!$A:$R,F$1,0)</f>
        <v>8450039288</v>
      </c>
      <c r="G204" s="52" t="str">
        <f>IF(VLOOKUP($A204,'Выгр Кат'!$A:$R,G$1,0)=0,"",VLOOKUP($A204,'Выгр Кат'!$A:$R,G$1,0))</f>
        <v>https://motorring.ru/product/33458-longheron-peredniy-levyy-lada-ighevsk-sbore-dlya-lada-vesta</v>
      </c>
      <c r="H204" s="52"/>
      <c r="I204" s="52"/>
      <c r="J204" s="54">
        <f t="shared" si="54"/>
        <v>18147</v>
      </c>
      <c r="K204" s="55">
        <f>VLOOKUP(J204,Наценка!$A$1:$B$8,2,1)</f>
        <v>1.3</v>
      </c>
      <c r="L204" s="56">
        <f t="shared" si="55"/>
        <v>23591.100000000002</v>
      </c>
      <c r="M204" s="57">
        <f t="shared" si="56"/>
        <v>23590</v>
      </c>
      <c r="N204" s="52">
        <f>VLOOKUP($A204,'Выгр Кат'!$A:$R,N$1,0)</f>
        <v>18147</v>
      </c>
      <c r="O204" s="52">
        <f>VLOOKUP($A204,'Выгр Кат'!$A:$R,O$1,0)</f>
        <v>25490</v>
      </c>
      <c r="P204" s="47">
        <f t="shared" si="57"/>
        <v>0</v>
      </c>
      <c r="Q204" s="47">
        <f t="shared" si="58"/>
        <v>1900</v>
      </c>
      <c r="R204" s="58">
        <f t="shared" si="59"/>
        <v>23590</v>
      </c>
      <c r="S204" s="59">
        <f t="shared" si="60"/>
        <v>0.29993938392020714</v>
      </c>
      <c r="T204" s="59">
        <f t="shared" si="61"/>
        <v>2.4803637866887142E-2</v>
      </c>
      <c r="U204" s="59">
        <f t="shared" si="62"/>
        <v>0.33300270017082712</v>
      </c>
      <c r="V204" s="42">
        <f t="shared" si="66"/>
        <v>24190</v>
      </c>
      <c r="W204" s="69">
        <f>IFERROR((VLOOKUP($A204,'Из ГУГЛа'!$B:$Z,W$1,0)+Y204)*X204,VLOOKUP($A204,'Из ГУГЛа'!$B:$Z,W$1,0))</f>
        <v>24190</v>
      </c>
      <c r="X204" s="61">
        <v>1</v>
      </c>
      <c r="Y204" s="61">
        <v>0</v>
      </c>
      <c r="Z204" s="70">
        <v>24190</v>
      </c>
      <c r="AA204" s="60" t="s">
        <v>555</v>
      </c>
    </row>
    <row r="205" spans="1:27" ht="45" x14ac:dyDescent="0.25">
      <c r="A205" s="52">
        <v>163491</v>
      </c>
      <c r="B205" s="52">
        <f>VLOOKUP($A205,'Выгр Кат'!$A:$R,B$1,0)</f>
        <v>31367</v>
      </c>
      <c r="C205" s="53" t="str">
        <f>VLOOKUP($A205,'Выгр Кат'!$A:$R,C$1,0)</f>
        <v>Лонжерон передний левый в сборе (катафорез) "АвтоВАЗ" для Лада Нива 4x4</v>
      </c>
      <c r="D205" s="52" t="str">
        <f>VLOOKUP($A205,'Выгр Кат'!$A:$R,D$1,0)</f>
        <v>Y</v>
      </c>
      <c r="E205" s="52" t="str">
        <f>VLOOKUP($A205,'Выгр Кат'!$A:$R,E$1,0)</f>
        <v>1</v>
      </c>
      <c r="F205" s="52" t="str">
        <f>VLOOKUP($A205,'Выгр Кат'!$A:$R,F$1,0)</f>
        <v>21210840328110</v>
      </c>
      <c r="G205" s="52" t="str">
        <f>IF(VLOOKUP($A205,'Выгр Кат'!$A:$R,G$1,0)=0,"",VLOOKUP($A205,'Выгр Кат'!$A:$R,G$1,0))</f>
        <v>https://motorring.ru/product/2623-longheron-peredniy-levyy-sbore-kataforeznoe-pokrytie-lada</v>
      </c>
      <c r="H205" s="52"/>
      <c r="I205" s="52"/>
      <c r="J205" s="54">
        <f t="shared" si="54"/>
        <v>3178</v>
      </c>
      <c r="K205" s="55">
        <f>VLOOKUP(J205,Наценка!$A$1:$B$8,2,1)</f>
        <v>1.4</v>
      </c>
      <c r="L205" s="56">
        <f t="shared" si="55"/>
        <v>4449.2</v>
      </c>
      <c r="M205" s="57">
        <f t="shared" si="56"/>
        <v>4490</v>
      </c>
      <c r="N205" s="52">
        <f>VLOOKUP($A205,'Выгр Кат'!$A:$R,N$1,0)</f>
        <v>3178</v>
      </c>
      <c r="O205" s="52">
        <f>VLOOKUP($A205,'Выгр Кат'!$A:$R,O$1,0)</f>
        <v>4490</v>
      </c>
      <c r="P205" s="47">
        <f t="shared" si="57"/>
        <v>0</v>
      </c>
      <c r="Q205" s="47">
        <f t="shared" si="58"/>
        <v>0</v>
      </c>
      <c r="R205" s="58">
        <f t="shared" si="59"/>
        <v>4490</v>
      </c>
      <c r="S205" s="59">
        <f t="shared" si="60"/>
        <v>0.41283826305852744</v>
      </c>
      <c r="T205" s="59">
        <f t="shared" si="61"/>
        <v>0.11787819253438114</v>
      </c>
      <c r="U205" s="59">
        <f t="shared" si="62"/>
        <v>0.6016362492133418</v>
      </c>
      <c r="V205" s="42">
        <f t="shared" si="66"/>
        <v>5090</v>
      </c>
      <c r="W205" s="69">
        <f>IFERROR((VLOOKUP($A205,'Из ГУГЛа'!$B:$Z,W$1,0)+Y205)*X205,VLOOKUP($A205,'Из ГУГЛа'!$B:$Z,W$1,0))</f>
        <v>5090</v>
      </c>
      <c r="X205" s="61">
        <v>1</v>
      </c>
      <c r="Y205" s="61">
        <v>0</v>
      </c>
      <c r="Z205" s="70">
        <v>5090</v>
      </c>
      <c r="AA205" s="60" t="s">
        <v>558</v>
      </c>
    </row>
    <row r="206" spans="1:27" ht="45" x14ac:dyDescent="0.25">
      <c r="A206" s="52">
        <v>163492</v>
      </c>
      <c r="B206" s="52">
        <f>VLOOKUP($A206,'Выгр Кат'!$A:$R,B$1,0)</f>
        <v>31456</v>
      </c>
      <c r="C206" s="53" t="str">
        <f>VLOOKUP($A206,'Выгр Кат'!$A:$R,C$1,0)</f>
        <v>Лонжерон передний правый (катафорез) "АвтоВАЗ" в сборе для Лада Калина</v>
      </c>
      <c r="D206" s="52" t="str">
        <f>VLOOKUP($A206,'Выгр Кат'!$A:$R,D$1,0)</f>
        <v>Y</v>
      </c>
      <c r="E206" s="52" t="str">
        <f>VLOOKUP($A206,'Выгр Кат'!$A:$R,E$1,0)</f>
        <v>1</v>
      </c>
      <c r="F206" s="52" t="str">
        <f>VLOOKUP($A206,'Выгр Кат'!$A:$R,F$1,0)</f>
        <v>11180840328070</v>
      </c>
      <c r="G206" s="52" t="str">
        <f>IF(VLOOKUP($A206,'Выгр Кат'!$A:$R,G$1,0)=0,"",VLOOKUP($A206,'Выгр Кат'!$A:$R,G$1,0))</f>
        <v>https://motorring.ru/product/17590-longheron-peredniy-pravyy-sbore-kataforeznoe-pokrytie-lada</v>
      </c>
      <c r="H206" s="52"/>
      <c r="I206" s="52"/>
      <c r="J206" s="54">
        <f t="shared" si="54"/>
        <v>7444</v>
      </c>
      <c r="K206" s="55">
        <f>VLOOKUP(J206,Наценка!$A$1:$B$8,2,1)</f>
        <v>1.35</v>
      </c>
      <c r="L206" s="56">
        <f t="shared" si="55"/>
        <v>10049.400000000001</v>
      </c>
      <c r="M206" s="57">
        <f t="shared" si="56"/>
        <v>10090</v>
      </c>
      <c r="N206" s="52">
        <f>VLOOKUP($A206,'Выгр Кат'!$A:$R,N$1,0)</f>
        <v>7444</v>
      </c>
      <c r="O206" s="52">
        <f>VLOOKUP($A206,'Выгр Кат'!$A:$R,O$1,0)</f>
        <v>10490</v>
      </c>
      <c r="P206" s="47">
        <f t="shared" si="57"/>
        <v>0</v>
      </c>
      <c r="Q206" s="47">
        <f t="shared" si="58"/>
        <v>400</v>
      </c>
      <c r="R206" s="58">
        <f t="shared" si="59"/>
        <v>10090</v>
      </c>
      <c r="S206" s="59">
        <f t="shared" si="60"/>
        <v>0.35545405695862442</v>
      </c>
      <c r="T206" s="59">
        <f t="shared" si="61"/>
        <v>2.8873917228103944E-2</v>
      </c>
      <c r="U206" s="59">
        <f t="shared" si="62"/>
        <v>0.39575497044599683</v>
      </c>
      <c r="V206" s="42">
        <f t="shared" si="66"/>
        <v>10390</v>
      </c>
      <c r="W206" s="69">
        <f>IFERROR((VLOOKUP($A206,'Из ГУГЛа'!$B:$Z,W$1,0)+Y206)*X206,VLOOKUP($A206,'Из ГУГЛа'!$B:$Z,W$1,0))</f>
        <v>10390</v>
      </c>
      <c r="X206" s="61">
        <v>1</v>
      </c>
      <c r="Y206" s="61">
        <v>0</v>
      </c>
      <c r="Z206" s="70">
        <v>10390</v>
      </c>
      <c r="AA206" s="60" t="s">
        <v>561</v>
      </c>
    </row>
    <row r="207" spans="1:27" ht="30" x14ac:dyDescent="0.25">
      <c r="A207" s="52">
        <v>163493</v>
      </c>
      <c r="B207" s="52">
        <f>VLOOKUP($A207,'Выгр Кат'!$A:$R,B$1,0)</f>
        <v>31172</v>
      </c>
      <c r="C207" s="53" t="str">
        <f>VLOOKUP($A207,'Выгр Кат'!$A:$R,C$1,0)</f>
        <v>Лонжерон передний правый в сборе (катафорез) "АвтоВАЗ" для Лада Веста</v>
      </c>
      <c r="D207" s="52" t="str">
        <f>VLOOKUP($A207,'Выгр Кат'!$A:$R,D$1,0)</f>
        <v>Y</v>
      </c>
      <c r="E207" s="52" t="str">
        <f>VLOOKUP($A207,'Выгр Кат'!$A:$R,E$1,0)</f>
        <v>1</v>
      </c>
      <c r="F207" s="52" t="str">
        <f>VLOOKUP($A207,'Выгр Кат'!$A:$R,F$1,0)</f>
        <v>8450039286</v>
      </c>
      <c r="G207" s="52" t="str">
        <f>IF(VLOOKUP($A207,'Выгр Кат'!$A:$R,G$1,0)=0,"",VLOOKUP($A207,'Выгр Кат'!$A:$R,G$1,0))</f>
        <v>https://motorring.ru/product/33606-longheron-peredniy-pravyy-lada-ighevsk-sbore-dlya-lada-vesta</v>
      </c>
      <c r="H207" s="52"/>
      <c r="I207" s="52"/>
      <c r="J207" s="54">
        <f t="shared" si="54"/>
        <v>14208</v>
      </c>
      <c r="K207" s="55">
        <f>VLOOKUP(J207,Наценка!$A$1:$B$8,2,1)</f>
        <v>1.3</v>
      </c>
      <c r="L207" s="56">
        <f t="shared" si="55"/>
        <v>18470.400000000001</v>
      </c>
      <c r="M207" s="57">
        <f t="shared" si="56"/>
        <v>18490</v>
      </c>
      <c r="N207" s="52">
        <f>VLOOKUP($A207,'Выгр Кат'!$A:$R,N$1,0)</f>
        <v>14208</v>
      </c>
      <c r="O207" s="52">
        <f>VLOOKUP($A207,'Выгр Кат'!$A:$R,O$1,0)</f>
        <v>19890</v>
      </c>
      <c r="P207" s="47">
        <f t="shared" si="57"/>
        <v>0</v>
      </c>
      <c r="Q207" s="47">
        <f t="shared" si="58"/>
        <v>1400</v>
      </c>
      <c r="R207" s="58">
        <f t="shared" si="59"/>
        <v>18490</v>
      </c>
      <c r="S207" s="59">
        <f t="shared" si="60"/>
        <v>0.30137950450450446</v>
      </c>
      <c r="T207" s="59">
        <f t="shared" si="61"/>
        <v>-2.7793218454697052E-2</v>
      </c>
      <c r="U207" s="59">
        <f t="shared" si="62"/>
        <v>0.26618806306306309</v>
      </c>
      <c r="V207" s="42">
        <f t="shared" si="66"/>
        <v>17990</v>
      </c>
      <c r="W207" s="69">
        <f>IFERROR((VLOOKUP($A207,'Из ГУГЛа'!$B:$Z,W$1,0)+Y207)*X207,VLOOKUP($A207,'Из ГУГЛа'!$B:$Z,W$1,0))</f>
        <v>17990</v>
      </c>
      <c r="X207" s="61">
        <v>1</v>
      </c>
      <c r="Y207" s="61">
        <v>0</v>
      </c>
      <c r="Z207" s="70">
        <v>17990</v>
      </c>
      <c r="AA207" s="60" t="s">
        <v>564</v>
      </c>
    </row>
    <row r="208" spans="1:27" ht="45" x14ac:dyDescent="0.25">
      <c r="A208" s="52">
        <v>163494</v>
      </c>
      <c r="B208" s="52">
        <f>VLOOKUP($A208,'Выгр Кат'!$A:$R,B$1,0)</f>
        <v>31368</v>
      </c>
      <c r="C208" s="53" t="str">
        <f>VLOOKUP($A208,'Выгр Кат'!$A:$R,C$1,0)</f>
        <v>Лонжерон передний правый в сборе (катафорез) "АвтоВАЗ" для Лада Нива 4x4</v>
      </c>
      <c r="D208" s="52" t="str">
        <f>VLOOKUP($A208,'Выгр Кат'!$A:$R,D$1,0)</f>
        <v>Y</v>
      </c>
      <c r="E208" s="52" t="str">
        <f>VLOOKUP($A208,'Выгр Кат'!$A:$R,E$1,0)</f>
        <v>1</v>
      </c>
      <c r="F208" s="52" t="str">
        <f>VLOOKUP($A208,'Выгр Кат'!$A:$R,F$1,0)</f>
        <v>21210840328010</v>
      </c>
      <c r="G208" s="52" t="str">
        <f>IF(VLOOKUP($A208,'Выгр Кат'!$A:$R,G$1,0)=0,"",VLOOKUP($A208,'Выгр Кат'!$A:$R,G$1,0))</f>
        <v>https://motorring.ru/product/2624-longheron-peredniy-pravyy-sbore-kataforeznoe-pokrytie-lada</v>
      </c>
      <c r="H208" s="52"/>
      <c r="I208" s="52"/>
      <c r="J208" s="54">
        <f t="shared" si="54"/>
        <v>3154</v>
      </c>
      <c r="K208" s="55">
        <f>VLOOKUP(J208,Наценка!$A$1:$B$8,2,1)</f>
        <v>1.4</v>
      </c>
      <c r="L208" s="56">
        <f t="shared" si="55"/>
        <v>4415.5999999999995</v>
      </c>
      <c r="M208" s="57">
        <f t="shared" si="56"/>
        <v>4490</v>
      </c>
      <c r="N208" s="52">
        <f>VLOOKUP($A208,'Выгр Кат'!$A:$R,N$1,0)</f>
        <v>3154</v>
      </c>
      <c r="O208" s="52">
        <f>VLOOKUP($A208,'Выгр Кат'!$A:$R,O$1,0)</f>
        <v>4490</v>
      </c>
      <c r="P208" s="47">
        <f t="shared" si="57"/>
        <v>0</v>
      </c>
      <c r="Q208" s="47">
        <f t="shared" si="58"/>
        <v>0</v>
      </c>
      <c r="R208" s="58">
        <f t="shared" si="59"/>
        <v>4490</v>
      </c>
      <c r="S208" s="59">
        <f t="shared" si="60"/>
        <v>0.42358909321496507</v>
      </c>
      <c r="T208" s="59">
        <f t="shared" si="61"/>
        <v>0.11787819253438114</v>
      </c>
      <c r="U208" s="59">
        <f t="shared" si="62"/>
        <v>0.6138237159162967</v>
      </c>
      <c r="V208" s="42">
        <f t="shared" si="66"/>
        <v>5090</v>
      </c>
      <c r="W208" s="69">
        <f>IFERROR((VLOOKUP($A208,'Из ГУГЛа'!$B:$Z,W$1,0)+Y208)*X208,VLOOKUP($A208,'Из ГУГЛа'!$B:$Z,W$1,0))</f>
        <v>5090</v>
      </c>
      <c r="X208" s="61">
        <v>1</v>
      </c>
      <c r="Y208" s="61">
        <v>0</v>
      </c>
      <c r="Z208" s="70">
        <v>5090</v>
      </c>
      <c r="AA208" s="60" t="s">
        <v>567</v>
      </c>
    </row>
    <row r="209" spans="1:27" ht="45" x14ac:dyDescent="0.25">
      <c r="A209" s="52">
        <v>163495</v>
      </c>
      <c r="B209" s="52">
        <f>VLOOKUP($A209,'Выгр Кат'!$A:$R,B$1,0)</f>
        <v>52943</v>
      </c>
      <c r="C209" s="53" t="str">
        <f>VLOOKUP($A209,'Выгр Кат'!$A:$R,C$1,0)</f>
        <v>Лонжерон передний с боковой панелью "АвтоВАЗ" левый в сборе для Лада Ларгус FL</v>
      </c>
      <c r="D209" s="52" t="str">
        <f>VLOOKUP($A209,'Выгр Кат'!$A:$R,D$1,0)</f>
        <v>Y</v>
      </c>
      <c r="E209" s="52" t="str">
        <f>VLOOKUP($A209,'Выгр Кат'!$A:$R,E$1,0)</f>
        <v>1</v>
      </c>
      <c r="F209" s="52" t="str">
        <f>VLOOKUP($A209,'Выгр Кат'!$A:$R,F$1,0)</f>
        <v>8450013864</v>
      </c>
      <c r="G209" s="52" t="str">
        <f>IF(VLOOKUP($A209,'Выгр Кат'!$A:$R,G$1,0)=0,"",VLOOKUP($A209,'Выгр Кат'!$A:$R,G$1,0))</f>
        <v/>
      </c>
      <c r="H209" s="52"/>
      <c r="I209" s="52"/>
      <c r="J209" s="54">
        <f t="shared" si="54"/>
        <v>11857</v>
      </c>
      <c r="K209" s="55">
        <f>VLOOKUP(J209,Наценка!$A$1:$B$8,2,1)</f>
        <v>1.3</v>
      </c>
      <c r="L209" s="56">
        <f t="shared" si="55"/>
        <v>15414.1</v>
      </c>
      <c r="M209" s="57">
        <f t="shared" si="56"/>
        <v>15490</v>
      </c>
      <c r="N209" s="52">
        <f>VLOOKUP($A209,'Выгр Кат'!$A:$R,N$1,0)</f>
        <v>11857</v>
      </c>
      <c r="O209" s="52">
        <f>VLOOKUP($A209,'Выгр Кат'!$A:$R,O$1,0)</f>
        <v>16590</v>
      </c>
      <c r="P209" s="47">
        <f t="shared" si="57"/>
        <v>0</v>
      </c>
      <c r="Q209" s="47">
        <f t="shared" si="58"/>
        <v>1100</v>
      </c>
      <c r="R209" s="58">
        <f t="shared" si="59"/>
        <v>15490</v>
      </c>
      <c r="S209" s="59">
        <f t="shared" si="60"/>
        <v>0.30640128194315586</v>
      </c>
      <c r="T209" s="59" t="str">
        <f t="shared" si="61"/>
        <v/>
      </c>
      <c r="U209" s="59" t="str">
        <f t="shared" si="62"/>
        <v/>
      </c>
      <c r="V209" s="60"/>
      <c r="W209" s="69" t="str">
        <f>IFERROR((VLOOKUP($A209,'Из ГУГЛа'!$B:$Z,W$1,0)+Y209)*X209,VLOOKUP($A209,'Из ГУГЛа'!$B:$Z,W$1,0))</f>
        <v/>
      </c>
      <c r="X209" s="61">
        <v>1</v>
      </c>
      <c r="Y209" s="61">
        <v>0</v>
      </c>
      <c r="Z209" s="60" t="s">
        <v>4170</v>
      </c>
      <c r="AA209" s="60"/>
    </row>
    <row r="210" spans="1:27" ht="45" x14ac:dyDescent="0.25">
      <c r="A210" s="52">
        <v>163496</v>
      </c>
      <c r="B210" s="52">
        <f>VLOOKUP($A210,'Выгр Кат'!$A:$R,B$1,0)</f>
        <v>52940</v>
      </c>
      <c r="C210" s="53" t="str">
        <f>VLOOKUP($A210,'Выгр Кат'!$A:$R,C$1,0)</f>
        <v>Лонжерон передний с боковой панелью "АвтоВАЗ" правый в сборе для Лада Ларгус FL</v>
      </c>
      <c r="D210" s="52" t="str">
        <f>VLOOKUP($A210,'Выгр Кат'!$A:$R,D$1,0)</f>
        <v>Y</v>
      </c>
      <c r="E210" s="52" t="str">
        <f>VLOOKUP($A210,'Выгр Кат'!$A:$R,E$1,0)</f>
        <v>1</v>
      </c>
      <c r="F210" s="52" t="str">
        <f>VLOOKUP($A210,'Выгр Кат'!$A:$R,F$1,0)</f>
        <v>8450013863</v>
      </c>
      <c r="G210" s="52" t="str">
        <f>IF(VLOOKUP($A210,'Выгр Кат'!$A:$R,G$1,0)=0,"",VLOOKUP($A210,'Выгр Кат'!$A:$R,G$1,0))</f>
        <v/>
      </c>
      <c r="H210" s="52"/>
      <c r="I210" s="52"/>
      <c r="J210" s="54">
        <f t="shared" si="54"/>
        <v>18806</v>
      </c>
      <c r="K210" s="55">
        <f>VLOOKUP(J210,Наценка!$A$1:$B$8,2,1)</f>
        <v>1.3</v>
      </c>
      <c r="L210" s="56">
        <f t="shared" si="55"/>
        <v>24447.8</v>
      </c>
      <c r="M210" s="57">
        <f t="shared" si="56"/>
        <v>24490</v>
      </c>
      <c r="N210" s="52">
        <f>VLOOKUP($A210,'Выгр Кат'!$A:$R,N$1,0)</f>
        <v>18806</v>
      </c>
      <c r="O210" s="52">
        <f>VLOOKUP($A210,'Выгр Кат'!$A:$R,O$1,0)</f>
        <v>24490</v>
      </c>
      <c r="P210" s="47">
        <f t="shared" si="57"/>
        <v>0</v>
      </c>
      <c r="Q210" s="47">
        <f t="shared" si="58"/>
        <v>0</v>
      </c>
      <c r="R210" s="58">
        <f t="shared" si="59"/>
        <v>24490</v>
      </c>
      <c r="S210" s="59">
        <f t="shared" si="60"/>
        <v>0.30224396469211956</v>
      </c>
      <c r="T210" s="59" t="str">
        <f t="shared" si="61"/>
        <v/>
      </c>
      <c r="U210" s="59" t="str">
        <f t="shared" si="62"/>
        <v/>
      </c>
      <c r="V210" s="60"/>
      <c r="W210" s="69" t="str">
        <f>IFERROR((VLOOKUP($A210,'Из ГУГЛа'!$B:$Z,W$1,0)+Y210)*X210,VLOOKUP($A210,'Из ГУГЛа'!$B:$Z,W$1,0))</f>
        <v/>
      </c>
      <c r="X210" s="61">
        <v>1</v>
      </c>
      <c r="Y210" s="61">
        <v>0</v>
      </c>
      <c r="Z210" s="60" t="s">
        <v>4170</v>
      </c>
      <c r="AA210" s="60"/>
    </row>
    <row r="211" spans="1:27" ht="45" x14ac:dyDescent="0.25">
      <c r="A211" s="52">
        <v>163497</v>
      </c>
      <c r="B211" s="52">
        <f>VLOOKUP($A211,'Выгр Кат'!$A:$R,B$1,0)</f>
        <v>50434</v>
      </c>
      <c r="C211" s="53" t="str">
        <f>VLOOKUP($A211,'Выгр Кат'!$A:$R,C$1,0)</f>
        <v>Лонжерон подрамника "АвтоВАЗ" дополнительный левый в сборе для Лада Веста</v>
      </c>
      <c r="D211" s="52" t="str">
        <f>VLOOKUP($A211,'Выгр Кат'!$A:$R,D$1,0)</f>
        <v>Y</v>
      </c>
      <c r="E211" s="52" t="str">
        <f>VLOOKUP($A211,'Выгр Кат'!$A:$R,E$1,0)</f>
        <v>1ск1</v>
      </c>
      <c r="F211" s="52" t="str">
        <f>VLOOKUP($A211,'Выгр Кат'!$A:$R,F$1,0)</f>
        <v>8450033563</v>
      </c>
      <c r="G211" s="52" t="str">
        <f>IF(VLOOKUP($A211,'Выгр Кат'!$A:$R,G$1,0)=0,"",VLOOKUP($A211,'Выгр Кат'!$A:$R,G$1,0))</f>
        <v>https://motorring.ru/product/38231-levyy-longheron-podramnika-dlya-lada-vesta</v>
      </c>
      <c r="H211" s="52"/>
      <c r="I211" s="52"/>
      <c r="J211" s="54">
        <f t="shared" si="54"/>
        <v>4071</v>
      </c>
      <c r="K211" s="55">
        <f>VLOOKUP(J211,Наценка!$A$1:$B$8,2,1)</f>
        <v>1.4</v>
      </c>
      <c r="L211" s="56">
        <f t="shared" si="55"/>
        <v>5699.4</v>
      </c>
      <c r="M211" s="57">
        <f t="shared" si="56"/>
        <v>5690</v>
      </c>
      <c r="N211" s="52">
        <f>VLOOKUP($A211,'Выгр Кат'!$A:$R,N$1,0)</f>
        <v>4071</v>
      </c>
      <c r="O211" s="52">
        <f>VLOOKUP($A211,'Выгр Кат'!$A:$R,O$1,0)</f>
        <v>5690</v>
      </c>
      <c r="P211" s="47">
        <f t="shared" si="57"/>
        <v>0</v>
      </c>
      <c r="Q211" s="47">
        <f t="shared" si="58"/>
        <v>0</v>
      </c>
      <c r="R211" s="58">
        <f t="shared" si="59"/>
        <v>5690</v>
      </c>
      <c r="S211" s="59">
        <f t="shared" si="60"/>
        <v>0.39769098501596667</v>
      </c>
      <c r="T211" s="59">
        <f t="shared" si="61"/>
        <v>-1.5981735159817352</v>
      </c>
      <c r="U211" s="59">
        <f t="shared" si="62"/>
        <v>-0.46204863669859986</v>
      </c>
      <c r="V211" s="42">
        <f>Z211</f>
        <v>2190</v>
      </c>
      <c r="W211" s="69">
        <f>IFERROR((VLOOKUP($A211,'Из ГУГЛа'!$B:$Z,W$1,0)+Y211)*X211,VLOOKUP($A211,'Из ГУГЛа'!$B:$Z,W$1,0))</f>
        <v>2190</v>
      </c>
      <c r="X211" s="61">
        <v>1</v>
      </c>
      <c r="Y211" s="61">
        <v>0</v>
      </c>
      <c r="Z211" s="70">
        <v>2190</v>
      </c>
      <c r="AA211" s="60" t="s">
        <v>576</v>
      </c>
    </row>
    <row r="212" spans="1:27" ht="45" x14ac:dyDescent="0.25">
      <c r="A212" s="52">
        <v>163498</v>
      </c>
      <c r="B212" s="52">
        <f>VLOOKUP($A212,'Выгр Кат'!$A:$R,B$1,0)</f>
        <v>31193</v>
      </c>
      <c r="C212" s="53" t="str">
        <f>VLOOKUP($A212,'Выгр Кат'!$A:$R,C$1,0)</f>
        <v>Лонжерон подрамника дополнительный правый в сборе (катафорез) "АвтоВАЗ" для Лада Веста</v>
      </c>
      <c r="D212" s="52" t="str">
        <f>VLOOKUP($A212,'Выгр Кат'!$A:$R,D$1,0)</f>
        <v>Y</v>
      </c>
      <c r="E212" s="52" t="str">
        <f>VLOOKUP($A212,'Выгр Кат'!$A:$R,E$1,0)</f>
        <v>0</v>
      </c>
      <c r="F212" s="52" t="str">
        <f>VLOOKUP($A212,'Выгр Кат'!$A:$R,F$1,0)</f>
        <v>8450033562</v>
      </c>
      <c r="G212" s="52" t="str">
        <f>IF(VLOOKUP($A212,'Выгр Кат'!$A:$R,G$1,0)=0,"",VLOOKUP($A212,'Выгр Кат'!$A:$R,G$1,0))</f>
        <v/>
      </c>
      <c r="H212" s="52"/>
      <c r="I212" s="52"/>
      <c r="J212" s="54">
        <f t="shared" si="54"/>
        <v>3132</v>
      </c>
      <c r="K212" s="55">
        <f>VLOOKUP(J212,Наценка!$A$1:$B$8,2,1)</f>
        <v>1.4</v>
      </c>
      <c r="L212" s="56">
        <f t="shared" si="55"/>
        <v>4384.7999999999993</v>
      </c>
      <c r="M212" s="57">
        <f t="shared" si="56"/>
        <v>4390</v>
      </c>
      <c r="N212" s="52">
        <f>VLOOKUP($A212,'Выгр Кат'!$A:$R,N$1,0)</f>
        <v>3132</v>
      </c>
      <c r="O212" s="52">
        <f>VLOOKUP($A212,'Выгр Кат'!$A:$R,O$1,0)</f>
        <v>4390</v>
      </c>
      <c r="P212" s="47">
        <f t="shared" si="57"/>
        <v>0</v>
      </c>
      <c r="Q212" s="47">
        <f t="shared" si="58"/>
        <v>0</v>
      </c>
      <c r="R212" s="58">
        <f t="shared" si="59"/>
        <v>4390</v>
      </c>
      <c r="S212" s="59">
        <f t="shared" si="60"/>
        <v>0.40166028097062578</v>
      </c>
      <c r="T212" s="59" t="str">
        <f t="shared" si="61"/>
        <v/>
      </c>
      <c r="U212" s="59" t="str">
        <f t="shared" si="62"/>
        <v/>
      </c>
      <c r="V212" s="60"/>
      <c r="W212" s="69" t="str">
        <f>IFERROR((VLOOKUP($A212,'Из ГУГЛа'!$B:$Z,W$1,0)+Y212)*X212,VLOOKUP($A212,'Из ГУГЛа'!$B:$Z,W$1,0))</f>
        <v/>
      </c>
      <c r="X212" s="61">
        <v>1</v>
      </c>
      <c r="Y212" s="61">
        <v>0</v>
      </c>
      <c r="Z212" s="76" t="s">
        <v>4285</v>
      </c>
      <c r="AA212" s="60"/>
    </row>
    <row r="213" spans="1:27" ht="30" x14ac:dyDescent="0.25">
      <c r="A213" s="52">
        <v>163499</v>
      </c>
      <c r="B213" s="52">
        <f>VLOOKUP($A213,'Выгр Кат'!$A:$R,B$1,0)</f>
        <v>23531</v>
      </c>
      <c r="C213" s="53" t="str">
        <f>VLOOKUP($A213,'Выгр Кат'!$A:$R,C$1,0)</f>
        <v>Лонжерон пола "АвтоВАЗ" (передний, левый) для ВАЗ 2108-21099, 2113-2115</v>
      </c>
      <c r="D213" s="52" t="str">
        <f>VLOOKUP($A213,'Выгр Кат'!$A:$R,D$1,0)</f>
        <v>Y</v>
      </c>
      <c r="E213" s="52" t="str">
        <f>VLOOKUP($A213,'Выгр Кат'!$A:$R,E$1,0)</f>
        <v>1ск1</v>
      </c>
      <c r="F213" s="52" t="str">
        <f>VLOOKUP($A213,'Выгр Кат'!$A:$R,F$1,0)</f>
        <v>21080510130300</v>
      </c>
      <c r="G213" s="52" t="str">
        <f>IF(VLOOKUP($A213,'Выгр Кат'!$A:$R,G$1,0)=0,"",VLOOKUP($A213,'Выгр Кат'!$A:$R,G$1,0))</f>
        <v>https://motorring.ru/product/2887-longheron-pola-peredniy-levyy-vaz-2108-21099-2110-2112</v>
      </c>
      <c r="H213" s="52"/>
      <c r="I213" s="52"/>
      <c r="J213" s="54">
        <f t="shared" si="54"/>
        <v>159</v>
      </c>
      <c r="K213" s="55">
        <f>VLOOKUP(J213,Наценка!$A$1:$B$8,2,1)</f>
        <v>1.8</v>
      </c>
      <c r="L213" s="56">
        <f t="shared" si="55"/>
        <v>286.2</v>
      </c>
      <c r="M213" s="57">
        <f t="shared" si="56"/>
        <v>289</v>
      </c>
      <c r="N213" s="52">
        <f>VLOOKUP($A213,'Выгр Кат'!$A:$R,N$1,0)</f>
        <v>159</v>
      </c>
      <c r="O213" s="52">
        <f>VLOOKUP($A213,'Выгр Кат'!$A:$R,O$1,0)</f>
        <v>289</v>
      </c>
      <c r="P213" s="47">
        <f t="shared" si="57"/>
        <v>0</v>
      </c>
      <c r="Q213" s="47">
        <f t="shared" si="58"/>
        <v>0</v>
      </c>
      <c r="R213" s="58">
        <f t="shared" si="59"/>
        <v>289</v>
      </c>
      <c r="S213" s="59">
        <f t="shared" si="60"/>
        <v>0.8176100628930818</v>
      </c>
      <c r="T213" s="59">
        <f t="shared" si="61"/>
        <v>0.258974358974359</v>
      </c>
      <c r="U213" s="59">
        <f t="shared" si="62"/>
        <v>1.4528301886792452</v>
      </c>
      <c r="V213" s="42">
        <f>Z213</f>
        <v>390</v>
      </c>
      <c r="W213" s="69">
        <f>IFERROR((VLOOKUP($A213,'Из ГУГЛа'!$B:$Z,W$1,0)+Y213)*X213,VLOOKUP($A213,'Из ГУГЛа'!$B:$Z,W$1,0))</f>
        <v>390</v>
      </c>
      <c r="X213" s="61">
        <v>1</v>
      </c>
      <c r="Y213" s="61">
        <v>0</v>
      </c>
      <c r="Z213" s="70">
        <v>390</v>
      </c>
      <c r="AA213" s="60" t="s">
        <v>581</v>
      </c>
    </row>
    <row r="214" spans="1:27" ht="45" x14ac:dyDescent="0.25">
      <c r="A214" s="52">
        <v>163500</v>
      </c>
      <c r="B214" s="52">
        <f>VLOOKUP($A214,'Выгр Кат'!$A:$R,B$1,0)</f>
        <v>56793</v>
      </c>
      <c r="C214" s="53" t="str">
        <f>VLOOKUP($A214,'Выгр Кат'!$A:$R,C$1,0)</f>
        <v>Лонжерон пола "АвтоВАЗ" (передний, левый) для ВАЗ 2110-2112, Лада Приора</v>
      </c>
      <c r="D214" s="52" t="str">
        <f>VLOOKUP($A214,'Выгр Кат'!$A:$R,D$1,0)</f>
        <v>Y</v>
      </c>
      <c r="E214" s="52" t="str">
        <f>VLOOKUP($A214,'Выгр Кат'!$A:$R,E$1,0)</f>
        <v>1ск1</v>
      </c>
      <c r="F214" s="52" t="str">
        <f>VLOOKUP($A214,'Выгр Кат'!$A:$R,F$1,0)</f>
        <v>21100510130300</v>
      </c>
      <c r="G214" s="52" t="str">
        <f>IF(VLOOKUP($A214,'Выгр Кат'!$A:$R,G$1,0)=0,"",VLOOKUP($A214,'Выгр Кат'!$A:$R,G$1,0))</f>
        <v/>
      </c>
      <c r="H214" s="52"/>
      <c r="I214" s="52"/>
      <c r="J214" s="54">
        <f t="shared" si="54"/>
        <v>120</v>
      </c>
      <c r="K214" s="55">
        <f>VLOOKUP(J214,Наценка!$A$1:$B$8,2,1)</f>
        <v>1.8</v>
      </c>
      <c r="L214" s="56">
        <f t="shared" si="55"/>
        <v>216</v>
      </c>
      <c r="M214" s="57">
        <f t="shared" si="56"/>
        <v>219</v>
      </c>
      <c r="N214" s="52">
        <f>VLOOKUP($A214,'Выгр Кат'!$A:$R,N$1,0)</f>
        <v>120</v>
      </c>
      <c r="O214" s="52">
        <f>VLOOKUP($A214,'Выгр Кат'!$A:$R,O$1,0)</f>
        <v>219</v>
      </c>
      <c r="P214" s="47">
        <f t="shared" si="57"/>
        <v>0</v>
      </c>
      <c r="Q214" s="47">
        <f t="shared" si="58"/>
        <v>0</v>
      </c>
      <c r="R214" s="58">
        <f t="shared" si="59"/>
        <v>219</v>
      </c>
      <c r="S214" s="59">
        <f t="shared" si="60"/>
        <v>0.82499999999999996</v>
      </c>
      <c r="T214" s="59" t="str">
        <f t="shared" si="61"/>
        <v/>
      </c>
      <c r="U214" s="59" t="str">
        <f t="shared" si="62"/>
        <v/>
      </c>
      <c r="V214" s="60"/>
      <c r="W214" s="69" t="str">
        <f>IFERROR((VLOOKUP($A214,'Из ГУГЛа'!$B:$Z,W$1,0)+Y214)*X214,VLOOKUP($A214,'Из ГУГЛа'!$B:$Z,W$1,0))</f>
        <v/>
      </c>
      <c r="X214" s="61">
        <v>1</v>
      </c>
      <c r="Y214" s="61">
        <v>0</v>
      </c>
      <c r="Z214" s="60" t="s">
        <v>4170</v>
      </c>
      <c r="AA214" s="60"/>
    </row>
    <row r="215" spans="1:27" ht="30" x14ac:dyDescent="0.25">
      <c r="A215" s="52">
        <v>163501</v>
      </c>
      <c r="B215" s="52">
        <f>VLOOKUP($A215,'Выгр Кат'!$A:$R,B$1,0)</f>
        <v>24058</v>
      </c>
      <c r="C215" s="53" t="str">
        <f>VLOOKUP($A215,'Выгр Кат'!$A:$R,C$1,0)</f>
        <v>Лонжерон пола "АвтоВАЗ" (передний, правый) для ВАЗ 2108-21099, 2113-2115</v>
      </c>
      <c r="D215" s="52" t="str">
        <f>VLOOKUP($A215,'Выгр Кат'!$A:$R,D$1,0)</f>
        <v>Y</v>
      </c>
      <c r="E215" s="52" t="str">
        <f>VLOOKUP($A215,'Выгр Кат'!$A:$R,E$1,0)</f>
        <v>1</v>
      </c>
      <c r="F215" s="52" t="str">
        <f>VLOOKUP($A215,'Выгр Кат'!$A:$R,F$1,0)</f>
        <v>21080510130200</v>
      </c>
      <c r="G215" s="52" t="str">
        <f>IF(VLOOKUP($A215,'Выгр Кат'!$A:$R,G$1,0)=0,"",VLOOKUP($A215,'Выгр Кат'!$A:$R,G$1,0))</f>
        <v>https://motorring.ru/product/35456-longheron-pola-peredniy-pravyy-vaz-2108-21099-2110-2112</v>
      </c>
      <c r="H215" s="52"/>
      <c r="I215" s="52"/>
      <c r="J215" s="54">
        <f t="shared" si="54"/>
        <v>151</v>
      </c>
      <c r="K215" s="55">
        <f>VLOOKUP(J215,Наценка!$A$1:$B$8,2,1)</f>
        <v>1.8</v>
      </c>
      <c r="L215" s="56">
        <f t="shared" si="55"/>
        <v>271.8</v>
      </c>
      <c r="M215" s="57">
        <f t="shared" si="56"/>
        <v>279</v>
      </c>
      <c r="N215" s="52">
        <f>VLOOKUP($A215,'Выгр Кат'!$A:$R,N$1,0)</f>
        <v>151</v>
      </c>
      <c r="O215" s="52">
        <f>VLOOKUP($A215,'Выгр Кат'!$A:$R,O$1,0)</f>
        <v>279</v>
      </c>
      <c r="P215" s="47">
        <f t="shared" si="57"/>
        <v>0</v>
      </c>
      <c r="Q215" s="47">
        <f t="shared" si="58"/>
        <v>0</v>
      </c>
      <c r="R215" s="58">
        <f t="shared" si="59"/>
        <v>279</v>
      </c>
      <c r="S215" s="59">
        <f t="shared" si="60"/>
        <v>0.84768211920529812</v>
      </c>
      <c r="T215" s="59">
        <f t="shared" si="61"/>
        <v>0.2846153846153846</v>
      </c>
      <c r="U215" s="59">
        <f t="shared" si="62"/>
        <v>1.5827814569536423</v>
      </c>
      <c r="V215" s="42">
        <f>Z215</f>
        <v>390</v>
      </c>
      <c r="W215" s="69">
        <f>IFERROR((VLOOKUP($A215,'Из ГУГЛа'!$B:$Z,W$1,0)+Y215)*X215,VLOOKUP($A215,'Из ГУГЛа'!$B:$Z,W$1,0))</f>
        <v>390</v>
      </c>
      <c r="X215" s="61">
        <v>1</v>
      </c>
      <c r="Y215" s="61">
        <v>0</v>
      </c>
      <c r="Z215" s="70">
        <v>390</v>
      </c>
      <c r="AA215" s="60" t="s">
        <v>586</v>
      </c>
    </row>
    <row r="216" spans="1:27" ht="45" x14ac:dyDescent="0.25">
      <c r="A216" s="52">
        <v>163502</v>
      </c>
      <c r="B216" s="52">
        <f>VLOOKUP($A216,'Выгр Кат'!$A:$R,B$1,0)</f>
        <v>56792</v>
      </c>
      <c r="C216" s="53" t="str">
        <f>VLOOKUP($A216,'Выгр Кат'!$A:$R,C$1,0)</f>
        <v>Лонжерон пола "АвтоВАЗ" (передний, правый) для ВАЗ 2110-2112, Лада Приора</v>
      </c>
      <c r="D216" s="52" t="str">
        <f>VLOOKUP($A216,'Выгр Кат'!$A:$R,D$1,0)</f>
        <v>Y</v>
      </c>
      <c r="E216" s="52" t="str">
        <f>VLOOKUP($A216,'Выгр Кат'!$A:$R,E$1,0)</f>
        <v>1</v>
      </c>
      <c r="F216" s="52" t="str">
        <f>VLOOKUP($A216,'Выгр Кат'!$A:$R,F$1,0)</f>
        <v>21100510130200</v>
      </c>
      <c r="G216" s="52" t="str">
        <f>IF(VLOOKUP($A216,'Выгр Кат'!$A:$R,G$1,0)=0,"",VLOOKUP($A216,'Выгр Кат'!$A:$R,G$1,0))</f>
        <v/>
      </c>
      <c r="H216" s="52"/>
      <c r="I216" s="52"/>
      <c r="J216" s="54">
        <f t="shared" si="54"/>
        <v>120</v>
      </c>
      <c r="K216" s="55">
        <f>VLOOKUP(J216,Наценка!$A$1:$B$8,2,1)</f>
        <v>1.8</v>
      </c>
      <c r="L216" s="56">
        <f t="shared" si="55"/>
        <v>216</v>
      </c>
      <c r="M216" s="57">
        <f t="shared" si="56"/>
        <v>219</v>
      </c>
      <c r="N216" s="52">
        <f>VLOOKUP($A216,'Выгр Кат'!$A:$R,N$1,0)</f>
        <v>120</v>
      </c>
      <c r="O216" s="52">
        <f>VLOOKUP($A216,'Выгр Кат'!$A:$R,O$1,0)</f>
        <v>219</v>
      </c>
      <c r="P216" s="47">
        <f t="shared" si="57"/>
        <v>0</v>
      </c>
      <c r="Q216" s="47">
        <f t="shared" si="58"/>
        <v>0</v>
      </c>
      <c r="R216" s="58">
        <f t="shared" si="59"/>
        <v>219</v>
      </c>
      <c r="S216" s="59">
        <f t="shared" si="60"/>
        <v>0.82499999999999996</v>
      </c>
      <c r="T216" s="59" t="str">
        <f t="shared" si="61"/>
        <v/>
      </c>
      <c r="U216" s="59" t="str">
        <f t="shared" si="62"/>
        <v/>
      </c>
      <c r="V216" s="60"/>
      <c r="W216" s="69" t="str">
        <f>IFERROR((VLOOKUP($A216,'Из ГУГЛа'!$B:$Z,W$1,0)+Y216)*X216,VLOOKUP($A216,'Из ГУГЛа'!$B:$Z,W$1,0))</f>
        <v/>
      </c>
      <c r="X216" s="61">
        <v>1</v>
      </c>
      <c r="Y216" s="61">
        <v>0</v>
      </c>
      <c r="Z216" s="60" t="s">
        <v>4170</v>
      </c>
      <c r="AA216" s="60"/>
    </row>
    <row r="217" spans="1:27" ht="45" x14ac:dyDescent="0.25">
      <c r="A217" s="52">
        <v>163503</v>
      </c>
      <c r="B217" s="52">
        <f>VLOOKUP($A217,'Выгр Кат'!$A:$R,B$1,0)</f>
        <v>23528</v>
      </c>
      <c r="C217" s="53" t="str">
        <f>VLOOKUP($A217,'Выгр Кат'!$A:$R,C$1,0)</f>
        <v>Лонжерон пола "АвтоВАЗ" (средний, левый, катафорезное покрытие) для ВАЗ 2110-2112</v>
      </c>
      <c r="D217" s="52" t="str">
        <f>VLOOKUP($A217,'Выгр Кат'!$A:$R,D$1,0)</f>
        <v>Y</v>
      </c>
      <c r="E217" s="52" t="str">
        <f>VLOOKUP($A217,'Выгр Кат'!$A:$R,E$1,0)</f>
        <v>1</v>
      </c>
      <c r="F217" s="52" t="str">
        <f>VLOOKUP($A217,'Выгр Кат'!$A:$R,F$1,0)</f>
        <v>21100510137310</v>
      </c>
      <c r="G217" s="52" t="str">
        <f>IF(VLOOKUP($A217,'Выгр Кат'!$A:$R,G$1,0)=0,"",VLOOKUP($A217,'Выгр Кат'!$A:$R,G$1,0))</f>
        <v/>
      </c>
      <c r="H217" s="52"/>
      <c r="I217" s="52"/>
      <c r="J217" s="54">
        <f t="shared" si="54"/>
        <v>2362.3200000000002</v>
      </c>
      <c r="K217" s="55">
        <f>VLOOKUP(J217,Наценка!$A$1:$B$8,2,1)</f>
        <v>1.4</v>
      </c>
      <c r="L217" s="56">
        <f t="shared" si="55"/>
        <v>3307.248</v>
      </c>
      <c r="M217" s="57">
        <f t="shared" si="56"/>
        <v>3390</v>
      </c>
      <c r="N217" s="52">
        <f>VLOOKUP($A217,'Выгр Кат'!$A:$R,N$1,0)</f>
        <v>2362.3200000000002</v>
      </c>
      <c r="O217" s="52">
        <f>VLOOKUP($A217,'Выгр Кат'!$A:$R,O$1,0)</f>
        <v>3390</v>
      </c>
      <c r="P217" s="47">
        <f t="shared" si="57"/>
        <v>0</v>
      </c>
      <c r="Q217" s="47">
        <f t="shared" si="58"/>
        <v>0</v>
      </c>
      <c r="R217" s="58">
        <f t="shared" si="59"/>
        <v>3390</v>
      </c>
      <c r="S217" s="59">
        <f t="shared" si="60"/>
        <v>0.43502997053743764</v>
      </c>
      <c r="T217" s="59">
        <f t="shared" si="61"/>
        <v>0</v>
      </c>
      <c r="U217" s="59">
        <f t="shared" si="62"/>
        <v>0.43502997053743764</v>
      </c>
      <c r="V217" s="42">
        <f>Z217</f>
        <v>3390</v>
      </c>
      <c r="W217" s="69" t="str">
        <f>IFERROR((VLOOKUP($A217,'Из ГУГЛа'!$B:$Z,W$1,0)+Y217)*X217,VLOOKUP($A217,'Из ГУГЛа'!$B:$Z,W$1,0))</f>
        <v/>
      </c>
      <c r="X217" s="61">
        <v>1</v>
      </c>
      <c r="Y217" s="61">
        <v>0</v>
      </c>
      <c r="Z217" s="60">
        <v>3390</v>
      </c>
      <c r="AA217" s="60" t="s">
        <v>4293</v>
      </c>
    </row>
    <row r="218" spans="1:27" ht="30" x14ac:dyDescent="0.25">
      <c r="A218" s="52">
        <v>315545</v>
      </c>
      <c r="B218" s="52">
        <f>VLOOKUP($A218,'Выгр Кат'!$A:$R,B$1,0)</f>
        <v>315545</v>
      </c>
      <c r="C218" s="53" t="str">
        <f>VLOOKUP($A218,'Выгр Кат'!$A:$R,C$1,0)</f>
        <v>Лонжерон пола "АвтоВАЗ" (средний, левый) для ВАЗ 2110-2112</v>
      </c>
      <c r="D218" s="52" t="str">
        <f>VLOOKUP($A218,'Выгр Кат'!$A:$R,D$1,0)</f>
        <v>Y</v>
      </c>
      <c r="E218" s="52" t="str">
        <f>VLOOKUP($A218,'Выгр Кат'!$A:$R,E$1,0)</f>
        <v>1</v>
      </c>
      <c r="F218" s="52" t="str">
        <f>VLOOKUP($A218,'Выгр Кат'!$A:$R,F$1,0)</f>
        <v>21100510137310</v>
      </c>
      <c r="G218" s="52" t="str">
        <f>IF(VLOOKUP($A218,'Выгр Кат'!$A:$R,G$1,0)=0,"",VLOOKUP($A218,'Выгр Кат'!$A:$R,G$1,0))</f>
        <v/>
      </c>
      <c r="H218" s="52"/>
      <c r="I218" s="52"/>
      <c r="J218" s="54">
        <f t="shared" si="54"/>
        <v>2448</v>
      </c>
      <c r="K218" s="55">
        <f>VLOOKUP(J218,Наценка!$A$1:$B$8,2,1)</f>
        <v>1.4</v>
      </c>
      <c r="L218" s="56">
        <f t="shared" si="55"/>
        <v>3427.2</v>
      </c>
      <c r="M218" s="57">
        <f t="shared" si="56"/>
        <v>3490</v>
      </c>
      <c r="N218" s="52">
        <f>VLOOKUP($A218,'Выгр Кат'!$A:$R,N$1,0)</f>
        <v>2448</v>
      </c>
      <c r="O218" s="52">
        <f>VLOOKUP($A218,'Выгр Кат'!$A:$R,O$1,0)</f>
        <v>3490</v>
      </c>
      <c r="P218" s="47">
        <f t="shared" si="57"/>
        <v>0</v>
      </c>
      <c r="Q218" s="47">
        <f t="shared" si="58"/>
        <v>0</v>
      </c>
      <c r="R218" s="58">
        <f t="shared" si="59"/>
        <v>3490</v>
      </c>
      <c r="S218" s="59">
        <f t="shared" si="60"/>
        <v>0.42565359477124187</v>
      </c>
      <c r="T218" s="59" t="str">
        <f t="shared" si="61"/>
        <v/>
      </c>
      <c r="U218" s="59" t="str">
        <f t="shared" si="62"/>
        <v/>
      </c>
      <c r="V218" s="60"/>
      <c r="W218" s="69" t="str">
        <f>IFERROR((VLOOKUP($A218,'Из ГУГЛа'!$B:$Z,W$1,0)+Y218)*X218,VLOOKUP($A218,'Из ГУГЛа'!$B:$Z,W$1,0))</f>
        <v/>
      </c>
      <c r="X218" s="61">
        <v>1</v>
      </c>
      <c r="Y218" s="61">
        <v>0</v>
      </c>
      <c r="Z218" s="60" t="s">
        <v>4169</v>
      </c>
      <c r="AA218" s="60"/>
    </row>
    <row r="219" spans="1:27" ht="30" x14ac:dyDescent="0.25">
      <c r="A219" s="52">
        <v>163504</v>
      </c>
      <c r="B219" s="52">
        <f>VLOOKUP($A219,'Выгр Кат'!$A:$R,B$1,0)</f>
        <v>50842</v>
      </c>
      <c r="C219" s="53" t="str">
        <f>VLOOKUP($A219,'Выгр Кат'!$A:$R,C$1,0)</f>
        <v>Лонжерон пола "АвтоВАЗ" задний для Лада Веста, Веста Cross, Веста Спорт</v>
      </c>
      <c r="D219" s="52" t="str">
        <f>VLOOKUP($A219,'Выгр Кат'!$A:$R,D$1,0)</f>
        <v>Y</v>
      </c>
      <c r="E219" s="52" t="str">
        <f>VLOOKUP($A219,'Выгр Кат'!$A:$R,E$1,0)</f>
        <v>1</v>
      </c>
      <c r="F219" s="52" t="str">
        <f>VLOOKUP($A219,'Выгр Кат'!$A:$R,F$1,0)</f>
        <v>8460012470</v>
      </c>
      <c r="G219" s="52" t="str">
        <f>IF(VLOOKUP($A219,'Выгр Кат'!$A:$R,G$1,0)=0,"",VLOOKUP($A219,'Выгр Кат'!$A:$R,G$1,0))</f>
        <v/>
      </c>
      <c r="H219" s="52"/>
      <c r="I219" s="52"/>
      <c r="J219" s="54">
        <f t="shared" si="54"/>
        <v>701</v>
      </c>
      <c r="K219" s="55">
        <f>VLOOKUP(J219,Наценка!$A$1:$B$8,2,1)</f>
        <v>1.55</v>
      </c>
      <c r="L219" s="56">
        <f t="shared" si="55"/>
        <v>1086.55</v>
      </c>
      <c r="M219" s="57">
        <f t="shared" si="56"/>
        <v>1090</v>
      </c>
      <c r="N219" s="52">
        <f>VLOOKUP($A219,'Выгр Кат'!$A:$R,N$1,0)</f>
        <v>701</v>
      </c>
      <c r="O219" s="52">
        <f>VLOOKUP($A219,'Выгр Кат'!$A:$R,O$1,0)</f>
        <v>1090</v>
      </c>
      <c r="P219" s="47">
        <f t="shared" si="57"/>
        <v>0</v>
      </c>
      <c r="Q219" s="47">
        <f t="shared" si="58"/>
        <v>0</v>
      </c>
      <c r="R219" s="58">
        <f t="shared" si="59"/>
        <v>1090</v>
      </c>
      <c r="S219" s="59">
        <f t="shared" si="60"/>
        <v>0.55492154065620536</v>
      </c>
      <c r="T219" s="59" t="str">
        <f t="shared" si="61"/>
        <v/>
      </c>
      <c r="U219" s="59" t="str">
        <f t="shared" si="62"/>
        <v/>
      </c>
      <c r="V219" s="60"/>
      <c r="W219" s="69" t="str">
        <f>IFERROR((VLOOKUP($A219,'Из ГУГЛа'!$B:$Z,W$1,0)+Y219)*X219,VLOOKUP($A219,'Из ГУГЛа'!$B:$Z,W$1,0))</f>
        <v/>
      </c>
      <c r="X219" s="61">
        <v>1</v>
      </c>
      <c r="Y219" s="61">
        <v>0</v>
      </c>
      <c r="Z219" s="60" t="s">
        <v>4170</v>
      </c>
      <c r="AA219" s="60"/>
    </row>
    <row r="220" spans="1:27" ht="45" x14ac:dyDescent="0.25">
      <c r="A220" s="52">
        <v>163505</v>
      </c>
      <c r="B220" s="52">
        <f>VLOOKUP($A220,'Выгр Кат'!$A:$R,B$1,0)</f>
        <v>41814</v>
      </c>
      <c r="C220" s="53" t="str">
        <f>VLOOKUP($A220,'Выгр Кат'!$A:$R,C$1,0)</f>
        <v>Лонжерон пола "АвтоВАЗ" задний левый в сборе для Лада Веста NG седан</v>
      </c>
      <c r="D220" s="52" t="str">
        <f>VLOOKUP($A220,'Выгр Кат'!$A:$R,D$1,0)</f>
        <v>Y</v>
      </c>
      <c r="E220" s="52" t="str">
        <f>VLOOKUP($A220,'Выгр Кат'!$A:$R,E$1,0)</f>
        <v>1</v>
      </c>
      <c r="F220" s="52" t="str">
        <f>VLOOKUP($A220,'Выгр Кат'!$A:$R,F$1,0)</f>
        <v>8450013785</v>
      </c>
      <c r="G220" s="52" t="str">
        <f>IF(VLOOKUP($A220,'Выгр Кат'!$A:$R,G$1,0)=0,"",VLOOKUP($A220,'Выгр Кат'!$A:$R,G$1,0))</f>
        <v/>
      </c>
      <c r="H220" s="52"/>
      <c r="I220" s="52"/>
      <c r="J220" s="54">
        <f t="shared" si="54"/>
        <v>1619</v>
      </c>
      <c r="K220" s="55">
        <f>VLOOKUP(J220,Наценка!$A$1:$B$8,2,1)</f>
        <v>1.5</v>
      </c>
      <c r="L220" s="56">
        <f t="shared" si="55"/>
        <v>2428.5</v>
      </c>
      <c r="M220" s="57">
        <f t="shared" si="56"/>
        <v>2490</v>
      </c>
      <c r="N220" s="52">
        <f>VLOOKUP($A220,'Выгр Кат'!$A:$R,N$1,0)</f>
        <v>1619</v>
      </c>
      <c r="O220" s="52">
        <f>VLOOKUP($A220,'Выгр Кат'!$A:$R,O$1,0)</f>
        <v>2490</v>
      </c>
      <c r="P220" s="47">
        <f t="shared" si="57"/>
        <v>0</v>
      </c>
      <c r="Q220" s="47">
        <f t="shared" si="58"/>
        <v>0</v>
      </c>
      <c r="R220" s="58">
        <f t="shared" si="59"/>
        <v>2490</v>
      </c>
      <c r="S220" s="59">
        <f t="shared" si="60"/>
        <v>0.53798641136504011</v>
      </c>
      <c r="T220" s="59" t="str">
        <f t="shared" si="61"/>
        <v/>
      </c>
      <c r="U220" s="59" t="str">
        <f t="shared" si="62"/>
        <v/>
      </c>
      <c r="V220" s="60"/>
      <c r="W220" s="69" t="str">
        <f>IFERROR((VLOOKUP($A220,'Из ГУГЛа'!$B:$Z,W$1,0)+Y220)*X220,VLOOKUP($A220,'Из ГУГЛа'!$B:$Z,W$1,0))</f>
        <v/>
      </c>
      <c r="X220" s="61">
        <v>1</v>
      </c>
      <c r="Y220" s="61">
        <v>0</v>
      </c>
      <c r="Z220" s="60" t="s">
        <v>4170</v>
      </c>
      <c r="AA220" s="60"/>
    </row>
    <row r="221" spans="1:27" ht="45" x14ac:dyDescent="0.25">
      <c r="A221" s="52">
        <v>163506</v>
      </c>
      <c r="B221" s="52">
        <f>VLOOKUP($A221,'Выгр Кат'!$A:$R,B$1,0)</f>
        <v>48656</v>
      </c>
      <c r="C221" s="53" t="str">
        <f>VLOOKUP($A221,'Выгр Кат'!$A:$R,C$1,0)</f>
        <v>Лонжерон пола "АвтоВАЗ" задний левый в сборе для Лада Гранда FL седан, лифтбек</v>
      </c>
      <c r="D221" s="52" t="str">
        <f>VLOOKUP($A221,'Выгр Кат'!$A:$R,D$1,0)</f>
        <v>Y</v>
      </c>
      <c r="E221" s="52" t="str">
        <f>VLOOKUP($A221,'Выгр Кат'!$A:$R,E$1,0)</f>
        <v>1</v>
      </c>
      <c r="F221" s="52" t="str">
        <f>VLOOKUP($A221,'Выгр Кат'!$A:$R,F$1,0)</f>
        <v>8460006767</v>
      </c>
      <c r="G221" s="52" t="str">
        <f>IF(VLOOKUP($A221,'Выгр Кат'!$A:$R,G$1,0)=0,"",VLOOKUP($A221,'Выгр Кат'!$A:$R,G$1,0))</f>
        <v/>
      </c>
      <c r="H221" s="52"/>
      <c r="I221" s="52"/>
      <c r="J221" s="54">
        <f t="shared" si="54"/>
        <v>994</v>
      </c>
      <c r="K221" s="55">
        <f>VLOOKUP(J221,Наценка!$A$1:$B$8,2,1)</f>
        <v>1.55</v>
      </c>
      <c r="L221" s="56">
        <f t="shared" si="55"/>
        <v>1540.7</v>
      </c>
      <c r="M221" s="57">
        <f t="shared" si="56"/>
        <v>1590</v>
      </c>
      <c r="N221" s="52">
        <f>VLOOKUP($A221,'Выгр Кат'!$A:$R,N$1,0)</f>
        <v>994</v>
      </c>
      <c r="O221" s="52">
        <f>VLOOKUP($A221,'Выгр Кат'!$A:$R,O$1,0)</f>
        <v>1590</v>
      </c>
      <c r="P221" s="47">
        <f t="shared" si="57"/>
        <v>0</v>
      </c>
      <c r="Q221" s="47">
        <f t="shared" si="58"/>
        <v>0</v>
      </c>
      <c r="R221" s="58">
        <f t="shared" si="59"/>
        <v>1590</v>
      </c>
      <c r="S221" s="59">
        <f t="shared" si="60"/>
        <v>0.5995975855130784</v>
      </c>
      <c r="T221" s="59" t="str">
        <f t="shared" si="61"/>
        <v/>
      </c>
      <c r="U221" s="59" t="str">
        <f t="shared" si="62"/>
        <v/>
      </c>
      <c r="V221" s="60"/>
      <c r="W221" s="69" t="str">
        <f>IFERROR((VLOOKUP($A221,'Из ГУГЛа'!$B:$Z,W$1,0)+Y221)*X221,VLOOKUP($A221,'Из ГУГЛа'!$B:$Z,W$1,0))</f>
        <v/>
      </c>
      <c r="X221" s="61">
        <v>1</v>
      </c>
      <c r="Y221" s="61">
        <v>0</v>
      </c>
      <c r="Z221" s="60" t="s">
        <v>4170</v>
      </c>
      <c r="AA221" s="60"/>
    </row>
    <row r="222" spans="1:27" ht="45" x14ac:dyDescent="0.25">
      <c r="A222" s="52">
        <v>163507</v>
      </c>
      <c r="B222" s="52">
        <f>VLOOKUP($A222,'Выгр Кат'!$A:$R,B$1,0)</f>
        <v>41698</v>
      </c>
      <c r="C222" s="53" t="str">
        <f>VLOOKUP($A222,'Выгр Кат'!$A:$R,C$1,0)</f>
        <v>Лонжерон пола "АвтоВАЗ" задний правый в сборе для Лада Веста NG седан</v>
      </c>
      <c r="D222" s="52" t="str">
        <f>VLOOKUP($A222,'Выгр Кат'!$A:$R,D$1,0)</f>
        <v>Y</v>
      </c>
      <c r="E222" s="52" t="str">
        <f>VLOOKUP($A222,'Выгр Кат'!$A:$R,E$1,0)</f>
        <v>1</v>
      </c>
      <c r="F222" s="52" t="str">
        <f>VLOOKUP($A222,'Выгр Кат'!$A:$R,F$1,0)</f>
        <v>8450013784</v>
      </c>
      <c r="G222" s="52" t="str">
        <f>IF(VLOOKUP($A222,'Выгр Кат'!$A:$R,G$1,0)=0,"",VLOOKUP($A222,'Выгр Кат'!$A:$R,G$1,0))</f>
        <v/>
      </c>
      <c r="H222" s="52"/>
      <c r="I222" s="52"/>
      <c r="J222" s="54">
        <f t="shared" si="54"/>
        <v>1600</v>
      </c>
      <c r="K222" s="55">
        <f>VLOOKUP(J222,Наценка!$A$1:$B$8,2,1)</f>
        <v>1.5</v>
      </c>
      <c r="L222" s="56">
        <f t="shared" si="55"/>
        <v>2400</v>
      </c>
      <c r="M222" s="57">
        <f t="shared" si="56"/>
        <v>2390</v>
      </c>
      <c r="N222" s="52">
        <f>VLOOKUP($A222,'Выгр Кат'!$A:$R,N$1,0)</f>
        <v>1600</v>
      </c>
      <c r="O222" s="52">
        <f>VLOOKUP($A222,'Выгр Кат'!$A:$R,O$1,0)</f>
        <v>2490</v>
      </c>
      <c r="P222" s="47">
        <f t="shared" si="57"/>
        <v>0</v>
      </c>
      <c r="Q222" s="47">
        <f t="shared" si="58"/>
        <v>100</v>
      </c>
      <c r="R222" s="58">
        <f t="shared" si="59"/>
        <v>2390</v>
      </c>
      <c r="S222" s="59">
        <f t="shared" si="60"/>
        <v>0.49374999999999991</v>
      </c>
      <c r="T222" s="59" t="str">
        <f t="shared" si="61"/>
        <v/>
      </c>
      <c r="U222" s="59" t="str">
        <f t="shared" si="62"/>
        <v/>
      </c>
      <c r="V222" s="60"/>
      <c r="W222" s="69" t="str">
        <f>IFERROR((VLOOKUP($A222,'Из ГУГЛа'!$B:$Z,W$1,0)+Y222)*X222,VLOOKUP($A222,'Из ГУГЛа'!$B:$Z,W$1,0))</f>
        <v/>
      </c>
      <c r="X222" s="61">
        <v>1</v>
      </c>
      <c r="Y222" s="61">
        <v>0</v>
      </c>
      <c r="Z222" s="60" t="s">
        <v>4170</v>
      </c>
      <c r="AA222" s="60"/>
    </row>
    <row r="223" spans="1:27" ht="45" x14ac:dyDescent="0.25">
      <c r="A223" s="52">
        <v>163508</v>
      </c>
      <c r="B223" s="52">
        <f>VLOOKUP($A223,'Выгр Кат'!$A:$R,B$1,0)</f>
        <v>46235</v>
      </c>
      <c r="C223" s="53" t="str">
        <f>VLOOKUP($A223,'Выгр Кат'!$A:$R,C$1,0)</f>
        <v>Лонжерон пола "АвтоВАЗ" передний левый (катафорез) для Лада Нива Travel, Шевроле Нива</v>
      </c>
      <c r="D223" s="52" t="str">
        <f>VLOOKUP($A223,'Выгр Кат'!$A:$R,D$1,0)</f>
        <v>Y</v>
      </c>
      <c r="E223" s="52" t="str">
        <f>VLOOKUP($A223,'Выгр Кат'!$A:$R,E$1,0)</f>
        <v>1</v>
      </c>
      <c r="F223" s="52" t="str">
        <f>VLOOKUP($A223,'Выгр Кат'!$A:$R,F$1,0)</f>
        <v>21230510130370</v>
      </c>
      <c r="G223" s="52" t="str">
        <f>IF(VLOOKUP($A223,'Выгр Кат'!$A:$R,G$1,0)=0,"",VLOOKUP($A223,'Выгр Кат'!$A:$R,G$1,0))</f>
        <v>https://motorring.ru/product/38212-longheron-pola-levyy-prodolynyy-dlya-shevrole-niva</v>
      </c>
      <c r="H223" s="52"/>
      <c r="I223" s="52"/>
      <c r="J223" s="54">
        <f t="shared" si="54"/>
        <v>1241</v>
      </c>
      <c r="K223" s="55">
        <f>VLOOKUP(J223,Наценка!$A$1:$B$8,2,1)</f>
        <v>1.5</v>
      </c>
      <c r="L223" s="56">
        <f t="shared" si="55"/>
        <v>1861.5</v>
      </c>
      <c r="M223" s="57">
        <f t="shared" si="56"/>
        <v>1890</v>
      </c>
      <c r="N223" s="52">
        <f>VLOOKUP($A223,'Выгр Кат'!$A:$R,N$1,0)</f>
        <v>1241</v>
      </c>
      <c r="O223" s="52">
        <f>VLOOKUP($A223,'Выгр Кат'!$A:$R,O$1,0)</f>
        <v>1890</v>
      </c>
      <c r="P223" s="47">
        <f t="shared" si="57"/>
        <v>0</v>
      </c>
      <c r="Q223" s="47">
        <f t="shared" si="58"/>
        <v>0</v>
      </c>
      <c r="R223" s="58">
        <f t="shared" si="59"/>
        <v>1890</v>
      </c>
      <c r="S223" s="59">
        <f t="shared" si="60"/>
        <v>0.52296535052377124</v>
      </c>
      <c r="T223" s="59">
        <f t="shared" si="61"/>
        <v>0</v>
      </c>
      <c r="U223" s="59">
        <f t="shared" si="62"/>
        <v>0.52296535052377124</v>
      </c>
      <c r="V223" s="42">
        <f t="shared" ref="V223:V227" si="67">Z223</f>
        <v>1890</v>
      </c>
      <c r="W223" s="69">
        <f>IFERROR((VLOOKUP($A223,'Из ГУГЛа'!$B:$Z,W$1,0)+Y223)*X223,VLOOKUP($A223,'Из ГУГЛа'!$B:$Z,W$1,0))</f>
        <v>1890</v>
      </c>
      <c r="X223" s="61">
        <v>1</v>
      </c>
      <c r="Y223" s="61">
        <v>0</v>
      </c>
      <c r="Z223" s="70">
        <v>1890</v>
      </c>
      <c r="AA223" s="60" t="s">
        <v>607</v>
      </c>
    </row>
    <row r="224" spans="1:27" ht="45" x14ac:dyDescent="0.25">
      <c r="A224" s="52">
        <v>163509</v>
      </c>
      <c r="B224" s="52">
        <f>VLOOKUP($A224,'Выгр Кат'!$A:$R,B$1,0)</f>
        <v>50705</v>
      </c>
      <c r="C224" s="53" t="str">
        <f>VLOOKUP($A224,'Выгр Кат'!$A:$R,C$1,0)</f>
        <v>Лонжерон пола "АвтоВАЗ" передний правый (катафорез) для Лада Веста, Веста Кросс, Веста Спорт</v>
      </c>
      <c r="D224" s="52" t="str">
        <f>VLOOKUP($A224,'Выгр Кат'!$A:$R,D$1,0)</f>
        <v>Y</v>
      </c>
      <c r="E224" s="52" t="str">
        <f>VLOOKUP($A224,'Выгр Кат'!$A:$R,E$1,0)</f>
        <v>1</v>
      </c>
      <c r="F224" s="52" t="str">
        <f>VLOOKUP($A224,'Выгр Кат'!$A:$R,F$1,0)</f>
        <v>8450039374</v>
      </c>
      <c r="G224" s="52" t="str">
        <f>IF(VLOOKUP($A224,'Выгр Кат'!$A:$R,G$1,0)=0,"",VLOOKUP($A224,'Выгр Кат'!$A:$R,G$1,0))</f>
        <v>https://motorring.ru/product/36826-longheron-pola-peredniy-pravyy-malyy-dlya-lada-vesta</v>
      </c>
      <c r="H224" s="52"/>
      <c r="I224" s="52"/>
      <c r="J224" s="54">
        <f t="shared" si="54"/>
        <v>790</v>
      </c>
      <c r="K224" s="55">
        <f>VLOOKUP(J224,Наценка!$A$1:$B$8,2,1)</f>
        <v>1.55</v>
      </c>
      <c r="L224" s="56">
        <f t="shared" si="55"/>
        <v>1224.5</v>
      </c>
      <c r="M224" s="57">
        <f t="shared" si="56"/>
        <v>1290</v>
      </c>
      <c r="N224" s="52">
        <f>VLOOKUP($A224,'Выгр Кат'!$A:$R,N$1,0)</f>
        <v>790</v>
      </c>
      <c r="O224" s="52">
        <f>VLOOKUP($A224,'Выгр Кат'!$A:$R,O$1,0)</f>
        <v>1290</v>
      </c>
      <c r="P224" s="47">
        <f t="shared" si="57"/>
        <v>0</v>
      </c>
      <c r="Q224" s="47">
        <f t="shared" si="58"/>
        <v>0</v>
      </c>
      <c r="R224" s="58">
        <f t="shared" si="59"/>
        <v>1290</v>
      </c>
      <c r="S224" s="59">
        <f t="shared" si="60"/>
        <v>0.63291139240506333</v>
      </c>
      <c r="T224" s="59">
        <f t="shared" si="61"/>
        <v>7.1942446043165464E-2</v>
      </c>
      <c r="U224" s="59">
        <f t="shared" si="62"/>
        <v>0.759493670886076</v>
      </c>
      <c r="V224" s="42">
        <f t="shared" si="67"/>
        <v>1390</v>
      </c>
      <c r="W224" s="69">
        <f>IFERROR((VLOOKUP($A224,'Из ГУГЛа'!$B:$Z,W$1,0)+Y224)*X224,VLOOKUP($A224,'Из ГУГЛа'!$B:$Z,W$1,0))</f>
        <v>1390</v>
      </c>
      <c r="X224" s="61">
        <v>1</v>
      </c>
      <c r="Y224" s="61">
        <v>0</v>
      </c>
      <c r="Z224" s="70">
        <v>1390</v>
      </c>
      <c r="AA224" s="60" t="s">
        <v>611</v>
      </c>
    </row>
    <row r="225" spans="1:27" ht="45" x14ac:dyDescent="0.25">
      <c r="A225" s="52">
        <v>163510</v>
      </c>
      <c r="B225" s="52">
        <f>VLOOKUP($A225,'Выгр Кат'!$A:$R,B$1,0)</f>
        <v>46233</v>
      </c>
      <c r="C225" s="53" t="str">
        <f>VLOOKUP($A225,'Выгр Кат'!$A:$R,C$1,0)</f>
        <v>Лонжерон пола "АвтоВАЗ" передний правый (катафорез) для Лада Нива Travel, Шевроле Нива</v>
      </c>
      <c r="D225" s="52" t="str">
        <f>VLOOKUP($A225,'Выгр Кат'!$A:$R,D$1,0)</f>
        <v>Y</v>
      </c>
      <c r="E225" s="52" t="str">
        <f>VLOOKUP($A225,'Выгр Кат'!$A:$R,E$1,0)</f>
        <v>1ск1</v>
      </c>
      <c r="F225" s="52" t="str">
        <f>VLOOKUP($A225,'Выгр Кат'!$A:$R,F$1,0)</f>
        <v>21230510130270</v>
      </c>
      <c r="G225" s="52" t="str">
        <f>IF(VLOOKUP($A225,'Выгр Кат'!$A:$R,G$1,0)=0,"",VLOOKUP($A225,'Выгр Кат'!$A:$R,G$1,0))</f>
        <v>https://motorring.ru/product/38211-longheron-pola-pravyy-prodolynyy-dlya-shevrole-niva</v>
      </c>
      <c r="H225" s="52"/>
      <c r="I225" s="52"/>
      <c r="J225" s="54">
        <f t="shared" si="54"/>
        <v>1157</v>
      </c>
      <c r="K225" s="55">
        <f>VLOOKUP(J225,Наценка!$A$1:$B$8,2,1)</f>
        <v>1.5</v>
      </c>
      <c r="L225" s="56">
        <f t="shared" si="55"/>
        <v>1735.5</v>
      </c>
      <c r="M225" s="57">
        <f t="shared" si="56"/>
        <v>1790</v>
      </c>
      <c r="N225" s="52">
        <f>VLOOKUP($A225,'Выгр Кат'!$A:$R,N$1,0)</f>
        <v>1157</v>
      </c>
      <c r="O225" s="52">
        <f>VLOOKUP($A225,'Выгр Кат'!$A:$R,O$1,0)</f>
        <v>1790</v>
      </c>
      <c r="P225" s="47">
        <f t="shared" si="57"/>
        <v>0</v>
      </c>
      <c r="Q225" s="47">
        <f t="shared" si="58"/>
        <v>0</v>
      </c>
      <c r="R225" s="58">
        <f t="shared" si="59"/>
        <v>1790</v>
      </c>
      <c r="S225" s="59">
        <f t="shared" si="60"/>
        <v>0.54710458081244595</v>
      </c>
      <c r="T225" s="59">
        <f t="shared" si="61"/>
        <v>-5.9171597633136092E-2</v>
      </c>
      <c r="U225" s="59">
        <f t="shared" si="62"/>
        <v>0.4606741573033708</v>
      </c>
      <c r="V225" s="42">
        <f t="shared" si="67"/>
        <v>1690</v>
      </c>
      <c r="W225" s="69">
        <f>IFERROR((VLOOKUP($A225,'Из ГУГЛа'!$B:$Z,W$1,0)+Y225)*X225,VLOOKUP($A225,'Из ГУГЛа'!$B:$Z,W$1,0))</f>
        <v>1690</v>
      </c>
      <c r="X225" s="61">
        <v>1</v>
      </c>
      <c r="Y225" s="61">
        <v>0</v>
      </c>
      <c r="Z225" s="70">
        <v>1690</v>
      </c>
      <c r="AA225" s="60" t="s">
        <v>615</v>
      </c>
    </row>
    <row r="226" spans="1:27" ht="45" x14ac:dyDescent="0.25">
      <c r="A226" s="52">
        <v>163511</v>
      </c>
      <c r="B226" s="52">
        <f>VLOOKUP($A226,'Выгр Кат'!$A:$R,B$1,0)</f>
        <v>44790</v>
      </c>
      <c r="C226" s="53" t="str">
        <f>VLOOKUP($A226,'Выгр Кат'!$A:$R,C$1,0)</f>
        <v>Лонжерон пола "АвтоВАЗ" передний правый для Лада Калина, Калина 2, Гранта, Гранта FL</v>
      </c>
      <c r="D226" s="52" t="str">
        <f>VLOOKUP($A226,'Выгр Кат'!$A:$R,D$1,0)</f>
        <v>Y</v>
      </c>
      <c r="E226" s="52" t="str">
        <f>VLOOKUP($A226,'Выгр Кат'!$A:$R,E$1,0)</f>
        <v>1</v>
      </c>
      <c r="F226" s="52" t="str">
        <f>VLOOKUP($A226,'Выгр Кат'!$A:$R,F$1,0)</f>
        <v>11180510130200</v>
      </c>
      <c r="G226" s="52" t="str">
        <f>IF(VLOOKUP($A226,'Выгр Кат'!$A:$R,G$1,0)=0,"",VLOOKUP($A226,'Выгр Кат'!$A:$R,G$1,0))</f>
        <v>https://motorring.ru/product/40829</v>
      </c>
      <c r="H226" s="52"/>
      <c r="I226" s="52"/>
      <c r="J226" s="54">
        <f t="shared" si="54"/>
        <v>345</v>
      </c>
      <c r="K226" s="55">
        <f>VLOOKUP(J226,Наценка!$A$1:$B$8,2,1)</f>
        <v>1.6</v>
      </c>
      <c r="L226" s="56">
        <f t="shared" si="55"/>
        <v>552</v>
      </c>
      <c r="M226" s="57">
        <f t="shared" si="56"/>
        <v>559</v>
      </c>
      <c r="N226" s="52">
        <f>VLOOKUP($A226,'Выгр Кат'!$A:$R,N$1,0)</f>
        <v>345</v>
      </c>
      <c r="O226" s="52">
        <f>VLOOKUP($A226,'Выгр Кат'!$A:$R,O$1,0)</f>
        <v>559</v>
      </c>
      <c r="P226" s="47">
        <f t="shared" si="57"/>
        <v>0</v>
      </c>
      <c r="Q226" s="47">
        <f t="shared" si="58"/>
        <v>0</v>
      </c>
      <c r="R226" s="58">
        <f t="shared" si="59"/>
        <v>559</v>
      </c>
      <c r="S226" s="59">
        <f t="shared" si="60"/>
        <v>0.62028985507246381</v>
      </c>
      <c r="T226" s="59">
        <f t="shared" si="61"/>
        <v>-2.5157232704402515</v>
      </c>
      <c r="U226" s="59">
        <f t="shared" si="62"/>
        <v>-0.53913043478260869</v>
      </c>
      <c r="V226" s="42">
        <f t="shared" si="67"/>
        <v>159</v>
      </c>
      <c r="W226" s="69">
        <f>IFERROR((VLOOKUP($A226,'Из ГУГЛа'!$B:$Z,W$1,0)+Y226)*X226,VLOOKUP($A226,'Из ГУГЛа'!$B:$Z,W$1,0))</f>
        <v>159</v>
      </c>
      <c r="X226" s="61">
        <v>1</v>
      </c>
      <c r="Y226" s="61">
        <v>0</v>
      </c>
      <c r="Z226" s="70">
        <v>159</v>
      </c>
      <c r="AA226" s="60" t="s">
        <v>619</v>
      </c>
    </row>
    <row r="227" spans="1:27" ht="45" x14ac:dyDescent="0.25">
      <c r="A227" s="52">
        <v>163512</v>
      </c>
      <c r="B227" s="52">
        <f>VLOOKUP($A227,'Выгр Кат'!$A:$R,B$1,0)</f>
        <v>37972</v>
      </c>
      <c r="C227" s="53" t="str">
        <f>VLOOKUP($A227,'Выгр Кат'!$A:$R,C$1,0)</f>
        <v>Лонжерон пола "АвтоВАЗ" средний левый в сборе (катафорез) для Лада Веста, Веста Cross, Веста Спорт</v>
      </c>
      <c r="D227" s="52" t="str">
        <f>VLOOKUP($A227,'Выгр Кат'!$A:$R,D$1,0)</f>
        <v>Y</v>
      </c>
      <c r="E227" s="52" t="str">
        <f>VLOOKUP($A227,'Выгр Кат'!$A:$R,E$1,0)</f>
        <v>1</v>
      </c>
      <c r="F227" s="52" t="str">
        <f>VLOOKUP($A227,'Выгр Кат'!$A:$R,F$1,0)</f>
        <v>8450039278</v>
      </c>
      <c r="G227" s="52" t="str">
        <f>IF(VLOOKUP($A227,'Выгр Кат'!$A:$R,G$1,0)=0,"",VLOOKUP($A227,'Выгр Кат'!$A:$R,G$1,0))</f>
        <v>https://motorring.ru/product/36838-levyy-sredniy-longheron-pola-sbore-dlya-lada-vesta</v>
      </c>
      <c r="H227" s="52"/>
      <c r="I227" s="52"/>
      <c r="J227" s="54">
        <f t="shared" si="54"/>
        <v>10728</v>
      </c>
      <c r="K227" s="55">
        <f>VLOOKUP(J227,Наценка!$A$1:$B$8,2,1)</f>
        <v>1.3</v>
      </c>
      <c r="L227" s="56">
        <f t="shared" si="55"/>
        <v>13946.4</v>
      </c>
      <c r="M227" s="57">
        <f t="shared" si="56"/>
        <v>13990</v>
      </c>
      <c r="N227" s="52">
        <f>VLOOKUP($A227,'Выгр Кат'!$A:$R,N$1,0)</f>
        <v>10728</v>
      </c>
      <c r="O227" s="52">
        <f>VLOOKUP($A227,'Выгр Кат'!$A:$R,O$1,0)</f>
        <v>15090</v>
      </c>
      <c r="P227" s="47">
        <f t="shared" si="57"/>
        <v>0</v>
      </c>
      <c r="Q227" s="47">
        <f t="shared" si="58"/>
        <v>1100</v>
      </c>
      <c r="R227" s="58">
        <f t="shared" si="59"/>
        <v>13990</v>
      </c>
      <c r="S227" s="59">
        <f t="shared" si="60"/>
        <v>0.30406413124533938</v>
      </c>
      <c r="T227" s="59">
        <f t="shared" si="61"/>
        <v>-6.0652009097801364E-2</v>
      </c>
      <c r="U227" s="59">
        <f t="shared" si="62"/>
        <v>0.22949291573452646</v>
      </c>
      <c r="V227" s="42">
        <f t="shared" si="67"/>
        <v>13190</v>
      </c>
      <c r="W227" s="69">
        <f>IFERROR((VLOOKUP($A227,'Из ГУГЛа'!$B:$Z,W$1,0)+Y227)*X227,VLOOKUP($A227,'Из ГУГЛа'!$B:$Z,W$1,0))</f>
        <v>13190</v>
      </c>
      <c r="X227" s="61">
        <v>1</v>
      </c>
      <c r="Y227" s="61">
        <v>0</v>
      </c>
      <c r="Z227" s="70">
        <v>13190</v>
      </c>
      <c r="AA227" s="60" t="s">
        <v>623</v>
      </c>
    </row>
    <row r="228" spans="1:27" ht="45" x14ac:dyDescent="0.25">
      <c r="A228" s="52">
        <v>163513</v>
      </c>
      <c r="B228" s="52">
        <f>VLOOKUP($A228,'Выгр Кат'!$A:$R,B$1,0)</f>
        <v>41692</v>
      </c>
      <c r="C228" s="53" t="str">
        <f>VLOOKUP($A228,'Выгр Кат'!$A:$R,C$1,0)</f>
        <v>Лонжерон пола "АвтоВАЗ" средний левый в сборе для Лада Веста NG седан</v>
      </c>
      <c r="D228" s="52" t="str">
        <f>VLOOKUP($A228,'Выгр Кат'!$A:$R,D$1,0)</f>
        <v>Y</v>
      </c>
      <c r="E228" s="52" t="str">
        <f>VLOOKUP($A228,'Выгр Кат'!$A:$R,E$1,0)</f>
        <v>1</v>
      </c>
      <c r="F228" s="52" t="str">
        <f>VLOOKUP($A228,'Выгр Кат'!$A:$R,F$1,0)</f>
        <v>8450013783</v>
      </c>
      <c r="G228" s="52" t="str">
        <f>IF(VLOOKUP($A228,'Выгр Кат'!$A:$R,G$1,0)=0,"",VLOOKUP($A228,'Выгр Кат'!$A:$R,G$1,0))</f>
        <v/>
      </c>
      <c r="H228" s="52"/>
      <c r="I228" s="52"/>
      <c r="J228" s="54">
        <f t="shared" si="54"/>
        <v>6114</v>
      </c>
      <c r="K228" s="55">
        <f>VLOOKUP(J228,Наценка!$A$1:$B$8,2,1)</f>
        <v>1.35</v>
      </c>
      <c r="L228" s="56">
        <f t="shared" si="55"/>
        <v>8253.9</v>
      </c>
      <c r="M228" s="57">
        <f t="shared" si="56"/>
        <v>8290</v>
      </c>
      <c r="N228" s="52">
        <f>VLOOKUP($A228,'Выгр Кат'!$A:$R,N$1,0)</f>
        <v>6114</v>
      </c>
      <c r="O228" s="52">
        <f>VLOOKUP($A228,'Выгр Кат'!$A:$R,O$1,0)</f>
        <v>8590</v>
      </c>
      <c r="P228" s="47">
        <f t="shared" si="57"/>
        <v>0</v>
      </c>
      <c r="Q228" s="47">
        <f t="shared" si="58"/>
        <v>300</v>
      </c>
      <c r="R228" s="58">
        <f t="shared" si="59"/>
        <v>8290</v>
      </c>
      <c r="S228" s="59">
        <f t="shared" si="60"/>
        <v>0.35590448151782783</v>
      </c>
      <c r="T228" s="59" t="str">
        <f t="shared" si="61"/>
        <v/>
      </c>
      <c r="U228" s="59" t="str">
        <f t="shared" si="62"/>
        <v/>
      </c>
      <c r="V228" s="60"/>
      <c r="W228" s="69" t="str">
        <f>IFERROR((VLOOKUP($A228,'Из ГУГЛа'!$B:$Z,W$1,0)+Y228)*X228,VLOOKUP($A228,'Из ГУГЛа'!$B:$Z,W$1,0))</f>
        <v/>
      </c>
      <c r="X228" s="61">
        <v>1</v>
      </c>
      <c r="Y228" s="61">
        <v>0</v>
      </c>
      <c r="Z228" s="60" t="s">
        <v>4170</v>
      </c>
      <c r="AA228" s="60"/>
    </row>
    <row r="229" spans="1:27" ht="45" x14ac:dyDescent="0.25">
      <c r="A229" s="52">
        <v>163514</v>
      </c>
      <c r="B229" s="52">
        <f>VLOOKUP($A229,'Выгр Кат'!$A:$R,B$1,0)</f>
        <v>50614</v>
      </c>
      <c r="C229" s="53" t="str">
        <f>VLOOKUP($A229,'Выгр Кат'!$A:$R,C$1,0)</f>
        <v>Лонжерон пола "АвтоВАЗ" средний правый в сборе (катафорез) для Лада Веста, Веста Cross, Веста Спорт</v>
      </c>
      <c r="D229" s="52" t="str">
        <f>VLOOKUP($A229,'Выгр Кат'!$A:$R,D$1,0)</f>
        <v>Y</v>
      </c>
      <c r="E229" s="52" t="str">
        <f>VLOOKUP($A229,'Выгр Кат'!$A:$R,E$1,0)</f>
        <v>1</v>
      </c>
      <c r="F229" s="52" t="str">
        <f>VLOOKUP($A229,'Выгр Кат'!$A:$R,F$1,0)</f>
        <v>8450039280</v>
      </c>
      <c r="G229" s="52" t="str">
        <f>IF(VLOOKUP($A229,'Выгр Кат'!$A:$R,G$1,0)=0,"",VLOOKUP($A229,'Выгр Кат'!$A:$R,G$1,0))</f>
        <v>https://motorring.ru/product/38315-sredniy-pravyy-longheron-pola-sbore-dlya-lada-vesta</v>
      </c>
      <c r="H229" s="52"/>
      <c r="I229" s="52"/>
      <c r="J229" s="54">
        <f t="shared" si="54"/>
        <v>8370</v>
      </c>
      <c r="K229" s="55">
        <f>VLOOKUP(J229,Наценка!$A$1:$B$8,2,1)</f>
        <v>1.35</v>
      </c>
      <c r="L229" s="56">
        <f t="shared" si="55"/>
        <v>11299.5</v>
      </c>
      <c r="M229" s="57">
        <f t="shared" si="56"/>
        <v>11290</v>
      </c>
      <c r="N229" s="52">
        <f>VLOOKUP($A229,'Выгр Кат'!$A:$R,N$1,0)</f>
        <v>8370</v>
      </c>
      <c r="O229" s="52">
        <f>VLOOKUP($A229,'Выгр Кат'!$A:$R,O$1,0)</f>
        <v>11790</v>
      </c>
      <c r="P229" s="47">
        <f t="shared" si="57"/>
        <v>0</v>
      </c>
      <c r="Q229" s="47">
        <f t="shared" si="58"/>
        <v>500</v>
      </c>
      <c r="R229" s="58">
        <f t="shared" si="59"/>
        <v>11290</v>
      </c>
      <c r="S229" s="59">
        <f t="shared" si="60"/>
        <v>0.34886499402628446</v>
      </c>
      <c r="T229" s="59">
        <f t="shared" si="61"/>
        <v>5.0462573591253154E-2</v>
      </c>
      <c r="U229" s="59">
        <f t="shared" si="62"/>
        <v>0.42054958183990432</v>
      </c>
      <c r="V229" s="42">
        <f>Z229</f>
        <v>11890</v>
      </c>
      <c r="W229" s="69">
        <f>IFERROR((VLOOKUP($A229,'Из ГУГЛа'!$B:$Z,W$1,0)+Y229)*X229,VLOOKUP($A229,'Из ГУГЛа'!$B:$Z,W$1,0))</f>
        <v>11890</v>
      </c>
      <c r="X229" s="61">
        <v>1</v>
      </c>
      <c r="Y229" s="61">
        <v>0</v>
      </c>
      <c r="Z229" s="70">
        <v>11890</v>
      </c>
      <c r="AA229" s="60" t="s">
        <v>630</v>
      </c>
    </row>
    <row r="230" spans="1:27" ht="45" x14ac:dyDescent="0.25">
      <c r="A230" s="52">
        <v>163515</v>
      </c>
      <c r="B230" s="52">
        <f>VLOOKUP($A230,'Выгр Кат'!$A:$R,B$1,0)</f>
        <v>41690</v>
      </c>
      <c r="C230" s="53" t="str">
        <f>VLOOKUP($A230,'Выгр Кат'!$A:$R,C$1,0)</f>
        <v>Лонжерон пола "АвтоВАЗ" средний правый в сборе для Лада Веста NG седан</v>
      </c>
      <c r="D230" s="52" t="str">
        <f>VLOOKUP($A230,'Выгр Кат'!$A:$R,D$1,0)</f>
        <v>Y</v>
      </c>
      <c r="E230" s="52" t="str">
        <f>VLOOKUP($A230,'Выгр Кат'!$A:$R,E$1,0)</f>
        <v>1</v>
      </c>
      <c r="F230" s="52" t="str">
        <f>VLOOKUP($A230,'Выгр Кат'!$A:$R,F$1,0)</f>
        <v>8450013782</v>
      </c>
      <c r="G230" s="52" t="str">
        <f>IF(VLOOKUP($A230,'Выгр Кат'!$A:$R,G$1,0)=0,"",VLOOKUP($A230,'Выгр Кат'!$A:$R,G$1,0))</f>
        <v/>
      </c>
      <c r="H230" s="52"/>
      <c r="I230" s="52"/>
      <c r="J230" s="54">
        <f t="shared" si="54"/>
        <v>5254</v>
      </c>
      <c r="K230" s="55">
        <f>VLOOKUP(J230,Наценка!$A$1:$B$8,2,1)</f>
        <v>1.35</v>
      </c>
      <c r="L230" s="56">
        <f t="shared" si="55"/>
        <v>7092.9000000000005</v>
      </c>
      <c r="M230" s="57">
        <f t="shared" si="56"/>
        <v>7090</v>
      </c>
      <c r="N230" s="52">
        <f>VLOOKUP($A230,'Выгр Кат'!$A:$R,N$1,0)</f>
        <v>5254</v>
      </c>
      <c r="O230" s="52">
        <f>VLOOKUP($A230,'Выгр Кат'!$A:$R,O$1,0)</f>
        <v>7390</v>
      </c>
      <c r="P230" s="47">
        <f t="shared" si="57"/>
        <v>0</v>
      </c>
      <c r="Q230" s="47">
        <f t="shared" si="58"/>
        <v>300</v>
      </c>
      <c r="R230" s="58">
        <f t="shared" si="59"/>
        <v>7090</v>
      </c>
      <c r="S230" s="59">
        <f t="shared" si="60"/>
        <v>0.3494480395888846</v>
      </c>
      <c r="T230" s="59" t="str">
        <f t="shared" si="61"/>
        <v/>
      </c>
      <c r="U230" s="59" t="str">
        <f t="shared" si="62"/>
        <v/>
      </c>
      <c r="V230" s="60"/>
      <c r="W230" s="69" t="str">
        <f>IFERROR((VLOOKUP($A230,'Из ГУГЛа'!$B:$Z,W$1,0)+Y230)*X230,VLOOKUP($A230,'Из ГУГЛа'!$B:$Z,W$1,0))</f>
        <v/>
      </c>
      <c r="X230" s="61">
        <v>1</v>
      </c>
      <c r="Y230" s="61">
        <v>0</v>
      </c>
      <c r="Z230" s="60" t="s">
        <v>4170</v>
      </c>
      <c r="AA230" s="60"/>
    </row>
    <row r="231" spans="1:27" ht="45" x14ac:dyDescent="0.25">
      <c r="A231" s="52">
        <v>163516</v>
      </c>
      <c r="B231" s="52">
        <f>VLOOKUP($A231,'Выгр Кат'!$A:$R,B$1,0)</f>
        <v>136813</v>
      </c>
      <c r="C231" s="53" t="str">
        <f>VLOOKUP($A231,'Выгр Кат'!$A:$R,C$1,0)</f>
        <v>Лонжерон пола задний "АвтоВАЗ" левый для ВАЗ 2112, Лада Приора хэтчбек</v>
      </c>
      <c r="D231" s="52" t="str">
        <f>VLOOKUP($A231,'Выгр Кат'!$A:$R,D$1,0)</f>
        <v>Y</v>
      </c>
      <c r="E231" s="52" t="str">
        <f>VLOOKUP($A231,'Выгр Кат'!$A:$R,E$1,0)</f>
        <v>1</v>
      </c>
      <c r="F231" s="52" t="str">
        <f>VLOOKUP($A231,'Выгр Кат'!$A:$R,F$1,0)</f>
        <v>21120510133110</v>
      </c>
      <c r="G231" s="52" t="str">
        <f>IF(VLOOKUP($A231,'Выгр Кат'!$A:$R,G$1,0)=0,"",VLOOKUP($A231,'Выгр Кат'!$A:$R,G$1,0))</f>
        <v>https://motorring.ru/product/799-longheron-pola-zadniy-levyy-kataforeznoe-pokrytie-vaz-2112</v>
      </c>
      <c r="H231" s="52"/>
      <c r="I231" s="52"/>
      <c r="J231" s="54">
        <f t="shared" si="54"/>
        <v>565</v>
      </c>
      <c r="K231" s="55">
        <f>VLOOKUP(J231,Наценка!$A$1:$B$8,2,1)</f>
        <v>1.55</v>
      </c>
      <c r="L231" s="56">
        <f t="shared" si="55"/>
        <v>875.75</v>
      </c>
      <c r="M231" s="57">
        <f t="shared" si="56"/>
        <v>879</v>
      </c>
      <c r="N231" s="52">
        <f>VLOOKUP($A231,'Выгр Кат'!$A:$R,N$1,0)</f>
        <v>565</v>
      </c>
      <c r="O231" s="52">
        <f>VLOOKUP($A231,'Выгр Кат'!$A:$R,O$1,0)</f>
        <v>879</v>
      </c>
      <c r="P231" s="47">
        <f t="shared" si="57"/>
        <v>0</v>
      </c>
      <c r="Q231" s="47">
        <f t="shared" si="58"/>
        <v>0</v>
      </c>
      <c r="R231" s="58">
        <f t="shared" si="59"/>
        <v>879</v>
      </c>
      <c r="S231" s="59">
        <f t="shared" si="60"/>
        <v>0.55575221238938055</v>
      </c>
      <c r="T231" s="59">
        <f t="shared" si="61"/>
        <v>0.26134453781512607</v>
      </c>
      <c r="U231" s="59">
        <f t="shared" si="62"/>
        <v>1.1061946902654869</v>
      </c>
      <c r="V231" s="42">
        <f>Z231</f>
        <v>1190</v>
      </c>
      <c r="W231" s="69">
        <f>IFERROR((VLOOKUP($A231,'Из ГУГЛа'!$B:$Z,W$1,0)+Y231)*X231,VLOOKUP($A231,'Из ГУГЛа'!$B:$Z,W$1,0))</f>
        <v>1190</v>
      </c>
      <c r="X231" s="61">
        <v>1</v>
      </c>
      <c r="Y231" s="61">
        <v>0</v>
      </c>
      <c r="Z231" s="70">
        <v>1190</v>
      </c>
      <c r="AA231" s="60" t="s">
        <v>636</v>
      </c>
    </row>
    <row r="232" spans="1:27" ht="30" x14ac:dyDescent="0.25">
      <c r="A232" s="52">
        <v>163517</v>
      </c>
      <c r="B232" s="52">
        <f>VLOOKUP($A232,'Выгр Кат'!$A:$R,B$1,0)</f>
        <v>32700</v>
      </c>
      <c r="C232" s="53" t="str">
        <f>VLOOKUP($A232,'Выгр Кат'!$A:$R,C$1,0)</f>
        <v>Лонжерон пола задний "АвтоВАЗ" правый для Лада Гранта седан</v>
      </c>
      <c r="D232" s="52" t="str">
        <f>VLOOKUP($A232,'Выгр Кат'!$A:$R,D$1,0)</f>
        <v>Y</v>
      </c>
      <c r="E232" s="52" t="str">
        <f>VLOOKUP($A232,'Выгр Кат'!$A:$R,E$1,0)</f>
        <v>1</v>
      </c>
      <c r="F232" s="52" t="str">
        <f>VLOOKUP($A232,'Выгр Кат'!$A:$R,F$1,0)</f>
        <v>21900510133000</v>
      </c>
      <c r="G232" s="52" t="str">
        <f>IF(VLOOKUP($A232,'Выгр Кат'!$A:$R,G$1,0)=0,"",VLOOKUP($A232,'Выгр Кат'!$A:$R,G$1,0))</f>
        <v/>
      </c>
      <c r="H232" s="52"/>
      <c r="I232" s="52"/>
      <c r="J232" s="54">
        <f t="shared" si="54"/>
        <v>1148</v>
      </c>
      <c r="K232" s="55">
        <f>VLOOKUP(J232,Наценка!$A$1:$B$8,2,1)</f>
        <v>1.5</v>
      </c>
      <c r="L232" s="56">
        <f t="shared" si="55"/>
        <v>1722</v>
      </c>
      <c r="M232" s="57">
        <f t="shared" si="56"/>
        <v>1790</v>
      </c>
      <c r="N232" s="52">
        <f>VLOOKUP($A232,'Выгр Кат'!$A:$R,N$1,0)</f>
        <v>1148</v>
      </c>
      <c r="O232" s="52">
        <f>VLOOKUP($A232,'Выгр Кат'!$A:$R,O$1,0)</f>
        <v>1790</v>
      </c>
      <c r="P232" s="47">
        <f t="shared" si="57"/>
        <v>0</v>
      </c>
      <c r="Q232" s="47">
        <f t="shared" si="58"/>
        <v>0</v>
      </c>
      <c r="R232" s="58">
        <f t="shared" si="59"/>
        <v>1790</v>
      </c>
      <c r="S232" s="59">
        <f t="shared" si="60"/>
        <v>0.55923344947735187</v>
      </c>
      <c r="T232" s="59" t="str">
        <f t="shared" si="61"/>
        <v/>
      </c>
      <c r="U232" s="59" t="str">
        <f t="shared" si="62"/>
        <v/>
      </c>
      <c r="V232" s="60"/>
      <c r="W232" s="69" t="str">
        <f>IFERROR((VLOOKUP($A232,'Из ГУГЛа'!$B:$Z,W$1,0)+Y232)*X232,VLOOKUP($A232,'Из ГУГЛа'!$B:$Z,W$1,0))</f>
        <v/>
      </c>
      <c r="X232" s="61">
        <v>1</v>
      </c>
      <c r="Y232" s="61">
        <v>0</v>
      </c>
      <c r="Z232" s="60">
        <v>790</v>
      </c>
      <c r="AA232" s="60" t="s">
        <v>4308</v>
      </c>
    </row>
    <row r="233" spans="1:27" ht="30" x14ac:dyDescent="0.25">
      <c r="A233" s="52">
        <v>163518</v>
      </c>
      <c r="B233" s="52">
        <f>VLOOKUP($A233,'Выгр Кат'!$A:$R,B$1,0)</f>
        <v>31411</v>
      </c>
      <c r="C233" s="53" t="str">
        <f>VLOOKUP($A233,'Выгр Кат'!$A:$R,C$1,0)</f>
        <v>Лонжерон пола задний (катафорез) "АвтоВАЗ" левый для ВАЗ 2110</v>
      </c>
      <c r="D233" s="52" t="str">
        <f>VLOOKUP($A233,'Выгр Кат'!$A:$R,D$1,0)</f>
        <v>Y</v>
      </c>
      <c r="E233" s="52" t="str">
        <f>VLOOKUP($A233,'Выгр Кат'!$A:$R,E$1,0)</f>
        <v>1</v>
      </c>
      <c r="F233" s="52" t="str">
        <f>VLOOKUP($A233,'Выгр Кат'!$A:$R,F$1,0)</f>
        <v>21100510133120</v>
      </c>
      <c r="G233" s="52" t="str">
        <f>IF(VLOOKUP($A233,'Выгр Кат'!$A:$R,G$1,0)=0,"",VLOOKUP($A233,'Выгр Кат'!$A:$R,G$1,0))</f>
        <v/>
      </c>
      <c r="H233" s="52"/>
      <c r="I233" s="52"/>
      <c r="J233" s="54">
        <f t="shared" si="54"/>
        <v>730</v>
      </c>
      <c r="K233" s="55">
        <f>VLOOKUP(J233,Наценка!$A$1:$B$8,2,1)</f>
        <v>1.55</v>
      </c>
      <c r="L233" s="56">
        <f t="shared" si="55"/>
        <v>1131.5</v>
      </c>
      <c r="M233" s="57">
        <f t="shared" si="56"/>
        <v>1190</v>
      </c>
      <c r="N233" s="52">
        <f>VLOOKUP($A233,'Выгр Кат'!$A:$R,N$1,0)</f>
        <v>730</v>
      </c>
      <c r="O233" s="52">
        <f>VLOOKUP($A233,'Выгр Кат'!$A:$R,O$1,0)</f>
        <v>1190</v>
      </c>
      <c r="P233" s="47">
        <f t="shared" si="57"/>
        <v>0</v>
      </c>
      <c r="Q233" s="47">
        <f t="shared" si="58"/>
        <v>0</v>
      </c>
      <c r="R233" s="58">
        <f t="shared" si="59"/>
        <v>1190</v>
      </c>
      <c r="S233" s="59">
        <f t="shared" si="60"/>
        <v>0.63013698630136994</v>
      </c>
      <c r="T233" s="59">
        <f t="shared" si="61"/>
        <v>-0.33707865168539325</v>
      </c>
      <c r="U233" s="59">
        <f t="shared" si="62"/>
        <v>0.21917808219178081</v>
      </c>
      <c r="V233" s="42">
        <f t="shared" ref="V233:V234" si="68">Z233</f>
        <v>890</v>
      </c>
      <c r="W233" s="69" t="str">
        <f>IFERROR((VLOOKUP($A233,'Из ГУГЛа'!$B:$Z,W$1,0)+Y233)*X233,VLOOKUP($A233,'Из ГУГЛа'!$B:$Z,W$1,0))</f>
        <v/>
      </c>
      <c r="X233" s="61">
        <v>1</v>
      </c>
      <c r="Y233" s="61">
        <v>0</v>
      </c>
      <c r="Z233" s="60">
        <v>890</v>
      </c>
      <c r="AA233" s="60" t="s">
        <v>4294</v>
      </c>
    </row>
    <row r="234" spans="1:27" ht="30" x14ac:dyDescent="0.25">
      <c r="A234" s="52">
        <v>163519</v>
      </c>
      <c r="B234" s="52">
        <f>VLOOKUP($A234,'Выгр Кат'!$A:$R,B$1,0)</f>
        <v>31391</v>
      </c>
      <c r="C234" s="53" t="str">
        <f>VLOOKUP($A234,'Выгр Кат'!$A:$R,C$1,0)</f>
        <v>Лонжерон пола задний (катафорез) "АвтоВАЗ" левый для ВАЗ 2112</v>
      </c>
      <c r="D234" s="52" t="str">
        <f>VLOOKUP($A234,'Выгр Кат'!$A:$R,D$1,0)</f>
        <v>Y</v>
      </c>
      <c r="E234" s="52" t="str">
        <f>VLOOKUP($A234,'Выгр Кат'!$A:$R,E$1,0)</f>
        <v>1</v>
      </c>
      <c r="F234" s="52" t="str">
        <f>VLOOKUP($A234,'Выгр Кат'!$A:$R,F$1,0)</f>
        <v>21120510133110</v>
      </c>
      <c r="G234" s="52" t="str">
        <f>IF(VLOOKUP($A234,'Выгр Кат'!$A:$R,G$1,0)=0,"",VLOOKUP($A234,'Выгр Кат'!$A:$R,G$1,0))</f>
        <v/>
      </c>
      <c r="H234" s="52"/>
      <c r="I234" s="52"/>
      <c r="J234" s="54">
        <f t="shared" si="54"/>
        <v>680</v>
      </c>
      <c r="K234" s="55">
        <f>VLOOKUP(J234,Наценка!$A$1:$B$8,2,1)</f>
        <v>1.55</v>
      </c>
      <c r="L234" s="56">
        <f t="shared" si="55"/>
        <v>1054</v>
      </c>
      <c r="M234" s="57">
        <f t="shared" si="56"/>
        <v>1090</v>
      </c>
      <c r="N234" s="52">
        <f>VLOOKUP($A234,'Выгр Кат'!$A:$R,N$1,0)</f>
        <v>680</v>
      </c>
      <c r="O234" s="52">
        <f>VLOOKUP($A234,'Выгр Кат'!$A:$R,O$1,0)</f>
        <v>1090</v>
      </c>
      <c r="P234" s="47">
        <f t="shared" si="57"/>
        <v>0</v>
      </c>
      <c r="Q234" s="47">
        <f t="shared" si="58"/>
        <v>0</v>
      </c>
      <c r="R234" s="58">
        <f t="shared" si="59"/>
        <v>1090</v>
      </c>
      <c r="S234" s="59">
        <f t="shared" si="60"/>
        <v>0.60294117647058831</v>
      </c>
      <c r="T234" s="59">
        <f t="shared" si="61"/>
        <v>8.4033613445378158E-2</v>
      </c>
      <c r="U234" s="59">
        <f t="shared" si="62"/>
        <v>0.75</v>
      </c>
      <c r="V234" s="42">
        <f t="shared" si="68"/>
        <v>1190</v>
      </c>
      <c r="W234" s="69" t="str">
        <f>IFERROR((VLOOKUP($A234,'Из ГУГЛа'!$B:$Z,W$1,0)+Y234)*X234,VLOOKUP($A234,'Из ГУГЛа'!$B:$Z,W$1,0))</f>
        <v/>
      </c>
      <c r="X234" s="61">
        <v>1</v>
      </c>
      <c r="Y234" s="61">
        <v>0</v>
      </c>
      <c r="Z234" s="60">
        <v>1190</v>
      </c>
      <c r="AA234" s="60" t="s">
        <v>636</v>
      </c>
    </row>
    <row r="235" spans="1:27" ht="30" x14ac:dyDescent="0.25">
      <c r="A235" s="52">
        <v>163520</v>
      </c>
      <c r="B235" s="52">
        <f>VLOOKUP($A235,'Выгр Кат'!$A:$R,B$1,0)</f>
        <v>31284</v>
      </c>
      <c r="C235" s="53" t="str">
        <f>VLOOKUP($A235,'Выгр Кат'!$A:$R,C$1,0)</f>
        <v>Лонжерон пола задний (катафорез) "АвтоВАЗ" левый для Шевроле Нива</v>
      </c>
      <c r="D235" s="52" t="str">
        <f>VLOOKUP($A235,'Выгр Кат'!$A:$R,D$1,0)</f>
        <v>Y</v>
      </c>
      <c r="E235" s="52" t="str">
        <f>VLOOKUP($A235,'Выгр Кат'!$A:$R,E$1,0)</f>
        <v>1</v>
      </c>
      <c r="F235" s="52" t="str">
        <f>VLOOKUP($A235,'Выгр Кат'!$A:$R,F$1,0)</f>
        <v>21230510133370</v>
      </c>
      <c r="G235" s="52" t="str">
        <f>IF(VLOOKUP($A235,'Выгр Кат'!$A:$R,G$1,0)=0,"",VLOOKUP($A235,'Выгр Кат'!$A:$R,G$1,0))</f>
        <v>https://motorring.ru/product/37048-longhepon-pola-zadniy-levyy-kataforeznoe-pokrytie-2123</v>
      </c>
      <c r="H235" s="52"/>
      <c r="I235" s="52"/>
      <c r="J235" s="54">
        <f t="shared" si="54"/>
        <v>1988</v>
      </c>
      <c r="K235" s="55">
        <f>VLOOKUP(J235,Наценка!$A$1:$B$8,2,1)</f>
        <v>1.5</v>
      </c>
      <c r="L235" s="56">
        <f t="shared" si="55"/>
        <v>2982</v>
      </c>
      <c r="M235" s="57">
        <f t="shared" si="56"/>
        <v>2990</v>
      </c>
      <c r="N235" s="52">
        <f>VLOOKUP($A235,'Выгр Кат'!$A:$R,N$1,0)</f>
        <v>1988</v>
      </c>
      <c r="O235" s="52">
        <f>VLOOKUP($A235,'Выгр Кат'!$A:$R,O$1,0)</f>
        <v>2990</v>
      </c>
      <c r="P235" s="47">
        <f t="shared" si="57"/>
        <v>0</v>
      </c>
      <c r="Q235" s="47">
        <f t="shared" si="58"/>
        <v>0</v>
      </c>
      <c r="R235" s="58">
        <f t="shared" si="59"/>
        <v>2990</v>
      </c>
      <c r="S235" s="59">
        <f t="shared" si="60"/>
        <v>0.50402414486921532</v>
      </c>
      <c r="T235" s="59">
        <f t="shared" si="61"/>
        <v>-0.11152416356877323</v>
      </c>
      <c r="U235" s="59">
        <f t="shared" si="62"/>
        <v>0.35311871227364189</v>
      </c>
      <c r="V235" s="42">
        <f t="shared" ref="V235:V236" si="69">Z235</f>
        <v>2690</v>
      </c>
      <c r="W235" s="69">
        <f>IFERROR((VLOOKUP($A235,'Из ГУГЛа'!$B:$Z,W$1,0)+Y235)*X235,VLOOKUP($A235,'Из ГУГЛа'!$B:$Z,W$1,0))</f>
        <v>2690</v>
      </c>
      <c r="X235" s="61">
        <v>1</v>
      </c>
      <c r="Y235" s="61">
        <v>0</v>
      </c>
      <c r="Z235" s="70">
        <v>2690</v>
      </c>
      <c r="AA235" s="60" t="s">
        <v>644</v>
      </c>
    </row>
    <row r="236" spans="1:27" ht="30" x14ac:dyDescent="0.25">
      <c r="A236" s="52">
        <v>163521</v>
      </c>
      <c r="B236" s="52">
        <f>VLOOKUP($A236,'Выгр Кат'!$A:$R,B$1,0)</f>
        <v>31410</v>
      </c>
      <c r="C236" s="53" t="str">
        <f>VLOOKUP($A236,'Выгр Кат'!$A:$R,C$1,0)</f>
        <v>Лонжерон пола задний (катафорез) "АвтоВАЗ" правый для ВАЗ 2110</v>
      </c>
      <c r="D236" s="52" t="str">
        <f>VLOOKUP($A236,'Выгр Кат'!$A:$R,D$1,0)</f>
        <v>Y</v>
      </c>
      <c r="E236" s="52" t="str">
        <f>VLOOKUP($A236,'Выгр Кат'!$A:$R,E$1,0)</f>
        <v>1</v>
      </c>
      <c r="F236" s="52" t="str">
        <f>VLOOKUP($A236,'Выгр Кат'!$A:$R,F$1,0)</f>
        <v>21100510133210</v>
      </c>
      <c r="G236" s="52" t="str">
        <f>IF(VLOOKUP($A236,'Выгр Кат'!$A:$R,G$1,0)=0,"",VLOOKUP($A236,'Выгр Кат'!$A:$R,G$1,0))</f>
        <v>https://motorring.ru/product/755-longheron-pola-zadniy-pravyy-kataforeznym-pokrytiem-dlya</v>
      </c>
      <c r="H236" s="52"/>
      <c r="I236" s="52"/>
      <c r="J236" s="54">
        <f t="shared" si="54"/>
        <v>513</v>
      </c>
      <c r="K236" s="55">
        <f>VLOOKUP(J236,Наценка!$A$1:$B$8,2,1)</f>
        <v>1.55</v>
      </c>
      <c r="L236" s="56">
        <f t="shared" si="55"/>
        <v>795.15</v>
      </c>
      <c r="M236" s="57">
        <f t="shared" si="56"/>
        <v>799</v>
      </c>
      <c r="N236" s="52">
        <f>VLOOKUP($A236,'Выгр Кат'!$A:$R,N$1,0)</f>
        <v>513</v>
      </c>
      <c r="O236" s="52">
        <f>VLOOKUP($A236,'Выгр Кат'!$A:$R,O$1,0)</f>
        <v>799</v>
      </c>
      <c r="P236" s="47">
        <f t="shared" si="57"/>
        <v>0</v>
      </c>
      <c r="Q236" s="47">
        <f t="shared" si="58"/>
        <v>0</v>
      </c>
      <c r="R236" s="58">
        <f t="shared" si="59"/>
        <v>799</v>
      </c>
      <c r="S236" s="59">
        <f t="shared" si="60"/>
        <v>0.55750487329434706</v>
      </c>
      <c r="T236" s="59">
        <f t="shared" si="61"/>
        <v>-0.15797101449275364</v>
      </c>
      <c r="U236" s="59">
        <f t="shared" si="62"/>
        <v>0.34502923976608191</v>
      </c>
      <c r="V236" s="42">
        <f t="shared" si="69"/>
        <v>690</v>
      </c>
      <c r="W236" s="69">
        <f>IFERROR((VLOOKUP($A236,'Из ГУГЛа'!$B:$Z,W$1,0)+Y236)*X236,VLOOKUP($A236,'Из ГУГЛа'!$B:$Z,W$1,0))</f>
        <v>690</v>
      </c>
      <c r="X236" s="61">
        <v>1</v>
      </c>
      <c r="Y236" s="61">
        <v>0</v>
      </c>
      <c r="Z236" s="70">
        <v>690</v>
      </c>
      <c r="AA236" s="60" t="s">
        <v>647</v>
      </c>
    </row>
    <row r="237" spans="1:27" ht="30" x14ac:dyDescent="0.25">
      <c r="A237" s="52">
        <v>163522</v>
      </c>
      <c r="B237" s="52">
        <f>VLOOKUP($A237,'Выгр Кат'!$A:$R,B$1,0)</f>
        <v>31390</v>
      </c>
      <c r="C237" s="53" t="str">
        <f>VLOOKUP($A237,'Выгр Кат'!$A:$R,C$1,0)</f>
        <v>Лонжерон пола задний (катафорез) "АвтоВАЗ" правый для ВАЗ 2112</v>
      </c>
      <c r="D237" s="52" t="str">
        <f>VLOOKUP($A237,'Выгр Кат'!$A:$R,D$1,0)</f>
        <v>Y</v>
      </c>
      <c r="E237" s="52" t="str">
        <f>VLOOKUP($A237,'Выгр Кат'!$A:$R,E$1,0)</f>
        <v>1ск1</v>
      </c>
      <c r="F237" s="52" t="str">
        <f>VLOOKUP($A237,'Выгр Кат'!$A:$R,F$1,0)</f>
        <v>21120510133210</v>
      </c>
      <c r="G237" s="52" t="str">
        <f>IF(VLOOKUP($A237,'Выгр Кат'!$A:$R,G$1,0)=0,"",VLOOKUP($A237,'Выгр Кат'!$A:$R,G$1,0))</f>
        <v/>
      </c>
      <c r="H237" s="52"/>
      <c r="I237" s="52"/>
      <c r="J237" s="54">
        <f t="shared" si="54"/>
        <v>678</v>
      </c>
      <c r="K237" s="55">
        <f>VLOOKUP(J237,Наценка!$A$1:$B$8,2,1)</f>
        <v>1.55</v>
      </c>
      <c r="L237" s="56">
        <f t="shared" si="55"/>
        <v>1050.9000000000001</v>
      </c>
      <c r="M237" s="57">
        <f t="shared" si="56"/>
        <v>1090</v>
      </c>
      <c r="N237" s="52">
        <f>VLOOKUP($A237,'Выгр Кат'!$A:$R,N$1,0)</f>
        <v>678</v>
      </c>
      <c r="O237" s="52">
        <f>VLOOKUP($A237,'Выгр Кат'!$A:$R,O$1,0)</f>
        <v>1090</v>
      </c>
      <c r="P237" s="47">
        <f t="shared" si="57"/>
        <v>0</v>
      </c>
      <c r="Q237" s="47">
        <f t="shared" si="58"/>
        <v>0</v>
      </c>
      <c r="R237" s="58">
        <f t="shared" si="59"/>
        <v>1090</v>
      </c>
      <c r="S237" s="59">
        <f t="shared" si="60"/>
        <v>0.60766961651917395</v>
      </c>
      <c r="T237" s="59">
        <f t="shared" si="61"/>
        <v>0.15503875968992248</v>
      </c>
      <c r="U237" s="59">
        <f t="shared" si="62"/>
        <v>0.90265486725663724</v>
      </c>
      <c r="V237" s="42">
        <f>Z237</f>
        <v>1290</v>
      </c>
      <c r="W237" s="69" t="str">
        <f>IFERROR((VLOOKUP($A237,'Из ГУГЛа'!$B:$Z,W$1,0)+Y237)*X237,VLOOKUP($A237,'Из ГУГЛа'!$B:$Z,W$1,0))</f>
        <v/>
      </c>
      <c r="X237" s="61">
        <v>1</v>
      </c>
      <c r="Y237" s="61">
        <v>0</v>
      </c>
      <c r="Z237" s="60">
        <v>1290</v>
      </c>
      <c r="AA237" s="60" t="s">
        <v>4302</v>
      </c>
    </row>
    <row r="238" spans="1:27" ht="45" x14ac:dyDescent="0.25">
      <c r="A238" s="52">
        <v>163523</v>
      </c>
      <c r="B238" s="52">
        <f>VLOOKUP($A238,'Выгр Кат'!$A:$R,B$1,0)</f>
        <v>31473</v>
      </c>
      <c r="C238" s="53" t="str">
        <f>VLOOKUP($A238,'Выгр Кат'!$A:$R,C$1,0)</f>
        <v>Лонжерон пола задний (катафорез) "АвтоВАЗ" правый для Лада Калина седан</v>
      </c>
      <c r="D238" s="52" t="str">
        <f>VLOOKUP($A238,'Выгр Кат'!$A:$R,D$1,0)</f>
        <v>Y</v>
      </c>
      <c r="E238" s="52" t="str">
        <f>VLOOKUP($A238,'Выгр Кат'!$A:$R,E$1,0)</f>
        <v>1</v>
      </c>
      <c r="F238" s="52" t="str">
        <f>VLOOKUP($A238,'Выгр Кат'!$A:$R,F$1,0)</f>
        <v>11180510133070</v>
      </c>
      <c r="G238" s="52" t="str">
        <f>IF(VLOOKUP($A238,'Выгр Кат'!$A:$R,G$1,0)=0,"",VLOOKUP($A238,'Выгр Кат'!$A:$R,G$1,0))</f>
        <v>https://motorring.ru/product/17594-longheron-pola-zadniy-pravyy-kataforeznoe-pokrytie-lada</v>
      </c>
      <c r="H238" s="52"/>
      <c r="I238" s="52"/>
      <c r="J238" s="54">
        <f t="shared" si="54"/>
        <v>1213</v>
      </c>
      <c r="K238" s="55">
        <f>VLOOKUP(J238,Наценка!$A$1:$B$8,2,1)</f>
        <v>1.5</v>
      </c>
      <c r="L238" s="56">
        <f t="shared" si="55"/>
        <v>1819.5</v>
      </c>
      <c r="M238" s="57">
        <f t="shared" si="56"/>
        <v>1890</v>
      </c>
      <c r="N238" s="52">
        <f>VLOOKUP($A238,'Выгр Кат'!$A:$R,N$1,0)</f>
        <v>1213</v>
      </c>
      <c r="O238" s="52">
        <f>VLOOKUP($A238,'Выгр Кат'!$A:$R,O$1,0)</f>
        <v>1890</v>
      </c>
      <c r="P238" s="47">
        <f t="shared" si="57"/>
        <v>0</v>
      </c>
      <c r="Q238" s="47">
        <f t="shared" si="58"/>
        <v>0</v>
      </c>
      <c r="R238" s="58">
        <f t="shared" si="59"/>
        <v>1890</v>
      </c>
      <c r="S238" s="59">
        <f t="shared" si="60"/>
        <v>0.55812036273701571</v>
      </c>
      <c r="T238" s="59">
        <f t="shared" si="61"/>
        <v>0.20920502092050208</v>
      </c>
      <c r="U238" s="59">
        <f t="shared" si="62"/>
        <v>0.97032151690024726</v>
      </c>
      <c r="V238" s="42">
        <f t="shared" ref="V238:V240" si="70">Z238</f>
        <v>2390</v>
      </c>
      <c r="W238" s="69">
        <f>IFERROR((VLOOKUP($A238,'Из ГУГЛа'!$B:$Z,W$1,0)+Y238)*X238,VLOOKUP($A238,'Из ГУГЛа'!$B:$Z,W$1,0))</f>
        <v>2390</v>
      </c>
      <c r="X238" s="61">
        <v>1</v>
      </c>
      <c r="Y238" s="61">
        <v>0</v>
      </c>
      <c r="Z238" s="70">
        <v>2390</v>
      </c>
      <c r="AA238" s="60" t="s">
        <v>652</v>
      </c>
    </row>
    <row r="239" spans="1:27" ht="30" x14ac:dyDescent="0.25">
      <c r="A239" s="52">
        <v>163524</v>
      </c>
      <c r="B239" s="52">
        <f>VLOOKUP($A239,'Выгр Кат'!$A:$R,B$1,0)</f>
        <v>32653</v>
      </c>
      <c r="C239" s="53" t="str">
        <f>VLOOKUP($A239,'Выгр Кат'!$A:$R,C$1,0)</f>
        <v>Лонжерон пола задний (катафорез) "АвтоВАЗ" правый для Шевроле Нива</v>
      </c>
      <c r="D239" s="52" t="str">
        <f>VLOOKUP($A239,'Выгр Кат'!$A:$R,D$1,0)</f>
        <v>Y</v>
      </c>
      <c r="E239" s="52" t="str">
        <f>VLOOKUP($A239,'Выгр Кат'!$A:$R,E$1,0)</f>
        <v>1</v>
      </c>
      <c r="F239" s="52" t="str">
        <f>VLOOKUP($A239,'Выгр Кат'!$A:$R,F$1,0)</f>
        <v>21230510133270</v>
      </c>
      <c r="G239" s="52" t="str">
        <f>IF(VLOOKUP($A239,'Выгр Кат'!$A:$R,G$1,0)=0,"",VLOOKUP($A239,'Выгр Кат'!$A:$R,G$1,0))</f>
        <v>https://motorring.ru/product/843-longhepon-pola-zadniy-ppavyy-kataforez-shevrole-niva</v>
      </c>
      <c r="H239" s="52"/>
      <c r="I239" s="52"/>
      <c r="J239" s="54">
        <f t="shared" si="54"/>
        <v>2026</v>
      </c>
      <c r="K239" s="55">
        <f>VLOOKUP(J239,Наценка!$A$1:$B$8,2,1)</f>
        <v>1.4</v>
      </c>
      <c r="L239" s="56">
        <f t="shared" si="55"/>
        <v>2836.3999999999996</v>
      </c>
      <c r="M239" s="57">
        <f t="shared" si="56"/>
        <v>2890</v>
      </c>
      <c r="N239" s="52">
        <f>VLOOKUP($A239,'Выгр Кат'!$A:$R,N$1,0)</f>
        <v>2026</v>
      </c>
      <c r="O239" s="52">
        <f>VLOOKUP($A239,'Выгр Кат'!$A:$R,O$1,0)</f>
        <v>2890</v>
      </c>
      <c r="P239" s="47">
        <f t="shared" si="57"/>
        <v>0</v>
      </c>
      <c r="Q239" s="47">
        <f t="shared" si="58"/>
        <v>0</v>
      </c>
      <c r="R239" s="58">
        <f t="shared" si="59"/>
        <v>2890</v>
      </c>
      <c r="S239" s="59">
        <f t="shared" si="60"/>
        <v>0.42645607107601191</v>
      </c>
      <c r="T239" s="59">
        <f t="shared" si="61"/>
        <v>-7.434944237918216E-2</v>
      </c>
      <c r="U239" s="59">
        <f t="shared" si="62"/>
        <v>0.32773938795656465</v>
      </c>
      <c r="V239" s="42">
        <f t="shared" si="70"/>
        <v>2690</v>
      </c>
      <c r="W239" s="69">
        <f>IFERROR((VLOOKUP($A239,'Из ГУГЛа'!$B:$Z,W$1,0)+Y239)*X239,VLOOKUP($A239,'Из ГУГЛа'!$B:$Z,W$1,0))</f>
        <v>2690</v>
      </c>
      <c r="X239" s="61">
        <v>1</v>
      </c>
      <c r="Y239" s="61">
        <v>0</v>
      </c>
      <c r="Z239" s="70">
        <v>2690</v>
      </c>
      <c r="AA239" s="60" t="s">
        <v>655</v>
      </c>
    </row>
    <row r="240" spans="1:27" ht="45" x14ac:dyDescent="0.25">
      <c r="A240" s="52">
        <v>163525</v>
      </c>
      <c r="B240" s="52">
        <f>VLOOKUP($A240,'Выгр Кат'!$A:$R,B$1,0)</f>
        <v>31451</v>
      </c>
      <c r="C240" s="53" t="str">
        <f>VLOOKUP($A240,'Выгр Кат'!$A:$R,C$1,0)</f>
        <v>Лонжерон пола задний левый (катафорез) "АвтоВАЗ" для Лада Калина хэтчбек</v>
      </c>
      <c r="D240" s="52" t="str">
        <f>VLOOKUP($A240,'Выгр Кат'!$A:$R,D$1,0)</f>
        <v>Y</v>
      </c>
      <c r="E240" s="52" t="str">
        <f>VLOOKUP($A240,'Выгр Кат'!$A:$R,E$1,0)</f>
        <v>1</v>
      </c>
      <c r="F240" s="52" t="str">
        <f>VLOOKUP($A240,'Выгр Кат'!$A:$R,F$1,0)</f>
        <v>11190510133170</v>
      </c>
      <c r="G240" s="52" t="str">
        <f>IF(VLOOKUP($A240,'Выгр Кат'!$A:$R,G$1,0)=0,"",VLOOKUP($A240,'Выгр Кат'!$A:$R,G$1,0))</f>
        <v>https://motorring.ru/product/16478-longheron-pola-zadniy-levyy-kataforeznoe-pokrytie-lada</v>
      </c>
      <c r="H240" s="52"/>
      <c r="I240" s="52"/>
      <c r="J240" s="54">
        <f t="shared" si="54"/>
        <v>731</v>
      </c>
      <c r="K240" s="55">
        <f>VLOOKUP(J240,Наценка!$A$1:$B$8,2,1)</f>
        <v>1.55</v>
      </c>
      <c r="L240" s="56">
        <f t="shared" si="55"/>
        <v>1133.05</v>
      </c>
      <c r="M240" s="57">
        <f t="shared" si="56"/>
        <v>1190</v>
      </c>
      <c r="N240" s="52">
        <f>VLOOKUP($A240,'Выгр Кат'!$A:$R,N$1,0)</f>
        <v>731</v>
      </c>
      <c r="O240" s="52">
        <f>VLOOKUP($A240,'Выгр Кат'!$A:$R,O$1,0)</f>
        <v>1190</v>
      </c>
      <c r="P240" s="47">
        <f t="shared" si="57"/>
        <v>0</v>
      </c>
      <c r="Q240" s="47">
        <f t="shared" si="58"/>
        <v>0</v>
      </c>
      <c r="R240" s="58">
        <f t="shared" si="59"/>
        <v>1190</v>
      </c>
      <c r="S240" s="59">
        <f t="shared" si="60"/>
        <v>0.62790697674418605</v>
      </c>
      <c r="T240" s="59">
        <f t="shared" si="61"/>
        <v>0.14388489208633093</v>
      </c>
      <c r="U240" s="59">
        <f t="shared" si="62"/>
        <v>0.9015047879616962</v>
      </c>
      <c r="V240" s="42">
        <f t="shared" si="70"/>
        <v>1390</v>
      </c>
      <c r="W240" s="69">
        <f>IFERROR((VLOOKUP($A240,'Из ГУГЛа'!$B:$Z,W$1,0)+Y240)*X240,VLOOKUP($A240,'Из ГУГЛа'!$B:$Z,W$1,0))</f>
        <v>1390</v>
      </c>
      <c r="X240" s="61">
        <v>1</v>
      </c>
      <c r="Y240" s="61">
        <v>0</v>
      </c>
      <c r="Z240" s="70">
        <v>1390</v>
      </c>
      <c r="AA240" s="60" t="s">
        <v>658</v>
      </c>
    </row>
    <row r="241" spans="1:27" ht="30" x14ac:dyDescent="0.25">
      <c r="A241" s="52">
        <v>163526</v>
      </c>
      <c r="B241" s="52">
        <f>VLOOKUP($A241,'Выгр Кат'!$A:$R,B$1,0)</f>
        <v>37955</v>
      </c>
      <c r="C241" s="53" t="str">
        <f>VLOOKUP($A241,'Выгр Кат'!$A:$R,C$1,0)</f>
        <v>Лонжерон пола задний левый в сборе (катафорез) "АвтоВАЗ" для Лада Веста</v>
      </c>
      <c r="D241" s="52" t="str">
        <f>VLOOKUP($A241,'Выгр Кат'!$A:$R,D$1,0)</f>
        <v>Y</v>
      </c>
      <c r="E241" s="52" t="str">
        <f>VLOOKUP($A241,'Выгр Кат'!$A:$R,E$1,0)</f>
        <v>1</v>
      </c>
      <c r="F241" s="52" t="str">
        <f>VLOOKUP($A241,'Выгр Кат'!$A:$R,F$1,0)</f>
        <v>8450039300</v>
      </c>
      <c r="G241" s="52" t="str">
        <f>IF(VLOOKUP($A241,'Выгр Кат'!$A:$R,G$1,0)=0,"",VLOOKUP($A241,'Выгр Кат'!$A:$R,G$1,0))</f>
        <v/>
      </c>
      <c r="H241" s="52"/>
      <c r="I241" s="52"/>
      <c r="J241" s="54">
        <f t="shared" si="54"/>
        <v>1889</v>
      </c>
      <c r="K241" s="55">
        <f>VLOOKUP(J241,Наценка!$A$1:$B$8,2,1)</f>
        <v>1.5</v>
      </c>
      <c r="L241" s="56">
        <f t="shared" si="55"/>
        <v>2833.5</v>
      </c>
      <c r="M241" s="57">
        <f t="shared" si="56"/>
        <v>2890</v>
      </c>
      <c r="N241" s="52">
        <f>VLOOKUP($A241,'Выгр Кат'!$A:$R,N$1,0)</f>
        <v>1889</v>
      </c>
      <c r="O241" s="52">
        <f>VLOOKUP($A241,'Выгр Кат'!$A:$R,O$1,0)</f>
        <v>2890</v>
      </c>
      <c r="P241" s="47">
        <f t="shared" si="57"/>
        <v>0</v>
      </c>
      <c r="Q241" s="47">
        <f t="shared" si="58"/>
        <v>0</v>
      </c>
      <c r="R241" s="58">
        <f t="shared" si="59"/>
        <v>2890</v>
      </c>
      <c r="S241" s="59">
        <f t="shared" si="60"/>
        <v>0.52991000529380616</v>
      </c>
      <c r="T241" s="59" t="str">
        <f t="shared" si="61"/>
        <v/>
      </c>
      <c r="U241" s="59" t="str">
        <f t="shared" si="62"/>
        <v/>
      </c>
      <c r="V241" s="60"/>
      <c r="W241" s="69" t="str">
        <f>IFERROR((VLOOKUP($A241,'Из ГУГЛа'!$B:$Z,W$1,0)+Y241)*X241,VLOOKUP($A241,'Из ГУГЛа'!$B:$Z,W$1,0))</f>
        <v/>
      </c>
      <c r="X241" s="61">
        <v>1</v>
      </c>
      <c r="Y241" s="61">
        <v>0</v>
      </c>
      <c r="Z241" s="60" t="s">
        <v>4170</v>
      </c>
      <c r="AA241" s="60"/>
    </row>
    <row r="242" spans="1:27" ht="45" x14ac:dyDescent="0.25">
      <c r="A242" s="52">
        <v>163527</v>
      </c>
      <c r="B242" s="52">
        <f>VLOOKUP($A242,'Выгр Кат'!$A:$R,B$1,0)</f>
        <v>31452</v>
      </c>
      <c r="C242" s="53" t="str">
        <f>VLOOKUP($A242,'Выгр Кат'!$A:$R,C$1,0)</f>
        <v>Лонжерон пола задний правый (катафорез) "АвтоВАЗ" для Лада Калина хэтчбек</v>
      </c>
      <c r="D242" s="52" t="str">
        <f>VLOOKUP($A242,'Выгр Кат'!$A:$R,D$1,0)</f>
        <v>Y</v>
      </c>
      <c r="E242" s="52" t="str">
        <f>VLOOKUP($A242,'Выгр Кат'!$A:$R,E$1,0)</f>
        <v>1</v>
      </c>
      <c r="F242" s="52" t="str">
        <f>VLOOKUP($A242,'Выгр Кат'!$A:$R,F$1,0)</f>
        <v>11190510133070</v>
      </c>
      <c r="G242" s="52" t="str">
        <f>IF(VLOOKUP($A242,'Выгр Кат'!$A:$R,G$1,0)=0,"",VLOOKUP($A242,'Выгр Кат'!$A:$R,G$1,0))</f>
        <v>https://motorring.ru/product/38254-longheron-pola-zadniy-pravyy-kataforeznoe-pokrytie-lada</v>
      </c>
      <c r="H242" s="52"/>
      <c r="I242" s="52"/>
      <c r="J242" s="54">
        <f t="shared" si="54"/>
        <v>1566</v>
      </c>
      <c r="K242" s="55">
        <f>VLOOKUP(J242,Наценка!$A$1:$B$8,2,1)</f>
        <v>1.5</v>
      </c>
      <c r="L242" s="56">
        <f t="shared" si="55"/>
        <v>2349</v>
      </c>
      <c r="M242" s="57">
        <f t="shared" si="56"/>
        <v>2390</v>
      </c>
      <c r="N242" s="52">
        <f>VLOOKUP($A242,'Выгр Кат'!$A:$R,N$1,0)</f>
        <v>1566</v>
      </c>
      <c r="O242" s="52">
        <f>VLOOKUP($A242,'Выгр Кат'!$A:$R,O$1,0)</f>
        <v>2390</v>
      </c>
      <c r="P242" s="47">
        <f t="shared" si="57"/>
        <v>0</v>
      </c>
      <c r="Q242" s="47">
        <f t="shared" si="58"/>
        <v>0</v>
      </c>
      <c r="R242" s="58">
        <f t="shared" si="59"/>
        <v>2390</v>
      </c>
      <c r="S242" s="59">
        <f t="shared" si="60"/>
        <v>0.52618135376756059</v>
      </c>
      <c r="T242" s="59">
        <f t="shared" si="61"/>
        <v>-0.20100502512562815</v>
      </c>
      <c r="U242" s="59">
        <f t="shared" si="62"/>
        <v>0.27075351213282239</v>
      </c>
      <c r="V242" s="42">
        <f t="shared" ref="V242:V246" si="71">Z242</f>
        <v>1990</v>
      </c>
      <c r="W242" s="69">
        <f>IFERROR((VLOOKUP($A242,'Из ГУГЛа'!$B:$Z,W$1,0)+Y242)*X242,VLOOKUP($A242,'Из ГУГЛа'!$B:$Z,W$1,0))</f>
        <v>1990</v>
      </c>
      <c r="X242" s="61">
        <v>1</v>
      </c>
      <c r="Y242" s="61">
        <v>0</v>
      </c>
      <c r="Z242" s="70">
        <v>1990</v>
      </c>
      <c r="AA242" s="60" t="s">
        <v>663</v>
      </c>
    </row>
    <row r="243" spans="1:27" ht="45" x14ac:dyDescent="0.25">
      <c r="A243" s="52">
        <v>163528</v>
      </c>
      <c r="B243" s="52">
        <f>VLOOKUP($A243,'Выгр Кат'!$A:$R,B$1,0)</f>
        <v>31165</v>
      </c>
      <c r="C243" s="53" t="str">
        <f>VLOOKUP($A243,'Выгр Кат'!$A:$R,C$1,0)</f>
        <v>Лонжерон пола задний правый в сборе (катафорез) "АвтоВАЗ" для Лада Веста</v>
      </c>
      <c r="D243" s="52" t="str">
        <f>VLOOKUP($A243,'Выгр Кат'!$A:$R,D$1,0)</f>
        <v>Y</v>
      </c>
      <c r="E243" s="52" t="str">
        <f>VLOOKUP($A243,'Выгр Кат'!$A:$R,E$1,0)</f>
        <v>1</v>
      </c>
      <c r="F243" s="52" t="str">
        <f>VLOOKUP($A243,'Выгр Кат'!$A:$R,F$1,0)</f>
        <v>8450039302</v>
      </c>
      <c r="G243" s="52" t="str">
        <f>IF(VLOOKUP($A243,'Выгр Кат'!$A:$R,G$1,0)=0,"",VLOOKUP($A243,'Выгр Кат'!$A:$R,G$1,0))</f>
        <v>https://motorring.ru/product/36836-longheron-pola-zadniy-pravyy-dlya-lada-vesta</v>
      </c>
      <c r="H243" s="52"/>
      <c r="I243" s="52"/>
      <c r="J243" s="54">
        <f t="shared" si="54"/>
        <v>1241</v>
      </c>
      <c r="K243" s="55">
        <f>VLOOKUP(J243,Наценка!$A$1:$B$8,2,1)</f>
        <v>1.5</v>
      </c>
      <c r="L243" s="56">
        <f t="shared" si="55"/>
        <v>1861.5</v>
      </c>
      <c r="M243" s="57">
        <f t="shared" si="56"/>
        <v>1890</v>
      </c>
      <c r="N243" s="52">
        <f>VLOOKUP($A243,'Выгр Кат'!$A:$R,N$1,0)</f>
        <v>1241</v>
      </c>
      <c r="O243" s="52">
        <f>VLOOKUP($A243,'Выгр Кат'!$A:$R,O$1,0)</f>
        <v>1890</v>
      </c>
      <c r="P243" s="47">
        <f t="shared" si="57"/>
        <v>0</v>
      </c>
      <c r="Q243" s="47">
        <f t="shared" si="58"/>
        <v>0</v>
      </c>
      <c r="R243" s="58">
        <f t="shared" si="59"/>
        <v>1890</v>
      </c>
      <c r="S243" s="59">
        <f t="shared" si="60"/>
        <v>0.52296535052377124</v>
      </c>
      <c r="T243" s="59">
        <f t="shared" si="61"/>
        <v>-5.5865921787709494E-2</v>
      </c>
      <c r="U243" s="59">
        <f t="shared" si="62"/>
        <v>0.44238517324738114</v>
      </c>
      <c r="V243" s="42">
        <f t="shared" si="71"/>
        <v>1790</v>
      </c>
      <c r="W243" s="69">
        <f>IFERROR((VLOOKUP($A243,'Из ГУГЛа'!$B:$Z,W$1,0)+Y243)*X243,VLOOKUP($A243,'Из ГУГЛа'!$B:$Z,W$1,0))</f>
        <v>1790</v>
      </c>
      <c r="X243" s="61">
        <v>1</v>
      </c>
      <c r="Y243" s="61">
        <v>0</v>
      </c>
      <c r="Z243" s="70">
        <v>1790</v>
      </c>
      <c r="AA243" s="60" t="s">
        <v>666</v>
      </c>
    </row>
    <row r="244" spans="1:27" ht="30" x14ac:dyDescent="0.25">
      <c r="A244" s="52">
        <v>163529</v>
      </c>
      <c r="B244" s="52">
        <f>VLOOKUP($A244,'Выгр Кат'!$A:$R,B$1,0)</f>
        <v>31285</v>
      </c>
      <c r="C244" s="53" t="str">
        <f>VLOOKUP($A244,'Выгр Кат'!$A:$R,C$1,0)</f>
        <v>Лонжерон пола передний "АвтоВАЗ" левый для Шевроле Нива</v>
      </c>
      <c r="D244" s="52" t="str">
        <f>VLOOKUP($A244,'Выгр Кат'!$A:$R,D$1,0)</f>
        <v>Y</v>
      </c>
      <c r="E244" s="52" t="str">
        <f>VLOOKUP($A244,'Выгр Кат'!$A:$R,E$1,0)</f>
        <v>1</v>
      </c>
      <c r="F244" s="52" t="str">
        <f>VLOOKUP($A244,'Выгр Кат'!$A:$R,F$1,0)</f>
        <v>21230510130300</v>
      </c>
      <c r="G244" s="52" t="str">
        <f>IF(VLOOKUP($A244,'Выгр Кат'!$A:$R,G$1,0)=0,"",VLOOKUP($A244,'Выгр Кат'!$A:$R,G$1,0))</f>
        <v>https://motorring.ru/product/6537-longheron-pola-peredniy-levyy-shevrole-niva</v>
      </c>
      <c r="H244" s="52"/>
      <c r="I244" s="52"/>
      <c r="J244" s="54">
        <f t="shared" si="54"/>
        <v>1092</v>
      </c>
      <c r="K244" s="55">
        <f>VLOOKUP(J244,Наценка!$A$1:$B$8,2,1)</f>
        <v>1.5</v>
      </c>
      <c r="L244" s="56">
        <f t="shared" si="55"/>
        <v>1638</v>
      </c>
      <c r="M244" s="57">
        <f t="shared" si="56"/>
        <v>1690</v>
      </c>
      <c r="N244" s="52">
        <f>VLOOKUP($A244,'Выгр Кат'!$A:$R,N$1,0)</f>
        <v>1092</v>
      </c>
      <c r="O244" s="52">
        <f>VLOOKUP($A244,'Выгр Кат'!$A:$R,O$1,0)</f>
        <v>1690</v>
      </c>
      <c r="P244" s="47">
        <f t="shared" si="57"/>
        <v>0</v>
      </c>
      <c r="Q244" s="47">
        <f t="shared" si="58"/>
        <v>0</v>
      </c>
      <c r="R244" s="58">
        <f t="shared" si="59"/>
        <v>1690</v>
      </c>
      <c r="S244" s="59">
        <f t="shared" si="60"/>
        <v>0.54761904761904767</v>
      </c>
      <c r="T244" s="59">
        <f t="shared" si="61"/>
        <v>0.10582010582010581</v>
      </c>
      <c r="U244" s="59">
        <f t="shared" si="62"/>
        <v>0.73076923076923084</v>
      </c>
      <c r="V244" s="42">
        <f t="shared" si="71"/>
        <v>1890</v>
      </c>
      <c r="W244" s="69">
        <f>IFERROR((VLOOKUP($A244,'Из ГУГЛа'!$B:$Z,W$1,0)+Y244)*X244,VLOOKUP($A244,'Из ГУГЛа'!$B:$Z,W$1,0))</f>
        <v>1890</v>
      </c>
      <c r="X244" s="61">
        <v>1</v>
      </c>
      <c r="Y244" s="61">
        <v>0</v>
      </c>
      <c r="Z244" s="70">
        <v>1890</v>
      </c>
      <c r="AA244" s="60" t="s">
        <v>669</v>
      </c>
    </row>
    <row r="245" spans="1:27" ht="30" x14ac:dyDescent="0.25">
      <c r="A245" s="52">
        <v>163530</v>
      </c>
      <c r="B245" s="52">
        <f>VLOOKUP($A245,'Выгр Кат'!$A:$R,B$1,0)</f>
        <v>31286</v>
      </c>
      <c r="C245" s="53" t="str">
        <f>VLOOKUP($A245,'Выгр Кат'!$A:$R,C$1,0)</f>
        <v>Лонжерон пола передний "АвтоВАЗ" правый для Шевроле Нива</v>
      </c>
      <c r="D245" s="52" t="str">
        <f>VLOOKUP($A245,'Выгр Кат'!$A:$R,D$1,0)</f>
        <v>Y</v>
      </c>
      <c r="E245" s="52" t="str">
        <f>VLOOKUP($A245,'Выгр Кат'!$A:$R,E$1,0)</f>
        <v>1</v>
      </c>
      <c r="F245" s="52" t="str">
        <f>VLOOKUP($A245,'Выгр Кат'!$A:$R,F$1,0)</f>
        <v>21230510130200</v>
      </c>
      <c r="G245" s="52" t="str">
        <f>IF(VLOOKUP($A245,'Выгр Кат'!$A:$R,G$1,0)=0,"",VLOOKUP($A245,'Выгр Кат'!$A:$R,G$1,0))</f>
        <v/>
      </c>
      <c r="H245" s="52"/>
      <c r="I245" s="52"/>
      <c r="J245" s="54">
        <f t="shared" si="54"/>
        <v>1012</v>
      </c>
      <c r="K245" s="55">
        <f>VLOOKUP(J245,Наценка!$A$1:$B$8,2,1)</f>
        <v>1.5</v>
      </c>
      <c r="L245" s="56">
        <f t="shared" si="55"/>
        <v>1518</v>
      </c>
      <c r="M245" s="57">
        <f t="shared" si="56"/>
        <v>1590</v>
      </c>
      <c r="N245" s="52">
        <f>VLOOKUP($A245,'Выгр Кат'!$A:$R,N$1,0)</f>
        <v>1012</v>
      </c>
      <c r="O245" s="52">
        <f>VLOOKUP($A245,'Выгр Кат'!$A:$R,O$1,0)</f>
        <v>1590</v>
      </c>
      <c r="P245" s="47">
        <f t="shared" si="57"/>
        <v>0</v>
      </c>
      <c r="Q245" s="47">
        <f t="shared" si="58"/>
        <v>0</v>
      </c>
      <c r="R245" s="58">
        <f t="shared" si="59"/>
        <v>1590</v>
      </c>
      <c r="S245" s="59">
        <f t="shared" si="60"/>
        <v>0.57114624505928857</v>
      </c>
      <c r="T245" s="59">
        <f t="shared" si="61"/>
        <v>5.9171597633136092E-2</v>
      </c>
      <c r="U245" s="59">
        <f t="shared" si="62"/>
        <v>0.6699604743083003</v>
      </c>
      <c r="V245" s="42">
        <f t="shared" si="71"/>
        <v>1690</v>
      </c>
      <c r="W245" s="69" t="str">
        <f>IFERROR((VLOOKUP($A245,'Из ГУГЛа'!$B:$Z,W$1,0)+Y245)*X245,VLOOKUP($A245,'Из ГУГЛа'!$B:$Z,W$1,0))</f>
        <v/>
      </c>
      <c r="X245" s="61">
        <v>1</v>
      </c>
      <c r="Y245" s="61">
        <v>0</v>
      </c>
      <c r="Z245" s="60">
        <v>1690</v>
      </c>
      <c r="AA245" s="60" t="s">
        <v>615</v>
      </c>
    </row>
    <row r="246" spans="1:27" ht="45" x14ac:dyDescent="0.25">
      <c r="A246" s="52">
        <v>163531</v>
      </c>
      <c r="B246" s="52">
        <f>VLOOKUP($A246,'Выгр Кат'!$A:$R,B$1,0)</f>
        <v>23550</v>
      </c>
      <c r="C246" s="53" t="str">
        <f>VLOOKUP($A246,'Выгр Кат'!$A:$R,C$1,0)</f>
        <v>Лонжерон пола средний "АвтоВАЗ" (правый, катафорезное покрытие) для ВАЗ 2110-2112, Лада Приора</v>
      </c>
      <c r="D246" s="52" t="str">
        <f>VLOOKUP($A246,'Выгр Кат'!$A:$R,D$1,0)</f>
        <v>Y</v>
      </c>
      <c r="E246" s="52" t="str">
        <f>VLOOKUP($A246,'Выгр Кат'!$A:$R,E$1,0)</f>
        <v>1</v>
      </c>
      <c r="F246" s="52" t="str">
        <f>VLOOKUP($A246,'Выгр Кат'!$A:$R,F$1,0)</f>
        <v>21100510137210</v>
      </c>
      <c r="G246" s="52" t="str">
        <f>IF(VLOOKUP($A246,'Выгр Кат'!$A:$R,G$1,0)=0,"",VLOOKUP($A246,'Выгр Кат'!$A:$R,G$1,0))</f>
        <v/>
      </c>
      <c r="H246" s="52"/>
      <c r="I246" s="52"/>
      <c r="J246" s="54">
        <f t="shared" si="54"/>
        <v>2903</v>
      </c>
      <c r="K246" s="55">
        <f>VLOOKUP(J246,Наценка!$A$1:$B$8,2,1)</f>
        <v>1.4</v>
      </c>
      <c r="L246" s="56">
        <f t="shared" si="55"/>
        <v>4064.2</v>
      </c>
      <c r="M246" s="57">
        <f t="shared" si="56"/>
        <v>4090</v>
      </c>
      <c r="N246" s="52">
        <f>VLOOKUP($A246,'Выгр Кат'!$A:$R,N$1,0)</f>
        <v>2903</v>
      </c>
      <c r="O246" s="52">
        <f>VLOOKUP($A246,'Выгр Кат'!$A:$R,O$1,0)</f>
        <v>4090</v>
      </c>
      <c r="P246" s="47">
        <f t="shared" si="57"/>
        <v>0</v>
      </c>
      <c r="Q246" s="47">
        <f t="shared" si="58"/>
        <v>0</v>
      </c>
      <c r="R246" s="58">
        <f t="shared" si="59"/>
        <v>4090</v>
      </c>
      <c r="S246" s="59">
        <f t="shared" si="60"/>
        <v>0.40888735790561492</v>
      </c>
      <c r="T246" s="59">
        <f t="shared" si="61"/>
        <v>-0.20648967551622419</v>
      </c>
      <c r="U246" s="59">
        <f t="shared" si="62"/>
        <v>0.16775749224939718</v>
      </c>
      <c r="V246" s="42">
        <f t="shared" si="71"/>
        <v>3390</v>
      </c>
      <c r="W246" s="69" t="str">
        <f>IFERROR((VLOOKUP($A246,'Из ГУГЛа'!$B:$Z,W$1,0)+Y246)*X246,VLOOKUP($A246,'Из ГУГЛа'!$B:$Z,W$1,0))</f>
        <v/>
      </c>
      <c r="X246" s="61">
        <v>1</v>
      </c>
      <c r="Y246" s="61">
        <v>0</v>
      </c>
      <c r="Z246" s="60">
        <v>3390</v>
      </c>
      <c r="AA246" s="60" t="s">
        <v>4295</v>
      </c>
    </row>
    <row r="247" spans="1:27" ht="45" x14ac:dyDescent="0.25">
      <c r="A247" s="52">
        <v>315561</v>
      </c>
      <c r="B247" s="52">
        <f>VLOOKUP($A247,'Выгр Кат'!$A:$R,B$1,0)</f>
        <v>315561</v>
      </c>
      <c r="C247" s="53" t="str">
        <f>VLOOKUP($A247,'Выгр Кат'!$A:$R,C$1,0)</f>
        <v>Лонжерон пола средний "АвтоВАЗ" (средний, правый) для ВАЗ 2110-2112, Лада Приора</v>
      </c>
      <c r="D247" s="52" t="str">
        <f>VLOOKUP($A247,'Выгр Кат'!$A:$R,D$1,0)</f>
        <v>Y</v>
      </c>
      <c r="E247" s="52" t="str">
        <f>VLOOKUP($A247,'Выгр Кат'!$A:$R,E$1,0)</f>
        <v>1</v>
      </c>
      <c r="F247" s="52" t="str">
        <f>VLOOKUP($A247,'Выгр Кат'!$A:$R,F$1,0)</f>
        <v>21100510137210</v>
      </c>
      <c r="G247" s="52" t="str">
        <f>IF(VLOOKUP($A247,'Выгр Кат'!$A:$R,G$1,0)=0,"",VLOOKUP($A247,'Выгр Кат'!$A:$R,G$1,0))</f>
        <v/>
      </c>
      <c r="H247" s="52"/>
      <c r="I247" s="52"/>
      <c r="J247" s="54">
        <f t="shared" si="54"/>
        <v>2352</v>
      </c>
      <c r="K247" s="55">
        <f>VLOOKUP(J247,Наценка!$A$1:$B$8,2,1)</f>
        <v>1.4</v>
      </c>
      <c r="L247" s="56">
        <f t="shared" si="55"/>
        <v>3292.7999999999997</v>
      </c>
      <c r="M247" s="57">
        <f t="shared" si="56"/>
        <v>3290</v>
      </c>
      <c r="N247" s="52">
        <f>VLOOKUP($A247,'Выгр Кат'!$A:$R,N$1,0)</f>
        <v>2352</v>
      </c>
      <c r="O247" s="52">
        <f>VLOOKUP($A247,'Выгр Кат'!$A:$R,O$1,0)</f>
        <v>3290</v>
      </c>
      <c r="P247" s="47">
        <f t="shared" si="57"/>
        <v>0</v>
      </c>
      <c r="Q247" s="47">
        <f t="shared" si="58"/>
        <v>0</v>
      </c>
      <c r="R247" s="58">
        <f t="shared" si="59"/>
        <v>3290</v>
      </c>
      <c r="S247" s="59">
        <f t="shared" si="60"/>
        <v>0.39880952380952372</v>
      </c>
      <c r="T247" s="59" t="str">
        <f t="shared" si="61"/>
        <v/>
      </c>
      <c r="U247" s="59" t="str">
        <f t="shared" si="62"/>
        <v/>
      </c>
      <c r="V247" s="60"/>
      <c r="W247" s="69" t="str">
        <f>IFERROR((VLOOKUP($A247,'Из ГУГЛа'!$B:$Z,W$1,0)+Y247)*X247,VLOOKUP($A247,'Из ГУГЛа'!$B:$Z,W$1,0))</f>
        <v/>
      </c>
      <c r="X247" s="61">
        <v>1</v>
      </c>
      <c r="Y247" s="61">
        <v>0</v>
      </c>
      <c r="Z247" s="60" t="s">
        <v>4169</v>
      </c>
      <c r="AA247" s="60"/>
    </row>
    <row r="248" spans="1:27" ht="45" x14ac:dyDescent="0.25">
      <c r="A248" s="52">
        <v>163532</v>
      </c>
      <c r="B248" s="52">
        <f>VLOOKUP($A248,'Выгр Кат'!$A:$R,B$1,0)</f>
        <v>31474</v>
      </c>
      <c r="C248" s="53" t="str">
        <f>VLOOKUP($A248,'Выгр Кат'!$A:$R,C$1,0)</f>
        <v>Лонжерон пола средний (катафорез) "АвтоВАЗ" левый в сборе для Лада Калина</v>
      </c>
      <c r="D248" s="52" t="str">
        <f>VLOOKUP($A248,'Выгр Кат'!$A:$R,D$1,0)</f>
        <v>Y</v>
      </c>
      <c r="E248" s="52" t="str">
        <f>VLOOKUP($A248,'Выгр Кат'!$A:$R,E$1,0)</f>
        <v>1</v>
      </c>
      <c r="F248" s="52" t="str">
        <f>VLOOKUP($A248,'Выгр Кат'!$A:$R,F$1,0)</f>
        <v>11180510132170</v>
      </c>
      <c r="G248" s="52" t="str">
        <f>IF(VLOOKUP($A248,'Выгр Кат'!$A:$R,G$1,0)=0,"",VLOOKUP($A248,'Выгр Кат'!$A:$R,G$1,0))</f>
        <v>https://motorring.ru/product/16463-longheron-pola-sredniy-levyy-sbore-kataforeznoe-pokrytie</v>
      </c>
      <c r="H248" s="52"/>
      <c r="I248" s="52"/>
      <c r="J248" s="54">
        <f t="shared" ref="J248:J311" si="72">N248</f>
        <v>3646</v>
      </c>
      <c r="K248" s="55">
        <f>VLOOKUP(J248,Наценка!$A$1:$B$8,2,1)</f>
        <v>1.4</v>
      </c>
      <c r="L248" s="56">
        <f t="shared" ref="L248:L311" si="73">J248*K248</f>
        <v>5104.3999999999996</v>
      </c>
      <c r="M248" s="57">
        <f t="shared" ref="M248:M311" si="74">IF(L248&lt;=1000,(ROUNDUP(L248,-1)-1),(ROUNDUP(L248,-2)-10))</f>
        <v>5190</v>
      </c>
      <c r="N248" s="52">
        <f>VLOOKUP($A248,'Выгр Кат'!$A:$R,N$1,0)</f>
        <v>3646</v>
      </c>
      <c r="O248" s="52">
        <f>VLOOKUP($A248,'Выгр Кат'!$A:$R,O$1,0)</f>
        <v>5190</v>
      </c>
      <c r="P248" s="47">
        <f t="shared" ref="P248:P311" si="75">N248-J248</f>
        <v>0</v>
      </c>
      <c r="Q248" s="47">
        <f t="shared" ref="Q248:Q311" si="76">O248-M248</f>
        <v>0</v>
      </c>
      <c r="R248" s="58">
        <f t="shared" ref="R248:R311" si="77">IFERROR(ROUND(M248*(1-$R$2),),"")</f>
        <v>5190</v>
      </c>
      <c r="S248" s="59">
        <f t="shared" ref="S248:S311" si="78">IFERROR(R248/J248-1,"")</f>
        <v>0.42347778387273727</v>
      </c>
      <c r="T248" s="59">
        <f t="shared" ref="T248:T311" si="79">IFERROR((V248-R248)/V248,"")</f>
        <v>-8.3507306889352817E-2</v>
      </c>
      <c r="U248" s="59">
        <f t="shared" ref="U248:U311" si="80">IFERROR(IF(V248="","",V248/J248-1),"")</f>
        <v>0.31376851343938572</v>
      </c>
      <c r="V248" s="42">
        <f>Z248</f>
        <v>4790</v>
      </c>
      <c r="W248" s="69">
        <f>IFERROR((VLOOKUP($A248,'Из ГУГЛа'!$B:$Z,W$1,0)+Y248)*X248,VLOOKUP($A248,'Из ГУГЛа'!$B:$Z,W$1,0))</f>
        <v>4790</v>
      </c>
      <c r="X248" s="61">
        <v>1</v>
      </c>
      <c r="Y248" s="61">
        <v>0</v>
      </c>
      <c r="Z248" s="70">
        <v>4790</v>
      </c>
      <c r="AA248" s="60" t="s">
        <v>677</v>
      </c>
    </row>
    <row r="249" spans="1:27" ht="45" x14ac:dyDescent="0.25">
      <c r="A249" s="52">
        <v>267660</v>
      </c>
      <c r="B249" s="52">
        <f>VLOOKUP($A249,'Выгр Кат'!$A:$R,B$1,0)</f>
        <v>220336</v>
      </c>
      <c r="C249" s="53" t="str">
        <f>VLOOKUP($A249,'Выгр Кат'!$A:$R,C$1,0)</f>
        <v>Нaклaдкa боковины задняя "АвтоВАЗ" левая для Лада Приора, Приора 2 универсал</v>
      </c>
      <c r="D249" s="52" t="str">
        <f>VLOOKUP($A249,'Выгр Кат'!$A:$R,D$1,0)</f>
        <v>Y</v>
      </c>
      <c r="E249" s="52" t="str">
        <f>VLOOKUP($A249,'Выгр Кат'!$A:$R,E$1,0)</f>
        <v>1</v>
      </c>
      <c r="F249" s="52">
        <f>VLOOKUP($A249,'Выгр Кат'!$A:$R,F$1,0)</f>
        <v>0</v>
      </c>
      <c r="G249" s="52" t="str">
        <f>IF(VLOOKUP($A249,'Выгр Кат'!$A:$R,G$1,0)=0,"",VLOOKUP($A249,'Выгр Кат'!$A:$R,G$1,0))</f>
        <v/>
      </c>
      <c r="H249" s="52"/>
      <c r="I249" s="52"/>
      <c r="J249" s="54">
        <f t="shared" si="72"/>
        <v>577</v>
      </c>
      <c r="K249" s="55">
        <f>VLOOKUP(J249,Наценка!$A$1:$B$8,2,1)</f>
        <v>1.55</v>
      </c>
      <c r="L249" s="56">
        <f t="shared" si="73"/>
        <v>894.35</v>
      </c>
      <c r="M249" s="57">
        <f t="shared" si="74"/>
        <v>899</v>
      </c>
      <c r="N249" s="52">
        <f>VLOOKUP($A249,'Выгр Кат'!$A:$R,N$1,0)</f>
        <v>577</v>
      </c>
      <c r="O249" s="52">
        <f>VLOOKUP($A249,'Выгр Кат'!$A:$R,O$1,0)</f>
        <v>899</v>
      </c>
      <c r="P249" s="47">
        <f t="shared" si="75"/>
        <v>0</v>
      </c>
      <c r="Q249" s="47">
        <f t="shared" si="76"/>
        <v>0</v>
      </c>
      <c r="R249" s="58">
        <f t="shared" si="77"/>
        <v>899</v>
      </c>
      <c r="S249" s="59">
        <f t="shared" si="78"/>
        <v>0.55805892547660307</v>
      </c>
      <c r="T249" s="59" t="str">
        <f t="shared" si="79"/>
        <v/>
      </c>
      <c r="U249" s="59" t="str">
        <f t="shared" si="80"/>
        <v/>
      </c>
      <c r="V249" s="60"/>
      <c r="W249" s="69" t="str">
        <f>IFERROR((VLOOKUP($A249,'Из ГУГЛа'!$B:$Z,W$1,0)+Y249)*X249,VLOOKUP($A249,'Из ГУГЛа'!$B:$Z,W$1,0))</f>
        <v/>
      </c>
      <c r="X249" s="61">
        <v>1</v>
      </c>
      <c r="Y249" s="61">
        <v>0</v>
      </c>
      <c r="Z249" s="60" t="s">
        <v>4170</v>
      </c>
      <c r="AA249" s="60"/>
    </row>
    <row r="250" spans="1:27" ht="45" x14ac:dyDescent="0.25">
      <c r="A250" s="52">
        <v>164803</v>
      </c>
      <c r="B250" s="52">
        <f>VLOOKUP($A250,'Выгр Кат'!$A:$R,B$1,0)</f>
        <v>31228</v>
      </c>
      <c r="C250" s="53" t="str">
        <f>VLOOKUP($A250,'Выгр Кат'!$A:$R,C$1,0)</f>
        <v>Нaклaдкa боковины задняя "АвтоВАЗ" правая для Лада Приора, Приора 2 универсал</v>
      </c>
      <c r="D250" s="52" t="str">
        <f>VLOOKUP($A250,'Выгр Кат'!$A:$R,D$1,0)</f>
        <v>Y</v>
      </c>
      <c r="E250" s="52" t="str">
        <f>VLOOKUP($A250,'Выгр Кат'!$A:$R,E$1,0)</f>
        <v>1</v>
      </c>
      <c r="F250" s="52" t="str">
        <f>VLOOKUP($A250,'Выгр Кат'!$A:$R,F$1,0)</f>
        <v>21710540110810</v>
      </c>
      <c r="G250" s="52" t="str">
        <f>IF(VLOOKUP($A250,'Выгр Кат'!$A:$R,G$1,0)=0,"",VLOOKUP($A250,'Выгр Кат'!$A:$R,G$1,0))</f>
        <v/>
      </c>
      <c r="H250" s="52"/>
      <c r="I250" s="52"/>
      <c r="J250" s="54">
        <f t="shared" si="72"/>
        <v>414</v>
      </c>
      <c r="K250" s="55">
        <f>VLOOKUP(J250,Наценка!$A$1:$B$8,2,1)</f>
        <v>1.6</v>
      </c>
      <c r="L250" s="56">
        <f t="shared" si="73"/>
        <v>662.40000000000009</v>
      </c>
      <c r="M250" s="57">
        <f t="shared" si="74"/>
        <v>669</v>
      </c>
      <c r="N250" s="52">
        <f>VLOOKUP($A250,'Выгр Кат'!$A:$R,N$1,0)</f>
        <v>414</v>
      </c>
      <c r="O250" s="52">
        <f>VLOOKUP($A250,'Выгр Кат'!$A:$R,O$1,0)</f>
        <v>669</v>
      </c>
      <c r="P250" s="47">
        <f t="shared" si="75"/>
        <v>0</v>
      </c>
      <c r="Q250" s="47">
        <f t="shared" si="76"/>
        <v>0</v>
      </c>
      <c r="R250" s="58">
        <f t="shared" si="77"/>
        <v>669</v>
      </c>
      <c r="S250" s="59">
        <f t="shared" si="78"/>
        <v>0.61594202898550732</v>
      </c>
      <c r="T250" s="59">
        <f t="shared" si="79"/>
        <v>8.2304526748971193E-2</v>
      </c>
      <c r="U250" s="59">
        <f t="shared" si="80"/>
        <v>0.76086956521739135</v>
      </c>
      <c r="V250" s="42">
        <f>Z250</f>
        <v>729</v>
      </c>
      <c r="W250" s="69" t="str">
        <f>IFERROR((VLOOKUP($A250,'Из ГУГЛа'!$B:$Z,W$1,0)+Y250)*X250,VLOOKUP($A250,'Из ГУГЛа'!$B:$Z,W$1,0))</f>
        <v/>
      </c>
      <c r="X250" s="61">
        <v>1</v>
      </c>
      <c r="Y250" s="61">
        <v>0</v>
      </c>
      <c r="Z250" s="60">
        <v>729</v>
      </c>
      <c r="AA250" s="60" t="s">
        <v>684</v>
      </c>
    </row>
    <row r="251" spans="1:27" ht="45" x14ac:dyDescent="0.25">
      <c r="A251" s="52">
        <v>164804</v>
      </c>
      <c r="B251" s="52">
        <f>VLOOKUP($A251,'Выгр Кат'!$A:$R,B$1,0)</f>
        <v>32693</v>
      </c>
      <c r="C251" s="53" t="str">
        <f>VLOOKUP($A251,'Выгр Кат'!$A:$R,C$1,0)</f>
        <v>Нaклaдкa боковины задняя внутренняя "АвтоВАЗ" правая для Лада Приора, Приора 2 универсал</v>
      </c>
      <c r="D251" s="52" t="str">
        <f>VLOOKUP($A251,'Выгр Кат'!$A:$R,D$1,0)</f>
        <v>Y</v>
      </c>
      <c r="E251" s="52" t="str">
        <f>VLOOKUP($A251,'Выгр Кат'!$A:$R,E$1,0)</f>
        <v>1</v>
      </c>
      <c r="F251" s="52" t="str">
        <f>VLOOKUP($A251,'Выгр Кат'!$A:$R,F$1,0)</f>
        <v>21710540110800</v>
      </c>
      <c r="G251" s="52" t="str">
        <f>IF(VLOOKUP($A251,'Выгр Кат'!$A:$R,G$1,0)=0,"",VLOOKUP($A251,'Выгр Кат'!$A:$R,G$1,0))</f>
        <v>https://motorring.ru/product/16331</v>
      </c>
      <c r="H251" s="52"/>
      <c r="I251" s="52"/>
      <c r="J251" s="54">
        <f t="shared" si="72"/>
        <v>313</v>
      </c>
      <c r="K251" s="55">
        <f>VLOOKUP(J251,Наценка!$A$1:$B$8,2,1)</f>
        <v>1.6</v>
      </c>
      <c r="L251" s="56">
        <f t="shared" si="73"/>
        <v>500.8</v>
      </c>
      <c r="M251" s="57">
        <f t="shared" si="74"/>
        <v>509</v>
      </c>
      <c r="N251" s="52">
        <f>VLOOKUP($A251,'Выгр Кат'!$A:$R,N$1,0)</f>
        <v>313</v>
      </c>
      <c r="O251" s="52">
        <f>VLOOKUP($A251,'Выгр Кат'!$A:$R,O$1,0)</f>
        <v>509</v>
      </c>
      <c r="P251" s="47">
        <f t="shared" si="75"/>
        <v>0</v>
      </c>
      <c r="Q251" s="47">
        <f t="shared" si="76"/>
        <v>0</v>
      </c>
      <c r="R251" s="58">
        <f t="shared" si="77"/>
        <v>509</v>
      </c>
      <c r="S251" s="59">
        <f t="shared" si="78"/>
        <v>0.62619808306709257</v>
      </c>
      <c r="T251" s="59">
        <f t="shared" si="79"/>
        <v>0.30178326474622769</v>
      </c>
      <c r="U251" s="59">
        <f t="shared" si="80"/>
        <v>1.329073482428115</v>
      </c>
      <c r="V251" s="42">
        <f>Z251</f>
        <v>729</v>
      </c>
      <c r="W251" s="69">
        <f>IFERROR((VLOOKUP($A251,'Из ГУГЛа'!$B:$Z,W$1,0)+Y251)*X251,VLOOKUP($A251,'Из ГУГЛа'!$B:$Z,W$1,0))</f>
        <v>729</v>
      </c>
      <c r="X251" s="61">
        <v>1</v>
      </c>
      <c r="Y251" s="61">
        <v>0</v>
      </c>
      <c r="Z251" s="70">
        <v>729</v>
      </c>
      <c r="AA251" s="60" t="s">
        <v>684</v>
      </c>
    </row>
    <row r="252" spans="1:27" ht="45" x14ac:dyDescent="0.25">
      <c r="A252" s="52">
        <v>164805</v>
      </c>
      <c r="B252" s="52">
        <f>VLOOKUP($A252,'Выгр Кат'!$A:$R,B$1,0)</f>
        <v>31251</v>
      </c>
      <c r="C252" s="53" t="str">
        <f>VLOOKUP($A252,'Выгр Кат'!$A:$R,C$1,0)</f>
        <v>Нaпpaвляющaя опускного стекла задней двери "АвтоВАЗ" левая для Шевроле Нива</v>
      </c>
      <c r="D252" s="52" t="str">
        <f>VLOOKUP($A252,'Выгр Кат'!$A:$R,D$1,0)</f>
        <v>Y</v>
      </c>
      <c r="E252" s="52" t="str">
        <f>VLOOKUP($A252,'Выгр Кат'!$A:$R,E$1,0)</f>
        <v>1</v>
      </c>
      <c r="F252" s="52" t="str">
        <f>VLOOKUP($A252,'Выгр Кат'!$A:$R,F$1,0)</f>
        <v>21230620324100</v>
      </c>
      <c r="G252" s="52" t="str">
        <f>IF(VLOOKUP($A252,'Выгр Кат'!$A:$R,G$1,0)=0,"",VLOOKUP($A252,'Выгр Кат'!$A:$R,G$1,0))</f>
        <v/>
      </c>
      <c r="H252" s="52"/>
      <c r="I252" s="52"/>
      <c r="J252" s="54">
        <f t="shared" si="72"/>
        <v>35</v>
      </c>
      <c r="K252" s="55">
        <f>VLOOKUP(J252,Наценка!$A$1:$B$8,2,1)</f>
        <v>2</v>
      </c>
      <c r="L252" s="56">
        <f t="shared" si="73"/>
        <v>70</v>
      </c>
      <c r="M252" s="57">
        <f t="shared" si="74"/>
        <v>69</v>
      </c>
      <c r="N252" s="52">
        <f>VLOOKUP($A252,'Выгр Кат'!$A:$R,N$1,0)</f>
        <v>35</v>
      </c>
      <c r="O252" s="52">
        <f>VLOOKUP($A252,'Выгр Кат'!$A:$R,O$1,0)</f>
        <v>69</v>
      </c>
      <c r="P252" s="47">
        <f t="shared" si="75"/>
        <v>0</v>
      </c>
      <c r="Q252" s="47">
        <f t="shared" si="76"/>
        <v>0</v>
      </c>
      <c r="R252" s="58">
        <f t="shared" si="77"/>
        <v>69</v>
      </c>
      <c r="S252" s="59">
        <f t="shared" si="78"/>
        <v>0.97142857142857153</v>
      </c>
      <c r="T252" s="59" t="str">
        <f t="shared" si="79"/>
        <v/>
      </c>
      <c r="U252" s="59" t="str">
        <f t="shared" si="80"/>
        <v/>
      </c>
      <c r="V252" s="60"/>
      <c r="W252" s="69" t="str">
        <f>IFERROR((VLOOKUP($A252,'Из ГУГЛа'!$B:$Z,W$1,0)+Y252)*X252,VLOOKUP($A252,'Из ГУГЛа'!$B:$Z,W$1,0))</f>
        <v/>
      </c>
      <c r="X252" s="61">
        <v>1</v>
      </c>
      <c r="Y252" s="61">
        <v>0</v>
      </c>
      <c r="Z252" s="60" t="s">
        <v>4170</v>
      </c>
      <c r="AA252" s="60"/>
    </row>
    <row r="253" spans="1:27" ht="45" x14ac:dyDescent="0.25">
      <c r="A253" s="52">
        <v>164806</v>
      </c>
      <c r="B253" s="52">
        <f>VLOOKUP($A253,'Выгр Кат'!$A:$R,B$1,0)</f>
        <v>31252</v>
      </c>
      <c r="C253" s="53" t="str">
        <f>VLOOKUP($A253,'Выгр Кат'!$A:$R,C$1,0)</f>
        <v>Нaпpaвляющaя опускного стекла задней двери "АвтоВАЗ" правая для Шевроле Нива</v>
      </c>
      <c r="D253" s="52" t="str">
        <f>VLOOKUP($A253,'Выгр Кат'!$A:$R,D$1,0)</f>
        <v>Y</v>
      </c>
      <c r="E253" s="52" t="str">
        <f>VLOOKUP($A253,'Выгр Кат'!$A:$R,E$1,0)</f>
        <v>1</v>
      </c>
      <c r="F253" s="52" t="str">
        <f>VLOOKUP($A253,'Выгр Кат'!$A:$R,F$1,0)</f>
        <v>21230620324000</v>
      </c>
      <c r="G253" s="52" t="str">
        <f>IF(VLOOKUP($A253,'Выгр Кат'!$A:$R,G$1,0)=0,"",VLOOKUP($A253,'Выгр Кат'!$A:$R,G$1,0))</f>
        <v/>
      </c>
      <c r="H253" s="52"/>
      <c r="I253" s="52"/>
      <c r="J253" s="54">
        <f t="shared" si="72"/>
        <v>40</v>
      </c>
      <c r="K253" s="55">
        <f>VLOOKUP(J253,Наценка!$A$1:$B$8,2,1)</f>
        <v>2</v>
      </c>
      <c r="L253" s="56">
        <f t="shared" si="73"/>
        <v>80</v>
      </c>
      <c r="M253" s="57">
        <f t="shared" si="74"/>
        <v>79</v>
      </c>
      <c r="N253" s="52">
        <f>VLOOKUP($A253,'Выгр Кат'!$A:$R,N$1,0)</f>
        <v>40</v>
      </c>
      <c r="O253" s="52">
        <f>VLOOKUP($A253,'Выгр Кат'!$A:$R,O$1,0)</f>
        <v>79</v>
      </c>
      <c r="P253" s="47">
        <f t="shared" si="75"/>
        <v>0</v>
      </c>
      <c r="Q253" s="47">
        <f t="shared" si="76"/>
        <v>0</v>
      </c>
      <c r="R253" s="58">
        <f t="shared" si="77"/>
        <v>79</v>
      </c>
      <c r="S253" s="59">
        <f t="shared" si="78"/>
        <v>0.97500000000000009</v>
      </c>
      <c r="T253" s="59" t="str">
        <f t="shared" si="79"/>
        <v/>
      </c>
      <c r="U253" s="59" t="str">
        <f t="shared" si="80"/>
        <v/>
      </c>
      <c r="V253" s="60"/>
      <c r="W253" s="69" t="str">
        <f>IFERROR((VLOOKUP($A253,'Из ГУГЛа'!$B:$Z,W$1,0)+Y253)*X253,VLOOKUP($A253,'Из ГУГЛа'!$B:$Z,W$1,0))</f>
        <v/>
      </c>
      <c r="X253" s="61">
        <v>1</v>
      </c>
      <c r="Y253" s="61">
        <v>0</v>
      </c>
      <c r="Z253" s="60" t="s">
        <v>4170</v>
      </c>
      <c r="AA253" s="60"/>
    </row>
    <row r="254" spans="1:27" ht="30" x14ac:dyDescent="0.25">
      <c r="A254" s="52">
        <v>165357</v>
      </c>
      <c r="B254" s="52">
        <f>VLOOKUP($A254,'Выгр Кат'!$A:$R,B$1,0)</f>
        <v>50423</v>
      </c>
      <c r="C254" s="53" t="str">
        <f>VLOOKUP($A254,'Выгр Кат'!$A:$R,C$1,0)</f>
        <v>Надставка "АвтоВАЗ" щитка передка в сборе для Лада Веста, Веста Cross</v>
      </c>
      <c r="D254" s="52" t="str">
        <f>VLOOKUP($A254,'Выгр Кат'!$A:$R,D$1,0)</f>
        <v>Y</v>
      </c>
      <c r="E254" s="52" t="str">
        <f>VLOOKUP($A254,'Выгр Кат'!$A:$R,E$1,0)</f>
        <v>1</v>
      </c>
      <c r="F254" s="52" t="str">
        <f>VLOOKUP($A254,'Выгр Кат'!$A:$R,F$1,0)</f>
        <v>8450013993</v>
      </c>
      <c r="G254" s="52" t="str">
        <f>IF(VLOOKUP($A254,'Выгр Кат'!$A:$R,G$1,0)=0,"",VLOOKUP($A254,'Выгр Кат'!$A:$R,G$1,0))</f>
        <v/>
      </c>
      <c r="H254" s="52"/>
      <c r="I254" s="52"/>
      <c r="J254" s="54">
        <f t="shared" si="72"/>
        <v>662</v>
      </c>
      <c r="K254" s="55">
        <f>VLOOKUP(J254,Наценка!$A$1:$B$8,2,1)</f>
        <v>1.55</v>
      </c>
      <c r="L254" s="56">
        <f t="shared" si="73"/>
        <v>1026.1000000000001</v>
      </c>
      <c r="M254" s="57">
        <f t="shared" si="74"/>
        <v>1090</v>
      </c>
      <c r="N254" s="52">
        <f>VLOOKUP($A254,'Выгр Кат'!$A:$R,N$1,0)</f>
        <v>662</v>
      </c>
      <c r="O254" s="52">
        <f>VLOOKUP($A254,'Выгр Кат'!$A:$R,O$1,0)</f>
        <v>1090</v>
      </c>
      <c r="P254" s="47">
        <f t="shared" si="75"/>
        <v>0</v>
      </c>
      <c r="Q254" s="47">
        <f t="shared" si="76"/>
        <v>0</v>
      </c>
      <c r="R254" s="58">
        <f t="shared" si="77"/>
        <v>1090</v>
      </c>
      <c r="S254" s="59">
        <f t="shared" si="78"/>
        <v>0.6465256797583081</v>
      </c>
      <c r="T254" s="59" t="str">
        <f t="shared" si="79"/>
        <v/>
      </c>
      <c r="U254" s="59" t="str">
        <f t="shared" si="80"/>
        <v/>
      </c>
      <c r="V254" s="60"/>
      <c r="W254" s="69" t="str">
        <f>IFERROR((VLOOKUP($A254,'Из ГУГЛа'!$B:$Z,W$1,0)+Y254)*X254,VLOOKUP($A254,'Из ГУГЛа'!$B:$Z,W$1,0))</f>
        <v/>
      </c>
      <c r="X254" s="61">
        <v>1</v>
      </c>
      <c r="Y254" s="61">
        <v>0</v>
      </c>
      <c r="Z254" s="60" t="s">
        <v>4170</v>
      </c>
      <c r="AA254" s="60"/>
    </row>
    <row r="255" spans="1:27" ht="60" x14ac:dyDescent="0.25">
      <c r="A255" s="52">
        <v>165359</v>
      </c>
      <c r="B255" s="52">
        <f>VLOOKUP($A255,'Выгр Кат'!$A:$R,B$1,0)</f>
        <v>30975</v>
      </c>
      <c r="C255" s="53" t="str">
        <f>VLOOKUP($A255,'Выгр Кат'!$A:$R,C$1,0)</f>
        <v>Надставка боковины "АвтоВАЗ" верхняя, левая в сборе (катафорезное покрытие) для Лада Калина, Калина 2, Гранта FL универсал</v>
      </c>
      <c r="D255" s="52" t="str">
        <f>VLOOKUP($A255,'Выгр Кат'!$A:$R,D$1,0)</f>
        <v>Y</v>
      </c>
      <c r="E255" s="52" t="str">
        <f>VLOOKUP($A255,'Выгр Кат'!$A:$R,E$1,0)</f>
        <v>1</v>
      </c>
      <c r="F255" s="52" t="str">
        <f>VLOOKUP($A255,'Выгр Кат'!$A:$R,F$1,0)</f>
        <v>11170540106770</v>
      </c>
      <c r="G255" s="52" t="str">
        <f>IF(VLOOKUP($A255,'Выгр Кат'!$A:$R,G$1,0)=0,"",VLOOKUP($A255,'Выгр Кат'!$A:$R,G$1,0))</f>
        <v/>
      </c>
      <c r="H255" s="52"/>
      <c r="I255" s="52"/>
      <c r="J255" s="54">
        <f t="shared" si="72"/>
        <v>182</v>
      </c>
      <c r="K255" s="55">
        <f>VLOOKUP(J255,Наценка!$A$1:$B$8,2,1)</f>
        <v>1.8</v>
      </c>
      <c r="L255" s="56">
        <f t="shared" si="73"/>
        <v>327.60000000000002</v>
      </c>
      <c r="M255" s="57">
        <f t="shared" si="74"/>
        <v>329</v>
      </c>
      <c r="N255" s="52">
        <f>VLOOKUP($A255,'Выгр Кат'!$A:$R,N$1,0)</f>
        <v>182</v>
      </c>
      <c r="O255" s="52">
        <f>VLOOKUP($A255,'Выгр Кат'!$A:$R,O$1,0)</f>
        <v>329</v>
      </c>
      <c r="P255" s="47">
        <f t="shared" si="75"/>
        <v>0</v>
      </c>
      <c r="Q255" s="47">
        <f t="shared" si="76"/>
        <v>0</v>
      </c>
      <c r="R255" s="58">
        <f t="shared" si="77"/>
        <v>329</v>
      </c>
      <c r="S255" s="59">
        <f t="shared" si="78"/>
        <v>0.80769230769230771</v>
      </c>
      <c r="T255" s="59" t="str">
        <f t="shared" si="79"/>
        <v/>
      </c>
      <c r="U255" s="59" t="str">
        <f t="shared" si="80"/>
        <v/>
      </c>
      <c r="V255" s="60"/>
      <c r="W255" s="69" t="str">
        <f>IFERROR((VLOOKUP($A255,'Из ГУГЛа'!$B:$Z,W$1,0)+Y255)*X255,VLOOKUP($A255,'Из ГУГЛа'!$B:$Z,W$1,0))</f>
        <v/>
      </c>
      <c r="X255" s="61">
        <v>1</v>
      </c>
      <c r="Y255" s="61">
        <v>0</v>
      </c>
      <c r="Z255" s="60" t="s">
        <v>4170</v>
      </c>
      <c r="AA255" s="60"/>
    </row>
    <row r="256" spans="1:27" ht="45" x14ac:dyDescent="0.25">
      <c r="A256" s="52">
        <v>165360</v>
      </c>
      <c r="B256" s="52">
        <f>VLOOKUP($A256,'Выгр Кат'!$A:$R,B$1,0)</f>
        <v>30974</v>
      </c>
      <c r="C256" s="53" t="str">
        <f>VLOOKUP($A256,'Выгр Кат'!$A:$R,C$1,0)</f>
        <v>Надставка боковины "АвтоВАЗ" верхняя, левая в сборе для Лада Калина, Калина 2, Гранта FL универсал</v>
      </c>
      <c r="D256" s="52" t="str">
        <f>VLOOKUP($A256,'Выгр Кат'!$A:$R,D$1,0)</f>
        <v>Y</v>
      </c>
      <c r="E256" s="52" t="str">
        <f>VLOOKUP($A256,'Выгр Кат'!$A:$R,E$1,0)</f>
        <v>1</v>
      </c>
      <c r="F256" s="52" t="str">
        <f>VLOOKUP($A256,'Выгр Кат'!$A:$R,F$1,0)</f>
        <v>11170540106700</v>
      </c>
      <c r="G256" s="52" t="str">
        <f>IF(VLOOKUP($A256,'Выгр Кат'!$A:$R,G$1,0)=0,"",VLOOKUP($A256,'Выгр Кат'!$A:$R,G$1,0))</f>
        <v/>
      </c>
      <c r="H256" s="52"/>
      <c r="I256" s="52"/>
      <c r="J256" s="54">
        <f t="shared" si="72"/>
        <v>152</v>
      </c>
      <c r="K256" s="55">
        <f>VLOOKUP(J256,Наценка!$A$1:$B$8,2,1)</f>
        <v>1.8</v>
      </c>
      <c r="L256" s="56">
        <f t="shared" si="73"/>
        <v>273.60000000000002</v>
      </c>
      <c r="M256" s="57">
        <f t="shared" si="74"/>
        <v>279</v>
      </c>
      <c r="N256" s="52">
        <f>VLOOKUP($A256,'Выгр Кат'!$A:$R,N$1,0)</f>
        <v>152</v>
      </c>
      <c r="O256" s="52">
        <f>VLOOKUP($A256,'Выгр Кат'!$A:$R,O$1,0)</f>
        <v>279</v>
      </c>
      <c r="P256" s="47">
        <f t="shared" si="75"/>
        <v>0</v>
      </c>
      <c r="Q256" s="47">
        <f t="shared" si="76"/>
        <v>0</v>
      </c>
      <c r="R256" s="58">
        <f t="shared" si="77"/>
        <v>279</v>
      </c>
      <c r="S256" s="59">
        <f t="shared" si="78"/>
        <v>0.83552631578947367</v>
      </c>
      <c r="T256" s="59" t="str">
        <f t="shared" si="79"/>
        <v/>
      </c>
      <c r="U256" s="59" t="str">
        <f t="shared" si="80"/>
        <v/>
      </c>
      <c r="V256" s="60"/>
      <c r="W256" s="69" t="str">
        <f>IFERROR((VLOOKUP($A256,'Из ГУГЛа'!$B:$Z,W$1,0)+Y256)*X256,VLOOKUP($A256,'Из ГУГЛа'!$B:$Z,W$1,0))</f>
        <v/>
      </c>
      <c r="X256" s="61">
        <v>1</v>
      </c>
      <c r="Y256" s="61">
        <v>0</v>
      </c>
      <c r="Z256" s="60" t="s">
        <v>4170</v>
      </c>
      <c r="AA256" s="60"/>
    </row>
    <row r="257" spans="1:27" ht="60" x14ac:dyDescent="0.25">
      <c r="A257" s="52">
        <v>165361</v>
      </c>
      <c r="B257" s="52">
        <f>VLOOKUP($A257,'Выгр Кат'!$A:$R,B$1,0)</f>
        <v>30973</v>
      </c>
      <c r="C257" s="53" t="str">
        <f>VLOOKUP($A257,'Выгр Кат'!$A:$R,C$1,0)</f>
        <v>Надставка боковины "АвтоВАЗ" верхняя, правая в сборе (катафорезное покрытие) для Лада Калина, Калина 2, Гранта FL универсал</v>
      </c>
      <c r="D257" s="52" t="str">
        <f>VLOOKUP($A257,'Выгр Кат'!$A:$R,D$1,0)</f>
        <v>Y</v>
      </c>
      <c r="E257" s="52" t="str">
        <f>VLOOKUP($A257,'Выгр Кат'!$A:$R,E$1,0)</f>
        <v>1</v>
      </c>
      <c r="F257" s="52" t="str">
        <f>VLOOKUP($A257,'Выгр Кат'!$A:$R,F$1,0)</f>
        <v>11170540106670</v>
      </c>
      <c r="G257" s="52" t="str">
        <f>IF(VLOOKUP($A257,'Выгр Кат'!$A:$R,G$1,0)=0,"",VLOOKUP($A257,'Выгр Кат'!$A:$R,G$1,0))</f>
        <v/>
      </c>
      <c r="H257" s="52"/>
      <c r="I257" s="52"/>
      <c r="J257" s="54">
        <f t="shared" si="72"/>
        <v>181</v>
      </c>
      <c r="K257" s="55">
        <f>VLOOKUP(J257,Наценка!$A$1:$B$8,2,1)</f>
        <v>1.8</v>
      </c>
      <c r="L257" s="56">
        <f t="shared" si="73"/>
        <v>325.8</v>
      </c>
      <c r="M257" s="57">
        <f t="shared" si="74"/>
        <v>329</v>
      </c>
      <c r="N257" s="52">
        <f>VLOOKUP($A257,'Выгр Кат'!$A:$R,N$1,0)</f>
        <v>181</v>
      </c>
      <c r="O257" s="52">
        <f>VLOOKUP($A257,'Выгр Кат'!$A:$R,O$1,0)</f>
        <v>329</v>
      </c>
      <c r="P257" s="47">
        <f t="shared" si="75"/>
        <v>0</v>
      </c>
      <c r="Q257" s="47">
        <f t="shared" si="76"/>
        <v>0</v>
      </c>
      <c r="R257" s="58">
        <f t="shared" si="77"/>
        <v>329</v>
      </c>
      <c r="S257" s="59">
        <f t="shared" si="78"/>
        <v>0.81767955801104963</v>
      </c>
      <c r="T257" s="59" t="str">
        <f t="shared" si="79"/>
        <v/>
      </c>
      <c r="U257" s="59" t="str">
        <f t="shared" si="80"/>
        <v/>
      </c>
      <c r="V257" s="60"/>
      <c r="W257" s="69" t="str">
        <f>IFERROR((VLOOKUP($A257,'Из ГУГЛа'!$B:$Z,W$1,0)+Y257)*X257,VLOOKUP($A257,'Из ГУГЛа'!$B:$Z,W$1,0))</f>
        <v/>
      </c>
      <c r="X257" s="61">
        <v>1</v>
      </c>
      <c r="Y257" s="61">
        <v>0</v>
      </c>
      <c r="Z257" s="60" t="s">
        <v>4170</v>
      </c>
      <c r="AA257" s="60"/>
    </row>
    <row r="258" spans="1:27" ht="45" x14ac:dyDescent="0.25">
      <c r="A258" s="52">
        <v>165362</v>
      </c>
      <c r="B258" s="52">
        <f>VLOOKUP($A258,'Выгр Кат'!$A:$R,B$1,0)</f>
        <v>30972</v>
      </c>
      <c r="C258" s="53" t="str">
        <f>VLOOKUP($A258,'Выгр Кат'!$A:$R,C$1,0)</f>
        <v>Надставка боковины "АвтоВАЗ" верхняя, правая в сборе для Лада Калина, Калина 2, Гранта FL универсал</v>
      </c>
      <c r="D258" s="52" t="str">
        <f>VLOOKUP($A258,'Выгр Кат'!$A:$R,D$1,0)</f>
        <v>Y</v>
      </c>
      <c r="E258" s="52" t="str">
        <f>VLOOKUP($A258,'Выгр Кат'!$A:$R,E$1,0)</f>
        <v>1</v>
      </c>
      <c r="F258" s="52" t="str">
        <f>VLOOKUP($A258,'Выгр Кат'!$A:$R,F$1,0)</f>
        <v>11170540106600</v>
      </c>
      <c r="G258" s="52" t="str">
        <f>IF(VLOOKUP($A258,'Выгр Кат'!$A:$R,G$1,0)=0,"",VLOOKUP($A258,'Выгр Кат'!$A:$R,G$1,0))</f>
        <v/>
      </c>
      <c r="H258" s="52"/>
      <c r="I258" s="52"/>
      <c r="J258" s="54">
        <f t="shared" si="72"/>
        <v>116</v>
      </c>
      <c r="K258" s="55">
        <f>VLOOKUP(J258,Наценка!$A$1:$B$8,2,1)</f>
        <v>1.8</v>
      </c>
      <c r="L258" s="56">
        <f t="shared" si="73"/>
        <v>208.8</v>
      </c>
      <c r="M258" s="57">
        <f t="shared" si="74"/>
        <v>209</v>
      </c>
      <c r="N258" s="52">
        <f>VLOOKUP($A258,'Выгр Кат'!$A:$R,N$1,0)</f>
        <v>116</v>
      </c>
      <c r="O258" s="52">
        <f>VLOOKUP($A258,'Выгр Кат'!$A:$R,O$1,0)</f>
        <v>209</v>
      </c>
      <c r="P258" s="47">
        <f t="shared" si="75"/>
        <v>0</v>
      </c>
      <c r="Q258" s="47">
        <f t="shared" si="76"/>
        <v>0</v>
      </c>
      <c r="R258" s="58">
        <f t="shared" si="77"/>
        <v>209</v>
      </c>
      <c r="S258" s="59">
        <f t="shared" si="78"/>
        <v>0.80172413793103448</v>
      </c>
      <c r="T258" s="59" t="str">
        <f t="shared" si="79"/>
        <v/>
      </c>
      <c r="U258" s="59" t="str">
        <f t="shared" si="80"/>
        <v/>
      </c>
      <c r="V258" s="60"/>
      <c r="W258" s="69" t="str">
        <f>IFERROR((VLOOKUP($A258,'Из ГУГЛа'!$B:$Z,W$1,0)+Y258)*X258,VLOOKUP($A258,'Из ГУГЛа'!$B:$Z,W$1,0))</f>
        <v/>
      </c>
      <c r="X258" s="61">
        <v>1</v>
      </c>
      <c r="Y258" s="61">
        <v>0</v>
      </c>
      <c r="Z258" s="60" t="s">
        <v>4170</v>
      </c>
      <c r="AA258" s="60"/>
    </row>
    <row r="259" spans="1:27" ht="30" x14ac:dyDescent="0.25">
      <c r="A259" s="52">
        <v>165363</v>
      </c>
      <c r="B259" s="52">
        <f>VLOOKUP($A259,'Выгр Кат'!$A:$R,B$1,0)</f>
        <v>31429</v>
      </c>
      <c r="C259" s="53" t="str">
        <f>VLOOKUP($A259,'Выгр Кат'!$A:$R,C$1,0)</f>
        <v>Надставка боковины "АвтоВАЗ" правая в сборе для ВАЗ 2108-21099, 2113-2115</v>
      </c>
      <c r="D259" s="52" t="str">
        <f>VLOOKUP($A259,'Выгр Кат'!$A:$R,D$1,0)</f>
        <v>Y</v>
      </c>
      <c r="E259" s="52" t="str">
        <f>VLOOKUP($A259,'Выгр Кат'!$A:$R,E$1,0)</f>
        <v>1</v>
      </c>
      <c r="F259" s="52" t="str">
        <f>VLOOKUP($A259,'Выгр Кат'!$A:$R,F$1,0)</f>
        <v>21080540114400</v>
      </c>
      <c r="G259" s="52" t="str">
        <f>IF(VLOOKUP($A259,'Выгр Кат'!$A:$R,G$1,0)=0,"",VLOOKUP($A259,'Выгр Кат'!$A:$R,G$1,0))</f>
        <v/>
      </c>
      <c r="H259" s="52"/>
      <c r="I259" s="52"/>
      <c r="J259" s="54">
        <f t="shared" si="72"/>
        <v>378</v>
      </c>
      <c r="K259" s="55">
        <f>VLOOKUP(J259,Наценка!$A$1:$B$8,2,1)</f>
        <v>1.6</v>
      </c>
      <c r="L259" s="56">
        <f t="shared" si="73"/>
        <v>604.80000000000007</v>
      </c>
      <c r="M259" s="57">
        <f t="shared" si="74"/>
        <v>609</v>
      </c>
      <c r="N259" s="52">
        <f>VLOOKUP($A259,'Выгр Кат'!$A:$R,N$1,0)</f>
        <v>378</v>
      </c>
      <c r="O259" s="52">
        <f>VLOOKUP($A259,'Выгр Кат'!$A:$R,O$1,0)</f>
        <v>609</v>
      </c>
      <c r="P259" s="47">
        <f t="shared" si="75"/>
        <v>0</v>
      </c>
      <c r="Q259" s="47">
        <f t="shared" si="76"/>
        <v>0</v>
      </c>
      <c r="R259" s="58">
        <f t="shared" si="77"/>
        <v>609</v>
      </c>
      <c r="S259" s="59">
        <f t="shared" si="78"/>
        <v>0.61111111111111116</v>
      </c>
      <c r="T259" s="59" t="str">
        <f t="shared" si="79"/>
        <v/>
      </c>
      <c r="U259" s="59" t="str">
        <f t="shared" si="80"/>
        <v/>
      </c>
      <c r="V259" s="60"/>
      <c r="W259" s="69" t="str">
        <f>IFERROR((VLOOKUP($A259,'Из ГУГЛа'!$B:$Z,W$1,0)+Y259)*X259,VLOOKUP($A259,'Из ГУГЛа'!$B:$Z,W$1,0))</f>
        <v/>
      </c>
      <c r="X259" s="61">
        <v>1</v>
      </c>
      <c r="Y259" s="61">
        <v>0</v>
      </c>
      <c r="Z259" s="60" t="s">
        <v>4170</v>
      </c>
      <c r="AA259" s="60"/>
    </row>
    <row r="260" spans="1:27" ht="30" x14ac:dyDescent="0.25">
      <c r="A260" s="52">
        <v>165364</v>
      </c>
      <c r="B260" s="52">
        <f>VLOOKUP($A260,'Выгр Кат'!$A:$R,B$1,0)</f>
        <v>32783</v>
      </c>
      <c r="C260" s="53" t="str">
        <f>VLOOKUP($A260,'Выгр Кат'!$A:$R,C$1,0)</f>
        <v>Надставка боковины верхняя "АвтоВАЗ" левая в сборе для ВАЗ 2111</v>
      </c>
      <c r="D260" s="52" t="str">
        <f>VLOOKUP($A260,'Выгр Кат'!$A:$R,D$1,0)</f>
        <v>Y</v>
      </c>
      <c r="E260" s="52" t="str">
        <f>VLOOKUP($A260,'Выгр Кат'!$A:$R,E$1,0)</f>
        <v>1</v>
      </c>
      <c r="F260" s="52" t="str">
        <f>VLOOKUP($A260,'Выгр Кат'!$A:$R,F$1,0)</f>
        <v>21110540107300</v>
      </c>
      <c r="G260" s="52" t="str">
        <f>IF(VLOOKUP($A260,'Выгр Кат'!$A:$R,G$1,0)=0,"",VLOOKUP($A260,'Выгр Кат'!$A:$R,G$1,0))</f>
        <v/>
      </c>
      <c r="H260" s="52"/>
      <c r="I260" s="52"/>
      <c r="J260" s="54">
        <f t="shared" si="72"/>
        <v>37</v>
      </c>
      <c r="K260" s="55">
        <f>VLOOKUP(J260,Наценка!$A$1:$B$8,2,1)</f>
        <v>2</v>
      </c>
      <c r="L260" s="56">
        <f t="shared" si="73"/>
        <v>74</v>
      </c>
      <c r="M260" s="57">
        <f t="shared" si="74"/>
        <v>79</v>
      </c>
      <c r="N260" s="52">
        <f>VLOOKUP($A260,'Выгр Кат'!$A:$R,N$1,0)</f>
        <v>37</v>
      </c>
      <c r="O260" s="52">
        <f>VLOOKUP($A260,'Выгр Кат'!$A:$R,O$1,0)</f>
        <v>79</v>
      </c>
      <c r="P260" s="47">
        <f t="shared" si="75"/>
        <v>0</v>
      </c>
      <c r="Q260" s="47">
        <f t="shared" si="76"/>
        <v>0</v>
      </c>
      <c r="R260" s="58">
        <f t="shared" si="77"/>
        <v>79</v>
      </c>
      <c r="S260" s="59">
        <f t="shared" si="78"/>
        <v>1.1351351351351351</v>
      </c>
      <c r="T260" s="59" t="str">
        <f t="shared" si="79"/>
        <v/>
      </c>
      <c r="U260" s="59" t="str">
        <f t="shared" si="80"/>
        <v/>
      </c>
      <c r="V260" s="60"/>
      <c r="W260" s="69" t="str">
        <f>IFERROR((VLOOKUP($A260,'Из ГУГЛа'!$B:$Z,W$1,0)+Y260)*X260,VLOOKUP($A260,'Из ГУГЛа'!$B:$Z,W$1,0))</f>
        <v/>
      </c>
      <c r="X260" s="61">
        <v>1</v>
      </c>
      <c r="Y260" s="61">
        <v>0</v>
      </c>
      <c r="Z260" s="60" t="s">
        <v>4170</v>
      </c>
      <c r="AA260" s="60"/>
    </row>
    <row r="261" spans="1:27" ht="45" x14ac:dyDescent="0.25">
      <c r="A261" s="52">
        <v>165365</v>
      </c>
      <c r="B261" s="52">
        <f>VLOOKUP($A261,'Выгр Кат'!$A:$R,B$1,0)</f>
        <v>32706</v>
      </c>
      <c r="C261" s="53" t="str">
        <f>VLOOKUP($A261,'Выгр Кат'!$A:$R,C$1,0)</f>
        <v>Надставка боковины верхняя "АвтоВАЗ" левая в сборе для Лада Гранта лифтбек</v>
      </c>
      <c r="D261" s="52" t="str">
        <f>VLOOKUP($A261,'Выгр Кат'!$A:$R,D$1,0)</f>
        <v>Y</v>
      </c>
      <c r="E261" s="52" t="str">
        <f>VLOOKUP($A261,'Выгр Кат'!$A:$R,E$1,0)</f>
        <v>1</v>
      </c>
      <c r="F261" s="52" t="str">
        <f>VLOOKUP($A261,'Выгр Кат'!$A:$R,F$1,0)</f>
        <v>21910540106700</v>
      </c>
      <c r="G261" s="52" t="str">
        <f>IF(VLOOKUP($A261,'Выгр Кат'!$A:$R,G$1,0)=0,"",VLOOKUP($A261,'Выгр Кат'!$A:$R,G$1,0))</f>
        <v/>
      </c>
      <c r="H261" s="52"/>
      <c r="I261" s="52"/>
      <c r="J261" s="54">
        <f t="shared" si="72"/>
        <v>669</v>
      </c>
      <c r="K261" s="55">
        <f>VLOOKUP(J261,Наценка!$A$1:$B$8,2,1)</f>
        <v>1.55</v>
      </c>
      <c r="L261" s="56">
        <f t="shared" si="73"/>
        <v>1036.95</v>
      </c>
      <c r="M261" s="57">
        <f t="shared" si="74"/>
        <v>1090</v>
      </c>
      <c r="N261" s="52">
        <f>VLOOKUP($A261,'Выгр Кат'!$A:$R,N$1,0)</f>
        <v>669</v>
      </c>
      <c r="O261" s="52">
        <f>VLOOKUP($A261,'Выгр Кат'!$A:$R,O$1,0)</f>
        <v>1090</v>
      </c>
      <c r="P261" s="47">
        <f t="shared" si="75"/>
        <v>0</v>
      </c>
      <c r="Q261" s="47">
        <f t="shared" si="76"/>
        <v>0</v>
      </c>
      <c r="R261" s="58">
        <f t="shared" si="77"/>
        <v>1090</v>
      </c>
      <c r="S261" s="59">
        <f t="shared" si="78"/>
        <v>0.62929745889387134</v>
      </c>
      <c r="T261" s="59" t="str">
        <f t="shared" si="79"/>
        <v/>
      </c>
      <c r="U261" s="59" t="str">
        <f t="shared" si="80"/>
        <v/>
      </c>
      <c r="V261" s="60"/>
      <c r="W261" s="69" t="str">
        <f>IFERROR((VLOOKUP($A261,'Из ГУГЛа'!$B:$Z,W$1,0)+Y261)*X261,VLOOKUP($A261,'Из ГУГЛа'!$B:$Z,W$1,0))</f>
        <v/>
      </c>
      <c r="X261" s="61">
        <v>1</v>
      </c>
      <c r="Y261" s="61">
        <v>0</v>
      </c>
      <c r="Z261" s="60" t="s">
        <v>4170</v>
      </c>
      <c r="AA261" s="60"/>
    </row>
    <row r="262" spans="1:27" ht="30" x14ac:dyDescent="0.25">
      <c r="A262" s="52">
        <v>165366</v>
      </c>
      <c r="B262" s="52">
        <f>VLOOKUP($A262,'Выгр Кат'!$A:$R,B$1,0)</f>
        <v>32782</v>
      </c>
      <c r="C262" s="53" t="str">
        <f>VLOOKUP($A262,'Выгр Кат'!$A:$R,C$1,0)</f>
        <v>Надставка боковины верхняя "АвтоВАЗ" правая в сборе для ВАЗ 2111</v>
      </c>
      <c r="D262" s="52" t="str">
        <f>VLOOKUP($A262,'Выгр Кат'!$A:$R,D$1,0)</f>
        <v>Y</v>
      </c>
      <c r="E262" s="52" t="str">
        <f>VLOOKUP($A262,'Выгр Кат'!$A:$R,E$1,0)</f>
        <v>1</v>
      </c>
      <c r="F262" s="52" t="str">
        <f>VLOOKUP($A262,'Выгр Кат'!$A:$R,F$1,0)</f>
        <v>21110540107200</v>
      </c>
      <c r="G262" s="52" t="str">
        <f>IF(VLOOKUP($A262,'Выгр Кат'!$A:$R,G$1,0)=0,"",VLOOKUP($A262,'Выгр Кат'!$A:$R,G$1,0))</f>
        <v/>
      </c>
      <c r="H262" s="52"/>
      <c r="I262" s="52"/>
      <c r="J262" s="54">
        <f t="shared" si="72"/>
        <v>37</v>
      </c>
      <c r="K262" s="55">
        <f>VLOOKUP(J262,Наценка!$A$1:$B$8,2,1)</f>
        <v>2</v>
      </c>
      <c r="L262" s="56">
        <f t="shared" si="73"/>
        <v>74</v>
      </c>
      <c r="M262" s="57">
        <f t="shared" si="74"/>
        <v>79</v>
      </c>
      <c r="N262" s="52">
        <f>VLOOKUP($A262,'Выгр Кат'!$A:$R,N$1,0)</f>
        <v>37</v>
      </c>
      <c r="O262" s="52">
        <f>VLOOKUP($A262,'Выгр Кат'!$A:$R,O$1,0)</f>
        <v>79</v>
      </c>
      <c r="P262" s="47">
        <f t="shared" si="75"/>
        <v>0</v>
      </c>
      <c r="Q262" s="47">
        <f t="shared" si="76"/>
        <v>0</v>
      </c>
      <c r="R262" s="58">
        <f t="shared" si="77"/>
        <v>79</v>
      </c>
      <c r="S262" s="59">
        <f t="shared" si="78"/>
        <v>1.1351351351351351</v>
      </c>
      <c r="T262" s="59" t="str">
        <f t="shared" si="79"/>
        <v/>
      </c>
      <c r="U262" s="59" t="str">
        <f t="shared" si="80"/>
        <v/>
      </c>
      <c r="V262" s="60"/>
      <c r="W262" s="69" t="str">
        <f>IFERROR((VLOOKUP($A262,'Из ГУГЛа'!$B:$Z,W$1,0)+Y262)*X262,VLOOKUP($A262,'Из ГУГЛа'!$B:$Z,W$1,0))</f>
        <v/>
      </c>
      <c r="X262" s="61">
        <v>1</v>
      </c>
      <c r="Y262" s="61">
        <v>0</v>
      </c>
      <c r="Z262" s="60" t="s">
        <v>4170</v>
      </c>
      <c r="AA262" s="60"/>
    </row>
    <row r="263" spans="1:27" ht="45" x14ac:dyDescent="0.25">
      <c r="A263" s="52">
        <v>165368</v>
      </c>
      <c r="B263" s="52">
        <f>VLOOKUP($A263,'Выгр Кат'!$A:$R,B$1,0)</f>
        <v>50192</v>
      </c>
      <c r="C263" s="53" t="str">
        <f>VLOOKUP($A263,'Выгр Кат'!$A:$R,C$1,0)</f>
        <v>Надставка заднего крыла "АвтоВАЗ" правая (катафорез) для Лада Гранта, Гранта FL</v>
      </c>
      <c r="D263" s="52" t="str">
        <f>VLOOKUP($A263,'Выгр Кат'!$A:$R,D$1,0)</f>
        <v>Y</v>
      </c>
      <c r="E263" s="52" t="str">
        <f>VLOOKUP($A263,'Выгр Кат'!$A:$R,E$1,0)</f>
        <v>1</v>
      </c>
      <c r="F263" s="52" t="str">
        <f>VLOOKUP($A263,'Выгр Кат'!$A:$R,F$1,0)</f>
        <v>21910840404470</v>
      </c>
      <c r="G263" s="52" t="str">
        <f>IF(VLOOKUP($A263,'Выгр Кат'!$A:$R,G$1,0)=0,"",VLOOKUP($A263,'Выгр Кат'!$A:$R,G$1,0))</f>
        <v>https://motorring.ru/product/5159-nadstavka-zadnego-kryla-pravaya-kataforez-granta-liftback</v>
      </c>
      <c r="H263" s="52"/>
      <c r="I263" s="52"/>
      <c r="J263" s="54">
        <f t="shared" si="72"/>
        <v>1147</v>
      </c>
      <c r="K263" s="55">
        <f>VLOOKUP(J263,Наценка!$A$1:$B$8,2,1)</f>
        <v>1.5</v>
      </c>
      <c r="L263" s="56">
        <f t="shared" si="73"/>
        <v>1720.5</v>
      </c>
      <c r="M263" s="57">
        <f t="shared" si="74"/>
        <v>1790</v>
      </c>
      <c r="N263" s="52">
        <f>VLOOKUP($A263,'Выгр Кат'!$A:$R,N$1,0)</f>
        <v>1147</v>
      </c>
      <c r="O263" s="52">
        <f>VLOOKUP($A263,'Выгр Кат'!$A:$R,O$1,0)</f>
        <v>1790</v>
      </c>
      <c r="P263" s="47">
        <f t="shared" si="75"/>
        <v>0</v>
      </c>
      <c r="Q263" s="47">
        <f t="shared" si="76"/>
        <v>0</v>
      </c>
      <c r="R263" s="58">
        <f t="shared" si="77"/>
        <v>1790</v>
      </c>
      <c r="S263" s="59">
        <f t="shared" si="78"/>
        <v>0.56059285091543165</v>
      </c>
      <c r="T263" s="59">
        <f t="shared" si="79"/>
        <v>-5.9171597633136092E-2</v>
      </c>
      <c r="U263" s="59">
        <f t="shared" si="80"/>
        <v>0.47340889276373144</v>
      </c>
      <c r="V263" s="42">
        <f t="shared" ref="V263:V267" si="81">Z263</f>
        <v>1690</v>
      </c>
      <c r="W263" s="69">
        <f>IFERROR((VLOOKUP($A263,'Из ГУГЛа'!$B:$Z,W$1,0)+Y263)*X263,VLOOKUP($A263,'Из ГУГЛа'!$B:$Z,W$1,0))</f>
        <v>1690</v>
      </c>
      <c r="X263" s="61">
        <v>1</v>
      </c>
      <c r="Y263" s="61">
        <v>0</v>
      </c>
      <c r="Z263" s="70">
        <v>1690</v>
      </c>
      <c r="AA263" s="60" t="s">
        <v>711</v>
      </c>
    </row>
    <row r="264" spans="1:27" ht="45" x14ac:dyDescent="0.25">
      <c r="A264" s="52">
        <v>165369</v>
      </c>
      <c r="B264" s="52">
        <f>VLOOKUP($A264,'Выгр Кат'!$A:$R,B$1,0)</f>
        <v>31152</v>
      </c>
      <c r="C264" s="53" t="str">
        <f>VLOOKUP($A264,'Выгр Кат'!$A:$R,C$1,0)</f>
        <v>Надставка заднего пола левая (катафорез) "АвтоВАЗ" для Лада Веста седан</v>
      </c>
      <c r="D264" s="52" t="str">
        <f>VLOOKUP($A264,'Выгр Кат'!$A:$R,D$1,0)</f>
        <v>Y</v>
      </c>
      <c r="E264" s="52" t="str">
        <f>VLOOKUP($A264,'Выгр Кат'!$A:$R,E$1,0)</f>
        <v>1</v>
      </c>
      <c r="F264" s="52" t="str">
        <f>VLOOKUP($A264,'Выгр Кат'!$A:$R,F$1,0)</f>
        <v>8450039362</v>
      </c>
      <c r="G264" s="52" t="str">
        <f>IF(VLOOKUP($A264,'Выгр Кат'!$A:$R,G$1,0)=0,"",VLOOKUP($A264,'Выгр Кат'!$A:$R,G$1,0))</f>
        <v>https://motorring.ru/product/36829-nadstavka-zadnego-pola-levaya-karman-dlya-lada-vesta</v>
      </c>
      <c r="H264" s="52"/>
      <c r="I264" s="52"/>
      <c r="J264" s="54">
        <f t="shared" si="72"/>
        <v>312</v>
      </c>
      <c r="K264" s="55">
        <f>VLOOKUP(J264,Наценка!$A$1:$B$8,2,1)</f>
        <v>1.6</v>
      </c>
      <c r="L264" s="56">
        <f t="shared" si="73"/>
        <v>499.20000000000005</v>
      </c>
      <c r="M264" s="57">
        <f t="shared" si="74"/>
        <v>499</v>
      </c>
      <c r="N264" s="52">
        <f>VLOOKUP($A264,'Выгр Кат'!$A:$R,N$1,0)</f>
        <v>312</v>
      </c>
      <c r="O264" s="52">
        <f>VLOOKUP($A264,'Выгр Кат'!$A:$R,O$1,0)</f>
        <v>499</v>
      </c>
      <c r="P264" s="47">
        <f t="shared" si="75"/>
        <v>0</v>
      </c>
      <c r="Q264" s="47">
        <f t="shared" si="76"/>
        <v>0</v>
      </c>
      <c r="R264" s="58">
        <f t="shared" si="77"/>
        <v>499</v>
      </c>
      <c r="S264" s="59">
        <f t="shared" si="78"/>
        <v>0.59935897435897445</v>
      </c>
      <c r="T264" s="59">
        <f t="shared" si="79"/>
        <v>0.15423728813559323</v>
      </c>
      <c r="U264" s="59">
        <f t="shared" si="80"/>
        <v>0.89102564102564097</v>
      </c>
      <c r="V264" s="42">
        <f t="shared" si="81"/>
        <v>590</v>
      </c>
      <c r="W264" s="69">
        <f>IFERROR((VLOOKUP($A264,'Из ГУГЛа'!$B:$Z,W$1,0)+Y264)*X264,VLOOKUP($A264,'Из ГУГЛа'!$B:$Z,W$1,0))</f>
        <v>590</v>
      </c>
      <c r="X264" s="61">
        <v>1</v>
      </c>
      <c r="Y264" s="61">
        <v>0</v>
      </c>
      <c r="Z264" s="70">
        <v>590</v>
      </c>
      <c r="AA264" s="60" t="s">
        <v>714</v>
      </c>
    </row>
    <row r="265" spans="1:27" ht="30" x14ac:dyDescent="0.25">
      <c r="A265" s="52">
        <v>165370</v>
      </c>
      <c r="B265" s="52">
        <f>VLOOKUP($A265,'Выгр Кат'!$A:$R,B$1,0)</f>
        <v>31151</v>
      </c>
      <c r="C265" s="53" t="str">
        <f>VLOOKUP($A265,'Выгр Кат'!$A:$R,C$1,0)</f>
        <v>Надставка заднего пола передняя (катафорез) "АвтоВАЗ" для Лада Веста</v>
      </c>
      <c r="D265" s="52" t="str">
        <f>VLOOKUP($A265,'Выгр Кат'!$A:$R,D$1,0)</f>
        <v>Y</v>
      </c>
      <c r="E265" s="52" t="str">
        <f>VLOOKUP($A265,'Выгр Кат'!$A:$R,E$1,0)</f>
        <v>1</v>
      </c>
      <c r="F265" s="52" t="str">
        <f>VLOOKUP($A265,'Выгр Кат'!$A:$R,F$1,0)</f>
        <v>8450039372</v>
      </c>
      <c r="G265" s="52" t="str">
        <f>IF(VLOOKUP($A265,'Выгр Кат'!$A:$R,G$1,0)=0,"",VLOOKUP($A265,'Выгр Кат'!$A:$R,G$1,0))</f>
        <v>https://motorring.ru/product/36828-nadstavka-zadnego-pola-srednyaya-dlya-lada-vesta</v>
      </c>
      <c r="H265" s="52"/>
      <c r="I265" s="52"/>
      <c r="J265" s="54">
        <f t="shared" si="72"/>
        <v>1212</v>
      </c>
      <c r="K265" s="55">
        <f>VLOOKUP(J265,Наценка!$A$1:$B$8,2,1)</f>
        <v>1.5</v>
      </c>
      <c r="L265" s="56">
        <f t="shared" si="73"/>
        <v>1818</v>
      </c>
      <c r="M265" s="57">
        <f t="shared" si="74"/>
        <v>1890</v>
      </c>
      <c r="N265" s="52">
        <f>VLOOKUP($A265,'Выгр Кат'!$A:$R,N$1,0)</f>
        <v>1212</v>
      </c>
      <c r="O265" s="52">
        <f>VLOOKUP($A265,'Выгр Кат'!$A:$R,O$1,0)</f>
        <v>1890</v>
      </c>
      <c r="P265" s="47">
        <f t="shared" si="75"/>
        <v>0</v>
      </c>
      <c r="Q265" s="47">
        <f t="shared" si="76"/>
        <v>0</v>
      </c>
      <c r="R265" s="58">
        <f t="shared" si="77"/>
        <v>1890</v>
      </c>
      <c r="S265" s="59">
        <f t="shared" si="78"/>
        <v>0.55940594059405946</v>
      </c>
      <c r="T265" s="59">
        <f t="shared" si="79"/>
        <v>-0.26845637583892618</v>
      </c>
      <c r="U265" s="59">
        <f t="shared" si="80"/>
        <v>0.22937293729372943</v>
      </c>
      <c r="V265" s="42">
        <f t="shared" si="81"/>
        <v>1490</v>
      </c>
      <c r="W265" s="69">
        <f>IFERROR((VLOOKUP($A265,'Из ГУГЛа'!$B:$Z,W$1,0)+Y265)*X265,VLOOKUP($A265,'Из ГУГЛа'!$B:$Z,W$1,0))</f>
        <v>1490</v>
      </c>
      <c r="X265" s="61">
        <v>1</v>
      </c>
      <c r="Y265" s="61">
        <v>0</v>
      </c>
      <c r="Z265" s="70">
        <v>1490</v>
      </c>
      <c r="AA265" s="60" t="s">
        <v>717</v>
      </c>
    </row>
    <row r="266" spans="1:27" ht="45" x14ac:dyDescent="0.25">
      <c r="A266" s="52">
        <v>165371</v>
      </c>
      <c r="B266" s="52">
        <f>VLOOKUP($A266,'Выгр Кат'!$A:$R,B$1,0)</f>
        <v>31153</v>
      </c>
      <c r="C266" s="53" t="str">
        <f>VLOOKUP($A266,'Выгр Кат'!$A:$R,C$1,0)</f>
        <v>Надставка заднего пола правая (катафорез) "АвтоВАЗ" для Лада Веста седан</v>
      </c>
      <c r="D266" s="52" t="str">
        <f>VLOOKUP($A266,'Выгр Кат'!$A:$R,D$1,0)</f>
        <v>Y</v>
      </c>
      <c r="E266" s="52" t="str">
        <f>VLOOKUP($A266,'Выгр Кат'!$A:$R,E$1,0)</f>
        <v>1</v>
      </c>
      <c r="F266" s="52" t="str">
        <f>VLOOKUP($A266,'Выгр Кат'!$A:$R,F$1,0)</f>
        <v>8450039361</v>
      </c>
      <c r="G266" s="52" t="str">
        <f>IF(VLOOKUP($A266,'Выгр Кат'!$A:$R,G$1,0)=0,"",VLOOKUP($A266,'Выгр Кат'!$A:$R,G$1,0))</f>
        <v>https://motorring.ru/product/36830-nadstavka-zadnego-pola-pravaya-karman-dlya-lada-vesta</v>
      </c>
      <c r="H266" s="52"/>
      <c r="I266" s="52"/>
      <c r="J266" s="54">
        <f t="shared" si="72"/>
        <v>166</v>
      </c>
      <c r="K266" s="55">
        <f>VLOOKUP(J266,Наценка!$A$1:$B$8,2,1)</f>
        <v>1.8</v>
      </c>
      <c r="L266" s="56">
        <f t="shared" si="73"/>
        <v>298.8</v>
      </c>
      <c r="M266" s="57">
        <f t="shared" si="74"/>
        <v>299</v>
      </c>
      <c r="N266" s="52">
        <f>VLOOKUP($A266,'Выгр Кат'!$A:$R,N$1,0)</f>
        <v>166</v>
      </c>
      <c r="O266" s="52">
        <f>VLOOKUP($A266,'Выгр Кат'!$A:$R,O$1,0)</f>
        <v>299</v>
      </c>
      <c r="P266" s="47">
        <f t="shared" si="75"/>
        <v>0</v>
      </c>
      <c r="Q266" s="47">
        <f t="shared" si="76"/>
        <v>0</v>
      </c>
      <c r="R266" s="58">
        <f t="shared" si="77"/>
        <v>299</v>
      </c>
      <c r="S266" s="59">
        <f t="shared" si="78"/>
        <v>0.8012048192771084</v>
      </c>
      <c r="T266" s="59">
        <f t="shared" si="79"/>
        <v>0.49322033898305084</v>
      </c>
      <c r="U266" s="59">
        <f t="shared" si="80"/>
        <v>2.5542168674698793</v>
      </c>
      <c r="V266" s="42">
        <f t="shared" si="81"/>
        <v>590</v>
      </c>
      <c r="W266" s="69">
        <f>IFERROR((VLOOKUP($A266,'Из ГУГЛа'!$B:$Z,W$1,0)+Y266)*X266,VLOOKUP($A266,'Из ГУГЛа'!$B:$Z,W$1,0))</f>
        <v>590</v>
      </c>
      <c r="X266" s="61">
        <v>1</v>
      </c>
      <c r="Y266" s="61">
        <v>0</v>
      </c>
      <c r="Z266" s="70">
        <v>590</v>
      </c>
      <c r="AA266" s="60" t="s">
        <v>720</v>
      </c>
    </row>
    <row r="267" spans="1:27" ht="45" x14ac:dyDescent="0.25">
      <c r="A267" s="52">
        <v>165372</v>
      </c>
      <c r="B267" s="52">
        <f>VLOOKUP($A267,'Выгр Кат'!$A:$R,B$1,0)</f>
        <v>31217</v>
      </c>
      <c r="C267" s="53" t="str">
        <f>VLOOKUP($A267,'Выгр Кат'!$A:$R,C$1,0)</f>
        <v>Надставка крыла заднего левого (катафорезное покрытие) "АвтоВАЗ" для Лада Приора, Приора 2 хэтчбек</v>
      </c>
      <c r="D267" s="52" t="str">
        <f>VLOOKUP($A267,'Выгр Кат'!$A:$R,D$1,0)</f>
        <v>Y</v>
      </c>
      <c r="E267" s="52" t="str">
        <f>VLOOKUP($A267,'Выгр Кат'!$A:$R,E$1,0)</f>
        <v>1</v>
      </c>
      <c r="F267" s="52" t="str">
        <f>VLOOKUP($A267,'Выгр Кат'!$A:$R,F$1,0)</f>
        <v>21720840404510</v>
      </c>
      <c r="G267" s="52" t="str">
        <f>IF(VLOOKUP($A267,'Выгр Кат'!$A:$R,G$1,0)=0,"",VLOOKUP($A267,'Выгр Кат'!$A:$R,G$1,0))</f>
        <v>https://motorring.ru/product/38252-nadstavka-levogo-zadnego-kryla-okoshko-lada-priora-2172</v>
      </c>
      <c r="H267" s="52"/>
      <c r="I267" s="52"/>
      <c r="J267" s="54">
        <f t="shared" si="72"/>
        <v>691</v>
      </c>
      <c r="K267" s="55">
        <f>VLOOKUP(J267,Наценка!$A$1:$B$8,2,1)</f>
        <v>1.55</v>
      </c>
      <c r="L267" s="56">
        <f t="shared" si="73"/>
        <v>1071.05</v>
      </c>
      <c r="M267" s="57">
        <f t="shared" si="74"/>
        <v>1090</v>
      </c>
      <c r="N267" s="52">
        <f>VLOOKUP($A267,'Выгр Кат'!$A:$R,N$1,0)</f>
        <v>691</v>
      </c>
      <c r="O267" s="52">
        <f>VLOOKUP($A267,'Выгр Кат'!$A:$R,O$1,0)</f>
        <v>1090</v>
      </c>
      <c r="P267" s="47">
        <f t="shared" si="75"/>
        <v>0</v>
      </c>
      <c r="Q267" s="47">
        <f t="shared" si="76"/>
        <v>0</v>
      </c>
      <c r="R267" s="58">
        <f t="shared" si="77"/>
        <v>1090</v>
      </c>
      <c r="S267" s="59">
        <f t="shared" si="78"/>
        <v>0.57742402315484798</v>
      </c>
      <c r="T267" s="59">
        <f t="shared" si="79"/>
        <v>0</v>
      </c>
      <c r="U267" s="59">
        <f t="shared" si="80"/>
        <v>0.57742402315484798</v>
      </c>
      <c r="V267" s="42">
        <f t="shared" si="81"/>
        <v>1090</v>
      </c>
      <c r="W267" s="69">
        <f>IFERROR((VLOOKUP($A267,'Из ГУГЛа'!$B:$Z,W$1,0)+Y267)*X267,VLOOKUP($A267,'Из ГУГЛа'!$B:$Z,W$1,0))</f>
        <v>1090</v>
      </c>
      <c r="X267" s="61">
        <v>1</v>
      </c>
      <c r="Y267" s="61">
        <v>0</v>
      </c>
      <c r="Z267" s="70">
        <v>1090</v>
      </c>
      <c r="AA267" s="60" t="s">
        <v>723</v>
      </c>
    </row>
    <row r="268" spans="1:27" ht="30" x14ac:dyDescent="0.25">
      <c r="A268" s="52">
        <v>165373</v>
      </c>
      <c r="B268" s="52">
        <f>VLOOKUP($A268,'Выгр Кат'!$A:$R,B$1,0)</f>
        <v>31428</v>
      </c>
      <c r="C268" s="53" t="str">
        <f>VLOOKUP($A268,'Выгр Кат'!$A:$R,C$1,0)</f>
        <v>Надставка наружной панели "АвтоВАЗ" для ВАЗ 2108</v>
      </c>
      <c r="D268" s="52" t="str">
        <f>VLOOKUP($A268,'Выгр Кат'!$A:$R,D$1,0)</f>
        <v>Y</v>
      </c>
      <c r="E268" s="52" t="str">
        <f>VLOOKUP($A268,'Выгр Кат'!$A:$R,E$1,0)</f>
        <v>1</v>
      </c>
      <c r="F268" s="52" t="str">
        <f>VLOOKUP($A268,'Выгр Кат'!$A:$R,F$1,0)</f>
        <v>21080540114600</v>
      </c>
      <c r="G268" s="52" t="str">
        <f>IF(VLOOKUP($A268,'Выгр Кат'!$A:$R,G$1,0)=0,"",VLOOKUP($A268,'Выгр Кат'!$A:$R,G$1,0))</f>
        <v/>
      </c>
      <c r="H268" s="52"/>
      <c r="I268" s="52"/>
      <c r="J268" s="54">
        <f t="shared" si="72"/>
        <v>137</v>
      </c>
      <c r="K268" s="55">
        <f>VLOOKUP(J268,Наценка!$A$1:$B$8,2,1)</f>
        <v>1.8</v>
      </c>
      <c r="L268" s="56">
        <f t="shared" si="73"/>
        <v>246.6</v>
      </c>
      <c r="M268" s="57">
        <f t="shared" si="74"/>
        <v>249</v>
      </c>
      <c r="N268" s="52">
        <f>VLOOKUP($A268,'Выгр Кат'!$A:$R,N$1,0)</f>
        <v>137</v>
      </c>
      <c r="O268" s="52">
        <f>VLOOKUP($A268,'Выгр Кат'!$A:$R,O$1,0)</f>
        <v>249</v>
      </c>
      <c r="P268" s="47">
        <f t="shared" si="75"/>
        <v>0</v>
      </c>
      <c r="Q268" s="47">
        <f t="shared" si="76"/>
        <v>0</v>
      </c>
      <c r="R268" s="58">
        <f t="shared" si="77"/>
        <v>249</v>
      </c>
      <c r="S268" s="59">
        <f t="shared" si="78"/>
        <v>0.81751824817518237</v>
      </c>
      <c r="T268" s="59" t="str">
        <f t="shared" si="79"/>
        <v/>
      </c>
      <c r="U268" s="59" t="str">
        <f t="shared" si="80"/>
        <v/>
      </c>
      <c r="V268" s="60"/>
      <c r="W268" s="69" t="str">
        <f>IFERROR((VLOOKUP($A268,'Из ГУГЛа'!$B:$Z,W$1,0)+Y268)*X268,VLOOKUP($A268,'Из ГУГЛа'!$B:$Z,W$1,0))</f>
        <v/>
      </c>
      <c r="X268" s="61">
        <v>1</v>
      </c>
      <c r="Y268" s="61">
        <v>0</v>
      </c>
      <c r="Z268" s="60" t="s">
        <v>4170</v>
      </c>
      <c r="AA268" s="60"/>
    </row>
    <row r="269" spans="1:27" ht="30" x14ac:dyDescent="0.25">
      <c r="A269" s="52">
        <v>165375</v>
      </c>
      <c r="B269" s="52">
        <f>VLOOKUP($A269,'Выгр Кат'!$A:$R,B$1,0)</f>
        <v>32686</v>
      </c>
      <c r="C269" s="53" t="str">
        <f>VLOOKUP($A269,'Выгр Кат'!$A:$R,C$1,0)</f>
        <v>Надставка передней двери "АвтоВАЗ" левая для Лада Нива 4x4 (5-ти дверная)</v>
      </c>
      <c r="D269" s="52" t="str">
        <f>VLOOKUP($A269,'Выгр Кат'!$A:$R,D$1,0)</f>
        <v>Y</v>
      </c>
      <c r="E269" s="52" t="str">
        <f>VLOOKUP($A269,'Выгр Кат'!$A:$R,E$1,0)</f>
        <v>1</v>
      </c>
      <c r="F269" s="52" t="str">
        <f>VLOOKUP($A269,'Выгр Кат'!$A:$R,F$1,0)</f>
        <v>21310610109700</v>
      </c>
      <c r="G269" s="52" t="str">
        <f>IF(VLOOKUP($A269,'Выгр Кат'!$A:$R,G$1,0)=0,"",VLOOKUP($A269,'Выгр Кат'!$A:$R,G$1,0))</f>
        <v/>
      </c>
      <c r="H269" s="52"/>
      <c r="I269" s="52"/>
      <c r="J269" s="54">
        <f t="shared" si="72"/>
        <v>81.45</v>
      </c>
      <c r="K269" s="55">
        <f>VLOOKUP(J269,Наценка!$A$1:$B$8,2,1)</f>
        <v>2</v>
      </c>
      <c r="L269" s="56">
        <f t="shared" si="73"/>
        <v>162.9</v>
      </c>
      <c r="M269" s="57">
        <f t="shared" si="74"/>
        <v>169</v>
      </c>
      <c r="N269" s="52">
        <f>VLOOKUP($A269,'Выгр Кат'!$A:$R,N$1,0)</f>
        <v>81.45</v>
      </c>
      <c r="O269" s="52">
        <f>VLOOKUP($A269,'Выгр Кат'!$A:$R,O$1,0)</f>
        <v>169</v>
      </c>
      <c r="P269" s="47">
        <f t="shared" si="75"/>
        <v>0</v>
      </c>
      <c r="Q269" s="47">
        <f t="shared" si="76"/>
        <v>0</v>
      </c>
      <c r="R269" s="58">
        <f t="shared" si="77"/>
        <v>169</v>
      </c>
      <c r="S269" s="59">
        <f t="shared" si="78"/>
        <v>1.0748925721301412</v>
      </c>
      <c r="T269" s="59" t="str">
        <f t="shared" si="79"/>
        <v/>
      </c>
      <c r="U269" s="59" t="str">
        <f t="shared" si="80"/>
        <v/>
      </c>
      <c r="V269" s="60"/>
      <c r="W269" s="69" t="str">
        <f>IFERROR((VLOOKUP($A269,'Из ГУГЛа'!$B:$Z,W$1,0)+Y269)*X269,VLOOKUP($A269,'Из ГУГЛа'!$B:$Z,W$1,0))</f>
        <v/>
      </c>
      <c r="X269" s="61">
        <v>1</v>
      </c>
      <c r="Y269" s="61">
        <v>0</v>
      </c>
      <c r="Z269" s="60" t="s">
        <v>4170</v>
      </c>
      <c r="AA269" s="60"/>
    </row>
    <row r="270" spans="1:27" ht="45" x14ac:dyDescent="0.25">
      <c r="A270" s="52">
        <v>165376</v>
      </c>
      <c r="B270" s="52">
        <f>VLOOKUP($A270,'Выгр Кат'!$A:$R,B$1,0)</f>
        <v>32685</v>
      </c>
      <c r="C270" s="53" t="str">
        <f>VLOOKUP($A270,'Выгр Кат'!$A:$R,C$1,0)</f>
        <v>Надставка передней двери "АвтоВАЗ" правая для Лада Нива 4x4 (5-ти дверная)</v>
      </c>
      <c r="D270" s="52" t="str">
        <f>VLOOKUP($A270,'Выгр Кат'!$A:$R,D$1,0)</f>
        <v>Y</v>
      </c>
      <c r="E270" s="52" t="str">
        <f>VLOOKUP($A270,'Выгр Кат'!$A:$R,E$1,0)</f>
        <v>1</v>
      </c>
      <c r="F270" s="52" t="str">
        <f>VLOOKUP($A270,'Выгр Кат'!$A:$R,F$1,0)</f>
        <v>21310610109600</v>
      </c>
      <c r="G270" s="52" t="str">
        <f>IF(VLOOKUP($A270,'Выгр Кат'!$A:$R,G$1,0)=0,"",VLOOKUP($A270,'Выгр Кат'!$A:$R,G$1,0))</f>
        <v/>
      </c>
      <c r="H270" s="52"/>
      <c r="I270" s="52"/>
      <c r="J270" s="54">
        <f t="shared" si="72"/>
        <v>80</v>
      </c>
      <c r="K270" s="55">
        <f>VLOOKUP(J270,Наценка!$A$1:$B$8,2,1)</f>
        <v>2</v>
      </c>
      <c r="L270" s="56">
        <f t="shared" si="73"/>
        <v>160</v>
      </c>
      <c r="M270" s="57">
        <f t="shared" si="74"/>
        <v>159</v>
      </c>
      <c r="N270" s="52">
        <f>VLOOKUP($A270,'Выгр Кат'!$A:$R,N$1,0)</f>
        <v>80</v>
      </c>
      <c r="O270" s="52">
        <f>VLOOKUP($A270,'Выгр Кат'!$A:$R,O$1,0)</f>
        <v>159</v>
      </c>
      <c r="P270" s="47">
        <f t="shared" si="75"/>
        <v>0</v>
      </c>
      <c r="Q270" s="47">
        <f t="shared" si="76"/>
        <v>0</v>
      </c>
      <c r="R270" s="58">
        <f t="shared" si="77"/>
        <v>159</v>
      </c>
      <c r="S270" s="59">
        <f t="shared" si="78"/>
        <v>0.98750000000000004</v>
      </c>
      <c r="T270" s="59" t="str">
        <f t="shared" si="79"/>
        <v/>
      </c>
      <c r="U270" s="59" t="str">
        <f t="shared" si="80"/>
        <v/>
      </c>
      <c r="V270" s="60"/>
      <c r="W270" s="69" t="str">
        <f>IFERROR((VLOOKUP($A270,'Из ГУГЛа'!$B:$Z,W$1,0)+Y270)*X270,VLOOKUP($A270,'Из ГУГЛа'!$B:$Z,W$1,0))</f>
        <v/>
      </c>
      <c r="X270" s="61">
        <v>1</v>
      </c>
      <c r="Y270" s="61">
        <v>0</v>
      </c>
      <c r="Z270" s="60" t="s">
        <v>4170</v>
      </c>
      <c r="AA270" s="60"/>
    </row>
    <row r="271" spans="1:27" ht="30" x14ac:dyDescent="0.25">
      <c r="A271" s="52">
        <v>165377</v>
      </c>
      <c r="B271" s="52">
        <f>VLOOKUP($A271,'Выгр Кат'!$A:$R,B$1,0)</f>
        <v>45863</v>
      </c>
      <c r="C271" s="53" t="str">
        <f>VLOOKUP($A271,'Выгр Кат'!$A:$R,C$1,0)</f>
        <v>Надставка пола "АвтоВАЗ" задняя левая (катафорез) для Лада Нива 4x4</v>
      </c>
      <c r="D271" s="52" t="str">
        <f>VLOOKUP($A271,'Выгр Кат'!$A:$R,D$1,0)</f>
        <v>Y</v>
      </c>
      <c r="E271" s="52" t="str">
        <f>VLOOKUP($A271,'Выгр Кат'!$A:$R,E$1,0)</f>
        <v>1</v>
      </c>
      <c r="F271" s="52" t="str">
        <f>VLOOKUP($A271,'Выгр Кат'!$A:$R,F$1,0)</f>
        <v>21210510104910</v>
      </c>
      <c r="G271" s="52" t="str">
        <f>IF(VLOOKUP($A271,'Выгр Кат'!$A:$R,G$1,0)=0,"",VLOOKUP($A271,'Выгр Кат'!$A:$R,G$1,0))</f>
        <v>https://motorring.ru/product/182-nadstavka-pola-zadnyaya-levaya-kataforeznoe-pokrytie-lada</v>
      </c>
      <c r="H271" s="52"/>
      <c r="I271" s="52"/>
      <c r="J271" s="54">
        <f t="shared" si="72"/>
        <v>888</v>
      </c>
      <c r="K271" s="55">
        <f>VLOOKUP(J271,Наценка!$A$1:$B$8,2,1)</f>
        <v>1.55</v>
      </c>
      <c r="L271" s="56">
        <f t="shared" si="73"/>
        <v>1376.4</v>
      </c>
      <c r="M271" s="57">
        <f t="shared" si="74"/>
        <v>1390</v>
      </c>
      <c r="N271" s="52">
        <f>VLOOKUP($A271,'Выгр Кат'!$A:$R,N$1,0)</f>
        <v>888</v>
      </c>
      <c r="O271" s="52">
        <f>VLOOKUP($A271,'Выгр Кат'!$A:$R,O$1,0)</f>
        <v>1390</v>
      </c>
      <c r="P271" s="47">
        <f t="shared" si="75"/>
        <v>0</v>
      </c>
      <c r="Q271" s="47">
        <f t="shared" si="76"/>
        <v>0</v>
      </c>
      <c r="R271" s="58">
        <f t="shared" si="77"/>
        <v>1390</v>
      </c>
      <c r="S271" s="59">
        <f t="shared" si="78"/>
        <v>0.56531531531531543</v>
      </c>
      <c r="T271" s="59">
        <f t="shared" si="79"/>
        <v>0</v>
      </c>
      <c r="U271" s="59">
        <f t="shared" si="80"/>
        <v>0.56531531531531543</v>
      </c>
      <c r="V271" s="42">
        <f t="shared" ref="V271:V274" si="82">Z271</f>
        <v>1390</v>
      </c>
      <c r="W271" s="69">
        <f>IFERROR((VLOOKUP($A271,'Из ГУГЛа'!$B:$Z,W$1,0)+Y271)*X271,VLOOKUP($A271,'Из ГУГЛа'!$B:$Z,W$1,0))</f>
        <v>1390</v>
      </c>
      <c r="X271" s="61">
        <v>1</v>
      </c>
      <c r="Y271" s="61">
        <v>0</v>
      </c>
      <c r="Z271" s="70">
        <v>1390</v>
      </c>
      <c r="AA271" s="60" t="s">
        <v>733</v>
      </c>
    </row>
    <row r="272" spans="1:27" ht="30" x14ac:dyDescent="0.25">
      <c r="A272" s="52">
        <v>165378</v>
      </c>
      <c r="B272" s="52">
        <f>VLOOKUP($A272,'Выгр Кат'!$A:$R,B$1,0)</f>
        <v>45792</v>
      </c>
      <c r="C272" s="53" t="str">
        <f>VLOOKUP($A272,'Выгр Кат'!$A:$R,C$1,0)</f>
        <v>Надставка пола "АвтоВАЗ" задняя правая (катафорез) для Лада Нива 4x4</v>
      </c>
      <c r="D272" s="52" t="str">
        <f>VLOOKUP($A272,'Выгр Кат'!$A:$R,D$1,0)</f>
        <v>Y</v>
      </c>
      <c r="E272" s="52" t="str">
        <f>VLOOKUP($A272,'Выгр Кат'!$A:$R,E$1,0)</f>
        <v>1</v>
      </c>
      <c r="F272" s="52" t="str">
        <f>VLOOKUP($A272,'Выгр Кат'!$A:$R,F$1,0)</f>
        <v>21210510104810</v>
      </c>
      <c r="G272" s="52" t="str">
        <f>IF(VLOOKUP($A272,'Выгр Кат'!$A:$R,G$1,0)=0,"",VLOOKUP($A272,'Выгр Кат'!$A:$R,G$1,0))</f>
        <v>https://motorring.ru/product/189-nadstavka-pola-zadnyaya-pravaya-kataforez-lada-4x4</v>
      </c>
      <c r="H272" s="52"/>
      <c r="I272" s="52"/>
      <c r="J272" s="54">
        <f t="shared" si="72"/>
        <v>883</v>
      </c>
      <c r="K272" s="55">
        <f>VLOOKUP(J272,Наценка!$A$1:$B$8,2,1)</f>
        <v>1.55</v>
      </c>
      <c r="L272" s="56">
        <f t="shared" si="73"/>
        <v>1368.65</v>
      </c>
      <c r="M272" s="57">
        <f t="shared" si="74"/>
        <v>1390</v>
      </c>
      <c r="N272" s="52">
        <f>VLOOKUP($A272,'Выгр Кат'!$A:$R,N$1,0)</f>
        <v>883</v>
      </c>
      <c r="O272" s="52">
        <f>VLOOKUP($A272,'Выгр Кат'!$A:$R,O$1,0)</f>
        <v>1390</v>
      </c>
      <c r="P272" s="47">
        <f t="shared" si="75"/>
        <v>0</v>
      </c>
      <c r="Q272" s="47">
        <f t="shared" si="76"/>
        <v>0</v>
      </c>
      <c r="R272" s="58">
        <f t="shared" si="77"/>
        <v>1390</v>
      </c>
      <c r="S272" s="59">
        <f t="shared" si="78"/>
        <v>0.57417893544733856</v>
      </c>
      <c r="T272" s="59">
        <f t="shared" si="79"/>
        <v>0</v>
      </c>
      <c r="U272" s="59">
        <f t="shared" si="80"/>
        <v>0.57417893544733856</v>
      </c>
      <c r="V272" s="42">
        <f t="shared" si="82"/>
        <v>1390</v>
      </c>
      <c r="W272" s="69">
        <f>IFERROR((VLOOKUP($A272,'Из ГУГЛа'!$B:$Z,W$1,0)+Y272)*X272,VLOOKUP($A272,'Из ГУГЛа'!$B:$Z,W$1,0))</f>
        <v>1390</v>
      </c>
      <c r="X272" s="61">
        <v>1</v>
      </c>
      <c r="Y272" s="61">
        <v>0</v>
      </c>
      <c r="Z272" s="70">
        <v>1390</v>
      </c>
      <c r="AA272" s="60" t="s">
        <v>737</v>
      </c>
    </row>
    <row r="273" spans="1:27" ht="45" x14ac:dyDescent="0.25">
      <c r="A273" s="52">
        <v>165379</v>
      </c>
      <c r="B273" s="52">
        <f>VLOOKUP($A273,'Выгр Кат'!$A:$R,B$1,0)</f>
        <v>31412</v>
      </c>
      <c r="C273" s="53" t="str">
        <f>VLOOKUP($A273,'Выгр Кат'!$A:$R,C$1,0)</f>
        <v>Надставка пола кузова задняя (нового образца) "АвтоВАЗ" левая для ВАЗ 2110, Лада Приора седан</v>
      </c>
      <c r="D273" s="52" t="str">
        <f>VLOOKUP($A273,'Выгр Кат'!$A:$R,D$1,0)</f>
        <v>Y</v>
      </c>
      <c r="E273" s="52" t="str">
        <f>VLOOKUP($A273,'Выгр Кат'!$A:$R,E$1,0)</f>
        <v>1ск1</v>
      </c>
      <c r="F273" s="52" t="str">
        <f>VLOOKUP($A273,'Выгр Кат'!$A:$R,F$1,0)</f>
        <v>21100510109300</v>
      </c>
      <c r="G273" s="52" t="str">
        <f>IF(VLOOKUP($A273,'Выгр Кат'!$A:$R,G$1,0)=0,"",VLOOKUP($A273,'Выгр Кат'!$A:$R,G$1,0))</f>
        <v/>
      </c>
      <c r="H273" s="52"/>
      <c r="I273" s="52"/>
      <c r="J273" s="54">
        <f t="shared" si="72"/>
        <v>552</v>
      </c>
      <c r="K273" s="55">
        <f>VLOOKUP(J273,Наценка!$A$1:$B$8,2,1)</f>
        <v>1.55</v>
      </c>
      <c r="L273" s="56">
        <f t="shared" si="73"/>
        <v>855.6</v>
      </c>
      <c r="M273" s="57">
        <f t="shared" si="74"/>
        <v>859</v>
      </c>
      <c r="N273" s="52">
        <f>VLOOKUP($A273,'Выгр Кат'!$A:$R,N$1,0)</f>
        <v>552</v>
      </c>
      <c r="O273" s="52">
        <f>VLOOKUP($A273,'Выгр Кат'!$A:$R,O$1,0)</f>
        <v>859</v>
      </c>
      <c r="P273" s="47">
        <f t="shared" si="75"/>
        <v>0</v>
      </c>
      <c r="Q273" s="47">
        <f t="shared" si="76"/>
        <v>0</v>
      </c>
      <c r="R273" s="58">
        <f t="shared" si="77"/>
        <v>859</v>
      </c>
      <c r="S273" s="59">
        <f t="shared" si="78"/>
        <v>0.55615942028985499</v>
      </c>
      <c r="T273" s="59">
        <f t="shared" si="79"/>
        <v>0.13232323232323231</v>
      </c>
      <c r="U273" s="59">
        <f t="shared" si="80"/>
        <v>0.79347826086956519</v>
      </c>
      <c r="V273" s="42">
        <f t="shared" si="82"/>
        <v>990</v>
      </c>
      <c r="W273" s="69" t="str">
        <f>IFERROR((VLOOKUP($A273,'Из ГУГЛа'!$B:$Z,W$1,0)+Y273)*X273,VLOOKUP($A273,'Из ГУГЛа'!$B:$Z,W$1,0))</f>
        <v/>
      </c>
      <c r="X273" s="61">
        <v>1</v>
      </c>
      <c r="Y273" s="61">
        <v>0</v>
      </c>
      <c r="Z273" s="60">
        <v>990</v>
      </c>
      <c r="AA273" s="60" t="s">
        <v>4296</v>
      </c>
    </row>
    <row r="274" spans="1:27" ht="45" x14ac:dyDescent="0.25">
      <c r="A274" s="52">
        <v>165380</v>
      </c>
      <c r="B274" s="52">
        <f>VLOOKUP($A274,'Выгр Кат'!$A:$R,B$1,0)</f>
        <v>31413</v>
      </c>
      <c r="C274" s="53" t="str">
        <f>VLOOKUP($A274,'Выгр Кат'!$A:$R,C$1,0)</f>
        <v>Надставка пола кузова задняя (нового образца) "АвтоВАЗ" правая для ВАЗ 2110, Лада Приора седан</v>
      </c>
      <c r="D274" s="52" t="str">
        <f>VLOOKUP($A274,'Выгр Кат'!$A:$R,D$1,0)</f>
        <v>Y</v>
      </c>
      <c r="E274" s="52" t="str">
        <f>VLOOKUP($A274,'Выгр Кат'!$A:$R,E$1,0)</f>
        <v>1ск1</v>
      </c>
      <c r="F274" s="52" t="str">
        <f>VLOOKUP($A274,'Выгр Кат'!$A:$R,F$1,0)</f>
        <v>21100510109200</v>
      </c>
      <c r="G274" s="52" t="str">
        <f>IF(VLOOKUP($A274,'Выгр Кат'!$A:$R,G$1,0)=0,"",VLOOKUP($A274,'Выгр Кат'!$A:$R,G$1,0))</f>
        <v/>
      </c>
      <c r="H274" s="52"/>
      <c r="I274" s="52"/>
      <c r="J274" s="54">
        <f t="shared" si="72"/>
        <v>534.65</v>
      </c>
      <c r="K274" s="55">
        <f>VLOOKUP(J274,Наценка!$A$1:$B$8,2,1)</f>
        <v>1.55</v>
      </c>
      <c r="L274" s="56">
        <f t="shared" si="73"/>
        <v>828.70749999999998</v>
      </c>
      <c r="M274" s="57">
        <f t="shared" si="74"/>
        <v>829</v>
      </c>
      <c r="N274" s="52">
        <f>VLOOKUP($A274,'Выгр Кат'!$A:$R,N$1,0)</f>
        <v>534.65</v>
      </c>
      <c r="O274" s="52">
        <f>VLOOKUP($A274,'Выгр Кат'!$A:$R,O$1,0)</f>
        <v>829</v>
      </c>
      <c r="P274" s="47">
        <f t="shared" si="75"/>
        <v>0</v>
      </c>
      <c r="Q274" s="47">
        <f t="shared" si="76"/>
        <v>0</v>
      </c>
      <c r="R274" s="58">
        <f t="shared" si="77"/>
        <v>829</v>
      </c>
      <c r="S274" s="59">
        <f t="shared" si="78"/>
        <v>0.55054708687926679</v>
      </c>
      <c r="T274" s="59">
        <f t="shared" si="79"/>
        <v>0.16262626262626262</v>
      </c>
      <c r="U274" s="59">
        <f t="shared" si="80"/>
        <v>0.85167866828766492</v>
      </c>
      <c r="V274" s="42">
        <f t="shared" si="82"/>
        <v>990</v>
      </c>
      <c r="W274" s="69" t="str">
        <f>IFERROR((VLOOKUP($A274,'Из ГУГЛа'!$B:$Z,W$1,0)+Y274)*X274,VLOOKUP($A274,'Из ГУГЛа'!$B:$Z,W$1,0))</f>
        <v/>
      </c>
      <c r="X274" s="61">
        <v>1</v>
      </c>
      <c r="Y274" s="61">
        <v>0</v>
      </c>
      <c r="Z274" s="60">
        <v>990</v>
      </c>
      <c r="AA274" s="60" t="s">
        <v>4297</v>
      </c>
    </row>
    <row r="275" spans="1:27" ht="30" x14ac:dyDescent="0.25">
      <c r="A275" s="52">
        <v>165381</v>
      </c>
      <c r="B275" s="52">
        <f>VLOOKUP($A275,'Выгр Кат'!$A:$R,B$1,0)</f>
        <v>31317</v>
      </c>
      <c r="C275" s="53" t="str">
        <f>VLOOKUP($A275,'Выгр Кат'!$A:$R,C$1,0)</f>
        <v>Надставка щитка передка "АвтоВАЗ" для Лада Нива 4x4</v>
      </c>
      <c r="D275" s="52" t="str">
        <f>VLOOKUP($A275,'Выгр Кат'!$A:$R,D$1,0)</f>
        <v>Y</v>
      </c>
      <c r="E275" s="52" t="str">
        <f>VLOOKUP($A275,'Выгр Кат'!$A:$R,E$1,0)</f>
        <v>1</v>
      </c>
      <c r="F275" s="52" t="str">
        <f>VLOOKUP($A275,'Выгр Кат'!$A:$R,F$1,0)</f>
        <v>21213530109410</v>
      </c>
      <c r="G275" s="52" t="str">
        <f>IF(VLOOKUP($A275,'Выгр Кат'!$A:$R,G$1,0)=0,"",VLOOKUP($A275,'Выгр Кат'!$A:$R,G$1,0))</f>
        <v/>
      </c>
      <c r="H275" s="52"/>
      <c r="I275" s="52"/>
      <c r="J275" s="54">
        <f t="shared" si="72"/>
        <v>835</v>
      </c>
      <c r="K275" s="55">
        <f>VLOOKUP(J275,Наценка!$A$1:$B$8,2,1)</f>
        <v>1.55</v>
      </c>
      <c r="L275" s="56">
        <f t="shared" si="73"/>
        <v>1294.25</v>
      </c>
      <c r="M275" s="57">
        <f t="shared" si="74"/>
        <v>1290</v>
      </c>
      <c r="N275" s="52">
        <f>VLOOKUP($A275,'Выгр Кат'!$A:$R,N$1,0)</f>
        <v>835</v>
      </c>
      <c r="O275" s="52">
        <f>VLOOKUP($A275,'Выгр Кат'!$A:$R,O$1,0)</f>
        <v>1290</v>
      </c>
      <c r="P275" s="47">
        <f t="shared" si="75"/>
        <v>0</v>
      </c>
      <c r="Q275" s="47">
        <f t="shared" si="76"/>
        <v>0</v>
      </c>
      <c r="R275" s="58">
        <f t="shared" si="77"/>
        <v>1290</v>
      </c>
      <c r="S275" s="59">
        <f t="shared" si="78"/>
        <v>0.54491017964071853</v>
      </c>
      <c r="T275" s="59" t="str">
        <f t="shared" si="79"/>
        <v/>
      </c>
      <c r="U275" s="59" t="str">
        <f t="shared" si="80"/>
        <v/>
      </c>
      <c r="V275" s="60"/>
      <c r="W275" s="69" t="str">
        <f>IFERROR((VLOOKUP($A275,'Из ГУГЛа'!$B:$Z,W$1,0)+Y275)*X275,VLOOKUP($A275,'Из ГУГЛа'!$B:$Z,W$1,0))</f>
        <v/>
      </c>
      <c r="X275" s="61">
        <v>1</v>
      </c>
      <c r="Y275" s="61">
        <v>0</v>
      </c>
      <c r="Z275" s="60" t="s">
        <v>4170</v>
      </c>
      <c r="AA275" s="60"/>
    </row>
    <row r="276" spans="1:27" ht="45" x14ac:dyDescent="0.25">
      <c r="A276" s="52">
        <v>165724</v>
      </c>
      <c r="B276" s="52">
        <f>VLOOKUP($A276,'Выгр Кат'!$A:$R,B$1,0)</f>
        <v>30978</v>
      </c>
      <c r="C276" s="53" t="str">
        <f>VLOOKUP($A276,'Выгр Кат'!$A:$R,C$1,0)</f>
        <v>Накладка боковины "АвтоВАЗ" верхняя, левая в сборе для Лада Калина, Калина 2, Гранта FL универсал</v>
      </c>
      <c r="D276" s="52" t="str">
        <f>VLOOKUP($A276,'Выгр Кат'!$A:$R,D$1,0)</f>
        <v>Y</v>
      </c>
      <c r="E276" s="52" t="str">
        <f>VLOOKUP($A276,'Выгр Кат'!$A:$R,E$1,0)</f>
        <v>1</v>
      </c>
      <c r="F276" s="52" t="str">
        <f>VLOOKUP($A276,'Выгр Кат'!$A:$R,F$1,0)</f>
        <v>11170540108700</v>
      </c>
      <c r="G276" s="52" t="str">
        <f>IF(VLOOKUP($A276,'Выгр Кат'!$A:$R,G$1,0)=0,"",VLOOKUP($A276,'Выгр Кат'!$A:$R,G$1,0))</f>
        <v>https://motorring.ru/product/16803-nadstavka-bokoviny-verhnyaya-levaya-sbore-dlya-lada-kalina</v>
      </c>
      <c r="H276" s="52"/>
      <c r="I276" s="52"/>
      <c r="J276" s="54">
        <f t="shared" si="72"/>
        <v>127</v>
      </c>
      <c r="K276" s="55">
        <f>VLOOKUP(J276,Наценка!$A$1:$B$8,2,1)</f>
        <v>1.8</v>
      </c>
      <c r="L276" s="56">
        <f t="shared" si="73"/>
        <v>228.6</v>
      </c>
      <c r="M276" s="57">
        <f t="shared" si="74"/>
        <v>229</v>
      </c>
      <c r="N276" s="52">
        <f>VLOOKUP($A276,'Выгр Кат'!$A:$R,N$1,0)</f>
        <v>127</v>
      </c>
      <c r="O276" s="52">
        <f>VLOOKUP($A276,'Выгр Кат'!$A:$R,O$1,0)</f>
        <v>229</v>
      </c>
      <c r="P276" s="47">
        <f t="shared" si="75"/>
        <v>0</v>
      </c>
      <c r="Q276" s="47">
        <f t="shared" si="76"/>
        <v>0</v>
      </c>
      <c r="R276" s="58">
        <f t="shared" si="77"/>
        <v>229</v>
      </c>
      <c r="S276" s="59">
        <f t="shared" si="78"/>
        <v>0.8031496062992125</v>
      </c>
      <c r="T276" s="59">
        <f t="shared" si="79"/>
        <v>0.34383954154727792</v>
      </c>
      <c r="U276" s="59">
        <f t="shared" si="80"/>
        <v>1.7480314960629921</v>
      </c>
      <c r="V276" s="42">
        <f t="shared" ref="V276:V277" si="83">Z276</f>
        <v>349</v>
      </c>
      <c r="W276" s="69">
        <f>IFERROR((VLOOKUP($A276,'Из ГУГЛа'!$B:$Z,W$1,0)+Y276)*X276,VLOOKUP($A276,'Из ГУГЛа'!$B:$Z,W$1,0))</f>
        <v>349</v>
      </c>
      <c r="X276" s="61">
        <v>1</v>
      </c>
      <c r="Y276" s="61">
        <v>0</v>
      </c>
      <c r="Z276" s="70">
        <v>349</v>
      </c>
      <c r="AA276" s="60" t="s">
        <v>746</v>
      </c>
    </row>
    <row r="277" spans="1:27" ht="45" x14ac:dyDescent="0.25">
      <c r="A277" s="52">
        <v>165725</v>
      </c>
      <c r="B277" s="52">
        <f>VLOOKUP($A277,'Выгр Кат'!$A:$R,B$1,0)</f>
        <v>30977</v>
      </c>
      <c r="C277" s="53" t="str">
        <f>VLOOKUP($A277,'Выгр Кат'!$A:$R,C$1,0)</f>
        <v>Накладка боковины "АвтоВАЗ" верхняя, правая в сборе для Лада Калина, Калина 2, Гранта FL универсал</v>
      </c>
      <c r="D277" s="52" t="str">
        <f>VLOOKUP($A277,'Выгр Кат'!$A:$R,D$1,0)</f>
        <v>Y</v>
      </c>
      <c r="E277" s="52" t="str">
        <f>VLOOKUP($A277,'Выгр Кат'!$A:$R,E$1,0)</f>
        <v>1</v>
      </c>
      <c r="F277" s="52" t="str">
        <f>VLOOKUP($A277,'Выгр Кат'!$A:$R,F$1,0)</f>
        <v>11170540108600</v>
      </c>
      <c r="G277" s="52" t="str">
        <f>IF(VLOOKUP($A277,'Выгр Кат'!$A:$R,G$1,0)=0,"",VLOOKUP($A277,'Выгр Кат'!$A:$R,G$1,0))</f>
        <v>https://motorring.ru/product/16513-nadstavka-bokoviny-verhnyaya-pravaya-sbore-dlya-lada-kalina</v>
      </c>
      <c r="H277" s="52"/>
      <c r="I277" s="52"/>
      <c r="J277" s="54">
        <f t="shared" si="72"/>
        <v>71</v>
      </c>
      <c r="K277" s="55">
        <f>VLOOKUP(J277,Наценка!$A$1:$B$8,2,1)</f>
        <v>2</v>
      </c>
      <c r="L277" s="56">
        <f t="shared" si="73"/>
        <v>142</v>
      </c>
      <c r="M277" s="57">
        <f t="shared" si="74"/>
        <v>149</v>
      </c>
      <c r="N277" s="52">
        <f>VLOOKUP($A277,'Выгр Кат'!$A:$R,N$1,0)</f>
        <v>71</v>
      </c>
      <c r="O277" s="52">
        <f>VLOOKUP($A277,'Выгр Кат'!$A:$R,O$1,0)</f>
        <v>149</v>
      </c>
      <c r="P277" s="47">
        <f t="shared" si="75"/>
        <v>0</v>
      </c>
      <c r="Q277" s="47">
        <f t="shared" si="76"/>
        <v>0</v>
      </c>
      <c r="R277" s="58">
        <f t="shared" si="77"/>
        <v>149</v>
      </c>
      <c r="S277" s="59">
        <f t="shared" si="78"/>
        <v>1.0985915492957745</v>
      </c>
      <c r="T277" s="59">
        <f t="shared" si="79"/>
        <v>0.54711246200607899</v>
      </c>
      <c r="U277" s="59">
        <f t="shared" si="80"/>
        <v>3.6338028169014081</v>
      </c>
      <c r="V277" s="42">
        <f t="shared" si="83"/>
        <v>329</v>
      </c>
      <c r="W277" s="69">
        <f>IFERROR((VLOOKUP($A277,'Из ГУГЛа'!$B:$Z,W$1,0)+Y277)*X277,VLOOKUP($A277,'Из ГУГЛа'!$B:$Z,W$1,0))</f>
        <v>329</v>
      </c>
      <c r="X277" s="61">
        <v>1</v>
      </c>
      <c r="Y277" s="61">
        <v>0</v>
      </c>
      <c r="Z277" s="70">
        <v>329</v>
      </c>
      <c r="AA277" s="60" t="s">
        <v>749</v>
      </c>
    </row>
    <row r="278" spans="1:27" ht="45" x14ac:dyDescent="0.25">
      <c r="A278" s="52">
        <v>165726</v>
      </c>
      <c r="B278" s="52">
        <f>VLOOKUP($A278,'Выгр Кат'!$A:$R,B$1,0)</f>
        <v>48681</v>
      </c>
      <c r="C278" s="53" t="str">
        <f>VLOOKUP($A278,'Выгр Кат'!$A:$R,C$1,0)</f>
        <v>Накладка боковины "АвтоВАЗ" задняя левая (катафорез) для Лада Гранта, Гранта FL лифтбек</v>
      </c>
      <c r="D278" s="52" t="str">
        <f>VLOOKUP($A278,'Выгр Кат'!$A:$R,D$1,0)</f>
        <v>Y</v>
      </c>
      <c r="E278" s="52" t="str">
        <f>VLOOKUP($A278,'Выгр Кат'!$A:$R,E$1,0)</f>
        <v>1</v>
      </c>
      <c r="F278" s="52" t="str">
        <f>VLOOKUP($A278,'Выгр Кат'!$A:$R,F$1,0)</f>
        <v>21910540110770</v>
      </c>
      <c r="G278" s="52" t="str">
        <f>IF(VLOOKUP($A278,'Выгр Кат'!$A:$R,G$1,0)=0,"",VLOOKUP($A278,'Выгр Кат'!$A:$R,G$1,0))</f>
        <v/>
      </c>
      <c r="H278" s="52"/>
      <c r="I278" s="52"/>
      <c r="J278" s="54">
        <f t="shared" si="72"/>
        <v>2525</v>
      </c>
      <c r="K278" s="55">
        <f>VLOOKUP(J278,Наценка!$A$1:$B$8,2,1)</f>
        <v>1.4</v>
      </c>
      <c r="L278" s="56">
        <f t="shared" si="73"/>
        <v>3535</v>
      </c>
      <c r="M278" s="57">
        <f t="shared" si="74"/>
        <v>3590</v>
      </c>
      <c r="N278" s="52">
        <f>VLOOKUP($A278,'Выгр Кат'!$A:$R,N$1,0)</f>
        <v>2525</v>
      </c>
      <c r="O278" s="52">
        <f>VLOOKUP($A278,'Выгр Кат'!$A:$R,O$1,0)</f>
        <v>3590</v>
      </c>
      <c r="P278" s="47">
        <f t="shared" si="75"/>
        <v>0</v>
      </c>
      <c r="Q278" s="47">
        <f t="shared" si="76"/>
        <v>0</v>
      </c>
      <c r="R278" s="58">
        <f t="shared" si="77"/>
        <v>3590</v>
      </c>
      <c r="S278" s="59">
        <f t="shared" si="78"/>
        <v>0.42178217821782171</v>
      </c>
      <c r="T278" s="59" t="str">
        <f t="shared" si="79"/>
        <v/>
      </c>
      <c r="U278" s="59" t="str">
        <f t="shared" si="80"/>
        <v/>
      </c>
      <c r="V278" s="60"/>
      <c r="W278" s="69" t="str">
        <f>IFERROR((VLOOKUP($A278,'Из ГУГЛа'!$B:$Z,W$1,0)+Y278)*X278,VLOOKUP($A278,'Из ГУГЛа'!$B:$Z,W$1,0))</f>
        <v/>
      </c>
      <c r="X278" s="61">
        <v>1</v>
      </c>
      <c r="Y278" s="61">
        <v>0</v>
      </c>
      <c r="Z278" s="60" t="s">
        <v>4170</v>
      </c>
      <c r="AA278" s="60"/>
    </row>
    <row r="279" spans="1:27" ht="30" x14ac:dyDescent="0.25">
      <c r="A279" s="52">
        <v>165727</v>
      </c>
      <c r="B279" s="52">
        <f>VLOOKUP($A279,'Выгр Кат'!$A:$R,B$1,0)</f>
        <v>46301</v>
      </c>
      <c r="C279" s="53" t="str">
        <f>VLOOKUP($A279,'Выгр Кат'!$A:$R,C$1,0)</f>
        <v>Накладка боковины "АвтоВАЗ" нижняя левая (катафорез) для Шевроле Нива</v>
      </c>
      <c r="D279" s="52" t="str">
        <f>VLOOKUP($A279,'Выгр Кат'!$A:$R,D$1,0)</f>
        <v>Y</v>
      </c>
      <c r="E279" s="52" t="str">
        <f>VLOOKUP($A279,'Выгр Кат'!$A:$R,E$1,0)</f>
        <v>1</v>
      </c>
      <c r="F279" s="52" t="str">
        <f>VLOOKUP($A279,'Выгр Кат'!$A:$R,F$1,0)</f>
        <v>21230540110370</v>
      </c>
      <c r="G279" s="52" t="str">
        <f>IF(VLOOKUP($A279,'Выгр Кат'!$A:$R,G$1,0)=0,"",VLOOKUP($A279,'Выгр Кат'!$A:$R,G$1,0))</f>
        <v/>
      </c>
      <c r="H279" s="52"/>
      <c r="I279" s="52"/>
      <c r="J279" s="54">
        <f t="shared" si="72"/>
        <v>1352</v>
      </c>
      <c r="K279" s="55">
        <f>VLOOKUP(J279,Наценка!$A$1:$B$8,2,1)</f>
        <v>1.5</v>
      </c>
      <c r="L279" s="56">
        <f t="shared" si="73"/>
        <v>2028</v>
      </c>
      <c r="M279" s="57">
        <f t="shared" si="74"/>
        <v>2090</v>
      </c>
      <c r="N279" s="52">
        <f>VLOOKUP($A279,'Выгр Кат'!$A:$R,N$1,0)</f>
        <v>1352</v>
      </c>
      <c r="O279" s="52">
        <f>VLOOKUP($A279,'Выгр Кат'!$A:$R,O$1,0)</f>
        <v>2090</v>
      </c>
      <c r="P279" s="47">
        <f t="shared" si="75"/>
        <v>0</v>
      </c>
      <c r="Q279" s="47">
        <f t="shared" si="76"/>
        <v>0</v>
      </c>
      <c r="R279" s="58">
        <f t="shared" si="77"/>
        <v>2090</v>
      </c>
      <c r="S279" s="59">
        <f t="shared" si="78"/>
        <v>0.54585798816568043</v>
      </c>
      <c r="T279" s="59">
        <f t="shared" si="79"/>
        <v>-0.50359712230215825</v>
      </c>
      <c r="U279" s="59">
        <f t="shared" si="80"/>
        <v>2.8106508875739733E-2</v>
      </c>
      <c r="V279" s="42">
        <f>Z279</f>
        <v>1390</v>
      </c>
      <c r="W279" s="69" t="str">
        <f>IFERROR((VLOOKUP($A279,'Из ГУГЛа'!$B:$Z,W$1,0)+Y279)*X279,VLOOKUP($A279,'Из ГУГЛа'!$B:$Z,W$1,0))</f>
        <v/>
      </c>
      <c r="X279" s="61">
        <v>1</v>
      </c>
      <c r="Y279" s="61">
        <v>0</v>
      </c>
      <c r="Z279" s="60">
        <v>1390</v>
      </c>
      <c r="AA279" s="60" t="s">
        <v>4286</v>
      </c>
    </row>
    <row r="280" spans="1:27" ht="30" x14ac:dyDescent="0.25">
      <c r="A280" s="52">
        <v>165728</v>
      </c>
      <c r="B280" s="52">
        <f>VLOOKUP($A280,'Выгр Кат'!$A:$R,B$1,0)</f>
        <v>48211</v>
      </c>
      <c r="C280" s="53" t="str">
        <f>VLOOKUP($A280,'Выгр Кат'!$A:$R,C$1,0)</f>
        <v>Накладка боковины "АвтоВАЗ" нижняя правая (катафорез) для Лада Нива 4х4</v>
      </c>
      <c r="D280" s="52" t="str">
        <f>VLOOKUP($A280,'Выгр Кат'!$A:$R,D$1,0)</f>
        <v>Y</v>
      </c>
      <c r="E280" s="52" t="str">
        <f>VLOOKUP($A280,'Выгр Кат'!$A:$R,E$1,0)</f>
        <v>1</v>
      </c>
      <c r="F280" s="52" t="str">
        <f>VLOOKUP($A280,'Выгр Кат'!$A:$R,F$1,0)</f>
        <v>21310540110210</v>
      </c>
      <c r="G280" s="52" t="str">
        <f>IF(VLOOKUP($A280,'Выгр Кат'!$A:$R,G$1,0)=0,"",VLOOKUP($A280,'Выгр Кат'!$A:$R,G$1,0))</f>
        <v/>
      </c>
      <c r="H280" s="52"/>
      <c r="I280" s="52"/>
      <c r="J280" s="54">
        <f t="shared" si="72"/>
        <v>848</v>
      </c>
      <c r="K280" s="55">
        <f>VLOOKUP(J280,Наценка!$A$1:$B$8,2,1)</f>
        <v>1.55</v>
      </c>
      <c r="L280" s="56">
        <f t="shared" si="73"/>
        <v>1314.4</v>
      </c>
      <c r="M280" s="57">
        <f t="shared" si="74"/>
        <v>1390</v>
      </c>
      <c r="N280" s="52">
        <f>VLOOKUP($A280,'Выгр Кат'!$A:$R,N$1,0)</f>
        <v>848</v>
      </c>
      <c r="O280" s="52">
        <f>VLOOKUP($A280,'Выгр Кат'!$A:$R,O$1,0)</f>
        <v>1390</v>
      </c>
      <c r="P280" s="47">
        <f t="shared" si="75"/>
        <v>0</v>
      </c>
      <c r="Q280" s="47">
        <f t="shared" si="76"/>
        <v>0</v>
      </c>
      <c r="R280" s="58">
        <f t="shared" si="77"/>
        <v>1390</v>
      </c>
      <c r="S280" s="59">
        <f t="shared" si="78"/>
        <v>0.63915094339622636</v>
      </c>
      <c r="T280" s="59" t="str">
        <f t="shared" si="79"/>
        <v/>
      </c>
      <c r="U280" s="59" t="str">
        <f t="shared" si="80"/>
        <v/>
      </c>
      <c r="V280" s="60"/>
      <c r="W280" s="69" t="str">
        <f>IFERROR((VLOOKUP($A280,'Из ГУГЛа'!$B:$Z,W$1,0)+Y280)*X280,VLOOKUP($A280,'Из ГУГЛа'!$B:$Z,W$1,0))</f>
        <v/>
      </c>
      <c r="X280" s="61">
        <v>1</v>
      </c>
      <c r="Y280" s="61">
        <v>0</v>
      </c>
      <c r="Z280" s="60" t="s">
        <v>4170</v>
      </c>
      <c r="AA280" s="60"/>
    </row>
    <row r="281" spans="1:27" ht="45" x14ac:dyDescent="0.25">
      <c r="A281" s="52">
        <v>165729</v>
      </c>
      <c r="B281" s="52">
        <f>VLOOKUP($A281,'Выгр Кат'!$A:$R,B$1,0)</f>
        <v>32771</v>
      </c>
      <c r="C281" s="53" t="str">
        <f>VLOOKUP($A281,'Выгр Кат'!$A:$R,C$1,0)</f>
        <v>Накладка боковины верхняя "АвтоВАЗ" левая в сборе для Лада Приора купе</v>
      </c>
      <c r="D281" s="52" t="str">
        <f>VLOOKUP($A281,'Выгр Кат'!$A:$R,D$1,0)</f>
        <v>Y</v>
      </c>
      <c r="E281" s="52" t="str">
        <f>VLOOKUP($A281,'Выгр Кат'!$A:$R,E$1,0)</f>
        <v>1</v>
      </c>
      <c r="F281" s="52" t="str">
        <f>VLOOKUP($A281,'Выгр Кат'!$A:$R,F$1,0)</f>
        <v>21728540108700</v>
      </c>
      <c r="G281" s="52" t="str">
        <f>IF(VLOOKUP($A281,'Выгр Кат'!$A:$R,G$1,0)=0,"",VLOOKUP($A281,'Выгр Кат'!$A:$R,G$1,0))</f>
        <v/>
      </c>
      <c r="H281" s="52"/>
      <c r="I281" s="52"/>
      <c r="J281" s="54">
        <f t="shared" si="72"/>
        <v>408</v>
      </c>
      <c r="K281" s="55">
        <f>VLOOKUP(J281,Наценка!$A$1:$B$8,2,1)</f>
        <v>1.6</v>
      </c>
      <c r="L281" s="56">
        <f t="shared" si="73"/>
        <v>652.80000000000007</v>
      </c>
      <c r="M281" s="57">
        <f t="shared" si="74"/>
        <v>659</v>
      </c>
      <c r="N281" s="52">
        <f>VLOOKUP($A281,'Выгр Кат'!$A:$R,N$1,0)</f>
        <v>408</v>
      </c>
      <c r="O281" s="52">
        <f>VLOOKUP($A281,'Выгр Кат'!$A:$R,O$1,0)</f>
        <v>659</v>
      </c>
      <c r="P281" s="47">
        <f t="shared" si="75"/>
        <v>0</v>
      </c>
      <c r="Q281" s="47">
        <f t="shared" si="76"/>
        <v>0</v>
      </c>
      <c r="R281" s="58">
        <f t="shared" si="77"/>
        <v>659</v>
      </c>
      <c r="S281" s="59">
        <f t="shared" si="78"/>
        <v>0.61519607843137258</v>
      </c>
      <c r="T281" s="59" t="str">
        <f t="shared" si="79"/>
        <v/>
      </c>
      <c r="U281" s="59" t="str">
        <f t="shared" si="80"/>
        <v/>
      </c>
      <c r="V281" s="60"/>
      <c r="W281" s="69" t="str">
        <f>IFERROR((VLOOKUP($A281,'Из ГУГЛа'!$B:$Z,W$1,0)+Y281)*X281,VLOOKUP($A281,'Из ГУГЛа'!$B:$Z,W$1,0))</f>
        <v/>
      </c>
      <c r="X281" s="61">
        <v>1</v>
      </c>
      <c r="Y281" s="61">
        <v>0</v>
      </c>
      <c r="Z281" s="60" t="s">
        <v>4170</v>
      </c>
      <c r="AA281" s="60"/>
    </row>
    <row r="282" spans="1:27" ht="45" x14ac:dyDescent="0.25">
      <c r="A282" s="52">
        <v>165730</v>
      </c>
      <c r="B282" s="52">
        <f>VLOOKUP($A282,'Выгр Кат'!$A:$R,B$1,0)</f>
        <v>31274</v>
      </c>
      <c r="C282" s="53" t="str">
        <f>VLOOKUP($A282,'Выгр Кат'!$A:$R,C$1,0)</f>
        <v>Накладка боковины верхняя "АвтоВАЗ" левая в сборе для Шевроле Нива</v>
      </c>
      <c r="D282" s="52" t="str">
        <f>VLOOKUP($A282,'Выгр Кат'!$A:$R,D$1,0)</f>
        <v>Y</v>
      </c>
      <c r="E282" s="52" t="str">
        <f>VLOOKUP($A282,'Выгр Кат'!$A:$R,E$1,0)</f>
        <v>1</v>
      </c>
      <c r="F282" s="52" t="str">
        <f>VLOOKUP($A282,'Выгр Кат'!$A:$R,F$1,0)</f>
        <v>21230540108755</v>
      </c>
      <c r="G282" s="52" t="str">
        <f>IF(VLOOKUP($A282,'Выгр Кат'!$A:$R,G$1,0)=0,"",VLOOKUP($A282,'Выгр Кат'!$A:$R,G$1,0))</f>
        <v>https://motorring.ru/product/38141-levyy-usilitely-kryshi-vnutrenniy-novogo-obrazca-2123</v>
      </c>
      <c r="H282" s="52"/>
      <c r="I282" s="52"/>
      <c r="J282" s="54">
        <f t="shared" si="72"/>
        <v>319</v>
      </c>
      <c r="K282" s="55">
        <f>VLOOKUP(J282,Наценка!$A$1:$B$8,2,1)</f>
        <v>1.6</v>
      </c>
      <c r="L282" s="56">
        <f t="shared" si="73"/>
        <v>510.40000000000003</v>
      </c>
      <c r="M282" s="57">
        <f t="shared" si="74"/>
        <v>519</v>
      </c>
      <c r="N282" s="52">
        <f>VLOOKUP($A282,'Выгр Кат'!$A:$R,N$1,0)</f>
        <v>319</v>
      </c>
      <c r="O282" s="52">
        <f>VLOOKUP($A282,'Выгр Кат'!$A:$R,O$1,0)</f>
        <v>519</v>
      </c>
      <c r="P282" s="47">
        <f t="shared" si="75"/>
        <v>0</v>
      </c>
      <c r="Q282" s="47">
        <f t="shared" si="76"/>
        <v>0</v>
      </c>
      <c r="R282" s="58">
        <f t="shared" si="77"/>
        <v>519</v>
      </c>
      <c r="S282" s="59">
        <f t="shared" si="78"/>
        <v>0.62695924764890276</v>
      </c>
      <c r="T282" s="59">
        <f t="shared" si="79"/>
        <v>0.12033898305084746</v>
      </c>
      <c r="U282" s="59">
        <f t="shared" si="80"/>
        <v>0.84952978056426343</v>
      </c>
      <c r="V282" s="42">
        <f>Z282</f>
        <v>590</v>
      </c>
      <c r="W282" s="69">
        <f>IFERROR((VLOOKUP($A282,'Из ГУГЛа'!$B:$Z,W$1,0)+Y282)*X282,VLOOKUP($A282,'Из ГУГЛа'!$B:$Z,W$1,0))</f>
        <v>590</v>
      </c>
      <c r="X282" s="61">
        <v>1</v>
      </c>
      <c r="Y282" s="61">
        <v>0</v>
      </c>
      <c r="Z282" s="70">
        <v>590</v>
      </c>
      <c r="AA282" s="60" t="s">
        <v>763</v>
      </c>
    </row>
    <row r="283" spans="1:27" ht="30" x14ac:dyDescent="0.25">
      <c r="A283" s="52">
        <v>165731</v>
      </c>
      <c r="B283" s="52">
        <f>VLOOKUP($A283,'Выгр Кат'!$A:$R,B$1,0)</f>
        <v>32773</v>
      </c>
      <c r="C283" s="53" t="str">
        <f>VLOOKUP($A283,'Выгр Кат'!$A:$R,C$1,0)</f>
        <v>Накладка боковины верхняя "АвтоВАЗ" левая для Лада Приора купе</v>
      </c>
      <c r="D283" s="52" t="str">
        <f>VLOOKUP($A283,'Выгр Кат'!$A:$R,D$1,0)</f>
        <v>Y</v>
      </c>
      <c r="E283" s="52" t="str">
        <f>VLOOKUP($A283,'Выгр Кат'!$A:$R,E$1,0)</f>
        <v>1</v>
      </c>
      <c r="F283" s="52" t="str">
        <f>VLOOKUP($A283,'Выгр Кат'!$A:$R,F$1,0)</f>
        <v>21728540110500</v>
      </c>
      <c r="G283" s="52" t="str">
        <f>IF(VLOOKUP($A283,'Выгр Кат'!$A:$R,G$1,0)=0,"",VLOOKUP($A283,'Выгр Кат'!$A:$R,G$1,0))</f>
        <v/>
      </c>
      <c r="H283" s="52"/>
      <c r="I283" s="52"/>
      <c r="J283" s="54">
        <f t="shared" si="72"/>
        <v>672</v>
      </c>
      <c r="K283" s="55">
        <f>VLOOKUP(J283,Наценка!$A$1:$B$8,2,1)</f>
        <v>1.55</v>
      </c>
      <c r="L283" s="56">
        <f t="shared" si="73"/>
        <v>1041.6000000000001</v>
      </c>
      <c r="M283" s="57">
        <f t="shared" si="74"/>
        <v>1090</v>
      </c>
      <c r="N283" s="52">
        <f>VLOOKUP($A283,'Выгр Кат'!$A:$R,N$1,0)</f>
        <v>672</v>
      </c>
      <c r="O283" s="52">
        <f>VLOOKUP($A283,'Выгр Кат'!$A:$R,O$1,0)</f>
        <v>1090</v>
      </c>
      <c r="P283" s="47">
        <f t="shared" si="75"/>
        <v>0</v>
      </c>
      <c r="Q283" s="47">
        <f t="shared" si="76"/>
        <v>0</v>
      </c>
      <c r="R283" s="58">
        <f t="shared" si="77"/>
        <v>1090</v>
      </c>
      <c r="S283" s="59">
        <f t="shared" si="78"/>
        <v>0.62202380952380953</v>
      </c>
      <c r="T283" s="59" t="str">
        <f t="shared" si="79"/>
        <v/>
      </c>
      <c r="U283" s="59" t="str">
        <f t="shared" si="80"/>
        <v/>
      </c>
      <c r="V283" s="60"/>
      <c r="W283" s="69" t="str">
        <f>IFERROR((VLOOKUP($A283,'Из ГУГЛа'!$B:$Z,W$1,0)+Y283)*X283,VLOOKUP($A283,'Из ГУГЛа'!$B:$Z,W$1,0))</f>
        <v/>
      </c>
      <c r="X283" s="61">
        <v>1</v>
      </c>
      <c r="Y283" s="61">
        <v>0</v>
      </c>
      <c r="Z283" s="60" t="s">
        <v>4170</v>
      </c>
      <c r="AA283" s="60"/>
    </row>
    <row r="284" spans="1:27" ht="45" x14ac:dyDescent="0.25">
      <c r="A284" s="52">
        <v>165732</v>
      </c>
      <c r="B284" s="52">
        <f>VLOOKUP($A284,'Выгр Кат'!$A:$R,B$1,0)</f>
        <v>32769</v>
      </c>
      <c r="C284" s="53" t="str">
        <f>VLOOKUP($A284,'Выгр Кат'!$A:$R,C$1,0)</f>
        <v>Накладка боковины верхняя "АвтоВАЗ" правая в сборе для Лада Приора купе</v>
      </c>
      <c r="D284" s="52" t="str">
        <f>VLOOKUP($A284,'Выгр Кат'!$A:$R,D$1,0)</f>
        <v>Y</v>
      </c>
      <c r="E284" s="52" t="str">
        <f>VLOOKUP($A284,'Выгр Кат'!$A:$R,E$1,0)</f>
        <v>1</v>
      </c>
      <c r="F284" s="52" t="str">
        <f>VLOOKUP($A284,'Выгр Кат'!$A:$R,F$1,0)</f>
        <v>21728540108600</v>
      </c>
      <c r="G284" s="52" t="str">
        <f>IF(VLOOKUP($A284,'Выгр Кат'!$A:$R,G$1,0)=0,"",VLOOKUP($A284,'Выгр Кат'!$A:$R,G$1,0))</f>
        <v/>
      </c>
      <c r="H284" s="52"/>
      <c r="I284" s="52"/>
      <c r="J284" s="54">
        <f t="shared" si="72"/>
        <v>408</v>
      </c>
      <c r="K284" s="55">
        <f>VLOOKUP(J284,Наценка!$A$1:$B$8,2,1)</f>
        <v>1.6</v>
      </c>
      <c r="L284" s="56">
        <f t="shared" si="73"/>
        <v>652.80000000000007</v>
      </c>
      <c r="M284" s="57">
        <f t="shared" si="74"/>
        <v>659</v>
      </c>
      <c r="N284" s="52">
        <f>VLOOKUP($A284,'Выгр Кат'!$A:$R,N$1,0)</f>
        <v>408</v>
      </c>
      <c r="O284" s="52">
        <f>VLOOKUP($A284,'Выгр Кат'!$A:$R,O$1,0)</f>
        <v>659</v>
      </c>
      <c r="P284" s="47">
        <f t="shared" si="75"/>
        <v>0</v>
      </c>
      <c r="Q284" s="47">
        <f t="shared" si="76"/>
        <v>0</v>
      </c>
      <c r="R284" s="58">
        <f t="shared" si="77"/>
        <v>659</v>
      </c>
      <c r="S284" s="59">
        <f t="shared" si="78"/>
        <v>0.61519607843137258</v>
      </c>
      <c r="T284" s="59" t="str">
        <f t="shared" si="79"/>
        <v/>
      </c>
      <c r="U284" s="59" t="str">
        <f t="shared" si="80"/>
        <v/>
      </c>
      <c r="V284" s="60"/>
      <c r="W284" s="69" t="str">
        <f>IFERROR((VLOOKUP($A284,'Из ГУГЛа'!$B:$Z,W$1,0)+Y284)*X284,VLOOKUP($A284,'Из ГУГЛа'!$B:$Z,W$1,0))</f>
        <v/>
      </c>
      <c r="X284" s="61">
        <v>1</v>
      </c>
      <c r="Y284" s="61">
        <v>0</v>
      </c>
      <c r="Z284" s="60" t="s">
        <v>4170</v>
      </c>
      <c r="AA284" s="60"/>
    </row>
    <row r="285" spans="1:27" ht="45" x14ac:dyDescent="0.25">
      <c r="A285" s="52">
        <v>165733</v>
      </c>
      <c r="B285" s="52">
        <f>VLOOKUP($A285,'Выгр Кат'!$A:$R,B$1,0)</f>
        <v>31275</v>
      </c>
      <c r="C285" s="53" t="str">
        <f>VLOOKUP($A285,'Выгр Кат'!$A:$R,C$1,0)</f>
        <v>Накладка боковины верхняя "АвтоВАЗ" правая в сборе для Шевроле Нива</v>
      </c>
      <c r="D285" s="52" t="str">
        <f>VLOOKUP($A285,'Выгр Кат'!$A:$R,D$1,0)</f>
        <v>Y</v>
      </c>
      <c r="E285" s="52" t="str">
        <f>VLOOKUP($A285,'Выгр Кат'!$A:$R,E$1,0)</f>
        <v>1</v>
      </c>
      <c r="F285" s="52" t="str">
        <f>VLOOKUP($A285,'Выгр Кат'!$A:$R,F$1,0)</f>
        <v>21230540108655</v>
      </c>
      <c r="G285" s="52" t="str">
        <f>IF(VLOOKUP($A285,'Выгр Кат'!$A:$R,G$1,0)=0,"",VLOOKUP($A285,'Выгр Кат'!$A:$R,G$1,0))</f>
        <v>https://motorring.ru/product/38140-pravyy-usilitely-kryshi-vnutrenniy-novogo-obrazca-2123</v>
      </c>
      <c r="H285" s="52"/>
      <c r="I285" s="52"/>
      <c r="J285" s="54">
        <f t="shared" si="72"/>
        <v>319</v>
      </c>
      <c r="K285" s="55">
        <f>VLOOKUP(J285,Наценка!$A$1:$B$8,2,1)</f>
        <v>1.6</v>
      </c>
      <c r="L285" s="56">
        <f t="shared" si="73"/>
        <v>510.40000000000003</v>
      </c>
      <c r="M285" s="57">
        <f t="shared" si="74"/>
        <v>519</v>
      </c>
      <c r="N285" s="52">
        <f>VLOOKUP($A285,'Выгр Кат'!$A:$R,N$1,0)</f>
        <v>319</v>
      </c>
      <c r="O285" s="52">
        <f>VLOOKUP($A285,'Выгр Кат'!$A:$R,O$1,0)</f>
        <v>519</v>
      </c>
      <c r="P285" s="47">
        <f t="shared" si="75"/>
        <v>0</v>
      </c>
      <c r="Q285" s="47">
        <f t="shared" si="76"/>
        <v>0</v>
      </c>
      <c r="R285" s="58">
        <f t="shared" si="77"/>
        <v>519</v>
      </c>
      <c r="S285" s="59">
        <f t="shared" si="78"/>
        <v>0.62695924764890276</v>
      </c>
      <c r="T285" s="59">
        <f t="shared" si="79"/>
        <v>0.12033898305084746</v>
      </c>
      <c r="U285" s="59">
        <f t="shared" si="80"/>
        <v>0.84952978056426343</v>
      </c>
      <c r="V285" s="42">
        <f>Z285</f>
        <v>590</v>
      </c>
      <c r="W285" s="69">
        <f>IFERROR((VLOOKUP($A285,'Из ГУГЛа'!$B:$Z,W$1,0)+Y285)*X285,VLOOKUP($A285,'Из ГУГЛа'!$B:$Z,W$1,0))</f>
        <v>590</v>
      </c>
      <c r="X285" s="61">
        <v>1</v>
      </c>
      <c r="Y285" s="61">
        <v>0</v>
      </c>
      <c r="Z285" s="70">
        <v>590</v>
      </c>
      <c r="AA285" s="60" t="s">
        <v>770</v>
      </c>
    </row>
    <row r="286" spans="1:27" ht="45" x14ac:dyDescent="0.25">
      <c r="A286" s="52">
        <v>165734</v>
      </c>
      <c r="B286" s="52">
        <f>VLOOKUP($A286,'Выгр Кат'!$A:$R,B$1,0)</f>
        <v>32772</v>
      </c>
      <c r="C286" s="53" t="str">
        <f>VLOOKUP($A286,'Выгр Кат'!$A:$R,C$1,0)</f>
        <v>Накладка боковины верхняя "АвтоВАЗ" правая для Лада Приора купе</v>
      </c>
      <c r="D286" s="52" t="str">
        <f>VLOOKUP($A286,'Выгр Кат'!$A:$R,D$1,0)</f>
        <v>Y</v>
      </c>
      <c r="E286" s="52" t="str">
        <f>VLOOKUP($A286,'Выгр Кат'!$A:$R,E$1,0)</f>
        <v>1</v>
      </c>
      <c r="F286" s="52" t="str">
        <f>VLOOKUP($A286,'Выгр Кат'!$A:$R,F$1,0)</f>
        <v>21728540110400</v>
      </c>
      <c r="G286" s="52" t="str">
        <f>IF(VLOOKUP($A286,'Выгр Кат'!$A:$R,G$1,0)=0,"",VLOOKUP($A286,'Выгр Кат'!$A:$R,G$1,0))</f>
        <v/>
      </c>
      <c r="H286" s="52"/>
      <c r="I286" s="52"/>
      <c r="J286" s="54">
        <f t="shared" si="72"/>
        <v>672</v>
      </c>
      <c r="K286" s="55">
        <f>VLOOKUP(J286,Наценка!$A$1:$B$8,2,1)</f>
        <v>1.55</v>
      </c>
      <c r="L286" s="56">
        <f t="shared" si="73"/>
        <v>1041.6000000000001</v>
      </c>
      <c r="M286" s="57">
        <f t="shared" si="74"/>
        <v>1090</v>
      </c>
      <c r="N286" s="52">
        <f>VLOOKUP($A286,'Выгр Кат'!$A:$R,N$1,0)</f>
        <v>672</v>
      </c>
      <c r="O286" s="52">
        <f>VLOOKUP($A286,'Выгр Кат'!$A:$R,O$1,0)</f>
        <v>1090</v>
      </c>
      <c r="P286" s="47">
        <f t="shared" si="75"/>
        <v>0</v>
      </c>
      <c r="Q286" s="47">
        <f t="shared" si="76"/>
        <v>0</v>
      </c>
      <c r="R286" s="58">
        <f t="shared" si="77"/>
        <v>1090</v>
      </c>
      <c r="S286" s="59">
        <f t="shared" si="78"/>
        <v>0.62202380952380953</v>
      </c>
      <c r="T286" s="59" t="str">
        <f t="shared" si="79"/>
        <v/>
      </c>
      <c r="U286" s="59" t="str">
        <f t="shared" si="80"/>
        <v/>
      </c>
      <c r="V286" s="60"/>
      <c r="W286" s="69" t="str">
        <f>IFERROR((VLOOKUP($A286,'Из ГУГЛа'!$B:$Z,W$1,0)+Y286)*X286,VLOOKUP($A286,'Из ГУГЛа'!$B:$Z,W$1,0))</f>
        <v/>
      </c>
      <c r="X286" s="61">
        <v>1</v>
      </c>
      <c r="Y286" s="61">
        <v>0</v>
      </c>
      <c r="Z286" s="60" t="s">
        <v>4170</v>
      </c>
      <c r="AA286" s="60"/>
    </row>
    <row r="287" spans="1:27" ht="30" x14ac:dyDescent="0.25">
      <c r="A287" s="52">
        <v>165735</v>
      </c>
      <c r="B287" s="52">
        <f>VLOOKUP($A287,'Выгр Кат'!$A:$R,B$1,0)</f>
        <v>32663</v>
      </c>
      <c r="C287" s="53" t="str">
        <f>VLOOKUP($A287,'Выгр Кат'!$A:$R,C$1,0)</f>
        <v>Накладка боковины верхняя левая "АвтоВАЗ" в сборе для Шевроле Нива</v>
      </c>
      <c r="D287" s="52" t="str">
        <f>VLOOKUP($A287,'Выгр Кат'!$A:$R,D$1,0)</f>
        <v>Y</v>
      </c>
      <c r="E287" s="52" t="str">
        <f>VLOOKUP($A287,'Выгр Кат'!$A:$R,E$1,0)</f>
        <v>1</v>
      </c>
      <c r="F287" s="52" t="str">
        <f>VLOOKUP($A287,'Выгр Кат'!$A:$R,F$1,0)</f>
        <v>21230540108700</v>
      </c>
      <c r="G287" s="52" t="str">
        <f>IF(VLOOKUP($A287,'Выгр Кат'!$A:$R,G$1,0)=0,"",VLOOKUP($A287,'Выгр Кат'!$A:$R,G$1,0))</f>
        <v>https://motorring.ru/product/37051-nakladka-bokoviny-verhnyaya-levaya-sbore-dlya-shevrole</v>
      </c>
      <c r="H287" s="52"/>
      <c r="I287" s="52"/>
      <c r="J287" s="54">
        <f t="shared" si="72"/>
        <v>145</v>
      </c>
      <c r="K287" s="55">
        <f>VLOOKUP(J287,Наценка!$A$1:$B$8,2,1)</f>
        <v>1.8</v>
      </c>
      <c r="L287" s="56">
        <f t="shared" si="73"/>
        <v>261</v>
      </c>
      <c r="M287" s="57">
        <f t="shared" si="74"/>
        <v>269</v>
      </c>
      <c r="N287" s="52">
        <f>VLOOKUP($A287,'Выгр Кат'!$A:$R,N$1,0)</f>
        <v>145</v>
      </c>
      <c r="O287" s="52">
        <f>VLOOKUP($A287,'Выгр Кат'!$A:$R,O$1,0)</f>
        <v>269</v>
      </c>
      <c r="P287" s="47">
        <f t="shared" si="75"/>
        <v>0</v>
      </c>
      <c r="Q287" s="47">
        <f t="shared" si="76"/>
        <v>0</v>
      </c>
      <c r="R287" s="58">
        <f t="shared" si="77"/>
        <v>269</v>
      </c>
      <c r="S287" s="59">
        <f t="shared" si="78"/>
        <v>0.85517241379310338</v>
      </c>
      <c r="T287" s="59">
        <f t="shared" si="79"/>
        <v>7.2413793103448282E-2</v>
      </c>
      <c r="U287" s="59">
        <f t="shared" si="80"/>
        <v>1</v>
      </c>
      <c r="V287" s="42">
        <f t="shared" ref="V287:V288" si="84">Z287</f>
        <v>290</v>
      </c>
      <c r="W287" s="69">
        <f>IFERROR((VLOOKUP($A287,'Из ГУГЛа'!$B:$Z,W$1,0)+Y287)*X287,VLOOKUP($A287,'Из ГУГЛа'!$B:$Z,W$1,0))</f>
        <v>290</v>
      </c>
      <c r="X287" s="61">
        <v>1</v>
      </c>
      <c r="Y287" s="61">
        <v>0</v>
      </c>
      <c r="Z287" s="70">
        <v>290</v>
      </c>
      <c r="AA287" s="60" t="s">
        <v>775</v>
      </c>
    </row>
    <row r="288" spans="1:27" ht="30" x14ac:dyDescent="0.25">
      <c r="A288" s="52">
        <v>165736</v>
      </c>
      <c r="B288" s="52">
        <f>VLOOKUP($A288,'Выгр Кат'!$A:$R,B$1,0)</f>
        <v>32662</v>
      </c>
      <c r="C288" s="53" t="str">
        <f>VLOOKUP($A288,'Выгр Кат'!$A:$R,C$1,0)</f>
        <v>Накладка боковины верхняя правая "АвтоВАЗ" в сборе для Шевроле Нива</v>
      </c>
      <c r="D288" s="52" t="str">
        <f>VLOOKUP($A288,'Выгр Кат'!$A:$R,D$1,0)</f>
        <v>Y</v>
      </c>
      <c r="E288" s="52" t="str">
        <f>VLOOKUP($A288,'Выгр Кат'!$A:$R,E$1,0)</f>
        <v>1</v>
      </c>
      <c r="F288" s="52" t="str">
        <f>VLOOKUP($A288,'Выгр Кат'!$A:$R,F$1,0)</f>
        <v>21230540108600</v>
      </c>
      <c r="G288" s="52" t="str">
        <f>IF(VLOOKUP($A288,'Выгр Кат'!$A:$R,G$1,0)=0,"",VLOOKUP($A288,'Выгр Кат'!$A:$R,G$1,0))</f>
        <v>https://motorring.ru/product/952-nakladka-bokoviny-verhnyaya-pravaya-sbore-dlya-shevrole</v>
      </c>
      <c r="H288" s="52"/>
      <c r="I288" s="52"/>
      <c r="J288" s="54">
        <f t="shared" si="72"/>
        <v>145</v>
      </c>
      <c r="K288" s="55">
        <f>VLOOKUP(J288,Наценка!$A$1:$B$8,2,1)</f>
        <v>1.8</v>
      </c>
      <c r="L288" s="56">
        <f t="shared" si="73"/>
        <v>261</v>
      </c>
      <c r="M288" s="57">
        <f t="shared" si="74"/>
        <v>269</v>
      </c>
      <c r="N288" s="52">
        <f>VLOOKUP($A288,'Выгр Кат'!$A:$R,N$1,0)</f>
        <v>145</v>
      </c>
      <c r="O288" s="52">
        <f>VLOOKUP($A288,'Выгр Кат'!$A:$R,O$1,0)</f>
        <v>269</v>
      </c>
      <c r="P288" s="47">
        <f t="shared" si="75"/>
        <v>0</v>
      </c>
      <c r="Q288" s="47">
        <f t="shared" si="76"/>
        <v>0</v>
      </c>
      <c r="R288" s="58">
        <f t="shared" si="77"/>
        <v>269</v>
      </c>
      <c r="S288" s="59">
        <f t="shared" si="78"/>
        <v>0.85517241379310338</v>
      </c>
      <c r="T288" s="59">
        <f t="shared" si="79"/>
        <v>7.2413793103448282E-2</v>
      </c>
      <c r="U288" s="59">
        <f t="shared" si="80"/>
        <v>1</v>
      </c>
      <c r="V288" s="42">
        <f t="shared" si="84"/>
        <v>290</v>
      </c>
      <c r="W288" s="69">
        <f>IFERROR((VLOOKUP($A288,'Из ГУГЛа'!$B:$Z,W$1,0)+Y288)*X288,VLOOKUP($A288,'Из ГУГЛа'!$B:$Z,W$1,0))</f>
        <v>290</v>
      </c>
      <c r="X288" s="61">
        <v>1</v>
      </c>
      <c r="Y288" s="61">
        <v>0</v>
      </c>
      <c r="Z288" s="70">
        <v>290</v>
      </c>
      <c r="AA288" s="60" t="s">
        <v>778</v>
      </c>
    </row>
    <row r="289" spans="1:27" ht="45" x14ac:dyDescent="0.25">
      <c r="A289" s="52">
        <v>165737</v>
      </c>
      <c r="B289" s="52">
        <f>VLOOKUP($A289,'Выгр Кат'!$A:$R,B$1,0)</f>
        <v>31192</v>
      </c>
      <c r="C289" s="53" t="str">
        <f>VLOOKUP($A289,'Выгр Кат'!$A:$R,C$1,0)</f>
        <v>Накладка боковины верхняя правая в сборе (катафорез) "АвтоВАЗ" для Лада Веста седан</v>
      </c>
      <c r="D289" s="52" t="str">
        <f>VLOOKUP($A289,'Выгр Кат'!$A:$R,D$1,0)</f>
        <v>Y</v>
      </c>
      <c r="E289" s="52" t="str">
        <f>VLOOKUP($A289,'Выгр Кат'!$A:$R,E$1,0)</f>
        <v>1</v>
      </c>
      <c r="F289" s="52" t="str">
        <f>VLOOKUP($A289,'Выгр Кат'!$A:$R,F$1,0)</f>
        <v>8450039203</v>
      </c>
      <c r="G289" s="52" t="str">
        <f>IF(VLOOKUP($A289,'Выгр Кат'!$A:$R,G$1,0)=0,"",VLOOKUP($A289,'Выгр Кат'!$A:$R,G$1,0))</f>
        <v/>
      </c>
      <c r="H289" s="52"/>
      <c r="I289" s="52"/>
      <c r="J289" s="54">
        <f t="shared" si="72"/>
        <v>258</v>
      </c>
      <c r="K289" s="55">
        <f>VLOOKUP(J289,Наценка!$A$1:$B$8,2,1)</f>
        <v>1.8</v>
      </c>
      <c r="L289" s="56">
        <f t="shared" si="73"/>
        <v>464.40000000000003</v>
      </c>
      <c r="M289" s="57">
        <f t="shared" si="74"/>
        <v>469</v>
      </c>
      <c r="N289" s="52">
        <f>VLOOKUP($A289,'Выгр Кат'!$A:$R,N$1,0)</f>
        <v>258</v>
      </c>
      <c r="O289" s="52">
        <f>VLOOKUP($A289,'Выгр Кат'!$A:$R,O$1,0)</f>
        <v>469</v>
      </c>
      <c r="P289" s="47">
        <f t="shared" si="75"/>
        <v>0</v>
      </c>
      <c r="Q289" s="47">
        <f t="shared" si="76"/>
        <v>0</v>
      </c>
      <c r="R289" s="58">
        <f t="shared" si="77"/>
        <v>469</v>
      </c>
      <c r="S289" s="59">
        <f t="shared" si="78"/>
        <v>0.81782945736434098</v>
      </c>
      <c r="T289" s="59" t="str">
        <f t="shared" si="79"/>
        <v/>
      </c>
      <c r="U289" s="59" t="str">
        <f t="shared" si="80"/>
        <v/>
      </c>
      <c r="V289" s="60"/>
      <c r="W289" s="69" t="str">
        <f>IFERROR((VLOOKUP($A289,'Из ГУГЛа'!$B:$Z,W$1,0)+Y289)*X289,VLOOKUP($A289,'Из ГУГЛа'!$B:$Z,W$1,0))</f>
        <v/>
      </c>
      <c r="X289" s="61">
        <v>1</v>
      </c>
      <c r="Y289" s="61">
        <v>0</v>
      </c>
      <c r="Z289" s="60" t="s">
        <v>4170</v>
      </c>
      <c r="AA289" s="60"/>
    </row>
    <row r="290" spans="1:27" ht="45" x14ac:dyDescent="0.25">
      <c r="A290" s="52">
        <v>165738</v>
      </c>
      <c r="B290" s="52">
        <f>VLOOKUP($A290,'Выгр Кат'!$A:$R,B$1,0)</f>
        <v>31210</v>
      </c>
      <c r="C290" s="53" t="str">
        <f>VLOOKUP($A290,'Выгр Кат'!$A:$R,C$1,0)</f>
        <v>Накладка боковины задняя (катафорез) "АвтоВАЗ" правая для Лада Гранта, Гранта FL лифтбек</v>
      </c>
      <c r="D290" s="52" t="str">
        <f>VLOOKUP($A290,'Выгр Кат'!$A:$R,D$1,0)</f>
        <v>Y</v>
      </c>
      <c r="E290" s="52" t="str">
        <f>VLOOKUP($A290,'Выгр Кат'!$A:$R,E$1,0)</f>
        <v>1</v>
      </c>
      <c r="F290" s="52" t="str">
        <f>VLOOKUP($A290,'Выгр Кат'!$A:$R,F$1,0)</f>
        <v>21910540110670</v>
      </c>
      <c r="G290" s="52" t="str">
        <f>IF(VLOOKUP($A290,'Выгр Кат'!$A:$R,G$1,0)=0,"",VLOOKUP($A290,'Выгр Кат'!$A:$R,G$1,0))</f>
        <v/>
      </c>
      <c r="H290" s="52"/>
      <c r="I290" s="52"/>
      <c r="J290" s="54">
        <f t="shared" si="72"/>
        <v>1980.33</v>
      </c>
      <c r="K290" s="55">
        <f>VLOOKUP(J290,Наценка!$A$1:$B$8,2,1)</f>
        <v>1.5</v>
      </c>
      <c r="L290" s="56">
        <f t="shared" si="73"/>
        <v>2970.4949999999999</v>
      </c>
      <c r="M290" s="57">
        <f t="shared" si="74"/>
        <v>2990</v>
      </c>
      <c r="N290" s="52">
        <f>VLOOKUP($A290,'Выгр Кат'!$A:$R,N$1,0)</f>
        <v>1980.33</v>
      </c>
      <c r="O290" s="52">
        <f>VLOOKUP($A290,'Выгр Кат'!$A:$R,O$1,0)</f>
        <v>2990</v>
      </c>
      <c r="P290" s="47">
        <f t="shared" si="75"/>
        <v>0</v>
      </c>
      <c r="Q290" s="47">
        <f t="shared" si="76"/>
        <v>0</v>
      </c>
      <c r="R290" s="58">
        <f t="shared" si="77"/>
        <v>2990</v>
      </c>
      <c r="S290" s="59">
        <f t="shared" si="78"/>
        <v>0.50984936853958684</v>
      </c>
      <c r="T290" s="59" t="str">
        <f t="shared" si="79"/>
        <v/>
      </c>
      <c r="U290" s="59" t="str">
        <f t="shared" si="80"/>
        <v/>
      </c>
      <c r="V290" s="60"/>
      <c r="W290" s="69" t="str">
        <f>IFERROR((VLOOKUP($A290,'Из ГУГЛа'!$B:$Z,W$1,0)+Y290)*X290,VLOOKUP($A290,'Из ГУГЛа'!$B:$Z,W$1,0))</f>
        <v/>
      </c>
      <c r="X290" s="61">
        <v>1</v>
      </c>
      <c r="Y290" s="61">
        <v>0</v>
      </c>
      <c r="Z290" s="60" t="s">
        <v>4170</v>
      </c>
      <c r="AA290" s="60"/>
    </row>
    <row r="291" spans="1:27" ht="45" x14ac:dyDescent="0.25">
      <c r="A291" s="52">
        <v>165739</v>
      </c>
      <c r="B291" s="52">
        <f>VLOOKUP($A291,'Выгр Кат'!$A:$R,B$1,0)</f>
        <v>31271</v>
      </c>
      <c r="C291" s="53" t="str">
        <f>VLOOKUP($A291,'Выгр Кат'!$A:$R,C$1,0)</f>
        <v>Накладка боковины нижняя (катафорез) "АвтоВАЗ" правaя для Шевроле Нива</v>
      </c>
      <c r="D291" s="52" t="str">
        <f>VLOOKUP($A291,'Выгр Кат'!$A:$R,D$1,0)</f>
        <v>Y</v>
      </c>
      <c r="E291" s="52" t="str">
        <f>VLOOKUP($A291,'Выгр Кат'!$A:$R,E$1,0)</f>
        <v>1</v>
      </c>
      <c r="F291" s="52" t="str">
        <f>VLOOKUP($A291,'Выгр Кат'!$A:$R,F$1,0)</f>
        <v>21230540110270</v>
      </c>
      <c r="G291" s="52" t="str">
        <f>IF(VLOOKUP($A291,'Выгр Кат'!$A:$R,G$1,0)=0,"",VLOOKUP($A291,'Выгр Кат'!$A:$R,G$1,0))</f>
        <v>https://motorring.ru/product/38264-pravyy-usilitely-poroga-kataforeznym-pokrytiem-2123</v>
      </c>
      <c r="H291" s="52"/>
      <c r="I291" s="52"/>
      <c r="J291" s="54">
        <f t="shared" si="72"/>
        <v>1339</v>
      </c>
      <c r="K291" s="55">
        <f>VLOOKUP(J291,Наценка!$A$1:$B$8,2,1)</f>
        <v>1.5</v>
      </c>
      <c r="L291" s="56">
        <f t="shared" si="73"/>
        <v>2008.5</v>
      </c>
      <c r="M291" s="57">
        <f t="shared" si="74"/>
        <v>2090</v>
      </c>
      <c r="N291" s="52">
        <f>VLOOKUP($A291,'Выгр Кат'!$A:$R,N$1,0)</f>
        <v>1339</v>
      </c>
      <c r="O291" s="52">
        <f>VLOOKUP($A291,'Выгр Кат'!$A:$R,O$1,0)</f>
        <v>2090</v>
      </c>
      <c r="P291" s="47">
        <f t="shared" si="75"/>
        <v>0</v>
      </c>
      <c r="Q291" s="47">
        <f t="shared" si="76"/>
        <v>0</v>
      </c>
      <c r="R291" s="58">
        <f t="shared" si="77"/>
        <v>2090</v>
      </c>
      <c r="S291" s="59">
        <f t="shared" si="78"/>
        <v>0.56086631814787147</v>
      </c>
      <c r="T291" s="59">
        <f t="shared" si="79"/>
        <v>-0.16759776536312848</v>
      </c>
      <c r="U291" s="59">
        <f t="shared" si="80"/>
        <v>0.33681852128454071</v>
      </c>
      <c r="V291" s="42">
        <f t="shared" ref="V291:V293" si="85">Z291</f>
        <v>1790</v>
      </c>
      <c r="W291" s="69">
        <f>IFERROR((VLOOKUP($A291,'Из ГУГЛа'!$B:$Z,W$1,0)+Y291)*X291,VLOOKUP($A291,'Из ГУГЛа'!$B:$Z,W$1,0))</f>
        <v>1790</v>
      </c>
      <c r="X291" s="61">
        <v>1</v>
      </c>
      <c r="Y291" s="61">
        <v>0</v>
      </c>
      <c r="Z291" s="70">
        <v>1790</v>
      </c>
      <c r="AA291" s="60" t="s">
        <v>785</v>
      </c>
    </row>
    <row r="292" spans="1:27" ht="45" x14ac:dyDescent="0.25">
      <c r="A292" s="52">
        <v>165740</v>
      </c>
      <c r="B292" s="52">
        <f>VLOOKUP($A292,'Выгр Кат'!$A:$R,B$1,0)</f>
        <v>31178</v>
      </c>
      <c r="C292" s="53" t="str">
        <f>VLOOKUP($A292,'Выгр Кат'!$A:$R,C$1,0)</f>
        <v>Накладка боковины нижняя левая доработанная (катафорез) "АвтоВАЗ" для Лада Веста</v>
      </c>
      <c r="D292" s="52" t="str">
        <f>VLOOKUP($A292,'Выгр Кат'!$A:$R,D$1,0)</f>
        <v>Y</v>
      </c>
      <c r="E292" s="52" t="str">
        <f>VLOOKUP($A292,'Выгр Кат'!$A:$R,E$1,0)</f>
        <v>1</v>
      </c>
      <c r="F292" s="52" t="str">
        <f>VLOOKUP($A292,'Выгр Кат'!$A:$R,F$1,0)</f>
        <v>8450039264</v>
      </c>
      <c r="G292" s="52" t="str">
        <f>IF(VLOOKUP($A292,'Выгр Кат'!$A:$R,G$1,0)=0,"",VLOOKUP($A292,'Выгр Кат'!$A:$R,G$1,0))</f>
        <v>https://motorring.ru/product/36841-usilitely-poroga-levyy-dlya-lada-vesta</v>
      </c>
      <c r="H292" s="52"/>
      <c r="I292" s="52"/>
      <c r="J292" s="54">
        <f t="shared" si="72"/>
        <v>1982</v>
      </c>
      <c r="K292" s="55">
        <f>VLOOKUP(J292,Наценка!$A$1:$B$8,2,1)</f>
        <v>1.5</v>
      </c>
      <c r="L292" s="56">
        <f t="shared" si="73"/>
        <v>2973</v>
      </c>
      <c r="M292" s="57">
        <f t="shared" si="74"/>
        <v>2990</v>
      </c>
      <c r="N292" s="52">
        <f>VLOOKUP($A292,'Выгр Кат'!$A:$R,N$1,0)</f>
        <v>1982</v>
      </c>
      <c r="O292" s="52">
        <f>VLOOKUP($A292,'Выгр Кат'!$A:$R,O$1,0)</f>
        <v>2990</v>
      </c>
      <c r="P292" s="47">
        <f t="shared" si="75"/>
        <v>0</v>
      </c>
      <c r="Q292" s="47">
        <f t="shared" si="76"/>
        <v>0</v>
      </c>
      <c r="R292" s="58">
        <f t="shared" si="77"/>
        <v>2990</v>
      </c>
      <c r="S292" s="59">
        <f t="shared" si="78"/>
        <v>0.50857719475277507</v>
      </c>
      <c r="T292" s="59">
        <f t="shared" si="79"/>
        <v>-0.11152416356877323</v>
      </c>
      <c r="U292" s="59">
        <f t="shared" si="80"/>
        <v>0.3572149344096871</v>
      </c>
      <c r="V292" s="42">
        <f t="shared" si="85"/>
        <v>2690</v>
      </c>
      <c r="W292" s="69">
        <f>IFERROR((VLOOKUP($A292,'Из ГУГЛа'!$B:$Z,W$1,0)+Y292)*X292,VLOOKUP($A292,'Из ГУГЛа'!$B:$Z,W$1,0))</f>
        <v>2690</v>
      </c>
      <c r="X292" s="61">
        <v>1</v>
      </c>
      <c r="Y292" s="61">
        <v>0</v>
      </c>
      <c r="Z292" s="70">
        <v>2690</v>
      </c>
      <c r="AA292" s="60" t="s">
        <v>788</v>
      </c>
    </row>
    <row r="293" spans="1:27" ht="45" x14ac:dyDescent="0.25">
      <c r="A293" s="52">
        <v>165741</v>
      </c>
      <c r="B293" s="52">
        <f>VLOOKUP($A293,'Выгр Кат'!$A:$R,B$1,0)</f>
        <v>31179</v>
      </c>
      <c r="C293" s="53" t="str">
        <f>VLOOKUP($A293,'Выгр Кат'!$A:$R,C$1,0)</f>
        <v>Накладка боковины нижняя правая доработанная (катафорез) "АвтоВАЗ" для Лада Веста</v>
      </c>
      <c r="D293" s="52" t="str">
        <f>VLOOKUP($A293,'Выгр Кат'!$A:$R,D$1,0)</f>
        <v>Y</v>
      </c>
      <c r="E293" s="52" t="str">
        <f>VLOOKUP($A293,'Выгр Кат'!$A:$R,E$1,0)</f>
        <v>1</v>
      </c>
      <c r="F293" s="52" t="str">
        <f>VLOOKUP($A293,'Выгр Кат'!$A:$R,F$1,0)</f>
        <v>8450039260</v>
      </c>
      <c r="G293" s="52" t="str">
        <f>IF(VLOOKUP($A293,'Выгр Кат'!$A:$R,G$1,0)=0,"",VLOOKUP($A293,'Выгр Кат'!$A:$R,G$1,0))</f>
        <v>https://motorring.ru/product/38276-usilitely-poroga-pravyy-dlya-lada-vesta</v>
      </c>
      <c r="H293" s="52"/>
      <c r="I293" s="52"/>
      <c r="J293" s="54">
        <f t="shared" si="72"/>
        <v>2105</v>
      </c>
      <c r="K293" s="55">
        <f>VLOOKUP(J293,Наценка!$A$1:$B$8,2,1)</f>
        <v>1.4</v>
      </c>
      <c r="L293" s="56">
        <f t="shared" si="73"/>
        <v>2947</v>
      </c>
      <c r="M293" s="57">
        <f t="shared" si="74"/>
        <v>2990</v>
      </c>
      <c r="N293" s="52">
        <f>VLOOKUP($A293,'Выгр Кат'!$A:$R,N$1,0)</f>
        <v>2105</v>
      </c>
      <c r="O293" s="52">
        <f>VLOOKUP($A293,'Выгр Кат'!$A:$R,O$1,0)</f>
        <v>2990</v>
      </c>
      <c r="P293" s="47">
        <f t="shared" si="75"/>
        <v>0</v>
      </c>
      <c r="Q293" s="47">
        <f t="shared" si="76"/>
        <v>0</v>
      </c>
      <c r="R293" s="58">
        <f t="shared" si="77"/>
        <v>2990</v>
      </c>
      <c r="S293" s="59">
        <f t="shared" si="78"/>
        <v>0.42042755344418059</v>
      </c>
      <c r="T293" s="59">
        <f t="shared" si="79"/>
        <v>-0.11152416356877323</v>
      </c>
      <c r="U293" s="59">
        <f t="shared" si="80"/>
        <v>0.2779097387173397</v>
      </c>
      <c r="V293" s="42">
        <f t="shared" si="85"/>
        <v>2690</v>
      </c>
      <c r="W293" s="69">
        <f>IFERROR((VLOOKUP($A293,'Из ГУГЛа'!$B:$Z,W$1,0)+Y293)*X293,VLOOKUP($A293,'Из ГУГЛа'!$B:$Z,W$1,0))</f>
        <v>2690</v>
      </c>
      <c r="X293" s="61">
        <v>1</v>
      </c>
      <c r="Y293" s="61">
        <v>0</v>
      </c>
      <c r="Z293" s="70">
        <v>2690</v>
      </c>
      <c r="AA293" s="60" t="s">
        <v>791</v>
      </c>
    </row>
    <row r="294" spans="1:27" ht="60" x14ac:dyDescent="0.25">
      <c r="A294" s="52">
        <v>165746</v>
      </c>
      <c r="B294" s="52">
        <f>VLOOKUP($A294,'Выгр Кат'!$A:$R,B$1,0)</f>
        <v>44818</v>
      </c>
      <c r="C294" s="53" t="str">
        <f>VLOOKUP($A294,'Выгр Кат'!$A:$R,C$1,0)</f>
        <v>Накладка ветровой стойки "АвтоВАЗ" внутренняя правая (катафорез) для Лада Калина, Калина 2, Гранта, Гранта FL</v>
      </c>
      <c r="D294" s="52" t="str">
        <f>VLOOKUP($A294,'Выгр Кат'!$A:$R,D$1,0)</f>
        <v>Y</v>
      </c>
      <c r="E294" s="52" t="str">
        <f>VLOOKUP($A294,'Выгр Кат'!$A:$R,E$1,0)</f>
        <v>1</v>
      </c>
      <c r="F294" s="52" t="str">
        <f>VLOOKUP($A294,'Выгр Кат'!$A:$R,F$1,0)</f>
        <v>11180540132870</v>
      </c>
      <c r="G294" s="52" t="str">
        <f>IF(VLOOKUP($A294,'Выгр Кат'!$A:$R,G$1,0)=0,"",VLOOKUP($A294,'Выгр Кат'!$A:$R,G$1,0))</f>
        <v/>
      </c>
      <c r="H294" s="52"/>
      <c r="I294" s="52"/>
      <c r="J294" s="54">
        <f t="shared" si="72"/>
        <v>610</v>
      </c>
      <c r="K294" s="55">
        <f>VLOOKUP(J294,Наценка!$A$1:$B$8,2,1)</f>
        <v>1.55</v>
      </c>
      <c r="L294" s="56">
        <f t="shared" si="73"/>
        <v>945.5</v>
      </c>
      <c r="M294" s="57">
        <f t="shared" si="74"/>
        <v>949</v>
      </c>
      <c r="N294" s="52">
        <f>VLOOKUP($A294,'Выгр Кат'!$A:$R,N$1,0)</f>
        <v>610</v>
      </c>
      <c r="O294" s="52">
        <f>VLOOKUP($A294,'Выгр Кат'!$A:$R,O$1,0)</f>
        <v>949</v>
      </c>
      <c r="P294" s="47">
        <f t="shared" si="75"/>
        <v>0</v>
      </c>
      <c r="Q294" s="47">
        <f t="shared" si="76"/>
        <v>0</v>
      </c>
      <c r="R294" s="58">
        <f t="shared" si="77"/>
        <v>949</v>
      </c>
      <c r="S294" s="59">
        <f t="shared" si="78"/>
        <v>0.55573770491803276</v>
      </c>
      <c r="T294" s="59" t="str">
        <f t="shared" si="79"/>
        <v/>
      </c>
      <c r="U294" s="59" t="str">
        <f t="shared" si="80"/>
        <v/>
      </c>
      <c r="V294" s="60"/>
      <c r="W294" s="69" t="str">
        <f>IFERROR((VLOOKUP($A294,'Из ГУГЛа'!$B:$Z,W$1,0)+Y294)*X294,VLOOKUP($A294,'Из ГУГЛа'!$B:$Z,W$1,0))</f>
        <v/>
      </c>
      <c r="X294" s="61">
        <v>1</v>
      </c>
      <c r="Y294" s="61">
        <v>0</v>
      </c>
      <c r="Z294" s="60" t="s">
        <v>4170</v>
      </c>
      <c r="AA294" s="60"/>
    </row>
    <row r="295" spans="1:27" ht="45" x14ac:dyDescent="0.25">
      <c r="A295" s="52">
        <v>165747</v>
      </c>
      <c r="B295" s="52">
        <f>VLOOKUP($A295,'Выгр Кат'!$A:$R,B$1,0)</f>
        <v>32518</v>
      </c>
      <c r="C295" s="53" t="str">
        <f>VLOOKUP($A295,'Выгр Кат'!$A:$R,C$1,0)</f>
        <v>Накладка ветровой стойки внутренняя "АвтоВАЗ" левая (катафорез) для Лада Калина</v>
      </c>
      <c r="D295" s="52" t="str">
        <f>VLOOKUP($A295,'Выгр Кат'!$A:$R,D$1,0)</f>
        <v>Y</v>
      </c>
      <c r="E295" s="52" t="str">
        <f>VLOOKUP($A295,'Выгр Кат'!$A:$R,E$1,0)</f>
        <v>1</v>
      </c>
      <c r="F295" s="52" t="str">
        <f>VLOOKUP($A295,'Выгр Кат'!$A:$R,F$1,0)</f>
        <v>11180540132970</v>
      </c>
      <c r="G295" s="52" t="str">
        <f>IF(VLOOKUP($A295,'Выгр Кат'!$A:$R,G$1,0)=0,"",VLOOKUP($A295,'Выгр Кат'!$A:$R,G$1,0))</f>
        <v>https://motorring.ru/product/38249-levaya-stoyka-ramy-vetrovogo-okna-dlya-lada-kalina</v>
      </c>
      <c r="H295" s="52"/>
      <c r="I295" s="52"/>
      <c r="J295" s="54">
        <f t="shared" si="72"/>
        <v>606</v>
      </c>
      <c r="K295" s="55">
        <f>VLOOKUP(J295,Наценка!$A$1:$B$8,2,1)</f>
        <v>1.55</v>
      </c>
      <c r="L295" s="56">
        <f t="shared" si="73"/>
        <v>939.30000000000007</v>
      </c>
      <c r="M295" s="57">
        <f t="shared" si="74"/>
        <v>939</v>
      </c>
      <c r="N295" s="52">
        <f>VLOOKUP($A295,'Выгр Кат'!$A:$R,N$1,0)</f>
        <v>606</v>
      </c>
      <c r="O295" s="52">
        <f>VLOOKUP($A295,'Выгр Кат'!$A:$R,O$1,0)</f>
        <v>939</v>
      </c>
      <c r="P295" s="47">
        <f t="shared" si="75"/>
        <v>0</v>
      </c>
      <c r="Q295" s="47">
        <f t="shared" si="76"/>
        <v>0</v>
      </c>
      <c r="R295" s="58">
        <f t="shared" si="77"/>
        <v>939</v>
      </c>
      <c r="S295" s="59">
        <f t="shared" si="78"/>
        <v>0.54950495049504955</v>
      </c>
      <c r="T295" s="59">
        <f t="shared" si="79"/>
        <v>-0.22106631989596878</v>
      </c>
      <c r="U295" s="59">
        <f t="shared" si="80"/>
        <v>0.26897689768976907</v>
      </c>
      <c r="V295" s="42">
        <f>Z295</f>
        <v>769</v>
      </c>
      <c r="W295" s="69">
        <f>IFERROR((VLOOKUP($A295,'Из ГУГЛа'!$B:$Z,W$1,0)+Y295)*X295,VLOOKUP($A295,'Из ГУГЛа'!$B:$Z,W$1,0))</f>
        <v>769</v>
      </c>
      <c r="X295" s="61">
        <v>1</v>
      </c>
      <c r="Y295" s="61">
        <v>0</v>
      </c>
      <c r="Z295" s="70">
        <v>769</v>
      </c>
      <c r="AA295" s="60" t="s">
        <v>797</v>
      </c>
    </row>
    <row r="296" spans="1:27" ht="30" x14ac:dyDescent="0.25">
      <c r="A296" s="52">
        <v>165748</v>
      </c>
      <c r="B296" s="52">
        <f>VLOOKUP($A296,'Выгр Кат'!$A:$R,B$1,0)</f>
        <v>32517</v>
      </c>
      <c r="C296" s="53" t="str">
        <f>VLOOKUP($A296,'Выгр Кат'!$A:$R,C$1,0)</f>
        <v>Накладка ветровой стойки внутренняя "АвтоВАЗ" правая для Лада Калина</v>
      </c>
      <c r="D296" s="52" t="str">
        <f>VLOOKUP($A296,'Выгр Кат'!$A:$R,D$1,0)</f>
        <v>Y</v>
      </c>
      <c r="E296" s="52" t="str">
        <f>VLOOKUP($A296,'Выгр Кат'!$A:$R,E$1,0)</f>
        <v>1</v>
      </c>
      <c r="F296" s="52" t="str">
        <f>VLOOKUP($A296,'Выгр Кат'!$A:$R,F$1,0)</f>
        <v>11180540132800</v>
      </c>
      <c r="G296" s="52" t="str">
        <f>IF(VLOOKUP($A296,'Выгр Кат'!$A:$R,G$1,0)=0,"",VLOOKUP($A296,'Выгр Кат'!$A:$R,G$1,0))</f>
        <v/>
      </c>
      <c r="H296" s="52"/>
      <c r="I296" s="52"/>
      <c r="J296" s="54">
        <f t="shared" si="72"/>
        <v>501</v>
      </c>
      <c r="K296" s="55">
        <f>VLOOKUP(J296,Наценка!$A$1:$B$8,2,1)</f>
        <v>1.55</v>
      </c>
      <c r="L296" s="56">
        <f t="shared" si="73"/>
        <v>776.55000000000007</v>
      </c>
      <c r="M296" s="57">
        <f t="shared" si="74"/>
        <v>779</v>
      </c>
      <c r="N296" s="52">
        <f>VLOOKUP($A296,'Выгр Кат'!$A:$R,N$1,0)</f>
        <v>501</v>
      </c>
      <c r="O296" s="52">
        <f>VLOOKUP($A296,'Выгр Кат'!$A:$R,O$1,0)</f>
        <v>779</v>
      </c>
      <c r="P296" s="47">
        <f t="shared" si="75"/>
        <v>0</v>
      </c>
      <c r="Q296" s="47">
        <f t="shared" si="76"/>
        <v>0</v>
      </c>
      <c r="R296" s="58">
        <f t="shared" si="77"/>
        <v>779</v>
      </c>
      <c r="S296" s="59">
        <f t="shared" si="78"/>
        <v>0.55489021956087825</v>
      </c>
      <c r="T296" s="59" t="str">
        <f t="shared" si="79"/>
        <v/>
      </c>
      <c r="U296" s="59" t="str">
        <f t="shared" si="80"/>
        <v/>
      </c>
      <c r="V296" s="60"/>
      <c r="W296" s="69" t="str">
        <f>IFERROR((VLOOKUP($A296,'Из ГУГЛа'!$B:$Z,W$1,0)+Y296)*X296,VLOOKUP($A296,'Из ГУГЛа'!$B:$Z,W$1,0))</f>
        <v/>
      </c>
      <c r="X296" s="61">
        <v>1</v>
      </c>
      <c r="Y296" s="61">
        <v>0</v>
      </c>
      <c r="Z296" s="60" t="s">
        <v>4170</v>
      </c>
      <c r="AA296" s="60"/>
    </row>
    <row r="297" spans="1:27" ht="30" x14ac:dyDescent="0.25">
      <c r="A297" s="52">
        <v>165750</v>
      </c>
      <c r="B297" s="52">
        <f>VLOOKUP($A297,'Выгр Кат'!$A:$R,B$1,0)</f>
        <v>50880</v>
      </c>
      <c r="C297" s="53" t="str">
        <f>VLOOKUP($A297,'Выгр Кат'!$A:$R,C$1,0)</f>
        <v>Накладка водоотводящая "АвтоВАЗ" в сборе для Лада XRAY</v>
      </c>
      <c r="D297" s="52" t="str">
        <f>VLOOKUP($A297,'Выгр Кат'!$A:$R,D$1,0)</f>
        <v>Y</v>
      </c>
      <c r="E297" s="52" t="str">
        <f>VLOOKUP($A297,'Выгр Кат'!$A:$R,E$1,0)</f>
        <v>1</v>
      </c>
      <c r="F297" s="52" t="str">
        <f>VLOOKUP($A297,'Выгр Кат'!$A:$R,F$1,0)</f>
        <v>663127220R</v>
      </c>
      <c r="G297" s="52" t="str">
        <f>IF(VLOOKUP($A297,'Выгр Кат'!$A:$R,G$1,0)=0,"",VLOOKUP($A297,'Выгр Кат'!$A:$R,G$1,0))</f>
        <v/>
      </c>
      <c r="H297" s="52"/>
      <c r="I297" s="52"/>
      <c r="J297" s="54">
        <f t="shared" si="72"/>
        <v>842</v>
      </c>
      <c r="K297" s="55">
        <f>VLOOKUP(J297,Наценка!$A$1:$B$8,2,1)</f>
        <v>1.55</v>
      </c>
      <c r="L297" s="56">
        <f t="shared" si="73"/>
        <v>1305.1000000000001</v>
      </c>
      <c r="M297" s="57">
        <f t="shared" si="74"/>
        <v>1390</v>
      </c>
      <c r="N297" s="52">
        <f>VLOOKUP($A297,'Выгр Кат'!$A:$R,N$1,0)</f>
        <v>842</v>
      </c>
      <c r="O297" s="52">
        <f>VLOOKUP($A297,'Выгр Кат'!$A:$R,O$1,0)</f>
        <v>1390</v>
      </c>
      <c r="P297" s="47">
        <f t="shared" si="75"/>
        <v>0</v>
      </c>
      <c r="Q297" s="47">
        <f t="shared" si="76"/>
        <v>0</v>
      </c>
      <c r="R297" s="58">
        <f t="shared" si="77"/>
        <v>1390</v>
      </c>
      <c r="S297" s="59">
        <f t="shared" si="78"/>
        <v>0.65083135391923985</v>
      </c>
      <c r="T297" s="59" t="str">
        <f t="shared" si="79"/>
        <v/>
      </c>
      <c r="U297" s="59" t="str">
        <f t="shared" si="80"/>
        <v/>
      </c>
      <c r="V297" s="60"/>
      <c r="W297" s="69" t="str">
        <f>IFERROR((VLOOKUP($A297,'Из ГУГЛа'!$B:$Z,W$1,0)+Y297)*X297,VLOOKUP($A297,'Из ГУГЛа'!$B:$Z,W$1,0))</f>
        <v/>
      </c>
      <c r="X297" s="61">
        <v>1</v>
      </c>
      <c r="Y297" s="61">
        <v>0</v>
      </c>
      <c r="Z297" s="62" t="s">
        <v>4170</v>
      </c>
      <c r="AA297" s="60"/>
    </row>
    <row r="298" spans="1:27" ht="30" x14ac:dyDescent="0.25">
      <c r="A298" s="52">
        <v>166245</v>
      </c>
      <c r="B298" s="52">
        <f>VLOOKUP($A298,'Выгр Кат'!$A:$R,B$1,0)</f>
        <v>31303</v>
      </c>
      <c r="C298" s="53" t="str">
        <f>VLOOKUP($A298,'Выгр Кат'!$A:$R,C$1,0)</f>
        <v>Накладка лонжерона "АвтоВАЗ" правая для Лада Нива 4x4 Урбан</v>
      </c>
      <c r="D298" s="52" t="str">
        <f>VLOOKUP($A298,'Выгр Кат'!$A:$R,D$1,0)</f>
        <v>Y</v>
      </c>
      <c r="E298" s="52" t="str">
        <f>VLOOKUP($A298,'Выгр Кат'!$A:$R,E$1,0)</f>
        <v>1</v>
      </c>
      <c r="F298" s="52" t="str">
        <f>VLOOKUP($A298,'Выгр Кат'!$A:$R,F$1,0)</f>
        <v>8450107451</v>
      </c>
      <c r="G298" s="52" t="str">
        <f>IF(VLOOKUP($A298,'Выгр Кат'!$A:$R,G$1,0)=0,"",VLOOKUP($A298,'Выгр Кат'!$A:$R,G$1,0))</f>
        <v/>
      </c>
      <c r="H298" s="52"/>
      <c r="I298" s="52"/>
      <c r="J298" s="54">
        <f t="shared" si="72"/>
        <v>697.66</v>
      </c>
      <c r="K298" s="55">
        <f>VLOOKUP(J298,Наценка!$A$1:$B$8,2,1)</f>
        <v>1.55</v>
      </c>
      <c r="L298" s="56">
        <f t="shared" si="73"/>
        <v>1081.373</v>
      </c>
      <c r="M298" s="57">
        <f t="shared" si="74"/>
        <v>1090</v>
      </c>
      <c r="N298" s="52">
        <f>VLOOKUP($A298,'Выгр Кат'!$A:$R,N$1,0)</f>
        <v>697.66</v>
      </c>
      <c r="O298" s="52">
        <f>VLOOKUP($A298,'Выгр Кат'!$A:$R,O$1,0)</f>
        <v>1090</v>
      </c>
      <c r="P298" s="47">
        <f t="shared" si="75"/>
        <v>0</v>
      </c>
      <c r="Q298" s="47">
        <f t="shared" si="76"/>
        <v>0</v>
      </c>
      <c r="R298" s="58">
        <f t="shared" si="77"/>
        <v>1090</v>
      </c>
      <c r="S298" s="59">
        <f t="shared" si="78"/>
        <v>0.56236562222285924</v>
      </c>
      <c r="T298" s="59" t="str">
        <f t="shared" si="79"/>
        <v/>
      </c>
      <c r="U298" s="59" t="str">
        <f t="shared" si="80"/>
        <v/>
      </c>
      <c r="V298" s="60"/>
      <c r="W298" s="69" t="str">
        <f>IFERROR((VLOOKUP($A298,'Из ГУГЛа'!$B:$Z,W$1,0)+Y298)*X298,VLOOKUP($A298,'Из ГУГЛа'!$B:$Z,W$1,0))</f>
        <v/>
      </c>
      <c r="X298" s="61">
        <v>1</v>
      </c>
      <c r="Y298" s="61">
        <v>0</v>
      </c>
      <c r="Z298" s="60" t="s">
        <v>4170</v>
      </c>
      <c r="AA298" s="60"/>
    </row>
    <row r="299" spans="1:27" ht="30" x14ac:dyDescent="0.25">
      <c r="A299" s="52">
        <v>167463</v>
      </c>
      <c r="B299" s="52">
        <f>VLOOKUP($A299,'Выгр Кат'!$A:$R,B$1,0)</f>
        <v>31067</v>
      </c>
      <c r="C299" s="53" t="str">
        <f>VLOOKUP($A299,'Выгр Кат'!$A:$R,C$1,0)</f>
        <v>Накладка порога "Renault" передняя правая для Лада Ларгус</v>
      </c>
      <c r="D299" s="52" t="str">
        <f>VLOOKUP($A299,'Выгр Кат'!$A:$R,D$1,0)</f>
        <v>Y</v>
      </c>
      <c r="E299" s="52" t="str">
        <f>VLOOKUP($A299,'Выгр Кат'!$A:$R,E$1,0)</f>
        <v>1</v>
      </c>
      <c r="F299" s="52" t="str">
        <f>VLOOKUP($A299,'Выгр Кат'!$A:$R,F$1,0)</f>
        <v>6001548774</v>
      </c>
      <c r="G299" s="52" t="str">
        <f>IF(VLOOKUP($A299,'Выгр Кат'!$A:$R,G$1,0)=0,"",VLOOKUP($A299,'Выгр Кат'!$A:$R,G$1,0))</f>
        <v/>
      </c>
      <c r="H299" s="52"/>
      <c r="I299" s="52"/>
      <c r="J299" s="54">
        <f t="shared" si="72"/>
        <v>11575</v>
      </c>
      <c r="K299" s="55">
        <f>VLOOKUP(J299,Наценка!$A$1:$B$8,2,1)</f>
        <v>1.3</v>
      </c>
      <c r="L299" s="56">
        <f t="shared" si="73"/>
        <v>15047.5</v>
      </c>
      <c r="M299" s="57">
        <f t="shared" si="74"/>
        <v>15090</v>
      </c>
      <c r="N299" s="52">
        <f>VLOOKUP($A299,'Выгр Кат'!$A:$R,N$1,0)</f>
        <v>11575</v>
      </c>
      <c r="O299" s="52">
        <f>VLOOKUP($A299,'Выгр Кат'!$A:$R,O$1,0)</f>
        <v>16290</v>
      </c>
      <c r="P299" s="47">
        <f t="shared" si="75"/>
        <v>0</v>
      </c>
      <c r="Q299" s="47">
        <f t="shared" si="76"/>
        <v>1200</v>
      </c>
      <c r="R299" s="58">
        <f t="shared" si="77"/>
        <v>15090</v>
      </c>
      <c r="S299" s="59">
        <f t="shared" si="78"/>
        <v>0.30367170626349882</v>
      </c>
      <c r="T299" s="59" t="str">
        <f t="shared" si="79"/>
        <v/>
      </c>
      <c r="U299" s="59" t="str">
        <f t="shared" si="80"/>
        <v/>
      </c>
      <c r="V299" s="60"/>
      <c r="W299" s="69" t="str">
        <f>IFERROR((VLOOKUP($A299,'Из ГУГЛа'!$B:$Z,W$1,0)+Y299)*X299,VLOOKUP($A299,'Из ГУГЛа'!$B:$Z,W$1,0))</f>
        <v/>
      </c>
      <c r="X299" s="61">
        <v>1</v>
      </c>
      <c r="Y299" s="61">
        <v>0</v>
      </c>
      <c r="Z299" s="62" t="s">
        <v>4170</v>
      </c>
      <c r="AA299" s="60"/>
    </row>
    <row r="300" spans="1:27" ht="45" x14ac:dyDescent="0.25">
      <c r="A300" s="52">
        <v>167487</v>
      </c>
      <c r="B300" s="52">
        <f>VLOOKUP($A300,'Выгр Кат'!$A:$R,B$1,0)</f>
        <v>32516</v>
      </c>
      <c r="C300" s="53" t="str">
        <f>VLOOKUP($A300,'Выгр Кат'!$A:$R,C$1,0)</f>
        <v>Накладка стойки ветрового окна "АвтоВАЗ" внутренняя левая в сборе для Лада Калина</v>
      </c>
      <c r="D300" s="52" t="str">
        <f>VLOOKUP($A300,'Выгр Кат'!$A:$R,D$1,0)</f>
        <v>Y</v>
      </c>
      <c r="E300" s="52" t="str">
        <f>VLOOKUP($A300,'Выгр Кат'!$A:$R,E$1,0)</f>
        <v>0</v>
      </c>
      <c r="F300" s="52" t="str">
        <f>VLOOKUP($A300,'Выгр Кат'!$A:$R,F$1,0)</f>
        <v>11180540132700</v>
      </c>
      <c r="G300" s="52" t="str">
        <f>IF(VLOOKUP($A300,'Выгр Кат'!$A:$R,G$1,0)=0,"",VLOOKUP($A300,'Выгр Кат'!$A:$R,G$1,0))</f>
        <v/>
      </c>
      <c r="H300" s="52"/>
      <c r="I300" s="52"/>
      <c r="J300" s="54">
        <f t="shared" si="72"/>
        <v>215</v>
      </c>
      <c r="K300" s="55">
        <f>VLOOKUP(J300,Наценка!$A$1:$B$8,2,1)</f>
        <v>1.8</v>
      </c>
      <c r="L300" s="56">
        <f t="shared" si="73"/>
        <v>387</v>
      </c>
      <c r="M300" s="57">
        <f t="shared" si="74"/>
        <v>389</v>
      </c>
      <c r="N300" s="52">
        <f>VLOOKUP($A300,'Выгр Кат'!$A:$R,N$1,0)</f>
        <v>215</v>
      </c>
      <c r="O300" s="52">
        <f>VLOOKUP($A300,'Выгр Кат'!$A:$R,O$1,0)</f>
        <v>389</v>
      </c>
      <c r="P300" s="47">
        <f t="shared" si="75"/>
        <v>0</v>
      </c>
      <c r="Q300" s="47">
        <f t="shared" si="76"/>
        <v>0</v>
      </c>
      <c r="R300" s="58">
        <f t="shared" si="77"/>
        <v>389</v>
      </c>
      <c r="S300" s="59">
        <f t="shared" si="78"/>
        <v>0.80930232558139537</v>
      </c>
      <c r="T300" s="59" t="str">
        <f t="shared" si="79"/>
        <v/>
      </c>
      <c r="U300" s="59" t="str">
        <f t="shared" si="80"/>
        <v/>
      </c>
      <c r="V300" s="60"/>
      <c r="W300" s="69" t="str">
        <f>IFERROR((VLOOKUP($A300,'Из ГУГЛа'!$B:$Z,W$1,0)+Y300)*X300,VLOOKUP($A300,'Из ГУГЛа'!$B:$Z,W$1,0))</f>
        <v/>
      </c>
      <c r="X300" s="61">
        <v>1</v>
      </c>
      <c r="Y300" s="61">
        <v>0</v>
      </c>
      <c r="Z300" s="76" t="s">
        <v>4285</v>
      </c>
      <c r="AA300" s="60"/>
    </row>
    <row r="301" spans="1:27" ht="45" x14ac:dyDescent="0.25">
      <c r="A301" s="52">
        <v>167489</v>
      </c>
      <c r="B301" s="52">
        <f>VLOOKUP($A301,'Выгр Кат'!$A:$R,B$1,0)</f>
        <v>31093</v>
      </c>
      <c r="C301" s="53" t="str">
        <f>VLOOKUP($A301,'Выгр Кат'!$A:$R,C$1,0)</f>
        <v>Накладка стойки со стороны кузова задней правой части "АвтоВАЗ" для Лада XRAY</v>
      </c>
      <c r="D301" s="52" t="str">
        <f>VLOOKUP($A301,'Выгр Кат'!$A:$R,D$1,0)</f>
        <v>Y</v>
      </c>
      <c r="E301" s="52" t="str">
        <f>VLOOKUP($A301,'Выгр Кат'!$A:$R,E$1,0)</f>
        <v>1</v>
      </c>
      <c r="F301" s="52" t="str">
        <f>VLOOKUP($A301,'Выгр Кат'!$A:$R,F$1,0)</f>
        <v>764542123R</v>
      </c>
      <c r="G301" s="52" t="str">
        <f>IF(VLOOKUP($A301,'Выгр Кат'!$A:$R,G$1,0)=0,"",VLOOKUP($A301,'Выгр Кат'!$A:$R,G$1,0))</f>
        <v/>
      </c>
      <c r="H301" s="52"/>
      <c r="I301" s="52"/>
      <c r="J301" s="54">
        <f t="shared" si="72"/>
        <v>316</v>
      </c>
      <c r="K301" s="55">
        <f>VLOOKUP(J301,Наценка!$A$1:$B$8,2,1)</f>
        <v>1.6</v>
      </c>
      <c r="L301" s="56">
        <f t="shared" si="73"/>
        <v>505.6</v>
      </c>
      <c r="M301" s="57">
        <f t="shared" si="74"/>
        <v>509</v>
      </c>
      <c r="N301" s="52">
        <f>VLOOKUP($A301,'Выгр Кат'!$A:$R,N$1,0)</f>
        <v>316</v>
      </c>
      <c r="O301" s="52">
        <f>VLOOKUP($A301,'Выгр Кат'!$A:$R,O$1,0)</f>
        <v>509</v>
      </c>
      <c r="P301" s="47">
        <f t="shared" si="75"/>
        <v>0</v>
      </c>
      <c r="Q301" s="47">
        <f t="shared" si="76"/>
        <v>0</v>
      </c>
      <c r="R301" s="58">
        <f t="shared" si="77"/>
        <v>509</v>
      </c>
      <c r="S301" s="59">
        <f t="shared" si="78"/>
        <v>0.610759493670886</v>
      </c>
      <c r="T301" s="59" t="str">
        <f t="shared" si="79"/>
        <v/>
      </c>
      <c r="U301" s="59" t="str">
        <f t="shared" si="80"/>
        <v/>
      </c>
      <c r="V301" s="60"/>
      <c r="W301" s="69" t="str">
        <f>IFERROR((VLOOKUP($A301,'Из ГУГЛа'!$B:$Z,W$1,0)+Y301)*X301,VLOOKUP($A301,'Из ГУГЛа'!$B:$Z,W$1,0))</f>
        <v/>
      </c>
      <c r="X301" s="61">
        <v>1</v>
      </c>
      <c r="Y301" s="61">
        <v>0</v>
      </c>
      <c r="Z301" s="60" t="s">
        <v>4170</v>
      </c>
      <c r="AA301" s="60"/>
    </row>
    <row r="302" spans="1:27" ht="45" x14ac:dyDescent="0.25">
      <c r="A302" s="52">
        <v>167492</v>
      </c>
      <c r="B302" s="52">
        <f>VLOOKUP($A302,'Выгр Кат'!$A:$R,B$1,0)</f>
        <v>31237</v>
      </c>
      <c r="C302" s="53" t="str">
        <f>VLOOKUP($A302,'Выгр Кат'!$A:$R,C$1,0)</f>
        <v>Накладка центральной стойки (усилитель) "АвтоВАЗ" левая для Лада Нива 4x4</v>
      </c>
      <c r="D302" s="52" t="str">
        <f>VLOOKUP($A302,'Выгр Кат'!$A:$R,D$1,0)</f>
        <v>Y</v>
      </c>
      <c r="E302" s="52" t="str">
        <f>VLOOKUP($A302,'Выгр Кат'!$A:$R,E$1,0)</f>
        <v>1</v>
      </c>
      <c r="F302" s="52" t="str">
        <f>VLOOKUP($A302,'Выгр Кат'!$A:$R,F$1,0)</f>
        <v>21310540175700</v>
      </c>
      <c r="G302" s="52" t="str">
        <f>IF(VLOOKUP($A302,'Выгр Кат'!$A:$R,G$1,0)=0,"",VLOOKUP($A302,'Выгр Кат'!$A:$R,G$1,0))</f>
        <v/>
      </c>
      <c r="H302" s="52"/>
      <c r="I302" s="52"/>
      <c r="J302" s="54">
        <f t="shared" si="72"/>
        <v>162</v>
      </c>
      <c r="K302" s="55">
        <f>VLOOKUP(J302,Наценка!$A$1:$B$8,2,1)</f>
        <v>1.8</v>
      </c>
      <c r="L302" s="56">
        <f t="shared" si="73"/>
        <v>291.60000000000002</v>
      </c>
      <c r="M302" s="57">
        <f t="shared" si="74"/>
        <v>299</v>
      </c>
      <c r="N302" s="52">
        <f>VLOOKUP($A302,'Выгр Кат'!$A:$R,N$1,0)</f>
        <v>162</v>
      </c>
      <c r="O302" s="52">
        <f>VLOOKUP($A302,'Выгр Кат'!$A:$R,O$1,0)</f>
        <v>299</v>
      </c>
      <c r="P302" s="47">
        <f t="shared" si="75"/>
        <v>0</v>
      </c>
      <c r="Q302" s="47">
        <f t="shared" si="76"/>
        <v>0</v>
      </c>
      <c r="R302" s="58">
        <f t="shared" si="77"/>
        <v>299</v>
      </c>
      <c r="S302" s="59">
        <f t="shared" si="78"/>
        <v>0.84567901234567899</v>
      </c>
      <c r="T302" s="59" t="str">
        <f t="shared" si="79"/>
        <v/>
      </c>
      <c r="U302" s="59" t="str">
        <f t="shared" si="80"/>
        <v/>
      </c>
      <c r="V302" s="60"/>
      <c r="W302" s="69" t="str">
        <f>IFERROR((VLOOKUP($A302,'Из ГУГЛа'!$B:$Z,W$1,0)+Y302)*X302,VLOOKUP($A302,'Из ГУГЛа'!$B:$Z,W$1,0))</f>
        <v/>
      </c>
      <c r="X302" s="61">
        <v>1</v>
      </c>
      <c r="Y302" s="61">
        <v>0</v>
      </c>
      <c r="Z302" s="60" t="s">
        <v>4170</v>
      </c>
      <c r="AA302" s="60"/>
    </row>
    <row r="303" spans="1:27" ht="45" x14ac:dyDescent="0.25">
      <c r="A303" s="52">
        <v>167493</v>
      </c>
      <c r="B303" s="52">
        <f>VLOOKUP($A303,'Выгр Кат'!$A:$R,B$1,0)</f>
        <v>31238</v>
      </c>
      <c r="C303" s="53" t="str">
        <f>VLOOKUP($A303,'Выгр Кат'!$A:$R,C$1,0)</f>
        <v>Накладка центральной стойки (усилитель) "АвтоВАЗ" правая для Лада Нива 4x4</v>
      </c>
      <c r="D303" s="52" t="str">
        <f>VLOOKUP($A303,'Выгр Кат'!$A:$R,D$1,0)</f>
        <v>Y</v>
      </c>
      <c r="E303" s="52" t="str">
        <f>VLOOKUP($A303,'Выгр Кат'!$A:$R,E$1,0)</f>
        <v>1</v>
      </c>
      <c r="F303" s="52" t="str">
        <f>VLOOKUP($A303,'Выгр Кат'!$A:$R,F$1,0)</f>
        <v>21310540175600</v>
      </c>
      <c r="G303" s="52" t="str">
        <f>IF(VLOOKUP($A303,'Выгр Кат'!$A:$R,G$1,0)=0,"",VLOOKUP($A303,'Выгр Кат'!$A:$R,G$1,0))</f>
        <v/>
      </c>
      <c r="H303" s="52"/>
      <c r="I303" s="52"/>
      <c r="J303" s="54">
        <f t="shared" si="72"/>
        <v>393</v>
      </c>
      <c r="K303" s="55">
        <f>VLOOKUP(J303,Наценка!$A$1:$B$8,2,1)</f>
        <v>1.6</v>
      </c>
      <c r="L303" s="56">
        <f t="shared" si="73"/>
        <v>628.80000000000007</v>
      </c>
      <c r="M303" s="57">
        <f t="shared" si="74"/>
        <v>629</v>
      </c>
      <c r="N303" s="52">
        <f>VLOOKUP($A303,'Выгр Кат'!$A:$R,N$1,0)</f>
        <v>393</v>
      </c>
      <c r="O303" s="52">
        <f>VLOOKUP($A303,'Выгр Кат'!$A:$R,O$1,0)</f>
        <v>629</v>
      </c>
      <c r="P303" s="47">
        <f t="shared" si="75"/>
        <v>0</v>
      </c>
      <c r="Q303" s="47">
        <f t="shared" si="76"/>
        <v>0</v>
      </c>
      <c r="R303" s="58">
        <f t="shared" si="77"/>
        <v>629</v>
      </c>
      <c r="S303" s="59">
        <f t="shared" si="78"/>
        <v>0.60050890585241734</v>
      </c>
      <c r="T303" s="59" t="str">
        <f t="shared" si="79"/>
        <v/>
      </c>
      <c r="U303" s="59" t="str">
        <f t="shared" si="80"/>
        <v/>
      </c>
      <c r="V303" s="60"/>
      <c r="W303" s="69" t="str">
        <f>IFERROR((VLOOKUP($A303,'Из ГУГЛа'!$B:$Z,W$1,0)+Y303)*X303,VLOOKUP($A303,'Из ГУГЛа'!$B:$Z,W$1,0))</f>
        <v/>
      </c>
      <c r="X303" s="61">
        <v>1</v>
      </c>
      <c r="Y303" s="61">
        <v>0</v>
      </c>
      <c r="Z303" s="60" t="s">
        <v>4170</v>
      </c>
      <c r="AA303" s="60"/>
    </row>
    <row r="304" spans="1:27" ht="45" x14ac:dyDescent="0.25">
      <c r="A304" s="52">
        <v>167494</v>
      </c>
      <c r="B304" s="52">
        <f>VLOOKUP($A304,'Выгр Кат'!$A:$R,B$1,0)</f>
        <v>32712</v>
      </c>
      <c r="C304" s="53" t="str">
        <f>VLOOKUP($A304,'Выгр Кат'!$A:$R,C$1,0)</f>
        <v>Накладка центральной стойки боковины "АвтоВАЗ" правая доработанная для Лада Веста седан</v>
      </c>
      <c r="D304" s="52" t="str">
        <f>VLOOKUP($A304,'Выгр Кат'!$A:$R,D$1,0)</f>
        <v>Y</v>
      </c>
      <c r="E304" s="52" t="str">
        <f>VLOOKUP($A304,'Выгр Кат'!$A:$R,E$1,0)</f>
        <v>1</v>
      </c>
      <c r="F304" s="52" t="str">
        <f>VLOOKUP($A304,'Выгр Кат'!$A:$R,F$1,0)</f>
        <v>8450007509</v>
      </c>
      <c r="G304" s="52" t="str">
        <f>IF(VLOOKUP($A304,'Выгр Кат'!$A:$R,G$1,0)=0,"",VLOOKUP($A304,'Выгр Кат'!$A:$R,G$1,0))</f>
        <v/>
      </c>
      <c r="H304" s="52"/>
      <c r="I304" s="52"/>
      <c r="J304" s="54">
        <f t="shared" si="72"/>
        <v>48</v>
      </c>
      <c r="K304" s="55">
        <f>VLOOKUP(J304,Наценка!$A$1:$B$8,2,1)</f>
        <v>2</v>
      </c>
      <c r="L304" s="56">
        <f t="shared" si="73"/>
        <v>96</v>
      </c>
      <c r="M304" s="57">
        <f t="shared" si="74"/>
        <v>99</v>
      </c>
      <c r="N304" s="52">
        <f>VLOOKUP($A304,'Выгр Кат'!$A:$R,N$1,0)</f>
        <v>48</v>
      </c>
      <c r="O304" s="52">
        <f>VLOOKUP($A304,'Выгр Кат'!$A:$R,O$1,0)</f>
        <v>99</v>
      </c>
      <c r="P304" s="47">
        <f t="shared" si="75"/>
        <v>0</v>
      </c>
      <c r="Q304" s="47">
        <f t="shared" si="76"/>
        <v>0</v>
      </c>
      <c r="R304" s="58">
        <f t="shared" si="77"/>
        <v>99</v>
      </c>
      <c r="S304" s="59">
        <f t="shared" si="78"/>
        <v>1.0625</v>
      </c>
      <c r="T304" s="59" t="str">
        <f t="shared" si="79"/>
        <v/>
      </c>
      <c r="U304" s="59" t="str">
        <f t="shared" si="80"/>
        <v/>
      </c>
      <c r="V304" s="60"/>
      <c r="W304" s="69" t="str">
        <f>IFERROR((VLOOKUP($A304,'Из ГУГЛа'!$B:$Z,W$1,0)+Y304)*X304,VLOOKUP($A304,'Из ГУГЛа'!$B:$Z,W$1,0))</f>
        <v/>
      </c>
      <c r="X304" s="61">
        <v>1</v>
      </c>
      <c r="Y304" s="61">
        <v>0</v>
      </c>
      <c r="Z304" s="60" t="s">
        <v>4170</v>
      </c>
      <c r="AA304" s="60"/>
    </row>
    <row r="305" spans="1:27" ht="45" x14ac:dyDescent="0.25">
      <c r="A305" s="52">
        <v>167495</v>
      </c>
      <c r="B305" s="52">
        <f>VLOOKUP($A305,'Выгр Кат'!$A:$R,B$1,0)</f>
        <v>31460</v>
      </c>
      <c r="C305" s="53" t="str">
        <f>VLOOKUP($A305,'Выгр Кат'!$A:$R,C$1,0)</f>
        <v>Накладка центральной стойки внутренняя "АвтоВАЗ" левая для Лада Калина</v>
      </c>
      <c r="D305" s="52" t="str">
        <f>VLOOKUP($A305,'Выгр Кат'!$A:$R,D$1,0)</f>
        <v>Y</v>
      </c>
      <c r="E305" s="52" t="str">
        <f>VLOOKUP($A305,'Выгр Кат'!$A:$R,E$1,0)</f>
        <v>1</v>
      </c>
      <c r="F305" s="52" t="str">
        <f>VLOOKUP($A305,'Выгр Кат'!$A:$R,F$1,0)</f>
        <v>11180540116700</v>
      </c>
      <c r="G305" s="52" t="str">
        <f>IF(VLOOKUP($A305,'Выгр Кат'!$A:$R,G$1,0)=0,"",VLOOKUP($A305,'Выгр Кат'!$A:$R,G$1,0))</f>
        <v>https://motorring.ru/product/38154-levaya-nakladka-centralynoy-stoyki-dlya-lada-kalina-granta</v>
      </c>
      <c r="H305" s="52"/>
      <c r="I305" s="52"/>
      <c r="J305" s="54">
        <f t="shared" si="72"/>
        <v>516</v>
      </c>
      <c r="K305" s="55">
        <f>VLOOKUP(J305,Наценка!$A$1:$B$8,2,1)</f>
        <v>1.55</v>
      </c>
      <c r="L305" s="56">
        <f t="shared" si="73"/>
        <v>799.80000000000007</v>
      </c>
      <c r="M305" s="57">
        <f t="shared" si="74"/>
        <v>799</v>
      </c>
      <c r="N305" s="52">
        <f>VLOOKUP($A305,'Выгр Кат'!$A:$R,N$1,0)</f>
        <v>516</v>
      </c>
      <c r="O305" s="52">
        <f>VLOOKUP($A305,'Выгр Кат'!$A:$R,O$1,0)</f>
        <v>799</v>
      </c>
      <c r="P305" s="47">
        <f t="shared" si="75"/>
        <v>0</v>
      </c>
      <c r="Q305" s="47">
        <f t="shared" si="76"/>
        <v>0</v>
      </c>
      <c r="R305" s="58">
        <f t="shared" si="77"/>
        <v>799</v>
      </c>
      <c r="S305" s="59">
        <f t="shared" si="78"/>
        <v>0.54844961240310086</v>
      </c>
      <c r="T305" s="59">
        <f t="shared" si="79"/>
        <v>0.15806111696522657</v>
      </c>
      <c r="U305" s="59">
        <f t="shared" si="80"/>
        <v>0.83914728682170536</v>
      </c>
      <c r="V305" s="42">
        <f t="shared" ref="V305:V306" si="86">Z305</f>
        <v>949</v>
      </c>
      <c r="W305" s="69">
        <f>IFERROR((VLOOKUP($A305,'Из ГУГЛа'!$B:$Z,W$1,0)+Y305)*X305,VLOOKUP($A305,'Из ГУГЛа'!$B:$Z,W$1,0))</f>
        <v>949</v>
      </c>
      <c r="X305" s="61">
        <v>1</v>
      </c>
      <c r="Y305" s="61">
        <v>0</v>
      </c>
      <c r="Z305" s="70">
        <v>949</v>
      </c>
      <c r="AA305" s="60" t="s">
        <v>819</v>
      </c>
    </row>
    <row r="306" spans="1:27" ht="45" x14ac:dyDescent="0.25">
      <c r="A306" s="52">
        <v>167496</v>
      </c>
      <c r="B306" s="52">
        <f>VLOOKUP($A306,'Выгр Кат'!$A:$R,B$1,0)</f>
        <v>31461</v>
      </c>
      <c r="C306" s="53" t="str">
        <f>VLOOKUP($A306,'Выгр Кат'!$A:$R,C$1,0)</f>
        <v>Накладка центральной стойки внутренняя "АвтоВАЗ" правая для Лада Калина</v>
      </c>
      <c r="D306" s="52" t="str">
        <f>VLOOKUP($A306,'Выгр Кат'!$A:$R,D$1,0)</f>
        <v>Y</v>
      </c>
      <c r="E306" s="52" t="str">
        <f>VLOOKUP($A306,'Выгр Кат'!$A:$R,E$1,0)</f>
        <v>1</v>
      </c>
      <c r="F306" s="52" t="str">
        <f>VLOOKUP($A306,'Выгр Кат'!$A:$R,F$1,0)</f>
        <v>11180540116600</v>
      </c>
      <c r="G306" s="52" t="str">
        <f>IF(VLOOKUP($A306,'Выгр Кат'!$A:$R,G$1,0)=0,"",VLOOKUP($A306,'Выгр Кат'!$A:$R,G$1,0))</f>
        <v>https://motorring.ru/product/38198-pravaya-nakladka-centralynoy-stoyki-dlya-lada-kalina-granta</v>
      </c>
      <c r="H306" s="52"/>
      <c r="I306" s="52"/>
      <c r="J306" s="54">
        <f t="shared" si="72"/>
        <v>871</v>
      </c>
      <c r="K306" s="55">
        <f>VLOOKUP(J306,Наценка!$A$1:$B$8,2,1)</f>
        <v>1.55</v>
      </c>
      <c r="L306" s="56">
        <f t="shared" si="73"/>
        <v>1350.05</v>
      </c>
      <c r="M306" s="57">
        <f t="shared" si="74"/>
        <v>1390</v>
      </c>
      <c r="N306" s="52">
        <f>VLOOKUP($A306,'Выгр Кат'!$A:$R,N$1,0)</f>
        <v>871</v>
      </c>
      <c r="O306" s="52">
        <f>VLOOKUP($A306,'Выгр Кат'!$A:$R,O$1,0)</f>
        <v>1390</v>
      </c>
      <c r="P306" s="47">
        <f t="shared" si="75"/>
        <v>0</v>
      </c>
      <c r="Q306" s="47">
        <f t="shared" si="76"/>
        <v>0</v>
      </c>
      <c r="R306" s="58">
        <f t="shared" si="77"/>
        <v>1390</v>
      </c>
      <c r="S306" s="59">
        <f t="shared" si="78"/>
        <v>0.59586681974741684</v>
      </c>
      <c r="T306" s="59">
        <f t="shared" si="79"/>
        <v>0</v>
      </c>
      <c r="U306" s="59">
        <f t="shared" si="80"/>
        <v>0.59586681974741684</v>
      </c>
      <c r="V306" s="42">
        <f t="shared" si="86"/>
        <v>1390</v>
      </c>
      <c r="W306" s="69">
        <f>IFERROR((VLOOKUP($A306,'Из ГУГЛа'!$B:$Z,W$1,0)+Y306)*X306,VLOOKUP($A306,'Из ГУГЛа'!$B:$Z,W$1,0))</f>
        <v>1390</v>
      </c>
      <c r="X306" s="61">
        <v>1</v>
      </c>
      <c r="Y306" s="61">
        <v>0</v>
      </c>
      <c r="Z306" s="70">
        <v>1390</v>
      </c>
      <c r="AA306" s="60" t="s">
        <v>822</v>
      </c>
    </row>
    <row r="307" spans="1:27" ht="45" x14ac:dyDescent="0.25">
      <c r="A307" s="52">
        <v>171177</v>
      </c>
      <c r="B307" s="52">
        <f>VLOOKUP($A307,'Выгр Кат'!$A:$R,B$1,0)</f>
        <v>31045</v>
      </c>
      <c r="C307" s="53" t="str">
        <f>VLOOKUP($A307,'Выгр Кат'!$A:$R,C$1,0)</f>
        <v>Направляющая рамка опускного стекла двери задней левой "Renault" для Лада Ларгус</v>
      </c>
      <c r="D307" s="52" t="str">
        <f>VLOOKUP($A307,'Выгр Кат'!$A:$R,D$1,0)</f>
        <v>Y</v>
      </c>
      <c r="E307" s="52" t="str">
        <f>VLOOKUP($A307,'Выгр Кат'!$A:$R,E$1,0)</f>
        <v>1</v>
      </c>
      <c r="F307" s="52" t="str">
        <f>VLOOKUP($A307,'Выгр Кат'!$A:$R,F$1,0)</f>
        <v>6001548845</v>
      </c>
      <c r="G307" s="52" t="str">
        <f>IF(VLOOKUP($A307,'Выгр Кат'!$A:$R,G$1,0)=0,"",VLOOKUP($A307,'Выгр Кат'!$A:$R,G$1,0))</f>
        <v/>
      </c>
      <c r="H307" s="52"/>
      <c r="I307" s="52"/>
      <c r="J307" s="54">
        <f t="shared" si="72"/>
        <v>3820</v>
      </c>
      <c r="K307" s="55">
        <f>VLOOKUP(J307,Наценка!$A$1:$B$8,2,1)</f>
        <v>1.4</v>
      </c>
      <c r="L307" s="56">
        <f t="shared" si="73"/>
        <v>5348</v>
      </c>
      <c r="M307" s="57">
        <f t="shared" si="74"/>
        <v>5390</v>
      </c>
      <c r="N307" s="52">
        <f>VLOOKUP($A307,'Выгр Кат'!$A:$R,N$1,0)</f>
        <v>3820</v>
      </c>
      <c r="O307" s="52">
        <f>VLOOKUP($A307,'Выгр Кат'!$A:$R,O$1,0)</f>
        <v>5390</v>
      </c>
      <c r="P307" s="47">
        <f t="shared" si="75"/>
        <v>0</v>
      </c>
      <c r="Q307" s="47">
        <f t="shared" si="76"/>
        <v>0</v>
      </c>
      <c r="R307" s="58">
        <f t="shared" si="77"/>
        <v>5390</v>
      </c>
      <c r="S307" s="59">
        <f t="shared" si="78"/>
        <v>0.41099476439790572</v>
      </c>
      <c r="T307" s="59" t="str">
        <f t="shared" si="79"/>
        <v/>
      </c>
      <c r="U307" s="59" t="str">
        <f t="shared" si="80"/>
        <v/>
      </c>
      <c r="V307" s="60"/>
      <c r="W307" s="69" t="str">
        <f>IFERROR((VLOOKUP($A307,'Из ГУГЛа'!$B:$Z,W$1,0)+Y307)*X307,VLOOKUP($A307,'Из ГУГЛа'!$B:$Z,W$1,0))</f>
        <v/>
      </c>
      <c r="X307" s="61">
        <v>1</v>
      </c>
      <c r="Y307" s="61">
        <v>0</v>
      </c>
      <c r="Z307" s="60" t="s">
        <v>4170</v>
      </c>
      <c r="AA307" s="60"/>
    </row>
    <row r="308" spans="1:27" ht="45" x14ac:dyDescent="0.25">
      <c r="A308" s="52">
        <v>171178</v>
      </c>
      <c r="B308" s="52">
        <f>VLOOKUP($A308,'Выгр Кат'!$A:$R,B$1,0)</f>
        <v>31044</v>
      </c>
      <c r="C308" s="53" t="str">
        <f>VLOOKUP($A308,'Выгр Кат'!$A:$R,C$1,0)</f>
        <v>Направляющая рамка опускного стекла двери задней правой "Renault" для Лада Ларгус</v>
      </c>
      <c r="D308" s="52" t="str">
        <f>VLOOKUP($A308,'Выгр Кат'!$A:$R,D$1,0)</f>
        <v>Y</v>
      </c>
      <c r="E308" s="52" t="str">
        <f>VLOOKUP($A308,'Выгр Кат'!$A:$R,E$1,0)</f>
        <v>1</v>
      </c>
      <c r="F308" s="52" t="str">
        <f>VLOOKUP($A308,'Выгр Кат'!$A:$R,F$1,0)</f>
        <v>6001548846</v>
      </c>
      <c r="G308" s="52" t="str">
        <f>IF(VLOOKUP($A308,'Выгр Кат'!$A:$R,G$1,0)=0,"",VLOOKUP($A308,'Выгр Кат'!$A:$R,G$1,0))</f>
        <v/>
      </c>
      <c r="H308" s="52"/>
      <c r="I308" s="52"/>
      <c r="J308" s="54">
        <f t="shared" si="72"/>
        <v>2628</v>
      </c>
      <c r="K308" s="55">
        <f>VLOOKUP(J308,Наценка!$A$1:$B$8,2,1)</f>
        <v>1.4</v>
      </c>
      <c r="L308" s="56">
        <f t="shared" si="73"/>
        <v>3679.2</v>
      </c>
      <c r="M308" s="57">
        <f t="shared" si="74"/>
        <v>3690</v>
      </c>
      <c r="N308" s="52">
        <f>VLOOKUP($A308,'Выгр Кат'!$A:$R,N$1,0)</f>
        <v>2628</v>
      </c>
      <c r="O308" s="52">
        <f>VLOOKUP($A308,'Выгр Кат'!$A:$R,O$1,0)</f>
        <v>3690</v>
      </c>
      <c r="P308" s="47">
        <f t="shared" si="75"/>
        <v>0</v>
      </c>
      <c r="Q308" s="47">
        <f t="shared" si="76"/>
        <v>0</v>
      </c>
      <c r="R308" s="58">
        <f t="shared" si="77"/>
        <v>3690</v>
      </c>
      <c r="S308" s="59">
        <f t="shared" si="78"/>
        <v>0.40410958904109595</v>
      </c>
      <c r="T308" s="59" t="str">
        <f t="shared" si="79"/>
        <v/>
      </c>
      <c r="U308" s="59" t="str">
        <f t="shared" si="80"/>
        <v/>
      </c>
      <c r="V308" s="60"/>
      <c r="W308" s="69" t="str">
        <f>IFERROR((VLOOKUP($A308,'Из ГУГЛа'!$B:$Z,W$1,0)+Y308)*X308,VLOOKUP($A308,'Из ГУГЛа'!$B:$Z,W$1,0))</f>
        <v/>
      </c>
      <c r="X308" s="61">
        <v>1</v>
      </c>
      <c r="Y308" s="61">
        <v>0</v>
      </c>
      <c r="Z308" s="60" t="s">
        <v>4170</v>
      </c>
      <c r="AA308" s="60"/>
    </row>
    <row r="309" spans="1:27" ht="45" x14ac:dyDescent="0.25">
      <c r="A309" s="52">
        <v>171179</v>
      </c>
      <c r="B309" s="52">
        <f>VLOOKUP($A309,'Выгр Кат'!$A:$R,B$1,0)</f>
        <v>31086</v>
      </c>
      <c r="C309" s="53" t="str">
        <f>VLOOKUP($A309,'Выгр Кат'!$A:$R,C$1,0)</f>
        <v>Направляющая стекла двери "АвтоВАЗ" передняя правая для Лада XRAY</v>
      </c>
      <c r="D309" s="52" t="str">
        <f>VLOOKUP($A309,'Выгр Кат'!$A:$R,D$1,0)</f>
        <v>Y</v>
      </c>
      <c r="E309" s="52" t="str">
        <f>VLOOKUP($A309,'Выгр Кат'!$A:$R,E$1,0)</f>
        <v>1</v>
      </c>
      <c r="F309" s="52" t="str">
        <f>VLOOKUP($A309,'Выгр Кат'!$A:$R,F$1,0)</f>
        <v>802164190R</v>
      </c>
      <c r="G309" s="52" t="str">
        <f>IF(VLOOKUP($A309,'Выгр Кат'!$A:$R,G$1,0)=0,"",VLOOKUP($A309,'Выгр Кат'!$A:$R,G$1,0))</f>
        <v/>
      </c>
      <c r="H309" s="52"/>
      <c r="I309" s="52"/>
      <c r="J309" s="54">
        <f t="shared" si="72"/>
        <v>523</v>
      </c>
      <c r="K309" s="55">
        <f>VLOOKUP(J309,Наценка!$A$1:$B$8,2,1)</f>
        <v>1.55</v>
      </c>
      <c r="L309" s="56">
        <f t="shared" si="73"/>
        <v>810.65</v>
      </c>
      <c r="M309" s="57">
        <f t="shared" si="74"/>
        <v>819</v>
      </c>
      <c r="N309" s="52">
        <f>VLOOKUP($A309,'Выгр Кат'!$A:$R,N$1,0)</f>
        <v>523</v>
      </c>
      <c r="O309" s="52">
        <f>VLOOKUP($A309,'Выгр Кат'!$A:$R,O$1,0)</f>
        <v>819</v>
      </c>
      <c r="P309" s="47">
        <f t="shared" si="75"/>
        <v>0</v>
      </c>
      <c r="Q309" s="47">
        <f t="shared" si="76"/>
        <v>0</v>
      </c>
      <c r="R309" s="58">
        <f t="shared" si="77"/>
        <v>819</v>
      </c>
      <c r="S309" s="59">
        <f t="shared" si="78"/>
        <v>0.56596558317399626</v>
      </c>
      <c r="T309" s="59" t="str">
        <f t="shared" si="79"/>
        <v/>
      </c>
      <c r="U309" s="59" t="str">
        <f t="shared" si="80"/>
        <v/>
      </c>
      <c r="V309" s="60"/>
      <c r="W309" s="69" t="str">
        <f>IFERROR((VLOOKUP($A309,'Из ГУГЛа'!$B:$Z,W$1,0)+Y309)*X309,VLOOKUP($A309,'Из ГУГЛа'!$B:$Z,W$1,0))</f>
        <v/>
      </c>
      <c r="X309" s="61">
        <v>1</v>
      </c>
      <c r="Y309" s="61">
        <v>0</v>
      </c>
      <c r="Z309" s="62" t="s">
        <v>4170</v>
      </c>
      <c r="AA309" s="60"/>
    </row>
    <row r="310" spans="1:27" ht="30" x14ac:dyDescent="0.25">
      <c r="A310" s="52">
        <v>171994</v>
      </c>
      <c r="B310" s="52">
        <f>VLOOKUP($A310,'Выгр Кат'!$A:$R,B$1,0)</f>
        <v>45758</v>
      </c>
      <c r="C310" s="53" t="str">
        <f>VLOOKUP($A310,'Выгр Кат'!$A:$R,C$1,0)</f>
        <v>Ниша "АвтоВАЗ" запасного колеса (катафорез) для ВАЗ 2112, Лада Приора</v>
      </c>
      <c r="D310" s="52" t="str">
        <f>VLOOKUP($A310,'Выгр Кат'!$A:$R,D$1,0)</f>
        <v>Y</v>
      </c>
      <c r="E310" s="52" t="str">
        <f>VLOOKUP($A310,'Выгр Кат'!$A:$R,E$1,0)</f>
        <v>0</v>
      </c>
      <c r="F310" s="52" t="str">
        <f>VLOOKUP($A310,'Выгр Кат'!$A:$R,F$1,0)</f>
        <v>21120510712210</v>
      </c>
      <c r="G310" s="52" t="str">
        <f>IF(VLOOKUP($A310,'Выгр Кат'!$A:$R,G$1,0)=0,"",VLOOKUP($A310,'Выгр Кат'!$A:$R,G$1,0))</f>
        <v>https://motorring.ru/product/18162-nisha-dlya-zapasnogo-kolesa-kataforeznoe-pokrytie-vaz-2112</v>
      </c>
      <c r="H310" s="52"/>
      <c r="I310" s="52"/>
      <c r="J310" s="54">
        <f t="shared" si="72"/>
        <v>5623</v>
      </c>
      <c r="K310" s="55">
        <f>VLOOKUP(J310,Наценка!$A$1:$B$8,2,1)</f>
        <v>1.35</v>
      </c>
      <c r="L310" s="56">
        <f t="shared" si="73"/>
        <v>7591.05</v>
      </c>
      <c r="M310" s="57">
        <f t="shared" si="74"/>
        <v>7590</v>
      </c>
      <c r="N310" s="52">
        <f>VLOOKUP($A310,'Выгр Кат'!$A:$R,N$1,0)</f>
        <v>5623</v>
      </c>
      <c r="O310" s="52">
        <f>VLOOKUP($A310,'Выгр Кат'!$A:$R,O$1,0)</f>
        <v>7590</v>
      </c>
      <c r="P310" s="47">
        <f t="shared" si="75"/>
        <v>0</v>
      </c>
      <c r="Q310" s="47">
        <f t="shared" si="76"/>
        <v>0</v>
      </c>
      <c r="R310" s="58">
        <f t="shared" si="77"/>
        <v>7590</v>
      </c>
      <c r="S310" s="59">
        <f t="shared" si="78"/>
        <v>0.3498132669393561</v>
      </c>
      <c r="T310" s="59">
        <f t="shared" si="79"/>
        <v>-3.3396226415094339</v>
      </c>
      <c r="U310" s="59">
        <f t="shared" si="80"/>
        <v>-0.68895607327049624</v>
      </c>
      <c r="V310" s="42">
        <f t="shared" ref="V310:V311" si="87">Z310</f>
        <v>1749</v>
      </c>
      <c r="W310" s="69">
        <f>IFERROR((VLOOKUP($A310,'Из ГУГЛа'!$B:$Z,W$1,0)+Y310)*X310,VLOOKUP($A310,'Из ГУГЛа'!$B:$Z,W$1,0))</f>
        <v>1749</v>
      </c>
      <c r="X310" s="61">
        <v>1</v>
      </c>
      <c r="Y310" s="61">
        <v>0</v>
      </c>
      <c r="Z310" s="70">
        <v>1749</v>
      </c>
      <c r="AA310" s="60" t="s">
        <v>832</v>
      </c>
    </row>
    <row r="311" spans="1:27" ht="30" x14ac:dyDescent="0.25">
      <c r="A311" s="52">
        <v>171995</v>
      </c>
      <c r="B311" s="52">
        <f>VLOOKUP($A311,'Выгр Кат'!$A:$R,B$1,0)</f>
        <v>31409</v>
      </c>
      <c r="C311" s="53" t="str">
        <f>VLOOKUP($A311,'Выгр Кат'!$A:$R,C$1,0)</f>
        <v>Ниша для запасного колеса (катафорез) "АвтоВАЗ" для ВАЗ 2110</v>
      </c>
      <c r="D311" s="52" t="str">
        <f>VLOOKUP($A311,'Выгр Кат'!$A:$R,D$1,0)</f>
        <v>Y</v>
      </c>
      <c r="E311" s="52" t="str">
        <f>VLOOKUP($A311,'Выгр Кат'!$A:$R,E$1,0)</f>
        <v>0</v>
      </c>
      <c r="F311" s="52" t="str">
        <f>VLOOKUP($A311,'Выгр Кат'!$A:$R,F$1,0)</f>
        <v>21100510712210</v>
      </c>
      <c r="G311" s="52" t="str">
        <f>IF(VLOOKUP($A311,'Выгр Кат'!$A:$R,G$1,0)=0,"",VLOOKUP($A311,'Выгр Кат'!$A:$R,G$1,0))</f>
        <v>https://motorring.ru/product/35950-nisha-dlya-zapasnogo-kolesa-kataforeznoe-pokrytie-vaz-2110</v>
      </c>
      <c r="H311" s="52"/>
      <c r="I311" s="52"/>
      <c r="J311" s="54">
        <f t="shared" si="72"/>
        <v>2733</v>
      </c>
      <c r="K311" s="55">
        <f>VLOOKUP(J311,Наценка!$A$1:$B$8,2,1)</f>
        <v>1.4</v>
      </c>
      <c r="L311" s="56">
        <f t="shared" si="73"/>
        <v>3826.2</v>
      </c>
      <c r="M311" s="57">
        <f t="shared" si="74"/>
        <v>3890</v>
      </c>
      <c r="N311" s="52">
        <f>VLOOKUP($A311,'Выгр Кат'!$A:$R,N$1,0)</f>
        <v>2733</v>
      </c>
      <c r="O311" s="52">
        <f>VLOOKUP($A311,'Выгр Кат'!$A:$R,O$1,0)</f>
        <v>3890</v>
      </c>
      <c r="P311" s="47">
        <f t="shared" si="75"/>
        <v>0</v>
      </c>
      <c r="Q311" s="47">
        <f t="shared" si="76"/>
        <v>0</v>
      </c>
      <c r="R311" s="58">
        <f t="shared" si="77"/>
        <v>3890</v>
      </c>
      <c r="S311" s="59">
        <f t="shared" si="78"/>
        <v>0.42334431028174158</v>
      </c>
      <c r="T311" s="59">
        <f t="shared" si="79"/>
        <v>-0.14749262536873156</v>
      </c>
      <c r="U311" s="59">
        <f t="shared" si="80"/>
        <v>0.24039517014270029</v>
      </c>
      <c r="V311" s="42">
        <f t="shared" si="87"/>
        <v>3390</v>
      </c>
      <c r="W311" s="69">
        <f>IFERROR((VLOOKUP($A311,'Из ГУГЛа'!$B:$Z,W$1,0)+Y311)*X311,VLOOKUP($A311,'Из ГУГЛа'!$B:$Z,W$1,0))</f>
        <v>3390</v>
      </c>
      <c r="X311" s="61">
        <v>1</v>
      </c>
      <c r="Y311" s="61">
        <v>0</v>
      </c>
      <c r="Z311" s="70">
        <v>3390</v>
      </c>
      <c r="AA311" s="60" t="s">
        <v>835</v>
      </c>
    </row>
    <row r="312" spans="1:27" ht="30" x14ac:dyDescent="0.25">
      <c r="A312" s="52">
        <v>181685</v>
      </c>
      <c r="B312" s="52">
        <f>VLOOKUP($A312,'Выгр Кат'!$A:$R,B$1,0)</f>
        <v>31385</v>
      </c>
      <c r="C312" s="53" t="str">
        <f>VLOOKUP($A312,'Выгр Кат'!$A:$R,C$1,0)</f>
        <v>Опора пружины (катафорез) "АвтоВАЗ" левая для Лада Нива 4x4</v>
      </c>
      <c r="D312" s="52" t="str">
        <f>VLOOKUP($A312,'Выгр Кат'!$A:$R,D$1,0)</f>
        <v>Y</v>
      </c>
      <c r="E312" s="52" t="str">
        <f>VLOOKUP($A312,'Выгр Кат'!$A:$R,E$1,0)</f>
        <v>1</v>
      </c>
      <c r="F312" s="52" t="str">
        <f>VLOOKUP($A312,'Выгр Кат'!$A:$R,F$1,0)</f>
        <v>21210510121110</v>
      </c>
      <c r="G312" s="52" t="str">
        <f>IF(VLOOKUP($A312,'Выгр Кат'!$A:$R,G$1,0)=0,"",VLOOKUP($A312,'Выгр Кат'!$A:$R,G$1,0))</f>
        <v/>
      </c>
      <c r="H312" s="52"/>
      <c r="I312" s="52"/>
      <c r="J312" s="54">
        <f t="shared" ref="J312:J375" si="88">N312</f>
        <v>1142</v>
      </c>
      <c r="K312" s="55">
        <f>VLOOKUP(J312,Наценка!$A$1:$B$8,2,1)</f>
        <v>1.5</v>
      </c>
      <c r="L312" s="56">
        <f t="shared" ref="L312:L375" si="89">J312*K312</f>
        <v>1713</v>
      </c>
      <c r="M312" s="57">
        <f t="shared" ref="M312:M375" si="90">IF(L312&lt;=1000,(ROUNDUP(L312,-1)-1),(ROUNDUP(L312,-2)-10))</f>
        <v>1790</v>
      </c>
      <c r="N312" s="52">
        <f>VLOOKUP($A312,'Выгр Кат'!$A:$R,N$1,0)</f>
        <v>1142</v>
      </c>
      <c r="O312" s="52">
        <f>VLOOKUP($A312,'Выгр Кат'!$A:$R,O$1,0)</f>
        <v>1790</v>
      </c>
      <c r="P312" s="47">
        <f t="shared" ref="P312:P375" si="91">N312-J312</f>
        <v>0</v>
      </c>
      <c r="Q312" s="47">
        <f t="shared" ref="Q312:Q375" si="92">O312-M312</f>
        <v>0</v>
      </c>
      <c r="R312" s="58">
        <f t="shared" ref="R312:R375" si="93">IFERROR(ROUND(M312*(1-$R$2),),"")</f>
        <v>1790</v>
      </c>
      <c r="S312" s="59">
        <f t="shared" ref="S312:S375" si="94">IFERROR(R312/J312-1,"")</f>
        <v>0.56742556917688258</v>
      </c>
      <c r="T312" s="59" t="str">
        <f t="shared" ref="T312:T375" si="95">IFERROR((V312-R312)/V312,"")</f>
        <v/>
      </c>
      <c r="U312" s="59" t="str">
        <f t="shared" ref="U312:U375" si="96">IFERROR(IF(V312="","",V312/J312-1),"")</f>
        <v/>
      </c>
      <c r="V312" s="60"/>
      <c r="W312" s="69" t="str">
        <f>IFERROR((VLOOKUP($A312,'Из ГУГЛа'!$B:$Z,W$1,0)+Y312)*X312,VLOOKUP($A312,'Из ГУГЛа'!$B:$Z,W$1,0))</f>
        <v/>
      </c>
      <c r="X312" s="61">
        <v>1</v>
      </c>
      <c r="Y312" s="61">
        <v>0</v>
      </c>
      <c r="Z312" s="60" t="s">
        <v>4170</v>
      </c>
      <c r="AA312" s="60"/>
    </row>
    <row r="313" spans="1:27" ht="45" x14ac:dyDescent="0.25">
      <c r="A313" s="52">
        <v>181686</v>
      </c>
      <c r="B313" s="52">
        <f>VLOOKUP($A313,'Выгр Кат'!$A:$R,B$1,0)</f>
        <v>31730</v>
      </c>
      <c r="C313" s="53" t="str">
        <f>VLOOKUP($A313,'Выгр Кат'!$A:$R,C$1,0)</f>
        <v>Опора пружины задней (стакан) "АвтоВАЗ" левая для ВАЗ (2110, 2112), Лада (Приора, Приора 2)</v>
      </c>
      <c r="D313" s="52" t="str">
        <f>VLOOKUP($A313,'Выгр Кат'!$A:$R,D$1,0)</f>
        <v>Y</v>
      </c>
      <c r="E313" s="52" t="str">
        <f>VLOOKUP($A313,'Выгр Кат'!$A:$R,E$1,0)</f>
        <v>1</v>
      </c>
      <c r="F313" s="52" t="str">
        <f>VLOOKUP($A313,'Выгр Кат'!$A:$R,F$1,0)</f>
        <v>21100510121100</v>
      </c>
      <c r="G313" s="52" t="str">
        <f>IF(VLOOKUP($A313,'Выгр Кат'!$A:$R,G$1,0)=0,"",VLOOKUP($A313,'Выгр Кат'!$A:$R,G$1,0))</f>
        <v/>
      </c>
      <c r="H313" s="52"/>
      <c r="I313" s="52"/>
      <c r="J313" s="54">
        <f t="shared" si="88"/>
        <v>1246.25</v>
      </c>
      <c r="K313" s="55">
        <f>VLOOKUP(J313,Наценка!$A$1:$B$8,2,1)</f>
        <v>1.5</v>
      </c>
      <c r="L313" s="56">
        <f t="shared" si="89"/>
        <v>1869.375</v>
      </c>
      <c r="M313" s="57">
        <f t="shared" si="90"/>
        <v>1890</v>
      </c>
      <c r="N313" s="52">
        <f>VLOOKUP($A313,'Выгр Кат'!$A:$R,N$1,0)</f>
        <v>1246.25</v>
      </c>
      <c r="O313" s="52">
        <f>VLOOKUP($A313,'Выгр Кат'!$A:$R,O$1,0)</f>
        <v>1890</v>
      </c>
      <c r="P313" s="47">
        <f t="shared" si="91"/>
        <v>0</v>
      </c>
      <c r="Q313" s="47">
        <f t="shared" si="92"/>
        <v>0</v>
      </c>
      <c r="R313" s="58">
        <f t="shared" si="93"/>
        <v>1890</v>
      </c>
      <c r="S313" s="59">
        <f t="shared" si="94"/>
        <v>0.51654964894684041</v>
      </c>
      <c r="T313" s="59">
        <f t="shared" si="95"/>
        <v>-0.35971223021582732</v>
      </c>
      <c r="U313" s="59">
        <f t="shared" si="96"/>
        <v>0.11534603811434296</v>
      </c>
      <c r="V313" s="42">
        <f>Z313</f>
        <v>1390</v>
      </c>
      <c r="W313" s="69" t="str">
        <f>IFERROR((VLOOKUP($A313,'Из ГУГЛа'!$B:$Z,W$1,0)+Y313)*X313,VLOOKUP($A313,'Из ГУГЛа'!$B:$Z,W$1,0))</f>
        <v/>
      </c>
      <c r="X313" s="61">
        <v>1</v>
      </c>
      <c r="Y313" s="61">
        <v>0</v>
      </c>
      <c r="Z313" s="60">
        <v>1390</v>
      </c>
      <c r="AA313" s="60" t="s">
        <v>4298</v>
      </c>
    </row>
    <row r="314" spans="1:27" ht="45" x14ac:dyDescent="0.25">
      <c r="A314" s="52">
        <v>181687</v>
      </c>
      <c r="B314" s="52">
        <f>VLOOKUP($A314,'Выгр Кат'!$A:$R,B$1,0)</f>
        <v>31729</v>
      </c>
      <c r="C314" s="53" t="str">
        <f>VLOOKUP($A314,'Выгр Кат'!$A:$R,C$1,0)</f>
        <v>Опора пружины задней (стакан) "АвтоВАЗ" правая для ВАЗ (2110, 2112), Лада (Приора, Приора 2)</v>
      </c>
      <c r="D314" s="52" t="str">
        <f>VLOOKUP($A314,'Выгр Кат'!$A:$R,D$1,0)</f>
        <v>Y</v>
      </c>
      <c r="E314" s="52" t="str">
        <f>VLOOKUP($A314,'Выгр Кат'!$A:$R,E$1,0)</f>
        <v>0</v>
      </c>
      <c r="F314" s="52" t="str">
        <f>VLOOKUP($A314,'Выгр Кат'!$A:$R,F$1,0)</f>
        <v>21100510121000</v>
      </c>
      <c r="G314" s="52" t="str">
        <f>IF(VLOOKUP($A314,'Выгр Кат'!$A:$R,G$1,0)=0,"",VLOOKUP($A314,'Выгр Кат'!$A:$R,G$1,0))</f>
        <v/>
      </c>
      <c r="H314" s="52"/>
      <c r="I314" s="52"/>
      <c r="J314" s="54">
        <f t="shared" si="88"/>
        <v>1313</v>
      </c>
      <c r="K314" s="55">
        <f>VLOOKUP(J314,Наценка!$A$1:$B$8,2,1)</f>
        <v>1.5</v>
      </c>
      <c r="L314" s="56">
        <f t="shared" si="89"/>
        <v>1969.5</v>
      </c>
      <c r="M314" s="57">
        <f t="shared" si="90"/>
        <v>1990</v>
      </c>
      <c r="N314" s="52">
        <f>VLOOKUP($A314,'Выгр Кат'!$A:$R,N$1,0)</f>
        <v>1313</v>
      </c>
      <c r="O314" s="52">
        <f>VLOOKUP($A314,'Выгр Кат'!$A:$R,O$1,0)</f>
        <v>1990</v>
      </c>
      <c r="P314" s="47">
        <f t="shared" si="91"/>
        <v>0</v>
      </c>
      <c r="Q314" s="47">
        <f t="shared" si="92"/>
        <v>0</v>
      </c>
      <c r="R314" s="58">
        <f t="shared" si="93"/>
        <v>1990</v>
      </c>
      <c r="S314" s="59">
        <f t="shared" si="94"/>
        <v>0.51561309977151559</v>
      </c>
      <c r="T314" s="59" t="str">
        <f t="shared" si="95"/>
        <v/>
      </c>
      <c r="U314" s="59" t="str">
        <f t="shared" si="96"/>
        <v/>
      </c>
      <c r="V314" s="60"/>
      <c r="W314" s="69" t="str">
        <f>IFERROR((VLOOKUP($A314,'Из ГУГЛа'!$B:$Z,W$1,0)+Y314)*X314,VLOOKUP($A314,'Из ГУГЛа'!$B:$Z,W$1,0))</f>
        <v/>
      </c>
      <c r="X314" s="61">
        <v>1</v>
      </c>
      <c r="Y314" s="61">
        <v>0</v>
      </c>
      <c r="Z314" s="76" t="s">
        <v>4285</v>
      </c>
      <c r="AA314" s="60"/>
    </row>
    <row r="315" spans="1:27" ht="30" x14ac:dyDescent="0.25">
      <c r="A315" s="52">
        <v>181688</v>
      </c>
      <c r="B315" s="52">
        <f>VLOOKUP($A315,'Выгр Кат'!$A:$R,B$1,0)</f>
        <v>31394</v>
      </c>
      <c r="C315" s="53" t="str">
        <f>VLOOKUP($A315,'Выгр Кат'!$A:$R,C$1,0)</f>
        <v>Опора пружины задней подвески "АвтоВАЗ" правая в сборе для ВАЗ 2111</v>
      </c>
      <c r="D315" s="52" t="str">
        <f>VLOOKUP($A315,'Выгр Кат'!$A:$R,D$1,0)</f>
        <v>Y</v>
      </c>
      <c r="E315" s="52" t="str">
        <f>VLOOKUP($A315,'Выгр Кат'!$A:$R,E$1,0)</f>
        <v>0</v>
      </c>
      <c r="F315" s="52" t="str">
        <f>VLOOKUP($A315,'Выгр Кат'!$A:$R,F$1,0)</f>
        <v>21110510121010</v>
      </c>
      <c r="G315" s="52" t="str">
        <f>IF(VLOOKUP($A315,'Выгр Кат'!$A:$R,G$1,0)=0,"",VLOOKUP($A315,'Выгр Кат'!$A:$R,G$1,0))</f>
        <v/>
      </c>
      <c r="H315" s="52"/>
      <c r="I315" s="52"/>
      <c r="J315" s="54">
        <f t="shared" si="88"/>
        <v>1037</v>
      </c>
      <c r="K315" s="55">
        <f>VLOOKUP(J315,Наценка!$A$1:$B$8,2,1)</f>
        <v>1.5</v>
      </c>
      <c r="L315" s="56">
        <f t="shared" si="89"/>
        <v>1555.5</v>
      </c>
      <c r="M315" s="57">
        <f t="shared" si="90"/>
        <v>1590</v>
      </c>
      <c r="N315" s="52">
        <f>VLOOKUP($A315,'Выгр Кат'!$A:$R,N$1,0)</f>
        <v>1037</v>
      </c>
      <c r="O315" s="52">
        <f>VLOOKUP($A315,'Выгр Кат'!$A:$R,O$1,0)</f>
        <v>1590</v>
      </c>
      <c r="P315" s="47">
        <f t="shared" si="91"/>
        <v>0</v>
      </c>
      <c r="Q315" s="47">
        <f t="shared" si="92"/>
        <v>0</v>
      </c>
      <c r="R315" s="58">
        <f t="shared" si="93"/>
        <v>1590</v>
      </c>
      <c r="S315" s="59">
        <f t="shared" si="94"/>
        <v>0.53326904532304731</v>
      </c>
      <c r="T315" s="59" t="str">
        <f t="shared" si="95"/>
        <v/>
      </c>
      <c r="U315" s="59" t="str">
        <f t="shared" si="96"/>
        <v/>
      </c>
      <c r="V315" s="60"/>
      <c r="W315" s="69" t="str">
        <f>IFERROR((VLOOKUP($A315,'Из ГУГЛа'!$B:$Z,W$1,0)+Y315)*X315,VLOOKUP($A315,'Из ГУГЛа'!$B:$Z,W$1,0))</f>
        <v/>
      </c>
      <c r="X315" s="61">
        <v>1</v>
      </c>
      <c r="Y315" s="61">
        <v>0</v>
      </c>
      <c r="Z315" s="76" t="s">
        <v>4285</v>
      </c>
      <c r="AA315" s="60"/>
    </row>
    <row r="316" spans="1:27" ht="30" x14ac:dyDescent="0.25">
      <c r="A316" s="52">
        <v>181689</v>
      </c>
      <c r="B316" s="52">
        <f>VLOOKUP($A316,'Выгр Кат'!$A:$R,B$1,0)</f>
        <v>32633</v>
      </c>
      <c r="C316" s="53" t="str">
        <f>VLOOKUP($A316,'Выгр Кат'!$A:$R,C$1,0)</f>
        <v>Опора пружины и буфера "АвтоВАЗ" правая для Лада Нива 4x4</v>
      </c>
      <c r="D316" s="52" t="str">
        <f>VLOOKUP($A316,'Выгр Кат'!$A:$R,D$1,0)</f>
        <v>Y</v>
      </c>
      <c r="E316" s="52" t="str">
        <f>VLOOKUP($A316,'Выгр Кат'!$A:$R,E$1,0)</f>
        <v>1</v>
      </c>
      <c r="F316" s="52" t="str">
        <f>VLOOKUP($A316,'Выгр Кат'!$A:$R,F$1,0)</f>
        <v>21210510121010</v>
      </c>
      <c r="G316" s="52" t="str">
        <f>IF(VLOOKUP($A316,'Выгр Кат'!$A:$R,G$1,0)=0,"",VLOOKUP($A316,'Выгр Кат'!$A:$R,G$1,0))</f>
        <v/>
      </c>
      <c r="H316" s="52"/>
      <c r="I316" s="52"/>
      <c r="J316" s="54">
        <f t="shared" si="88"/>
        <v>1296</v>
      </c>
      <c r="K316" s="55">
        <f>VLOOKUP(J316,Наценка!$A$1:$B$8,2,1)</f>
        <v>1.5</v>
      </c>
      <c r="L316" s="56">
        <f t="shared" si="89"/>
        <v>1944</v>
      </c>
      <c r="M316" s="57">
        <f t="shared" si="90"/>
        <v>1990</v>
      </c>
      <c r="N316" s="52">
        <f>VLOOKUP($A316,'Выгр Кат'!$A:$R,N$1,0)</f>
        <v>1296</v>
      </c>
      <c r="O316" s="52">
        <f>VLOOKUP($A316,'Выгр Кат'!$A:$R,O$1,0)</f>
        <v>1990</v>
      </c>
      <c r="P316" s="47">
        <f t="shared" si="91"/>
        <v>0</v>
      </c>
      <c r="Q316" s="47">
        <f t="shared" si="92"/>
        <v>0</v>
      </c>
      <c r="R316" s="58">
        <f t="shared" si="93"/>
        <v>1990</v>
      </c>
      <c r="S316" s="59">
        <f t="shared" si="94"/>
        <v>0.53549382716049387</v>
      </c>
      <c r="T316" s="59" t="str">
        <f t="shared" si="95"/>
        <v/>
      </c>
      <c r="U316" s="59" t="str">
        <f t="shared" si="96"/>
        <v/>
      </c>
      <c r="V316" s="60"/>
      <c r="W316" s="69" t="str">
        <f>IFERROR((VLOOKUP($A316,'Из ГУГЛа'!$B:$Z,W$1,0)+Y316)*X316,VLOOKUP($A316,'Из ГУГЛа'!$B:$Z,W$1,0))</f>
        <v/>
      </c>
      <c r="X316" s="61">
        <v>1</v>
      </c>
      <c r="Y316" s="61">
        <v>0</v>
      </c>
      <c r="Z316" s="60" t="s">
        <v>4170</v>
      </c>
      <c r="AA316" s="60"/>
    </row>
    <row r="317" spans="1:27" ht="45" x14ac:dyDescent="0.25">
      <c r="A317" s="52">
        <v>183900</v>
      </c>
      <c r="B317" s="52">
        <f>VLOOKUP($A317,'Выгр Кат'!$A:$R,B$1,0)</f>
        <v>17908</v>
      </c>
      <c r="C317" s="53" t="str">
        <f>VLOOKUP($A317,'Выгр Кат'!$A:$R,C$1,0)</f>
        <v>Оригинальная рамка радиатора катафорез (телевизор) "АвтоВАЗ" Н/О для Лада Приора, Приора 2</v>
      </c>
      <c r="D317" s="52" t="str">
        <f>VLOOKUP($A317,'Выгр Кат'!$A:$R,D$1,0)</f>
        <v>Y</v>
      </c>
      <c r="E317" s="52" t="str">
        <f>VLOOKUP($A317,'Выгр Кат'!$A:$R,E$1,0)</f>
        <v>0</v>
      </c>
      <c r="F317" s="52" t="str">
        <f>VLOOKUP($A317,'Выгр Кат'!$A:$R,F$1,0)</f>
        <v>21100840105020</v>
      </c>
      <c r="G317" s="52" t="str">
        <f>IF(VLOOKUP($A317,'Выгр Кат'!$A:$R,G$1,0)=0,"",VLOOKUP($A317,'Выгр Кат'!$A:$R,G$1,0))</f>
        <v>https://motorring.ru/product/16659-ramka-radiatora-kataforeznoe-pokrytie-vaz-2110-lada-priora</v>
      </c>
      <c r="H317" s="52"/>
      <c r="I317" s="52"/>
      <c r="J317" s="54">
        <f t="shared" si="88"/>
        <v>4929</v>
      </c>
      <c r="K317" s="55">
        <f>VLOOKUP(J317,Наценка!$A$1:$B$8,2,1)</f>
        <v>1.4</v>
      </c>
      <c r="L317" s="56">
        <f t="shared" si="89"/>
        <v>6900.5999999999995</v>
      </c>
      <c r="M317" s="57">
        <f t="shared" si="90"/>
        <v>6990</v>
      </c>
      <c r="N317" s="52">
        <f>VLOOKUP($A317,'Выгр Кат'!$A:$R,N$1,0)</f>
        <v>4929</v>
      </c>
      <c r="O317" s="52">
        <f>VLOOKUP($A317,'Выгр Кат'!$A:$R,O$1,0)</f>
        <v>6990</v>
      </c>
      <c r="P317" s="47">
        <f t="shared" si="91"/>
        <v>0</v>
      </c>
      <c r="Q317" s="47">
        <f t="shared" si="92"/>
        <v>0</v>
      </c>
      <c r="R317" s="58">
        <f t="shared" si="93"/>
        <v>6990</v>
      </c>
      <c r="S317" s="59">
        <f t="shared" si="94"/>
        <v>0.41813755325623858</v>
      </c>
      <c r="T317" s="59">
        <f t="shared" si="95"/>
        <v>-4.4843049327354258E-2</v>
      </c>
      <c r="U317" s="59">
        <f t="shared" si="96"/>
        <v>0.35727328058429708</v>
      </c>
      <c r="V317" s="42">
        <f t="shared" ref="V317:V318" si="97">Z317</f>
        <v>6690</v>
      </c>
      <c r="W317" s="69">
        <f>IFERROR((VLOOKUP($A317,'Из ГУГЛа'!$B:$Z,W$1,0)+Y317)*X317,VLOOKUP($A317,'Из ГУГЛа'!$B:$Z,W$1,0))</f>
        <v>6690</v>
      </c>
      <c r="X317" s="61">
        <v>1</v>
      </c>
      <c r="Y317" s="61">
        <v>0</v>
      </c>
      <c r="Z317" s="70">
        <v>6690</v>
      </c>
      <c r="AA317" s="60" t="s">
        <v>848</v>
      </c>
    </row>
    <row r="318" spans="1:27" ht="30" x14ac:dyDescent="0.25">
      <c r="A318" s="52">
        <v>186098</v>
      </c>
      <c r="B318" s="52">
        <f>VLOOKUP($A318,'Выгр Кат'!$A:$R,B$1,0)</f>
        <v>32650</v>
      </c>
      <c r="C318" s="53" t="str">
        <f>VLOOKUP($A318,'Выгр Кат'!$A:$R,C$1,0)</f>
        <v>Пaнeль пoлa задняя (катафорез) "АвтоВАЗ" в сборе для Шевроле Нива</v>
      </c>
      <c r="D318" s="52" t="str">
        <f>VLOOKUP($A318,'Выгр Кат'!$A:$R,D$1,0)</f>
        <v>Y</v>
      </c>
      <c r="E318" s="52" t="str">
        <f>VLOOKUP($A318,'Выгр Кат'!$A:$R,E$1,0)</f>
        <v>1</v>
      </c>
      <c r="F318" s="52" t="str">
        <f>VLOOKUP($A318,'Выгр Кат'!$A:$R,F$1,0)</f>
        <v>21230510104070</v>
      </c>
      <c r="G318" s="52" t="str">
        <f>IF(VLOOKUP($A318,'Выгр Кат'!$A:$R,G$1,0)=0,"",VLOOKUP($A318,'Выгр Кат'!$A:$R,G$1,0))</f>
        <v>https://motorring.ru/product/222-panely-pola-zadnyaya-sbore-dlya-shevrole-niva</v>
      </c>
      <c r="H318" s="52"/>
      <c r="I318" s="52"/>
      <c r="J318" s="54">
        <f t="shared" si="88"/>
        <v>1500</v>
      </c>
      <c r="K318" s="55">
        <f>VLOOKUP(J318,Наценка!$A$1:$B$8,2,1)</f>
        <v>1.5</v>
      </c>
      <c r="L318" s="56">
        <f t="shared" si="89"/>
        <v>2250</v>
      </c>
      <c r="M318" s="57">
        <f t="shared" si="90"/>
        <v>2290</v>
      </c>
      <c r="N318" s="52">
        <f>VLOOKUP($A318,'Выгр Кат'!$A:$R,N$1,0)</f>
        <v>1500</v>
      </c>
      <c r="O318" s="52">
        <f>VLOOKUP($A318,'Выгр Кат'!$A:$R,O$1,0)</f>
        <v>2290</v>
      </c>
      <c r="P318" s="47">
        <f t="shared" si="91"/>
        <v>0</v>
      </c>
      <c r="Q318" s="47">
        <f t="shared" si="92"/>
        <v>0</v>
      </c>
      <c r="R318" s="58">
        <f t="shared" si="93"/>
        <v>2290</v>
      </c>
      <c r="S318" s="59">
        <f t="shared" si="94"/>
        <v>0.52666666666666662</v>
      </c>
      <c r="T318" s="59">
        <f t="shared" si="95"/>
        <v>-0.15075376884422109</v>
      </c>
      <c r="U318" s="59">
        <f t="shared" si="96"/>
        <v>0.32666666666666666</v>
      </c>
      <c r="V318" s="42">
        <f t="shared" si="97"/>
        <v>1990</v>
      </c>
      <c r="W318" s="69">
        <f>IFERROR((VLOOKUP($A318,'Из ГУГЛа'!$B:$Z,W$1,0)+Y318)*X318,VLOOKUP($A318,'Из ГУГЛа'!$B:$Z,W$1,0))</f>
        <v>1990</v>
      </c>
      <c r="X318" s="61">
        <v>1</v>
      </c>
      <c r="Y318" s="61">
        <v>0</v>
      </c>
      <c r="Z318" s="70">
        <v>1990</v>
      </c>
      <c r="AA318" s="60" t="s">
        <v>851</v>
      </c>
    </row>
    <row r="319" spans="1:27" ht="30" x14ac:dyDescent="0.25">
      <c r="A319" s="52">
        <v>186099</v>
      </c>
      <c r="B319" s="52">
        <f>VLOOKUP($A319,'Выгр Кат'!$A:$R,B$1,0)</f>
        <v>32649</v>
      </c>
      <c r="C319" s="53" t="str">
        <f>VLOOKUP($A319,'Выгр Кат'!$A:$R,C$1,0)</f>
        <v>Пaнeль пoлa пepeдняя "АвтоВАЗ" правая в сборе для Шевроле Нива</v>
      </c>
      <c r="D319" s="52" t="str">
        <f>VLOOKUP($A319,'Выгр Кат'!$A:$R,D$1,0)</f>
        <v>Y</v>
      </c>
      <c r="E319" s="52" t="str">
        <f>VLOOKUP($A319,'Выгр Кат'!$A:$R,E$1,0)</f>
        <v>1</v>
      </c>
      <c r="F319" s="52" t="str">
        <f>VLOOKUP($A319,'Выгр Кат'!$A:$R,F$1,0)</f>
        <v>21230510102200</v>
      </c>
      <c r="G319" s="52" t="str">
        <f>IF(VLOOKUP($A319,'Выгр Кат'!$A:$R,G$1,0)=0,"",VLOOKUP($A319,'Выгр Кат'!$A:$R,G$1,0))</f>
        <v/>
      </c>
      <c r="H319" s="52"/>
      <c r="I319" s="52"/>
      <c r="J319" s="54">
        <f t="shared" si="88"/>
        <v>830.78</v>
      </c>
      <c r="K319" s="55">
        <f>VLOOKUP(J319,Наценка!$A$1:$B$8,2,1)</f>
        <v>1.55</v>
      </c>
      <c r="L319" s="56">
        <f t="shared" si="89"/>
        <v>1287.7090000000001</v>
      </c>
      <c r="M319" s="57">
        <f t="shared" si="90"/>
        <v>1290</v>
      </c>
      <c r="N319" s="52">
        <f>VLOOKUP($A319,'Выгр Кат'!$A:$R,N$1,0)</f>
        <v>830.78</v>
      </c>
      <c r="O319" s="52">
        <f>VLOOKUP($A319,'Выгр Кат'!$A:$R,O$1,0)</f>
        <v>1290</v>
      </c>
      <c r="P319" s="47">
        <f t="shared" si="91"/>
        <v>0</v>
      </c>
      <c r="Q319" s="47">
        <f t="shared" si="92"/>
        <v>0</v>
      </c>
      <c r="R319" s="58">
        <f t="shared" si="93"/>
        <v>1290</v>
      </c>
      <c r="S319" s="59">
        <f t="shared" si="94"/>
        <v>0.55275764943787764</v>
      </c>
      <c r="T319" s="59" t="str">
        <f t="shared" si="95"/>
        <v/>
      </c>
      <c r="U319" s="59" t="str">
        <f t="shared" si="96"/>
        <v/>
      </c>
      <c r="V319" s="60"/>
      <c r="W319" s="69" t="str">
        <f>IFERROR((VLOOKUP($A319,'Из ГУГЛа'!$B:$Z,W$1,0)+Y319)*X319,VLOOKUP($A319,'Из ГУГЛа'!$B:$Z,W$1,0))</f>
        <v/>
      </c>
      <c r="X319" s="61">
        <v>1</v>
      </c>
      <c r="Y319" s="61">
        <v>0</v>
      </c>
      <c r="Z319" s="60" t="s">
        <v>4170</v>
      </c>
      <c r="AA319" s="60"/>
    </row>
    <row r="320" spans="1:27" ht="30" x14ac:dyDescent="0.25">
      <c r="A320" s="52">
        <v>186100</v>
      </c>
      <c r="B320" s="52">
        <f>VLOOKUP($A320,'Выгр Кат'!$A:$R,B$1,0)</f>
        <v>31294</v>
      </c>
      <c r="C320" s="53" t="str">
        <f>VLOOKUP($A320,'Выгр Кат'!$A:$R,C$1,0)</f>
        <v>Пaнeль пoлa пepeдняя (катафорез) "АвтоВАЗ" лeвая для Шевроле Нива</v>
      </c>
      <c r="D320" s="52" t="str">
        <f>VLOOKUP($A320,'Выгр Кат'!$A:$R,D$1,0)</f>
        <v>Y</v>
      </c>
      <c r="E320" s="52" t="str">
        <f>VLOOKUP($A320,'Выгр Кат'!$A:$R,E$1,0)</f>
        <v>1ск1</v>
      </c>
      <c r="F320" s="52" t="str">
        <f>VLOOKUP($A320,'Выгр Кат'!$A:$R,F$1,0)</f>
        <v>21230510102370</v>
      </c>
      <c r="G320" s="52" t="str">
        <f>IF(VLOOKUP($A320,'Выгр Кат'!$A:$R,G$1,0)=0,"",VLOOKUP($A320,'Выгр Кат'!$A:$R,G$1,0))</f>
        <v>https://motorring.ru/product/37045-perednyaya-levaya-panely-pola-dlya-shevrole-niva</v>
      </c>
      <c r="H320" s="52"/>
      <c r="I320" s="52"/>
      <c r="J320" s="54">
        <f t="shared" si="88"/>
        <v>3688</v>
      </c>
      <c r="K320" s="55">
        <f>VLOOKUP(J320,Наценка!$A$1:$B$8,2,1)</f>
        <v>1.4</v>
      </c>
      <c r="L320" s="56">
        <f t="shared" si="89"/>
        <v>5163.2</v>
      </c>
      <c r="M320" s="57">
        <f t="shared" si="90"/>
        <v>5190</v>
      </c>
      <c r="N320" s="52">
        <f>VLOOKUP($A320,'Выгр Кат'!$A:$R,N$1,0)</f>
        <v>3688</v>
      </c>
      <c r="O320" s="52">
        <f>VLOOKUP($A320,'Выгр Кат'!$A:$R,O$1,0)</f>
        <v>5190</v>
      </c>
      <c r="P320" s="47">
        <f t="shared" si="91"/>
        <v>0</v>
      </c>
      <c r="Q320" s="47">
        <f t="shared" si="92"/>
        <v>0</v>
      </c>
      <c r="R320" s="58">
        <f t="shared" si="93"/>
        <v>5190</v>
      </c>
      <c r="S320" s="59">
        <f t="shared" si="94"/>
        <v>0.40726681127982656</v>
      </c>
      <c r="T320" s="59">
        <f t="shared" si="95"/>
        <v>5.4644808743169397E-2</v>
      </c>
      <c r="U320" s="59">
        <f t="shared" si="96"/>
        <v>0.48861171366594358</v>
      </c>
      <c r="V320" s="42">
        <f t="shared" ref="V320:V321" si="98">Z320</f>
        <v>5490</v>
      </c>
      <c r="W320" s="69">
        <f>IFERROR((VLOOKUP($A320,'Из ГУГЛа'!$B:$Z,W$1,0)+Y320)*X320,VLOOKUP($A320,'Из ГУГЛа'!$B:$Z,W$1,0))</f>
        <v>5490</v>
      </c>
      <c r="X320" s="61">
        <v>1</v>
      </c>
      <c r="Y320" s="61">
        <v>0</v>
      </c>
      <c r="Z320" s="70">
        <v>5490</v>
      </c>
      <c r="AA320" s="60" t="s">
        <v>856</v>
      </c>
    </row>
    <row r="321" spans="1:27" ht="45" x14ac:dyDescent="0.25">
      <c r="A321" s="52">
        <v>186101</v>
      </c>
      <c r="B321" s="52">
        <f>VLOOKUP($A321,'Выгр Кат'!$A:$R,B$1,0)</f>
        <v>31295</v>
      </c>
      <c r="C321" s="53" t="str">
        <f>VLOOKUP($A321,'Выгр Кат'!$A:$R,C$1,0)</f>
        <v>Пaнeль пoлa пepeдняя (катафорез) "АвтоВАЗ" правая в сборе для Шевроле Нива</v>
      </c>
      <c r="D321" s="52" t="str">
        <f>VLOOKUP($A321,'Выгр Кат'!$A:$R,D$1,0)</f>
        <v>Y</v>
      </c>
      <c r="E321" s="52" t="str">
        <f>VLOOKUP($A321,'Выгр Кат'!$A:$R,E$1,0)</f>
        <v>1</v>
      </c>
      <c r="F321" s="52" t="str">
        <f>VLOOKUP($A321,'Выгр Кат'!$A:$R,F$1,0)</f>
        <v>21230510102270</v>
      </c>
      <c r="G321" s="52" t="str">
        <f>IF(VLOOKUP($A321,'Выгр Кат'!$A:$R,G$1,0)=0,"",VLOOKUP($A321,'Выгр Кат'!$A:$R,G$1,0))</f>
        <v>https://motorring.ru/product/37044-perednyaya-pravaya-panely-pola-dlya-shevrole-niva</v>
      </c>
      <c r="H321" s="52"/>
      <c r="I321" s="52"/>
      <c r="J321" s="54">
        <f t="shared" si="88"/>
        <v>1346</v>
      </c>
      <c r="K321" s="55">
        <f>VLOOKUP(J321,Наценка!$A$1:$B$8,2,1)</f>
        <v>1.5</v>
      </c>
      <c r="L321" s="56">
        <f t="shared" si="89"/>
        <v>2019</v>
      </c>
      <c r="M321" s="57">
        <f t="shared" si="90"/>
        <v>2090</v>
      </c>
      <c r="N321" s="52">
        <f>VLOOKUP($A321,'Выгр Кат'!$A:$R,N$1,0)</f>
        <v>1346</v>
      </c>
      <c r="O321" s="52">
        <f>VLOOKUP($A321,'Выгр Кат'!$A:$R,O$1,0)</f>
        <v>2090</v>
      </c>
      <c r="P321" s="47">
        <f t="shared" si="91"/>
        <v>0</v>
      </c>
      <c r="Q321" s="47">
        <f t="shared" si="92"/>
        <v>0</v>
      </c>
      <c r="R321" s="58">
        <f t="shared" si="93"/>
        <v>2090</v>
      </c>
      <c r="S321" s="59">
        <f t="shared" si="94"/>
        <v>0.55274888558692425</v>
      </c>
      <c r="T321" s="59">
        <f t="shared" si="95"/>
        <v>0.12552301255230125</v>
      </c>
      <c r="U321" s="59">
        <f t="shared" si="96"/>
        <v>0.77563150074294196</v>
      </c>
      <c r="V321" s="42">
        <f t="shared" si="98"/>
        <v>2390</v>
      </c>
      <c r="W321" s="69">
        <f>IFERROR((VLOOKUP($A321,'Из ГУГЛа'!$B:$Z,W$1,0)+Y321)*X321,VLOOKUP($A321,'Из ГУГЛа'!$B:$Z,W$1,0))</f>
        <v>2390</v>
      </c>
      <c r="X321" s="61">
        <v>1</v>
      </c>
      <c r="Y321" s="61">
        <v>0</v>
      </c>
      <c r="Z321" s="70">
        <v>2390</v>
      </c>
      <c r="AA321" s="60" t="s">
        <v>859</v>
      </c>
    </row>
    <row r="322" spans="1:27" ht="30" x14ac:dyDescent="0.25">
      <c r="A322" s="52">
        <v>186102</v>
      </c>
      <c r="B322" s="52">
        <f>VLOOKUP($A322,'Выгр Кат'!$A:$R,B$1,0)</f>
        <v>31482</v>
      </c>
      <c r="C322" s="53" t="str">
        <f>VLOOKUP($A322,'Выгр Кат'!$A:$R,C$1,0)</f>
        <v>Пaнель пола (катафорез) "АвтоВАЗ" средняя для Лада Калина</v>
      </c>
      <c r="D322" s="52" t="str">
        <f>VLOOKUP($A322,'Выгр Кат'!$A:$R,D$1,0)</f>
        <v>Y</v>
      </c>
      <c r="E322" s="52" t="str">
        <f>VLOOKUP($A322,'Выгр Кат'!$A:$R,E$1,0)</f>
        <v>1</v>
      </c>
      <c r="F322" s="52" t="str">
        <f>VLOOKUP($A322,'Выгр Кат'!$A:$R,F$1,0)</f>
        <v>11180510103470</v>
      </c>
      <c r="G322" s="52" t="str">
        <f>IF(VLOOKUP($A322,'Выгр Кат'!$A:$R,G$1,0)=0,"",VLOOKUP($A322,'Выгр Кат'!$A:$R,G$1,0))</f>
        <v/>
      </c>
      <c r="H322" s="52"/>
      <c r="I322" s="52"/>
      <c r="J322" s="54">
        <f t="shared" si="88"/>
        <v>3234</v>
      </c>
      <c r="K322" s="55">
        <f>VLOOKUP(J322,Наценка!$A$1:$B$8,2,1)</f>
        <v>1.4</v>
      </c>
      <c r="L322" s="56">
        <f t="shared" si="89"/>
        <v>4527.5999999999995</v>
      </c>
      <c r="M322" s="57">
        <f t="shared" si="90"/>
        <v>4590</v>
      </c>
      <c r="N322" s="52">
        <f>VLOOKUP($A322,'Выгр Кат'!$A:$R,N$1,0)</f>
        <v>3234</v>
      </c>
      <c r="O322" s="52">
        <f>VLOOKUP($A322,'Выгр Кат'!$A:$R,O$1,0)</f>
        <v>4590</v>
      </c>
      <c r="P322" s="47">
        <f t="shared" si="91"/>
        <v>0</v>
      </c>
      <c r="Q322" s="47">
        <f t="shared" si="92"/>
        <v>0</v>
      </c>
      <c r="R322" s="58">
        <f t="shared" si="93"/>
        <v>4590</v>
      </c>
      <c r="S322" s="59">
        <f t="shared" si="94"/>
        <v>0.41929499072356213</v>
      </c>
      <c r="T322" s="59" t="str">
        <f t="shared" si="95"/>
        <v/>
      </c>
      <c r="U322" s="59" t="str">
        <f t="shared" si="96"/>
        <v/>
      </c>
      <c r="V322" s="60"/>
      <c r="W322" s="69" t="str">
        <f>IFERROR((VLOOKUP($A322,'Из ГУГЛа'!$B:$Z,W$1,0)+Y322)*X322,VLOOKUP($A322,'Из ГУГЛа'!$B:$Z,W$1,0))</f>
        <v/>
      </c>
      <c r="X322" s="61">
        <v>1</v>
      </c>
      <c r="Y322" s="61">
        <v>0</v>
      </c>
      <c r="Z322" s="60" t="s">
        <v>4170</v>
      </c>
      <c r="AA322" s="60"/>
    </row>
    <row r="323" spans="1:27" ht="30" x14ac:dyDescent="0.25">
      <c r="A323" s="52">
        <v>186138</v>
      </c>
      <c r="B323" s="52">
        <f>VLOOKUP($A323,'Выгр Кат'!$A:$R,B$1,0)</f>
        <v>45526</v>
      </c>
      <c r="C323" s="53" t="str">
        <f>VLOOKUP($A323,'Выгр Кат'!$A:$R,C$1,0)</f>
        <v>Панель (скелет) боковины "АвтоВАЗ" внутренняя левая для ВАЗ 2108, 2113</v>
      </c>
      <c r="D323" s="52" t="str">
        <f>VLOOKUP($A323,'Выгр Кат'!$A:$R,D$1,0)</f>
        <v>Y</v>
      </c>
      <c r="E323" s="52" t="str">
        <f>VLOOKUP($A323,'Выгр Кат'!$A:$R,E$1,0)</f>
        <v>1</v>
      </c>
      <c r="F323" s="52" t="str">
        <f>VLOOKUP($A323,'Выгр Кат'!$A:$R,F$1,0)</f>
        <v>21080540109310</v>
      </c>
      <c r="G323" s="52" t="str">
        <f>IF(VLOOKUP($A323,'Выгр Кат'!$A:$R,G$1,0)=0,"",VLOOKUP($A323,'Выгр Кат'!$A:$R,G$1,0))</f>
        <v/>
      </c>
      <c r="H323" s="52"/>
      <c r="I323" s="52"/>
      <c r="J323" s="54">
        <f t="shared" si="88"/>
        <v>1854</v>
      </c>
      <c r="K323" s="55">
        <f>VLOOKUP(J323,Наценка!$A$1:$B$8,2,1)</f>
        <v>1.5</v>
      </c>
      <c r="L323" s="56">
        <f t="shared" si="89"/>
        <v>2781</v>
      </c>
      <c r="M323" s="57">
        <f t="shared" si="90"/>
        <v>2790</v>
      </c>
      <c r="N323" s="52">
        <f>VLOOKUP($A323,'Выгр Кат'!$A:$R,N$1,0)</f>
        <v>1854</v>
      </c>
      <c r="O323" s="52">
        <f>VLOOKUP($A323,'Выгр Кат'!$A:$R,O$1,0)</f>
        <v>2790</v>
      </c>
      <c r="P323" s="47">
        <f t="shared" si="91"/>
        <v>0</v>
      </c>
      <c r="Q323" s="47">
        <f t="shared" si="92"/>
        <v>0</v>
      </c>
      <c r="R323" s="58">
        <f t="shared" si="93"/>
        <v>2790</v>
      </c>
      <c r="S323" s="59">
        <f t="shared" si="94"/>
        <v>0.50485436893203883</v>
      </c>
      <c r="T323" s="59" t="str">
        <f t="shared" si="95"/>
        <v/>
      </c>
      <c r="U323" s="59" t="str">
        <f t="shared" si="96"/>
        <v/>
      </c>
      <c r="V323" s="60"/>
      <c r="W323" s="69" t="str">
        <f>IFERROR((VLOOKUP($A323,'Из ГУГЛа'!$B:$Z,W$1,0)+Y323)*X323,VLOOKUP($A323,'Из ГУГЛа'!$B:$Z,W$1,0))</f>
        <v/>
      </c>
      <c r="X323" s="61">
        <v>1</v>
      </c>
      <c r="Y323" s="61">
        <v>0</v>
      </c>
      <c r="Z323" s="60" t="s">
        <v>4170</v>
      </c>
      <c r="AA323" s="60"/>
    </row>
    <row r="324" spans="1:27" ht="30" x14ac:dyDescent="0.25">
      <c r="A324" s="52">
        <v>186139</v>
      </c>
      <c r="B324" s="52">
        <f>VLOOKUP($A324,'Выгр Кат'!$A:$R,B$1,0)</f>
        <v>31430</v>
      </c>
      <c r="C324" s="53" t="str">
        <f>VLOOKUP($A324,'Выгр Кат'!$A:$R,C$1,0)</f>
        <v>Панель (скелет) боковины "АвтоВАЗ" внутренняя правая для ВАЗ 2108</v>
      </c>
      <c r="D324" s="52" t="str">
        <f>VLOOKUP($A324,'Выгр Кат'!$A:$R,D$1,0)</f>
        <v>Y</v>
      </c>
      <c r="E324" s="52" t="str">
        <f>VLOOKUP($A324,'Выгр Кат'!$A:$R,E$1,0)</f>
        <v>1</v>
      </c>
      <c r="F324" s="52" t="str">
        <f>VLOOKUP($A324,'Выгр Кат'!$A:$R,F$1,0)</f>
        <v>21080540109200</v>
      </c>
      <c r="G324" s="52" t="str">
        <f>IF(VLOOKUP($A324,'Выгр Кат'!$A:$R,G$1,0)=0,"",VLOOKUP($A324,'Выгр Кат'!$A:$R,G$1,0))</f>
        <v/>
      </c>
      <c r="H324" s="52"/>
      <c r="I324" s="52"/>
      <c r="J324" s="54">
        <f t="shared" si="88"/>
        <v>1692</v>
      </c>
      <c r="K324" s="55">
        <f>VLOOKUP(J324,Наценка!$A$1:$B$8,2,1)</f>
        <v>1.5</v>
      </c>
      <c r="L324" s="56">
        <f t="shared" si="89"/>
        <v>2538</v>
      </c>
      <c r="M324" s="57">
        <f t="shared" si="90"/>
        <v>2590</v>
      </c>
      <c r="N324" s="52">
        <f>VLOOKUP($A324,'Выгр Кат'!$A:$R,N$1,0)</f>
        <v>1692</v>
      </c>
      <c r="O324" s="52">
        <f>VLOOKUP($A324,'Выгр Кат'!$A:$R,O$1,0)</f>
        <v>2590</v>
      </c>
      <c r="P324" s="47">
        <f t="shared" si="91"/>
        <v>0</v>
      </c>
      <c r="Q324" s="47">
        <f t="shared" si="92"/>
        <v>0</v>
      </c>
      <c r="R324" s="58">
        <f t="shared" si="93"/>
        <v>2590</v>
      </c>
      <c r="S324" s="59">
        <f t="shared" si="94"/>
        <v>0.5307328605200945</v>
      </c>
      <c r="T324" s="59" t="str">
        <f t="shared" si="95"/>
        <v/>
      </c>
      <c r="U324" s="59" t="str">
        <f t="shared" si="96"/>
        <v/>
      </c>
      <c r="V324" s="60"/>
      <c r="W324" s="69" t="str">
        <f>IFERROR((VLOOKUP($A324,'Из ГУГЛа'!$B:$Z,W$1,0)+Y324)*X324,VLOOKUP($A324,'Из ГУГЛа'!$B:$Z,W$1,0))</f>
        <v/>
      </c>
      <c r="X324" s="61">
        <v>1</v>
      </c>
      <c r="Y324" s="61">
        <v>0</v>
      </c>
      <c r="Z324" s="60" t="s">
        <v>4170</v>
      </c>
      <c r="AA324" s="60"/>
    </row>
    <row r="325" spans="1:27" ht="30" x14ac:dyDescent="0.25">
      <c r="A325" s="52">
        <v>186143</v>
      </c>
      <c r="B325" s="52">
        <f>VLOOKUP($A325,'Выгр Кат'!$A:$R,B$1,0)</f>
        <v>31276</v>
      </c>
      <c r="C325" s="53" t="str">
        <f>VLOOKUP($A325,'Выгр Кат'!$A:$R,C$1,0)</f>
        <v>Панель боковая внутренняя "АвтоВАЗ" левая в сборе для Шевроле Нива</v>
      </c>
      <c r="D325" s="52" t="str">
        <f>VLOOKUP($A325,'Выгр Кат'!$A:$R,D$1,0)</f>
        <v>Y</v>
      </c>
      <c r="E325" s="52" t="str">
        <f>VLOOKUP($A325,'Выгр Кат'!$A:$R,E$1,0)</f>
        <v>1</v>
      </c>
      <c r="F325" s="52" t="str">
        <f>VLOOKUP($A325,'Выгр Кат'!$A:$R,F$1,0)</f>
        <v>21230530132100</v>
      </c>
      <c r="G325" s="52" t="str">
        <f>IF(VLOOKUP($A325,'Выгр Кат'!$A:$R,G$1,0)=0,"",VLOOKUP($A325,'Выгр Кат'!$A:$R,G$1,0))</f>
        <v/>
      </c>
      <c r="H325" s="52"/>
      <c r="I325" s="52"/>
      <c r="J325" s="54">
        <f t="shared" si="88"/>
        <v>254</v>
      </c>
      <c r="K325" s="55">
        <f>VLOOKUP(J325,Наценка!$A$1:$B$8,2,1)</f>
        <v>1.8</v>
      </c>
      <c r="L325" s="56">
        <f t="shared" si="89"/>
        <v>457.2</v>
      </c>
      <c r="M325" s="57">
        <f t="shared" si="90"/>
        <v>459</v>
      </c>
      <c r="N325" s="52">
        <f>VLOOKUP($A325,'Выгр Кат'!$A:$R,N$1,0)</f>
        <v>254</v>
      </c>
      <c r="O325" s="52">
        <f>VLOOKUP($A325,'Выгр Кат'!$A:$R,O$1,0)</f>
        <v>459</v>
      </c>
      <c r="P325" s="47">
        <f t="shared" si="91"/>
        <v>0</v>
      </c>
      <c r="Q325" s="47">
        <f t="shared" si="92"/>
        <v>0</v>
      </c>
      <c r="R325" s="58">
        <f t="shared" si="93"/>
        <v>459</v>
      </c>
      <c r="S325" s="59">
        <f t="shared" si="94"/>
        <v>0.80708661417322825</v>
      </c>
      <c r="T325" s="59" t="str">
        <f t="shared" si="95"/>
        <v/>
      </c>
      <c r="U325" s="59" t="str">
        <f t="shared" si="96"/>
        <v/>
      </c>
      <c r="V325" s="60"/>
      <c r="W325" s="69" t="str">
        <f>IFERROR((VLOOKUP($A325,'Из ГУГЛа'!$B:$Z,W$1,0)+Y325)*X325,VLOOKUP($A325,'Из ГУГЛа'!$B:$Z,W$1,0))</f>
        <v/>
      </c>
      <c r="X325" s="61">
        <v>1</v>
      </c>
      <c r="Y325" s="61">
        <v>0</v>
      </c>
      <c r="Z325" s="60" t="s">
        <v>4170</v>
      </c>
      <c r="AA325" s="60"/>
    </row>
    <row r="326" spans="1:27" ht="30" x14ac:dyDescent="0.25">
      <c r="A326" s="52">
        <v>186144</v>
      </c>
      <c r="B326" s="52">
        <f>VLOOKUP($A326,'Выгр Кат'!$A:$R,B$1,0)</f>
        <v>32657</v>
      </c>
      <c r="C326" s="53" t="str">
        <f>VLOOKUP($A326,'Выгр Кат'!$A:$R,C$1,0)</f>
        <v>Панель боковая внутренняя "АвтоВАЗ" правая в сборе для Шевроле Нива</v>
      </c>
      <c r="D326" s="52" t="str">
        <f>VLOOKUP($A326,'Выгр Кат'!$A:$R,D$1,0)</f>
        <v>Y</v>
      </c>
      <c r="E326" s="52" t="str">
        <f>VLOOKUP($A326,'Выгр Кат'!$A:$R,E$1,0)</f>
        <v>1</v>
      </c>
      <c r="F326" s="52" t="str">
        <f>VLOOKUP($A326,'Выгр Кат'!$A:$R,F$1,0)</f>
        <v>21230530132000</v>
      </c>
      <c r="G326" s="52" t="str">
        <f>IF(VLOOKUP($A326,'Выгр Кат'!$A:$R,G$1,0)=0,"",VLOOKUP($A326,'Выгр Кат'!$A:$R,G$1,0))</f>
        <v>https://motorring.ru/product/6545-panely-bokovaya-vnutrennyaya-pravaya-sbore-shevrole-niva</v>
      </c>
      <c r="H326" s="52"/>
      <c r="I326" s="52"/>
      <c r="J326" s="54">
        <f t="shared" si="88"/>
        <v>175</v>
      </c>
      <c r="K326" s="55">
        <f>VLOOKUP(J326,Наценка!$A$1:$B$8,2,1)</f>
        <v>1.8</v>
      </c>
      <c r="L326" s="56">
        <f t="shared" si="89"/>
        <v>315</v>
      </c>
      <c r="M326" s="57">
        <f t="shared" si="90"/>
        <v>319</v>
      </c>
      <c r="N326" s="52">
        <f>VLOOKUP($A326,'Выгр Кат'!$A:$R,N$1,0)</f>
        <v>175</v>
      </c>
      <c r="O326" s="52">
        <f>VLOOKUP($A326,'Выгр Кат'!$A:$R,O$1,0)</f>
        <v>319</v>
      </c>
      <c r="P326" s="47">
        <f t="shared" si="91"/>
        <v>0</v>
      </c>
      <c r="Q326" s="47">
        <f t="shared" si="92"/>
        <v>0</v>
      </c>
      <c r="R326" s="58">
        <f t="shared" si="93"/>
        <v>319</v>
      </c>
      <c r="S326" s="59">
        <f t="shared" si="94"/>
        <v>0.82285714285714295</v>
      </c>
      <c r="T326" s="59">
        <f t="shared" si="95"/>
        <v>-0.67894736842105263</v>
      </c>
      <c r="U326" s="59">
        <f t="shared" si="96"/>
        <v>8.5714285714285632E-2</v>
      </c>
      <c r="V326" s="42">
        <f>Z326</f>
        <v>190</v>
      </c>
      <c r="W326" s="69">
        <f>IFERROR((VLOOKUP($A326,'Из ГУГЛа'!$B:$Z,W$1,0)+Y326)*X326,VLOOKUP($A326,'Из ГУГЛа'!$B:$Z,W$1,0))</f>
        <v>190</v>
      </c>
      <c r="X326" s="61">
        <v>1</v>
      </c>
      <c r="Y326" s="61">
        <v>0</v>
      </c>
      <c r="Z326" s="70">
        <v>190</v>
      </c>
      <c r="AA326" s="60" t="s">
        <v>871</v>
      </c>
    </row>
    <row r="327" spans="1:27" ht="45" x14ac:dyDescent="0.25">
      <c r="A327" s="52">
        <v>186145</v>
      </c>
      <c r="B327" s="52">
        <f>VLOOKUP($A327,'Выгр Кат'!$A:$R,B$1,0)</f>
        <v>31277</v>
      </c>
      <c r="C327" s="53" t="str">
        <f>VLOOKUP($A327,'Выгр Кат'!$A:$R,C$1,0)</f>
        <v>Панель боковая внутренняя (катафорез) "АвтоВАЗ" правая в сборе для Шевроле Нива</v>
      </c>
      <c r="D327" s="52" t="str">
        <f>VLOOKUP($A327,'Выгр Кат'!$A:$R,D$1,0)</f>
        <v>Y</v>
      </c>
      <c r="E327" s="52" t="str">
        <f>VLOOKUP($A327,'Выгр Кат'!$A:$R,E$1,0)</f>
        <v>1</v>
      </c>
      <c r="F327" s="52" t="str">
        <f>VLOOKUP($A327,'Выгр Кат'!$A:$R,F$1,0)</f>
        <v>21230530132070</v>
      </c>
      <c r="G327" s="52" t="str">
        <f>IF(VLOOKUP($A327,'Выгр Кат'!$A:$R,G$1,0)=0,"",VLOOKUP($A327,'Выгр Кат'!$A:$R,G$1,0))</f>
        <v/>
      </c>
      <c r="H327" s="52"/>
      <c r="I327" s="52"/>
      <c r="J327" s="54">
        <f t="shared" si="88"/>
        <v>505</v>
      </c>
      <c r="K327" s="55">
        <f>VLOOKUP(J327,Наценка!$A$1:$B$8,2,1)</f>
        <v>1.55</v>
      </c>
      <c r="L327" s="56">
        <f t="shared" si="89"/>
        <v>782.75</v>
      </c>
      <c r="M327" s="57">
        <f t="shared" si="90"/>
        <v>789</v>
      </c>
      <c r="N327" s="52">
        <f>VLOOKUP($A327,'Выгр Кат'!$A:$R,N$1,0)</f>
        <v>505</v>
      </c>
      <c r="O327" s="52">
        <f>VLOOKUP($A327,'Выгр Кат'!$A:$R,O$1,0)</f>
        <v>789</v>
      </c>
      <c r="P327" s="47">
        <f t="shared" si="91"/>
        <v>0</v>
      </c>
      <c r="Q327" s="47">
        <f t="shared" si="92"/>
        <v>0</v>
      </c>
      <c r="R327" s="58">
        <f t="shared" si="93"/>
        <v>789</v>
      </c>
      <c r="S327" s="59">
        <f t="shared" si="94"/>
        <v>0.56237623762376243</v>
      </c>
      <c r="T327" s="59" t="str">
        <f t="shared" si="95"/>
        <v/>
      </c>
      <c r="U327" s="59" t="str">
        <f t="shared" si="96"/>
        <v/>
      </c>
      <c r="V327" s="60"/>
      <c r="W327" s="69" t="str">
        <f>IFERROR((VLOOKUP($A327,'Из ГУГЛа'!$B:$Z,W$1,0)+Y327)*X327,VLOOKUP($A327,'Из ГУГЛа'!$B:$Z,W$1,0))</f>
        <v/>
      </c>
      <c r="X327" s="61">
        <v>1</v>
      </c>
      <c r="Y327" s="61">
        <v>0</v>
      </c>
      <c r="Z327" s="60" t="s">
        <v>4170</v>
      </c>
      <c r="AA327" s="60"/>
    </row>
    <row r="328" spans="1:27" ht="30" x14ac:dyDescent="0.25">
      <c r="A328" s="52">
        <v>186146</v>
      </c>
      <c r="B328" s="52">
        <f>VLOOKUP($A328,'Выгр Кат'!$A:$R,B$1,0)</f>
        <v>31013</v>
      </c>
      <c r="C328" s="53" t="str">
        <f>VLOOKUP($A328,'Выгр Кат'!$A:$R,C$1,0)</f>
        <v>Панель боковая центральной части пола "Renault" левая для Лада Ларгус</v>
      </c>
      <c r="D328" s="52" t="str">
        <f>VLOOKUP($A328,'Выгр Кат'!$A:$R,D$1,0)</f>
        <v>Y</v>
      </c>
      <c r="E328" s="52" t="str">
        <f>VLOOKUP($A328,'Выгр Кат'!$A:$R,E$1,0)</f>
        <v>1</v>
      </c>
      <c r="F328" s="52" t="str">
        <f>VLOOKUP($A328,'Выгр Кат'!$A:$R,F$1,0)</f>
        <v>743217978R</v>
      </c>
      <c r="G328" s="52" t="str">
        <f>IF(VLOOKUP($A328,'Выгр Кат'!$A:$R,G$1,0)=0,"",VLOOKUP($A328,'Выгр Кат'!$A:$R,G$1,0))</f>
        <v/>
      </c>
      <c r="H328" s="52"/>
      <c r="I328" s="52"/>
      <c r="J328" s="54">
        <f t="shared" si="88"/>
        <v>11061.46</v>
      </c>
      <c r="K328" s="55">
        <f>VLOOKUP(J328,Наценка!$A$1:$B$8,2,1)</f>
        <v>1.3</v>
      </c>
      <c r="L328" s="56">
        <f t="shared" si="89"/>
        <v>14379.897999999999</v>
      </c>
      <c r="M328" s="57">
        <f t="shared" si="90"/>
        <v>14390</v>
      </c>
      <c r="N328" s="52">
        <f>VLOOKUP($A328,'Выгр Кат'!$A:$R,N$1,0)</f>
        <v>11061.46</v>
      </c>
      <c r="O328" s="52">
        <f>VLOOKUP($A328,'Выгр Кат'!$A:$R,O$1,0)</f>
        <v>14390</v>
      </c>
      <c r="P328" s="47">
        <f t="shared" si="91"/>
        <v>0</v>
      </c>
      <c r="Q328" s="47">
        <f t="shared" si="92"/>
        <v>0</v>
      </c>
      <c r="R328" s="58">
        <f t="shared" si="93"/>
        <v>14390</v>
      </c>
      <c r="S328" s="59">
        <f t="shared" si="94"/>
        <v>0.30091326099809623</v>
      </c>
      <c r="T328" s="59" t="str">
        <f t="shared" si="95"/>
        <v/>
      </c>
      <c r="U328" s="59" t="str">
        <f t="shared" si="96"/>
        <v/>
      </c>
      <c r="V328" s="60"/>
      <c r="W328" s="69" t="str">
        <f>IFERROR((VLOOKUP($A328,'Из ГУГЛа'!$B:$Z,W$1,0)+Y328)*X328,VLOOKUP($A328,'Из ГУГЛа'!$B:$Z,W$1,0))</f>
        <v/>
      </c>
      <c r="X328" s="61">
        <v>1</v>
      </c>
      <c r="Y328" s="61">
        <v>0</v>
      </c>
      <c r="Z328" s="60" t="s">
        <v>4170</v>
      </c>
      <c r="AA328" s="60"/>
    </row>
    <row r="329" spans="1:27" ht="30" x14ac:dyDescent="0.25">
      <c r="A329" s="52">
        <v>186147</v>
      </c>
      <c r="B329" s="52">
        <f>VLOOKUP($A329,'Выгр Кат'!$A:$R,B$1,0)</f>
        <v>31014</v>
      </c>
      <c r="C329" s="53" t="str">
        <f>VLOOKUP($A329,'Выгр Кат'!$A:$R,C$1,0)</f>
        <v>Панель боковая центральной части пола "Renault" правая для Лада Ларгус</v>
      </c>
      <c r="D329" s="52" t="str">
        <f>VLOOKUP($A329,'Выгр Кат'!$A:$R,D$1,0)</f>
        <v>Y</v>
      </c>
      <c r="E329" s="52" t="str">
        <f>VLOOKUP($A329,'Выгр Кат'!$A:$R,E$1,0)</f>
        <v>1</v>
      </c>
      <c r="F329" s="52" t="str">
        <f>VLOOKUP($A329,'Выгр Кат'!$A:$R,F$1,0)</f>
        <v>743200755R</v>
      </c>
      <c r="G329" s="52" t="str">
        <f>IF(VLOOKUP($A329,'Выгр Кат'!$A:$R,G$1,0)=0,"",VLOOKUP($A329,'Выгр Кат'!$A:$R,G$1,0))</f>
        <v/>
      </c>
      <c r="H329" s="52"/>
      <c r="I329" s="52"/>
      <c r="J329" s="54">
        <f t="shared" si="88"/>
        <v>8378</v>
      </c>
      <c r="K329" s="55">
        <f>VLOOKUP(J329,Наценка!$A$1:$B$8,2,1)</f>
        <v>1.35</v>
      </c>
      <c r="L329" s="56">
        <f t="shared" si="89"/>
        <v>11310.300000000001</v>
      </c>
      <c r="M329" s="57">
        <f t="shared" si="90"/>
        <v>11390</v>
      </c>
      <c r="N329" s="52">
        <f>VLOOKUP($A329,'Выгр Кат'!$A:$R,N$1,0)</f>
        <v>8378</v>
      </c>
      <c r="O329" s="52">
        <f>VLOOKUP($A329,'Выгр Кат'!$A:$R,O$1,0)</f>
        <v>11790</v>
      </c>
      <c r="P329" s="47">
        <f t="shared" si="91"/>
        <v>0</v>
      </c>
      <c r="Q329" s="47">
        <f t="shared" si="92"/>
        <v>400</v>
      </c>
      <c r="R329" s="58">
        <f t="shared" si="93"/>
        <v>11390</v>
      </c>
      <c r="S329" s="59">
        <f t="shared" si="94"/>
        <v>0.35951301026497973</v>
      </c>
      <c r="T329" s="59" t="str">
        <f t="shared" si="95"/>
        <v/>
      </c>
      <c r="U329" s="59" t="str">
        <f t="shared" si="96"/>
        <v/>
      </c>
      <c r="V329" s="60"/>
      <c r="W329" s="69" t="str">
        <f>IFERROR((VLOOKUP($A329,'Из ГУГЛа'!$B:$Z,W$1,0)+Y329)*X329,VLOOKUP($A329,'Из ГУГЛа'!$B:$Z,W$1,0))</f>
        <v/>
      </c>
      <c r="X329" s="61">
        <v>1</v>
      </c>
      <c r="Y329" s="61">
        <v>0</v>
      </c>
      <c r="Z329" s="60" t="s">
        <v>4170</v>
      </c>
      <c r="AA329" s="60"/>
    </row>
    <row r="330" spans="1:27" ht="45" x14ac:dyDescent="0.25">
      <c r="A330" s="52">
        <v>186148</v>
      </c>
      <c r="B330" s="52">
        <f>VLOOKUP($A330,'Выгр Кат'!$A:$R,B$1,0)</f>
        <v>46295</v>
      </c>
      <c r="C330" s="53" t="str">
        <f>VLOOKUP($A330,'Выгр Кат'!$A:$R,C$1,0)</f>
        <v>Панель боковины "АвтоВАЗ" внутренняя левая (катафорез) для Шевроле Нива</v>
      </c>
      <c r="D330" s="52" t="str">
        <f>VLOOKUP($A330,'Выгр Кат'!$A:$R,D$1,0)</f>
        <v>Y</v>
      </c>
      <c r="E330" s="52" t="str">
        <f>VLOOKUP($A330,'Выгр Кат'!$A:$R,E$1,0)</f>
        <v>1</v>
      </c>
      <c r="F330" s="52" t="str">
        <f>VLOOKUP($A330,'Выгр Кат'!$A:$R,F$1,0)</f>
        <v>21230540109175</v>
      </c>
      <c r="G330" s="52" t="str">
        <f>IF(VLOOKUP($A330,'Выгр Кат'!$A:$R,G$1,0)=0,"",VLOOKUP($A330,'Выгр Кат'!$A:$R,G$1,0))</f>
        <v>https://motorring.ru/product/35265-panely-bokoviny-vnutrennyaya-levaya-sbore-shevrole-niva</v>
      </c>
      <c r="H330" s="52"/>
      <c r="I330" s="52"/>
      <c r="J330" s="54">
        <f t="shared" si="88"/>
        <v>6300</v>
      </c>
      <c r="K330" s="55">
        <f>VLOOKUP(J330,Наценка!$A$1:$B$8,2,1)</f>
        <v>1.35</v>
      </c>
      <c r="L330" s="56">
        <f t="shared" si="89"/>
        <v>8505</v>
      </c>
      <c r="M330" s="57">
        <f t="shared" si="90"/>
        <v>8590</v>
      </c>
      <c r="N330" s="52">
        <f>VLOOKUP($A330,'Выгр Кат'!$A:$R,N$1,0)</f>
        <v>6300</v>
      </c>
      <c r="O330" s="52">
        <f>VLOOKUP($A330,'Выгр Кат'!$A:$R,O$1,0)</f>
        <v>8590</v>
      </c>
      <c r="P330" s="47">
        <f t="shared" si="91"/>
        <v>0</v>
      </c>
      <c r="Q330" s="47">
        <f t="shared" si="92"/>
        <v>0</v>
      </c>
      <c r="R330" s="58">
        <f t="shared" si="93"/>
        <v>8590</v>
      </c>
      <c r="S330" s="59">
        <f t="shared" si="94"/>
        <v>0.36349206349206353</v>
      </c>
      <c r="T330" s="59">
        <f t="shared" si="95"/>
        <v>-3.6188178528347409E-2</v>
      </c>
      <c r="U330" s="59">
        <f t="shared" si="96"/>
        <v>0.31587301587301586</v>
      </c>
      <c r="V330" s="42">
        <f>Z330</f>
        <v>8290</v>
      </c>
      <c r="W330" s="69">
        <f>IFERROR((VLOOKUP($A330,'Из ГУГЛа'!$B:$Z,W$1,0)+Y330)*X330,VLOOKUP($A330,'Из ГУГЛа'!$B:$Z,W$1,0))</f>
        <v>8290</v>
      </c>
      <c r="X330" s="61">
        <v>1</v>
      </c>
      <c r="Y330" s="61">
        <v>0</v>
      </c>
      <c r="Z330" s="70">
        <v>8290</v>
      </c>
      <c r="AA330" s="60" t="s">
        <v>881</v>
      </c>
    </row>
    <row r="331" spans="1:27" ht="30" x14ac:dyDescent="0.25">
      <c r="A331" s="52">
        <v>186149</v>
      </c>
      <c r="B331" s="52">
        <f>VLOOKUP($A331,'Выгр Кат'!$A:$R,B$1,0)</f>
        <v>46170</v>
      </c>
      <c r="C331" s="53" t="str">
        <f>VLOOKUP($A331,'Выгр Кат'!$A:$R,C$1,0)</f>
        <v>Панель боковины "АвтоВАЗ" внутренняя левая для Лада Нива 4x4</v>
      </c>
      <c r="D331" s="52" t="str">
        <f>VLOOKUP($A331,'Выгр Кат'!$A:$R,D$1,0)</f>
        <v>Y</v>
      </c>
      <c r="E331" s="52" t="str">
        <f>VLOOKUP($A331,'Выгр Кат'!$A:$R,E$1,0)</f>
        <v>1</v>
      </c>
      <c r="F331" s="52" t="str">
        <f>VLOOKUP($A331,'Выгр Кат'!$A:$R,F$1,0)</f>
        <v>8450109171</v>
      </c>
      <c r="G331" s="52" t="str">
        <f>IF(VLOOKUP($A331,'Выгр Кат'!$A:$R,G$1,0)=0,"",VLOOKUP($A331,'Выгр Кат'!$A:$R,G$1,0))</f>
        <v/>
      </c>
      <c r="H331" s="52"/>
      <c r="I331" s="52"/>
      <c r="J331" s="54">
        <f t="shared" si="88"/>
        <v>2855</v>
      </c>
      <c r="K331" s="55">
        <f>VLOOKUP(J331,Наценка!$A$1:$B$8,2,1)</f>
        <v>1.4</v>
      </c>
      <c r="L331" s="56">
        <f t="shared" si="89"/>
        <v>3996.9999999999995</v>
      </c>
      <c r="M331" s="57">
        <f t="shared" si="90"/>
        <v>3990</v>
      </c>
      <c r="N331" s="52">
        <f>VLOOKUP($A331,'Выгр Кат'!$A:$R,N$1,0)</f>
        <v>2855</v>
      </c>
      <c r="O331" s="52">
        <f>VLOOKUP($A331,'Выгр Кат'!$A:$R,O$1,0)</f>
        <v>3990</v>
      </c>
      <c r="P331" s="47">
        <f t="shared" si="91"/>
        <v>0</v>
      </c>
      <c r="Q331" s="47">
        <f t="shared" si="92"/>
        <v>0</v>
      </c>
      <c r="R331" s="58">
        <f t="shared" si="93"/>
        <v>3990</v>
      </c>
      <c r="S331" s="59">
        <f t="shared" si="94"/>
        <v>0.39754816112084068</v>
      </c>
      <c r="T331" s="59" t="str">
        <f t="shared" si="95"/>
        <v/>
      </c>
      <c r="U331" s="59" t="str">
        <f t="shared" si="96"/>
        <v/>
      </c>
      <c r="V331" s="60"/>
      <c r="W331" s="69" t="str">
        <f>IFERROR((VLOOKUP($A331,'Из ГУГЛа'!$B:$Z,W$1,0)+Y331)*X331,VLOOKUP($A331,'Из ГУГЛа'!$B:$Z,W$1,0))</f>
        <v/>
      </c>
      <c r="X331" s="61">
        <v>1</v>
      </c>
      <c r="Y331" s="61">
        <v>0</v>
      </c>
      <c r="Z331" s="60" t="s">
        <v>4170</v>
      </c>
      <c r="AA331" s="60"/>
    </row>
    <row r="332" spans="1:27" ht="45" x14ac:dyDescent="0.25">
      <c r="A332" s="52">
        <v>186150</v>
      </c>
      <c r="B332" s="52">
        <f>VLOOKUP($A332,'Выгр Кат'!$A:$R,B$1,0)</f>
        <v>50271</v>
      </c>
      <c r="C332" s="53" t="str">
        <f>VLOOKUP($A332,'Выгр Кат'!$A:$R,C$1,0)</f>
        <v>Панель боковины "АвтоВАЗ" внутренняя правая (скелет, катафорез) для Лада Калина 2, Гранта FL</v>
      </c>
      <c r="D332" s="52" t="str">
        <f>VLOOKUP($A332,'Выгр Кат'!$A:$R,D$1,0)</f>
        <v>Y</v>
      </c>
      <c r="E332" s="52" t="str">
        <f>VLOOKUP($A332,'Выгр Кат'!$A:$R,E$1,0)</f>
        <v>1</v>
      </c>
      <c r="F332" s="52" t="str">
        <f>VLOOKUP($A332,'Выгр Кат'!$A:$R,F$1,0)</f>
        <v>21940540109070</v>
      </c>
      <c r="G332" s="52" t="str">
        <f>IF(VLOOKUP($A332,'Выгр Кат'!$A:$R,G$1,0)=0,"",VLOOKUP($A332,'Выгр Кат'!$A:$R,G$1,0))</f>
        <v/>
      </c>
      <c r="H332" s="52"/>
      <c r="I332" s="52"/>
      <c r="J332" s="54">
        <f t="shared" si="88"/>
        <v>5386</v>
      </c>
      <c r="K332" s="55">
        <f>VLOOKUP(J332,Наценка!$A$1:$B$8,2,1)</f>
        <v>1.35</v>
      </c>
      <c r="L332" s="56">
        <f t="shared" si="89"/>
        <v>7271.1</v>
      </c>
      <c r="M332" s="57">
        <f t="shared" si="90"/>
        <v>7290</v>
      </c>
      <c r="N332" s="52">
        <f>VLOOKUP($A332,'Выгр Кат'!$A:$R,N$1,0)</f>
        <v>5386</v>
      </c>
      <c r="O332" s="52">
        <f>VLOOKUP($A332,'Выгр Кат'!$A:$R,O$1,0)</f>
        <v>7590</v>
      </c>
      <c r="P332" s="47">
        <f t="shared" si="91"/>
        <v>0</v>
      </c>
      <c r="Q332" s="47">
        <f t="shared" si="92"/>
        <v>300</v>
      </c>
      <c r="R332" s="58">
        <f t="shared" si="93"/>
        <v>7290</v>
      </c>
      <c r="S332" s="59">
        <f t="shared" si="94"/>
        <v>0.35350909766060146</v>
      </c>
      <c r="T332" s="59" t="str">
        <f t="shared" si="95"/>
        <v/>
      </c>
      <c r="U332" s="59" t="str">
        <f t="shared" si="96"/>
        <v/>
      </c>
      <c r="V332" s="60"/>
      <c r="W332" s="69" t="str">
        <f>IFERROR((VLOOKUP($A332,'Из ГУГЛа'!$B:$Z,W$1,0)+Y332)*X332,VLOOKUP($A332,'Из ГУГЛа'!$B:$Z,W$1,0))</f>
        <v/>
      </c>
      <c r="X332" s="61">
        <v>1</v>
      </c>
      <c r="Y332" s="61">
        <v>0</v>
      </c>
      <c r="Z332" s="60" t="s">
        <v>4170</v>
      </c>
      <c r="AA332" s="60"/>
    </row>
    <row r="333" spans="1:27" ht="30" x14ac:dyDescent="0.25">
      <c r="A333" s="52">
        <v>186151</v>
      </c>
      <c r="B333" s="52">
        <f>VLOOKUP($A333,'Выгр Кат'!$A:$R,B$1,0)</f>
        <v>48251</v>
      </c>
      <c r="C333" s="53" t="str">
        <f>VLOOKUP($A333,'Выгр Кат'!$A:$R,C$1,0)</f>
        <v>Панель боковины "АвтоВАЗ" задняя правая для Лада Нива 4х4</v>
      </c>
      <c r="D333" s="52" t="str">
        <f>VLOOKUP($A333,'Выгр Кат'!$A:$R,D$1,0)</f>
        <v>Y</v>
      </c>
      <c r="E333" s="52" t="str">
        <f>VLOOKUP($A333,'Выгр Кат'!$A:$R,E$1,0)</f>
        <v>1</v>
      </c>
      <c r="F333" s="52" t="str">
        <f>VLOOKUP($A333,'Выгр Кат'!$A:$R,F$1,0)</f>
        <v>21317540174210</v>
      </c>
      <c r="G333" s="52" t="str">
        <f>IF(VLOOKUP($A333,'Выгр Кат'!$A:$R,G$1,0)=0,"",VLOOKUP($A333,'Выгр Кат'!$A:$R,G$1,0))</f>
        <v/>
      </c>
      <c r="H333" s="52"/>
      <c r="I333" s="52"/>
      <c r="J333" s="54">
        <f t="shared" si="88"/>
        <v>3632</v>
      </c>
      <c r="K333" s="55">
        <f>VLOOKUP(J333,Наценка!$A$1:$B$8,2,1)</f>
        <v>1.4</v>
      </c>
      <c r="L333" s="56">
        <f t="shared" si="89"/>
        <v>5084.7999999999993</v>
      </c>
      <c r="M333" s="57">
        <f t="shared" si="90"/>
        <v>5090</v>
      </c>
      <c r="N333" s="52">
        <f>VLOOKUP($A333,'Выгр Кат'!$A:$R,N$1,0)</f>
        <v>3632</v>
      </c>
      <c r="O333" s="52">
        <f>VLOOKUP($A333,'Выгр Кат'!$A:$R,O$1,0)</f>
        <v>5090</v>
      </c>
      <c r="P333" s="47">
        <f t="shared" si="91"/>
        <v>0</v>
      </c>
      <c r="Q333" s="47">
        <f t="shared" si="92"/>
        <v>0</v>
      </c>
      <c r="R333" s="58">
        <f t="shared" si="93"/>
        <v>5090</v>
      </c>
      <c r="S333" s="59">
        <f t="shared" si="94"/>
        <v>0.40143171806167399</v>
      </c>
      <c r="T333" s="59" t="str">
        <f t="shared" si="95"/>
        <v/>
      </c>
      <c r="U333" s="59" t="str">
        <f t="shared" si="96"/>
        <v/>
      </c>
      <c r="V333" s="60"/>
      <c r="W333" s="69" t="str">
        <f>IFERROR((VLOOKUP($A333,'Из ГУГЛа'!$B:$Z,W$1,0)+Y333)*X333,VLOOKUP($A333,'Из ГУГЛа'!$B:$Z,W$1,0))</f>
        <v/>
      </c>
      <c r="X333" s="61">
        <v>1</v>
      </c>
      <c r="Y333" s="61">
        <v>0</v>
      </c>
      <c r="Z333" s="60" t="s">
        <v>4170</v>
      </c>
      <c r="AA333" s="60"/>
    </row>
    <row r="334" spans="1:27" ht="45" x14ac:dyDescent="0.25">
      <c r="A334" s="52">
        <v>186152</v>
      </c>
      <c r="B334" s="52">
        <f>VLOOKUP($A334,'Выгр Кат'!$A:$R,B$1,0)</f>
        <v>45888</v>
      </c>
      <c r="C334" s="53" t="str">
        <f>VLOOKUP($A334,'Выгр Кат'!$A:$R,C$1,0)</f>
        <v>Панель боковины "АвтоВАЗ" левая (катафорез) для Лада Нива 4x4, Нива 4x4 Урбан</v>
      </c>
      <c r="D334" s="52" t="str">
        <f>VLOOKUP($A334,'Выгр Кат'!$A:$R,D$1,0)</f>
        <v>Y</v>
      </c>
      <c r="E334" s="52" t="str">
        <f>VLOOKUP($A334,'Выгр Кат'!$A:$R,E$1,0)</f>
        <v>1</v>
      </c>
      <c r="F334" s="52" t="str">
        <f>VLOOKUP($A334,'Выгр Кат'!$A:$R,F$1,0)</f>
        <v>21210540106530</v>
      </c>
      <c r="G334" s="52" t="str">
        <f>IF(VLOOKUP($A334,'Выгр Кат'!$A:$R,G$1,0)=0,"",VLOOKUP($A334,'Выгр Кат'!$A:$R,G$1,0))</f>
        <v/>
      </c>
      <c r="H334" s="52"/>
      <c r="I334" s="52"/>
      <c r="J334" s="54">
        <f t="shared" si="88"/>
        <v>7850</v>
      </c>
      <c r="K334" s="55">
        <f>VLOOKUP(J334,Наценка!$A$1:$B$8,2,1)</f>
        <v>1.35</v>
      </c>
      <c r="L334" s="56">
        <f t="shared" si="89"/>
        <v>10597.5</v>
      </c>
      <c r="M334" s="57">
        <f t="shared" si="90"/>
        <v>10590</v>
      </c>
      <c r="N334" s="52">
        <f>VLOOKUP($A334,'Выгр Кат'!$A:$R,N$1,0)</f>
        <v>7850</v>
      </c>
      <c r="O334" s="52">
        <f>VLOOKUP($A334,'Выгр Кат'!$A:$R,O$1,0)</f>
        <v>10590</v>
      </c>
      <c r="P334" s="47">
        <f t="shared" si="91"/>
        <v>0</v>
      </c>
      <c r="Q334" s="47">
        <f t="shared" si="92"/>
        <v>0</v>
      </c>
      <c r="R334" s="58">
        <f t="shared" si="93"/>
        <v>10590</v>
      </c>
      <c r="S334" s="59">
        <f t="shared" si="94"/>
        <v>0.34904458598726107</v>
      </c>
      <c r="T334" s="59" t="str">
        <f t="shared" si="95"/>
        <v/>
      </c>
      <c r="U334" s="59" t="str">
        <f t="shared" si="96"/>
        <v/>
      </c>
      <c r="V334" s="60"/>
      <c r="W334" s="69" t="str">
        <f>IFERROR((VLOOKUP($A334,'Из ГУГЛа'!$B:$Z,W$1,0)+Y334)*X334,VLOOKUP($A334,'Из ГУГЛа'!$B:$Z,W$1,0))</f>
        <v/>
      </c>
      <c r="X334" s="61">
        <v>1</v>
      </c>
      <c r="Y334" s="61">
        <v>0</v>
      </c>
      <c r="Z334" s="60" t="s">
        <v>4170</v>
      </c>
      <c r="AA334" s="60"/>
    </row>
    <row r="335" spans="1:27" ht="30" x14ac:dyDescent="0.25">
      <c r="A335" s="52">
        <v>186140</v>
      </c>
      <c r="B335" s="52">
        <f>VLOOKUP($A335,'Выгр Кат'!$A:$R,B$1,0)</f>
        <v>32689</v>
      </c>
      <c r="C335" s="53" t="str">
        <f>VLOOKUP($A335,'Выгр Кат'!$A:$R,C$1,0)</f>
        <v>Панель боковины "АвтоВАЗ" передняя левая для Лада Нива 4x4 (5-ти дверная)</v>
      </c>
      <c r="D335" s="52" t="str">
        <f>VLOOKUP($A335,'Выгр Кат'!$A:$R,D$1,0)</f>
        <v>Y</v>
      </c>
      <c r="E335" s="52" t="str">
        <f>VLOOKUP($A335,'Выгр Кат'!$A:$R,E$1,0)</f>
        <v>1</v>
      </c>
      <c r="F335" s="52" t="str">
        <f>VLOOKUP($A335,'Выгр Кат'!$A:$R,F$1,0)</f>
        <v>21317540173310</v>
      </c>
      <c r="G335" s="52" t="str">
        <f>IF(VLOOKUP($A335,'Выгр Кат'!$A:$R,G$1,0)=0,"",VLOOKUP($A335,'Выгр Кат'!$A:$R,G$1,0))</f>
        <v/>
      </c>
      <c r="H335" s="52"/>
      <c r="I335" s="52"/>
      <c r="J335" s="54">
        <f t="shared" si="88"/>
        <v>2283</v>
      </c>
      <c r="K335" s="55">
        <f>VLOOKUP(J335,Наценка!$A$1:$B$8,2,1)</f>
        <v>1.4</v>
      </c>
      <c r="L335" s="56">
        <f t="shared" si="89"/>
        <v>3196.2</v>
      </c>
      <c r="M335" s="57">
        <f t="shared" si="90"/>
        <v>3190</v>
      </c>
      <c r="N335" s="52">
        <f>VLOOKUP($A335,'Выгр Кат'!$A:$R,N$1,0)</f>
        <v>2283</v>
      </c>
      <c r="O335" s="52">
        <f>VLOOKUP($A335,'Выгр Кат'!$A:$R,O$1,0)</f>
        <v>3190</v>
      </c>
      <c r="P335" s="47">
        <f t="shared" si="91"/>
        <v>0</v>
      </c>
      <c r="Q335" s="47">
        <f t="shared" si="92"/>
        <v>0</v>
      </c>
      <c r="R335" s="58">
        <f t="shared" si="93"/>
        <v>3190</v>
      </c>
      <c r="S335" s="59">
        <f t="shared" si="94"/>
        <v>0.39728427507665343</v>
      </c>
      <c r="T335" s="59" t="str">
        <f t="shared" si="95"/>
        <v/>
      </c>
      <c r="U335" s="59" t="str">
        <f t="shared" si="96"/>
        <v/>
      </c>
      <c r="V335" s="60"/>
      <c r="W335" s="69" t="str">
        <f>IFERROR((VLOOKUP($A335,'Из ГУГЛа'!$B:$Z,W$1,0)+Y335)*X335,VLOOKUP($A335,'Из ГУГЛа'!$B:$Z,W$1,0))</f>
        <v/>
      </c>
      <c r="X335" s="61">
        <v>1</v>
      </c>
      <c r="Y335" s="61">
        <v>0</v>
      </c>
      <c r="Z335" s="60" t="s">
        <v>4170</v>
      </c>
      <c r="AA335" s="60"/>
    </row>
    <row r="336" spans="1:27" ht="30" x14ac:dyDescent="0.25">
      <c r="A336" s="52">
        <v>186153</v>
      </c>
      <c r="B336" s="52">
        <f>VLOOKUP($A336,'Выгр Кат'!$A:$R,B$1,0)</f>
        <v>48391</v>
      </c>
      <c r="C336" s="53" t="str">
        <f>VLOOKUP($A336,'Выгр Кат'!$A:$R,C$1,0)</f>
        <v>Панель боковины "АвтоВАЗ" передняя левая для Лада Приора купе</v>
      </c>
      <c r="D336" s="52" t="str">
        <f>VLOOKUP($A336,'Выгр Кат'!$A:$R,D$1,0)</f>
        <v>Y</v>
      </c>
      <c r="E336" s="52" t="str">
        <f>VLOOKUP($A336,'Выгр Кат'!$A:$R,E$1,0)</f>
        <v>1</v>
      </c>
      <c r="F336" s="52" t="str">
        <f>VLOOKUP($A336,'Выгр Кат'!$A:$R,F$1,0)</f>
        <v>21728540105100</v>
      </c>
      <c r="G336" s="52" t="str">
        <f>IF(VLOOKUP($A336,'Выгр Кат'!$A:$R,G$1,0)=0,"",VLOOKUP($A336,'Выгр Кат'!$A:$R,G$1,0))</f>
        <v/>
      </c>
      <c r="H336" s="52"/>
      <c r="I336" s="52"/>
      <c r="J336" s="54">
        <f t="shared" si="88"/>
        <v>2054</v>
      </c>
      <c r="K336" s="55">
        <f>VLOOKUP(J336,Наценка!$A$1:$B$8,2,1)</f>
        <v>1.4</v>
      </c>
      <c r="L336" s="56">
        <f t="shared" si="89"/>
        <v>2875.6</v>
      </c>
      <c r="M336" s="57">
        <f t="shared" si="90"/>
        <v>2890</v>
      </c>
      <c r="N336" s="52">
        <f>VLOOKUP($A336,'Выгр Кат'!$A:$R,N$1,0)</f>
        <v>2054</v>
      </c>
      <c r="O336" s="52">
        <f>VLOOKUP($A336,'Выгр Кат'!$A:$R,O$1,0)</f>
        <v>2890</v>
      </c>
      <c r="P336" s="47">
        <f t="shared" si="91"/>
        <v>0</v>
      </c>
      <c r="Q336" s="47">
        <f t="shared" si="92"/>
        <v>0</v>
      </c>
      <c r="R336" s="58">
        <f t="shared" si="93"/>
        <v>2890</v>
      </c>
      <c r="S336" s="59">
        <f t="shared" si="94"/>
        <v>0.40701071080817908</v>
      </c>
      <c r="T336" s="59" t="str">
        <f t="shared" si="95"/>
        <v/>
      </c>
      <c r="U336" s="59" t="str">
        <f t="shared" si="96"/>
        <v/>
      </c>
      <c r="V336" s="60"/>
      <c r="W336" s="69" t="str">
        <f>IFERROR((VLOOKUP($A336,'Из ГУГЛа'!$B:$Z,W$1,0)+Y336)*X336,VLOOKUP($A336,'Из ГУГЛа'!$B:$Z,W$1,0))</f>
        <v/>
      </c>
      <c r="X336" s="61">
        <v>1</v>
      </c>
      <c r="Y336" s="61">
        <v>0</v>
      </c>
      <c r="Z336" s="60" t="s">
        <v>4170</v>
      </c>
      <c r="AA336" s="60"/>
    </row>
    <row r="337" spans="1:27" ht="30" x14ac:dyDescent="0.25">
      <c r="A337" s="52">
        <v>186154</v>
      </c>
      <c r="B337" s="52">
        <f>VLOOKUP($A337,'Выгр Кат'!$A:$R,B$1,0)</f>
        <v>48389</v>
      </c>
      <c r="C337" s="53" t="str">
        <f>VLOOKUP($A337,'Выгр Кат'!$A:$R,C$1,0)</f>
        <v>Панель боковины "АвтоВАЗ" передняя правая для Лада Приора купе</v>
      </c>
      <c r="D337" s="52" t="str">
        <f>VLOOKUP($A337,'Выгр Кат'!$A:$R,D$1,0)</f>
        <v>Y</v>
      </c>
      <c r="E337" s="52" t="str">
        <f>VLOOKUP($A337,'Выгр Кат'!$A:$R,E$1,0)</f>
        <v>1</v>
      </c>
      <c r="F337" s="52" t="str">
        <f>VLOOKUP($A337,'Выгр Кат'!$A:$R,F$1,0)</f>
        <v>21728540105000</v>
      </c>
      <c r="G337" s="52" t="str">
        <f>IF(VLOOKUP($A337,'Выгр Кат'!$A:$R,G$1,0)=0,"",VLOOKUP($A337,'Выгр Кат'!$A:$R,G$1,0))</f>
        <v/>
      </c>
      <c r="H337" s="52"/>
      <c r="I337" s="52"/>
      <c r="J337" s="54">
        <f t="shared" si="88"/>
        <v>2054</v>
      </c>
      <c r="K337" s="55">
        <f>VLOOKUP(J337,Наценка!$A$1:$B$8,2,1)</f>
        <v>1.4</v>
      </c>
      <c r="L337" s="56">
        <f t="shared" si="89"/>
        <v>2875.6</v>
      </c>
      <c r="M337" s="57">
        <f t="shared" si="90"/>
        <v>2890</v>
      </c>
      <c r="N337" s="52">
        <f>VLOOKUP($A337,'Выгр Кат'!$A:$R,N$1,0)</f>
        <v>2054</v>
      </c>
      <c r="O337" s="52">
        <f>VLOOKUP($A337,'Выгр Кат'!$A:$R,O$1,0)</f>
        <v>2890</v>
      </c>
      <c r="P337" s="47">
        <f t="shared" si="91"/>
        <v>0</v>
      </c>
      <c r="Q337" s="47">
        <f t="shared" si="92"/>
        <v>0</v>
      </c>
      <c r="R337" s="58">
        <f t="shared" si="93"/>
        <v>2890</v>
      </c>
      <c r="S337" s="59">
        <f t="shared" si="94"/>
        <v>0.40701071080817908</v>
      </c>
      <c r="T337" s="59" t="str">
        <f t="shared" si="95"/>
        <v/>
      </c>
      <c r="U337" s="59" t="str">
        <f t="shared" si="96"/>
        <v/>
      </c>
      <c r="V337" s="60"/>
      <c r="W337" s="69" t="str">
        <f>IFERROR((VLOOKUP($A337,'Из ГУГЛа'!$B:$Z,W$1,0)+Y337)*X337,VLOOKUP($A337,'Из ГУГЛа'!$B:$Z,W$1,0))</f>
        <v/>
      </c>
      <c r="X337" s="61">
        <v>1</v>
      </c>
      <c r="Y337" s="61">
        <v>0</v>
      </c>
      <c r="Z337" s="60" t="s">
        <v>4170</v>
      </c>
      <c r="AA337" s="60"/>
    </row>
    <row r="338" spans="1:27" ht="45" x14ac:dyDescent="0.25">
      <c r="A338" s="52">
        <v>186155</v>
      </c>
      <c r="B338" s="52">
        <f>VLOOKUP($A338,'Выгр Кат'!$A:$R,B$1,0)</f>
        <v>45884</v>
      </c>
      <c r="C338" s="53" t="str">
        <f>VLOOKUP($A338,'Выгр Кат'!$A:$R,C$1,0)</f>
        <v>Панель боковины "АвтоВАЗ" правая (катафорез) для Лада Нива 4x4, Нива 4x4 Урбан</v>
      </c>
      <c r="D338" s="52" t="str">
        <f>VLOOKUP($A338,'Выгр Кат'!$A:$R,D$1,0)</f>
        <v>Y</v>
      </c>
      <c r="E338" s="52" t="str">
        <f>VLOOKUP($A338,'Выгр Кат'!$A:$R,E$1,0)</f>
        <v>1</v>
      </c>
      <c r="F338" s="52" t="str">
        <f>VLOOKUP($A338,'Выгр Кат'!$A:$R,F$1,0)</f>
        <v>21210540106430</v>
      </c>
      <c r="G338" s="52" t="str">
        <f>IF(VLOOKUP($A338,'Выгр Кат'!$A:$R,G$1,0)=0,"",VLOOKUP($A338,'Выгр Кат'!$A:$R,G$1,0))</f>
        <v/>
      </c>
      <c r="H338" s="52"/>
      <c r="I338" s="52"/>
      <c r="J338" s="54">
        <f t="shared" si="88"/>
        <v>6950</v>
      </c>
      <c r="K338" s="55">
        <f>VLOOKUP(J338,Наценка!$A$1:$B$8,2,1)</f>
        <v>1.35</v>
      </c>
      <c r="L338" s="56">
        <f t="shared" si="89"/>
        <v>9382.5</v>
      </c>
      <c r="M338" s="57">
        <f t="shared" si="90"/>
        <v>9390</v>
      </c>
      <c r="N338" s="52">
        <f>VLOOKUP($A338,'Выгр Кат'!$A:$R,N$1,0)</f>
        <v>6950</v>
      </c>
      <c r="O338" s="52">
        <f>VLOOKUP($A338,'Выгр Кат'!$A:$R,O$1,0)</f>
        <v>9390</v>
      </c>
      <c r="P338" s="47">
        <f t="shared" si="91"/>
        <v>0</v>
      </c>
      <c r="Q338" s="47">
        <f t="shared" si="92"/>
        <v>0</v>
      </c>
      <c r="R338" s="58">
        <f t="shared" si="93"/>
        <v>9390</v>
      </c>
      <c r="S338" s="59">
        <f t="shared" si="94"/>
        <v>0.35107913669064739</v>
      </c>
      <c r="T338" s="59" t="str">
        <f t="shared" si="95"/>
        <v/>
      </c>
      <c r="U338" s="59" t="str">
        <f t="shared" si="96"/>
        <v/>
      </c>
      <c r="V338" s="60"/>
      <c r="W338" s="69" t="str">
        <f>IFERROR((VLOOKUP($A338,'Из ГУГЛа'!$B:$Z,W$1,0)+Y338)*X338,VLOOKUP($A338,'Из ГУГЛа'!$B:$Z,W$1,0))</f>
        <v/>
      </c>
      <c r="X338" s="61">
        <v>1</v>
      </c>
      <c r="Y338" s="61">
        <v>0</v>
      </c>
      <c r="Z338" s="60" t="s">
        <v>4170</v>
      </c>
      <c r="AA338" s="60"/>
    </row>
    <row r="339" spans="1:27" ht="45" x14ac:dyDescent="0.25">
      <c r="A339" s="52">
        <v>186141</v>
      </c>
      <c r="B339" s="52">
        <f>VLOOKUP($A339,'Выгр Кат'!$A:$R,B$1,0)</f>
        <v>32683</v>
      </c>
      <c r="C339" s="53" t="str">
        <f>VLOOKUP($A339,'Выгр Кат'!$A:$R,C$1,0)</f>
        <v>Панель боковины (катафорез) "АвтоВАЗ" левая для Лада Нива 4x4 (5-ти дверная)</v>
      </c>
      <c r="D339" s="52" t="str">
        <f>VLOOKUP($A339,'Выгр Кат'!$A:$R,D$1,0)</f>
        <v>Y</v>
      </c>
      <c r="E339" s="52" t="str">
        <f>VLOOKUP($A339,'Выгр Кат'!$A:$R,E$1,0)</f>
        <v>1</v>
      </c>
      <c r="F339" s="52" t="str">
        <f>VLOOKUP($A339,'Выгр Кат'!$A:$R,F$1,0)</f>
        <v>21310540172110</v>
      </c>
      <c r="G339" s="52" t="str">
        <f>IF(VLOOKUP($A339,'Выгр Кат'!$A:$R,G$1,0)=0,"",VLOOKUP($A339,'Выгр Кат'!$A:$R,G$1,0))</f>
        <v/>
      </c>
      <c r="H339" s="52"/>
      <c r="I339" s="52"/>
      <c r="J339" s="54">
        <f t="shared" si="88"/>
        <v>5789</v>
      </c>
      <c r="K339" s="55">
        <f>VLOOKUP(J339,Наценка!$A$1:$B$8,2,1)</f>
        <v>1.35</v>
      </c>
      <c r="L339" s="56">
        <f t="shared" si="89"/>
        <v>7815.1500000000005</v>
      </c>
      <c r="M339" s="57">
        <f t="shared" si="90"/>
        <v>7890</v>
      </c>
      <c r="N339" s="52">
        <f>VLOOKUP($A339,'Выгр Кат'!$A:$R,N$1,0)</f>
        <v>5789</v>
      </c>
      <c r="O339" s="52">
        <f>VLOOKUP($A339,'Выгр Кат'!$A:$R,O$1,0)</f>
        <v>8190</v>
      </c>
      <c r="P339" s="47">
        <f t="shared" si="91"/>
        <v>0</v>
      </c>
      <c r="Q339" s="47">
        <f t="shared" si="92"/>
        <v>300</v>
      </c>
      <c r="R339" s="58">
        <f t="shared" si="93"/>
        <v>7890</v>
      </c>
      <c r="S339" s="59">
        <f t="shared" si="94"/>
        <v>0.36292969424771115</v>
      </c>
      <c r="T339" s="59" t="str">
        <f t="shared" si="95"/>
        <v/>
      </c>
      <c r="U339" s="59" t="str">
        <f t="shared" si="96"/>
        <v/>
      </c>
      <c r="V339" s="60"/>
      <c r="W339" s="69" t="str">
        <f>IFERROR((VLOOKUP($A339,'Из ГУГЛа'!$B:$Z,W$1,0)+Y339)*X339,VLOOKUP($A339,'Из ГУГЛа'!$B:$Z,W$1,0))</f>
        <v/>
      </c>
      <c r="X339" s="61">
        <v>1</v>
      </c>
      <c r="Y339" s="61">
        <v>0</v>
      </c>
      <c r="Z339" s="60" t="s">
        <v>4170</v>
      </c>
      <c r="AA339" s="60"/>
    </row>
    <row r="340" spans="1:27" ht="45" x14ac:dyDescent="0.25">
      <c r="A340" s="52">
        <v>186142</v>
      </c>
      <c r="B340" s="52">
        <f>VLOOKUP($A340,'Выгр Кат'!$A:$R,B$1,0)</f>
        <v>32682</v>
      </c>
      <c r="C340" s="53" t="str">
        <f>VLOOKUP($A340,'Выгр Кат'!$A:$R,C$1,0)</f>
        <v>Панель боковины (катафорез) "АвтоВАЗ" правая для Лада Нива 4x4 (5-ти дверная)</v>
      </c>
      <c r="D340" s="52" t="str">
        <f>VLOOKUP($A340,'Выгр Кат'!$A:$R,D$1,0)</f>
        <v>Y</v>
      </c>
      <c r="E340" s="52" t="str">
        <f>VLOOKUP($A340,'Выгр Кат'!$A:$R,E$1,0)</f>
        <v>1</v>
      </c>
      <c r="F340" s="52" t="str">
        <f>VLOOKUP($A340,'Выгр Кат'!$A:$R,F$1,0)</f>
        <v>21310540172010</v>
      </c>
      <c r="G340" s="52" t="str">
        <f>IF(VLOOKUP($A340,'Выгр Кат'!$A:$R,G$1,0)=0,"",VLOOKUP($A340,'Выгр Кат'!$A:$R,G$1,0))</f>
        <v/>
      </c>
      <c r="H340" s="52"/>
      <c r="I340" s="52"/>
      <c r="J340" s="54">
        <f t="shared" si="88"/>
        <v>4351.7299999999996</v>
      </c>
      <c r="K340" s="55">
        <f>VLOOKUP(J340,Наценка!$A$1:$B$8,2,1)</f>
        <v>1.4</v>
      </c>
      <c r="L340" s="56">
        <f t="shared" si="89"/>
        <v>6092.4219999999987</v>
      </c>
      <c r="M340" s="57">
        <f t="shared" si="90"/>
        <v>6090</v>
      </c>
      <c r="N340" s="52">
        <f>VLOOKUP($A340,'Выгр Кат'!$A:$R,N$1,0)</f>
        <v>4351.7299999999996</v>
      </c>
      <c r="O340" s="52">
        <f>VLOOKUP($A340,'Выгр Кат'!$A:$R,O$1,0)</f>
        <v>6090</v>
      </c>
      <c r="P340" s="47">
        <f t="shared" si="91"/>
        <v>0</v>
      </c>
      <c r="Q340" s="47">
        <f t="shared" si="92"/>
        <v>0</v>
      </c>
      <c r="R340" s="58">
        <f t="shared" si="93"/>
        <v>6090</v>
      </c>
      <c r="S340" s="59">
        <f t="shared" si="94"/>
        <v>0.39944343973546159</v>
      </c>
      <c r="T340" s="59" t="str">
        <f t="shared" si="95"/>
        <v/>
      </c>
      <c r="U340" s="59" t="str">
        <f t="shared" si="96"/>
        <v/>
      </c>
      <c r="V340" s="60"/>
      <c r="W340" s="69" t="str">
        <f>IFERROR((VLOOKUP($A340,'Из ГУГЛа'!$B:$Z,W$1,0)+Y340)*X340,VLOOKUP($A340,'Из ГУГЛа'!$B:$Z,W$1,0))</f>
        <v/>
      </c>
      <c r="X340" s="61">
        <v>1</v>
      </c>
      <c r="Y340" s="61">
        <v>0</v>
      </c>
      <c r="Z340" s="60" t="s">
        <v>4170</v>
      </c>
      <c r="AA340" s="60"/>
    </row>
    <row r="341" spans="1:27" ht="45" x14ac:dyDescent="0.25">
      <c r="A341" s="52">
        <v>186156</v>
      </c>
      <c r="B341" s="52">
        <f>VLOOKUP($A341,'Выгр Кат'!$A:$R,B$1,0)</f>
        <v>31450</v>
      </c>
      <c r="C341" s="53" t="str">
        <f>VLOOKUP($A341,'Выгр Кат'!$A:$R,C$1,0)</f>
        <v>Панель боковины (скелет) внутренняя левая (катафорез) "АвтоВАЗ" для Лада Калина хэтчбек</v>
      </c>
      <c r="D341" s="52" t="str">
        <f>VLOOKUP($A341,'Выгр Кат'!$A:$R,D$1,0)</f>
        <v>Y</v>
      </c>
      <c r="E341" s="52" t="str">
        <f>VLOOKUP($A341,'Выгр Кат'!$A:$R,E$1,0)</f>
        <v>1</v>
      </c>
      <c r="F341" s="52" t="str">
        <f>VLOOKUP($A341,'Выгр Кат'!$A:$R,F$1,0)</f>
        <v>11190540109170</v>
      </c>
      <c r="G341" s="52" t="str">
        <f>IF(VLOOKUP($A341,'Выгр Кат'!$A:$R,G$1,0)=0,"",VLOOKUP($A341,'Выгр Кат'!$A:$R,G$1,0))</f>
        <v>https://motorring.ru/product/17596-panely-bokoviny-vnutrennyaya-levaya-skelet-kataforeznoe</v>
      </c>
      <c r="H341" s="52"/>
      <c r="I341" s="52"/>
      <c r="J341" s="54">
        <f t="shared" si="88"/>
        <v>3837</v>
      </c>
      <c r="K341" s="55">
        <f>VLOOKUP(J341,Наценка!$A$1:$B$8,2,1)</f>
        <v>1.4</v>
      </c>
      <c r="L341" s="56">
        <f t="shared" si="89"/>
        <v>5371.7999999999993</v>
      </c>
      <c r="M341" s="57">
        <f t="shared" si="90"/>
        <v>5390</v>
      </c>
      <c r="N341" s="52">
        <f>VLOOKUP($A341,'Выгр Кат'!$A:$R,N$1,0)</f>
        <v>3837</v>
      </c>
      <c r="O341" s="52">
        <f>VLOOKUP($A341,'Выгр Кат'!$A:$R,O$1,0)</f>
        <v>5390</v>
      </c>
      <c r="P341" s="47">
        <f t="shared" si="91"/>
        <v>0</v>
      </c>
      <c r="Q341" s="47">
        <f t="shared" si="92"/>
        <v>0</v>
      </c>
      <c r="R341" s="58">
        <f t="shared" si="93"/>
        <v>5390</v>
      </c>
      <c r="S341" s="59">
        <f t="shared" si="94"/>
        <v>0.40474328902788637</v>
      </c>
      <c r="T341" s="59">
        <f t="shared" si="95"/>
        <v>-0.14925373134328357</v>
      </c>
      <c r="U341" s="59">
        <f t="shared" si="96"/>
        <v>0.22230909564764145</v>
      </c>
      <c r="V341" s="42">
        <f>Z341</f>
        <v>4690</v>
      </c>
      <c r="W341" s="69">
        <f>IFERROR((VLOOKUP($A341,'Из ГУГЛа'!$B:$Z,W$1,0)+Y341)*X341,VLOOKUP($A341,'Из ГУГЛа'!$B:$Z,W$1,0))</f>
        <v>4690</v>
      </c>
      <c r="X341" s="61">
        <v>1</v>
      </c>
      <c r="Y341" s="61">
        <v>0</v>
      </c>
      <c r="Z341" s="70">
        <v>4690</v>
      </c>
      <c r="AA341" s="60" t="s">
        <v>911</v>
      </c>
    </row>
    <row r="342" spans="1:27" ht="45" x14ac:dyDescent="0.25">
      <c r="A342" s="52">
        <v>186157</v>
      </c>
      <c r="B342" s="52">
        <f>VLOOKUP($A342,'Выгр Кат'!$A:$R,B$1,0)</f>
        <v>32696</v>
      </c>
      <c r="C342" s="53" t="str">
        <f>VLOOKUP($A342,'Выгр Кат'!$A:$R,C$1,0)</f>
        <v>Панель боковины (форточка внутреняя) "АвтоВАЗ" левая для Лада Приора, Приора 2 хэтчбек</v>
      </c>
      <c r="D342" s="52" t="str">
        <f>VLOOKUP($A342,'Выгр Кат'!$A:$R,D$1,0)</f>
        <v>Y</v>
      </c>
      <c r="E342" s="52" t="str">
        <f>VLOOKUP($A342,'Выгр Кат'!$A:$R,E$1,0)</f>
        <v>1</v>
      </c>
      <c r="F342" s="52" t="str">
        <f>VLOOKUP($A342,'Выгр Кат'!$A:$R,F$1,0)</f>
        <v>21720540142700</v>
      </c>
      <c r="G342" s="52" t="str">
        <f>IF(VLOOKUP($A342,'Выгр Кат'!$A:$R,G$1,0)=0,"",VLOOKUP($A342,'Выгр Кат'!$A:$R,G$1,0))</f>
        <v/>
      </c>
      <c r="H342" s="52"/>
      <c r="I342" s="52"/>
      <c r="J342" s="54">
        <f t="shared" si="88"/>
        <v>101</v>
      </c>
      <c r="K342" s="55">
        <f>VLOOKUP(J342,Наценка!$A$1:$B$8,2,1)</f>
        <v>1.8</v>
      </c>
      <c r="L342" s="56">
        <f t="shared" si="89"/>
        <v>181.8</v>
      </c>
      <c r="M342" s="57">
        <f t="shared" si="90"/>
        <v>189</v>
      </c>
      <c r="N342" s="52">
        <f>VLOOKUP($A342,'Выгр Кат'!$A:$R,N$1,0)</f>
        <v>101</v>
      </c>
      <c r="O342" s="52">
        <f>VLOOKUP($A342,'Выгр Кат'!$A:$R,O$1,0)</f>
        <v>189</v>
      </c>
      <c r="P342" s="47">
        <f t="shared" si="91"/>
        <v>0</v>
      </c>
      <c r="Q342" s="47">
        <f t="shared" si="92"/>
        <v>0</v>
      </c>
      <c r="R342" s="58">
        <f t="shared" si="93"/>
        <v>189</v>
      </c>
      <c r="S342" s="59">
        <f t="shared" si="94"/>
        <v>0.87128712871287139</v>
      </c>
      <c r="T342" s="59" t="str">
        <f t="shared" si="95"/>
        <v/>
      </c>
      <c r="U342" s="59" t="str">
        <f t="shared" si="96"/>
        <v/>
      </c>
      <c r="V342" s="60"/>
      <c r="W342" s="69" t="str">
        <f>IFERROR((VLOOKUP($A342,'Из ГУГЛа'!$B:$Z,W$1,0)+Y342)*X342,VLOOKUP($A342,'Из ГУГЛа'!$B:$Z,W$1,0))</f>
        <v/>
      </c>
      <c r="X342" s="61">
        <v>1</v>
      </c>
      <c r="Y342" s="61">
        <v>0</v>
      </c>
      <c r="Z342" s="60" t="s">
        <v>4170</v>
      </c>
      <c r="AA342" s="60"/>
    </row>
    <row r="343" spans="1:27" ht="45" x14ac:dyDescent="0.25">
      <c r="A343" s="52">
        <v>186158</v>
      </c>
      <c r="B343" s="52">
        <f>VLOOKUP($A343,'Выгр Кат'!$A:$R,B$1,0)</f>
        <v>23522</v>
      </c>
      <c r="C343" s="53" t="str">
        <f>VLOOKUP($A343,'Выгр Кат'!$A:$R,C$1,0)</f>
        <v>Панель боковины внутренняя "АвтоВАЗ" (левая, угловая) для ВАЗ 2111</v>
      </c>
      <c r="D343" s="52" t="str">
        <f>VLOOKUP($A343,'Выгр Кат'!$A:$R,D$1,0)</f>
        <v>Y</v>
      </c>
      <c r="E343" s="52" t="str">
        <f>VLOOKUP($A343,'Выгр Кат'!$A:$R,E$1,0)</f>
        <v>1</v>
      </c>
      <c r="F343" s="52" t="str">
        <f>VLOOKUP($A343,'Выгр Кат'!$A:$R,F$1,0)</f>
        <v>21110540142700</v>
      </c>
      <c r="G343" s="52" t="str">
        <f>IF(VLOOKUP($A343,'Выгр Кат'!$A:$R,G$1,0)=0,"",VLOOKUP($A343,'Выгр Кат'!$A:$R,G$1,0))</f>
        <v>https://motorring.ru/product/795-uglovaya-panely-bokoviny-vnutrennyaya-levaya-vaz-2111</v>
      </c>
      <c r="H343" s="52"/>
      <c r="I343" s="52"/>
      <c r="J343" s="54">
        <f t="shared" si="88"/>
        <v>114</v>
      </c>
      <c r="K343" s="55">
        <f>VLOOKUP(J343,Наценка!$A$1:$B$8,2,1)</f>
        <v>1.8</v>
      </c>
      <c r="L343" s="56">
        <f t="shared" si="89"/>
        <v>205.20000000000002</v>
      </c>
      <c r="M343" s="57">
        <f t="shared" si="90"/>
        <v>209</v>
      </c>
      <c r="N343" s="52">
        <f>VLOOKUP($A343,'Выгр Кат'!$A:$R,N$1,0)</f>
        <v>114</v>
      </c>
      <c r="O343" s="52">
        <f>VLOOKUP($A343,'Выгр Кат'!$A:$R,O$1,0)</f>
        <v>209</v>
      </c>
      <c r="P343" s="47">
        <f t="shared" si="91"/>
        <v>0</v>
      </c>
      <c r="Q343" s="47">
        <f t="shared" si="92"/>
        <v>0</v>
      </c>
      <c r="R343" s="58">
        <f t="shared" si="93"/>
        <v>209</v>
      </c>
      <c r="S343" s="59">
        <f t="shared" si="94"/>
        <v>0.83333333333333326</v>
      </c>
      <c r="T343" s="59">
        <f t="shared" si="95"/>
        <v>0.52391799544419138</v>
      </c>
      <c r="U343" s="59">
        <f t="shared" si="96"/>
        <v>2.8508771929824563</v>
      </c>
      <c r="V343" s="42">
        <f>Z343</f>
        <v>439</v>
      </c>
      <c r="W343" s="69">
        <f>IFERROR((VLOOKUP($A343,'Из ГУГЛа'!$B:$Z,W$1,0)+Y343)*X343,VLOOKUP($A343,'Из ГУГЛа'!$B:$Z,W$1,0))</f>
        <v>439</v>
      </c>
      <c r="X343" s="61">
        <v>1</v>
      </c>
      <c r="Y343" s="61">
        <v>0</v>
      </c>
      <c r="Z343" s="70">
        <v>439</v>
      </c>
      <c r="AA343" s="60" t="s">
        <v>916</v>
      </c>
    </row>
    <row r="344" spans="1:27" ht="45" x14ac:dyDescent="0.25">
      <c r="A344" s="52">
        <v>186159</v>
      </c>
      <c r="B344" s="52">
        <f>VLOOKUP($A344,'Выгр Кат'!$A:$R,B$1,0)</f>
        <v>23521</v>
      </c>
      <c r="C344" s="53" t="str">
        <f>VLOOKUP($A344,'Выгр Кат'!$A:$R,C$1,0)</f>
        <v>Панель боковины внутренняя "АвтоВАЗ" (правая, угловая) для ВАЗ 2111</v>
      </c>
      <c r="D344" s="52" t="str">
        <f>VLOOKUP($A344,'Выгр Кат'!$A:$R,D$1,0)</f>
        <v>Y</v>
      </c>
      <c r="E344" s="52" t="str">
        <f>VLOOKUP($A344,'Выгр Кат'!$A:$R,E$1,0)</f>
        <v>1</v>
      </c>
      <c r="F344" s="52" t="str">
        <f>VLOOKUP($A344,'Выгр Кат'!$A:$R,F$1,0)</f>
        <v>21110540142600</v>
      </c>
      <c r="G344" s="52" t="str">
        <f>IF(VLOOKUP($A344,'Выгр Кат'!$A:$R,G$1,0)=0,"",VLOOKUP($A344,'Выгр Кат'!$A:$R,G$1,0))</f>
        <v/>
      </c>
      <c r="H344" s="52"/>
      <c r="I344" s="52"/>
      <c r="J344" s="54">
        <f t="shared" si="88"/>
        <v>114</v>
      </c>
      <c r="K344" s="55">
        <f>VLOOKUP(J344,Наценка!$A$1:$B$8,2,1)</f>
        <v>1.8</v>
      </c>
      <c r="L344" s="56">
        <f t="shared" si="89"/>
        <v>205.20000000000002</v>
      </c>
      <c r="M344" s="57">
        <f t="shared" si="90"/>
        <v>209</v>
      </c>
      <c r="N344" s="52">
        <f>VLOOKUP($A344,'Выгр Кат'!$A:$R,N$1,0)</f>
        <v>114</v>
      </c>
      <c r="O344" s="52">
        <f>VLOOKUP($A344,'Выгр Кат'!$A:$R,O$1,0)</f>
        <v>209</v>
      </c>
      <c r="P344" s="47">
        <f t="shared" si="91"/>
        <v>0</v>
      </c>
      <c r="Q344" s="47">
        <f t="shared" si="92"/>
        <v>0</v>
      </c>
      <c r="R344" s="58">
        <f t="shared" si="93"/>
        <v>209</v>
      </c>
      <c r="S344" s="59">
        <f t="shared" si="94"/>
        <v>0.83333333333333326</v>
      </c>
      <c r="T344" s="59" t="str">
        <f t="shared" si="95"/>
        <v/>
      </c>
      <c r="U344" s="59" t="str">
        <f t="shared" si="96"/>
        <v/>
      </c>
      <c r="V344" s="60"/>
      <c r="W344" s="69" t="str">
        <f>IFERROR((VLOOKUP($A344,'Из ГУГЛа'!$B:$Z,W$1,0)+Y344)*X344,VLOOKUP($A344,'Из ГУГЛа'!$B:$Z,W$1,0))</f>
        <v/>
      </c>
      <c r="X344" s="61">
        <v>1</v>
      </c>
      <c r="Y344" s="61">
        <v>0</v>
      </c>
      <c r="Z344" s="60" t="s">
        <v>4170</v>
      </c>
      <c r="AA344" s="60"/>
    </row>
    <row r="345" spans="1:27" ht="45" x14ac:dyDescent="0.25">
      <c r="A345" s="52">
        <v>186160</v>
      </c>
      <c r="B345" s="52">
        <f>VLOOKUP($A345,'Выгр Кат'!$A:$R,B$1,0)</f>
        <v>50731</v>
      </c>
      <c r="C345" s="53" t="str">
        <f>VLOOKUP($A345,'Выгр Кат'!$A:$R,C$1,0)</f>
        <v>Панель боковины внутренняя "АвтоВАЗ" правая в сборе для Лада Веста SW, SW Cross</v>
      </c>
      <c r="D345" s="52" t="str">
        <f>VLOOKUP($A345,'Выгр Кат'!$A:$R,D$1,0)</f>
        <v>Y</v>
      </c>
      <c r="E345" s="52" t="str">
        <f>VLOOKUP($A345,'Выгр Кат'!$A:$R,E$1,0)</f>
        <v>1</v>
      </c>
      <c r="F345" s="52" t="str">
        <f>VLOOKUP($A345,'Выгр Кат'!$A:$R,F$1,0)</f>
        <v>8450102334</v>
      </c>
      <c r="G345" s="52" t="str">
        <f>IF(VLOOKUP($A345,'Выгр Кат'!$A:$R,G$1,0)=0,"",VLOOKUP($A345,'Выгр Кат'!$A:$R,G$1,0))</f>
        <v/>
      </c>
      <c r="H345" s="52"/>
      <c r="I345" s="52"/>
      <c r="J345" s="54">
        <f t="shared" si="88"/>
        <v>18446</v>
      </c>
      <c r="K345" s="55">
        <f>VLOOKUP(J345,Наценка!$A$1:$B$8,2,1)</f>
        <v>1.3</v>
      </c>
      <c r="L345" s="56">
        <f t="shared" si="89"/>
        <v>23979.8</v>
      </c>
      <c r="M345" s="57">
        <f t="shared" si="90"/>
        <v>23990</v>
      </c>
      <c r="N345" s="52">
        <f>VLOOKUP($A345,'Выгр Кат'!$A:$R,N$1,0)</f>
        <v>18446</v>
      </c>
      <c r="O345" s="52">
        <f>VLOOKUP($A345,'Выгр Кат'!$A:$R,O$1,0)</f>
        <v>25890</v>
      </c>
      <c r="P345" s="47">
        <f t="shared" si="91"/>
        <v>0</v>
      </c>
      <c r="Q345" s="47">
        <f t="shared" si="92"/>
        <v>1900</v>
      </c>
      <c r="R345" s="58">
        <f t="shared" si="93"/>
        <v>23990</v>
      </c>
      <c r="S345" s="59">
        <f t="shared" si="94"/>
        <v>0.30055296541255561</v>
      </c>
      <c r="T345" s="59" t="str">
        <f t="shared" si="95"/>
        <v/>
      </c>
      <c r="U345" s="59" t="str">
        <f t="shared" si="96"/>
        <v/>
      </c>
      <c r="V345" s="60"/>
      <c r="W345" s="69" t="str">
        <f>IFERROR((VLOOKUP($A345,'Из ГУГЛа'!$B:$Z,W$1,0)+Y345)*X345,VLOOKUP($A345,'Из ГУГЛа'!$B:$Z,W$1,0))</f>
        <v/>
      </c>
      <c r="X345" s="61">
        <v>1</v>
      </c>
      <c r="Y345" s="61">
        <v>0</v>
      </c>
      <c r="Z345" s="60" t="s">
        <v>4170</v>
      </c>
      <c r="AA345" s="60"/>
    </row>
    <row r="346" spans="1:27" ht="45" x14ac:dyDescent="0.25">
      <c r="A346" s="52">
        <v>186161</v>
      </c>
      <c r="B346" s="52">
        <f>VLOOKUP($A346,'Выгр Кат'!$A:$R,B$1,0)</f>
        <v>32764</v>
      </c>
      <c r="C346" s="53" t="str">
        <f>VLOOKUP($A346,'Выгр Кат'!$A:$R,C$1,0)</f>
        <v>Панель боковины внутренняя "АвтоВАЗ" правая в сборе для Лада Ларгус</v>
      </c>
      <c r="D346" s="52" t="str">
        <f>VLOOKUP($A346,'Выгр Кат'!$A:$R,D$1,0)</f>
        <v>Y</v>
      </c>
      <c r="E346" s="52" t="str">
        <f>VLOOKUP($A346,'Выгр Кат'!$A:$R,E$1,0)</f>
        <v>1</v>
      </c>
      <c r="F346" s="52" t="str">
        <f>VLOOKUP($A346,'Выгр Кат'!$A:$R,F$1,0)</f>
        <v>766306991R</v>
      </c>
      <c r="G346" s="52" t="str">
        <f>IF(VLOOKUP($A346,'Выгр Кат'!$A:$R,G$1,0)=0,"",VLOOKUP($A346,'Выгр Кат'!$A:$R,G$1,0))</f>
        <v/>
      </c>
      <c r="H346" s="52"/>
      <c r="I346" s="52"/>
      <c r="J346" s="54">
        <f t="shared" si="88"/>
        <v>15080</v>
      </c>
      <c r="K346" s="55">
        <f>VLOOKUP(J346,Наценка!$A$1:$B$8,2,1)</f>
        <v>1.3</v>
      </c>
      <c r="L346" s="56">
        <f t="shared" si="89"/>
        <v>19604</v>
      </c>
      <c r="M346" s="57">
        <f t="shared" si="90"/>
        <v>19690</v>
      </c>
      <c r="N346" s="52">
        <f>VLOOKUP($A346,'Выгр Кат'!$A:$R,N$1,0)</f>
        <v>15080</v>
      </c>
      <c r="O346" s="52">
        <f>VLOOKUP($A346,'Выгр Кат'!$A:$R,O$1,0)</f>
        <v>19690</v>
      </c>
      <c r="P346" s="47">
        <f t="shared" si="91"/>
        <v>0</v>
      </c>
      <c r="Q346" s="47">
        <f t="shared" si="92"/>
        <v>0</v>
      </c>
      <c r="R346" s="58">
        <f t="shared" si="93"/>
        <v>19690</v>
      </c>
      <c r="S346" s="59">
        <f t="shared" si="94"/>
        <v>0.3057029177718833</v>
      </c>
      <c r="T346" s="59" t="str">
        <f t="shared" si="95"/>
        <v/>
      </c>
      <c r="U346" s="59" t="str">
        <f t="shared" si="96"/>
        <v/>
      </c>
      <c r="V346" s="60"/>
      <c r="W346" s="69" t="str">
        <f>IFERROR((VLOOKUP($A346,'Из ГУГЛа'!$B:$Z,W$1,0)+Y346)*X346,VLOOKUP($A346,'Из ГУГЛа'!$B:$Z,W$1,0))</f>
        <v/>
      </c>
      <c r="X346" s="61">
        <v>1</v>
      </c>
      <c r="Y346" s="61">
        <v>0</v>
      </c>
      <c r="Z346" s="60" t="s">
        <v>4170</v>
      </c>
      <c r="AA346" s="60"/>
    </row>
    <row r="347" spans="1:27" ht="45" x14ac:dyDescent="0.25">
      <c r="A347" s="52">
        <v>186162</v>
      </c>
      <c r="B347" s="52">
        <f>VLOOKUP($A347,'Выгр Кат'!$A:$R,B$1,0)</f>
        <v>32664</v>
      </c>
      <c r="C347" s="53" t="str">
        <f>VLOOKUP($A347,'Выгр Кат'!$A:$R,C$1,0)</f>
        <v>Панель боковины внутренняя (катафорез) "АвтоВАЗ" правая для Шевроле Нива</v>
      </c>
      <c r="D347" s="52" t="str">
        <f>VLOOKUP($A347,'Выгр Кат'!$A:$R,D$1,0)</f>
        <v>Y</v>
      </c>
      <c r="E347" s="52" t="str">
        <f>VLOOKUP($A347,'Выгр Кат'!$A:$R,E$1,0)</f>
        <v>1</v>
      </c>
      <c r="F347" s="52" t="str">
        <f>VLOOKUP($A347,'Выгр Кат'!$A:$R,F$1,0)</f>
        <v>21230540109075</v>
      </c>
      <c r="G347" s="52" t="str">
        <f>IF(VLOOKUP($A347,'Выгр Кат'!$A:$R,G$1,0)=0,"",VLOOKUP($A347,'Выгр Кат'!$A:$R,G$1,0))</f>
        <v>https://motorring.ru/product/35264-panely-bokoviny-vnutrennyaya-pravaya-sbore-shevrole-niva</v>
      </c>
      <c r="H347" s="52"/>
      <c r="I347" s="52"/>
      <c r="J347" s="54">
        <f t="shared" si="88"/>
        <v>5596</v>
      </c>
      <c r="K347" s="55">
        <f>VLOOKUP(J347,Наценка!$A$1:$B$8,2,1)</f>
        <v>1.35</v>
      </c>
      <c r="L347" s="56">
        <f t="shared" si="89"/>
        <v>7554.6</v>
      </c>
      <c r="M347" s="57">
        <f t="shared" si="90"/>
        <v>7590</v>
      </c>
      <c r="N347" s="52">
        <f>VLOOKUP($A347,'Выгр Кат'!$A:$R,N$1,0)</f>
        <v>5596</v>
      </c>
      <c r="O347" s="52">
        <f>VLOOKUP($A347,'Выгр Кат'!$A:$R,O$1,0)</f>
        <v>7890</v>
      </c>
      <c r="P347" s="47">
        <f t="shared" si="91"/>
        <v>0</v>
      </c>
      <c r="Q347" s="47">
        <f t="shared" si="92"/>
        <v>300</v>
      </c>
      <c r="R347" s="58">
        <f t="shared" si="93"/>
        <v>7590</v>
      </c>
      <c r="S347" s="59">
        <f t="shared" si="94"/>
        <v>0.35632594710507504</v>
      </c>
      <c r="T347" s="59">
        <f t="shared" si="95"/>
        <v>8.4439083232810616E-2</v>
      </c>
      <c r="U347" s="59">
        <f t="shared" si="96"/>
        <v>0.48141529664045746</v>
      </c>
      <c r="V347" s="42">
        <f>Z347</f>
        <v>8290</v>
      </c>
      <c r="W347" s="69">
        <f>IFERROR((VLOOKUP($A347,'Из ГУГЛа'!$B:$Z,W$1,0)+Y347)*X347,VLOOKUP($A347,'Из ГУГЛа'!$B:$Z,W$1,0))</f>
        <v>8290</v>
      </c>
      <c r="X347" s="61">
        <v>1</v>
      </c>
      <c r="Y347" s="61">
        <v>0</v>
      </c>
      <c r="Z347" s="70">
        <v>8290</v>
      </c>
      <c r="AA347" s="60" t="s">
        <v>926</v>
      </c>
    </row>
    <row r="348" spans="1:27" ht="45" x14ac:dyDescent="0.25">
      <c r="A348" s="52">
        <v>268424</v>
      </c>
      <c r="B348" s="52">
        <f>VLOOKUP($A348,'Выгр Кат'!$A:$R,B$1,0)</f>
        <v>220335</v>
      </c>
      <c r="C348" s="53" t="str">
        <f>VLOOKUP($A348,'Выгр Кат'!$A:$R,C$1,0)</f>
        <v>Панель боковины внутренняя (скелет, катафорез) "АвтоВАЗ" левая для Лада Гранта седан</v>
      </c>
      <c r="D348" s="52" t="str">
        <f>VLOOKUP($A348,'Выгр Кат'!$A:$R,D$1,0)</f>
        <v>Y</v>
      </c>
      <c r="E348" s="52" t="str">
        <f>VLOOKUP($A348,'Выгр Кат'!$A:$R,E$1,0)</f>
        <v>1</v>
      </c>
      <c r="F348" s="52" t="str">
        <f>VLOOKUP($A348,'Выгр Кат'!$A:$R,F$1,0)</f>
        <v>21900540109170</v>
      </c>
      <c r="G348" s="52" t="str">
        <f>IF(VLOOKUP($A348,'Выгр Кат'!$A:$R,G$1,0)=0,"",VLOOKUP($A348,'Выгр Кат'!$A:$R,G$1,0))</f>
        <v/>
      </c>
      <c r="H348" s="52"/>
      <c r="I348" s="52"/>
      <c r="J348" s="54">
        <f t="shared" si="88"/>
        <v>6012</v>
      </c>
      <c r="K348" s="55">
        <f>VLOOKUP(J348,Наценка!$A$1:$B$8,2,1)</f>
        <v>1.35</v>
      </c>
      <c r="L348" s="56">
        <f t="shared" si="89"/>
        <v>8116.2000000000007</v>
      </c>
      <c r="M348" s="57">
        <f t="shared" si="90"/>
        <v>8190</v>
      </c>
      <c r="N348" s="52">
        <f>VLOOKUP($A348,'Выгр Кат'!$A:$R,N$1,0)</f>
        <v>6012</v>
      </c>
      <c r="O348" s="52">
        <f>VLOOKUP($A348,'Выгр Кат'!$A:$R,O$1,0)</f>
        <v>8190</v>
      </c>
      <c r="P348" s="47">
        <f t="shared" si="91"/>
        <v>0</v>
      </c>
      <c r="Q348" s="47">
        <f t="shared" si="92"/>
        <v>0</v>
      </c>
      <c r="R348" s="58">
        <f t="shared" si="93"/>
        <v>8190</v>
      </c>
      <c r="S348" s="59">
        <f t="shared" si="94"/>
        <v>0.36227544910179632</v>
      </c>
      <c r="T348" s="59" t="str">
        <f t="shared" si="95"/>
        <v/>
      </c>
      <c r="U348" s="59" t="str">
        <f t="shared" si="96"/>
        <v/>
      </c>
      <c r="V348" s="60"/>
      <c r="W348" s="69" t="str">
        <f>IFERROR((VLOOKUP($A348,'Из ГУГЛа'!$B:$Z,W$1,0)+Y348)*X348,VLOOKUP($A348,'Из ГУГЛа'!$B:$Z,W$1,0))</f>
        <v/>
      </c>
      <c r="X348" s="61">
        <v>1</v>
      </c>
      <c r="Y348" s="61">
        <v>0</v>
      </c>
      <c r="Z348" s="60" t="s">
        <v>4170</v>
      </c>
      <c r="AA348" s="60"/>
    </row>
    <row r="349" spans="1:27" ht="45" x14ac:dyDescent="0.25">
      <c r="A349" s="52">
        <v>186163</v>
      </c>
      <c r="B349" s="52">
        <f>VLOOKUP($A349,'Выгр Кат'!$A:$R,B$1,0)</f>
        <v>32701</v>
      </c>
      <c r="C349" s="53" t="str">
        <f>VLOOKUP($A349,'Выгр Кат'!$A:$R,C$1,0)</f>
        <v>Панель боковины внутренняя (скелет, катафорез) "АвтоВАЗ" правая для Лада Гранта седан</v>
      </c>
      <c r="D349" s="52" t="str">
        <f>VLOOKUP($A349,'Выгр Кат'!$A:$R,D$1,0)</f>
        <v>Y</v>
      </c>
      <c r="E349" s="52" t="str">
        <f>VLOOKUP($A349,'Выгр Кат'!$A:$R,E$1,0)</f>
        <v>1</v>
      </c>
      <c r="F349" s="52" t="str">
        <f>VLOOKUP($A349,'Выгр Кат'!$A:$R,F$1,0)</f>
        <v>21900540109070</v>
      </c>
      <c r="G349" s="52" t="str">
        <f>IF(VLOOKUP($A349,'Выгр Кат'!$A:$R,G$1,0)=0,"",VLOOKUP($A349,'Выгр Кат'!$A:$R,G$1,0))</f>
        <v/>
      </c>
      <c r="H349" s="52"/>
      <c r="I349" s="52"/>
      <c r="J349" s="54">
        <f t="shared" si="88"/>
        <v>4735</v>
      </c>
      <c r="K349" s="55">
        <f>VLOOKUP(J349,Наценка!$A$1:$B$8,2,1)</f>
        <v>1.4</v>
      </c>
      <c r="L349" s="56">
        <f t="shared" si="89"/>
        <v>6629</v>
      </c>
      <c r="M349" s="57">
        <f t="shared" si="90"/>
        <v>6690</v>
      </c>
      <c r="N349" s="52">
        <f>VLOOKUP($A349,'Выгр Кат'!$A:$R,N$1,0)</f>
        <v>4735</v>
      </c>
      <c r="O349" s="52">
        <f>VLOOKUP($A349,'Выгр Кат'!$A:$R,O$1,0)</f>
        <v>6690</v>
      </c>
      <c r="P349" s="47">
        <f t="shared" si="91"/>
        <v>0</v>
      </c>
      <c r="Q349" s="47">
        <f t="shared" si="92"/>
        <v>0</v>
      </c>
      <c r="R349" s="58">
        <f t="shared" si="93"/>
        <v>6690</v>
      </c>
      <c r="S349" s="59">
        <f t="shared" si="94"/>
        <v>0.4128827877507919</v>
      </c>
      <c r="T349" s="59" t="str">
        <f t="shared" si="95"/>
        <v/>
      </c>
      <c r="U349" s="59" t="str">
        <f t="shared" si="96"/>
        <v/>
      </c>
      <c r="V349" s="60"/>
      <c r="W349" s="69" t="str">
        <f>IFERROR((VLOOKUP($A349,'Из ГУГЛа'!$B:$Z,W$1,0)+Y349)*X349,VLOOKUP($A349,'Из ГУГЛа'!$B:$Z,W$1,0))</f>
        <v/>
      </c>
      <c r="X349" s="61">
        <v>1</v>
      </c>
      <c r="Y349" s="61">
        <v>0</v>
      </c>
      <c r="Z349" s="60" t="s">
        <v>4170</v>
      </c>
      <c r="AA349" s="60"/>
    </row>
    <row r="350" spans="1:27" ht="45" x14ac:dyDescent="0.25">
      <c r="A350" s="52">
        <v>186164</v>
      </c>
      <c r="B350" s="52">
        <f>VLOOKUP($A350,'Выгр Кат'!$A:$R,B$1,0)</f>
        <v>32695</v>
      </c>
      <c r="C350" s="53" t="str">
        <f>VLOOKUP($A350,'Выгр Кат'!$A:$R,C$1,0)</f>
        <v>Панель боковины внутренняя (скелет) "АвтоВАЗ" правая для Лада Приора, Приора 2 универсал</v>
      </c>
      <c r="D350" s="52" t="str">
        <f>VLOOKUP($A350,'Выгр Кат'!$A:$R,D$1,0)</f>
        <v>Y</v>
      </c>
      <c r="E350" s="52" t="str">
        <f>VLOOKUP($A350,'Выгр Кат'!$A:$R,E$1,0)</f>
        <v>1</v>
      </c>
      <c r="F350" s="52" t="str">
        <f>VLOOKUP($A350,'Выгр Кат'!$A:$R,F$1,0)</f>
        <v>21710540142400</v>
      </c>
      <c r="G350" s="52" t="str">
        <f>IF(VLOOKUP($A350,'Выгр Кат'!$A:$R,G$1,0)=0,"",VLOOKUP($A350,'Выгр Кат'!$A:$R,G$1,0))</f>
        <v/>
      </c>
      <c r="H350" s="52"/>
      <c r="I350" s="52"/>
      <c r="J350" s="54">
        <f t="shared" si="88"/>
        <v>265</v>
      </c>
      <c r="K350" s="55">
        <f>VLOOKUP(J350,Наценка!$A$1:$B$8,2,1)</f>
        <v>1.8</v>
      </c>
      <c r="L350" s="56">
        <f t="shared" si="89"/>
        <v>477</v>
      </c>
      <c r="M350" s="57">
        <f t="shared" si="90"/>
        <v>479</v>
      </c>
      <c r="N350" s="52">
        <f>VLOOKUP($A350,'Выгр Кат'!$A:$R,N$1,0)</f>
        <v>265</v>
      </c>
      <c r="O350" s="52">
        <f>VLOOKUP($A350,'Выгр Кат'!$A:$R,O$1,0)</f>
        <v>479</v>
      </c>
      <c r="P350" s="47">
        <f t="shared" si="91"/>
        <v>0</v>
      </c>
      <c r="Q350" s="47">
        <f t="shared" si="92"/>
        <v>0</v>
      </c>
      <c r="R350" s="58">
        <f t="shared" si="93"/>
        <v>479</v>
      </c>
      <c r="S350" s="59">
        <f t="shared" si="94"/>
        <v>0.8075471698113208</v>
      </c>
      <c r="T350" s="59" t="str">
        <f t="shared" si="95"/>
        <v/>
      </c>
      <c r="U350" s="59" t="str">
        <f t="shared" si="96"/>
        <v/>
      </c>
      <c r="V350" s="60"/>
      <c r="W350" s="69" t="str">
        <f>IFERROR((VLOOKUP($A350,'Из ГУГЛа'!$B:$Z,W$1,0)+Y350)*X350,VLOOKUP($A350,'Из ГУГЛа'!$B:$Z,W$1,0))</f>
        <v/>
      </c>
      <c r="X350" s="61">
        <v>1</v>
      </c>
      <c r="Y350" s="61">
        <v>0</v>
      </c>
      <c r="Z350" s="60" t="s">
        <v>4170</v>
      </c>
      <c r="AA350" s="60"/>
    </row>
    <row r="351" spans="1:27" ht="45" x14ac:dyDescent="0.25">
      <c r="A351" s="52">
        <v>186165</v>
      </c>
      <c r="B351" s="52">
        <f>VLOOKUP($A351,'Выгр Кат'!$A:$R,B$1,0)</f>
        <v>31043</v>
      </c>
      <c r="C351" s="53" t="str">
        <f>VLOOKUP($A351,'Выгр Кат'!$A:$R,C$1,0)</f>
        <v>Панель боковины внутренняя задняя "Renault" правая верхняя для Лада Ларгус</v>
      </c>
      <c r="D351" s="52" t="str">
        <f>VLOOKUP($A351,'Выгр Кат'!$A:$R,D$1,0)</f>
        <v>Y</v>
      </c>
      <c r="E351" s="52" t="str">
        <f>VLOOKUP($A351,'Выгр Кат'!$A:$R,E$1,0)</f>
        <v>1</v>
      </c>
      <c r="F351" s="52" t="str">
        <f>VLOOKUP($A351,'Выгр Кат'!$A:$R,F$1,0)</f>
        <v>6001548851</v>
      </c>
      <c r="G351" s="52" t="str">
        <f>IF(VLOOKUP($A351,'Выгр Кат'!$A:$R,G$1,0)=0,"",VLOOKUP($A351,'Выгр Кат'!$A:$R,G$1,0))</f>
        <v/>
      </c>
      <c r="H351" s="52"/>
      <c r="I351" s="52"/>
      <c r="J351" s="54">
        <f t="shared" si="88"/>
        <v>19652</v>
      </c>
      <c r="K351" s="55">
        <f>VLOOKUP(J351,Наценка!$A$1:$B$8,2,1)</f>
        <v>1.3</v>
      </c>
      <c r="L351" s="56">
        <f t="shared" si="89"/>
        <v>25547.600000000002</v>
      </c>
      <c r="M351" s="57">
        <f t="shared" si="90"/>
        <v>25590</v>
      </c>
      <c r="N351" s="52">
        <f>VLOOKUP($A351,'Выгр Кат'!$A:$R,N$1,0)</f>
        <v>19652</v>
      </c>
      <c r="O351" s="52">
        <f>VLOOKUP($A351,'Выгр Кат'!$A:$R,O$1,0)</f>
        <v>27590</v>
      </c>
      <c r="P351" s="47">
        <f t="shared" si="91"/>
        <v>0</v>
      </c>
      <c r="Q351" s="47">
        <f t="shared" si="92"/>
        <v>2000</v>
      </c>
      <c r="R351" s="58">
        <f t="shared" si="93"/>
        <v>25590</v>
      </c>
      <c r="S351" s="59">
        <f t="shared" si="94"/>
        <v>0.30215754121717886</v>
      </c>
      <c r="T351" s="59" t="str">
        <f t="shared" si="95"/>
        <v/>
      </c>
      <c r="U351" s="59" t="str">
        <f t="shared" si="96"/>
        <v/>
      </c>
      <c r="V351" s="60"/>
      <c r="W351" s="69" t="str">
        <f>IFERROR((VLOOKUP($A351,'Из ГУГЛа'!$B:$Z,W$1,0)+Y351)*X351,VLOOKUP($A351,'Из ГУГЛа'!$B:$Z,W$1,0))</f>
        <v/>
      </c>
      <c r="X351" s="61">
        <v>1</v>
      </c>
      <c r="Y351" s="61">
        <v>0</v>
      </c>
      <c r="Z351" s="60" t="s">
        <v>4170</v>
      </c>
      <c r="AA351" s="60"/>
    </row>
    <row r="352" spans="1:27" ht="45" x14ac:dyDescent="0.25">
      <c r="A352" s="52">
        <v>186166</v>
      </c>
      <c r="B352" s="52">
        <f>VLOOKUP($A352,'Выгр Кат'!$A:$R,B$1,0)</f>
        <v>31046</v>
      </c>
      <c r="C352" s="53" t="str">
        <f>VLOOKUP($A352,'Выгр Кат'!$A:$R,C$1,0)</f>
        <v>Панель боковины внутренняя задняя правая "Renault" (верхняя) для Лада Ларгус</v>
      </c>
      <c r="D352" s="52" t="str">
        <f>VLOOKUP($A352,'Выгр Кат'!$A:$R,D$1,0)</f>
        <v>Y</v>
      </c>
      <c r="E352" s="52" t="str">
        <f>VLOOKUP($A352,'Выгр Кат'!$A:$R,E$1,0)</f>
        <v>1</v>
      </c>
      <c r="F352" s="52" t="str">
        <f>VLOOKUP($A352,'Выгр Кат'!$A:$R,F$1,0)</f>
        <v>6001548828</v>
      </c>
      <c r="G352" s="52" t="str">
        <f>IF(VLOOKUP($A352,'Выгр Кат'!$A:$R,G$1,0)=0,"",VLOOKUP($A352,'Выгр Кат'!$A:$R,G$1,0))</f>
        <v>https://motorring.ru/product/15199</v>
      </c>
      <c r="H352" s="52"/>
      <c r="I352" s="52"/>
      <c r="J352" s="54">
        <f t="shared" si="88"/>
        <v>1653</v>
      </c>
      <c r="K352" s="55">
        <f>VLOOKUP(J352,Наценка!$A$1:$B$8,2,1)</f>
        <v>1.5</v>
      </c>
      <c r="L352" s="56">
        <f t="shared" si="89"/>
        <v>2479.5</v>
      </c>
      <c r="M352" s="57">
        <f t="shared" si="90"/>
        <v>2490</v>
      </c>
      <c r="N352" s="52">
        <f>VLOOKUP($A352,'Выгр Кат'!$A:$R,N$1,0)</f>
        <v>1653</v>
      </c>
      <c r="O352" s="52">
        <f>VLOOKUP($A352,'Выгр Кат'!$A:$R,O$1,0)</f>
        <v>2490</v>
      </c>
      <c r="P352" s="47">
        <f t="shared" si="91"/>
        <v>0</v>
      </c>
      <c r="Q352" s="47">
        <f t="shared" si="92"/>
        <v>0</v>
      </c>
      <c r="R352" s="58">
        <f t="shared" si="93"/>
        <v>2490</v>
      </c>
      <c r="S352" s="59">
        <f t="shared" si="94"/>
        <v>0.50635208711433766</v>
      </c>
      <c r="T352" s="59">
        <f t="shared" si="95"/>
        <v>0</v>
      </c>
      <c r="U352" s="59">
        <f t="shared" si="96"/>
        <v>0.50635208711433766</v>
      </c>
      <c r="V352" s="42">
        <f>Z352</f>
        <v>2490</v>
      </c>
      <c r="W352" s="69">
        <f>IFERROR((VLOOKUP($A352,'Из ГУГЛа'!$B:$Z,W$1,0)+Y352)*X352,VLOOKUP($A352,'Из ГУГЛа'!$B:$Z,W$1,0))</f>
        <v>2490</v>
      </c>
      <c r="X352" s="61">
        <v>1</v>
      </c>
      <c r="Y352" s="61">
        <v>0</v>
      </c>
      <c r="Z352" s="70">
        <v>2490</v>
      </c>
      <c r="AA352" s="60" t="s">
        <v>937</v>
      </c>
    </row>
    <row r="353" spans="1:27" ht="45" x14ac:dyDescent="0.25">
      <c r="A353" s="52">
        <v>186167</v>
      </c>
      <c r="B353" s="52">
        <f>VLOOKUP($A353,'Выгр Кат'!$A:$R,B$1,0)</f>
        <v>31008</v>
      </c>
      <c r="C353" s="53" t="str">
        <f>VLOOKUP($A353,'Выгр Кат'!$A:$R,C$1,0)</f>
        <v>Панель боковины внутренняя левая "АвтоВАЗ" в сборе для Лада Ларгус фургон</v>
      </c>
      <c r="D353" s="52" t="str">
        <f>VLOOKUP($A353,'Выгр Кат'!$A:$R,D$1,0)</f>
        <v>Y</v>
      </c>
      <c r="E353" s="52" t="str">
        <f>VLOOKUP($A353,'Выгр Кат'!$A:$R,E$1,0)</f>
        <v>1</v>
      </c>
      <c r="F353" s="52" t="str">
        <f>VLOOKUP($A353,'Выгр Кат'!$A:$R,F$1,0)</f>
        <v>766319910R</v>
      </c>
      <c r="G353" s="52" t="str">
        <f>IF(VLOOKUP($A353,'Выгр Кат'!$A:$R,G$1,0)=0,"",VLOOKUP($A353,'Выгр Кат'!$A:$R,G$1,0))</f>
        <v/>
      </c>
      <c r="H353" s="52"/>
      <c r="I353" s="52"/>
      <c r="J353" s="54">
        <f t="shared" si="88"/>
        <v>15279</v>
      </c>
      <c r="K353" s="55">
        <f>VLOOKUP(J353,Наценка!$A$1:$B$8,2,1)</f>
        <v>1.3</v>
      </c>
      <c r="L353" s="56">
        <f t="shared" si="89"/>
        <v>19862.7</v>
      </c>
      <c r="M353" s="57">
        <f t="shared" si="90"/>
        <v>19890</v>
      </c>
      <c r="N353" s="52">
        <f>VLOOKUP($A353,'Выгр Кат'!$A:$R,N$1,0)</f>
        <v>15279</v>
      </c>
      <c r="O353" s="52">
        <f>VLOOKUP($A353,'Выгр Кат'!$A:$R,O$1,0)</f>
        <v>21390</v>
      </c>
      <c r="P353" s="47">
        <f t="shared" si="91"/>
        <v>0</v>
      </c>
      <c r="Q353" s="47">
        <f t="shared" si="92"/>
        <v>1500</v>
      </c>
      <c r="R353" s="58">
        <f t="shared" si="93"/>
        <v>19890</v>
      </c>
      <c r="S353" s="59">
        <f t="shared" si="94"/>
        <v>0.30178676614961719</v>
      </c>
      <c r="T353" s="59" t="str">
        <f t="shared" si="95"/>
        <v/>
      </c>
      <c r="U353" s="59" t="str">
        <f t="shared" si="96"/>
        <v/>
      </c>
      <c r="V353" s="60"/>
      <c r="W353" s="69" t="str">
        <f>IFERROR((VLOOKUP($A353,'Из ГУГЛа'!$B:$Z,W$1,0)+Y353)*X353,VLOOKUP($A353,'Из ГУГЛа'!$B:$Z,W$1,0))</f>
        <v/>
      </c>
      <c r="X353" s="61">
        <v>1</v>
      </c>
      <c r="Y353" s="61">
        <v>0</v>
      </c>
      <c r="Z353" s="60" t="s">
        <v>4170</v>
      </c>
      <c r="AA353" s="60"/>
    </row>
    <row r="354" spans="1:27" ht="45" x14ac:dyDescent="0.25">
      <c r="A354" s="52">
        <v>186168</v>
      </c>
      <c r="B354" s="52">
        <f>VLOOKUP($A354,'Выгр Кат'!$A:$R,B$1,0)</f>
        <v>32711</v>
      </c>
      <c r="C354" s="53" t="str">
        <f>VLOOKUP($A354,'Выгр Кат'!$A:$R,C$1,0)</f>
        <v>Панель боковины внутренняя правая "АвтоВАЗ" в сборе для Лада Веста седан</v>
      </c>
      <c r="D354" s="52" t="str">
        <f>VLOOKUP($A354,'Выгр Кат'!$A:$R,D$1,0)</f>
        <v>Y</v>
      </c>
      <c r="E354" s="52" t="str">
        <f>VLOOKUP($A354,'Выгр Кат'!$A:$R,E$1,0)</f>
        <v>1</v>
      </c>
      <c r="F354" s="52" t="str">
        <f>VLOOKUP($A354,'Выгр Кат'!$A:$R,F$1,0)</f>
        <v>8450007491</v>
      </c>
      <c r="G354" s="52" t="str">
        <f>IF(VLOOKUP($A354,'Выгр Кат'!$A:$R,G$1,0)=0,"",VLOOKUP($A354,'Выгр Кат'!$A:$R,G$1,0))</f>
        <v/>
      </c>
      <c r="H354" s="52"/>
      <c r="I354" s="52"/>
      <c r="J354" s="54">
        <f t="shared" si="88"/>
        <v>5638</v>
      </c>
      <c r="K354" s="55">
        <f>VLOOKUP(J354,Наценка!$A$1:$B$8,2,1)</f>
        <v>1.35</v>
      </c>
      <c r="L354" s="56">
        <f t="shared" si="89"/>
        <v>7611.3</v>
      </c>
      <c r="M354" s="57">
        <f t="shared" si="90"/>
        <v>7690</v>
      </c>
      <c r="N354" s="52">
        <f>VLOOKUP($A354,'Выгр Кат'!$A:$R,N$1,0)</f>
        <v>5638</v>
      </c>
      <c r="O354" s="52">
        <f>VLOOKUP($A354,'Выгр Кат'!$A:$R,O$1,0)</f>
        <v>7890</v>
      </c>
      <c r="P354" s="47">
        <f t="shared" si="91"/>
        <v>0</v>
      </c>
      <c r="Q354" s="47">
        <f t="shared" si="92"/>
        <v>200</v>
      </c>
      <c r="R354" s="58">
        <f t="shared" si="93"/>
        <v>7690</v>
      </c>
      <c r="S354" s="59">
        <f t="shared" si="94"/>
        <v>0.36395885065626099</v>
      </c>
      <c r="T354" s="59" t="str">
        <f t="shared" si="95"/>
        <v/>
      </c>
      <c r="U354" s="59" t="str">
        <f t="shared" si="96"/>
        <v/>
      </c>
      <c r="V354" s="60"/>
      <c r="W354" s="69" t="str">
        <f>IFERROR((VLOOKUP($A354,'Из ГУГЛа'!$B:$Z,W$1,0)+Y354)*X354,VLOOKUP($A354,'Из ГУГЛа'!$B:$Z,W$1,0))</f>
        <v/>
      </c>
      <c r="X354" s="61">
        <v>1</v>
      </c>
      <c r="Y354" s="61">
        <v>0</v>
      </c>
      <c r="Z354" s="60" t="s">
        <v>4170</v>
      </c>
      <c r="AA354" s="60"/>
    </row>
    <row r="355" spans="1:27" ht="45" x14ac:dyDescent="0.25">
      <c r="A355" s="52">
        <v>186169</v>
      </c>
      <c r="B355" s="52">
        <f>VLOOKUP($A355,'Выгр Кат'!$A:$R,B$1,0)</f>
        <v>31009</v>
      </c>
      <c r="C355" s="53" t="str">
        <f>VLOOKUP($A355,'Выгр Кат'!$A:$R,C$1,0)</f>
        <v>Панель боковины внутренняя правая "АвтоВАЗ" в сборе для Лада Ларгус фургон</v>
      </c>
      <c r="D355" s="52" t="str">
        <f>VLOOKUP($A355,'Выгр Кат'!$A:$R,D$1,0)</f>
        <v>Y</v>
      </c>
      <c r="E355" s="52" t="str">
        <f>VLOOKUP($A355,'Выгр Кат'!$A:$R,E$1,0)</f>
        <v>1</v>
      </c>
      <c r="F355" s="52" t="str">
        <f>VLOOKUP($A355,'Выгр Кат'!$A:$R,F$1,0)</f>
        <v>766304664R</v>
      </c>
      <c r="G355" s="52" t="str">
        <f>IF(VLOOKUP($A355,'Выгр Кат'!$A:$R,G$1,0)=0,"",VLOOKUP($A355,'Выгр Кат'!$A:$R,G$1,0))</f>
        <v/>
      </c>
      <c r="H355" s="52"/>
      <c r="I355" s="52"/>
      <c r="J355" s="54">
        <f t="shared" si="88"/>
        <v>13264</v>
      </c>
      <c r="K355" s="55">
        <f>VLOOKUP(J355,Наценка!$A$1:$B$8,2,1)</f>
        <v>1.3</v>
      </c>
      <c r="L355" s="56">
        <f t="shared" si="89"/>
        <v>17243.2</v>
      </c>
      <c r="M355" s="57">
        <f t="shared" si="90"/>
        <v>17290</v>
      </c>
      <c r="N355" s="52">
        <f>VLOOKUP($A355,'Выгр Кат'!$A:$R,N$1,0)</f>
        <v>13264</v>
      </c>
      <c r="O355" s="52">
        <f>VLOOKUP($A355,'Выгр Кат'!$A:$R,O$1,0)</f>
        <v>18590</v>
      </c>
      <c r="P355" s="47">
        <f t="shared" si="91"/>
        <v>0</v>
      </c>
      <c r="Q355" s="47">
        <f t="shared" si="92"/>
        <v>1300</v>
      </c>
      <c r="R355" s="58">
        <f t="shared" si="93"/>
        <v>17290</v>
      </c>
      <c r="S355" s="59">
        <f t="shared" si="94"/>
        <v>0.3035283474065138</v>
      </c>
      <c r="T355" s="59" t="str">
        <f t="shared" si="95"/>
        <v/>
      </c>
      <c r="U355" s="59" t="str">
        <f t="shared" si="96"/>
        <v/>
      </c>
      <c r="V355" s="60"/>
      <c r="W355" s="69" t="str">
        <f>IFERROR((VLOOKUP($A355,'Из ГУГЛа'!$B:$Z,W$1,0)+Y355)*X355,VLOOKUP($A355,'Из ГУГЛа'!$B:$Z,W$1,0))</f>
        <v/>
      </c>
      <c r="X355" s="61">
        <v>1</v>
      </c>
      <c r="Y355" s="61">
        <v>0</v>
      </c>
      <c r="Z355" s="60" t="s">
        <v>4170</v>
      </c>
      <c r="AA355" s="60"/>
    </row>
    <row r="356" spans="1:27" ht="45" x14ac:dyDescent="0.25">
      <c r="A356" s="52">
        <v>186170</v>
      </c>
      <c r="B356" s="52">
        <f>VLOOKUP($A356,'Выгр Кат'!$A:$R,B$1,0)</f>
        <v>31186</v>
      </c>
      <c r="C356" s="53" t="str">
        <f>VLOOKUP($A356,'Выгр Кат'!$A:$R,C$1,0)</f>
        <v>Панель боковины внутренняя правая в сборе (катафорез) "АвтоВАЗ" для Лада Веста седан</v>
      </c>
      <c r="D356" s="52" t="str">
        <f>VLOOKUP($A356,'Выгр Кат'!$A:$R,D$1,0)</f>
        <v>Y</v>
      </c>
      <c r="E356" s="52" t="str">
        <f>VLOOKUP($A356,'Выгр Кат'!$A:$R,E$1,0)</f>
        <v>1</v>
      </c>
      <c r="F356" s="52" t="str">
        <f>VLOOKUP($A356,'Выгр Кат'!$A:$R,F$1,0)</f>
        <v>8450039208</v>
      </c>
      <c r="G356" s="52" t="str">
        <f>IF(VLOOKUP($A356,'Выгр Кат'!$A:$R,G$1,0)=0,"",VLOOKUP($A356,'Выгр Кат'!$A:$R,G$1,0))</f>
        <v>https://motorring.ru/product/33501-panely-bokoviny-narughnaya-pravaya-vesta-cross-sedan</v>
      </c>
      <c r="H356" s="52"/>
      <c r="I356" s="52"/>
      <c r="J356" s="54">
        <f t="shared" si="88"/>
        <v>13003</v>
      </c>
      <c r="K356" s="55">
        <f>VLOOKUP(J356,Наценка!$A$1:$B$8,2,1)</f>
        <v>1.3</v>
      </c>
      <c r="L356" s="56">
        <f t="shared" si="89"/>
        <v>16903.900000000001</v>
      </c>
      <c r="M356" s="57">
        <f t="shared" si="90"/>
        <v>16990</v>
      </c>
      <c r="N356" s="52">
        <f>VLOOKUP($A356,'Выгр Кат'!$A:$R,N$1,0)</f>
        <v>13003</v>
      </c>
      <c r="O356" s="52">
        <f>VLOOKUP($A356,'Выгр Кат'!$A:$R,O$1,0)</f>
        <v>18290</v>
      </c>
      <c r="P356" s="47">
        <f t="shared" si="91"/>
        <v>0</v>
      </c>
      <c r="Q356" s="47">
        <f t="shared" si="92"/>
        <v>1300</v>
      </c>
      <c r="R356" s="58">
        <f t="shared" si="93"/>
        <v>16990</v>
      </c>
      <c r="S356" s="59">
        <f t="shared" si="94"/>
        <v>0.30662154887333681</v>
      </c>
      <c r="T356" s="59">
        <f t="shared" si="95"/>
        <v>0.26735661923242776</v>
      </c>
      <c r="U356" s="59">
        <f t="shared" si="96"/>
        <v>0.78343459201722676</v>
      </c>
      <c r="V356" s="42">
        <f>Z356</f>
        <v>23190</v>
      </c>
      <c r="W356" s="69">
        <f>IFERROR((VLOOKUP($A356,'Из ГУГЛа'!$B:$Z,W$1,0)+Y356)*X356,VLOOKUP($A356,'Из ГУГЛа'!$B:$Z,W$1,0))</f>
        <v>23190</v>
      </c>
      <c r="X356" s="61">
        <v>1</v>
      </c>
      <c r="Y356" s="61">
        <v>0</v>
      </c>
      <c r="Z356" s="70">
        <v>23190</v>
      </c>
      <c r="AA356" s="60" t="s">
        <v>946</v>
      </c>
    </row>
    <row r="357" spans="1:27" ht="45" x14ac:dyDescent="0.25">
      <c r="A357" s="52">
        <v>186171</v>
      </c>
      <c r="B357" s="52">
        <f>VLOOKUP($A357,'Выгр Кат'!$A:$R,B$1,0)</f>
        <v>31225</v>
      </c>
      <c r="C357" s="53" t="str">
        <f>VLOOKUP($A357,'Выгр Кат'!$A:$R,C$1,0)</f>
        <v>Панель боковины внутренняя угловая в сборе "АвтоВАЗ" левая для Лада Приора, Приора 2 универсал</v>
      </c>
      <c r="D357" s="52" t="str">
        <f>VLOOKUP($A357,'Выгр Кат'!$A:$R,D$1,0)</f>
        <v>Y</v>
      </c>
      <c r="E357" s="52" t="str">
        <f>VLOOKUP($A357,'Выгр Кат'!$A:$R,E$1,0)</f>
        <v>1</v>
      </c>
      <c r="F357" s="52" t="str">
        <f>VLOOKUP($A357,'Выгр Кат'!$A:$R,F$1,0)</f>
        <v>21710540142500</v>
      </c>
      <c r="G357" s="52" t="str">
        <f>IF(VLOOKUP($A357,'Выгр Кат'!$A:$R,G$1,0)=0,"",VLOOKUP($A357,'Выгр Кат'!$A:$R,G$1,0))</f>
        <v/>
      </c>
      <c r="H357" s="52"/>
      <c r="I357" s="52"/>
      <c r="J357" s="54">
        <f t="shared" si="88"/>
        <v>299</v>
      </c>
      <c r="K357" s="55">
        <f>VLOOKUP(J357,Наценка!$A$1:$B$8,2,1)</f>
        <v>1.8</v>
      </c>
      <c r="L357" s="56">
        <f t="shared" si="89"/>
        <v>538.20000000000005</v>
      </c>
      <c r="M357" s="57">
        <f t="shared" si="90"/>
        <v>539</v>
      </c>
      <c r="N357" s="52">
        <f>VLOOKUP($A357,'Выгр Кат'!$A:$R,N$1,0)</f>
        <v>299</v>
      </c>
      <c r="O357" s="52">
        <f>VLOOKUP($A357,'Выгр Кат'!$A:$R,O$1,0)</f>
        <v>539</v>
      </c>
      <c r="P357" s="47">
        <f t="shared" si="91"/>
        <v>0</v>
      </c>
      <c r="Q357" s="47">
        <f t="shared" si="92"/>
        <v>0</v>
      </c>
      <c r="R357" s="58">
        <f t="shared" si="93"/>
        <v>539</v>
      </c>
      <c r="S357" s="59">
        <f t="shared" si="94"/>
        <v>0.80267558528428085</v>
      </c>
      <c r="T357" s="59" t="str">
        <f t="shared" si="95"/>
        <v/>
      </c>
      <c r="U357" s="59" t="str">
        <f t="shared" si="96"/>
        <v/>
      </c>
      <c r="V357" s="60"/>
      <c r="W357" s="69" t="str">
        <f>IFERROR((VLOOKUP($A357,'Из ГУГЛа'!$B:$Z,W$1,0)+Y357)*X357,VLOOKUP($A357,'Из ГУГЛа'!$B:$Z,W$1,0))</f>
        <v/>
      </c>
      <c r="X357" s="61">
        <v>1</v>
      </c>
      <c r="Y357" s="61">
        <v>0</v>
      </c>
      <c r="Z357" s="60" t="s">
        <v>4170</v>
      </c>
      <c r="AA357" s="60"/>
    </row>
    <row r="358" spans="1:27" ht="45" x14ac:dyDescent="0.25">
      <c r="A358" s="52">
        <v>186172</v>
      </c>
      <c r="B358" s="52">
        <f>VLOOKUP($A358,'Выгр Кат'!$A:$R,B$1,0)</f>
        <v>31226</v>
      </c>
      <c r="C358" s="53" t="str">
        <f>VLOOKUP($A358,'Выгр Кат'!$A:$R,C$1,0)</f>
        <v>Панель боковины внутренняя угловая в сборе "АвтоВАЗ" правая для Лада Приора, Приора 2 универсал</v>
      </c>
      <c r="D358" s="52" t="str">
        <f>VLOOKUP($A358,'Выгр Кат'!$A:$R,D$1,0)</f>
        <v>Y</v>
      </c>
      <c r="E358" s="52" t="str">
        <f>VLOOKUP($A358,'Выгр Кат'!$A:$R,E$1,0)</f>
        <v>1</v>
      </c>
      <c r="F358" s="52" t="str">
        <f>VLOOKUP($A358,'Выгр Кат'!$A:$R,F$1,0)</f>
        <v>21710540142410</v>
      </c>
      <c r="G358" s="52" t="str">
        <f>IF(VLOOKUP($A358,'Выгр Кат'!$A:$R,G$1,0)=0,"",VLOOKUP($A358,'Выгр Кат'!$A:$R,G$1,0))</f>
        <v/>
      </c>
      <c r="H358" s="52"/>
      <c r="I358" s="52"/>
      <c r="J358" s="54">
        <f t="shared" si="88"/>
        <v>569</v>
      </c>
      <c r="K358" s="55">
        <f>VLOOKUP(J358,Наценка!$A$1:$B$8,2,1)</f>
        <v>1.55</v>
      </c>
      <c r="L358" s="56">
        <f t="shared" si="89"/>
        <v>881.95</v>
      </c>
      <c r="M358" s="57">
        <f t="shared" si="90"/>
        <v>889</v>
      </c>
      <c r="N358" s="52">
        <f>VLOOKUP($A358,'Выгр Кат'!$A:$R,N$1,0)</f>
        <v>569</v>
      </c>
      <c r="O358" s="52">
        <f>VLOOKUP($A358,'Выгр Кат'!$A:$R,O$1,0)</f>
        <v>889</v>
      </c>
      <c r="P358" s="47">
        <f t="shared" si="91"/>
        <v>0</v>
      </c>
      <c r="Q358" s="47">
        <f t="shared" si="92"/>
        <v>0</v>
      </c>
      <c r="R358" s="58">
        <f t="shared" si="93"/>
        <v>889</v>
      </c>
      <c r="S358" s="59">
        <f t="shared" si="94"/>
        <v>0.56239015817223192</v>
      </c>
      <c r="T358" s="59" t="str">
        <f t="shared" si="95"/>
        <v/>
      </c>
      <c r="U358" s="59" t="str">
        <f t="shared" si="96"/>
        <v/>
      </c>
      <c r="V358" s="60"/>
      <c r="W358" s="69" t="str">
        <f>IFERROR((VLOOKUP($A358,'Из ГУГЛа'!$B:$Z,W$1,0)+Y358)*X358,VLOOKUP($A358,'Из ГУГЛа'!$B:$Z,W$1,0))</f>
        <v/>
      </c>
      <c r="X358" s="61">
        <v>1</v>
      </c>
      <c r="Y358" s="61">
        <v>0</v>
      </c>
      <c r="Z358" s="60" t="s">
        <v>4170</v>
      </c>
      <c r="AA358" s="60"/>
    </row>
    <row r="359" spans="1:27" ht="45" x14ac:dyDescent="0.25">
      <c r="A359" s="52">
        <v>186173</v>
      </c>
      <c r="B359" s="52">
        <f>VLOOKUP($A359,'Выгр Кат'!$A:$R,B$1,0)</f>
        <v>45523</v>
      </c>
      <c r="C359" s="53" t="str">
        <f>VLOOKUP($A359,'Выгр Кат'!$A:$R,C$1,0)</f>
        <v>Панель боковины наружная "АвтоВАЗ" левая без отверстий под молдинг (катафорез) для ВАЗ 2108, 2113</v>
      </c>
      <c r="D359" s="52" t="str">
        <f>VLOOKUP($A359,'Выгр Кат'!$A:$R,D$1,0)</f>
        <v>Y</v>
      </c>
      <c r="E359" s="52" t="str">
        <f>VLOOKUP($A359,'Выгр Кат'!$A:$R,E$1,0)</f>
        <v>1</v>
      </c>
      <c r="F359" s="52" t="str">
        <f>VLOOKUP($A359,'Выгр Кат'!$A:$R,F$1,0)</f>
        <v>21080540106540</v>
      </c>
      <c r="G359" s="52" t="str">
        <f>IF(VLOOKUP($A359,'Выгр Кат'!$A:$R,G$1,0)=0,"",VLOOKUP($A359,'Выгр Кат'!$A:$R,G$1,0))</f>
        <v/>
      </c>
      <c r="H359" s="52"/>
      <c r="I359" s="52"/>
      <c r="J359" s="54">
        <f t="shared" si="88"/>
        <v>8659</v>
      </c>
      <c r="K359" s="55">
        <f>VLOOKUP(J359,Наценка!$A$1:$B$8,2,1)</f>
        <v>1.35</v>
      </c>
      <c r="L359" s="56">
        <f t="shared" si="89"/>
        <v>11689.650000000001</v>
      </c>
      <c r="M359" s="57">
        <f t="shared" si="90"/>
        <v>11690</v>
      </c>
      <c r="N359" s="52">
        <f>VLOOKUP($A359,'Выгр Кат'!$A:$R,N$1,0)</f>
        <v>8659</v>
      </c>
      <c r="O359" s="52">
        <f>VLOOKUP($A359,'Выгр Кат'!$A:$R,O$1,0)</f>
        <v>12190</v>
      </c>
      <c r="P359" s="47">
        <f t="shared" si="91"/>
        <v>0</v>
      </c>
      <c r="Q359" s="47">
        <f t="shared" si="92"/>
        <v>500</v>
      </c>
      <c r="R359" s="58">
        <f t="shared" si="93"/>
        <v>11690</v>
      </c>
      <c r="S359" s="59">
        <f t="shared" si="94"/>
        <v>0.35004042037186744</v>
      </c>
      <c r="T359" s="59">
        <f t="shared" si="95"/>
        <v>4.8820179007323029E-2</v>
      </c>
      <c r="U359" s="59">
        <f t="shared" si="96"/>
        <v>0.41933248643030363</v>
      </c>
      <c r="V359" s="42">
        <f>Z359</f>
        <v>12290</v>
      </c>
      <c r="W359" s="69" t="str">
        <f>IFERROR((VLOOKUP($A359,'Из ГУГЛа'!$B:$Z,W$1,0)+Y359)*X359,VLOOKUP($A359,'Из ГУГЛа'!$B:$Z,W$1,0))</f>
        <v/>
      </c>
      <c r="X359" s="61">
        <v>1</v>
      </c>
      <c r="Y359" s="61">
        <v>0</v>
      </c>
      <c r="Z359" s="60">
        <v>12290</v>
      </c>
      <c r="AA359" s="60" t="s">
        <v>4287</v>
      </c>
    </row>
    <row r="360" spans="1:27" ht="30" x14ac:dyDescent="0.25">
      <c r="A360" s="52">
        <v>186174</v>
      </c>
      <c r="B360" s="52">
        <f>VLOOKUP($A360,'Выгр Кат'!$A:$R,B$1,0)</f>
        <v>32733</v>
      </c>
      <c r="C360" s="53" t="str">
        <f>VLOOKUP($A360,'Выгр Кат'!$A:$R,C$1,0)</f>
        <v>Панель боковины наружная "АвтоВАЗ" левая для Лада Веста SW универсал</v>
      </c>
      <c r="D360" s="52" t="str">
        <f>VLOOKUP($A360,'Выгр Кат'!$A:$R,D$1,0)</f>
        <v>Y</v>
      </c>
      <c r="E360" s="52" t="str">
        <f>VLOOKUP($A360,'Выгр Кат'!$A:$R,E$1,0)</f>
        <v>1</v>
      </c>
      <c r="F360" s="52" t="str">
        <f>VLOOKUP($A360,'Выгр Кат'!$A:$R,F$1,0)</f>
        <v>8450102313</v>
      </c>
      <c r="G360" s="52" t="str">
        <f>IF(VLOOKUP($A360,'Выгр Кат'!$A:$R,G$1,0)=0,"",VLOOKUP($A360,'Выгр Кат'!$A:$R,G$1,0))</f>
        <v>https://motorring.ru/product/36816-levaya-panely-bokoviny-kuzova-dlya-lada-vesta-sw</v>
      </c>
      <c r="H360" s="52"/>
      <c r="I360" s="52"/>
      <c r="J360" s="54">
        <f t="shared" si="88"/>
        <v>19454</v>
      </c>
      <c r="K360" s="55">
        <f>VLOOKUP(J360,Наценка!$A$1:$B$8,2,1)</f>
        <v>1.3</v>
      </c>
      <c r="L360" s="56">
        <f t="shared" si="89"/>
        <v>25290.2</v>
      </c>
      <c r="M360" s="57">
        <f t="shared" si="90"/>
        <v>25290</v>
      </c>
      <c r="N360" s="52">
        <f>VLOOKUP($A360,'Выгр Кат'!$A:$R,N$1,0)</f>
        <v>19454</v>
      </c>
      <c r="O360" s="52">
        <f>VLOOKUP($A360,'Выгр Кат'!$A:$R,O$1,0)</f>
        <v>25290</v>
      </c>
      <c r="P360" s="47">
        <f t="shared" si="91"/>
        <v>0</v>
      </c>
      <c r="Q360" s="47">
        <f t="shared" si="92"/>
        <v>0</v>
      </c>
      <c r="R360" s="58">
        <f t="shared" si="93"/>
        <v>25290</v>
      </c>
      <c r="S360" s="59">
        <f t="shared" si="94"/>
        <v>0.29998971933792529</v>
      </c>
      <c r="T360" s="59">
        <f t="shared" si="95"/>
        <v>-0.73337902673063737</v>
      </c>
      <c r="U360" s="59">
        <f t="shared" si="96"/>
        <v>-0.25002570165518656</v>
      </c>
      <c r="V360" s="42">
        <f>Z360</f>
        <v>14590</v>
      </c>
      <c r="W360" s="69">
        <f>IFERROR((VLOOKUP($A360,'Из ГУГЛа'!$B:$Z,W$1,0)+Y360)*X360,VLOOKUP($A360,'Из ГУГЛа'!$B:$Z,W$1,0))</f>
        <v>14590</v>
      </c>
      <c r="X360" s="61">
        <v>1</v>
      </c>
      <c r="Y360" s="61">
        <v>0</v>
      </c>
      <c r="Z360" s="70">
        <v>14590</v>
      </c>
      <c r="AA360" s="60" t="s">
        <v>956</v>
      </c>
    </row>
    <row r="361" spans="1:27" ht="45" x14ac:dyDescent="0.25">
      <c r="A361" s="52">
        <v>186175</v>
      </c>
      <c r="B361" s="52">
        <f>VLOOKUP($A361,'Выгр Кат'!$A:$R,B$1,0)</f>
        <v>32734</v>
      </c>
      <c r="C361" s="53" t="str">
        <f>VLOOKUP($A361,'Выгр Кат'!$A:$R,C$1,0)</f>
        <v>Панель боковины наружная "АвтоВАЗ" правая для Лада Веста SW Cross универсал</v>
      </c>
      <c r="D361" s="52" t="str">
        <f>VLOOKUP($A361,'Выгр Кат'!$A:$R,D$1,0)</f>
        <v>Y</v>
      </c>
      <c r="E361" s="52" t="str">
        <f>VLOOKUP($A361,'Выгр Кат'!$A:$R,E$1,0)</f>
        <v>0</v>
      </c>
      <c r="F361" s="52" t="str">
        <f>VLOOKUP($A361,'Выгр Кат'!$A:$R,F$1,0)</f>
        <v>8450102326</v>
      </c>
      <c r="G361" s="52" t="str">
        <f>IF(VLOOKUP($A361,'Выгр Кат'!$A:$R,G$1,0)=0,"",VLOOKUP($A361,'Выгр Кат'!$A:$R,G$1,0))</f>
        <v/>
      </c>
      <c r="H361" s="52"/>
      <c r="I361" s="52"/>
      <c r="J361" s="54">
        <f t="shared" si="88"/>
        <v>11424</v>
      </c>
      <c r="K361" s="55">
        <f>VLOOKUP(J361,Наценка!$A$1:$B$8,2,1)</f>
        <v>1.3</v>
      </c>
      <c r="L361" s="56">
        <f t="shared" si="89"/>
        <v>14851.2</v>
      </c>
      <c r="M361" s="57">
        <f t="shared" si="90"/>
        <v>14890</v>
      </c>
      <c r="N361" s="52">
        <f>VLOOKUP($A361,'Выгр Кат'!$A:$R,N$1,0)</f>
        <v>11424</v>
      </c>
      <c r="O361" s="52">
        <f>VLOOKUP($A361,'Выгр Кат'!$A:$R,O$1,0)</f>
        <v>14890</v>
      </c>
      <c r="P361" s="47">
        <f t="shared" si="91"/>
        <v>0</v>
      </c>
      <c r="Q361" s="47">
        <f t="shared" si="92"/>
        <v>0</v>
      </c>
      <c r="R361" s="58">
        <f t="shared" si="93"/>
        <v>14890</v>
      </c>
      <c r="S361" s="59">
        <f t="shared" si="94"/>
        <v>0.3033963585434174</v>
      </c>
      <c r="T361" s="59" t="str">
        <f t="shared" si="95"/>
        <v/>
      </c>
      <c r="U361" s="59" t="str">
        <f t="shared" si="96"/>
        <v/>
      </c>
      <c r="V361" s="60"/>
      <c r="W361" s="69" t="str">
        <f>IFERROR((VLOOKUP($A361,'Из ГУГЛа'!$B:$Z,W$1,0)+Y361)*X361,VLOOKUP($A361,'Из ГУГЛа'!$B:$Z,W$1,0))</f>
        <v/>
      </c>
      <c r="X361" s="61">
        <v>1</v>
      </c>
      <c r="Y361" s="61">
        <v>0</v>
      </c>
      <c r="Z361" s="76" t="s">
        <v>4285</v>
      </c>
      <c r="AA361" s="60"/>
    </row>
    <row r="362" spans="1:27" ht="30" x14ac:dyDescent="0.25">
      <c r="A362" s="52">
        <v>186176</v>
      </c>
      <c r="B362" s="52">
        <f>VLOOKUP($A362,'Выгр Кат'!$A:$R,B$1,0)</f>
        <v>32732</v>
      </c>
      <c r="C362" s="53" t="str">
        <f>VLOOKUP($A362,'Выгр Кат'!$A:$R,C$1,0)</f>
        <v>Панель боковины наружная "АвтоВАЗ" правая для Лада Веста SW универсал</v>
      </c>
      <c r="D362" s="52" t="str">
        <f>VLOOKUP($A362,'Выгр Кат'!$A:$R,D$1,0)</f>
        <v>Y</v>
      </c>
      <c r="E362" s="52" t="str">
        <f>VLOOKUP($A362,'Выгр Кат'!$A:$R,E$1,0)</f>
        <v>1</v>
      </c>
      <c r="F362" s="52" t="str">
        <f>VLOOKUP($A362,'Выгр Кат'!$A:$R,F$1,0)</f>
        <v>8450102312</v>
      </c>
      <c r="G362" s="52" t="str">
        <f>IF(VLOOKUP($A362,'Выгр Кат'!$A:$R,G$1,0)=0,"",VLOOKUP($A362,'Выгр Кат'!$A:$R,G$1,0))</f>
        <v>https://motorring.ru/product/36817-pravaya-panely-bokoviny-kuzova-dlya-lada-vesta-sw</v>
      </c>
      <c r="H362" s="52"/>
      <c r="I362" s="52"/>
      <c r="J362" s="54">
        <f t="shared" si="88"/>
        <v>11232</v>
      </c>
      <c r="K362" s="55">
        <f>VLOOKUP(J362,Наценка!$A$1:$B$8,2,1)</f>
        <v>1.3</v>
      </c>
      <c r="L362" s="56">
        <f t="shared" si="89"/>
        <v>14601.6</v>
      </c>
      <c r="M362" s="57">
        <f t="shared" si="90"/>
        <v>14690</v>
      </c>
      <c r="N362" s="52">
        <f>VLOOKUP($A362,'Выгр Кат'!$A:$R,N$1,0)</f>
        <v>11232</v>
      </c>
      <c r="O362" s="52">
        <f>VLOOKUP($A362,'Выгр Кат'!$A:$R,O$1,0)</f>
        <v>14690</v>
      </c>
      <c r="P362" s="47">
        <f t="shared" si="91"/>
        <v>0</v>
      </c>
      <c r="Q362" s="47">
        <f t="shared" si="92"/>
        <v>0</v>
      </c>
      <c r="R362" s="58">
        <f t="shared" si="93"/>
        <v>14690</v>
      </c>
      <c r="S362" s="59">
        <f t="shared" si="94"/>
        <v>0.30787037037037046</v>
      </c>
      <c r="T362" s="59">
        <f t="shared" si="95"/>
        <v>-6.8540095956134339E-3</v>
      </c>
      <c r="U362" s="59">
        <f t="shared" si="96"/>
        <v>0.29896723646723644</v>
      </c>
      <c r="V362" s="42">
        <f t="shared" ref="V362:V364" si="99">Z362</f>
        <v>14590</v>
      </c>
      <c r="W362" s="69">
        <f>IFERROR((VLOOKUP($A362,'Из ГУГЛа'!$B:$Z,W$1,0)+Y362)*X362,VLOOKUP($A362,'Из ГУГЛа'!$B:$Z,W$1,0))</f>
        <v>14590</v>
      </c>
      <c r="X362" s="61">
        <v>1</v>
      </c>
      <c r="Y362" s="61">
        <v>0</v>
      </c>
      <c r="Z362" s="70">
        <v>14590</v>
      </c>
      <c r="AA362" s="60" t="s">
        <v>961</v>
      </c>
    </row>
    <row r="363" spans="1:27" ht="45" x14ac:dyDescent="0.25">
      <c r="A363" s="52">
        <v>186177</v>
      </c>
      <c r="B363" s="52">
        <f>VLOOKUP($A363,'Выгр Кат'!$A:$R,B$1,0)</f>
        <v>45507</v>
      </c>
      <c r="C363" s="53" t="str">
        <f>VLOOKUP($A363,'Выгр Кат'!$A:$R,C$1,0)</f>
        <v>Панель боковины наружная "АвтоВАЗ" правая под молдинг (катафорез) для ВАЗ 2108, 2113</v>
      </c>
      <c r="D363" s="52" t="str">
        <f>VLOOKUP($A363,'Выгр Кат'!$A:$R,D$1,0)</f>
        <v>Y</v>
      </c>
      <c r="E363" s="52" t="str">
        <f>VLOOKUP($A363,'Выгр Кат'!$A:$R,E$1,0)</f>
        <v>1</v>
      </c>
      <c r="F363" s="52" t="str">
        <f>VLOOKUP($A363,'Выгр Кат'!$A:$R,F$1,0)</f>
        <v>21080540106430</v>
      </c>
      <c r="G363" s="52" t="str">
        <f>IF(VLOOKUP($A363,'Выгр Кат'!$A:$R,G$1,0)=0,"",VLOOKUP($A363,'Выгр Кат'!$A:$R,G$1,0))</f>
        <v>https://motorring.ru/product/16808-panely-bokoviny-narughnaya-pravaya-otverstiyami-pod-molding</v>
      </c>
      <c r="H363" s="52"/>
      <c r="I363" s="52"/>
      <c r="J363" s="54">
        <f t="shared" si="88"/>
        <v>7400</v>
      </c>
      <c r="K363" s="55">
        <f>VLOOKUP(J363,Наценка!$A$1:$B$8,2,1)</f>
        <v>1.35</v>
      </c>
      <c r="L363" s="56">
        <f t="shared" si="89"/>
        <v>9990</v>
      </c>
      <c r="M363" s="57">
        <f t="shared" si="90"/>
        <v>9990</v>
      </c>
      <c r="N363" s="52">
        <f>VLOOKUP($A363,'Выгр Кат'!$A:$R,N$1,0)</f>
        <v>7400</v>
      </c>
      <c r="O363" s="52">
        <f>VLOOKUP($A363,'Выгр Кат'!$A:$R,O$1,0)</f>
        <v>10390</v>
      </c>
      <c r="P363" s="47">
        <f t="shared" si="91"/>
        <v>0</v>
      </c>
      <c r="Q363" s="47">
        <f t="shared" si="92"/>
        <v>400</v>
      </c>
      <c r="R363" s="58">
        <f t="shared" si="93"/>
        <v>9990</v>
      </c>
      <c r="S363" s="59">
        <f t="shared" si="94"/>
        <v>0.35000000000000009</v>
      </c>
      <c r="T363" s="59">
        <f t="shared" si="95"/>
        <v>-9.9009900990099015E-2</v>
      </c>
      <c r="U363" s="59">
        <f t="shared" si="96"/>
        <v>0.22837837837837838</v>
      </c>
      <c r="V363" s="42">
        <f t="shared" si="99"/>
        <v>9090</v>
      </c>
      <c r="W363" s="69">
        <f>IFERROR((VLOOKUP($A363,'Из ГУГЛа'!$B:$Z,W$1,0)+Y363)*X363,VLOOKUP($A363,'Из ГУГЛа'!$B:$Z,W$1,0))</f>
        <v>9090</v>
      </c>
      <c r="X363" s="61">
        <v>1</v>
      </c>
      <c r="Y363" s="61">
        <v>0</v>
      </c>
      <c r="Z363" s="70">
        <v>9090</v>
      </c>
      <c r="AA363" s="60" t="s">
        <v>965</v>
      </c>
    </row>
    <row r="364" spans="1:27" ht="45" x14ac:dyDescent="0.25">
      <c r="A364" s="52">
        <v>186178</v>
      </c>
      <c r="B364" s="52">
        <f>VLOOKUP($A364,'Выгр Кат'!$A:$R,B$1,0)</f>
        <v>32730</v>
      </c>
      <c r="C364" s="53" t="str">
        <f>VLOOKUP($A364,'Выгр Кат'!$A:$R,C$1,0)</f>
        <v>Панель боковины наружная (катафорез) "АвтоВАЗ" левая для Лада Веста седан</v>
      </c>
      <c r="D364" s="52" t="str">
        <f>VLOOKUP($A364,'Выгр Кат'!$A:$R,D$1,0)</f>
        <v>Y</v>
      </c>
      <c r="E364" s="52" t="str">
        <f>VLOOKUP($A364,'Выгр Кат'!$A:$R,E$1,0)</f>
        <v>1</v>
      </c>
      <c r="F364" s="52" t="str">
        <f>VLOOKUP($A364,'Выгр Кат'!$A:$R,F$1,0)</f>
        <v>8450039441</v>
      </c>
      <c r="G364" s="52" t="str">
        <f>IF(VLOOKUP($A364,'Выгр Кат'!$A:$R,G$1,0)=0,"",VLOOKUP($A364,'Выгр Кат'!$A:$R,G$1,0))</f>
        <v>https://motorring.ru/product/36825-levaya-panely-bokoviny-kuzova-dlya-lada-vesta-sedan</v>
      </c>
      <c r="H364" s="52"/>
      <c r="I364" s="52"/>
      <c r="J364" s="54">
        <f t="shared" si="88"/>
        <v>27065</v>
      </c>
      <c r="K364" s="55">
        <f>VLOOKUP(J364,Наценка!$A$1:$B$8,2,1)</f>
        <v>1.3</v>
      </c>
      <c r="L364" s="56">
        <f t="shared" si="89"/>
        <v>35184.5</v>
      </c>
      <c r="M364" s="57">
        <f t="shared" si="90"/>
        <v>35190</v>
      </c>
      <c r="N364" s="52">
        <f>VLOOKUP($A364,'Выгр Кат'!$A:$R,N$1,0)</f>
        <v>27065</v>
      </c>
      <c r="O364" s="52">
        <f>VLOOKUP($A364,'Выгр Кат'!$A:$R,O$1,0)</f>
        <v>35190</v>
      </c>
      <c r="P364" s="47">
        <f t="shared" si="91"/>
        <v>0</v>
      </c>
      <c r="Q364" s="47">
        <f t="shared" si="92"/>
        <v>0</v>
      </c>
      <c r="R364" s="58">
        <f t="shared" si="93"/>
        <v>35190</v>
      </c>
      <c r="S364" s="59">
        <f t="shared" si="94"/>
        <v>0.30020321448365039</v>
      </c>
      <c r="T364" s="59">
        <f t="shared" si="95"/>
        <v>-0.65288868013151713</v>
      </c>
      <c r="U364" s="59">
        <f t="shared" si="96"/>
        <v>-0.21337520783299468</v>
      </c>
      <c r="V364" s="42">
        <f t="shared" si="99"/>
        <v>21290</v>
      </c>
      <c r="W364" s="69">
        <f>IFERROR((VLOOKUP($A364,'Из ГУГЛа'!$B:$Z,W$1,0)+Y364)*X364,VLOOKUP($A364,'Из ГУГЛа'!$B:$Z,W$1,0))</f>
        <v>21290</v>
      </c>
      <c r="X364" s="61">
        <v>1</v>
      </c>
      <c r="Y364" s="61">
        <v>0</v>
      </c>
      <c r="Z364" s="70">
        <v>21290</v>
      </c>
      <c r="AA364" s="60" t="s">
        <v>968</v>
      </c>
    </row>
    <row r="365" spans="1:27" ht="60" x14ac:dyDescent="0.25">
      <c r="A365" s="52">
        <v>186179</v>
      </c>
      <c r="B365" s="52">
        <f>VLOOKUP($A365,'Выгр Кат'!$A:$R,B$1,0)</f>
        <v>32738</v>
      </c>
      <c r="C365" s="53" t="str">
        <f>VLOOKUP($A365,'Выгр Кат'!$A:$R,C$1,0)</f>
        <v>Панель боковины наружная (с отверстиями под молдинг, катафорез) "АвтоВАЗ" правая с кронштейном в сборе для Лада Веста седан</v>
      </c>
      <c r="D365" s="52" t="str">
        <f>VLOOKUP($A365,'Выгр Кат'!$A:$R,D$1,0)</f>
        <v>Y</v>
      </c>
      <c r="E365" s="52" t="str">
        <f>VLOOKUP($A365,'Выгр Кат'!$A:$R,E$1,0)</f>
        <v>1</v>
      </c>
      <c r="F365" s="52" t="str">
        <f>VLOOKUP($A365,'Выгр Кат'!$A:$R,F$1,0)</f>
        <v>8450104587</v>
      </c>
      <c r="G365" s="52" t="str">
        <f>IF(VLOOKUP($A365,'Выгр Кат'!$A:$R,G$1,0)=0,"",VLOOKUP($A365,'Выгр Кат'!$A:$R,G$1,0))</f>
        <v/>
      </c>
      <c r="H365" s="52"/>
      <c r="I365" s="52"/>
      <c r="J365" s="54">
        <f t="shared" si="88"/>
        <v>36567</v>
      </c>
      <c r="K365" s="55">
        <f>VLOOKUP(J365,Наценка!$A$1:$B$8,2,1)</f>
        <v>1.3</v>
      </c>
      <c r="L365" s="56">
        <f t="shared" si="89"/>
        <v>47537.1</v>
      </c>
      <c r="M365" s="57">
        <f t="shared" si="90"/>
        <v>47590</v>
      </c>
      <c r="N365" s="52">
        <f>VLOOKUP($A365,'Выгр Кат'!$A:$R,N$1,0)</f>
        <v>36567</v>
      </c>
      <c r="O365" s="52">
        <f>VLOOKUP($A365,'Выгр Кат'!$A:$R,O$1,0)</f>
        <v>51190</v>
      </c>
      <c r="P365" s="47">
        <f t="shared" si="91"/>
        <v>0</v>
      </c>
      <c r="Q365" s="47">
        <f t="shared" si="92"/>
        <v>3600</v>
      </c>
      <c r="R365" s="58">
        <f t="shared" si="93"/>
        <v>47590</v>
      </c>
      <c r="S365" s="59">
        <f t="shared" si="94"/>
        <v>0.30144665955643069</v>
      </c>
      <c r="T365" s="59" t="str">
        <f t="shared" si="95"/>
        <v/>
      </c>
      <c r="U365" s="59" t="str">
        <f t="shared" si="96"/>
        <v/>
      </c>
      <c r="V365" s="60"/>
      <c r="W365" s="69" t="str">
        <f>IFERROR((VLOOKUP($A365,'Из ГУГЛа'!$B:$Z,W$1,0)+Y365)*X365,VLOOKUP($A365,'Из ГУГЛа'!$B:$Z,W$1,0))</f>
        <v/>
      </c>
      <c r="X365" s="61">
        <v>1</v>
      </c>
      <c r="Y365" s="61">
        <v>0</v>
      </c>
      <c r="Z365" s="60" t="s">
        <v>4170</v>
      </c>
      <c r="AA365" s="60"/>
    </row>
    <row r="366" spans="1:27" ht="30" x14ac:dyDescent="0.25">
      <c r="A366" s="52">
        <v>186180</v>
      </c>
      <c r="B366" s="52">
        <f>VLOOKUP($A366,'Выгр Кат'!$A:$R,B$1,0)</f>
        <v>32746</v>
      </c>
      <c r="C366" s="53" t="str">
        <f>VLOOKUP($A366,'Выгр Кат'!$A:$R,C$1,0)</f>
        <v>Панель боковины передняя "АвтоВАЗ" левая в сборе для Лада XRAY</v>
      </c>
      <c r="D366" s="52" t="str">
        <f>VLOOKUP($A366,'Выгр Кат'!$A:$R,D$1,0)</f>
        <v>Y</v>
      </c>
      <c r="E366" s="52" t="str">
        <f>VLOOKUP($A366,'Выгр Кат'!$A:$R,E$1,0)</f>
        <v>1</v>
      </c>
      <c r="F366" s="52" t="str">
        <f>VLOOKUP($A366,'Выгр Кат'!$A:$R,F$1,0)</f>
        <v>760236862R</v>
      </c>
      <c r="G366" s="52" t="str">
        <f>IF(VLOOKUP($A366,'Выгр Кат'!$A:$R,G$1,0)=0,"",VLOOKUP($A366,'Выгр Кат'!$A:$R,G$1,0))</f>
        <v>https://motorring.ru/product/36807-panely-bokoviny-levaya-sbore-dlya-lada-iks-rey</v>
      </c>
      <c r="H366" s="52"/>
      <c r="I366" s="52"/>
      <c r="J366" s="54">
        <f t="shared" si="88"/>
        <v>17808</v>
      </c>
      <c r="K366" s="55">
        <f>VLOOKUP(J366,Наценка!$A$1:$B$8,2,1)</f>
        <v>1.3</v>
      </c>
      <c r="L366" s="56">
        <f t="shared" si="89"/>
        <v>23150.400000000001</v>
      </c>
      <c r="M366" s="57">
        <f t="shared" si="90"/>
        <v>23190</v>
      </c>
      <c r="N366" s="52">
        <f>VLOOKUP($A366,'Выгр Кат'!$A:$R,N$1,0)</f>
        <v>17808</v>
      </c>
      <c r="O366" s="52">
        <f>VLOOKUP($A366,'Выгр Кат'!$A:$R,O$1,0)</f>
        <v>24990</v>
      </c>
      <c r="P366" s="47">
        <f t="shared" si="91"/>
        <v>0</v>
      </c>
      <c r="Q366" s="47">
        <f t="shared" si="92"/>
        <v>1800</v>
      </c>
      <c r="R366" s="58">
        <f t="shared" si="93"/>
        <v>23190</v>
      </c>
      <c r="S366" s="59">
        <f t="shared" si="94"/>
        <v>0.30222371967654982</v>
      </c>
      <c r="T366" s="59">
        <f t="shared" si="95"/>
        <v>1.6956337431114878E-2</v>
      </c>
      <c r="U366" s="59">
        <f t="shared" si="96"/>
        <v>0.32468553459119498</v>
      </c>
      <c r="V366" s="42">
        <f t="shared" ref="V366:V367" si="100">Z366</f>
        <v>23590</v>
      </c>
      <c r="W366" s="69">
        <f>IFERROR((VLOOKUP($A366,'Из ГУГЛа'!$B:$Z,W$1,0)+Y366)*X366,VLOOKUP($A366,'Из ГУГЛа'!$B:$Z,W$1,0))</f>
        <v>23590</v>
      </c>
      <c r="X366" s="61">
        <v>1</v>
      </c>
      <c r="Y366" s="61">
        <v>0</v>
      </c>
      <c r="Z366" s="70">
        <v>23590</v>
      </c>
      <c r="AA366" s="60" t="s">
        <v>973</v>
      </c>
    </row>
    <row r="367" spans="1:27" ht="30" x14ac:dyDescent="0.25">
      <c r="A367" s="52">
        <v>186181</v>
      </c>
      <c r="B367" s="52">
        <f>VLOOKUP($A367,'Выгр Кат'!$A:$R,B$1,0)</f>
        <v>32745</v>
      </c>
      <c r="C367" s="53" t="str">
        <f>VLOOKUP($A367,'Выгр Кат'!$A:$R,C$1,0)</f>
        <v>Панель боковины передняя "АвтоВАЗ" правая в сборе для Лада XRAY</v>
      </c>
      <c r="D367" s="52" t="str">
        <f>VLOOKUP($A367,'Выгр Кат'!$A:$R,D$1,0)</f>
        <v>Y</v>
      </c>
      <c r="E367" s="52" t="str">
        <f>VLOOKUP($A367,'Выгр Кат'!$A:$R,E$1,0)</f>
        <v>1</v>
      </c>
      <c r="F367" s="52" t="str">
        <f>VLOOKUP($A367,'Выгр Кат'!$A:$R,F$1,0)</f>
        <v>760222198R</v>
      </c>
      <c r="G367" s="52" t="str">
        <f>IF(VLOOKUP($A367,'Выгр Кат'!$A:$R,G$1,0)=0,"",VLOOKUP($A367,'Выгр Кат'!$A:$R,G$1,0))</f>
        <v>https://motorring.ru/product/36808-panely-bokoviny-pravaya-sbore-dlya-lada-iks-rey</v>
      </c>
      <c r="H367" s="52"/>
      <c r="I367" s="52"/>
      <c r="J367" s="54">
        <f t="shared" si="88"/>
        <v>17663</v>
      </c>
      <c r="K367" s="55">
        <f>VLOOKUP(J367,Наценка!$A$1:$B$8,2,1)</f>
        <v>1.3</v>
      </c>
      <c r="L367" s="56">
        <f t="shared" si="89"/>
        <v>22961.9</v>
      </c>
      <c r="M367" s="57">
        <f t="shared" si="90"/>
        <v>22990</v>
      </c>
      <c r="N367" s="52">
        <f>VLOOKUP($A367,'Выгр Кат'!$A:$R,N$1,0)</f>
        <v>17663</v>
      </c>
      <c r="O367" s="52">
        <f>VLOOKUP($A367,'Выгр Кат'!$A:$R,O$1,0)</f>
        <v>22990</v>
      </c>
      <c r="P367" s="47">
        <f t="shared" si="91"/>
        <v>0</v>
      </c>
      <c r="Q367" s="47">
        <f t="shared" si="92"/>
        <v>0</v>
      </c>
      <c r="R367" s="58">
        <f t="shared" si="93"/>
        <v>22990</v>
      </c>
      <c r="S367" s="59">
        <f t="shared" si="94"/>
        <v>0.30159089622374458</v>
      </c>
      <c r="T367" s="59">
        <f t="shared" si="95"/>
        <v>0</v>
      </c>
      <c r="U367" s="59">
        <f t="shared" si="96"/>
        <v>0.30159089622374458</v>
      </c>
      <c r="V367" s="42">
        <f t="shared" si="100"/>
        <v>22990</v>
      </c>
      <c r="W367" s="69">
        <f>IFERROR((VLOOKUP($A367,'Из ГУГЛа'!$B:$Z,W$1,0)+Y367)*X367,VLOOKUP($A367,'Из ГУГЛа'!$B:$Z,W$1,0))</f>
        <v>22990</v>
      </c>
      <c r="X367" s="61">
        <v>1</v>
      </c>
      <c r="Y367" s="61">
        <v>0</v>
      </c>
      <c r="Z367" s="70">
        <v>22990</v>
      </c>
      <c r="AA367" s="60" t="s">
        <v>976</v>
      </c>
    </row>
    <row r="368" spans="1:27" ht="30" x14ac:dyDescent="0.25">
      <c r="A368" s="52">
        <v>186182</v>
      </c>
      <c r="B368" s="52">
        <f>VLOOKUP($A368,'Выгр Кат'!$A:$R,B$1,0)</f>
        <v>31389</v>
      </c>
      <c r="C368" s="53" t="str">
        <f>VLOOKUP($A368,'Выгр Кат'!$A:$R,C$1,0)</f>
        <v>Панель боковины угловая "АвтоВАЗ" для ВАЗ 2112</v>
      </c>
      <c r="D368" s="52" t="str">
        <f>VLOOKUP($A368,'Выгр Кат'!$A:$R,D$1,0)</f>
        <v>Y</v>
      </c>
      <c r="E368" s="52" t="str">
        <f>VLOOKUP($A368,'Выгр Кат'!$A:$R,E$1,0)</f>
        <v>1</v>
      </c>
      <c r="F368" s="52" t="str">
        <f>VLOOKUP($A368,'Выгр Кат'!$A:$R,F$1,0)</f>
        <v>21120540142710</v>
      </c>
      <c r="G368" s="52" t="str">
        <f>IF(VLOOKUP($A368,'Выгр Кат'!$A:$R,G$1,0)=0,"",VLOOKUP($A368,'Выгр Кат'!$A:$R,G$1,0))</f>
        <v/>
      </c>
      <c r="H368" s="52"/>
      <c r="I368" s="52"/>
      <c r="J368" s="54">
        <f t="shared" si="88"/>
        <v>709</v>
      </c>
      <c r="K368" s="55">
        <f>VLOOKUP(J368,Наценка!$A$1:$B$8,2,1)</f>
        <v>1.55</v>
      </c>
      <c r="L368" s="56">
        <f t="shared" si="89"/>
        <v>1098.95</v>
      </c>
      <c r="M368" s="57">
        <f t="shared" si="90"/>
        <v>1090</v>
      </c>
      <c r="N368" s="52">
        <f>VLOOKUP($A368,'Выгр Кат'!$A:$R,N$1,0)</f>
        <v>709</v>
      </c>
      <c r="O368" s="52">
        <f>VLOOKUP($A368,'Выгр Кат'!$A:$R,O$1,0)</f>
        <v>1090</v>
      </c>
      <c r="P368" s="47">
        <f t="shared" si="91"/>
        <v>0</v>
      </c>
      <c r="Q368" s="47">
        <f t="shared" si="92"/>
        <v>0</v>
      </c>
      <c r="R368" s="58">
        <f t="shared" si="93"/>
        <v>1090</v>
      </c>
      <c r="S368" s="59">
        <f t="shared" si="94"/>
        <v>0.53737658674189004</v>
      </c>
      <c r="T368" s="59" t="str">
        <f t="shared" si="95"/>
        <v/>
      </c>
      <c r="U368" s="59" t="str">
        <f t="shared" si="96"/>
        <v/>
      </c>
      <c r="V368" s="60"/>
      <c r="W368" s="69" t="str">
        <f>IFERROR((VLOOKUP($A368,'Из ГУГЛа'!$B:$Z,W$1,0)+Y368)*X368,VLOOKUP($A368,'Из ГУГЛа'!$B:$Z,W$1,0))</f>
        <v/>
      </c>
      <c r="X368" s="61">
        <v>1</v>
      </c>
      <c r="Y368" s="61">
        <v>0</v>
      </c>
      <c r="Z368" s="60" t="s">
        <v>4169</v>
      </c>
      <c r="AA368" s="60"/>
    </row>
    <row r="369" spans="1:27" ht="30" x14ac:dyDescent="0.25">
      <c r="A369" s="52">
        <v>186183</v>
      </c>
      <c r="B369" s="52">
        <f>VLOOKUP($A369,'Выгр Кат'!$A:$R,B$1,0)</f>
        <v>32781</v>
      </c>
      <c r="C369" s="53" t="str">
        <f>VLOOKUP($A369,'Выгр Кат'!$A:$R,C$1,0)</f>
        <v>Панель боковины угловая "АвтоВАЗ" правая для ВАЗ 2110-2112</v>
      </c>
      <c r="D369" s="52" t="str">
        <f>VLOOKUP($A369,'Выгр Кат'!$A:$R,D$1,0)</f>
        <v>Y</v>
      </c>
      <c r="E369" s="52" t="str">
        <f>VLOOKUP($A369,'Выгр Кат'!$A:$R,E$1,0)</f>
        <v>1</v>
      </c>
      <c r="F369" s="52" t="str">
        <f>VLOOKUP($A369,'Выгр Кат'!$A:$R,F$1,0)</f>
        <v>21100560101200</v>
      </c>
      <c r="G369" s="52" t="str">
        <f>IF(VLOOKUP($A369,'Выгр Кат'!$A:$R,G$1,0)=0,"",VLOOKUP($A369,'Выгр Кат'!$A:$R,G$1,0))</f>
        <v>https://motorring.ru/product/37030-panely-bokoviny-narughnaya-uglovaya-pravaya-dlya-vaz-2110</v>
      </c>
      <c r="H369" s="52"/>
      <c r="I369" s="52"/>
      <c r="J369" s="54">
        <f t="shared" si="88"/>
        <v>124</v>
      </c>
      <c r="K369" s="55">
        <f>VLOOKUP(J369,Наценка!$A$1:$B$8,2,1)</f>
        <v>1.8</v>
      </c>
      <c r="L369" s="56">
        <f t="shared" si="89"/>
        <v>223.20000000000002</v>
      </c>
      <c r="M369" s="57">
        <f t="shared" si="90"/>
        <v>229</v>
      </c>
      <c r="N369" s="52">
        <f>VLOOKUP($A369,'Выгр Кат'!$A:$R,N$1,0)</f>
        <v>124</v>
      </c>
      <c r="O369" s="52">
        <f>VLOOKUP($A369,'Выгр Кат'!$A:$R,O$1,0)</f>
        <v>229</v>
      </c>
      <c r="P369" s="47">
        <f t="shared" si="91"/>
        <v>0</v>
      </c>
      <c r="Q369" s="47">
        <f t="shared" si="92"/>
        <v>0</v>
      </c>
      <c r="R369" s="58">
        <f t="shared" si="93"/>
        <v>229</v>
      </c>
      <c r="S369" s="59">
        <f t="shared" si="94"/>
        <v>0.84677419354838701</v>
      </c>
      <c r="T369" s="59">
        <f t="shared" si="95"/>
        <v>0.48997772828507796</v>
      </c>
      <c r="U369" s="59">
        <f t="shared" si="96"/>
        <v>2.620967741935484</v>
      </c>
      <c r="V369" s="42">
        <f>Z369</f>
        <v>449</v>
      </c>
      <c r="W369" s="69">
        <f>IFERROR((VLOOKUP($A369,'Из ГУГЛа'!$B:$Z,W$1,0)+Y369)*X369,VLOOKUP($A369,'Из ГУГЛа'!$B:$Z,W$1,0))</f>
        <v>449</v>
      </c>
      <c r="X369" s="61">
        <v>1</v>
      </c>
      <c r="Y369" s="61">
        <v>0</v>
      </c>
      <c r="Z369" s="70">
        <v>449</v>
      </c>
      <c r="AA369" s="60" t="s">
        <v>981</v>
      </c>
    </row>
    <row r="370" spans="1:27" ht="45" x14ac:dyDescent="0.25">
      <c r="A370" s="52">
        <v>186184</v>
      </c>
      <c r="B370" s="52">
        <f>VLOOKUP($A370,'Выгр Кат'!$A:$R,B$1,0)</f>
        <v>31118</v>
      </c>
      <c r="C370" s="53" t="str">
        <f>VLOOKUP($A370,'Выгр Кат'!$A:$R,C$1,0)</f>
        <v>Панель боковины угловая внутренняя "АвтоВАЗ" левая для Лада Веста SW универсал</v>
      </c>
      <c r="D370" s="52" t="str">
        <f>VLOOKUP($A370,'Выгр Кат'!$A:$R,D$1,0)</f>
        <v>Y</v>
      </c>
      <c r="E370" s="52" t="str">
        <f>VLOOKUP($A370,'Выгр Кат'!$A:$R,E$1,0)</f>
        <v>1</v>
      </c>
      <c r="F370" s="52" t="str">
        <f>VLOOKUP($A370,'Выгр Кат'!$A:$R,F$1,0)</f>
        <v>8450102319</v>
      </c>
      <c r="G370" s="52" t="str">
        <f>IF(VLOOKUP($A370,'Выгр Кат'!$A:$R,G$1,0)=0,"",VLOOKUP($A370,'Выгр Кат'!$A:$R,G$1,0))</f>
        <v/>
      </c>
      <c r="H370" s="52"/>
      <c r="I370" s="52"/>
      <c r="J370" s="54">
        <f t="shared" si="88"/>
        <v>1335</v>
      </c>
      <c r="K370" s="55">
        <f>VLOOKUP(J370,Наценка!$A$1:$B$8,2,1)</f>
        <v>1.5</v>
      </c>
      <c r="L370" s="56">
        <f t="shared" si="89"/>
        <v>2002.5</v>
      </c>
      <c r="M370" s="57">
        <f t="shared" si="90"/>
        <v>2090</v>
      </c>
      <c r="N370" s="52">
        <f>VLOOKUP($A370,'Выгр Кат'!$A:$R,N$1,0)</f>
        <v>1335</v>
      </c>
      <c r="O370" s="52">
        <f>VLOOKUP($A370,'Выгр Кат'!$A:$R,O$1,0)</f>
        <v>2090</v>
      </c>
      <c r="P370" s="47">
        <f t="shared" si="91"/>
        <v>0</v>
      </c>
      <c r="Q370" s="47">
        <f t="shared" si="92"/>
        <v>0</v>
      </c>
      <c r="R370" s="58">
        <f t="shared" si="93"/>
        <v>2090</v>
      </c>
      <c r="S370" s="59">
        <f t="shared" si="94"/>
        <v>0.56554307116104874</v>
      </c>
      <c r="T370" s="59" t="str">
        <f t="shared" si="95"/>
        <v/>
      </c>
      <c r="U370" s="59" t="str">
        <f t="shared" si="96"/>
        <v/>
      </c>
      <c r="V370" s="60"/>
      <c r="W370" s="69" t="str">
        <f>IFERROR((VLOOKUP($A370,'Из ГУГЛа'!$B:$Z,W$1,0)+Y370)*X370,VLOOKUP($A370,'Из ГУГЛа'!$B:$Z,W$1,0))</f>
        <v/>
      </c>
      <c r="X370" s="61">
        <v>1</v>
      </c>
      <c r="Y370" s="61">
        <v>0</v>
      </c>
      <c r="Z370" s="60" t="s">
        <v>4170</v>
      </c>
      <c r="AA370" s="60"/>
    </row>
    <row r="371" spans="1:27" ht="45" x14ac:dyDescent="0.25">
      <c r="A371" s="52">
        <v>186185</v>
      </c>
      <c r="B371" s="52">
        <f>VLOOKUP($A371,'Выгр Кат'!$A:$R,B$1,0)</f>
        <v>31115</v>
      </c>
      <c r="C371" s="53" t="str">
        <f>VLOOKUP($A371,'Выгр Кат'!$A:$R,C$1,0)</f>
        <v>Панель боковины угловая внутренняя "АвтоВАЗ" левая, в сборе для Лада Веста SW универсал</v>
      </c>
      <c r="D371" s="52" t="str">
        <f>VLOOKUP($A371,'Выгр Кат'!$A:$R,D$1,0)</f>
        <v>Y</v>
      </c>
      <c r="E371" s="52" t="str">
        <f>VLOOKUP($A371,'Выгр Кат'!$A:$R,E$1,0)</f>
        <v>1</v>
      </c>
      <c r="F371" s="52" t="str">
        <f>VLOOKUP($A371,'Выгр Кат'!$A:$R,F$1,0)</f>
        <v>8450102336</v>
      </c>
      <c r="G371" s="52" t="str">
        <f>IF(VLOOKUP($A371,'Выгр Кат'!$A:$R,G$1,0)=0,"",VLOOKUP($A371,'Выгр Кат'!$A:$R,G$1,0))</f>
        <v/>
      </c>
      <c r="H371" s="52"/>
      <c r="I371" s="52"/>
      <c r="J371" s="54">
        <f t="shared" si="88"/>
        <v>2722</v>
      </c>
      <c r="K371" s="55">
        <f>VLOOKUP(J371,Наценка!$A$1:$B$8,2,1)</f>
        <v>1.4</v>
      </c>
      <c r="L371" s="56">
        <f t="shared" si="89"/>
        <v>3810.7999999999997</v>
      </c>
      <c r="M371" s="57">
        <f t="shared" si="90"/>
        <v>3890</v>
      </c>
      <c r="N371" s="52">
        <f>VLOOKUP($A371,'Выгр Кат'!$A:$R,N$1,0)</f>
        <v>2722</v>
      </c>
      <c r="O371" s="52">
        <f>VLOOKUP($A371,'Выгр Кат'!$A:$R,O$1,0)</f>
        <v>3890</v>
      </c>
      <c r="P371" s="47">
        <f t="shared" si="91"/>
        <v>0</v>
      </c>
      <c r="Q371" s="47">
        <f t="shared" si="92"/>
        <v>0</v>
      </c>
      <c r="R371" s="58">
        <f t="shared" si="93"/>
        <v>3890</v>
      </c>
      <c r="S371" s="59">
        <f t="shared" si="94"/>
        <v>0.42909625275532703</v>
      </c>
      <c r="T371" s="59" t="str">
        <f t="shared" si="95"/>
        <v/>
      </c>
      <c r="U371" s="59" t="str">
        <f t="shared" si="96"/>
        <v/>
      </c>
      <c r="V371" s="60"/>
      <c r="W371" s="69" t="str">
        <f>IFERROR((VLOOKUP($A371,'Из ГУГЛа'!$B:$Z,W$1,0)+Y371)*X371,VLOOKUP($A371,'Из ГУГЛа'!$B:$Z,W$1,0))</f>
        <v/>
      </c>
      <c r="X371" s="61">
        <v>1</v>
      </c>
      <c r="Y371" s="61">
        <v>0</v>
      </c>
      <c r="Z371" s="60" t="s">
        <v>4170</v>
      </c>
      <c r="AA371" s="60"/>
    </row>
    <row r="372" spans="1:27" ht="45" x14ac:dyDescent="0.25">
      <c r="A372" s="52">
        <v>186186</v>
      </c>
      <c r="B372" s="52">
        <f>VLOOKUP($A372,'Выгр Кат'!$A:$R,B$1,0)</f>
        <v>31130</v>
      </c>
      <c r="C372" s="53" t="str">
        <f>VLOOKUP($A372,'Выгр Кат'!$A:$R,C$1,0)</f>
        <v>Панель боковины угловая внутренняя "АвтоВАЗ" правая для Лада Веста SW универсал</v>
      </c>
      <c r="D372" s="52" t="str">
        <f>VLOOKUP($A372,'Выгр Кат'!$A:$R,D$1,0)</f>
        <v>Y</v>
      </c>
      <c r="E372" s="52" t="str">
        <f>VLOOKUP($A372,'Выгр Кат'!$A:$R,E$1,0)</f>
        <v>1</v>
      </c>
      <c r="F372" s="52" t="str">
        <f>VLOOKUP($A372,'Выгр Кат'!$A:$R,F$1,0)</f>
        <v>8450102318</v>
      </c>
      <c r="G372" s="52" t="str">
        <f>IF(VLOOKUP($A372,'Выгр Кат'!$A:$R,G$1,0)=0,"",VLOOKUP($A372,'Выгр Кат'!$A:$R,G$1,0))</f>
        <v/>
      </c>
      <c r="H372" s="52"/>
      <c r="I372" s="52"/>
      <c r="J372" s="54">
        <f t="shared" si="88"/>
        <v>1680</v>
      </c>
      <c r="K372" s="55">
        <f>VLOOKUP(J372,Наценка!$A$1:$B$8,2,1)</f>
        <v>1.5</v>
      </c>
      <c r="L372" s="56">
        <f t="shared" si="89"/>
        <v>2520</v>
      </c>
      <c r="M372" s="57">
        <f t="shared" si="90"/>
        <v>2590</v>
      </c>
      <c r="N372" s="52">
        <f>VLOOKUP($A372,'Выгр Кат'!$A:$R,N$1,0)</f>
        <v>1680</v>
      </c>
      <c r="O372" s="52">
        <f>VLOOKUP($A372,'Выгр Кат'!$A:$R,O$1,0)</f>
        <v>2590</v>
      </c>
      <c r="P372" s="47">
        <f t="shared" si="91"/>
        <v>0</v>
      </c>
      <c r="Q372" s="47">
        <f t="shared" si="92"/>
        <v>0</v>
      </c>
      <c r="R372" s="58">
        <f t="shared" si="93"/>
        <v>2590</v>
      </c>
      <c r="S372" s="59">
        <f t="shared" si="94"/>
        <v>0.54166666666666674</v>
      </c>
      <c r="T372" s="59" t="str">
        <f t="shared" si="95"/>
        <v/>
      </c>
      <c r="U372" s="59" t="str">
        <f t="shared" si="96"/>
        <v/>
      </c>
      <c r="V372" s="60"/>
      <c r="W372" s="69" t="str">
        <f>IFERROR((VLOOKUP($A372,'Из ГУГЛа'!$B:$Z,W$1,0)+Y372)*X372,VLOOKUP($A372,'Из ГУГЛа'!$B:$Z,W$1,0))</f>
        <v/>
      </c>
      <c r="X372" s="61">
        <v>1</v>
      </c>
      <c r="Y372" s="61">
        <v>0</v>
      </c>
      <c r="Z372" s="60" t="s">
        <v>4170</v>
      </c>
      <c r="AA372" s="60"/>
    </row>
    <row r="373" spans="1:27" ht="45" x14ac:dyDescent="0.25">
      <c r="A373" s="52">
        <v>186187</v>
      </c>
      <c r="B373" s="52">
        <f>VLOOKUP($A373,'Выгр Кат'!$A:$R,B$1,0)</f>
        <v>31114</v>
      </c>
      <c r="C373" s="53" t="str">
        <f>VLOOKUP($A373,'Выгр Кат'!$A:$R,C$1,0)</f>
        <v>Панель боковины угловая внутренняя "АвтоВАЗ" правая, в сборе для Лада Веста SW универсал</v>
      </c>
      <c r="D373" s="52" t="str">
        <f>VLOOKUP($A373,'Выгр Кат'!$A:$R,D$1,0)</f>
        <v>Y</v>
      </c>
      <c r="E373" s="52" t="str">
        <f>VLOOKUP($A373,'Выгр Кат'!$A:$R,E$1,0)</f>
        <v>1</v>
      </c>
      <c r="F373" s="52" t="str">
        <f>VLOOKUP($A373,'Выгр Кат'!$A:$R,F$1,0)</f>
        <v>8450102337</v>
      </c>
      <c r="G373" s="52" t="str">
        <f>IF(VLOOKUP($A373,'Выгр Кат'!$A:$R,G$1,0)=0,"",VLOOKUP($A373,'Выгр Кат'!$A:$R,G$1,0))</f>
        <v/>
      </c>
      <c r="H373" s="52"/>
      <c r="I373" s="52"/>
      <c r="J373" s="54">
        <f t="shared" si="88"/>
        <v>1187.5</v>
      </c>
      <c r="K373" s="55">
        <f>VLOOKUP(J373,Наценка!$A$1:$B$8,2,1)</f>
        <v>1.5</v>
      </c>
      <c r="L373" s="56">
        <f t="shared" si="89"/>
        <v>1781.25</v>
      </c>
      <c r="M373" s="57">
        <f t="shared" si="90"/>
        <v>1790</v>
      </c>
      <c r="N373" s="52">
        <f>VLOOKUP($A373,'Выгр Кат'!$A:$R,N$1,0)</f>
        <v>1187.5</v>
      </c>
      <c r="O373" s="52">
        <f>VLOOKUP($A373,'Выгр Кат'!$A:$R,O$1,0)</f>
        <v>1790</v>
      </c>
      <c r="P373" s="47">
        <f t="shared" si="91"/>
        <v>0</v>
      </c>
      <c r="Q373" s="47">
        <f t="shared" si="92"/>
        <v>0</v>
      </c>
      <c r="R373" s="58">
        <f t="shared" si="93"/>
        <v>1790</v>
      </c>
      <c r="S373" s="59">
        <f t="shared" si="94"/>
        <v>0.50736842105263147</v>
      </c>
      <c r="T373" s="59" t="str">
        <f t="shared" si="95"/>
        <v/>
      </c>
      <c r="U373" s="59" t="str">
        <f t="shared" si="96"/>
        <v/>
      </c>
      <c r="V373" s="60"/>
      <c r="W373" s="69" t="str">
        <f>IFERROR((VLOOKUP($A373,'Из ГУГЛа'!$B:$Z,W$1,0)+Y373)*X373,VLOOKUP($A373,'Из ГУГЛа'!$B:$Z,W$1,0))</f>
        <v/>
      </c>
      <c r="X373" s="61">
        <v>1</v>
      </c>
      <c r="Y373" s="61">
        <v>0</v>
      </c>
      <c r="Z373" s="60" t="s">
        <v>4170</v>
      </c>
      <c r="AA373" s="60"/>
    </row>
    <row r="374" spans="1:27" ht="45" x14ac:dyDescent="0.25">
      <c r="A374" s="52">
        <v>186188</v>
      </c>
      <c r="B374" s="52">
        <f>VLOOKUP($A374,'Выгр Кат'!$A:$R,B$1,0)</f>
        <v>31402</v>
      </c>
      <c r="C374" s="53" t="str">
        <f>VLOOKUP($A374,'Выгр Кат'!$A:$R,C$1,0)</f>
        <v>Панель боковины угловая внутренняя (катафорез) "АвтоВАЗ" левая для ВАЗ 2110</v>
      </c>
      <c r="D374" s="52" t="str">
        <f>VLOOKUP($A374,'Выгр Кат'!$A:$R,D$1,0)</f>
        <v>Y</v>
      </c>
      <c r="E374" s="52" t="str">
        <f>VLOOKUP($A374,'Выгр Кат'!$A:$R,E$1,0)</f>
        <v>1</v>
      </c>
      <c r="F374" s="52" t="str">
        <f>VLOOKUP($A374,'Выгр Кат'!$A:$R,F$1,0)</f>
        <v>21100540142710</v>
      </c>
      <c r="G374" s="52" t="str">
        <f>IF(VLOOKUP($A374,'Выгр Кат'!$A:$R,G$1,0)=0,"",VLOOKUP($A374,'Выгр Кат'!$A:$R,G$1,0))</f>
        <v/>
      </c>
      <c r="H374" s="52"/>
      <c r="I374" s="52"/>
      <c r="J374" s="54">
        <f t="shared" si="88"/>
        <v>348</v>
      </c>
      <c r="K374" s="55">
        <f>VLOOKUP(J374,Наценка!$A$1:$B$8,2,1)</f>
        <v>1.6</v>
      </c>
      <c r="L374" s="56">
        <f t="shared" si="89"/>
        <v>556.80000000000007</v>
      </c>
      <c r="M374" s="57">
        <f t="shared" si="90"/>
        <v>559</v>
      </c>
      <c r="N374" s="52">
        <f>VLOOKUP($A374,'Выгр Кат'!$A:$R,N$1,0)</f>
        <v>348</v>
      </c>
      <c r="O374" s="52">
        <f>VLOOKUP($A374,'Выгр Кат'!$A:$R,O$1,0)</f>
        <v>559</v>
      </c>
      <c r="P374" s="47">
        <f t="shared" si="91"/>
        <v>0</v>
      </c>
      <c r="Q374" s="47">
        <f t="shared" si="92"/>
        <v>0</v>
      </c>
      <c r="R374" s="58">
        <f t="shared" si="93"/>
        <v>559</v>
      </c>
      <c r="S374" s="59">
        <f t="shared" si="94"/>
        <v>0.60632183908045967</v>
      </c>
      <c r="T374" s="59">
        <f t="shared" si="95"/>
        <v>-0.43333333333333335</v>
      </c>
      <c r="U374" s="59">
        <f t="shared" si="96"/>
        <v>0.1206896551724137</v>
      </c>
      <c r="V374" s="42">
        <f t="shared" ref="V374:V375" si="101">Z374</f>
        <v>390</v>
      </c>
      <c r="W374" s="69" t="str">
        <f>IFERROR((VLOOKUP($A374,'Из ГУГЛа'!$B:$Z,W$1,0)+Y374)*X374,VLOOKUP($A374,'Из ГУГЛа'!$B:$Z,W$1,0))</f>
        <v/>
      </c>
      <c r="X374" s="61">
        <v>1</v>
      </c>
      <c r="Y374" s="61">
        <v>0</v>
      </c>
      <c r="Z374" s="60">
        <v>390</v>
      </c>
      <c r="AA374" s="60" t="s">
        <v>1100</v>
      </c>
    </row>
    <row r="375" spans="1:27" ht="45" x14ac:dyDescent="0.25">
      <c r="A375" s="52">
        <v>186189</v>
      </c>
      <c r="B375" s="52">
        <f>VLOOKUP($A375,'Выгр Кат'!$A:$R,B$1,0)</f>
        <v>31406</v>
      </c>
      <c r="C375" s="53" t="str">
        <f>VLOOKUP($A375,'Выгр Кат'!$A:$R,C$1,0)</f>
        <v>Панель боковины угловая внутренняя (катафорез) "АвтоВАЗ" правая для ВАЗ 2110</v>
      </c>
      <c r="D375" s="52" t="str">
        <f>VLOOKUP($A375,'Выгр Кат'!$A:$R,D$1,0)</f>
        <v>Y</v>
      </c>
      <c r="E375" s="52" t="str">
        <f>VLOOKUP($A375,'Выгр Кат'!$A:$R,E$1,0)</f>
        <v>1</v>
      </c>
      <c r="F375" s="52" t="str">
        <f>VLOOKUP($A375,'Выгр Кат'!$A:$R,F$1,0)</f>
        <v>21100540142610</v>
      </c>
      <c r="G375" s="52" t="str">
        <f>IF(VLOOKUP($A375,'Выгр Кат'!$A:$R,G$1,0)=0,"",VLOOKUP($A375,'Выгр Кат'!$A:$R,G$1,0))</f>
        <v/>
      </c>
      <c r="H375" s="52"/>
      <c r="I375" s="52"/>
      <c r="J375" s="54">
        <f t="shared" si="88"/>
        <v>257</v>
      </c>
      <c r="K375" s="55">
        <f>VLOOKUP(J375,Наценка!$A$1:$B$8,2,1)</f>
        <v>1.8</v>
      </c>
      <c r="L375" s="56">
        <f t="shared" si="89"/>
        <v>462.6</v>
      </c>
      <c r="M375" s="57">
        <f t="shared" si="90"/>
        <v>469</v>
      </c>
      <c r="N375" s="52">
        <f>VLOOKUP($A375,'Выгр Кат'!$A:$R,N$1,0)</f>
        <v>257</v>
      </c>
      <c r="O375" s="52">
        <f>VLOOKUP($A375,'Выгр Кат'!$A:$R,O$1,0)</f>
        <v>469</v>
      </c>
      <c r="P375" s="47">
        <f t="shared" si="91"/>
        <v>0</v>
      </c>
      <c r="Q375" s="47">
        <f t="shared" si="92"/>
        <v>0</v>
      </c>
      <c r="R375" s="58">
        <f t="shared" si="93"/>
        <v>469</v>
      </c>
      <c r="S375" s="59">
        <f t="shared" si="94"/>
        <v>0.82490272373540852</v>
      </c>
      <c r="T375" s="59">
        <f t="shared" si="95"/>
        <v>-4.4543429844097995E-2</v>
      </c>
      <c r="U375" s="59">
        <f t="shared" si="96"/>
        <v>0.74708171206225682</v>
      </c>
      <c r="V375" s="42">
        <f t="shared" si="101"/>
        <v>449</v>
      </c>
      <c r="W375" s="69" t="str">
        <f>IFERROR((VLOOKUP($A375,'Из ГУГЛа'!$B:$Z,W$1,0)+Y375)*X375,VLOOKUP($A375,'Из ГУГЛа'!$B:$Z,W$1,0))</f>
        <v/>
      </c>
      <c r="X375" s="61">
        <v>1</v>
      </c>
      <c r="Y375" s="61">
        <v>0</v>
      </c>
      <c r="Z375" s="60">
        <v>449</v>
      </c>
      <c r="AA375" s="60" t="s">
        <v>1103</v>
      </c>
    </row>
    <row r="376" spans="1:27" ht="60" x14ac:dyDescent="0.25">
      <c r="A376" s="52">
        <v>186190</v>
      </c>
      <c r="B376" s="52">
        <f>VLOOKUP($A376,'Выгр Кат'!$A:$R,B$1,0)</f>
        <v>31230</v>
      </c>
      <c r="C376" s="53" t="str">
        <f>VLOOKUP($A376,'Выгр Кат'!$A:$R,C$1,0)</f>
        <v>Панель боковины угловая внутренняя (катафорезное покрытие) "АвтоВАЗ" левая для Лада Приора, Приора 2 седан</v>
      </c>
      <c r="D376" s="52" t="str">
        <f>VLOOKUP($A376,'Выгр Кат'!$A:$R,D$1,0)</f>
        <v>Y</v>
      </c>
      <c r="E376" s="52" t="str">
        <f>VLOOKUP($A376,'Выгр Кат'!$A:$R,E$1,0)</f>
        <v>1</v>
      </c>
      <c r="F376" s="52" t="str">
        <f>VLOOKUP($A376,'Выгр Кат'!$A:$R,F$1,0)</f>
        <v>21700540142710</v>
      </c>
      <c r="G376" s="52" t="str">
        <f>IF(VLOOKUP($A376,'Выгр Кат'!$A:$R,G$1,0)=0,"",VLOOKUP($A376,'Выгр Кат'!$A:$R,G$1,0))</f>
        <v/>
      </c>
      <c r="H376" s="52"/>
      <c r="I376" s="52"/>
      <c r="J376" s="54">
        <f t="shared" ref="J376:J439" si="102">N376</f>
        <v>632</v>
      </c>
      <c r="K376" s="55">
        <f>VLOOKUP(J376,Наценка!$A$1:$B$8,2,1)</f>
        <v>1.55</v>
      </c>
      <c r="L376" s="56">
        <f t="shared" ref="L376:L439" si="103">J376*K376</f>
        <v>979.6</v>
      </c>
      <c r="M376" s="57">
        <f t="shared" ref="M376:M439" si="104">IF(L376&lt;=1000,(ROUNDUP(L376,-1)-1),(ROUNDUP(L376,-2)-10))</f>
        <v>979</v>
      </c>
      <c r="N376" s="52">
        <f>VLOOKUP($A376,'Выгр Кат'!$A:$R,N$1,0)</f>
        <v>632</v>
      </c>
      <c r="O376" s="52">
        <f>VLOOKUP($A376,'Выгр Кат'!$A:$R,O$1,0)</f>
        <v>979</v>
      </c>
      <c r="P376" s="47">
        <f t="shared" ref="P376:P439" si="105">N376-J376</f>
        <v>0</v>
      </c>
      <c r="Q376" s="47">
        <f t="shared" ref="Q376:Q439" si="106">O376-M376</f>
        <v>0</v>
      </c>
      <c r="R376" s="58">
        <f t="shared" ref="R376:R439" si="107">IFERROR(ROUND(M376*(1-$R$2),),"")</f>
        <v>979</v>
      </c>
      <c r="S376" s="59">
        <f t="shared" ref="S376:S439" si="108">IFERROR(R376/J376-1,"")</f>
        <v>0.54905063291139244</v>
      </c>
      <c r="T376" s="59" t="str">
        <f t="shared" ref="T376:T439" si="109">IFERROR((V376-R376)/V376,"")</f>
        <v/>
      </c>
      <c r="U376" s="59" t="str">
        <f t="shared" ref="U376:U439" si="110">IFERROR(IF(V376="","",V376/J376-1),"")</f>
        <v/>
      </c>
      <c r="V376" s="60"/>
      <c r="W376" s="69" t="str">
        <f>IFERROR((VLOOKUP($A376,'Из ГУГЛа'!$B:$Z,W$1,0)+Y376)*X376,VLOOKUP($A376,'Из ГУГЛа'!$B:$Z,W$1,0))</f>
        <v/>
      </c>
      <c r="X376" s="61">
        <v>1</v>
      </c>
      <c r="Y376" s="61">
        <v>0</v>
      </c>
      <c r="Z376" s="60" t="s">
        <v>4170</v>
      </c>
      <c r="AA376" s="60"/>
    </row>
    <row r="377" spans="1:27" ht="60" x14ac:dyDescent="0.25">
      <c r="A377" s="52">
        <v>186191</v>
      </c>
      <c r="B377" s="52">
        <f>VLOOKUP($A377,'Выгр Кат'!$A:$R,B$1,0)</f>
        <v>31221</v>
      </c>
      <c r="C377" s="53" t="str">
        <f>VLOOKUP($A377,'Выгр Кат'!$A:$R,C$1,0)</f>
        <v>Панель боковины угловая внутренняя (катафорезное покрытие) "АвтоВАЗ" правая для Лада Приора, Приора 2 хэтчбек</v>
      </c>
      <c r="D377" s="52" t="str">
        <f>VLOOKUP($A377,'Выгр Кат'!$A:$R,D$1,0)</f>
        <v>Y</v>
      </c>
      <c r="E377" s="52" t="str">
        <f>VLOOKUP($A377,'Выгр Кат'!$A:$R,E$1,0)</f>
        <v>1</v>
      </c>
      <c r="F377" s="52" t="str">
        <f>VLOOKUP($A377,'Выгр Кат'!$A:$R,F$1,0)</f>
        <v>21720540142610</v>
      </c>
      <c r="G377" s="52" t="str">
        <f>IF(VLOOKUP($A377,'Выгр Кат'!$A:$R,G$1,0)=0,"",VLOOKUP($A377,'Выгр Кат'!$A:$R,G$1,0))</f>
        <v>https://motorring.ru/product/4972-panely-bokoviny-uglovaya-vnutrennyaya-pravaya-kataforeznoe</v>
      </c>
      <c r="H377" s="52"/>
      <c r="I377" s="52"/>
      <c r="J377" s="54">
        <f t="shared" si="102"/>
        <v>814</v>
      </c>
      <c r="K377" s="55">
        <f>VLOOKUP(J377,Наценка!$A$1:$B$8,2,1)</f>
        <v>1.55</v>
      </c>
      <c r="L377" s="56">
        <f t="shared" si="103"/>
        <v>1261.7</v>
      </c>
      <c r="M377" s="57">
        <f t="shared" si="104"/>
        <v>1290</v>
      </c>
      <c r="N377" s="52">
        <f>VLOOKUP($A377,'Выгр Кат'!$A:$R,N$1,0)</f>
        <v>814</v>
      </c>
      <c r="O377" s="52">
        <f>VLOOKUP($A377,'Выгр Кат'!$A:$R,O$1,0)</f>
        <v>1290</v>
      </c>
      <c r="P377" s="47">
        <f t="shared" si="105"/>
        <v>0</v>
      </c>
      <c r="Q377" s="47">
        <f t="shared" si="106"/>
        <v>0</v>
      </c>
      <c r="R377" s="58">
        <f t="shared" si="107"/>
        <v>1290</v>
      </c>
      <c r="S377" s="59">
        <f t="shared" si="108"/>
        <v>0.58476658476658483</v>
      </c>
      <c r="T377" s="59">
        <f t="shared" si="109"/>
        <v>-8.4033613445378158E-2</v>
      </c>
      <c r="U377" s="59">
        <f t="shared" si="110"/>
        <v>0.46191646191646196</v>
      </c>
      <c r="V377" s="42">
        <f>Z377</f>
        <v>1190</v>
      </c>
      <c r="W377" s="69">
        <f>IFERROR((VLOOKUP($A377,'Из ГУГЛа'!$B:$Z,W$1,0)+Y377)*X377,VLOOKUP($A377,'Из ГУГЛа'!$B:$Z,W$1,0))</f>
        <v>1190</v>
      </c>
      <c r="X377" s="61">
        <v>1</v>
      </c>
      <c r="Y377" s="61">
        <v>0</v>
      </c>
      <c r="Z377" s="70">
        <v>1190</v>
      </c>
      <c r="AA377" s="60" t="s">
        <v>998</v>
      </c>
    </row>
    <row r="378" spans="1:27" ht="60" x14ac:dyDescent="0.25">
      <c r="A378" s="52">
        <v>186192</v>
      </c>
      <c r="B378" s="52">
        <f>VLOOKUP($A378,'Выгр Кат'!$A:$R,B$1,0)</f>
        <v>31231</v>
      </c>
      <c r="C378" s="53" t="str">
        <f>VLOOKUP($A378,'Выгр Кат'!$A:$R,C$1,0)</f>
        <v>Панель боковины угловая внутренняя (катафорезное покрытие) правая "АвтоВАЗ" для Лада Приора, Приора 2 седан</v>
      </c>
      <c r="D378" s="52" t="str">
        <f>VLOOKUP($A378,'Выгр Кат'!$A:$R,D$1,0)</f>
        <v>Y</v>
      </c>
      <c r="E378" s="52" t="str">
        <f>VLOOKUP($A378,'Выгр Кат'!$A:$R,E$1,0)</f>
        <v>1</v>
      </c>
      <c r="F378" s="52" t="str">
        <f>VLOOKUP($A378,'Выгр Кат'!$A:$R,F$1,0)</f>
        <v>21700540142610</v>
      </c>
      <c r="G378" s="52" t="str">
        <f>IF(VLOOKUP($A378,'Выгр Кат'!$A:$R,G$1,0)=0,"",VLOOKUP($A378,'Выгр Кат'!$A:$R,G$1,0))</f>
        <v/>
      </c>
      <c r="H378" s="52"/>
      <c r="I378" s="52"/>
      <c r="J378" s="54">
        <f t="shared" si="102"/>
        <v>383</v>
      </c>
      <c r="K378" s="55">
        <f>VLOOKUP(J378,Наценка!$A$1:$B$8,2,1)</f>
        <v>1.6</v>
      </c>
      <c r="L378" s="56">
        <f t="shared" si="103"/>
        <v>612.80000000000007</v>
      </c>
      <c r="M378" s="57">
        <f t="shared" si="104"/>
        <v>619</v>
      </c>
      <c r="N378" s="52">
        <f>VLOOKUP($A378,'Выгр Кат'!$A:$R,N$1,0)</f>
        <v>383</v>
      </c>
      <c r="O378" s="52">
        <f>VLOOKUP($A378,'Выгр Кат'!$A:$R,O$1,0)</f>
        <v>619</v>
      </c>
      <c r="P378" s="47">
        <f t="shared" si="105"/>
        <v>0</v>
      </c>
      <c r="Q378" s="47">
        <f t="shared" si="106"/>
        <v>0</v>
      </c>
      <c r="R378" s="58">
        <f t="shared" si="107"/>
        <v>619</v>
      </c>
      <c r="S378" s="59">
        <f t="shared" si="108"/>
        <v>0.61618798955613574</v>
      </c>
      <c r="T378" s="59" t="str">
        <f t="shared" si="109"/>
        <v/>
      </c>
      <c r="U378" s="59" t="str">
        <f t="shared" si="110"/>
        <v/>
      </c>
      <c r="V378" s="60"/>
      <c r="W378" s="69" t="str">
        <f>IFERROR((VLOOKUP($A378,'Из ГУГЛа'!$B:$Z,W$1,0)+Y378)*X378,VLOOKUP($A378,'Из ГУГЛа'!$B:$Z,W$1,0))</f>
        <v/>
      </c>
      <c r="X378" s="61">
        <v>1</v>
      </c>
      <c r="Y378" s="61">
        <v>0</v>
      </c>
      <c r="Z378" s="60" t="s">
        <v>4170</v>
      </c>
      <c r="AA378" s="60"/>
    </row>
    <row r="379" spans="1:27" ht="45" x14ac:dyDescent="0.25">
      <c r="A379" s="52">
        <v>186193</v>
      </c>
      <c r="B379" s="52">
        <f>VLOOKUP($A379,'Выгр Кат'!$A:$R,B$1,0)</f>
        <v>31180</v>
      </c>
      <c r="C379" s="53" t="str">
        <f>VLOOKUP($A379,'Выгр Кат'!$A:$R,C$1,0)</f>
        <v>Панель боковины угловая внутренняя левая (катафорез) "АвтоВАЗ" для Лада Веста седан</v>
      </c>
      <c r="D379" s="52" t="str">
        <f>VLOOKUP($A379,'Выгр Кат'!$A:$R,D$1,0)</f>
        <v>Y</v>
      </c>
      <c r="E379" s="52" t="str">
        <f>VLOOKUP($A379,'Выгр Кат'!$A:$R,E$1,0)</f>
        <v>1</v>
      </c>
      <c r="F379" s="52" t="str">
        <f>VLOOKUP($A379,'Выгр Кат'!$A:$R,F$1,0)</f>
        <v>8450039252</v>
      </c>
      <c r="G379" s="52" t="str">
        <f>IF(VLOOKUP($A379,'Выгр Кат'!$A:$R,G$1,0)=0,"",VLOOKUP($A379,'Выгр Кат'!$A:$R,G$1,0))</f>
        <v/>
      </c>
      <c r="H379" s="52"/>
      <c r="I379" s="52"/>
      <c r="J379" s="54">
        <f t="shared" si="102"/>
        <v>1388</v>
      </c>
      <c r="K379" s="55">
        <f>VLOOKUP(J379,Наценка!$A$1:$B$8,2,1)</f>
        <v>1.5</v>
      </c>
      <c r="L379" s="56">
        <f t="shared" si="103"/>
        <v>2082</v>
      </c>
      <c r="M379" s="57">
        <f t="shared" si="104"/>
        <v>2090</v>
      </c>
      <c r="N379" s="52">
        <f>VLOOKUP($A379,'Выгр Кат'!$A:$R,N$1,0)</f>
        <v>1388</v>
      </c>
      <c r="O379" s="52">
        <f>VLOOKUP($A379,'Выгр Кат'!$A:$R,O$1,0)</f>
        <v>2090</v>
      </c>
      <c r="P379" s="47">
        <f t="shared" si="105"/>
        <v>0</v>
      </c>
      <c r="Q379" s="47">
        <f t="shared" si="106"/>
        <v>0</v>
      </c>
      <c r="R379" s="58">
        <f t="shared" si="107"/>
        <v>2090</v>
      </c>
      <c r="S379" s="59">
        <f t="shared" si="108"/>
        <v>0.50576368876080702</v>
      </c>
      <c r="T379" s="59" t="str">
        <f t="shared" si="109"/>
        <v/>
      </c>
      <c r="U379" s="59" t="str">
        <f t="shared" si="110"/>
        <v/>
      </c>
      <c r="V379" s="60"/>
      <c r="W379" s="69" t="str">
        <f>IFERROR((VLOOKUP($A379,'Из ГУГЛа'!$B:$Z,W$1,0)+Y379)*X379,VLOOKUP($A379,'Из ГУГЛа'!$B:$Z,W$1,0))</f>
        <v/>
      </c>
      <c r="X379" s="61">
        <v>1</v>
      </c>
      <c r="Y379" s="61">
        <v>0</v>
      </c>
      <c r="Z379" s="60" t="s">
        <v>4170</v>
      </c>
      <c r="AA379" s="60"/>
    </row>
    <row r="380" spans="1:27" ht="45" x14ac:dyDescent="0.25">
      <c r="A380" s="52">
        <v>186194</v>
      </c>
      <c r="B380" s="52">
        <f>VLOOKUP($A380,'Выгр Кат'!$A:$R,B$1,0)</f>
        <v>31181</v>
      </c>
      <c r="C380" s="53" t="str">
        <f>VLOOKUP($A380,'Выгр Кат'!$A:$R,C$1,0)</f>
        <v>Панель боковины угловая внутренняя правая (катафорез) "АвтоВАЗ" для Лада Веста седан</v>
      </c>
      <c r="D380" s="52" t="str">
        <f>VLOOKUP($A380,'Выгр Кат'!$A:$R,D$1,0)</f>
        <v>Y</v>
      </c>
      <c r="E380" s="52" t="str">
        <f>VLOOKUP($A380,'Выгр Кат'!$A:$R,E$1,0)</f>
        <v>1</v>
      </c>
      <c r="F380" s="52" t="str">
        <f>VLOOKUP($A380,'Выгр Кат'!$A:$R,F$1,0)</f>
        <v>8450039251</v>
      </c>
      <c r="G380" s="52" t="str">
        <f>IF(VLOOKUP($A380,'Выгр Кат'!$A:$R,G$1,0)=0,"",VLOOKUP($A380,'Выгр Кат'!$A:$R,G$1,0))</f>
        <v/>
      </c>
      <c r="H380" s="52"/>
      <c r="I380" s="52"/>
      <c r="J380" s="54">
        <f t="shared" si="102"/>
        <v>575</v>
      </c>
      <c r="K380" s="55">
        <f>VLOOKUP(J380,Наценка!$A$1:$B$8,2,1)</f>
        <v>1.55</v>
      </c>
      <c r="L380" s="56">
        <f t="shared" si="103"/>
        <v>891.25</v>
      </c>
      <c r="M380" s="57">
        <f t="shared" si="104"/>
        <v>899</v>
      </c>
      <c r="N380" s="52">
        <f>VLOOKUP($A380,'Выгр Кат'!$A:$R,N$1,0)</f>
        <v>575</v>
      </c>
      <c r="O380" s="52">
        <f>VLOOKUP($A380,'Выгр Кат'!$A:$R,O$1,0)</f>
        <v>899</v>
      </c>
      <c r="P380" s="47">
        <f t="shared" si="105"/>
        <v>0</v>
      </c>
      <c r="Q380" s="47">
        <f t="shared" si="106"/>
        <v>0</v>
      </c>
      <c r="R380" s="58">
        <f t="shared" si="107"/>
        <v>899</v>
      </c>
      <c r="S380" s="59">
        <f t="shared" si="108"/>
        <v>0.56347826086956521</v>
      </c>
      <c r="T380" s="59" t="str">
        <f t="shared" si="109"/>
        <v/>
      </c>
      <c r="U380" s="59" t="str">
        <f t="shared" si="110"/>
        <v/>
      </c>
      <c r="V380" s="60"/>
      <c r="W380" s="69" t="str">
        <f>IFERROR((VLOOKUP($A380,'Из ГУГЛа'!$B:$Z,W$1,0)+Y380)*X380,VLOOKUP($A380,'Из ГУГЛа'!$B:$Z,W$1,0))</f>
        <v/>
      </c>
      <c r="X380" s="61">
        <v>1</v>
      </c>
      <c r="Y380" s="61">
        <v>0</v>
      </c>
      <c r="Z380" s="60" t="s">
        <v>4170</v>
      </c>
      <c r="AA380" s="60"/>
    </row>
    <row r="381" spans="1:27" ht="30" x14ac:dyDescent="0.25">
      <c r="A381" s="52">
        <v>186195</v>
      </c>
      <c r="B381" s="52">
        <f>VLOOKUP($A381,'Выгр Кат'!$A:$R,B$1,0)</f>
        <v>50914</v>
      </c>
      <c r="C381" s="53" t="str">
        <f>VLOOKUP($A381,'Выгр Кат'!$A:$R,C$1,0)</f>
        <v>Панель брызговика "АвтоВАЗ" левая в сборе для Лада XRAY</v>
      </c>
      <c r="D381" s="52" t="str">
        <f>VLOOKUP($A381,'Выгр Кат'!$A:$R,D$1,0)</f>
        <v>Y</v>
      </c>
      <c r="E381" s="52" t="str">
        <f>VLOOKUP($A381,'Выгр Кат'!$A:$R,E$1,0)</f>
        <v>1</v>
      </c>
      <c r="F381" s="52" t="str">
        <f>VLOOKUP($A381,'Выгр Кат'!$A:$R,F$1,0)</f>
        <v>762319211R</v>
      </c>
      <c r="G381" s="52" t="str">
        <f>IF(VLOOKUP($A381,'Выгр Кат'!$A:$R,G$1,0)=0,"",VLOOKUP($A381,'Выгр Кат'!$A:$R,G$1,0))</f>
        <v/>
      </c>
      <c r="H381" s="52"/>
      <c r="I381" s="52"/>
      <c r="J381" s="54">
        <f t="shared" si="102"/>
        <v>8676</v>
      </c>
      <c r="K381" s="55">
        <f>VLOOKUP(J381,Наценка!$A$1:$B$8,2,1)</f>
        <v>1.35</v>
      </c>
      <c r="L381" s="56">
        <f t="shared" si="103"/>
        <v>11712.6</v>
      </c>
      <c r="M381" s="57">
        <f t="shared" si="104"/>
        <v>11790</v>
      </c>
      <c r="N381" s="52">
        <f>VLOOKUP($A381,'Выгр Кат'!$A:$R,N$1,0)</f>
        <v>8676</v>
      </c>
      <c r="O381" s="52">
        <f>VLOOKUP($A381,'Выгр Кат'!$A:$R,O$1,0)</f>
        <v>12190</v>
      </c>
      <c r="P381" s="47">
        <f t="shared" si="105"/>
        <v>0</v>
      </c>
      <c r="Q381" s="47">
        <f t="shared" si="106"/>
        <v>400</v>
      </c>
      <c r="R381" s="58">
        <f t="shared" si="107"/>
        <v>11790</v>
      </c>
      <c r="S381" s="59">
        <f t="shared" si="108"/>
        <v>0.3589211618257262</v>
      </c>
      <c r="T381" s="59" t="str">
        <f t="shared" si="109"/>
        <v/>
      </c>
      <c r="U381" s="59" t="str">
        <f t="shared" si="110"/>
        <v/>
      </c>
      <c r="V381" s="60"/>
      <c r="W381" s="69" t="str">
        <f>IFERROR((VLOOKUP($A381,'Из ГУГЛа'!$B:$Z,W$1,0)+Y381)*X381,VLOOKUP($A381,'Из ГУГЛа'!$B:$Z,W$1,0))</f>
        <v/>
      </c>
      <c r="X381" s="61">
        <v>1</v>
      </c>
      <c r="Y381" s="61">
        <v>0</v>
      </c>
      <c r="Z381" s="62" t="s">
        <v>4170</v>
      </c>
      <c r="AA381" s="60"/>
    </row>
    <row r="382" spans="1:27" ht="30" x14ac:dyDescent="0.25">
      <c r="A382" s="52">
        <v>186196</v>
      </c>
      <c r="B382" s="52">
        <f>VLOOKUP($A382,'Выгр Кат'!$A:$R,B$1,0)</f>
        <v>51711</v>
      </c>
      <c r="C382" s="53" t="str">
        <f>VLOOKUP($A382,'Выгр Кат'!$A:$R,C$1,0)</f>
        <v>Панель брызговика "АвтоВАЗ" левая в сборе для Лада Ларгус FL</v>
      </c>
      <c r="D382" s="52" t="str">
        <f>VLOOKUP($A382,'Выгр Кат'!$A:$R,D$1,0)</f>
        <v>Y</v>
      </c>
      <c r="E382" s="52" t="str">
        <f>VLOOKUP($A382,'Выгр Кат'!$A:$R,E$1,0)</f>
        <v>1</v>
      </c>
      <c r="F382" s="52" t="str">
        <f>VLOOKUP($A382,'Выгр Кат'!$A:$R,F$1,0)</f>
        <v>8450013066</v>
      </c>
      <c r="G382" s="52" t="str">
        <f>IF(VLOOKUP($A382,'Выгр Кат'!$A:$R,G$1,0)=0,"",VLOOKUP($A382,'Выгр Кат'!$A:$R,G$1,0))</f>
        <v/>
      </c>
      <c r="H382" s="52"/>
      <c r="I382" s="52"/>
      <c r="J382" s="54">
        <f t="shared" si="102"/>
        <v>2152</v>
      </c>
      <c r="K382" s="55">
        <f>VLOOKUP(J382,Наценка!$A$1:$B$8,2,1)</f>
        <v>1.4</v>
      </c>
      <c r="L382" s="56">
        <f t="shared" si="103"/>
        <v>3012.7999999999997</v>
      </c>
      <c r="M382" s="57">
        <f t="shared" si="104"/>
        <v>3090</v>
      </c>
      <c r="N382" s="52">
        <f>VLOOKUP($A382,'Выгр Кат'!$A:$R,N$1,0)</f>
        <v>2152</v>
      </c>
      <c r="O382" s="52">
        <f>VLOOKUP($A382,'Выгр Кат'!$A:$R,O$1,0)</f>
        <v>3090</v>
      </c>
      <c r="P382" s="47">
        <f t="shared" si="105"/>
        <v>0</v>
      </c>
      <c r="Q382" s="47">
        <f t="shared" si="106"/>
        <v>0</v>
      </c>
      <c r="R382" s="58">
        <f t="shared" si="107"/>
        <v>3090</v>
      </c>
      <c r="S382" s="59">
        <f t="shared" si="108"/>
        <v>0.43587360594795532</v>
      </c>
      <c r="T382" s="59" t="str">
        <f t="shared" si="109"/>
        <v/>
      </c>
      <c r="U382" s="59" t="str">
        <f t="shared" si="110"/>
        <v/>
      </c>
      <c r="V382" s="60"/>
      <c r="W382" s="69" t="str">
        <f>IFERROR((VLOOKUP($A382,'Из ГУГЛа'!$B:$Z,W$1,0)+Y382)*X382,VLOOKUP($A382,'Из ГУГЛа'!$B:$Z,W$1,0))</f>
        <v/>
      </c>
      <c r="X382" s="61">
        <v>1</v>
      </c>
      <c r="Y382" s="61">
        <v>0</v>
      </c>
      <c r="Z382" s="60" t="s">
        <v>4170</v>
      </c>
      <c r="AA382" s="60"/>
    </row>
    <row r="383" spans="1:27" ht="30" x14ac:dyDescent="0.25">
      <c r="A383" s="52">
        <v>186197</v>
      </c>
      <c r="B383" s="52">
        <f>VLOOKUP($A383,'Выгр Кат'!$A:$R,B$1,0)</f>
        <v>31018</v>
      </c>
      <c r="C383" s="53" t="str">
        <f>VLOOKUP($A383,'Выгр Кат'!$A:$R,C$1,0)</f>
        <v>Панель брызговика внутренняя правая "Renault" для Лада Ларгус</v>
      </c>
      <c r="D383" s="52" t="str">
        <f>VLOOKUP($A383,'Выгр Кат'!$A:$R,D$1,0)</f>
        <v>Y</v>
      </c>
      <c r="E383" s="52" t="str">
        <f>VLOOKUP($A383,'Выгр Кат'!$A:$R,E$1,0)</f>
        <v>1</v>
      </c>
      <c r="F383" s="52" t="str">
        <f>VLOOKUP($A383,'Выгр Кат'!$A:$R,F$1,0)</f>
        <v>6001549856</v>
      </c>
      <c r="G383" s="52" t="str">
        <f>IF(VLOOKUP($A383,'Выгр Кат'!$A:$R,G$1,0)=0,"",VLOOKUP($A383,'Выгр Кат'!$A:$R,G$1,0))</f>
        <v/>
      </c>
      <c r="H383" s="52"/>
      <c r="I383" s="52"/>
      <c r="J383" s="54">
        <f t="shared" si="102"/>
        <v>4374</v>
      </c>
      <c r="K383" s="55">
        <f>VLOOKUP(J383,Наценка!$A$1:$B$8,2,1)</f>
        <v>1.4</v>
      </c>
      <c r="L383" s="56">
        <f t="shared" si="103"/>
        <v>6123.5999999999995</v>
      </c>
      <c r="M383" s="57">
        <f t="shared" si="104"/>
        <v>6190</v>
      </c>
      <c r="N383" s="52">
        <f>VLOOKUP($A383,'Выгр Кат'!$A:$R,N$1,0)</f>
        <v>4374</v>
      </c>
      <c r="O383" s="52">
        <f>VLOOKUP($A383,'Выгр Кат'!$A:$R,O$1,0)</f>
        <v>6190</v>
      </c>
      <c r="P383" s="47">
        <f t="shared" si="105"/>
        <v>0</v>
      </c>
      <c r="Q383" s="47">
        <f t="shared" si="106"/>
        <v>0</v>
      </c>
      <c r="R383" s="58">
        <f t="shared" si="107"/>
        <v>6190</v>
      </c>
      <c r="S383" s="59">
        <f t="shared" si="108"/>
        <v>0.41518061271147699</v>
      </c>
      <c r="T383" s="59" t="str">
        <f t="shared" si="109"/>
        <v/>
      </c>
      <c r="U383" s="59" t="str">
        <f t="shared" si="110"/>
        <v/>
      </c>
      <c r="V383" s="60"/>
      <c r="W383" s="69" t="str">
        <f>IFERROR((VLOOKUP($A383,'Из ГУГЛа'!$B:$Z,W$1,0)+Y383)*X383,VLOOKUP($A383,'Из ГУГЛа'!$B:$Z,W$1,0))</f>
        <v/>
      </c>
      <c r="X383" s="61">
        <v>1</v>
      </c>
      <c r="Y383" s="61">
        <v>0</v>
      </c>
      <c r="Z383" s="60" t="s">
        <v>4170</v>
      </c>
      <c r="AA383" s="60"/>
    </row>
    <row r="384" spans="1:27" ht="30" x14ac:dyDescent="0.25">
      <c r="A384" s="52">
        <v>186198</v>
      </c>
      <c r="B384" s="52">
        <f>VLOOKUP($A384,'Выгр Кат'!$A:$R,B$1,0)</f>
        <v>31176</v>
      </c>
      <c r="C384" s="53" t="str">
        <f>VLOOKUP($A384,'Выгр Кат'!$A:$R,C$1,0)</f>
        <v>Панель брызговика левая в сборе (катафорез) "АвтоВАЗ" для Лада Веста</v>
      </c>
      <c r="D384" s="52" t="str">
        <f>VLOOKUP($A384,'Выгр Кат'!$A:$R,D$1,0)</f>
        <v>Y</v>
      </c>
      <c r="E384" s="52" t="str">
        <f>VLOOKUP($A384,'Выгр Кат'!$A:$R,E$1,0)</f>
        <v>1</v>
      </c>
      <c r="F384" s="52" t="str">
        <f>VLOOKUP($A384,'Выгр Кат'!$A:$R,F$1,0)</f>
        <v>8450039275</v>
      </c>
      <c r="G384" s="52" t="str">
        <f>IF(VLOOKUP($A384,'Выгр Кат'!$A:$R,G$1,0)=0,"",VLOOKUP($A384,'Выгр Кат'!$A:$R,G$1,0))</f>
        <v>https://motorring.ru/product/36840-levaya-panely-bryzgovika-dlya-lada-vesta</v>
      </c>
      <c r="H384" s="52"/>
      <c r="I384" s="52"/>
      <c r="J384" s="54">
        <f t="shared" si="102"/>
        <v>5950</v>
      </c>
      <c r="K384" s="55">
        <f>VLOOKUP(J384,Наценка!$A$1:$B$8,2,1)</f>
        <v>1.35</v>
      </c>
      <c r="L384" s="56">
        <f t="shared" si="103"/>
        <v>8032.5000000000009</v>
      </c>
      <c r="M384" s="57">
        <f t="shared" si="104"/>
        <v>8090</v>
      </c>
      <c r="N384" s="52">
        <f>VLOOKUP($A384,'Выгр Кат'!$A:$R,N$1,0)</f>
        <v>5950</v>
      </c>
      <c r="O384" s="52">
        <f>VLOOKUP($A384,'Выгр Кат'!$A:$R,O$1,0)</f>
        <v>8390</v>
      </c>
      <c r="P384" s="47">
        <f t="shared" si="105"/>
        <v>0</v>
      </c>
      <c r="Q384" s="47">
        <f t="shared" si="106"/>
        <v>300</v>
      </c>
      <c r="R384" s="58">
        <f t="shared" si="107"/>
        <v>8090</v>
      </c>
      <c r="S384" s="59">
        <f t="shared" si="108"/>
        <v>0.35966386554621854</v>
      </c>
      <c r="T384" s="59">
        <f t="shared" si="109"/>
        <v>-0.12517385257301808</v>
      </c>
      <c r="U384" s="59">
        <f t="shared" si="110"/>
        <v>0.20840336134453774</v>
      </c>
      <c r="V384" s="42">
        <f t="shared" ref="V384:V385" si="111">Z384</f>
        <v>7190</v>
      </c>
      <c r="W384" s="69">
        <f>IFERROR((VLOOKUP($A384,'Из ГУГЛа'!$B:$Z,W$1,0)+Y384)*X384,VLOOKUP($A384,'Из ГУГЛа'!$B:$Z,W$1,0))</f>
        <v>7190</v>
      </c>
      <c r="X384" s="61">
        <v>1</v>
      </c>
      <c r="Y384" s="61">
        <v>0</v>
      </c>
      <c r="Z384" s="70">
        <v>7190</v>
      </c>
      <c r="AA384" s="60" t="s">
        <v>1015</v>
      </c>
    </row>
    <row r="385" spans="1:27" ht="30" x14ac:dyDescent="0.25">
      <c r="A385" s="52">
        <v>186199</v>
      </c>
      <c r="B385" s="52">
        <f>VLOOKUP($A385,'Выгр Кат'!$A:$R,B$1,0)</f>
        <v>31175</v>
      </c>
      <c r="C385" s="53" t="str">
        <f>VLOOKUP($A385,'Выгр Кат'!$A:$R,C$1,0)</f>
        <v>Панель брызговика правая (катафорез) "АвтоВАЗ" для Лада Веста</v>
      </c>
      <c r="D385" s="52" t="str">
        <f>VLOOKUP($A385,'Выгр Кат'!$A:$R,D$1,0)</f>
        <v>Y</v>
      </c>
      <c r="E385" s="52" t="str">
        <f>VLOOKUP($A385,'Выгр Кат'!$A:$R,E$1,0)</f>
        <v>1</v>
      </c>
      <c r="F385" s="52" t="str">
        <f>VLOOKUP($A385,'Выгр Кат'!$A:$R,F$1,0)</f>
        <v>8450039276</v>
      </c>
      <c r="G385" s="52" t="str">
        <f>IF(VLOOKUP($A385,'Выгр Кат'!$A:$R,G$1,0)=0,"",VLOOKUP($A385,'Выгр Кат'!$A:$R,G$1,0))</f>
        <v>https://motorring.ru/product/36839-pravaya-panely-bryzgovika-dlya-lada-vesta</v>
      </c>
      <c r="H385" s="52"/>
      <c r="I385" s="52"/>
      <c r="J385" s="54">
        <f t="shared" si="102"/>
        <v>4340.53</v>
      </c>
      <c r="K385" s="55">
        <f>VLOOKUP(J385,Наценка!$A$1:$B$8,2,1)</f>
        <v>1.4</v>
      </c>
      <c r="L385" s="56">
        <f t="shared" si="103"/>
        <v>6076.7419999999993</v>
      </c>
      <c r="M385" s="57">
        <f t="shared" si="104"/>
        <v>6090</v>
      </c>
      <c r="N385" s="52">
        <f>VLOOKUP($A385,'Выгр Кат'!$A:$R,N$1,0)</f>
        <v>4340.53</v>
      </c>
      <c r="O385" s="52">
        <f>VLOOKUP($A385,'Выгр Кат'!$A:$R,O$1,0)</f>
        <v>6090</v>
      </c>
      <c r="P385" s="47">
        <f t="shared" si="105"/>
        <v>0</v>
      </c>
      <c r="Q385" s="47">
        <f t="shared" si="106"/>
        <v>0</v>
      </c>
      <c r="R385" s="58">
        <f t="shared" si="107"/>
        <v>6090</v>
      </c>
      <c r="S385" s="59">
        <f t="shared" si="108"/>
        <v>0.40305446569888947</v>
      </c>
      <c r="T385" s="59">
        <f t="shared" si="109"/>
        <v>-0.10928961748633879</v>
      </c>
      <c r="U385" s="59">
        <f t="shared" si="110"/>
        <v>0.26482249863495944</v>
      </c>
      <c r="V385" s="42">
        <f t="shared" si="111"/>
        <v>5490</v>
      </c>
      <c r="W385" s="69">
        <f>IFERROR((VLOOKUP($A385,'Из ГУГЛа'!$B:$Z,W$1,0)+Y385)*X385,VLOOKUP($A385,'Из ГУГЛа'!$B:$Z,W$1,0))</f>
        <v>5490</v>
      </c>
      <c r="X385" s="61">
        <v>1</v>
      </c>
      <c r="Y385" s="61">
        <v>0</v>
      </c>
      <c r="Z385" s="70">
        <v>5490</v>
      </c>
      <c r="AA385" s="60" t="s">
        <v>1018</v>
      </c>
    </row>
    <row r="386" spans="1:27" ht="30" x14ac:dyDescent="0.25">
      <c r="A386" s="52">
        <v>186201</v>
      </c>
      <c r="B386" s="52">
        <f>VLOOKUP($A386,'Выгр Кат'!$A:$R,B$1,0)</f>
        <v>32670</v>
      </c>
      <c r="C386" s="53" t="str">
        <f>VLOOKUP($A386,'Выгр Кат'!$A:$R,C$1,0)</f>
        <v>Панель двери задка внутренняя (скелет) "АвтоВАЗ" для Шевроле Нива</v>
      </c>
      <c r="D386" s="52" t="str">
        <f>VLOOKUP($A386,'Выгр Кат'!$A:$R,D$1,0)</f>
        <v>Y</v>
      </c>
      <c r="E386" s="52" t="str">
        <f>VLOOKUP($A386,'Выгр Кат'!$A:$R,E$1,0)</f>
        <v>1</v>
      </c>
      <c r="F386" s="52" t="str">
        <f>VLOOKUP($A386,'Выгр Кат'!$A:$R,F$1,0)</f>
        <v>21230630102000</v>
      </c>
      <c r="G386" s="52" t="str">
        <f>IF(VLOOKUP($A386,'Выгр Кат'!$A:$R,G$1,0)=0,"",VLOOKUP($A386,'Выгр Кат'!$A:$R,G$1,0))</f>
        <v/>
      </c>
      <c r="H386" s="52"/>
      <c r="I386" s="52"/>
      <c r="J386" s="54">
        <f t="shared" si="102"/>
        <v>9709</v>
      </c>
      <c r="K386" s="55">
        <f>VLOOKUP(J386,Наценка!$A$1:$B$8,2,1)</f>
        <v>1.35</v>
      </c>
      <c r="L386" s="56">
        <f t="shared" si="103"/>
        <v>13107.150000000001</v>
      </c>
      <c r="M386" s="57">
        <f t="shared" si="104"/>
        <v>13190</v>
      </c>
      <c r="N386" s="52">
        <f>VLOOKUP($A386,'Выгр Кат'!$A:$R,N$1,0)</f>
        <v>9709</v>
      </c>
      <c r="O386" s="52">
        <f>VLOOKUP($A386,'Выгр Кат'!$A:$R,O$1,0)</f>
        <v>13590</v>
      </c>
      <c r="P386" s="47">
        <f t="shared" si="105"/>
        <v>0</v>
      </c>
      <c r="Q386" s="47">
        <f t="shared" si="106"/>
        <v>400</v>
      </c>
      <c r="R386" s="58">
        <f t="shared" si="107"/>
        <v>13190</v>
      </c>
      <c r="S386" s="59">
        <f t="shared" si="108"/>
        <v>0.35853331960037083</v>
      </c>
      <c r="T386" s="59" t="str">
        <f t="shared" si="109"/>
        <v/>
      </c>
      <c r="U386" s="59" t="str">
        <f t="shared" si="110"/>
        <v/>
      </c>
      <c r="V386" s="60"/>
      <c r="W386" s="69" t="str">
        <f>IFERROR((VLOOKUP($A386,'Из ГУГЛа'!$B:$Z,W$1,0)+Y386)*X386,VLOOKUP($A386,'Из ГУГЛа'!$B:$Z,W$1,0))</f>
        <v/>
      </c>
      <c r="X386" s="61">
        <v>1</v>
      </c>
      <c r="Y386" s="61">
        <v>0</v>
      </c>
      <c r="Z386" s="60" t="s">
        <v>4170</v>
      </c>
      <c r="AA386" s="60"/>
    </row>
    <row r="387" spans="1:27" ht="30" x14ac:dyDescent="0.25">
      <c r="A387" s="52">
        <v>186202</v>
      </c>
      <c r="B387" s="52">
        <f>VLOOKUP($A387,'Выгр Кат'!$A:$R,B$1,0)</f>
        <v>31064</v>
      </c>
      <c r="C387" s="53" t="str">
        <f>VLOOKUP($A387,'Выгр Кат'!$A:$R,C$1,0)</f>
        <v>Панель задка "Renault" для Лада Ларгус</v>
      </c>
      <c r="D387" s="52" t="str">
        <f>VLOOKUP($A387,'Выгр Кат'!$A:$R,D$1,0)</f>
        <v>Y</v>
      </c>
      <c r="E387" s="52" t="str">
        <f>VLOOKUP($A387,'Выгр Кат'!$A:$R,E$1,0)</f>
        <v>1</v>
      </c>
      <c r="F387" s="52" t="str">
        <f>VLOOKUP($A387,'Выгр Кат'!$A:$R,F$1,0)</f>
        <v>6001548784</v>
      </c>
      <c r="G387" s="52" t="str">
        <f>IF(VLOOKUP($A387,'Выгр Кат'!$A:$R,G$1,0)=0,"",VLOOKUP($A387,'Выгр Кат'!$A:$R,G$1,0))</f>
        <v>https://motorring.ru/product/36960-panely-zadka-sbore-dlya-lada-largus</v>
      </c>
      <c r="H387" s="52"/>
      <c r="I387" s="52"/>
      <c r="J387" s="54">
        <f t="shared" si="102"/>
        <v>20200</v>
      </c>
      <c r="K387" s="55">
        <f>VLOOKUP(J387,Наценка!$A$1:$B$8,2,1)</f>
        <v>1.3</v>
      </c>
      <c r="L387" s="56">
        <f t="shared" si="103"/>
        <v>26260</v>
      </c>
      <c r="M387" s="57">
        <f t="shared" si="104"/>
        <v>26290</v>
      </c>
      <c r="N387" s="52">
        <f>VLOOKUP($A387,'Выгр Кат'!$A:$R,N$1,0)</f>
        <v>20200</v>
      </c>
      <c r="O387" s="52">
        <f>VLOOKUP($A387,'Выгр Кат'!$A:$R,O$1,0)</f>
        <v>28290</v>
      </c>
      <c r="P387" s="47">
        <f t="shared" si="105"/>
        <v>0</v>
      </c>
      <c r="Q387" s="47">
        <f t="shared" si="106"/>
        <v>2000</v>
      </c>
      <c r="R387" s="58">
        <f t="shared" si="107"/>
        <v>26290</v>
      </c>
      <c r="S387" s="59">
        <f t="shared" si="108"/>
        <v>0.30148514851485153</v>
      </c>
      <c r="T387" s="59">
        <f t="shared" si="109"/>
        <v>-8.6812732534105E-2</v>
      </c>
      <c r="U387" s="59">
        <f t="shared" si="110"/>
        <v>0.19752475247524748</v>
      </c>
      <c r="V387" s="42">
        <f>Z387</f>
        <v>24190</v>
      </c>
      <c r="W387" s="69">
        <f>IFERROR((VLOOKUP($A387,'Из ГУГЛа'!$B:$Z,W$1,0)+Y387)*X387,VLOOKUP($A387,'Из ГУГЛа'!$B:$Z,W$1,0))</f>
        <v>24190</v>
      </c>
      <c r="X387" s="61">
        <v>1</v>
      </c>
      <c r="Y387" s="61">
        <v>0</v>
      </c>
      <c r="Z387" s="70">
        <v>24190</v>
      </c>
      <c r="AA387" s="60" t="s">
        <v>1023</v>
      </c>
    </row>
    <row r="388" spans="1:27" ht="30" x14ac:dyDescent="0.25">
      <c r="A388" s="52">
        <v>186203</v>
      </c>
      <c r="B388" s="52">
        <f>VLOOKUP($A388,'Выгр Кат'!$A:$R,B$1,0)</f>
        <v>31050</v>
      </c>
      <c r="C388" s="53" t="str">
        <f>VLOOKUP($A388,'Выгр Кат'!$A:$R,C$1,0)</f>
        <v>Панель задка "Renault" левая для Лада Ларгус</v>
      </c>
      <c r="D388" s="52" t="str">
        <f>VLOOKUP($A388,'Выгр Кат'!$A:$R,D$1,0)</f>
        <v>Y</v>
      </c>
      <c r="E388" s="52" t="str">
        <f>VLOOKUP($A388,'Выгр Кат'!$A:$R,E$1,0)</f>
        <v>1</v>
      </c>
      <c r="F388" s="52" t="str">
        <f>VLOOKUP($A388,'Выгр Кат'!$A:$R,F$1,0)</f>
        <v>6001548817</v>
      </c>
      <c r="G388" s="52" t="str">
        <f>IF(VLOOKUP($A388,'Выгр Кат'!$A:$R,G$1,0)=0,"",VLOOKUP($A388,'Выгр Кат'!$A:$R,G$1,0))</f>
        <v/>
      </c>
      <c r="H388" s="52"/>
      <c r="I388" s="52"/>
      <c r="J388" s="54">
        <f t="shared" si="102"/>
        <v>3080</v>
      </c>
      <c r="K388" s="55">
        <f>VLOOKUP(J388,Наценка!$A$1:$B$8,2,1)</f>
        <v>1.4</v>
      </c>
      <c r="L388" s="56">
        <f t="shared" si="103"/>
        <v>4312</v>
      </c>
      <c r="M388" s="57">
        <f t="shared" si="104"/>
        <v>4390</v>
      </c>
      <c r="N388" s="52">
        <f>VLOOKUP($A388,'Выгр Кат'!$A:$R,N$1,0)</f>
        <v>3080</v>
      </c>
      <c r="O388" s="52">
        <f>VLOOKUP($A388,'Выгр Кат'!$A:$R,O$1,0)</f>
        <v>4390</v>
      </c>
      <c r="P388" s="47">
        <f t="shared" si="105"/>
        <v>0</v>
      </c>
      <c r="Q388" s="47">
        <f t="shared" si="106"/>
        <v>0</v>
      </c>
      <c r="R388" s="58">
        <f t="shared" si="107"/>
        <v>4390</v>
      </c>
      <c r="S388" s="59">
        <f t="shared" si="108"/>
        <v>0.42532467532467533</v>
      </c>
      <c r="T388" s="59" t="str">
        <f t="shared" si="109"/>
        <v/>
      </c>
      <c r="U388" s="59" t="str">
        <f t="shared" si="110"/>
        <v/>
      </c>
      <c r="V388" s="60"/>
      <c r="W388" s="69" t="str">
        <f>IFERROR((VLOOKUP($A388,'Из ГУГЛа'!$B:$Z,W$1,0)+Y388)*X388,VLOOKUP($A388,'Из ГУГЛа'!$B:$Z,W$1,0))</f>
        <v/>
      </c>
      <c r="X388" s="61">
        <v>1</v>
      </c>
      <c r="Y388" s="61">
        <v>0</v>
      </c>
      <c r="Z388" s="60" t="s">
        <v>4170</v>
      </c>
      <c r="AA388" s="60"/>
    </row>
    <row r="389" spans="1:27" ht="30" x14ac:dyDescent="0.25">
      <c r="A389" s="52">
        <v>186204</v>
      </c>
      <c r="B389" s="52">
        <f>VLOOKUP($A389,'Выгр Кат'!$A:$R,B$1,0)</f>
        <v>31049</v>
      </c>
      <c r="C389" s="53" t="str">
        <f>VLOOKUP($A389,'Выгр Кат'!$A:$R,C$1,0)</f>
        <v>Панель задка "Renault" правая для Лада Ларгус</v>
      </c>
      <c r="D389" s="52" t="str">
        <f>VLOOKUP($A389,'Выгр Кат'!$A:$R,D$1,0)</f>
        <v>Y</v>
      </c>
      <c r="E389" s="52" t="str">
        <f>VLOOKUP($A389,'Выгр Кат'!$A:$R,E$1,0)</f>
        <v>1</v>
      </c>
      <c r="F389" s="52" t="str">
        <f>VLOOKUP($A389,'Выгр Кат'!$A:$R,F$1,0)</f>
        <v>6001548818</v>
      </c>
      <c r="G389" s="52" t="str">
        <f>IF(VLOOKUP($A389,'Выгр Кат'!$A:$R,G$1,0)=0,"",VLOOKUP($A389,'Выгр Кат'!$A:$R,G$1,0))</f>
        <v/>
      </c>
      <c r="H389" s="52"/>
      <c r="I389" s="52"/>
      <c r="J389" s="54">
        <f t="shared" si="102"/>
        <v>5249</v>
      </c>
      <c r="K389" s="55">
        <f>VLOOKUP(J389,Наценка!$A$1:$B$8,2,1)</f>
        <v>1.35</v>
      </c>
      <c r="L389" s="56">
        <f t="shared" si="103"/>
        <v>7086.1500000000005</v>
      </c>
      <c r="M389" s="57">
        <f t="shared" si="104"/>
        <v>7090</v>
      </c>
      <c r="N389" s="52">
        <f>VLOOKUP($A389,'Выгр Кат'!$A:$R,N$1,0)</f>
        <v>5249</v>
      </c>
      <c r="O389" s="52">
        <f>VLOOKUP($A389,'Выгр Кат'!$A:$R,O$1,0)</f>
        <v>7090</v>
      </c>
      <c r="P389" s="47">
        <f t="shared" si="105"/>
        <v>0</v>
      </c>
      <c r="Q389" s="47">
        <f t="shared" si="106"/>
        <v>0</v>
      </c>
      <c r="R389" s="58">
        <f t="shared" si="107"/>
        <v>7090</v>
      </c>
      <c r="S389" s="59">
        <f t="shared" si="108"/>
        <v>0.35073347304248426</v>
      </c>
      <c r="T389" s="59" t="str">
        <f t="shared" si="109"/>
        <v/>
      </c>
      <c r="U389" s="59" t="str">
        <f t="shared" si="110"/>
        <v/>
      </c>
      <c r="V389" s="60"/>
      <c r="W389" s="69" t="str">
        <f>IFERROR((VLOOKUP($A389,'Из ГУГЛа'!$B:$Z,W$1,0)+Y389)*X389,VLOOKUP($A389,'Из ГУГЛа'!$B:$Z,W$1,0))</f>
        <v/>
      </c>
      <c r="X389" s="61">
        <v>1</v>
      </c>
      <c r="Y389" s="61">
        <v>0</v>
      </c>
      <c r="Z389" s="60" t="s">
        <v>4170</v>
      </c>
      <c r="AA389" s="60"/>
    </row>
    <row r="390" spans="1:27" ht="30" x14ac:dyDescent="0.25">
      <c r="A390" s="52">
        <v>186205</v>
      </c>
      <c r="B390" s="52">
        <f>VLOOKUP($A390,'Выгр Кат'!$A:$R,B$1,0)</f>
        <v>23546</v>
      </c>
      <c r="C390" s="53" t="str">
        <f>VLOOKUP($A390,'Выгр Кат'!$A:$R,C$1,0)</f>
        <v>Панель задка "АвтоВАЗ" (нижняя) для ВАЗ 2110-2112, Лада Приора</v>
      </c>
      <c r="D390" s="52" t="str">
        <f>VLOOKUP($A390,'Выгр Кат'!$A:$R,D$1,0)</f>
        <v>Y</v>
      </c>
      <c r="E390" s="52" t="str">
        <f>VLOOKUP($A390,'Выгр Кат'!$A:$R,E$1,0)</f>
        <v>1</v>
      </c>
      <c r="F390" s="52" t="str">
        <f>VLOOKUP($A390,'Выгр Кат'!$A:$R,F$1,0)</f>
        <v>21100560109810</v>
      </c>
      <c r="G390" s="52" t="str">
        <f>IF(VLOOKUP($A390,'Выгр Кат'!$A:$R,G$1,0)=0,"",VLOOKUP($A390,'Выгр Кат'!$A:$R,G$1,0))</f>
        <v/>
      </c>
      <c r="H390" s="52"/>
      <c r="I390" s="52"/>
      <c r="J390" s="54">
        <f t="shared" si="102"/>
        <v>891.54</v>
      </c>
      <c r="K390" s="55">
        <f>VLOOKUP(J390,Наценка!$A$1:$B$8,2,1)</f>
        <v>1.55</v>
      </c>
      <c r="L390" s="56">
        <f t="shared" si="103"/>
        <v>1381.8869999999999</v>
      </c>
      <c r="M390" s="57">
        <f t="shared" si="104"/>
        <v>1390</v>
      </c>
      <c r="N390" s="52">
        <f>VLOOKUP($A390,'Выгр Кат'!$A:$R,N$1,0)</f>
        <v>891.54</v>
      </c>
      <c r="O390" s="52">
        <f>VLOOKUP($A390,'Выгр Кат'!$A:$R,O$1,0)</f>
        <v>1390</v>
      </c>
      <c r="P390" s="47">
        <f t="shared" si="105"/>
        <v>0</v>
      </c>
      <c r="Q390" s="47">
        <f t="shared" si="106"/>
        <v>0</v>
      </c>
      <c r="R390" s="58">
        <f t="shared" si="107"/>
        <v>1390</v>
      </c>
      <c r="S390" s="59">
        <f t="shared" si="108"/>
        <v>0.55909998429683472</v>
      </c>
      <c r="T390" s="59" t="str">
        <f t="shared" si="109"/>
        <v/>
      </c>
      <c r="U390" s="59" t="str">
        <f t="shared" si="110"/>
        <v/>
      </c>
      <c r="V390" s="60"/>
      <c r="W390" s="69" t="str">
        <f>IFERROR((VLOOKUP($A390,'Из ГУГЛа'!$B:$Z,W$1,0)+Y390)*X390,VLOOKUP($A390,'Из ГУГЛа'!$B:$Z,W$1,0))</f>
        <v/>
      </c>
      <c r="X390" s="61">
        <v>1</v>
      </c>
      <c r="Y390" s="61">
        <v>0</v>
      </c>
      <c r="Z390" s="60" t="s">
        <v>4169</v>
      </c>
      <c r="AA390" s="60"/>
    </row>
    <row r="391" spans="1:27" ht="30" x14ac:dyDescent="0.25">
      <c r="A391" s="52">
        <v>186206</v>
      </c>
      <c r="B391" s="52">
        <f>VLOOKUP($A391,'Выгр Кат'!$A:$R,B$1,0)</f>
        <v>50601</v>
      </c>
      <c r="C391" s="53" t="str">
        <f>VLOOKUP($A391,'Выгр Кат'!$A:$R,C$1,0)</f>
        <v>Панель задка "АвтоВАЗ" в сборе (катафорез) для Лада Веста седан</v>
      </c>
      <c r="D391" s="52" t="str">
        <f>VLOOKUP($A391,'Выгр Кат'!$A:$R,D$1,0)</f>
        <v>Y</v>
      </c>
      <c r="E391" s="52" t="str">
        <f>VLOOKUP($A391,'Выгр Кат'!$A:$R,E$1,0)</f>
        <v>1ск1</v>
      </c>
      <c r="F391" s="52" t="str">
        <f>VLOOKUP($A391,'Выгр Кат'!$A:$R,F$1,0)</f>
        <v>8450039268</v>
      </c>
      <c r="G391" s="52" t="str">
        <f>IF(VLOOKUP($A391,'Выгр Кат'!$A:$R,G$1,0)=0,"",VLOOKUP($A391,'Выгр Кат'!$A:$R,G$1,0))</f>
        <v>https://motorring.ru/product/35418-panely-zadka-sbore-lada-ighevsk-kataforeznym-pokrytiem-vesta</v>
      </c>
      <c r="H391" s="52"/>
      <c r="I391" s="52"/>
      <c r="J391" s="54">
        <f t="shared" si="102"/>
        <v>3830</v>
      </c>
      <c r="K391" s="55">
        <f>VLOOKUP(J391,Наценка!$A$1:$B$8,2,1)</f>
        <v>1.4</v>
      </c>
      <c r="L391" s="56">
        <f t="shared" si="103"/>
        <v>5362</v>
      </c>
      <c r="M391" s="57">
        <f t="shared" si="104"/>
        <v>5390</v>
      </c>
      <c r="N391" s="52">
        <f>VLOOKUP($A391,'Выгр Кат'!$A:$R,N$1,0)</f>
        <v>3830</v>
      </c>
      <c r="O391" s="52">
        <f>VLOOKUP($A391,'Выгр Кат'!$A:$R,O$1,0)</f>
        <v>5390</v>
      </c>
      <c r="P391" s="47">
        <f t="shared" si="105"/>
        <v>0</v>
      </c>
      <c r="Q391" s="47">
        <f t="shared" si="106"/>
        <v>0</v>
      </c>
      <c r="R391" s="58">
        <f t="shared" si="107"/>
        <v>5390</v>
      </c>
      <c r="S391" s="59">
        <f t="shared" si="108"/>
        <v>0.40731070496083555</v>
      </c>
      <c r="T391" s="59">
        <f t="shared" si="109"/>
        <v>-1.890359168241966E-2</v>
      </c>
      <c r="U391" s="59">
        <f t="shared" si="110"/>
        <v>0.38120104438642288</v>
      </c>
      <c r="V391" s="42">
        <f t="shared" ref="V391:V394" si="112">Z391</f>
        <v>5290</v>
      </c>
      <c r="W391" s="69">
        <f>IFERROR((VLOOKUP($A391,'Из ГУГЛа'!$B:$Z,W$1,0)+Y391)*X391,VLOOKUP($A391,'Из ГУГЛа'!$B:$Z,W$1,0))</f>
        <v>5290</v>
      </c>
      <c r="X391" s="61">
        <v>1</v>
      </c>
      <c r="Y391" s="61">
        <v>0</v>
      </c>
      <c r="Z391" s="70">
        <v>5290</v>
      </c>
      <c r="AA391" s="60" t="s">
        <v>1033</v>
      </c>
    </row>
    <row r="392" spans="1:27" ht="30" x14ac:dyDescent="0.25">
      <c r="A392" s="52">
        <v>186207</v>
      </c>
      <c r="B392" s="52">
        <f>VLOOKUP($A392,'Выгр Кат'!$A:$R,B$1,0)</f>
        <v>32737</v>
      </c>
      <c r="C392" s="53" t="str">
        <f>VLOOKUP($A392,'Выгр Кат'!$A:$R,C$1,0)</f>
        <v>Панель задка "АвтоВАЗ" в сборе для Лада Веста SW универсал</v>
      </c>
      <c r="D392" s="52" t="str">
        <f>VLOOKUP($A392,'Выгр Кат'!$A:$R,D$1,0)</f>
        <v>Y</v>
      </c>
      <c r="E392" s="52" t="str">
        <f>VLOOKUP($A392,'Выгр Кат'!$A:$R,E$1,0)</f>
        <v>1</v>
      </c>
      <c r="F392" s="52" t="str">
        <f>VLOOKUP($A392,'Выгр Кат'!$A:$R,F$1,0)</f>
        <v>8450102341</v>
      </c>
      <c r="G392" s="52" t="str">
        <f>IF(VLOOKUP($A392,'Выгр Кат'!$A:$R,G$1,0)=0,"",VLOOKUP($A392,'Выгр Кат'!$A:$R,G$1,0))</f>
        <v>https://motorring.ru/product/36815-panely-zadka-sbore-dlya-lada-vesta-sw</v>
      </c>
      <c r="H392" s="52"/>
      <c r="I392" s="52"/>
      <c r="J392" s="54">
        <f t="shared" si="102"/>
        <v>4641</v>
      </c>
      <c r="K392" s="55">
        <f>VLOOKUP(J392,Наценка!$A$1:$B$8,2,1)</f>
        <v>1.4</v>
      </c>
      <c r="L392" s="56">
        <f t="shared" si="103"/>
        <v>6497.4</v>
      </c>
      <c r="M392" s="57">
        <f t="shared" si="104"/>
        <v>6490</v>
      </c>
      <c r="N392" s="52">
        <f>VLOOKUP($A392,'Выгр Кат'!$A:$R,N$1,0)</f>
        <v>4641</v>
      </c>
      <c r="O392" s="52">
        <f>VLOOKUP($A392,'Выгр Кат'!$A:$R,O$1,0)</f>
        <v>6490</v>
      </c>
      <c r="P392" s="47">
        <f t="shared" si="105"/>
        <v>0</v>
      </c>
      <c r="Q392" s="47">
        <f t="shared" si="106"/>
        <v>0</v>
      </c>
      <c r="R392" s="58">
        <f t="shared" si="107"/>
        <v>6490</v>
      </c>
      <c r="S392" s="59">
        <f t="shared" si="108"/>
        <v>0.39840551605257479</v>
      </c>
      <c r="T392" s="59">
        <f t="shared" si="109"/>
        <v>-4.8465266558966075E-2</v>
      </c>
      <c r="U392" s="59">
        <f t="shared" si="110"/>
        <v>0.33376427494074545</v>
      </c>
      <c r="V392" s="42">
        <f t="shared" si="112"/>
        <v>6190</v>
      </c>
      <c r="W392" s="69">
        <f>IFERROR((VLOOKUP($A392,'Из ГУГЛа'!$B:$Z,W$1,0)+Y392)*X392,VLOOKUP($A392,'Из ГУГЛа'!$B:$Z,W$1,0))</f>
        <v>6190</v>
      </c>
      <c r="X392" s="61">
        <v>1</v>
      </c>
      <c r="Y392" s="61">
        <v>0</v>
      </c>
      <c r="Z392" s="70">
        <v>6190</v>
      </c>
      <c r="AA392" s="60" t="s">
        <v>1036</v>
      </c>
    </row>
    <row r="393" spans="1:27" ht="30" x14ac:dyDescent="0.25">
      <c r="A393" s="52">
        <v>186208</v>
      </c>
      <c r="B393" s="52">
        <f>VLOOKUP($A393,'Выгр Кат'!$A:$R,B$1,0)</f>
        <v>31087</v>
      </c>
      <c r="C393" s="53" t="str">
        <f>VLOOKUP($A393,'Выгр Кат'!$A:$R,C$1,0)</f>
        <v>Панель задка "АвтоВАЗ" верхняя для Лада XRAY</v>
      </c>
      <c r="D393" s="52" t="str">
        <f>VLOOKUP($A393,'Выгр Кат'!$A:$R,D$1,0)</f>
        <v>Y</v>
      </c>
      <c r="E393" s="52" t="str">
        <f>VLOOKUP($A393,'Выгр Кат'!$A:$R,E$1,0)</f>
        <v>1</v>
      </c>
      <c r="F393" s="52" t="str">
        <f>VLOOKUP($A393,'Выгр Кат'!$A:$R,F$1,0)</f>
        <v>798506523R</v>
      </c>
      <c r="G393" s="52" t="str">
        <f>IF(VLOOKUP($A393,'Выгр Кат'!$A:$R,G$1,0)=0,"",VLOOKUP($A393,'Выгр Кат'!$A:$R,G$1,0))</f>
        <v>https://motorring.ru/product/38260-panely-zadnyaya-vnutrennyaya-dlya-lada-iks-rey-iks-rey-kross</v>
      </c>
      <c r="H393" s="52"/>
      <c r="I393" s="52"/>
      <c r="J393" s="54">
        <f t="shared" si="102"/>
        <v>5323</v>
      </c>
      <c r="K393" s="55">
        <f>VLOOKUP(J393,Наценка!$A$1:$B$8,2,1)</f>
        <v>1.35</v>
      </c>
      <c r="L393" s="56">
        <f t="shared" si="103"/>
        <v>7186.05</v>
      </c>
      <c r="M393" s="57">
        <f t="shared" si="104"/>
        <v>7190</v>
      </c>
      <c r="N393" s="52">
        <f>VLOOKUP($A393,'Выгр Кат'!$A:$R,N$1,0)</f>
        <v>5323</v>
      </c>
      <c r="O393" s="52">
        <f>VLOOKUP($A393,'Выгр Кат'!$A:$R,O$1,0)</f>
        <v>7190</v>
      </c>
      <c r="P393" s="47">
        <f t="shared" si="105"/>
        <v>0</v>
      </c>
      <c r="Q393" s="47">
        <f t="shared" si="106"/>
        <v>0</v>
      </c>
      <c r="R393" s="58">
        <f t="shared" si="107"/>
        <v>7190</v>
      </c>
      <c r="S393" s="59">
        <f t="shared" si="108"/>
        <v>0.35074206274657138</v>
      </c>
      <c r="T393" s="59">
        <f t="shared" si="109"/>
        <v>-3.825503355704698</v>
      </c>
      <c r="U393" s="59">
        <f t="shared" si="110"/>
        <v>-0.72008266015404843</v>
      </c>
      <c r="V393" s="42">
        <f t="shared" si="112"/>
        <v>1490</v>
      </c>
      <c r="W393" s="69">
        <f>IFERROR((VLOOKUP($A393,'Из ГУГЛа'!$B:$Z,W$1,0)+Y393)*X393,VLOOKUP($A393,'Из ГУГЛа'!$B:$Z,W$1,0))</f>
        <v>1490</v>
      </c>
      <c r="X393" s="61">
        <v>1</v>
      </c>
      <c r="Y393" s="61">
        <v>0</v>
      </c>
      <c r="Z393" s="70">
        <v>1490</v>
      </c>
      <c r="AA393" s="60" t="s">
        <v>1039</v>
      </c>
    </row>
    <row r="394" spans="1:27" x14ac:dyDescent="0.25">
      <c r="A394" s="52">
        <v>186209</v>
      </c>
      <c r="B394" s="52">
        <f>VLOOKUP($A394,'Выгр Кат'!$A:$R,B$1,0)</f>
        <v>31077</v>
      </c>
      <c r="C394" s="53" t="str">
        <f>VLOOKUP($A394,'Выгр Кат'!$A:$R,C$1,0)</f>
        <v>Панель задка "АвтоВАЗ" для Лада XRAY</v>
      </c>
      <c r="D394" s="52" t="str">
        <f>VLOOKUP($A394,'Выгр Кат'!$A:$R,D$1,0)</f>
        <v>Y</v>
      </c>
      <c r="E394" s="52" t="str">
        <f>VLOOKUP($A394,'Выгр Кат'!$A:$R,E$1,0)</f>
        <v>1</v>
      </c>
      <c r="F394" s="52" t="str">
        <f>VLOOKUP($A394,'Выгр Кат'!$A:$R,F$1,0)</f>
        <v>852480358R</v>
      </c>
      <c r="G394" s="52" t="str">
        <f>IF(VLOOKUP($A394,'Выгр Кат'!$A:$R,G$1,0)=0,"",VLOOKUP($A394,'Выгр Кат'!$A:$R,G$1,0))</f>
        <v>https://motorring.ru/product/36801-panely-zadnyaya-narughnyaya-dlya-lada-iks-rey-iks-rey-kross</v>
      </c>
      <c r="H394" s="52"/>
      <c r="I394" s="52"/>
      <c r="J394" s="54">
        <f t="shared" si="102"/>
        <v>6082</v>
      </c>
      <c r="K394" s="55">
        <f>VLOOKUP(J394,Наценка!$A$1:$B$8,2,1)</f>
        <v>1.35</v>
      </c>
      <c r="L394" s="56">
        <f t="shared" si="103"/>
        <v>8210.7000000000007</v>
      </c>
      <c r="M394" s="57">
        <f t="shared" si="104"/>
        <v>8290</v>
      </c>
      <c r="N394" s="52">
        <f>VLOOKUP($A394,'Выгр Кат'!$A:$R,N$1,0)</f>
        <v>6082</v>
      </c>
      <c r="O394" s="52">
        <f>VLOOKUP($A394,'Выгр Кат'!$A:$R,O$1,0)</f>
        <v>8290</v>
      </c>
      <c r="P394" s="47">
        <f t="shared" si="105"/>
        <v>0</v>
      </c>
      <c r="Q394" s="47">
        <f t="shared" si="106"/>
        <v>0</v>
      </c>
      <c r="R394" s="58">
        <f t="shared" si="107"/>
        <v>8290</v>
      </c>
      <c r="S394" s="59">
        <f t="shared" si="108"/>
        <v>0.36303847418612301</v>
      </c>
      <c r="T394" s="59">
        <f t="shared" si="109"/>
        <v>-0.62868369351669939</v>
      </c>
      <c r="U394" s="59">
        <f t="shared" si="110"/>
        <v>-0.16310424202564944</v>
      </c>
      <c r="V394" s="42">
        <f t="shared" si="112"/>
        <v>5090</v>
      </c>
      <c r="W394" s="69">
        <f>IFERROR((VLOOKUP($A394,'Из ГУГЛа'!$B:$Z,W$1,0)+Y394)*X394,VLOOKUP($A394,'Из ГУГЛа'!$B:$Z,W$1,0))</f>
        <v>5090</v>
      </c>
      <c r="X394" s="61">
        <v>1</v>
      </c>
      <c r="Y394" s="61">
        <v>0</v>
      </c>
      <c r="Z394" s="70">
        <v>5090</v>
      </c>
      <c r="AA394" s="60" t="s">
        <v>1042</v>
      </c>
    </row>
    <row r="395" spans="1:27" ht="30" x14ac:dyDescent="0.25">
      <c r="A395" s="52">
        <v>186210</v>
      </c>
      <c r="B395" s="52">
        <f>VLOOKUP($A395,'Выгр Кат'!$A:$R,B$1,0)</f>
        <v>31088</v>
      </c>
      <c r="C395" s="53" t="str">
        <f>VLOOKUP($A395,'Выгр Кат'!$A:$R,C$1,0)</f>
        <v>Панель задка "АвтоВАЗ" нижняя для Лада XRAY</v>
      </c>
      <c r="D395" s="52" t="str">
        <f>VLOOKUP($A395,'Выгр Кат'!$A:$R,D$1,0)</f>
        <v>Y</v>
      </c>
      <c r="E395" s="52" t="str">
        <f>VLOOKUP($A395,'Выгр Кат'!$A:$R,E$1,0)</f>
        <v>1</v>
      </c>
      <c r="F395" s="52" t="str">
        <f>VLOOKUP($A395,'Выгр Кат'!$A:$R,F$1,0)</f>
        <v>791108011R</v>
      </c>
      <c r="G395" s="52" t="str">
        <f>IF(VLOOKUP($A395,'Выгр Кат'!$A:$R,G$1,0)=0,"",VLOOKUP($A395,'Выгр Кат'!$A:$R,G$1,0))</f>
        <v/>
      </c>
      <c r="H395" s="52"/>
      <c r="I395" s="52"/>
      <c r="J395" s="54">
        <f t="shared" si="102"/>
        <v>3381</v>
      </c>
      <c r="K395" s="55">
        <f>VLOOKUP(J395,Наценка!$A$1:$B$8,2,1)</f>
        <v>1.4</v>
      </c>
      <c r="L395" s="56">
        <f t="shared" si="103"/>
        <v>4733.3999999999996</v>
      </c>
      <c r="M395" s="57">
        <f t="shared" si="104"/>
        <v>4790</v>
      </c>
      <c r="N395" s="52">
        <f>VLOOKUP($A395,'Выгр Кат'!$A:$R,N$1,0)</f>
        <v>3381</v>
      </c>
      <c r="O395" s="52">
        <f>VLOOKUP($A395,'Выгр Кат'!$A:$R,O$1,0)</f>
        <v>4790</v>
      </c>
      <c r="P395" s="47">
        <f t="shared" si="105"/>
        <v>0</v>
      </c>
      <c r="Q395" s="47">
        <f t="shared" si="106"/>
        <v>0</v>
      </c>
      <c r="R395" s="58">
        <f t="shared" si="107"/>
        <v>4790</v>
      </c>
      <c r="S395" s="59">
        <f t="shared" si="108"/>
        <v>0.41674060928719303</v>
      </c>
      <c r="T395" s="59" t="str">
        <f t="shared" si="109"/>
        <v/>
      </c>
      <c r="U395" s="59" t="str">
        <f t="shared" si="110"/>
        <v/>
      </c>
      <c r="V395" s="60"/>
      <c r="W395" s="69" t="str">
        <f>IFERROR((VLOOKUP($A395,'Из ГУГЛа'!$B:$Z,W$1,0)+Y395)*X395,VLOOKUP($A395,'Из ГУГЛа'!$B:$Z,W$1,0))</f>
        <v/>
      </c>
      <c r="X395" s="61">
        <v>1</v>
      </c>
      <c r="Y395" s="61">
        <v>0</v>
      </c>
      <c r="Z395" s="62" t="s">
        <v>4170</v>
      </c>
      <c r="AA395" s="60"/>
    </row>
    <row r="396" spans="1:27" ht="45" x14ac:dyDescent="0.25">
      <c r="A396" s="52">
        <v>186211</v>
      </c>
      <c r="B396" s="52">
        <f>VLOOKUP($A396,'Выгр Кат'!$A:$R,B$1,0)</f>
        <v>32547</v>
      </c>
      <c r="C396" s="53" t="str">
        <f>VLOOKUP($A396,'Выгр Кат'!$A:$R,C$1,0)</f>
        <v>Панель задка "АвтоВАЗ" с поперечиной в сборе (катафорез) для ВАЗ 2110</v>
      </c>
      <c r="D396" s="52" t="str">
        <f>VLOOKUP($A396,'Выгр Кат'!$A:$R,D$1,0)</f>
        <v>Y</v>
      </c>
      <c r="E396" s="52" t="str">
        <f>VLOOKUP($A396,'Выгр Кат'!$A:$R,E$1,0)</f>
        <v>1</v>
      </c>
      <c r="F396" s="52" t="str">
        <f>VLOOKUP($A396,'Выгр Кат'!$A:$R,F$1,0)</f>
        <v>21100560108010</v>
      </c>
      <c r="G396" s="52" t="str">
        <f>IF(VLOOKUP($A396,'Выгр Кат'!$A:$R,G$1,0)=0,"",VLOOKUP($A396,'Выгр Кат'!$A:$R,G$1,0))</f>
        <v>https://motorring.ru/product/2423-panely-zadka-poperechinoy-sbore-kataforeznym-pokrytiem-dlya</v>
      </c>
      <c r="H396" s="52"/>
      <c r="I396" s="52"/>
      <c r="J396" s="54">
        <f t="shared" si="102"/>
        <v>2900</v>
      </c>
      <c r="K396" s="55">
        <f>VLOOKUP(J396,Наценка!$A$1:$B$8,2,1)</f>
        <v>1.4</v>
      </c>
      <c r="L396" s="56">
        <f t="shared" si="103"/>
        <v>4059.9999999999995</v>
      </c>
      <c r="M396" s="57">
        <f t="shared" si="104"/>
        <v>4090</v>
      </c>
      <c r="N396" s="52">
        <f>VLOOKUP($A396,'Выгр Кат'!$A:$R,N$1,0)</f>
        <v>2900</v>
      </c>
      <c r="O396" s="52">
        <f>VLOOKUP($A396,'Выгр Кат'!$A:$R,O$1,0)</f>
        <v>4090</v>
      </c>
      <c r="P396" s="47">
        <f t="shared" si="105"/>
        <v>0</v>
      </c>
      <c r="Q396" s="47">
        <f t="shared" si="106"/>
        <v>0</v>
      </c>
      <c r="R396" s="58">
        <f t="shared" si="107"/>
        <v>4090</v>
      </c>
      <c r="S396" s="59">
        <f t="shared" si="108"/>
        <v>0.41034482758620694</v>
      </c>
      <c r="T396" s="59">
        <f t="shared" si="109"/>
        <v>2.386634844868735E-2</v>
      </c>
      <c r="U396" s="59">
        <f t="shared" si="110"/>
        <v>0.44482758620689644</v>
      </c>
      <c r="V396" s="42">
        <f t="shared" ref="V396:V409" si="113">Z396</f>
        <v>4190</v>
      </c>
      <c r="W396" s="69">
        <f>IFERROR((VLOOKUP($A396,'Из ГУГЛа'!$B:$Z,W$1,0)+Y396)*X396,VLOOKUP($A396,'Из ГУГЛа'!$B:$Z,W$1,0))</f>
        <v>4190</v>
      </c>
      <c r="X396" s="61">
        <v>1</v>
      </c>
      <c r="Y396" s="61">
        <v>0</v>
      </c>
      <c r="Z396" s="70">
        <v>4190</v>
      </c>
      <c r="AA396" s="60" t="s">
        <v>1047</v>
      </c>
    </row>
    <row r="397" spans="1:27" ht="45" x14ac:dyDescent="0.25">
      <c r="A397" s="52">
        <v>186212</v>
      </c>
      <c r="B397" s="52">
        <f>VLOOKUP($A397,'Выгр Кат'!$A:$R,B$1,0)</f>
        <v>48683</v>
      </c>
      <c r="C397" s="53" t="str">
        <f>VLOOKUP($A397,'Выгр Кат'!$A:$R,C$1,0)</f>
        <v>Панель задка "АвтоВАЗ" с поперечиной в сборе (катафорез) для Лада Гранта, Гранта FL</v>
      </c>
      <c r="D397" s="52" t="str">
        <f>VLOOKUP($A397,'Выгр Кат'!$A:$R,D$1,0)</f>
        <v>Y</v>
      </c>
      <c r="E397" s="52" t="str">
        <f>VLOOKUP($A397,'Выгр Кат'!$A:$R,E$1,0)</f>
        <v>1</v>
      </c>
      <c r="F397" s="52" t="str">
        <f>VLOOKUP($A397,'Выгр Кат'!$A:$R,F$1,0)</f>
        <v>21910560108070</v>
      </c>
      <c r="G397" s="52" t="str">
        <f>IF(VLOOKUP($A397,'Выгр Кат'!$A:$R,G$1,0)=0,"",VLOOKUP($A397,'Выгр Кат'!$A:$R,G$1,0))</f>
        <v>https://motorring.ru/product/15189-panely-zadka-poperechinoy-sbore-kataforeznoe-pokrytie-lada</v>
      </c>
      <c r="H397" s="52"/>
      <c r="I397" s="52"/>
      <c r="J397" s="54">
        <f t="shared" si="102"/>
        <v>3500</v>
      </c>
      <c r="K397" s="55">
        <f>VLOOKUP(J397,Наценка!$A$1:$B$8,2,1)</f>
        <v>1.4</v>
      </c>
      <c r="L397" s="56">
        <f t="shared" si="103"/>
        <v>4900</v>
      </c>
      <c r="M397" s="57">
        <f t="shared" si="104"/>
        <v>4890</v>
      </c>
      <c r="N397" s="52">
        <f>VLOOKUP($A397,'Выгр Кат'!$A:$R,N$1,0)</f>
        <v>3500</v>
      </c>
      <c r="O397" s="52">
        <f>VLOOKUP($A397,'Выгр Кат'!$A:$R,O$1,0)</f>
        <v>4890</v>
      </c>
      <c r="P397" s="47">
        <f t="shared" si="105"/>
        <v>0</v>
      </c>
      <c r="Q397" s="47">
        <f t="shared" si="106"/>
        <v>0</v>
      </c>
      <c r="R397" s="58">
        <f t="shared" si="107"/>
        <v>4890</v>
      </c>
      <c r="S397" s="59">
        <f t="shared" si="108"/>
        <v>0.39714285714285724</v>
      </c>
      <c r="T397" s="59">
        <f t="shared" si="109"/>
        <v>-0.11389521640091116</v>
      </c>
      <c r="U397" s="59">
        <f t="shared" si="110"/>
        <v>0.25428571428571423</v>
      </c>
      <c r="V397" s="42">
        <f t="shared" si="113"/>
        <v>4390</v>
      </c>
      <c r="W397" s="69">
        <f>IFERROR((VLOOKUP($A397,'Из ГУГЛа'!$B:$Z,W$1,0)+Y397)*X397,VLOOKUP($A397,'Из ГУГЛа'!$B:$Z,W$1,0))</f>
        <v>4390</v>
      </c>
      <c r="X397" s="61">
        <v>1</v>
      </c>
      <c r="Y397" s="61">
        <v>0</v>
      </c>
      <c r="Z397" s="70">
        <v>4390</v>
      </c>
      <c r="AA397" s="60" t="s">
        <v>1051</v>
      </c>
    </row>
    <row r="398" spans="1:27" ht="45" x14ac:dyDescent="0.25">
      <c r="A398" s="52">
        <v>186213</v>
      </c>
      <c r="B398" s="52">
        <f>VLOOKUP($A398,'Выгр Кат'!$A:$R,B$1,0)</f>
        <v>44496</v>
      </c>
      <c r="C398" s="53" t="str">
        <f>VLOOKUP($A398,'Выгр Кат'!$A:$R,C$1,0)</f>
        <v>Панель задка "АвтоВАЗ" с поперечной в сборе (катафорез) для Лада Калина, Калина 2</v>
      </c>
      <c r="D398" s="52" t="str">
        <f>VLOOKUP($A398,'Выгр Кат'!$A:$R,D$1,0)</f>
        <v>Y</v>
      </c>
      <c r="E398" s="52" t="str">
        <f>VLOOKUP($A398,'Выгр Кат'!$A:$R,E$1,0)</f>
        <v>1</v>
      </c>
      <c r="F398" s="52" t="str">
        <f>VLOOKUP($A398,'Выгр Кат'!$A:$R,F$1,0)</f>
        <v>11170560108070</v>
      </c>
      <c r="G398" s="52" t="str">
        <f>IF(VLOOKUP($A398,'Выгр Кат'!$A:$R,G$1,0)=0,"",VLOOKUP($A398,'Выгр Кат'!$A:$R,G$1,0))</f>
        <v>https://motorring.ru/product/16650-panely-zadka-poperechinoy-sbore-kataforeznoe-pokrytie-lada</v>
      </c>
      <c r="H398" s="52"/>
      <c r="I398" s="52"/>
      <c r="J398" s="54">
        <f t="shared" si="102"/>
        <v>2475</v>
      </c>
      <c r="K398" s="55">
        <f>VLOOKUP(J398,Наценка!$A$1:$B$8,2,1)</f>
        <v>1.4</v>
      </c>
      <c r="L398" s="56">
        <f t="shared" si="103"/>
        <v>3465</v>
      </c>
      <c r="M398" s="57">
        <f t="shared" si="104"/>
        <v>3490</v>
      </c>
      <c r="N398" s="52">
        <f>VLOOKUP($A398,'Выгр Кат'!$A:$R,N$1,0)</f>
        <v>2475</v>
      </c>
      <c r="O398" s="52">
        <f>VLOOKUP($A398,'Выгр Кат'!$A:$R,O$1,0)</f>
        <v>3490</v>
      </c>
      <c r="P398" s="47">
        <f t="shared" si="105"/>
        <v>0</v>
      </c>
      <c r="Q398" s="47">
        <f t="shared" si="106"/>
        <v>0</v>
      </c>
      <c r="R398" s="58">
        <f t="shared" si="107"/>
        <v>3490</v>
      </c>
      <c r="S398" s="59">
        <f t="shared" si="108"/>
        <v>0.41010101010101008</v>
      </c>
      <c r="T398" s="59">
        <f t="shared" si="109"/>
        <v>2.7855153203342618E-2</v>
      </c>
      <c r="U398" s="59">
        <f t="shared" si="110"/>
        <v>0.45050505050505052</v>
      </c>
      <c r="V398" s="42">
        <f t="shared" si="113"/>
        <v>3590</v>
      </c>
      <c r="W398" s="69">
        <f>IFERROR((VLOOKUP($A398,'Из ГУГЛа'!$B:$Z,W$1,0)+Y398)*X398,VLOOKUP($A398,'Из ГУГЛа'!$B:$Z,W$1,0))</f>
        <v>3590</v>
      </c>
      <c r="X398" s="61">
        <v>1</v>
      </c>
      <c r="Y398" s="61">
        <v>0</v>
      </c>
      <c r="Z398" s="70">
        <v>3590</v>
      </c>
      <c r="AA398" s="60" t="s">
        <v>1055</v>
      </c>
    </row>
    <row r="399" spans="1:27" ht="30" x14ac:dyDescent="0.25">
      <c r="A399" s="52">
        <v>186214</v>
      </c>
      <c r="B399" s="52">
        <f>VLOOKUP($A399,'Выгр Кат'!$A:$R,B$1,0)</f>
        <v>31403</v>
      </c>
      <c r="C399" s="53" t="str">
        <f>VLOOKUP($A399,'Выгр Кат'!$A:$R,C$1,0)</f>
        <v>Панель задка (голая) "АвтоВАЗ" катафорез для ВАЗ 2110</v>
      </c>
      <c r="D399" s="52" t="str">
        <f>VLOOKUP($A399,'Выгр Кат'!$A:$R,D$1,0)</f>
        <v>Y</v>
      </c>
      <c r="E399" s="52" t="str">
        <f>VLOOKUP($A399,'Выгр Кат'!$A:$R,E$1,0)</f>
        <v>1ск1</v>
      </c>
      <c r="F399" s="52" t="str">
        <f>VLOOKUP($A399,'Выгр Кат'!$A:$R,F$1,0)</f>
        <v>21100560108210</v>
      </c>
      <c r="G399" s="52" t="str">
        <f>IF(VLOOKUP($A399,'Выгр Кат'!$A:$R,G$1,0)=0,"",VLOOKUP($A399,'Выгр Кат'!$A:$R,G$1,0))</f>
        <v>https://motorring.ru/product/33253-panely-zadka-kataforeznoe-pokrytie-vaz-2110</v>
      </c>
      <c r="H399" s="52"/>
      <c r="I399" s="52"/>
      <c r="J399" s="54">
        <f t="shared" si="102"/>
        <v>705</v>
      </c>
      <c r="K399" s="55">
        <f>VLOOKUP(J399,Наценка!$A$1:$B$8,2,1)</f>
        <v>1.55</v>
      </c>
      <c r="L399" s="56">
        <f t="shared" si="103"/>
        <v>1092.75</v>
      </c>
      <c r="M399" s="57">
        <f t="shared" si="104"/>
        <v>1090</v>
      </c>
      <c r="N399" s="52">
        <f>VLOOKUP($A399,'Выгр Кат'!$A:$R,N$1,0)</f>
        <v>705</v>
      </c>
      <c r="O399" s="52">
        <f>VLOOKUP($A399,'Выгр Кат'!$A:$R,O$1,0)</f>
        <v>1090</v>
      </c>
      <c r="P399" s="47">
        <f t="shared" si="105"/>
        <v>0</v>
      </c>
      <c r="Q399" s="47">
        <f t="shared" si="106"/>
        <v>0</v>
      </c>
      <c r="R399" s="58">
        <f t="shared" si="107"/>
        <v>1090</v>
      </c>
      <c r="S399" s="59">
        <f t="shared" si="108"/>
        <v>0.54609929078014185</v>
      </c>
      <c r="T399" s="59">
        <f t="shared" si="109"/>
        <v>8.4033613445378158E-2</v>
      </c>
      <c r="U399" s="59">
        <f t="shared" si="110"/>
        <v>0.68794326241134751</v>
      </c>
      <c r="V399" s="42">
        <f t="shared" si="113"/>
        <v>1190</v>
      </c>
      <c r="W399" s="69">
        <f>IFERROR((VLOOKUP($A399,'Из ГУГЛа'!$B:$Z,W$1,0)+Y399)*X399,VLOOKUP($A399,'Из ГУГЛа'!$B:$Z,W$1,0))</f>
        <v>1190</v>
      </c>
      <c r="X399" s="61">
        <v>1</v>
      </c>
      <c r="Y399" s="61">
        <v>0</v>
      </c>
      <c r="Z399" s="70">
        <v>1190</v>
      </c>
      <c r="AA399" s="60" t="s">
        <v>1058</v>
      </c>
    </row>
    <row r="400" spans="1:27" ht="30" x14ac:dyDescent="0.25">
      <c r="A400" s="52">
        <v>186215</v>
      </c>
      <c r="B400" s="52">
        <f>VLOOKUP($A400,'Выгр Кат'!$A:$R,B$1,0)</f>
        <v>32553</v>
      </c>
      <c r="C400" s="53" t="str">
        <f>VLOOKUP($A400,'Выгр Кат'!$A:$R,C$1,0)</f>
        <v>Панель задка (катафорез) "АвтоВАЗ" для ВАЗ 2111</v>
      </c>
      <c r="D400" s="52" t="str">
        <f>VLOOKUP($A400,'Выгр Кат'!$A:$R,D$1,0)</f>
        <v>Y</v>
      </c>
      <c r="E400" s="52" t="str">
        <f>VLOOKUP($A400,'Выгр Кат'!$A:$R,E$1,0)</f>
        <v>1</v>
      </c>
      <c r="F400" s="52" t="str">
        <f>VLOOKUP($A400,'Выгр Кат'!$A:$R,F$1,0)</f>
        <v>21110560108210</v>
      </c>
      <c r="G400" s="52" t="str">
        <f>IF(VLOOKUP($A400,'Выгр Кат'!$A:$R,G$1,0)=0,"",VLOOKUP($A400,'Выгр Кат'!$A:$R,G$1,0))</f>
        <v>https://motorring.ru/product/87-panely-zadka-kataforeznoe-pokrytie-vaz-2111</v>
      </c>
      <c r="H400" s="52"/>
      <c r="I400" s="52"/>
      <c r="J400" s="54">
        <f t="shared" si="102"/>
        <v>1639</v>
      </c>
      <c r="K400" s="55">
        <f>VLOOKUP(J400,Наценка!$A$1:$B$8,2,1)</f>
        <v>1.5</v>
      </c>
      <c r="L400" s="56">
        <f t="shared" si="103"/>
        <v>2458.5</v>
      </c>
      <c r="M400" s="57">
        <f t="shared" si="104"/>
        <v>2490</v>
      </c>
      <c r="N400" s="52">
        <f>VLOOKUP($A400,'Выгр Кат'!$A:$R,N$1,0)</f>
        <v>1639</v>
      </c>
      <c r="O400" s="52">
        <f>VLOOKUP($A400,'Выгр Кат'!$A:$R,O$1,0)</f>
        <v>2490</v>
      </c>
      <c r="P400" s="47">
        <f t="shared" si="105"/>
        <v>0</v>
      </c>
      <c r="Q400" s="47">
        <f t="shared" si="106"/>
        <v>0</v>
      </c>
      <c r="R400" s="58">
        <f t="shared" si="107"/>
        <v>2490</v>
      </c>
      <c r="S400" s="59">
        <f t="shared" si="108"/>
        <v>0.51921903599755947</v>
      </c>
      <c r="T400" s="59">
        <f t="shared" si="109"/>
        <v>0</v>
      </c>
      <c r="U400" s="59">
        <f t="shared" si="110"/>
        <v>0.51921903599755947</v>
      </c>
      <c r="V400" s="42">
        <f t="shared" si="113"/>
        <v>2490</v>
      </c>
      <c r="W400" s="69">
        <f>IFERROR((VLOOKUP($A400,'Из ГУГЛа'!$B:$Z,W$1,0)+Y400)*X400,VLOOKUP($A400,'Из ГУГЛа'!$B:$Z,W$1,0))</f>
        <v>2490</v>
      </c>
      <c r="X400" s="61">
        <v>1</v>
      </c>
      <c r="Y400" s="61">
        <v>0</v>
      </c>
      <c r="Z400" s="70">
        <v>2490</v>
      </c>
      <c r="AA400" s="60" t="s">
        <v>1061</v>
      </c>
    </row>
    <row r="401" spans="1:27" ht="30" x14ac:dyDescent="0.25">
      <c r="A401" s="52">
        <v>186216</v>
      </c>
      <c r="B401" s="52">
        <f>VLOOKUP($A401,'Выгр Кат'!$A:$R,B$1,0)</f>
        <v>31388</v>
      </c>
      <c r="C401" s="53" t="str">
        <f>VLOOKUP($A401,'Выгр Кат'!$A:$R,C$1,0)</f>
        <v>Панель задка (катафорез) "АвтоВАЗ" для ВАЗ 2112</v>
      </c>
      <c r="D401" s="52" t="str">
        <f>VLOOKUP($A401,'Выгр Кат'!$A:$R,D$1,0)</f>
        <v>Y</v>
      </c>
      <c r="E401" s="52" t="str">
        <f>VLOOKUP($A401,'Выгр Кат'!$A:$R,E$1,0)</f>
        <v>1</v>
      </c>
      <c r="F401" s="52" t="str">
        <f>VLOOKUP($A401,'Выгр Кат'!$A:$R,F$1,0)</f>
        <v>21120560108210</v>
      </c>
      <c r="G401" s="52" t="str">
        <f>IF(VLOOKUP($A401,'Выгр Кат'!$A:$R,G$1,0)=0,"",VLOOKUP($A401,'Выгр Кат'!$A:$R,G$1,0))</f>
        <v>https://motorring.ru/product/639-panely-bagaghnika-kataforeznym-pokrytiem-dlya-vaz-2112</v>
      </c>
      <c r="H401" s="52"/>
      <c r="I401" s="52"/>
      <c r="J401" s="54">
        <f t="shared" si="102"/>
        <v>1326</v>
      </c>
      <c r="K401" s="55">
        <f>VLOOKUP(J401,Наценка!$A$1:$B$8,2,1)</f>
        <v>1.5</v>
      </c>
      <c r="L401" s="56">
        <f t="shared" si="103"/>
        <v>1989</v>
      </c>
      <c r="M401" s="57">
        <f t="shared" si="104"/>
        <v>1990</v>
      </c>
      <c r="N401" s="52">
        <f>VLOOKUP($A401,'Выгр Кат'!$A:$R,N$1,0)</f>
        <v>1326</v>
      </c>
      <c r="O401" s="52">
        <f>VLOOKUP($A401,'Выгр Кат'!$A:$R,O$1,0)</f>
        <v>1990</v>
      </c>
      <c r="P401" s="47">
        <f t="shared" si="105"/>
        <v>0</v>
      </c>
      <c r="Q401" s="47">
        <f t="shared" si="106"/>
        <v>0</v>
      </c>
      <c r="R401" s="58">
        <f t="shared" si="107"/>
        <v>1990</v>
      </c>
      <c r="S401" s="59">
        <f t="shared" si="108"/>
        <v>0.50075414781297134</v>
      </c>
      <c r="T401" s="59">
        <f t="shared" si="109"/>
        <v>-5.2910052910052907E-2</v>
      </c>
      <c r="U401" s="59">
        <f t="shared" si="110"/>
        <v>0.42533936651583715</v>
      </c>
      <c r="V401" s="42">
        <f t="shared" si="113"/>
        <v>1890</v>
      </c>
      <c r="W401" s="69">
        <f>IFERROR((VLOOKUP($A401,'Из ГУГЛа'!$B:$Z,W$1,0)+Y401)*X401,VLOOKUP($A401,'Из ГУГЛа'!$B:$Z,W$1,0))</f>
        <v>1890</v>
      </c>
      <c r="X401" s="61">
        <v>1</v>
      </c>
      <c r="Y401" s="61">
        <v>0</v>
      </c>
      <c r="Z401" s="70">
        <v>1890</v>
      </c>
      <c r="AA401" s="60" t="s">
        <v>1064</v>
      </c>
    </row>
    <row r="402" spans="1:27" ht="30" x14ac:dyDescent="0.25">
      <c r="A402" s="52">
        <v>186218</v>
      </c>
      <c r="B402" s="52">
        <f>VLOOKUP($A402,'Выгр Кат'!$A:$R,B$1,0)</f>
        <v>31224</v>
      </c>
      <c r="C402" s="53" t="str">
        <f>VLOOKUP($A402,'Выгр Кат'!$A:$R,C$1,0)</f>
        <v>Панель задка (катафорез) "АвтоВАЗ" для Лада Приора, Приора 2 универсал</v>
      </c>
      <c r="D402" s="52" t="str">
        <f>VLOOKUP($A402,'Выгр Кат'!$A:$R,D$1,0)</f>
        <v>Y</v>
      </c>
      <c r="E402" s="52" t="str">
        <f>VLOOKUP($A402,'Выгр Кат'!$A:$R,E$1,0)</f>
        <v>1</v>
      </c>
      <c r="F402" s="52" t="str">
        <f>VLOOKUP($A402,'Выгр Кат'!$A:$R,F$1,0)</f>
        <v>21710560108210</v>
      </c>
      <c r="G402" s="52" t="str">
        <f>IF(VLOOKUP($A402,'Выгр Кат'!$A:$R,G$1,0)=0,"",VLOOKUP($A402,'Выгр Кат'!$A:$R,G$1,0))</f>
        <v>https://motorring.ru/product/18156-panely-zadka-kataforeznoe-pokrytie-lada-priora-universal</v>
      </c>
      <c r="H402" s="52"/>
      <c r="I402" s="52"/>
      <c r="J402" s="54">
        <f t="shared" si="102"/>
        <v>1413</v>
      </c>
      <c r="K402" s="55">
        <f>VLOOKUP(J402,Наценка!$A$1:$B$8,2,1)</f>
        <v>1.5</v>
      </c>
      <c r="L402" s="56">
        <f t="shared" si="103"/>
        <v>2119.5</v>
      </c>
      <c r="M402" s="57">
        <f t="shared" si="104"/>
        <v>2190</v>
      </c>
      <c r="N402" s="52">
        <f>VLOOKUP($A402,'Выгр Кат'!$A:$R,N$1,0)</f>
        <v>1413</v>
      </c>
      <c r="O402" s="52">
        <f>VLOOKUP($A402,'Выгр Кат'!$A:$R,O$1,0)</f>
        <v>2190</v>
      </c>
      <c r="P402" s="47">
        <f t="shared" si="105"/>
        <v>0</v>
      </c>
      <c r="Q402" s="47">
        <f t="shared" si="106"/>
        <v>0</v>
      </c>
      <c r="R402" s="58">
        <f t="shared" si="107"/>
        <v>2190</v>
      </c>
      <c r="S402" s="59">
        <f t="shared" si="108"/>
        <v>0.54989384288747356</v>
      </c>
      <c r="T402" s="59">
        <f t="shared" si="109"/>
        <v>-4.784688995215311E-2</v>
      </c>
      <c r="U402" s="59">
        <f t="shared" si="110"/>
        <v>0.47912243453644732</v>
      </c>
      <c r="V402" s="42">
        <f t="shared" si="113"/>
        <v>2090</v>
      </c>
      <c r="W402" s="69">
        <f>IFERROR((VLOOKUP($A402,'Из ГУГЛа'!$B:$Z,W$1,0)+Y402)*X402,VLOOKUP($A402,'Из ГУГЛа'!$B:$Z,W$1,0))</f>
        <v>2090</v>
      </c>
      <c r="X402" s="61">
        <v>1</v>
      </c>
      <c r="Y402" s="61">
        <v>0</v>
      </c>
      <c r="Z402" s="70">
        <v>2090</v>
      </c>
      <c r="AA402" s="60" t="s">
        <v>1067</v>
      </c>
    </row>
    <row r="403" spans="1:27" ht="30" x14ac:dyDescent="0.25">
      <c r="A403" s="52">
        <v>186219</v>
      </c>
      <c r="B403" s="52">
        <f>VLOOKUP($A403,'Выгр Кат'!$A:$R,B$1,0)</f>
        <v>31218</v>
      </c>
      <c r="C403" s="53" t="str">
        <f>VLOOKUP($A403,'Выгр Кат'!$A:$R,C$1,0)</f>
        <v>Панель задка (катафорез) "АвтоВАЗ" для Лада Приора, Приора 2 хэтчбек</v>
      </c>
      <c r="D403" s="52" t="str">
        <f>VLOOKUP($A403,'Выгр Кат'!$A:$R,D$1,0)</f>
        <v>Y</v>
      </c>
      <c r="E403" s="52" t="str">
        <f>VLOOKUP($A403,'Выгр Кат'!$A:$R,E$1,0)</f>
        <v>1</v>
      </c>
      <c r="F403" s="52" t="str">
        <f>VLOOKUP($A403,'Выгр Кат'!$A:$R,F$1,0)</f>
        <v>21720560108210</v>
      </c>
      <c r="G403" s="52" t="str">
        <f>IF(VLOOKUP($A403,'Выгр Кат'!$A:$R,G$1,0)=0,"",VLOOKUP($A403,'Выгр Кат'!$A:$R,G$1,0))</f>
        <v>https://motorring.ru/product/10175</v>
      </c>
      <c r="H403" s="52"/>
      <c r="I403" s="52"/>
      <c r="J403" s="54">
        <f t="shared" si="102"/>
        <v>1796</v>
      </c>
      <c r="K403" s="55">
        <f>VLOOKUP(J403,Наценка!$A$1:$B$8,2,1)</f>
        <v>1.5</v>
      </c>
      <c r="L403" s="56">
        <f t="shared" si="103"/>
        <v>2694</v>
      </c>
      <c r="M403" s="57">
        <f t="shared" si="104"/>
        <v>2690</v>
      </c>
      <c r="N403" s="52">
        <f>VLOOKUP($A403,'Выгр Кат'!$A:$R,N$1,0)</f>
        <v>1796</v>
      </c>
      <c r="O403" s="52">
        <f>VLOOKUP($A403,'Выгр Кат'!$A:$R,O$1,0)</f>
        <v>2690</v>
      </c>
      <c r="P403" s="47">
        <f t="shared" si="105"/>
        <v>0</v>
      </c>
      <c r="Q403" s="47">
        <f t="shared" si="106"/>
        <v>0</v>
      </c>
      <c r="R403" s="58">
        <f t="shared" si="107"/>
        <v>2690</v>
      </c>
      <c r="S403" s="59">
        <f t="shared" si="108"/>
        <v>0.49777282850779514</v>
      </c>
      <c r="T403" s="59">
        <f t="shared" si="109"/>
        <v>-3.8610038610038609E-2</v>
      </c>
      <c r="U403" s="59">
        <f t="shared" si="110"/>
        <v>0.44209354120267252</v>
      </c>
      <c r="V403" s="42">
        <f t="shared" si="113"/>
        <v>2590</v>
      </c>
      <c r="W403" s="69">
        <f>IFERROR((VLOOKUP($A403,'Из ГУГЛа'!$B:$Z,W$1,0)+Y403)*X403,VLOOKUP($A403,'Из ГУГЛа'!$B:$Z,W$1,0))</f>
        <v>2590</v>
      </c>
      <c r="X403" s="61">
        <v>1</v>
      </c>
      <c r="Y403" s="61">
        <v>0</v>
      </c>
      <c r="Z403" s="70">
        <v>2590</v>
      </c>
      <c r="AA403" s="60" t="s">
        <v>1070</v>
      </c>
    </row>
    <row r="404" spans="1:27" ht="45" x14ac:dyDescent="0.25">
      <c r="A404" s="52">
        <v>186217</v>
      </c>
      <c r="B404" s="52">
        <f>VLOOKUP($A404,'Выгр Кат'!$A:$R,B$1,0)</f>
        <v>31426</v>
      </c>
      <c r="C404" s="53" t="str">
        <f>VLOOKUP($A404,'Выгр Кат'!$A:$R,C$1,0)</f>
        <v>Панель задка (катафорез) "АвтоВАЗ" с поперечиной в сборе для ВАЗ 2108, 2109, 2113, 2114</v>
      </c>
      <c r="D404" s="52" t="str">
        <f>VLOOKUP($A404,'Выгр Кат'!$A:$R,D$1,0)</f>
        <v>Y</v>
      </c>
      <c r="E404" s="52" t="str">
        <f>VLOOKUP($A404,'Выгр Кат'!$A:$R,E$1,0)</f>
        <v>1</v>
      </c>
      <c r="F404" s="52" t="str">
        <f>VLOOKUP($A404,'Выгр Кат'!$A:$R,F$1,0)</f>
        <v>21080560108010</v>
      </c>
      <c r="G404" s="52" t="str">
        <f>IF(VLOOKUP($A404,'Выгр Кат'!$A:$R,G$1,0)=0,"",VLOOKUP($A404,'Выгр Кат'!$A:$R,G$1,0))</f>
        <v>https://motorring.ru/product/749-panely-zadka-poperechinoy-sbore-kataforeznym-pokrytiem-dlya</v>
      </c>
      <c r="H404" s="52"/>
      <c r="I404" s="52"/>
      <c r="J404" s="54">
        <f t="shared" si="102"/>
        <v>1575</v>
      </c>
      <c r="K404" s="55">
        <f>VLOOKUP(J404,Наценка!$A$1:$B$8,2,1)</f>
        <v>1.5</v>
      </c>
      <c r="L404" s="56">
        <f t="shared" si="103"/>
        <v>2362.5</v>
      </c>
      <c r="M404" s="57">
        <f t="shared" si="104"/>
        <v>2390</v>
      </c>
      <c r="N404" s="52">
        <f>VLOOKUP($A404,'Выгр Кат'!$A:$R,N$1,0)</f>
        <v>1575</v>
      </c>
      <c r="O404" s="52">
        <f>VLOOKUP($A404,'Выгр Кат'!$A:$R,O$1,0)</f>
        <v>2390</v>
      </c>
      <c r="P404" s="47">
        <f t="shared" si="105"/>
        <v>0</v>
      </c>
      <c r="Q404" s="47">
        <f t="shared" si="106"/>
        <v>0</v>
      </c>
      <c r="R404" s="58">
        <f t="shared" si="107"/>
        <v>2390</v>
      </c>
      <c r="S404" s="59">
        <f t="shared" si="108"/>
        <v>0.5174603174603174</v>
      </c>
      <c r="T404" s="59">
        <f t="shared" si="109"/>
        <v>0</v>
      </c>
      <c r="U404" s="59">
        <f t="shared" si="110"/>
        <v>0.5174603174603174</v>
      </c>
      <c r="V404" s="42">
        <f t="shared" si="113"/>
        <v>2390</v>
      </c>
      <c r="W404" s="69">
        <f>IFERROR((VLOOKUP($A404,'Из ГУГЛа'!$B:$Z,W$1,0)+Y404)*X404,VLOOKUP($A404,'Из ГУГЛа'!$B:$Z,W$1,0))</f>
        <v>2390</v>
      </c>
      <c r="X404" s="61">
        <v>1</v>
      </c>
      <c r="Y404" s="61">
        <v>0</v>
      </c>
      <c r="Z404" s="70">
        <v>2390</v>
      </c>
      <c r="AA404" s="60" t="s">
        <v>1073</v>
      </c>
    </row>
    <row r="405" spans="1:27" ht="30" x14ac:dyDescent="0.25">
      <c r="A405" s="52">
        <v>186220</v>
      </c>
      <c r="B405" s="52">
        <f>VLOOKUP($A405,'Выгр Кат'!$A:$R,B$1,0)</f>
        <v>36313</v>
      </c>
      <c r="C405" s="53" t="str">
        <f>VLOOKUP($A405,'Выгр Кат'!$A:$R,C$1,0)</f>
        <v>Панель задка в сборе (из 3-х частей) для ВАЗ 2112</v>
      </c>
      <c r="D405" s="52" t="str">
        <f>VLOOKUP($A405,'Выгр Кат'!$A:$R,D$1,0)</f>
        <v>Y</v>
      </c>
      <c r="E405" s="52" t="str">
        <f>VLOOKUP($A405,'Выгр Кат'!$A:$R,E$1,0)</f>
        <v>1</v>
      </c>
      <c r="F405" s="52" t="str">
        <f>VLOOKUP($A405,'Выгр Кат'!$A:$R,F$1,0)</f>
        <v>21120560108063</v>
      </c>
      <c r="G405" s="52" t="str">
        <f>IF(VLOOKUP($A405,'Выгр Кат'!$A:$R,G$1,0)=0,"",VLOOKUP($A405,'Выгр Кат'!$A:$R,G$1,0))</f>
        <v>https://motorring.ru/product/35274-panely-zadka-sbore-dlya-vaz-2112</v>
      </c>
      <c r="H405" s="52"/>
      <c r="I405" s="52"/>
      <c r="J405" s="54">
        <f t="shared" si="102"/>
        <v>3250</v>
      </c>
      <c r="K405" s="55">
        <f>VLOOKUP(J405,Наценка!$A$1:$B$8,2,1)</f>
        <v>1.4</v>
      </c>
      <c r="L405" s="56">
        <f t="shared" si="103"/>
        <v>4550</v>
      </c>
      <c r="M405" s="57">
        <f t="shared" si="104"/>
        <v>4590</v>
      </c>
      <c r="N405" s="52">
        <f>VLOOKUP($A405,'Выгр Кат'!$A:$R,N$1,0)</f>
        <v>3250</v>
      </c>
      <c r="O405" s="52">
        <f>VLOOKUP($A405,'Выгр Кат'!$A:$R,O$1,0)</f>
        <v>4590</v>
      </c>
      <c r="P405" s="47">
        <f t="shared" si="105"/>
        <v>0</v>
      </c>
      <c r="Q405" s="47">
        <f t="shared" si="106"/>
        <v>0</v>
      </c>
      <c r="R405" s="58">
        <f t="shared" si="107"/>
        <v>4590</v>
      </c>
      <c r="S405" s="59">
        <f t="shared" si="108"/>
        <v>0.41230769230769226</v>
      </c>
      <c r="T405" s="59">
        <f t="shared" si="109"/>
        <v>-4.5558086560364468E-2</v>
      </c>
      <c r="U405" s="59">
        <f t="shared" si="110"/>
        <v>0.35076923076923072</v>
      </c>
      <c r="V405" s="42">
        <f t="shared" si="113"/>
        <v>4390</v>
      </c>
      <c r="W405" s="69">
        <f>IFERROR((VLOOKUP($A405,'Из ГУГЛа'!$B:$Z,W$1,0)+Y405)*X405,VLOOKUP($A405,'Из ГУГЛа'!$B:$Z,W$1,0))</f>
        <v>4390</v>
      </c>
      <c r="X405" s="61">
        <v>1</v>
      </c>
      <c r="Y405" s="61">
        <v>0</v>
      </c>
      <c r="Z405" s="70">
        <v>4390</v>
      </c>
      <c r="AA405" s="60" t="s">
        <v>1076</v>
      </c>
    </row>
    <row r="406" spans="1:27" ht="45" x14ac:dyDescent="0.25">
      <c r="A406" s="52">
        <v>186221</v>
      </c>
      <c r="B406" s="52">
        <f>VLOOKUP($A406,'Выгр Кат'!$A:$R,B$1,0)</f>
        <v>32520</v>
      </c>
      <c r="C406" s="53" t="str">
        <f>VLOOKUP($A406,'Выгр Кат'!$A:$R,C$1,0)</f>
        <v>Панель задка с поперечиной (катафорез) "АвтоВАЗ" в сборе для Лада Калина седан, Гранта седан</v>
      </c>
      <c r="D406" s="52" t="str">
        <f>VLOOKUP($A406,'Выгр Кат'!$A:$R,D$1,0)</f>
        <v>Y</v>
      </c>
      <c r="E406" s="52" t="str">
        <f>VLOOKUP($A406,'Выгр Кат'!$A:$R,E$1,0)</f>
        <v>1</v>
      </c>
      <c r="F406" s="52" t="str">
        <f>VLOOKUP($A406,'Выгр Кат'!$A:$R,F$1,0)</f>
        <v>11180560108070</v>
      </c>
      <c r="G406" s="52" t="str">
        <f>IF(VLOOKUP($A406,'Выгр Кат'!$A:$R,G$1,0)=0,"",VLOOKUP($A406,'Выгр Кат'!$A:$R,G$1,0))</f>
        <v>https://motorring.ru/product/38286-panely-zadka-sbore-dlya-lada-kalina-sedan-granta-sedan</v>
      </c>
      <c r="H406" s="52"/>
      <c r="I406" s="52"/>
      <c r="J406" s="54">
        <f t="shared" si="102"/>
        <v>3355</v>
      </c>
      <c r="K406" s="55">
        <f>VLOOKUP(J406,Наценка!$A$1:$B$8,2,1)</f>
        <v>1.4</v>
      </c>
      <c r="L406" s="56">
        <f t="shared" si="103"/>
        <v>4697</v>
      </c>
      <c r="M406" s="57">
        <f t="shared" si="104"/>
        <v>4690</v>
      </c>
      <c r="N406" s="52">
        <f>VLOOKUP($A406,'Выгр Кат'!$A:$R,N$1,0)</f>
        <v>3355</v>
      </c>
      <c r="O406" s="52">
        <f>VLOOKUP($A406,'Выгр Кат'!$A:$R,O$1,0)</f>
        <v>4690</v>
      </c>
      <c r="P406" s="47">
        <f t="shared" si="105"/>
        <v>0</v>
      </c>
      <c r="Q406" s="47">
        <f t="shared" si="106"/>
        <v>0</v>
      </c>
      <c r="R406" s="58">
        <f t="shared" si="107"/>
        <v>4690</v>
      </c>
      <c r="S406" s="59">
        <f t="shared" si="108"/>
        <v>0.3979135618479881</v>
      </c>
      <c r="T406" s="59">
        <f t="shared" si="109"/>
        <v>-6.8337129840546698E-2</v>
      </c>
      <c r="U406" s="59">
        <f t="shared" si="110"/>
        <v>0.30849478390461993</v>
      </c>
      <c r="V406" s="42">
        <f t="shared" si="113"/>
        <v>4390</v>
      </c>
      <c r="W406" s="69">
        <f>IFERROR((VLOOKUP($A406,'Из ГУГЛа'!$B:$Z,W$1,0)+Y406)*X406,VLOOKUP($A406,'Из ГУГЛа'!$B:$Z,W$1,0))</f>
        <v>4390</v>
      </c>
      <c r="X406" s="61">
        <v>1</v>
      </c>
      <c r="Y406" s="61">
        <v>0</v>
      </c>
      <c r="Z406" s="70">
        <v>4390</v>
      </c>
      <c r="AA406" s="60" t="s">
        <v>1079</v>
      </c>
    </row>
    <row r="407" spans="1:27" ht="45" x14ac:dyDescent="0.25">
      <c r="A407" s="52">
        <v>186222</v>
      </c>
      <c r="B407" s="52">
        <f>VLOOKUP($A407,'Выгр Кат'!$A:$R,B$1,0)</f>
        <v>31449</v>
      </c>
      <c r="C407" s="53" t="str">
        <f>VLOOKUP($A407,'Выгр Кат'!$A:$R,C$1,0)</f>
        <v>Панель задка с поперечиной (катафорез) "АвтоВАЗ" в сборе для Лада Калина хэтчбек</v>
      </c>
      <c r="D407" s="52" t="str">
        <f>VLOOKUP($A407,'Выгр Кат'!$A:$R,D$1,0)</f>
        <v>Y</v>
      </c>
      <c r="E407" s="52" t="str">
        <f>VLOOKUP($A407,'Выгр Кат'!$A:$R,E$1,0)</f>
        <v>1</v>
      </c>
      <c r="F407" s="52" t="str">
        <f>VLOOKUP($A407,'Выгр Кат'!$A:$R,F$1,0)</f>
        <v>11190560108070</v>
      </c>
      <c r="G407" s="52" t="str">
        <f>IF(VLOOKUP($A407,'Выгр Кат'!$A:$R,G$1,0)=0,"",VLOOKUP($A407,'Выгр Кат'!$A:$R,G$1,0))</f>
        <v>https://motorring.ru/product/2474-panely-zadka-poperechinoy-sbore-kataforeznoe-pokrytie-lada</v>
      </c>
      <c r="H407" s="52"/>
      <c r="I407" s="52"/>
      <c r="J407" s="54">
        <f t="shared" si="102"/>
        <v>3027</v>
      </c>
      <c r="K407" s="55">
        <f>VLOOKUP(J407,Наценка!$A$1:$B$8,2,1)</f>
        <v>1.4</v>
      </c>
      <c r="L407" s="56">
        <f t="shared" si="103"/>
        <v>4237.8</v>
      </c>
      <c r="M407" s="57">
        <f t="shared" si="104"/>
        <v>4290</v>
      </c>
      <c r="N407" s="52">
        <f>VLOOKUP($A407,'Выгр Кат'!$A:$R,N$1,0)</f>
        <v>3027</v>
      </c>
      <c r="O407" s="52">
        <f>VLOOKUP($A407,'Выгр Кат'!$A:$R,O$1,0)</f>
        <v>4290</v>
      </c>
      <c r="P407" s="47">
        <f t="shared" si="105"/>
        <v>0</v>
      </c>
      <c r="Q407" s="47">
        <f t="shared" si="106"/>
        <v>0</v>
      </c>
      <c r="R407" s="58">
        <f t="shared" si="107"/>
        <v>4290</v>
      </c>
      <c r="S407" s="59">
        <f t="shared" si="108"/>
        <v>0.4172447968285431</v>
      </c>
      <c r="T407" s="59">
        <f t="shared" si="109"/>
        <v>0</v>
      </c>
      <c r="U407" s="59">
        <f t="shared" si="110"/>
        <v>0.4172447968285431</v>
      </c>
      <c r="V407" s="42">
        <f t="shared" si="113"/>
        <v>4290</v>
      </c>
      <c r="W407" s="69">
        <f>IFERROR((VLOOKUP($A407,'Из ГУГЛа'!$B:$Z,W$1,0)+Y407)*X407,VLOOKUP($A407,'Из ГУГЛа'!$B:$Z,W$1,0))</f>
        <v>4290</v>
      </c>
      <c r="X407" s="61">
        <v>1</v>
      </c>
      <c r="Y407" s="61">
        <v>0</v>
      </c>
      <c r="Z407" s="70">
        <v>4290</v>
      </c>
      <c r="AA407" s="60" t="s">
        <v>1082</v>
      </c>
    </row>
    <row r="408" spans="1:27" ht="30" x14ac:dyDescent="0.25">
      <c r="A408" s="52">
        <v>186223</v>
      </c>
      <c r="B408" s="52">
        <f>VLOOKUP($A408,'Выгр Кат'!$A:$R,B$1,0)</f>
        <v>31312</v>
      </c>
      <c r="C408" s="53" t="str">
        <f>VLOOKUP($A408,'Выгр Кат'!$A:$R,C$1,0)</f>
        <v>Панель задка угловая (катафорез) "АвтоВАЗ" левая для Лада Нива 4x4</v>
      </c>
      <c r="D408" s="52" t="str">
        <f>VLOOKUP($A408,'Выгр Кат'!$A:$R,D$1,0)</f>
        <v>Y</v>
      </c>
      <c r="E408" s="52" t="str">
        <f>VLOOKUP($A408,'Выгр Кат'!$A:$R,E$1,0)</f>
        <v>1</v>
      </c>
      <c r="F408" s="52" t="str">
        <f>VLOOKUP($A408,'Выгр Кат'!$A:$R,F$1,0)</f>
        <v>21213560101310</v>
      </c>
      <c r="G408" s="52" t="str">
        <f>IF(VLOOKUP($A408,'Выгр Кат'!$A:$R,G$1,0)=0,"",VLOOKUP($A408,'Выгр Кат'!$A:$R,G$1,0))</f>
        <v>https://motorring.ru/product/1529-panely-zadka-uglovaya-levaya-kataforeznoe-pokrytie-lada-4h4</v>
      </c>
      <c r="H408" s="52"/>
      <c r="I408" s="52"/>
      <c r="J408" s="54">
        <f t="shared" si="102"/>
        <v>1106</v>
      </c>
      <c r="K408" s="55">
        <f>VLOOKUP(J408,Наценка!$A$1:$B$8,2,1)</f>
        <v>1.5</v>
      </c>
      <c r="L408" s="56">
        <f t="shared" si="103"/>
        <v>1659</v>
      </c>
      <c r="M408" s="57">
        <f t="shared" si="104"/>
        <v>1690</v>
      </c>
      <c r="N408" s="52">
        <f>VLOOKUP($A408,'Выгр Кат'!$A:$R,N$1,0)</f>
        <v>1106</v>
      </c>
      <c r="O408" s="52">
        <f>VLOOKUP($A408,'Выгр Кат'!$A:$R,O$1,0)</f>
        <v>1690</v>
      </c>
      <c r="P408" s="47">
        <f t="shared" si="105"/>
        <v>0</v>
      </c>
      <c r="Q408" s="47">
        <f t="shared" si="106"/>
        <v>0</v>
      </c>
      <c r="R408" s="58">
        <f t="shared" si="107"/>
        <v>1690</v>
      </c>
      <c r="S408" s="59">
        <f t="shared" si="108"/>
        <v>0.52802893309222432</v>
      </c>
      <c r="T408" s="59">
        <f t="shared" si="109"/>
        <v>0</v>
      </c>
      <c r="U408" s="59">
        <f t="shared" si="110"/>
        <v>0.52802893309222432</v>
      </c>
      <c r="V408" s="42">
        <f t="shared" si="113"/>
        <v>1690</v>
      </c>
      <c r="W408" s="69">
        <f>IFERROR((VLOOKUP($A408,'Из ГУГЛа'!$B:$Z,W$1,0)+Y408)*X408,VLOOKUP($A408,'Из ГУГЛа'!$B:$Z,W$1,0))</f>
        <v>1690</v>
      </c>
      <c r="X408" s="61">
        <v>1</v>
      </c>
      <c r="Y408" s="61">
        <v>0</v>
      </c>
      <c r="Z408" s="70">
        <v>1690</v>
      </c>
      <c r="AA408" s="60" t="s">
        <v>1085</v>
      </c>
    </row>
    <row r="409" spans="1:27" ht="30" x14ac:dyDescent="0.25">
      <c r="A409" s="52">
        <v>186224</v>
      </c>
      <c r="B409" s="52">
        <f>VLOOKUP($A409,'Выгр Кат'!$A:$R,B$1,0)</f>
        <v>31313</v>
      </c>
      <c r="C409" s="53" t="str">
        <f>VLOOKUP($A409,'Выгр Кат'!$A:$R,C$1,0)</f>
        <v>Панель задка угловая (катафорез) "АвтоВАЗ" правая для Лада Нива 4x4</v>
      </c>
      <c r="D409" s="52" t="str">
        <f>VLOOKUP($A409,'Выгр Кат'!$A:$R,D$1,0)</f>
        <v>Y</v>
      </c>
      <c r="E409" s="52" t="str">
        <f>VLOOKUP($A409,'Выгр Кат'!$A:$R,E$1,0)</f>
        <v>1</v>
      </c>
      <c r="F409" s="52" t="str">
        <f>VLOOKUP($A409,'Выгр Кат'!$A:$R,F$1,0)</f>
        <v>21213560101210</v>
      </c>
      <c r="G409" s="52" t="str">
        <f>IF(VLOOKUP($A409,'Выгр Кат'!$A:$R,G$1,0)=0,"",VLOOKUP($A409,'Выгр Кат'!$A:$R,G$1,0))</f>
        <v>https://motorring.ru/product/2621-panely-zadka-uglovaya-pravaya-kataforeznoe-pokrytie-lada</v>
      </c>
      <c r="H409" s="52"/>
      <c r="I409" s="52"/>
      <c r="J409" s="54">
        <f t="shared" si="102"/>
        <v>393</v>
      </c>
      <c r="K409" s="55">
        <f>VLOOKUP(J409,Наценка!$A$1:$B$8,2,1)</f>
        <v>1.6</v>
      </c>
      <c r="L409" s="56">
        <f t="shared" si="103"/>
        <v>628.80000000000007</v>
      </c>
      <c r="M409" s="57">
        <f t="shared" si="104"/>
        <v>629</v>
      </c>
      <c r="N409" s="52">
        <f>VLOOKUP($A409,'Выгр Кат'!$A:$R,N$1,0)</f>
        <v>393</v>
      </c>
      <c r="O409" s="52">
        <f>VLOOKUP($A409,'Выгр Кат'!$A:$R,O$1,0)</f>
        <v>629</v>
      </c>
      <c r="P409" s="47">
        <f t="shared" si="105"/>
        <v>0</v>
      </c>
      <c r="Q409" s="47">
        <f t="shared" si="106"/>
        <v>0</v>
      </c>
      <c r="R409" s="58">
        <f t="shared" si="107"/>
        <v>629</v>
      </c>
      <c r="S409" s="59">
        <f t="shared" si="108"/>
        <v>0.60050890585241734</v>
      </c>
      <c r="T409" s="59">
        <f t="shared" si="109"/>
        <v>8.8405797101449274E-2</v>
      </c>
      <c r="U409" s="59">
        <f t="shared" si="110"/>
        <v>0.75572519083969469</v>
      </c>
      <c r="V409" s="42">
        <f t="shared" si="113"/>
        <v>690</v>
      </c>
      <c r="W409" s="69">
        <f>IFERROR((VLOOKUP($A409,'Из ГУГЛа'!$B:$Z,W$1,0)+Y409)*X409,VLOOKUP($A409,'Из ГУГЛа'!$B:$Z,W$1,0))</f>
        <v>690</v>
      </c>
      <c r="X409" s="61">
        <v>1</v>
      </c>
      <c r="Y409" s="61">
        <v>0</v>
      </c>
      <c r="Z409" s="70">
        <v>690</v>
      </c>
      <c r="AA409" s="60" t="s">
        <v>1088</v>
      </c>
    </row>
    <row r="410" spans="1:27" ht="45" x14ac:dyDescent="0.25">
      <c r="A410" s="52">
        <v>186225</v>
      </c>
      <c r="B410" s="52">
        <f>VLOOKUP($A410,'Выгр Кат'!$A:$R,B$1,0)</f>
        <v>31208</v>
      </c>
      <c r="C410" s="53" t="str">
        <f>VLOOKUP($A410,'Выгр Кат'!$A:$R,C$1,0)</f>
        <v>Панель задка угловая внутренняя "АвтоВАЗ" левая для Лада Гранта лифтбек</v>
      </c>
      <c r="D410" s="52" t="str">
        <f>VLOOKUP($A410,'Выгр Кат'!$A:$R,D$1,0)</f>
        <v>Y</v>
      </c>
      <c r="E410" s="52" t="str">
        <f>VLOOKUP($A410,'Выгр Кат'!$A:$R,E$1,0)</f>
        <v>1</v>
      </c>
      <c r="F410" s="52" t="str">
        <f>VLOOKUP($A410,'Выгр Кат'!$A:$R,F$1,0)</f>
        <v>21910560135100</v>
      </c>
      <c r="G410" s="52" t="str">
        <f>IF(VLOOKUP($A410,'Выгр Кат'!$A:$R,G$1,0)=0,"",VLOOKUP($A410,'Выгр Кат'!$A:$R,G$1,0))</f>
        <v/>
      </c>
      <c r="H410" s="52"/>
      <c r="I410" s="52"/>
      <c r="J410" s="54">
        <f t="shared" si="102"/>
        <v>456</v>
      </c>
      <c r="K410" s="55">
        <f>VLOOKUP(J410,Наценка!$A$1:$B$8,2,1)</f>
        <v>1.6</v>
      </c>
      <c r="L410" s="56">
        <f t="shared" si="103"/>
        <v>729.6</v>
      </c>
      <c r="M410" s="57">
        <f t="shared" si="104"/>
        <v>729</v>
      </c>
      <c r="N410" s="52">
        <f>VLOOKUP($A410,'Выгр Кат'!$A:$R,N$1,0)</f>
        <v>456</v>
      </c>
      <c r="O410" s="52">
        <f>VLOOKUP($A410,'Выгр Кат'!$A:$R,O$1,0)</f>
        <v>729</v>
      </c>
      <c r="P410" s="47">
        <f t="shared" si="105"/>
        <v>0</v>
      </c>
      <c r="Q410" s="47">
        <f t="shared" si="106"/>
        <v>0</v>
      </c>
      <c r="R410" s="58">
        <f t="shared" si="107"/>
        <v>729</v>
      </c>
      <c r="S410" s="59">
        <f t="shared" si="108"/>
        <v>0.59868421052631571</v>
      </c>
      <c r="T410" s="59" t="str">
        <f t="shared" si="109"/>
        <v/>
      </c>
      <c r="U410" s="59" t="str">
        <f t="shared" si="110"/>
        <v/>
      </c>
      <c r="V410" s="60"/>
      <c r="W410" s="69" t="str">
        <f>IFERROR((VLOOKUP($A410,'Из ГУГЛа'!$B:$Z,W$1,0)+Y410)*X410,VLOOKUP($A410,'Из ГУГЛа'!$B:$Z,W$1,0))</f>
        <v/>
      </c>
      <c r="X410" s="61">
        <v>1</v>
      </c>
      <c r="Y410" s="61">
        <v>0</v>
      </c>
      <c r="Z410" s="60" t="s">
        <v>4170</v>
      </c>
      <c r="AA410" s="60"/>
    </row>
    <row r="411" spans="1:27" ht="45" x14ac:dyDescent="0.25">
      <c r="A411" s="52">
        <v>186226</v>
      </c>
      <c r="B411" s="52">
        <f>VLOOKUP($A411,'Выгр Кат'!$A:$R,B$1,0)</f>
        <v>31209</v>
      </c>
      <c r="C411" s="53" t="str">
        <f>VLOOKUP($A411,'Выгр Кат'!$A:$R,C$1,0)</f>
        <v>Панель задка угловая внутренняя "АвтоВАЗ" правая для Лада Гранта, Гранта FL</v>
      </c>
      <c r="D411" s="52" t="str">
        <f>VLOOKUP($A411,'Выгр Кат'!$A:$R,D$1,0)</f>
        <v>Y</v>
      </c>
      <c r="E411" s="52" t="str">
        <f>VLOOKUP($A411,'Выгр Кат'!$A:$R,E$1,0)</f>
        <v>1</v>
      </c>
      <c r="F411" s="52" t="str">
        <f>VLOOKUP($A411,'Выгр Кат'!$A:$R,F$1,0)</f>
        <v>21910560135000</v>
      </c>
      <c r="G411" s="52" t="str">
        <f>IF(VLOOKUP($A411,'Выгр Кат'!$A:$R,G$1,0)=0,"",VLOOKUP($A411,'Выгр Кат'!$A:$R,G$1,0))</f>
        <v/>
      </c>
      <c r="H411" s="52"/>
      <c r="I411" s="52"/>
      <c r="J411" s="54">
        <f t="shared" si="102"/>
        <v>456</v>
      </c>
      <c r="K411" s="55">
        <f>VLOOKUP(J411,Наценка!$A$1:$B$8,2,1)</f>
        <v>1.6</v>
      </c>
      <c r="L411" s="56">
        <f t="shared" si="103"/>
        <v>729.6</v>
      </c>
      <c r="M411" s="57">
        <f t="shared" si="104"/>
        <v>729</v>
      </c>
      <c r="N411" s="52">
        <f>VLOOKUP($A411,'Выгр Кат'!$A:$R,N$1,0)</f>
        <v>456</v>
      </c>
      <c r="O411" s="52">
        <f>VLOOKUP($A411,'Выгр Кат'!$A:$R,O$1,0)</f>
        <v>729</v>
      </c>
      <c r="P411" s="47">
        <f t="shared" si="105"/>
        <v>0</v>
      </c>
      <c r="Q411" s="47">
        <f t="shared" si="106"/>
        <v>0</v>
      </c>
      <c r="R411" s="58">
        <f t="shared" si="107"/>
        <v>729</v>
      </c>
      <c r="S411" s="59">
        <f t="shared" si="108"/>
        <v>0.59868421052631571</v>
      </c>
      <c r="T411" s="59" t="str">
        <f t="shared" si="109"/>
        <v/>
      </c>
      <c r="U411" s="59" t="str">
        <f t="shared" si="110"/>
        <v/>
      </c>
      <c r="V411" s="60"/>
      <c r="W411" s="69" t="str">
        <f>IFERROR((VLOOKUP($A411,'Из ГУГЛа'!$B:$Z,W$1,0)+Y411)*X411,VLOOKUP($A411,'Из ГУГЛа'!$B:$Z,W$1,0))</f>
        <v/>
      </c>
      <c r="X411" s="61">
        <v>1</v>
      </c>
      <c r="Y411" s="61">
        <v>0</v>
      </c>
      <c r="Z411" s="60" t="s">
        <v>4170</v>
      </c>
      <c r="AA411" s="60"/>
    </row>
    <row r="412" spans="1:27" ht="30" x14ac:dyDescent="0.25">
      <c r="A412" s="52">
        <v>186227</v>
      </c>
      <c r="B412" s="52">
        <f>VLOOKUP($A412,'Выгр Кат'!$A:$R,B$1,0)</f>
        <v>31066</v>
      </c>
      <c r="C412" s="53" t="str">
        <f>VLOOKUP($A412,'Выгр Кат'!$A:$R,C$1,0)</f>
        <v>Панель заднего пола "Renault" передняя, в сборе для Лада Ларгус</v>
      </c>
      <c r="D412" s="52" t="str">
        <f>VLOOKUP($A412,'Выгр Кат'!$A:$R,D$1,0)</f>
        <v>Y</v>
      </c>
      <c r="E412" s="52" t="str">
        <f>VLOOKUP($A412,'Выгр Кат'!$A:$R,E$1,0)</f>
        <v>1</v>
      </c>
      <c r="F412" s="52" t="str">
        <f>VLOOKUP($A412,'Выгр Кат'!$A:$R,F$1,0)</f>
        <v>6001548778</v>
      </c>
      <c r="G412" s="52" t="str">
        <f>IF(VLOOKUP($A412,'Выгр Кат'!$A:$R,G$1,0)=0,"",VLOOKUP($A412,'Выгр Кат'!$A:$R,G$1,0))</f>
        <v>https://motorring.ru/product/33621-perednyaya-panely-zadnego-pola-renault-dlya-lada-largus</v>
      </c>
      <c r="H412" s="52"/>
      <c r="I412" s="52"/>
      <c r="J412" s="54">
        <f t="shared" si="102"/>
        <v>9083</v>
      </c>
      <c r="K412" s="55">
        <f>VLOOKUP(J412,Наценка!$A$1:$B$8,2,1)</f>
        <v>1.35</v>
      </c>
      <c r="L412" s="56">
        <f t="shared" si="103"/>
        <v>12262.050000000001</v>
      </c>
      <c r="M412" s="57">
        <f t="shared" si="104"/>
        <v>12290</v>
      </c>
      <c r="N412" s="52">
        <f>VLOOKUP($A412,'Выгр Кат'!$A:$R,N$1,0)</f>
        <v>9083</v>
      </c>
      <c r="O412" s="52">
        <f>VLOOKUP($A412,'Выгр Кат'!$A:$R,O$1,0)</f>
        <v>12790</v>
      </c>
      <c r="P412" s="47">
        <f t="shared" si="105"/>
        <v>0</v>
      </c>
      <c r="Q412" s="47">
        <f t="shared" si="106"/>
        <v>500</v>
      </c>
      <c r="R412" s="58">
        <f t="shared" si="107"/>
        <v>12290</v>
      </c>
      <c r="S412" s="59">
        <f t="shared" si="108"/>
        <v>0.35307717714411546</v>
      </c>
      <c r="T412" s="59">
        <f t="shared" si="109"/>
        <v>0.32804811372334608</v>
      </c>
      <c r="U412" s="59">
        <f t="shared" si="110"/>
        <v>1.013651877133106</v>
      </c>
      <c r="V412" s="42">
        <f>Z412</f>
        <v>18290</v>
      </c>
      <c r="W412" s="69">
        <f>IFERROR((VLOOKUP($A412,'Из ГУГЛа'!$B:$Z,W$1,0)+Y412)*X412,VLOOKUP($A412,'Из ГУГЛа'!$B:$Z,W$1,0))</f>
        <v>18290</v>
      </c>
      <c r="X412" s="61">
        <v>1</v>
      </c>
      <c r="Y412" s="61">
        <v>0</v>
      </c>
      <c r="Z412" s="70">
        <v>18290</v>
      </c>
      <c r="AA412" s="60" t="s">
        <v>1095</v>
      </c>
    </row>
    <row r="413" spans="1:27" ht="30" x14ac:dyDescent="0.25">
      <c r="A413" s="52">
        <v>186228</v>
      </c>
      <c r="B413" s="52">
        <f>VLOOKUP($A413,'Выгр Кат'!$A:$R,B$1,0)</f>
        <v>32569</v>
      </c>
      <c r="C413" s="53" t="str">
        <f>VLOOKUP($A413,'Выгр Кат'!$A:$R,C$1,0)</f>
        <v>Панель задней стойки внутренняя (уголок) "АвтоВАЗ" левая для ВАЗ 2112</v>
      </c>
      <c r="D413" s="52" t="str">
        <f>VLOOKUP($A413,'Выгр Кат'!$A:$R,D$1,0)</f>
        <v>Y</v>
      </c>
      <c r="E413" s="52" t="str">
        <f>VLOOKUP($A413,'Выгр Кат'!$A:$R,E$1,0)</f>
        <v>1</v>
      </c>
      <c r="F413" s="52" t="str">
        <f>VLOOKUP($A413,'Выгр Кат'!$A:$R,F$1,0)</f>
        <v>21120540142700</v>
      </c>
      <c r="G413" s="52" t="str">
        <f>IF(VLOOKUP($A413,'Выгр Кат'!$A:$R,G$1,0)=0,"",VLOOKUP($A413,'Выгр Кат'!$A:$R,G$1,0))</f>
        <v/>
      </c>
      <c r="H413" s="52"/>
      <c r="I413" s="52"/>
      <c r="J413" s="54">
        <f t="shared" si="102"/>
        <v>310</v>
      </c>
      <c r="K413" s="55">
        <f>VLOOKUP(J413,Наценка!$A$1:$B$8,2,1)</f>
        <v>1.6</v>
      </c>
      <c r="L413" s="56">
        <f t="shared" si="103"/>
        <v>496</v>
      </c>
      <c r="M413" s="57">
        <f t="shared" si="104"/>
        <v>499</v>
      </c>
      <c r="N413" s="52">
        <f>VLOOKUP($A413,'Выгр Кат'!$A:$R,N$1,0)</f>
        <v>310</v>
      </c>
      <c r="O413" s="52">
        <f>VLOOKUP($A413,'Выгр Кат'!$A:$R,O$1,0)</f>
        <v>499</v>
      </c>
      <c r="P413" s="47">
        <f t="shared" si="105"/>
        <v>0</v>
      </c>
      <c r="Q413" s="47">
        <f t="shared" si="106"/>
        <v>0</v>
      </c>
      <c r="R413" s="58">
        <f t="shared" si="107"/>
        <v>499</v>
      </c>
      <c r="S413" s="59">
        <f t="shared" si="108"/>
        <v>0.60967741935483866</v>
      </c>
      <c r="T413" s="59" t="str">
        <f t="shared" si="109"/>
        <v/>
      </c>
      <c r="U413" s="59" t="str">
        <f t="shared" si="110"/>
        <v/>
      </c>
      <c r="V413" s="60"/>
      <c r="W413" s="69" t="str">
        <f>IFERROR((VLOOKUP($A413,'Из ГУГЛа'!$B:$Z,W$1,0)+Y413)*X413,VLOOKUP($A413,'Из ГУГЛа'!$B:$Z,W$1,0))</f>
        <v/>
      </c>
      <c r="X413" s="61">
        <v>1</v>
      </c>
      <c r="Y413" s="61">
        <v>0</v>
      </c>
      <c r="Z413" s="60" t="s">
        <v>4169</v>
      </c>
      <c r="AA413" s="60"/>
    </row>
    <row r="414" spans="1:27" ht="30" x14ac:dyDescent="0.25">
      <c r="A414" s="52">
        <v>186229</v>
      </c>
      <c r="B414" s="52">
        <f>VLOOKUP($A414,'Выгр Кат'!$A:$R,B$1,0)</f>
        <v>32545</v>
      </c>
      <c r="C414" s="53" t="str">
        <f>VLOOKUP($A414,'Выгр Кат'!$A:$R,C$1,0)</f>
        <v>Панель задней форточки внутренняя "АвтоВАЗ" левая для ВАЗ 2110</v>
      </c>
      <c r="D414" s="52" t="str">
        <f>VLOOKUP($A414,'Выгр Кат'!$A:$R,D$1,0)</f>
        <v>Y</v>
      </c>
      <c r="E414" s="52" t="str">
        <f>VLOOKUP($A414,'Выгр Кат'!$A:$R,E$1,0)</f>
        <v>1</v>
      </c>
      <c r="F414" s="52" t="str">
        <f>VLOOKUP($A414,'Выгр Кат'!$A:$R,F$1,0)</f>
        <v>21100540142700</v>
      </c>
      <c r="G414" s="52" t="str">
        <f>IF(VLOOKUP($A414,'Выгр Кат'!$A:$R,G$1,0)=0,"",VLOOKUP($A414,'Выгр Кат'!$A:$R,G$1,0))</f>
        <v>https://motorring.ru/product/3225-panely-zadney-fortochki-vnutrennyaya-levaya-vaz-2110</v>
      </c>
      <c r="H414" s="52"/>
      <c r="I414" s="52"/>
      <c r="J414" s="54">
        <f t="shared" si="102"/>
        <v>216</v>
      </c>
      <c r="K414" s="55">
        <f>VLOOKUP(J414,Наценка!$A$1:$B$8,2,1)</f>
        <v>1.8</v>
      </c>
      <c r="L414" s="56">
        <f t="shared" si="103"/>
        <v>388.8</v>
      </c>
      <c r="M414" s="57">
        <f t="shared" si="104"/>
        <v>389</v>
      </c>
      <c r="N414" s="52">
        <f>VLOOKUP($A414,'Выгр Кат'!$A:$R,N$1,0)</f>
        <v>216</v>
      </c>
      <c r="O414" s="52">
        <f>VLOOKUP($A414,'Выгр Кат'!$A:$R,O$1,0)</f>
        <v>389</v>
      </c>
      <c r="P414" s="47">
        <f t="shared" si="105"/>
        <v>0</v>
      </c>
      <c r="Q414" s="47">
        <f t="shared" si="106"/>
        <v>0</v>
      </c>
      <c r="R414" s="58">
        <f t="shared" si="107"/>
        <v>389</v>
      </c>
      <c r="S414" s="59">
        <f t="shared" si="108"/>
        <v>0.80092592592592582</v>
      </c>
      <c r="T414" s="59">
        <f t="shared" si="109"/>
        <v>2.5641025641025641E-3</v>
      </c>
      <c r="U414" s="59">
        <f t="shared" si="110"/>
        <v>0.80555555555555558</v>
      </c>
      <c r="V414" s="42">
        <f t="shared" ref="V414:V415" si="114">Z414</f>
        <v>390</v>
      </c>
      <c r="W414" s="69">
        <f>IFERROR((VLOOKUP($A414,'Из ГУГЛа'!$B:$Z,W$1,0)+Y414)*X414,VLOOKUP($A414,'Из ГУГЛа'!$B:$Z,W$1,0))</f>
        <v>390</v>
      </c>
      <c r="X414" s="61">
        <v>1</v>
      </c>
      <c r="Y414" s="61">
        <v>0</v>
      </c>
      <c r="Z414" s="70">
        <v>390</v>
      </c>
      <c r="AA414" s="60" t="s">
        <v>1100</v>
      </c>
    </row>
    <row r="415" spans="1:27" ht="30" x14ac:dyDescent="0.25">
      <c r="A415" s="52">
        <v>186230</v>
      </c>
      <c r="B415" s="52">
        <f>VLOOKUP($A415,'Выгр Кат'!$A:$R,B$1,0)</f>
        <v>32543</v>
      </c>
      <c r="C415" s="53" t="str">
        <f>VLOOKUP($A415,'Выгр Кат'!$A:$R,C$1,0)</f>
        <v>Панель задней форточки внутренняя "АвтоВАЗ" правая для ВАЗ 2110</v>
      </c>
      <c r="D415" s="52" t="str">
        <f>VLOOKUP($A415,'Выгр Кат'!$A:$R,D$1,0)</f>
        <v>Y</v>
      </c>
      <c r="E415" s="52" t="str">
        <f>VLOOKUP($A415,'Выгр Кат'!$A:$R,E$1,0)</f>
        <v>1</v>
      </c>
      <c r="F415" s="52" t="str">
        <f>VLOOKUP($A415,'Выгр Кат'!$A:$R,F$1,0)</f>
        <v>21100540142600</v>
      </c>
      <c r="G415" s="52" t="str">
        <f>IF(VLOOKUP($A415,'Выгр Кат'!$A:$R,G$1,0)=0,"",VLOOKUP($A415,'Выгр Кат'!$A:$R,G$1,0))</f>
        <v>https://motorring.ru/product/6253-panely-zadney-fortochki-vnutrennyaya-pravaya-vaz-2110</v>
      </c>
      <c r="H415" s="52"/>
      <c r="I415" s="52"/>
      <c r="J415" s="54">
        <f t="shared" si="102"/>
        <v>200</v>
      </c>
      <c r="K415" s="55">
        <f>VLOOKUP(J415,Наценка!$A$1:$B$8,2,1)</f>
        <v>1.8</v>
      </c>
      <c r="L415" s="56">
        <f t="shared" si="103"/>
        <v>360</v>
      </c>
      <c r="M415" s="57">
        <f t="shared" si="104"/>
        <v>359</v>
      </c>
      <c r="N415" s="52">
        <f>VLOOKUP($A415,'Выгр Кат'!$A:$R,N$1,0)</f>
        <v>200</v>
      </c>
      <c r="O415" s="52">
        <f>VLOOKUP($A415,'Выгр Кат'!$A:$R,O$1,0)</f>
        <v>359</v>
      </c>
      <c r="P415" s="47">
        <f t="shared" si="105"/>
        <v>0</v>
      </c>
      <c r="Q415" s="47">
        <f t="shared" si="106"/>
        <v>0</v>
      </c>
      <c r="R415" s="58">
        <f t="shared" si="107"/>
        <v>359</v>
      </c>
      <c r="S415" s="59">
        <f t="shared" si="108"/>
        <v>0.79499999999999993</v>
      </c>
      <c r="T415" s="59">
        <f t="shared" si="109"/>
        <v>0.20044543429844097</v>
      </c>
      <c r="U415" s="59">
        <f t="shared" si="110"/>
        <v>1.2450000000000001</v>
      </c>
      <c r="V415" s="42">
        <f t="shared" si="114"/>
        <v>449</v>
      </c>
      <c r="W415" s="69">
        <f>IFERROR((VLOOKUP($A415,'Из ГУГЛа'!$B:$Z,W$1,0)+Y415)*X415,VLOOKUP($A415,'Из ГУГЛа'!$B:$Z,W$1,0))</f>
        <v>449</v>
      </c>
      <c r="X415" s="61">
        <v>1</v>
      </c>
      <c r="Y415" s="61">
        <v>0</v>
      </c>
      <c r="Z415" s="70">
        <v>449</v>
      </c>
      <c r="AA415" s="60" t="s">
        <v>1103</v>
      </c>
    </row>
    <row r="416" spans="1:27" ht="45" x14ac:dyDescent="0.25">
      <c r="A416" s="52">
        <v>186235</v>
      </c>
      <c r="B416" s="52">
        <f>VLOOKUP($A416,'Выгр Кат'!$A:$R,B$1,0)</f>
        <v>32735</v>
      </c>
      <c r="C416" s="53" t="str">
        <f>VLOOKUP($A416,'Выгр Кат'!$A:$R,C$1,0)</f>
        <v>Панель крыши "АвтоВАЗ" (катафорез) для Лада Веста SW, SW Cross универсал</v>
      </c>
      <c r="D416" s="52" t="str">
        <f>VLOOKUP($A416,'Выгр Кат'!$A:$R,D$1,0)</f>
        <v>Y</v>
      </c>
      <c r="E416" s="52" t="str">
        <f>VLOOKUP($A416,'Выгр Кат'!$A:$R,E$1,0)</f>
        <v>1</v>
      </c>
      <c r="F416" s="52" t="str">
        <f>VLOOKUP($A416,'Выгр Кат'!$A:$R,F$1,0)</f>
        <v>8450102333</v>
      </c>
      <c r="G416" s="52" t="str">
        <f>IF(VLOOKUP($A416,'Выгр Кат'!$A:$R,G$1,0)=0,"",VLOOKUP($A416,'Выгр Кат'!$A:$R,G$1,0))</f>
        <v/>
      </c>
      <c r="H416" s="52"/>
      <c r="I416" s="52"/>
      <c r="J416" s="54">
        <f t="shared" si="102"/>
        <v>17971</v>
      </c>
      <c r="K416" s="55">
        <f>VLOOKUP(J416,Наценка!$A$1:$B$8,2,1)</f>
        <v>1.3</v>
      </c>
      <c r="L416" s="56">
        <f t="shared" si="103"/>
        <v>23362.3</v>
      </c>
      <c r="M416" s="57">
        <f t="shared" si="104"/>
        <v>23390</v>
      </c>
      <c r="N416" s="52">
        <f>VLOOKUP($A416,'Выгр Кат'!$A:$R,N$1,0)</f>
        <v>17971</v>
      </c>
      <c r="O416" s="52">
        <f>VLOOKUP($A416,'Выгр Кат'!$A:$R,O$1,0)</f>
        <v>23390</v>
      </c>
      <c r="P416" s="47">
        <f t="shared" si="105"/>
        <v>0</v>
      </c>
      <c r="Q416" s="47">
        <f t="shared" si="106"/>
        <v>0</v>
      </c>
      <c r="R416" s="58">
        <f t="shared" si="107"/>
        <v>23390</v>
      </c>
      <c r="S416" s="59">
        <f t="shared" si="108"/>
        <v>0.30154137221078403</v>
      </c>
      <c r="T416" s="59" t="str">
        <f t="shared" si="109"/>
        <v/>
      </c>
      <c r="U416" s="59" t="str">
        <f t="shared" si="110"/>
        <v/>
      </c>
      <c r="V416" s="60"/>
      <c r="W416" s="69" t="str">
        <f>IFERROR((VLOOKUP($A416,'Из ГУГЛа'!$B:$Z,W$1,0)+Y416)*X416,VLOOKUP($A416,'Из ГУГЛа'!$B:$Z,W$1,0))</f>
        <v/>
      </c>
      <c r="X416" s="61">
        <v>1</v>
      </c>
      <c r="Y416" s="61">
        <v>0</v>
      </c>
      <c r="Z416" s="62" t="s">
        <v>4170</v>
      </c>
      <c r="AA416" s="60"/>
    </row>
    <row r="417" spans="1:27" ht="30" x14ac:dyDescent="0.25">
      <c r="A417" s="52">
        <v>186231</v>
      </c>
      <c r="B417" s="52">
        <f>VLOOKUP($A417,'Выгр Кат'!$A:$R,B$1,0)</f>
        <v>50583</v>
      </c>
      <c r="C417" s="53" t="str">
        <f>VLOOKUP($A417,'Выгр Кат'!$A:$R,C$1,0)</f>
        <v>Панель крыши "АвтоВАЗ" (катафорез) для Лада Веста, Веста Cross седан</v>
      </c>
      <c r="D417" s="52" t="str">
        <f>VLOOKUP($A417,'Выгр Кат'!$A:$R,D$1,0)</f>
        <v>Y</v>
      </c>
      <c r="E417" s="52" t="str">
        <f>VLOOKUP($A417,'Выгр Кат'!$A:$R,E$1,0)</f>
        <v>1</v>
      </c>
      <c r="F417" s="52" t="str">
        <f>VLOOKUP($A417,'Выгр Кат'!$A:$R,F$1,0)</f>
        <v>8450039244</v>
      </c>
      <c r="G417" s="52" t="str">
        <f>IF(VLOOKUP($A417,'Выгр Кат'!$A:$R,G$1,0)=0,"",VLOOKUP($A417,'Выгр Кат'!$A:$R,G$1,0))</f>
        <v/>
      </c>
      <c r="H417" s="52"/>
      <c r="I417" s="52"/>
      <c r="J417" s="54">
        <f t="shared" si="102"/>
        <v>4488.8999999999996</v>
      </c>
      <c r="K417" s="55">
        <f>VLOOKUP(J417,Наценка!$A$1:$B$8,2,1)</f>
        <v>1.4</v>
      </c>
      <c r="L417" s="56">
        <f t="shared" si="103"/>
        <v>6284.4599999999991</v>
      </c>
      <c r="M417" s="57">
        <f t="shared" si="104"/>
        <v>6290</v>
      </c>
      <c r="N417" s="52">
        <f>VLOOKUP($A417,'Выгр Кат'!$A:$R,N$1,0)</f>
        <v>4488.8999999999996</v>
      </c>
      <c r="O417" s="52">
        <f>VLOOKUP($A417,'Выгр Кат'!$A:$R,O$1,0)</f>
        <v>6290</v>
      </c>
      <c r="P417" s="47">
        <f t="shared" si="105"/>
        <v>0</v>
      </c>
      <c r="Q417" s="47">
        <f t="shared" si="106"/>
        <v>0</v>
      </c>
      <c r="R417" s="58">
        <f t="shared" si="107"/>
        <v>6290</v>
      </c>
      <c r="S417" s="59">
        <f t="shared" si="108"/>
        <v>0.40123415536100171</v>
      </c>
      <c r="T417" s="59">
        <f t="shared" si="109"/>
        <v>4.5523520485584217E-2</v>
      </c>
      <c r="U417" s="59">
        <f t="shared" si="110"/>
        <v>0.46806567310476965</v>
      </c>
      <c r="V417" s="42">
        <f t="shared" ref="V417:V421" si="115">Z417</f>
        <v>6590</v>
      </c>
      <c r="W417" s="69">
        <f>IFERROR((VLOOKUP($A417,'Из ГУГЛа'!$B:$Z,W$1,0)+Y417)*X417,VLOOKUP($A417,'Из ГУГЛа'!$B:$Z,W$1,0))</f>
        <v>6590</v>
      </c>
      <c r="X417" s="61">
        <v>1</v>
      </c>
      <c r="Y417" s="61">
        <v>0</v>
      </c>
      <c r="Z417" s="60">
        <v>6590</v>
      </c>
      <c r="AA417" s="60" t="s">
        <v>4211</v>
      </c>
    </row>
    <row r="418" spans="1:27" ht="30" x14ac:dyDescent="0.25">
      <c r="A418" s="52">
        <v>186232</v>
      </c>
      <c r="B418" s="52">
        <f>VLOOKUP($A418,'Выгр Кат'!$A:$R,B$1,0)</f>
        <v>44879</v>
      </c>
      <c r="C418" s="53" t="str">
        <f>VLOOKUP($A418,'Выгр Кат'!$A:$R,C$1,0)</f>
        <v>Панель крыши "АвтоВАЗ" (катафорез) для Лада Калина, Гранта</v>
      </c>
      <c r="D418" s="52" t="str">
        <f>VLOOKUP($A418,'Выгр Кат'!$A:$R,D$1,0)</f>
        <v>Y</v>
      </c>
      <c r="E418" s="52" t="str">
        <f>VLOOKUP($A418,'Выгр Кат'!$A:$R,E$1,0)</f>
        <v>1</v>
      </c>
      <c r="F418" s="52" t="str">
        <f>VLOOKUP($A418,'Выгр Кат'!$A:$R,F$1,0)</f>
        <v>11180570101270</v>
      </c>
      <c r="G418" s="52" t="str">
        <f>IF(VLOOKUP($A418,'Выгр Кат'!$A:$R,G$1,0)=0,"",VLOOKUP($A418,'Выгр Кат'!$A:$R,G$1,0))</f>
        <v/>
      </c>
      <c r="H418" s="52"/>
      <c r="I418" s="52"/>
      <c r="J418" s="54">
        <f t="shared" si="102"/>
        <v>5260</v>
      </c>
      <c r="K418" s="55">
        <f>VLOOKUP(J418,Наценка!$A$1:$B$8,2,1)</f>
        <v>1.35</v>
      </c>
      <c r="L418" s="56">
        <f t="shared" si="103"/>
        <v>7101.0000000000009</v>
      </c>
      <c r="M418" s="57">
        <f t="shared" si="104"/>
        <v>7190</v>
      </c>
      <c r="N418" s="52">
        <f>VLOOKUP($A418,'Выгр Кат'!$A:$R,N$1,0)</f>
        <v>5260</v>
      </c>
      <c r="O418" s="52">
        <f>VLOOKUP($A418,'Выгр Кат'!$A:$R,O$1,0)</f>
        <v>7390</v>
      </c>
      <c r="P418" s="47">
        <f t="shared" si="105"/>
        <v>0</v>
      </c>
      <c r="Q418" s="47">
        <f t="shared" si="106"/>
        <v>200</v>
      </c>
      <c r="R418" s="58">
        <f t="shared" si="107"/>
        <v>7190</v>
      </c>
      <c r="S418" s="59">
        <f t="shared" si="108"/>
        <v>0.36692015209125484</v>
      </c>
      <c r="T418" s="59">
        <f t="shared" si="109"/>
        <v>7.702182284980745E-2</v>
      </c>
      <c r="U418" s="59">
        <f t="shared" si="110"/>
        <v>0.48098859315589348</v>
      </c>
      <c r="V418" s="42">
        <f t="shared" si="115"/>
        <v>7790</v>
      </c>
      <c r="W418" s="69">
        <f>IFERROR((VLOOKUP($A418,'Из ГУГЛа'!$B:$Z,W$1,0)+Y418)*X418,VLOOKUP($A418,'Из ГУГЛа'!$B:$Z,W$1,0))</f>
        <v>7790</v>
      </c>
      <c r="X418" s="61">
        <v>1</v>
      </c>
      <c r="Y418" s="61">
        <v>0</v>
      </c>
      <c r="Z418" s="60">
        <v>7790</v>
      </c>
      <c r="AA418" s="60" t="s">
        <v>4224</v>
      </c>
    </row>
    <row r="419" spans="1:27" ht="30" x14ac:dyDescent="0.25">
      <c r="A419" s="52">
        <v>186233</v>
      </c>
      <c r="B419" s="52">
        <f>VLOOKUP($A419,'Выгр Кат'!$A:$R,B$1,0)</f>
        <v>48331</v>
      </c>
      <c r="C419" s="53" t="str">
        <f>VLOOKUP($A419,'Выгр Кат'!$A:$R,C$1,0)</f>
        <v>Панель крыши "АвтоВАЗ" (катафорез) для Лада Приора седан</v>
      </c>
      <c r="D419" s="52" t="str">
        <f>VLOOKUP($A419,'Выгр Кат'!$A:$R,D$1,0)</f>
        <v>Y</v>
      </c>
      <c r="E419" s="52" t="str">
        <f>VLOOKUP($A419,'Выгр Кат'!$A:$R,E$1,0)</f>
        <v>1</v>
      </c>
      <c r="F419" s="52" t="str">
        <f>VLOOKUP($A419,'Выгр Кат'!$A:$R,F$1,0)</f>
        <v>21700570101210</v>
      </c>
      <c r="G419" s="52" t="str">
        <f>IF(VLOOKUP($A419,'Выгр Кат'!$A:$R,G$1,0)=0,"",VLOOKUP($A419,'Выгр Кат'!$A:$R,G$1,0))</f>
        <v/>
      </c>
      <c r="H419" s="52"/>
      <c r="I419" s="52"/>
      <c r="J419" s="54">
        <f t="shared" si="102"/>
        <v>7578</v>
      </c>
      <c r="K419" s="55">
        <f>VLOOKUP(J419,Наценка!$A$1:$B$8,2,1)</f>
        <v>1.35</v>
      </c>
      <c r="L419" s="56">
        <f t="shared" si="103"/>
        <v>10230.300000000001</v>
      </c>
      <c r="M419" s="57">
        <f t="shared" si="104"/>
        <v>10290</v>
      </c>
      <c r="N419" s="52">
        <f>VLOOKUP($A419,'Выгр Кат'!$A:$R,N$1,0)</f>
        <v>7578</v>
      </c>
      <c r="O419" s="52">
        <f>VLOOKUP($A419,'Выгр Кат'!$A:$R,O$1,0)</f>
        <v>10690</v>
      </c>
      <c r="P419" s="47">
        <f t="shared" si="105"/>
        <v>0</v>
      </c>
      <c r="Q419" s="47">
        <f t="shared" si="106"/>
        <v>400</v>
      </c>
      <c r="R419" s="58">
        <f t="shared" si="107"/>
        <v>10290</v>
      </c>
      <c r="S419" s="59">
        <f t="shared" si="108"/>
        <v>0.35787806809184475</v>
      </c>
      <c r="T419" s="59">
        <f t="shared" si="109"/>
        <v>0.14178482068390325</v>
      </c>
      <c r="U419" s="59">
        <f t="shared" si="110"/>
        <v>0.58221166534705726</v>
      </c>
      <c r="V419" s="42">
        <f t="shared" si="115"/>
        <v>11990</v>
      </c>
      <c r="W419" s="69">
        <f>IFERROR((VLOOKUP($A419,'Из ГУГЛа'!$B:$Z,W$1,0)+Y419)*X419,VLOOKUP($A419,'Из ГУГЛа'!$B:$Z,W$1,0))</f>
        <v>11990</v>
      </c>
      <c r="X419" s="61">
        <v>1</v>
      </c>
      <c r="Y419" s="61">
        <v>0</v>
      </c>
      <c r="Z419" s="60">
        <v>11990</v>
      </c>
      <c r="AA419" s="60" t="s">
        <v>4215</v>
      </c>
    </row>
    <row r="420" spans="1:27" ht="30" x14ac:dyDescent="0.25">
      <c r="A420" s="52">
        <v>186234</v>
      </c>
      <c r="B420" s="52">
        <f>VLOOKUP($A420,'Выгр Кат'!$A:$R,B$1,0)</f>
        <v>47910</v>
      </c>
      <c r="C420" s="53" t="str">
        <f>VLOOKUP($A420,'Выгр Кат'!$A:$R,C$1,0)</f>
        <v>Панель крыши "АвтоВАЗ" (катафорез) для Шевроле Нива</v>
      </c>
      <c r="D420" s="52" t="str">
        <f>VLOOKUP($A420,'Выгр Кат'!$A:$R,D$1,0)</f>
        <v>Y</v>
      </c>
      <c r="E420" s="52" t="str">
        <f>VLOOKUP($A420,'Выгр Кат'!$A:$R,E$1,0)</f>
        <v>1</v>
      </c>
      <c r="F420" s="52" t="str">
        <f>VLOOKUP($A420,'Выгр Кат'!$A:$R,F$1,0)</f>
        <v>21230570101270</v>
      </c>
      <c r="G420" s="52" t="str">
        <f>IF(VLOOKUP($A420,'Выгр Кат'!$A:$R,G$1,0)=0,"",VLOOKUP($A420,'Выгр Кат'!$A:$R,G$1,0))</f>
        <v/>
      </c>
      <c r="H420" s="52"/>
      <c r="I420" s="52"/>
      <c r="J420" s="54">
        <f t="shared" si="102"/>
        <v>14602</v>
      </c>
      <c r="K420" s="55">
        <f>VLOOKUP(J420,Наценка!$A$1:$B$8,2,1)</f>
        <v>1.3</v>
      </c>
      <c r="L420" s="56">
        <f t="shared" si="103"/>
        <v>18982.600000000002</v>
      </c>
      <c r="M420" s="57">
        <f t="shared" si="104"/>
        <v>18990</v>
      </c>
      <c r="N420" s="52">
        <f>VLOOKUP($A420,'Выгр Кат'!$A:$R,N$1,0)</f>
        <v>14602</v>
      </c>
      <c r="O420" s="52">
        <f>VLOOKUP($A420,'Выгр Кат'!$A:$R,O$1,0)</f>
        <v>20490</v>
      </c>
      <c r="P420" s="47">
        <f t="shared" si="105"/>
        <v>0</v>
      </c>
      <c r="Q420" s="47">
        <f t="shared" si="106"/>
        <v>1500</v>
      </c>
      <c r="R420" s="58">
        <f t="shared" si="107"/>
        <v>18990</v>
      </c>
      <c r="S420" s="59">
        <f t="shared" si="108"/>
        <v>0.30050677989316532</v>
      </c>
      <c r="T420" s="59">
        <f t="shared" si="109"/>
        <v>8.6580086580086577E-2</v>
      </c>
      <c r="U420" s="59">
        <f t="shared" si="110"/>
        <v>0.42377756471716199</v>
      </c>
      <c r="V420" s="42">
        <f t="shared" si="115"/>
        <v>20790</v>
      </c>
      <c r="W420" s="69">
        <f>IFERROR((VLOOKUP($A420,'Из ГУГЛа'!$B:$Z,W$1,0)+Y420)*X420,VLOOKUP($A420,'Из ГУГЛа'!$B:$Z,W$1,0))</f>
        <v>20790</v>
      </c>
      <c r="X420" s="61">
        <v>1</v>
      </c>
      <c r="Y420" s="61">
        <v>0</v>
      </c>
      <c r="Z420" s="60">
        <v>20790</v>
      </c>
      <c r="AA420" s="60" t="s">
        <v>4220</v>
      </c>
    </row>
    <row r="421" spans="1:27" ht="30" x14ac:dyDescent="0.25">
      <c r="A421" s="52">
        <v>186236</v>
      </c>
      <c r="B421" s="52">
        <f>VLOOKUP($A421,'Выгр Кат'!$A:$R,B$1,0)</f>
        <v>32744</v>
      </c>
      <c r="C421" s="53" t="str">
        <f>VLOOKUP($A421,'Выгр Кат'!$A:$R,C$1,0)</f>
        <v>Панель крыши "АвтоВАЗ" для Лада XRAY</v>
      </c>
      <c r="D421" s="52" t="str">
        <f>VLOOKUP($A421,'Выгр Кат'!$A:$R,D$1,0)</f>
        <v>Y</v>
      </c>
      <c r="E421" s="52" t="str">
        <f>VLOOKUP($A421,'Выгр Кат'!$A:$R,E$1,0)</f>
        <v>1</v>
      </c>
      <c r="F421" s="52" t="str">
        <f>VLOOKUP($A421,'Выгр Кат'!$A:$R,F$1,0)</f>
        <v>731127608R</v>
      </c>
      <c r="G421" s="52" t="str">
        <f>IF(VLOOKUP($A421,'Выгр Кат'!$A:$R,G$1,0)=0,"",VLOOKUP($A421,'Выгр Кат'!$A:$R,G$1,0))</f>
        <v/>
      </c>
      <c r="H421" s="52"/>
      <c r="I421" s="52"/>
      <c r="J421" s="54">
        <f t="shared" si="102"/>
        <v>7854</v>
      </c>
      <c r="K421" s="55">
        <f>VLOOKUP(J421,Наценка!$A$1:$B$8,2,1)</f>
        <v>1.35</v>
      </c>
      <c r="L421" s="56">
        <f t="shared" si="103"/>
        <v>10602.900000000001</v>
      </c>
      <c r="M421" s="57">
        <f t="shared" si="104"/>
        <v>10690</v>
      </c>
      <c r="N421" s="52">
        <f>VLOOKUP($A421,'Выгр Кат'!$A:$R,N$1,0)</f>
        <v>7854</v>
      </c>
      <c r="O421" s="52">
        <f>VLOOKUP($A421,'Выгр Кат'!$A:$R,O$1,0)</f>
        <v>10990</v>
      </c>
      <c r="P421" s="47">
        <f t="shared" si="105"/>
        <v>0</v>
      </c>
      <c r="Q421" s="47">
        <f t="shared" si="106"/>
        <v>300</v>
      </c>
      <c r="R421" s="58">
        <f t="shared" si="107"/>
        <v>10690</v>
      </c>
      <c r="S421" s="59">
        <f t="shared" si="108"/>
        <v>0.3610898905016553</v>
      </c>
      <c r="T421" s="59">
        <f t="shared" si="109"/>
        <v>-9.442870632672332E-3</v>
      </c>
      <c r="U421" s="59">
        <f t="shared" si="110"/>
        <v>0.348357524828113</v>
      </c>
      <c r="V421" s="42">
        <f t="shared" si="115"/>
        <v>10590</v>
      </c>
      <c r="W421" s="69">
        <f>IFERROR((VLOOKUP($A421,'Из ГУГЛа'!$B:$Z,W$1,0)+Y421)*X421,VLOOKUP($A421,'Из ГУГЛа'!$B:$Z,W$1,0))</f>
        <v>10590</v>
      </c>
      <c r="X421" s="61">
        <v>1</v>
      </c>
      <c r="Y421" s="61">
        <v>0</v>
      </c>
      <c r="Z421" s="60">
        <v>10590</v>
      </c>
      <c r="AA421" s="60" t="s">
        <v>4226</v>
      </c>
    </row>
    <row r="422" spans="1:27" ht="30" x14ac:dyDescent="0.25">
      <c r="A422" s="52">
        <v>186237</v>
      </c>
      <c r="B422" s="52">
        <f>VLOOKUP($A422,'Выгр Кат'!$A:$R,B$1,0)</f>
        <v>51421</v>
      </c>
      <c r="C422" s="53" t="str">
        <f>VLOOKUP($A422,'Выгр Кат'!$A:$R,C$1,0)</f>
        <v>Панель крыши "АвтоВАЗ" для Лада Ларгус</v>
      </c>
      <c r="D422" s="52" t="str">
        <f>VLOOKUP($A422,'Выгр Кат'!$A:$R,D$1,0)</f>
        <v>Y</v>
      </c>
      <c r="E422" s="52" t="str">
        <f>VLOOKUP($A422,'Выгр Кат'!$A:$R,E$1,0)</f>
        <v>1</v>
      </c>
      <c r="F422" s="52" t="str">
        <f>VLOOKUP($A422,'Выгр Кат'!$A:$R,F$1,0)</f>
        <v>731120101R</v>
      </c>
      <c r="G422" s="52" t="str">
        <f>IF(VLOOKUP($A422,'Выгр Кат'!$A:$R,G$1,0)=0,"",VLOOKUP($A422,'Выгр Кат'!$A:$R,G$1,0))</f>
        <v/>
      </c>
      <c r="H422" s="52"/>
      <c r="I422" s="52"/>
      <c r="J422" s="54">
        <f t="shared" si="102"/>
        <v>28919</v>
      </c>
      <c r="K422" s="55">
        <f>VLOOKUP(J422,Наценка!$A$1:$B$8,2,1)</f>
        <v>1.3</v>
      </c>
      <c r="L422" s="56">
        <f t="shared" si="103"/>
        <v>37594.700000000004</v>
      </c>
      <c r="M422" s="57">
        <f t="shared" si="104"/>
        <v>37590</v>
      </c>
      <c r="N422" s="52">
        <f>VLOOKUP($A422,'Выгр Кат'!$A:$R,N$1,0)</f>
        <v>28919</v>
      </c>
      <c r="O422" s="52">
        <f>VLOOKUP($A422,'Выгр Кат'!$A:$R,O$1,0)</f>
        <v>40490</v>
      </c>
      <c r="P422" s="47">
        <f t="shared" si="105"/>
        <v>0</v>
      </c>
      <c r="Q422" s="47">
        <f t="shared" si="106"/>
        <v>2900</v>
      </c>
      <c r="R422" s="58">
        <f t="shared" si="107"/>
        <v>37590</v>
      </c>
      <c r="S422" s="59">
        <f t="shared" si="108"/>
        <v>0.2998374770911858</v>
      </c>
      <c r="T422" s="59" t="str">
        <f t="shared" si="109"/>
        <v/>
      </c>
      <c r="U422" s="59" t="str">
        <f t="shared" si="110"/>
        <v/>
      </c>
      <c r="V422" s="60"/>
      <c r="W422" s="69" t="str">
        <f>IFERROR((VLOOKUP($A422,'Из ГУГЛа'!$B:$Z,W$1,0)+Y422)*X422,VLOOKUP($A422,'Из ГУГЛа'!$B:$Z,W$1,0))</f>
        <v/>
      </c>
      <c r="X422" s="61">
        <v>1</v>
      </c>
      <c r="Y422" s="61">
        <v>0</v>
      </c>
      <c r="Z422" s="62" t="s">
        <v>4170</v>
      </c>
      <c r="AA422" s="60"/>
    </row>
    <row r="423" spans="1:27" ht="30" x14ac:dyDescent="0.25">
      <c r="A423" s="52">
        <v>186238</v>
      </c>
      <c r="B423" s="52">
        <f>VLOOKUP($A423,'Выгр Кат'!$A:$R,B$1,0)</f>
        <v>45778</v>
      </c>
      <c r="C423" s="53" t="str">
        <f>VLOOKUP($A423,'Выгр Кат'!$A:$R,C$1,0)</f>
        <v>Панель крыши "АвтоВАЗ" для Лада Надежда</v>
      </c>
      <c r="D423" s="52" t="str">
        <f>VLOOKUP($A423,'Выгр Кат'!$A:$R,D$1,0)</f>
        <v>Y</v>
      </c>
      <c r="E423" s="52" t="str">
        <f>VLOOKUP($A423,'Выгр Кат'!$A:$R,E$1,0)</f>
        <v>1</v>
      </c>
      <c r="F423" s="52" t="str">
        <f>VLOOKUP($A423,'Выгр Кат'!$A:$R,F$1,0)</f>
        <v>21200570101200</v>
      </c>
      <c r="G423" s="52" t="str">
        <f>IF(VLOOKUP($A423,'Выгр Кат'!$A:$R,G$1,0)=0,"",VLOOKUP($A423,'Выгр Кат'!$A:$R,G$1,0))</f>
        <v/>
      </c>
      <c r="H423" s="52"/>
      <c r="I423" s="52"/>
      <c r="J423" s="54">
        <f t="shared" si="102"/>
        <v>3280</v>
      </c>
      <c r="K423" s="55">
        <f>VLOOKUP(J423,Наценка!$A$1:$B$8,2,1)</f>
        <v>1.4</v>
      </c>
      <c r="L423" s="56">
        <f t="shared" si="103"/>
        <v>4592</v>
      </c>
      <c r="M423" s="57">
        <f t="shared" si="104"/>
        <v>4590</v>
      </c>
      <c r="N423" s="52">
        <f>VLOOKUP($A423,'Выгр Кат'!$A:$R,N$1,0)</f>
        <v>3280</v>
      </c>
      <c r="O423" s="52">
        <f>VLOOKUP($A423,'Выгр Кат'!$A:$R,O$1,0)</f>
        <v>4590</v>
      </c>
      <c r="P423" s="47">
        <f t="shared" si="105"/>
        <v>0</v>
      </c>
      <c r="Q423" s="47">
        <f t="shared" si="106"/>
        <v>0</v>
      </c>
      <c r="R423" s="58">
        <f t="shared" si="107"/>
        <v>4590</v>
      </c>
      <c r="S423" s="59">
        <f t="shared" si="108"/>
        <v>0.39939024390243905</v>
      </c>
      <c r="T423" s="59" t="str">
        <f t="shared" si="109"/>
        <v/>
      </c>
      <c r="U423" s="59" t="str">
        <f t="shared" si="110"/>
        <v/>
      </c>
      <c r="V423" s="60"/>
      <c r="W423" s="69" t="str">
        <f>IFERROR((VLOOKUP($A423,'Из ГУГЛа'!$B:$Z,W$1,0)+Y423)*X423,VLOOKUP($A423,'Из ГУГЛа'!$B:$Z,W$1,0))</f>
        <v/>
      </c>
      <c r="X423" s="61">
        <v>1</v>
      </c>
      <c r="Y423" s="61">
        <v>0</v>
      </c>
      <c r="Z423" s="60" t="s">
        <v>4170</v>
      </c>
      <c r="AA423" s="60"/>
    </row>
    <row r="424" spans="1:27" ht="45" x14ac:dyDescent="0.25">
      <c r="A424" s="52">
        <v>186239</v>
      </c>
      <c r="B424" s="52">
        <f>VLOOKUP($A424,'Выгр Кат'!$A:$R,B$1,0)</f>
        <v>48234</v>
      </c>
      <c r="C424" s="53" t="str">
        <f>VLOOKUP($A424,'Выгр Кат'!$A:$R,C$1,0)</f>
        <v>Панель крыши "АвтоВАЗ" передняя (катафорез) для Лада Нива 4х4 (ВАЗ 2131)</v>
      </c>
      <c r="D424" s="52" t="str">
        <f>VLOOKUP($A424,'Выгр Кат'!$A:$R,D$1,0)</f>
        <v>Y</v>
      </c>
      <c r="E424" s="52" t="str">
        <f>VLOOKUP($A424,'Выгр Кат'!$A:$R,E$1,0)</f>
        <v>1</v>
      </c>
      <c r="F424" s="52" t="str">
        <f>VLOOKUP($A424,'Выгр Кат'!$A:$R,F$1,0)</f>
        <v>8450108875</v>
      </c>
      <c r="G424" s="52" t="str">
        <f>IF(VLOOKUP($A424,'Выгр Кат'!$A:$R,G$1,0)=0,"",VLOOKUP($A424,'Выгр Кат'!$A:$R,G$1,0))</f>
        <v/>
      </c>
      <c r="H424" s="52"/>
      <c r="I424" s="52"/>
      <c r="J424" s="54">
        <f t="shared" si="102"/>
        <v>4712</v>
      </c>
      <c r="K424" s="55">
        <f>VLOOKUP(J424,Наценка!$A$1:$B$8,2,1)</f>
        <v>1.4</v>
      </c>
      <c r="L424" s="56">
        <f t="shared" si="103"/>
        <v>6596.7999999999993</v>
      </c>
      <c r="M424" s="57">
        <f t="shared" si="104"/>
        <v>6590</v>
      </c>
      <c r="N424" s="52">
        <f>VLOOKUP($A424,'Выгр Кат'!$A:$R,N$1,0)</f>
        <v>4712</v>
      </c>
      <c r="O424" s="52">
        <f>VLOOKUP($A424,'Выгр Кат'!$A:$R,O$1,0)</f>
        <v>6590</v>
      </c>
      <c r="P424" s="47">
        <f t="shared" si="105"/>
        <v>0</v>
      </c>
      <c r="Q424" s="47">
        <f t="shared" si="106"/>
        <v>0</v>
      </c>
      <c r="R424" s="58">
        <f t="shared" si="107"/>
        <v>6590</v>
      </c>
      <c r="S424" s="59">
        <f t="shared" si="108"/>
        <v>0.39855687606112045</v>
      </c>
      <c r="T424" s="59">
        <f t="shared" si="109"/>
        <v>8.3449235048678724E-2</v>
      </c>
      <c r="U424" s="59">
        <f t="shared" si="110"/>
        <v>0.52589134125636683</v>
      </c>
      <c r="V424" s="42">
        <f t="shared" ref="V424:V425" si="116">Z424</f>
        <v>7190</v>
      </c>
      <c r="W424" s="69">
        <f>IFERROR((VLOOKUP($A424,'Из ГУГЛа'!$B:$Z,W$1,0)+Y424)*X424,VLOOKUP($A424,'Из ГУГЛа'!$B:$Z,W$1,0))</f>
        <v>7190</v>
      </c>
      <c r="X424" s="61">
        <v>1</v>
      </c>
      <c r="Y424" s="61">
        <v>0</v>
      </c>
      <c r="Z424" s="60">
        <v>7190</v>
      </c>
      <c r="AA424" s="60" t="s">
        <v>4225</v>
      </c>
    </row>
    <row r="425" spans="1:27" ht="60" x14ac:dyDescent="0.25">
      <c r="A425" s="52">
        <v>186240</v>
      </c>
      <c r="B425" s="52">
        <f>VLOOKUP($A425,'Выгр Кат'!$A:$R,B$1,0)</f>
        <v>30981</v>
      </c>
      <c r="C425" s="53" t="str">
        <f>VLOOKUP($A425,'Выгр Кат'!$A:$R,C$1,0)</f>
        <v>Панель крыши "АвтоВАЗ" с отверстиями под рейлинги (катафорезное покрытие) для Лада Калина универсал</v>
      </c>
      <c r="D425" s="52" t="str">
        <f>VLOOKUP($A425,'Выгр Кат'!$A:$R,D$1,0)</f>
        <v>Y</v>
      </c>
      <c r="E425" s="52" t="str">
        <f>VLOOKUP($A425,'Выгр Кат'!$A:$R,E$1,0)</f>
        <v>1</v>
      </c>
      <c r="F425" s="52" t="str">
        <f>VLOOKUP($A425,'Выгр Кат'!$A:$R,F$1,0)</f>
        <v>11170570101275</v>
      </c>
      <c r="G425" s="52" t="str">
        <f>IF(VLOOKUP($A425,'Выгр Кат'!$A:$R,G$1,0)=0,"",VLOOKUP($A425,'Выгр Кат'!$A:$R,G$1,0))</f>
        <v/>
      </c>
      <c r="H425" s="52"/>
      <c r="I425" s="52"/>
      <c r="J425" s="54">
        <f t="shared" si="102"/>
        <v>9296</v>
      </c>
      <c r="K425" s="55">
        <f>VLOOKUP(J425,Наценка!$A$1:$B$8,2,1)</f>
        <v>1.35</v>
      </c>
      <c r="L425" s="56">
        <f t="shared" si="103"/>
        <v>12549.6</v>
      </c>
      <c r="M425" s="57">
        <f t="shared" si="104"/>
        <v>12590</v>
      </c>
      <c r="N425" s="52">
        <f>VLOOKUP($A425,'Выгр Кат'!$A:$R,N$1,0)</f>
        <v>9296</v>
      </c>
      <c r="O425" s="52">
        <f>VLOOKUP($A425,'Выгр Кат'!$A:$R,O$1,0)</f>
        <v>13090</v>
      </c>
      <c r="P425" s="47">
        <f t="shared" si="105"/>
        <v>0</v>
      </c>
      <c r="Q425" s="47">
        <f t="shared" si="106"/>
        <v>500</v>
      </c>
      <c r="R425" s="58">
        <f t="shared" si="107"/>
        <v>12590</v>
      </c>
      <c r="S425" s="59">
        <f t="shared" si="108"/>
        <v>0.3543459552495698</v>
      </c>
      <c r="T425" s="59">
        <f t="shared" si="109"/>
        <v>3.0792917628945343E-2</v>
      </c>
      <c r="U425" s="59">
        <f t="shared" si="110"/>
        <v>0.39737521514629948</v>
      </c>
      <c r="V425" s="42">
        <f t="shared" si="116"/>
        <v>12990</v>
      </c>
      <c r="W425" s="69">
        <f>IFERROR((VLOOKUP($A425,'Из ГУГЛа'!$B:$Z,W$1,0)+Y425)*X425,VLOOKUP($A425,'Из ГУГЛа'!$B:$Z,W$1,0))</f>
        <v>12990</v>
      </c>
      <c r="X425" s="61">
        <v>1</v>
      </c>
      <c r="Y425" s="61">
        <v>0</v>
      </c>
      <c r="Z425" s="60">
        <v>12990</v>
      </c>
      <c r="AA425" s="60" t="s">
        <v>4221</v>
      </c>
    </row>
    <row r="426" spans="1:27" ht="30" x14ac:dyDescent="0.25">
      <c r="A426" s="52">
        <v>186241</v>
      </c>
      <c r="B426" s="52">
        <f>VLOOKUP($A426,'Выгр Кат'!$A:$R,B$1,0)</f>
        <v>32687</v>
      </c>
      <c r="C426" s="53" t="str">
        <f>VLOOKUP($A426,'Выгр Кат'!$A:$R,C$1,0)</f>
        <v>Панель крыши "АвтоВАЗ" средняя для Лада Нива 4x4 (5-ти дверная)</v>
      </c>
      <c r="D426" s="52" t="str">
        <f>VLOOKUP($A426,'Выгр Кат'!$A:$R,D$1,0)</f>
        <v>Y</v>
      </c>
      <c r="E426" s="52" t="str">
        <f>VLOOKUP($A426,'Выгр Кат'!$A:$R,E$1,0)</f>
        <v>1</v>
      </c>
      <c r="F426" s="52" t="str">
        <f>VLOOKUP($A426,'Выгр Кат'!$A:$R,F$1,0)</f>
        <v>8450108876</v>
      </c>
      <c r="G426" s="52" t="str">
        <f>IF(VLOOKUP($A426,'Выгр Кат'!$A:$R,G$1,0)=0,"",VLOOKUP($A426,'Выгр Кат'!$A:$R,G$1,0))</f>
        <v/>
      </c>
      <c r="H426" s="52"/>
      <c r="I426" s="52"/>
      <c r="J426" s="54">
        <f t="shared" si="102"/>
        <v>8090</v>
      </c>
      <c r="K426" s="55">
        <f>VLOOKUP(J426,Наценка!$A$1:$B$8,2,1)</f>
        <v>1.35</v>
      </c>
      <c r="L426" s="56">
        <f t="shared" si="103"/>
        <v>10921.5</v>
      </c>
      <c r="M426" s="57">
        <f t="shared" si="104"/>
        <v>10990</v>
      </c>
      <c r="N426" s="52">
        <f>VLOOKUP($A426,'Выгр Кат'!$A:$R,N$1,0)</f>
        <v>8090</v>
      </c>
      <c r="O426" s="52">
        <f>VLOOKUP($A426,'Выгр Кат'!$A:$R,O$1,0)</f>
        <v>11390</v>
      </c>
      <c r="P426" s="47">
        <f t="shared" si="105"/>
        <v>0</v>
      </c>
      <c r="Q426" s="47">
        <f t="shared" si="106"/>
        <v>400</v>
      </c>
      <c r="R426" s="58">
        <f t="shared" si="107"/>
        <v>10990</v>
      </c>
      <c r="S426" s="59">
        <f t="shared" si="108"/>
        <v>0.35846724351050674</v>
      </c>
      <c r="T426" s="59" t="str">
        <f t="shared" si="109"/>
        <v/>
      </c>
      <c r="U426" s="59" t="str">
        <f t="shared" si="110"/>
        <v/>
      </c>
      <c r="V426" s="60"/>
      <c r="W426" s="69" t="str">
        <f>IFERROR((VLOOKUP($A426,'Из ГУГЛа'!$B:$Z,W$1,0)+Y426)*X426,VLOOKUP($A426,'Из ГУГЛа'!$B:$Z,W$1,0))</f>
        <v/>
      </c>
      <c r="X426" s="61">
        <v>1</v>
      </c>
      <c r="Y426" s="61">
        <v>0</v>
      </c>
      <c r="Z426" s="60" t="s">
        <v>4170</v>
      </c>
      <c r="AA426" s="60"/>
    </row>
    <row r="427" spans="1:27" ht="30" x14ac:dyDescent="0.25">
      <c r="A427" s="52">
        <v>186242</v>
      </c>
      <c r="B427" s="52">
        <f>VLOOKUP($A427,'Выгр Кат'!$A:$R,B$1,0)</f>
        <v>32531</v>
      </c>
      <c r="C427" s="53" t="str">
        <f>VLOOKUP($A427,'Выгр Кат'!$A:$R,C$1,0)</f>
        <v>Панель крыши (катафорез) "АвтоВАЗ" для ВАЗ 2108, 2109, 2113, 2114</v>
      </c>
      <c r="D427" s="52" t="str">
        <f>VLOOKUP($A427,'Выгр Кат'!$A:$R,D$1,0)</f>
        <v>Y</v>
      </c>
      <c r="E427" s="52" t="str">
        <f>VLOOKUP($A427,'Выгр Кат'!$A:$R,E$1,0)</f>
        <v>1</v>
      </c>
      <c r="F427" s="52" t="str">
        <f>VLOOKUP($A427,'Выгр Кат'!$A:$R,F$1,0)</f>
        <v>21080570101210</v>
      </c>
      <c r="G427" s="52" t="str">
        <f>IF(VLOOKUP($A427,'Выгр Кат'!$A:$R,G$1,0)=0,"",VLOOKUP($A427,'Выгр Кат'!$A:$R,G$1,0))</f>
        <v/>
      </c>
      <c r="H427" s="52"/>
      <c r="I427" s="52"/>
      <c r="J427" s="54">
        <f t="shared" si="102"/>
        <v>4666</v>
      </c>
      <c r="K427" s="55">
        <f>VLOOKUP(J427,Наценка!$A$1:$B$8,2,1)</f>
        <v>1.4</v>
      </c>
      <c r="L427" s="56">
        <f t="shared" si="103"/>
        <v>6532.4</v>
      </c>
      <c r="M427" s="57">
        <f t="shared" si="104"/>
        <v>6590</v>
      </c>
      <c r="N427" s="52">
        <f>VLOOKUP($A427,'Выгр Кат'!$A:$R,N$1,0)</f>
        <v>4666</v>
      </c>
      <c r="O427" s="52">
        <f>VLOOKUP($A427,'Выгр Кат'!$A:$R,O$1,0)</f>
        <v>6590</v>
      </c>
      <c r="P427" s="47">
        <f t="shared" si="105"/>
        <v>0</v>
      </c>
      <c r="Q427" s="47">
        <f t="shared" si="106"/>
        <v>0</v>
      </c>
      <c r="R427" s="58">
        <f t="shared" si="107"/>
        <v>6590</v>
      </c>
      <c r="S427" s="59">
        <f t="shared" si="108"/>
        <v>0.41234462066009425</v>
      </c>
      <c r="T427" s="59">
        <f t="shared" si="109"/>
        <v>1.4947683109118086E-2</v>
      </c>
      <c r="U427" s="59">
        <f t="shared" si="110"/>
        <v>0.43377625375053586</v>
      </c>
      <c r="V427" s="42">
        <f t="shared" ref="V427:V435" si="117">Z427</f>
        <v>6690</v>
      </c>
      <c r="W427" s="69">
        <f>IFERROR((VLOOKUP($A427,'Из ГУГЛа'!$B:$Z,W$1,0)+Y427)*X427,VLOOKUP($A427,'Из ГУГЛа'!$B:$Z,W$1,0))</f>
        <v>6690</v>
      </c>
      <c r="X427" s="61">
        <v>1</v>
      </c>
      <c r="Y427" s="61">
        <v>0</v>
      </c>
      <c r="Z427" s="60">
        <v>6690</v>
      </c>
      <c r="AA427" s="60" t="s">
        <v>4217</v>
      </c>
    </row>
    <row r="428" spans="1:27" ht="30" x14ac:dyDescent="0.25">
      <c r="A428" s="52">
        <v>186243</v>
      </c>
      <c r="B428" s="52">
        <f>VLOOKUP($A428,'Выгр Кат'!$A:$R,B$1,0)</f>
        <v>32534</v>
      </c>
      <c r="C428" s="53" t="str">
        <f>VLOOKUP($A428,'Выгр Кат'!$A:$R,C$1,0)</f>
        <v>Панель крыши (катафорез) "АвтоВАЗ" для ВАЗ 21099, 2115</v>
      </c>
      <c r="D428" s="52" t="str">
        <f>VLOOKUP($A428,'Выгр Кат'!$A:$R,D$1,0)</f>
        <v>Y</v>
      </c>
      <c r="E428" s="52" t="str">
        <f>VLOOKUP($A428,'Выгр Кат'!$A:$R,E$1,0)</f>
        <v>1</v>
      </c>
      <c r="F428" s="52" t="str">
        <f>VLOOKUP($A428,'Выгр Кат'!$A:$R,F$1,0)</f>
        <v>21099570101210</v>
      </c>
      <c r="G428" s="52" t="str">
        <f>IF(VLOOKUP($A428,'Выгр Кат'!$A:$R,G$1,0)=0,"",VLOOKUP($A428,'Выгр Кат'!$A:$R,G$1,0))</f>
        <v/>
      </c>
      <c r="H428" s="52"/>
      <c r="I428" s="52"/>
      <c r="J428" s="54">
        <f t="shared" si="102"/>
        <v>8400</v>
      </c>
      <c r="K428" s="55">
        <f>VLOOKUP(J428,Наценка!$A$1:$B$8,2,1)</f>
        <v>1.35</v>
      </c>
      <c r="L428" s="56">
        <f t="shared" si="103"/>
        <v>11340</v>
      </c>
      <c r="M428" s="57">
        <f t="shared" si="104"/>
        <v>11390</v>
      </c>
      <c r="N428" s="52">
        <f>VLOOKUP($A428,'Выгр Кат'!$A:$R,N$1,0)</f>
        <v>8400</v>
      </c>
      <c r="O428" s="52">
        <f>VLOOKUP($A428,'Выгр Кат'!$A:$R,O$1,0)</f>
        <v>11790</v>
      </c>
      <c r="P428" s="47">
        <f t="shared" si="105"/>
        <v>0</v>
      </c>
      <c r="Q428" s="47">
        <f t="shared" si="106"/>
        <v>400</v>
      </c>
      <c r="R428" s="58">
        <f t="shared" si="107"/>
        <v>11390</v>
      </c>
      <c r="S428" s="59">
        <f t="shared" si="108"/>
        <v>0.35595238095238102</v>
      </c>
      <c r="T428" s="59">
        <f t="shared" si="109"/>
        <v>8.7032201914708437E-3</v>
      </c>
      <c r="U428" s="59">
        <f t="shared" si="110"/>
        <v>0.36785714285714288</v>
      </c>
      <c r="V428" s="42">
        <f t="shared" si="117"/>
        <v>11490</v>
      </c>
      <c r="W428" s="69">
        <f>IFERROR((VLOOKUP($A428,'Из ГУГЛа'!$B:$Z,W$1,0)+Y428)*X428,VLOOKUP($A428,'Из ГУГЛа'!$B:$Z,W$1,0))</f>
        <v>11490</v>
      </c>
      <c r="X428" s="61">
        <v>1</v>
      </c>
      <c r="Y428" s="61">
        <v>0</v>
      </c>
      <c r="Z428" s="60">
        <v>11490</v>
      </c>
      <c r="AA428" s="60" t="s">
        <v>4216</v>
      </c>
    </row>
    <row r="429" spans="1:27" ht="30" x14ac:dyDescent="0.25">
      <c r="A429" s="52">
        <v>186244</v>
      </c>
      <c r="B429" s="52">
        <f>VLOOKUP($A429,'Выгр Кат'!$A:$R,B$1,0)</f>
        <v>32549</v>
      </c>
      <c r="C429" s="53" t="str">
        <f>VLOOKUP($A429,'Выгр Кат'!$A:$R,C$1,0)</f>
        <v>Панель крыши (катафорез) "АвтоВАЗ" для ВАЗ 2110</v>
      </c>
      <c r="D429" s="52" t="str">
        <f>VLOOKUP($A429,'Выгр Кат'!$A:$R,D$1,0)</f>
        <v>Y</v>
      </c>
      <c r="E429" s="52" t="str">
        <f>VLOOKUP($A429,'Выгр Кат'!$A:$R,E$1,0)</f>
        <v>1</v>
      </c>
      <c r="F429" s="52" t="str">
        <f>VLOOKUP($A429,'Выгр Кат'!$A:$R,F$1,0)</f>
        <v>21100570101220</v>
      </c>
      <c r="G429" s="52" t="str">
        <f>IF(VLOOKUP($A429,'Выгр Кат'!$A:$R,G$1,0)=0,"",VLOOKUP($A429,'Выгр Кат'!$A:$R,G$1,0))</f>
        <v/>
      </c>
      <c r="H429" s="52"/>
      <c r="I429" s="52"/>
      <c r="J429" s="54">
        <f t="shared" si="102"/>
        <v>1583</v>
      </c>
      <c r="K429" s="55">
        <f>VLOOKUP(J429,Наценка!$A$1:$B$8,2,1)</f>
        <v>1.5</v>
      </c>
      <c r="L429" s="56">
        <f t="shared" si="103"/>
        <v>2374.5</v>
      </c>
      <c r="M429" s="57">
        <f t="shared" si="104"/>
        <v>2390</v>
      </c>
      <c r="N429" s="52">
        <f>VLOOKUP($A429,'Выгр Кат'!$A:$R,N$1,0)</f>
        <v>1583</v>
      </c>
      <c r="O429" s="52">
        <f>VLOOKUP($A429,'Выгр Кат'!$A:$R,O$1,0)</f>
        <v>2390</v>
      </c>
      <c r="P429" s="47">
        <f t="shared" si="105"/>
        <v>0</v>
      </c>
      <c r="Q429" s="47">
        <f t="shared" si="106"/>
        <v>0</v>
      </c>
      <c r="R429" s="58">
        <f t="shared" si="107"/>
        <v>2390</v>
      </c>
      <c r="S429" s="59">
        <f t="shared" si="108"/>
        <v>0.50979153506001262</v>
      </c>
      <c r="T429" s="59">
        <f t="shared" si="109"/>
        <v>0.2735562310030395</v>
      </c>
      <c r="U429" s="59">
        <f t="shared" si="110"/>
        <v>1.078332280480101</v>
      </c>
      <c r="V429" s="42">
        <f t="shared" si="117"/>
        <v>3290</v>
      </c>
      <c r="W429" s="69">
        <f>IFERROR((VLOOKUP($A429,'Из ГУГЛа'!$B:$Z,W$1,0)+Y429)*X429,VLOOKUP($A429,'Из ГУГЛа'!$B:$Z,W$1,0))</f>
        <v>3290</v>
      </c>
      <c r="X429" s="61">
        <v>1</v>
      </c>
      <c r="Y429" s="61">
        <v>0</v>
      </c>
      <c r="Z429" s="60">
        <v>3290</v>
      </c>
      <c r="AA429" s="60" t="s">
        <v>4213</v>
      </c>
    </row>
    <row r="430" spans="1:27" ht="30" x14ac:dyDescent="0.25">
      <c r="A430" s="52">
        <v>186245</v>
      </c>
      <c r="B430" s="52">
        <f>VLOOKUP($A430,'Выгр Кат'!$A:$R,B$1,0)</f>
        <v>32561</v>
      </c>
      <c r="C430" s="53" t="str">
        <f>VLOOKUP($A430,'Выгр Кат'!$A:$R,C$1,0)</f>
        <v>Панель крыши (катафорез) "АвтоВАЗ" для ВАЗ 2111</v>
      </c>
      <c r="D430" s="52" t="str">
        <f>VLOOKUP($A430,'Выгр Кат'!$A:$R,D$1,0)</f>
        <v>Y</v>
      </c>
      <c r="E430" s="52" t="str">
        <f>VLOOKUP($A430,'Выгр Кат'!$A:$R,E$1,0)</f>
        <v>1</v>
      </c>
      <c r="F430" s="52" t="str">
        <f>VLOOKUP($A430,'Выгр Кат'!$A:$R,F$1,0)</f>
        <v>21110570101200</v>
      </c>
      <c r="G430" s="52" t="str">
        <f>IF(VLOOKUP($A430,'Выгр Кат'!$A:$R,G$1,0)=0,"",VLOOKUP($A430,'Выгр Кат'!$A:$R,G$1,0))</f>
        <v/>
      </c>
      <c r="H430" s="52"/>
      <c r="I430" s="52"/>
      <c r="J430" s="54">
        <f t="shared" si="102"/>
        <v>4162</v>
      </c>
      <c r="K430" s="55">
        <f>VLOOKUP(J430,Наценка!$A$1:$B$8,2,1)</f>
        <v>1.4</v>
      </c>
      <c r="L430" s="56">
        <f t="shared" si="103"/>
        <v>5826.7999999999993</v>
      </c>
      <c r="M430" s="57">
        <f t="shared" si="104"/>
        <v>5890</v>
      </c>
      <c r="N430" s="52">
        <f>VLOOKUP($A430,'Выгр Кат'!$A:$R,N$1,0)</f>
        <v>4162</v>
      </c>
      <c r="O430" s="52">
        <f>VLOOKUP($A430,'Выгр Кат'!$A:$R,O$1,0)</f>
        <v>5890</v>
      </c>
      <c r="P430" s="47">
        <f t="shared" si="105"/>
        <v>0</v>
      </c>
      <c r="Q430" s="47">
        <f t="shared" si="106"/>
        <v>0</v>
      </c>
      <c r="R430" s="58">
        <f t="shared" si="107"/>
        <v>5890</v>
      </c>
      <c r="S430" s="59">
        <f t="shared" si="108"/>
        <v>0.41518500720807294</v>
      </c>
      <c r="T430" s="59">
        <f t="shared" si="109"/>
        <v>0.48738033072236725</v>
      </c>
      <c r="U430" s="59">
        <f t="shared" si="110"/>
        <v>1.7606919750120134</v>
      </c>
      <c r="V430" s="42">
        <f t="shared" si="117"/>
        <v>11490</v>
      </c>
      <c r="W430" s="69">
        <f>IFERROR((VLOOKUP($A430,'Из ГУГЛа'!$B:$Z,W$1,0)+Y430)*X430,VLOOKUP($A430,'Из ГУГЛа'!$B:$Z,W$1,0))</f>
        <v>11490</v>
      </c>
      <c r="X430" s="61">
        <v>1</v>
      </c>
      <c r="Y430" s="61">
        <v>0</v>
      </c>
      <c r="Z430" s="60">
        <v>11490</v>
      </c>
      <c r="AA430" s="60" t="s">
        <v>4214</v>
      </c>
    </row>
    <row r="431" spans="1:27" ht="30" x14ac:dyDescent="0.25">
      <c r="A431" s="52">
        <v>186246</v>
      </c>
      <c r="B431" s="52">
        <f>VLOOKUP($A431,'Выгр Кат'!$A:$R,B$1,0)</f>
        <v>32570</v>
      </c>
      <c r="C431" s="53" t="str">
        <f>VLOOKUP($A431,'Выгр Кат'!$A:$R,C$1,0)</f>
        <v>Панель крыши (катафорез) "АвтоВАЗ" для ВАЗ 2112</v>
      </c>
      <c r="D431" s="52" t="str">
        <f>VLOOKUP($A431,'Выгр Кат'!$A:$R,D$1,0)</f>
        <v>Y</v>
      </c>
      <c r="E431" s="52" t="str">
        <f>VLOOKUP($A431,'Выгр Кат'!$A:$R,E$1,0)</f>
        <v>1</v>
      </c>
      <c r="F431" s="52" t="str">
        <f>VLOOKUP($A431,'Выгр Кат'!$A:$R,F$1,0)</f>
        <v>21120570101010</v>
      </c>
      <c r="G431" s="52" t="str">
        <f>IF(VLOOKUP($A431,'Выгр Кат'!$A:$R,G$1,0)=0,"",VLOOKUP($A431,'Выгр Кат'!$A:$R,G$1,0))</f>
        <v/>
      </c>
      <c r="H431" s="52"/>
      <c r="I431" s="52"/>
      <c r="J431" s="54">
        <f t="shared" si="102"/>
        <v>5832</v>
      </c>
      <c r="K431" s="55">
        <f>VLOOKUP(J431,Наценка!$A$1:$B$8,2,1)</f>
        <v>1.35</v>
      </c>
      <c r="L431" s="56">
        <f t="shared" si="103"/>
        <v>7873.2000000000007</v>
      </c>
      <c r="M431" s="57">
        <f t="shared" si="104"/>
        <v>7890</v>
      </c>
      <c r="N431" s="52">
        <f>VLOOKUP($A431,'Выгр Кат'!$A:$R,N$1,0)</f>
        <v>5832</v>
      </c>
      <c r="O431" s="52">
        <f>VLOOKUP($A431,'Выгр Кат'!$A:$R,O$1,0)</f>
        <v>8190</v>
      </c>
      <c r="P431" s="47">
        <f t="shared" si="105"/>
        <v>0</v>
      </c>
      <c r="Q431" s="47">
        <f t="shared" si="106"/>
        <v>300</v>
      </c>
      <c r="R431" s="58">
        <f t="shared" si="107"/>
        <v>7890</v>
      </c>
      <c r="S431" s="59">
        <f t="shared" si="108"/>
        <v>0.35288065843621408</v>
      </c>
      <c r="T431" s="59">
        <f t="shared" si="109"/>
        <v>-1.2836970474967908E-2</v>
      </c>
      <c r="U431" s="59">
        <f t="shared" si="110"/>
        <v>0.33573388203017829</v>
      </c>
      <c r="V431" s="42">
        <f t="shared" si="117"/>
        <v>7790</v>
      </c>
      <c r="W431" s="69">
        <f>IFERROR((VLOOKUP($A431,'Из ГУГЛа'!$B:$Z,W$1,0)+Y431)*X431,VLOOKUP($A431,'Из ГУГЛа'!$B:$Z,W$1,0))</f>
        <v>7790</v>
      </c>
      <c r="X431" s="61">
        <v>1</v>
      </c>
      <c r="Y431" s="61">
        <v>0</v>
      </c>
      <c r="Z431" s="60">
        <v>7790</v>
      </c>
      <c r="AA431" s="60" t="s">
        <v>4223</v>
      </c>
    </row>
    <row r="432" spans="1:27" ht="30" x14ac:dyDescent="0.25">
      <c r="A432" s="52">
        <v>186247</v>
      </c>
      <c r="B432" s="52">
        <f>VLOOKUP($A432,'Выгр Кат'!$A:$R,B$1,0)</f>
        <v>32524</v>
      </c>
      <c r="C432" s="53" t="str">
        <f>VLOOKUP($A432,'Выгр Кат'!$A:$R,C$1,0)</f>
        <v>Панель крыши (катафорез) "АвтоВАЗ" для Лада Калина хэтчбек</v>
      </c>
      <c r="D432" s="52" t="str">
        <f>VLOOKUP($A432,'Выгр Кат'!$A:$R,D$1,0)</f>
        <v>Y</v>
      </c>
      <c r="E432" s="52" t="str">
        <f>VLOOKUP($A432,'Выгр Кат'!$A:$R,E$1,0)</f>
        <v>1</v>
      </c>
      <c r="F432" s="52" t="str">
        <f>VLOOKUP($A432,'Выгр Кат'!$A:$R,F$1,0)</f>
        <v>11190570101270</v>
      </c>
      <c r="G432" s="52" t="str">
        <f>IF(VLOOKUP($A432,'Выгр Кат'!$A:$R,G$1,0)=0,"",VLOOKUP($A432,'Выгр Кат'!$A:$R,G$1,0))</f>
        <v/>
      </c>
      <c r="H432" s="52"/>
      <c r="I432" s="52"/>
      <c r="J432" s="54">
        <f t="shared" si="102"/>
        <v>6363</v>
      </c>
      <c r="K432" s="55">
        <f>VLOOKUP(J432,Наценка!$A$1:$B$8,2,1)</f>
        <v>1.35</v>
      </c>
      <c r="L432" s="56">
        <f t="shared" si="103"/>
        <v>8590.0500000000011</v>
      </c>
      <c r="M432" s="57">
        <f t="shared" si="104"/>
        <v>8590</v>
      </c>
      <c r="N432" s="52">
        <f>VLOOKUP($A432,'Выгр Кат'!$A:$R,N$1,0)</f>
        <v>6363</v>
      </c>
      <c r="O432" s="52">
        <f>VLOOKUP($A432,'Выгр Кат'!$A:$R,O$1,0)</f>
        <v>8990</v>
      </c>
      <c r="P432" s="47">
        <f t="shared" si="105"/>
        <v>0</v>
      </c>
      <c r="Q432" s="47">
        <f t="shared" si="106"/>
        <v>400</v>
      </c>
      <c r="R432" s="58">
        <f t="shared" si="107"/>
        <v>8590</v>
      </c>
      <c r="S432" s="59">
        <f t="shared" si="108"/>
        <v>0.3499921420713501</v>
      </c>
      <c r="T432" s="59">
        <f t="shared" si="109"/>
        <v>4.449388209121246E-2</v>
      </c>
      <c r="U432" s="59">
        <f t="shared" si="110"/>
        <v>0.41285557127141281</v>
      </c>
      <c r="V432" s="42">
        <f t="shared" si="117"/>
        <v>8990</v>
      </c>
      <c r="W432" s="69">
        <f>IFERROR((VLOOKUP($A432,'Из ГУГЛа'!$B:$Z,W$1,0)+Y432)*X432,VLOOKUP($A432,'Из ГУГЛа'!$B:$Z,W$1,0))</f>
        <v>8990</v>
      </c>
      <c r="X432" s="61">
        <v>1</v>
      </c>
      <c r="Y432" s="61">
        <v>0</v>
      </c>
      <c r="Z432" s="60">
        <v>8990</v>
      </c>
      <c r="AA432" s="60" t="s">
        <v>4212</v>
      </c>
    </row>
    <row r="433" spans="1:27" ht="30" x14ac:dyDescent="0.25">
      <c r="A433" s="52">
        <v>186248</v>
      </c>
      <c r="B433" s="52">
        <f>VLOOKUP($A433,'Выгр Кат'!$A:$R,B$1,0)</f>
        <v>32636</v>
      </c>
      <c r="C433" s="53" t="str">
        <f>VLOOKUP($A433,'Выгр Кат'!$A:$R,C$1,0)</f>
        <v>Панель крыши (катафорез) "АвтоВАЗ" для Лада Нива 4x4</v>
      </c>
      <c r="D433" s="52" t="str">
        <f>VLOOKUP($A433,'Выгр Кат'!$A:$R,D$1,0)</f>
        <v>Y</v>
      </c>
      <c r="E433" s="52" t="str">
        <f>VLOOKUP($A433,'Выгр Кат'!$A:$R,E$1,0)</f>
        <v>1</v>
      </c>
      <c r="F433" s="52" t="str">
        <f>VLOOKUP($A433,'Выгр Кат'!$A:$R,F$1,0)</f>
        <v>21210570101210</v>
      </c>
      <c r="G433" s="52" t="str">
        <f>IF(VLOOKUP($A433,'Выгр Кат'!$A:$R,G$1,0)=0,"",VLOOKUP($A433,'Выгр Кат'!$A:$R,G$1,0))</f>
        <v/>
      </c>
      <c r="H433" s="52"/>
      <c r="I433" s="52"/>
      <c r="J433" s="54">
        <f t="shared" si="102"/>
        <v>9120</v>
      </c>
      <c r="K433" s="55">
        <f>VLOOKUP(J433,Наценка!$A$1:$B$8,2,1)</f>
        <v>1.35</v>
      </c>
      <c r="L433" s="56">
        <f t="shared" si="103"/>
        <v>12312</v>
      </c>
      <c r="M433" s="57">
        <f t="shared" si="104"/>
        <v>12390</v>
      </c>
      <c r="N433" s="52">
        <f>VLOOKUP($A433,'Выгр Кат'!$A:$R,N$1,0)</f>
        <v>9120</v>
      </c>
      <c r="O433" s="52">
        <f>VLOOKUP($A433,'Выгр Кат'!$A:$R,O$1,0)</f>
        <v>12790</v>
      </c>
      <c r="P433" s="47">
        <f t="shared" si="105"/>
        <v>0</v>
      </c>
      <c r="Q433" s="47">
        <f t="shared" si="106"/>
        <v>400</v>
      </c>
      <c r="R433" s="58">
        <f t="shared" si="107"/>
        <v>12390</v>
      </c>
      <c r="S433" s="59">
        <f t="shared" si="108"/>
        <v>0.35855263157894735</v>
      </c>
      <c r="T433" s="59">
        <f t="shared" si="109"/>
        <v>-4.2052144659377629E-2</v>
      </c>
      <c r="U433" s="59">
        <f t="shared" si="110"/>
        <v>0.30372807017543857</v>
      </c>
      <c r="V433" s="42">
        <f t="shared" si="117"/>
        <v>11890</v>
      </c>
      <c r="W433" s="69">
        <f>IFERROR((VLOOKUP($A433,'Из ГУГЛа'!$B:$Z,W$1,0)+Y433)*X433,VLOOKUP($A433,'Из ГУГЛа'!$B:$Z,W$1,0))</f>
        <v>11890</v>
      </c>
      <c r="X433" s="61">
        <v>1</v>
      </c>
      <c r="Y433" s="61">
        <v>0</v>
      </c>
      <c r="Z433" s="60">
        <v>11890</v>
      </c>
      <c r="AA433" s="60" t="s">
        <v>4218</v>
      </c>
    </row>
    <row r="434" spans="1:27" ht="30" x14ac:dyDescent="0.25">
      <c r="A434" s="52">
        <v>186249</v>
      </c>
      <c r="B434" s="52">
        <f>VLOOKUP($A434,'Выгр Кат'!$A:$R,B$1,0)</f>
        <v>32698</v>
      </c>
      <c r="C434" s="53" t="str">
        <f>VLOOKUP($A434,'Выгр Кат'!$A:$R,C$1,0)</f>
        <v>Панель крыши (катафорез) "АвтоВАЗ" для Лада Приора, Приора 2 хэтчбек</v>
      </c>
      <c r="D434" s="52" t="str">
        <f>VLOOKUP($A434,'Выгр Кат'!$A:$R,D$1,0)</f>
        <v>Y</v>
      </c>
      <c r="E434" s="52" t="str">
        <f>VLOOKUP($A434,'Выгр Кат'!$A:$R,E$1,0)</f>
        <v>1</v>
      </c>
      <c r="F434" s="52" t="str">
        <f>VLOOKUP($A434,'Выгр Кат'!$A:$R,F$1,0)</f>
        <v>21720570101210</v>
      </c>
      <c r="G434" s="52" t="str">
        <f>IF(VLOOKUP($A434,'Выгр Кат'!$A:$R,G$1,0)=0,"",VLOOKUP($A434,'Выгр Кат'!$A:$R,G$1,0))</f>
        <v/>
      </c>
      <c r="H434" s="52"/>
      <c r="I434" s="52"/>
      <c r="J434" s="54">
        <f t="shared" si="102"/>
        <v>6124</v>
      </c>
      <c r="K434" s="55">
        <f>VLOOKUP(J434,Наценка!$A$1:$B$8,2,1)</f>
        <v>1.35</v>
      </c>
      <c r="L434" s="56">
        <f t="shared" si="103"/>
        <v>8267.4</v>
      </c>
      <c r="M434" s="57">
        <f t="shared" si="104"/>
        <v>8290</v>
      </c>
      <c r="N434" s="52">
        <f>VLOOKUP($A434,'Выгр Кат'!$A:$R,N$1,0)</f>
        <v>6124</v>
      </c>
      <c r="O434" s="52">
        <f>VLOOKUP($A434,'Выгр Кат'!$A:$R,O$1,0)</f>
        <v>8590</v>
      </c>
      <c r="P434" s="47">
        <f t="shared" si="105"/>
        <v>0</v>
      </c>
      <c r="Q434" s="47">
        <f t="shared" si="106"/>
        <v>300</v>
      </c>
      <c r="R434" s="58">
        <f t="shared" si="107"/>
        <v>8290</v>
      </c>
      <c r="S434" s="59">
        <f t="shared" si="108"/>
        <v>0.35369039843239714</v>
      </c>
      <c r="T434" s="59">
        <f t="shared" si="109"/>
        <v>2.3557126030624265E-2</v>
      </c>
      <c r="U434" s="59">
        <f t="shared" si="110"/>
        <v>0.38634879163945124</v>
      </c>
      <c r="V434" s="42">
        <f t="shared" si="117"/>
        <v>8490</v>
      </c>
      <c r="W434" s="69">
        <f>IFERROR((VLOOKUP($A434,'Из ГУГЛа'!$B:$Z,W$1,0)+Y434)*X434,VLOOKUP($A434,'Из ГУГЛа'!$B:$Z,W$1,0))</f>
        <v>8490</v>
      </c>
      <c r="X434" s="61">
        <v>1</v>
      </c>
      <c r="Y434" s="61">
        <v>0</v>
      </c>
      <c r="Z434" s="60">
        <v>8490</v>
      </c>
      <c r="AA434" s="60" t="s">
        <v>4219</v>
      </c>
    </row>
    <row r="435" spans="1:27" ht="45" x14ac:dyDescent="0.25">
      <c r="A435" s="52">
        <v>186250</v>
      </c>
      <c r="B435" s="52">
        <f>VLOOKUP($A435,'Выгр Кат'!$A:$R,B$1,0)</f>
        <v>32665</v>
      </c>
      <c r="C435" s="53" t="str">
        <f>VLOOKUP($A435,'Выгр Кат'!$A:$R,C$1,0)</f>
        <v>Панель крыши (катафорез) "АвтоВАЗ" с отверстиями под рейлинг (нового образца) для Шевроле Нива</v>
      </c>
      <c r="D435" s="52" t="str">
        <f>VLOOKUP($A435,'Выгр Кат'!$A:$R,D$1,0)</f>
        <v>Y</v>
      </c>
      <c r="E435" s="52" t="str">
        <f>VLOOKUP($A435,'Выгр Кат'!$A:$R,E$1,0)</f>
        <v>1</v>
      </c>
      <c r="F435" s="52" t="str">
        <f>VLOOKUP($A435,'Выгр Кат'!$A:$R,F$1,0)</f>
        <v>21230570101277</v>
      </c>
      <c r="G435" s="52" t="str">
        <f>IF(VLOOKUP($A435,'Выгр Кат'!$A:$R,G$1,0)=0,"",VLOOKUP($A435,'Выгр Кат'!$A:$R,G$1,0))</f>
        <v/>
      </c>
      <c r="H435" s="52"/>
      <c r="I435" s="52"/>
      <c r="J435" s="54">
        <f t="shared" si="102"/>
        <v>16574</v>
      </c>
      <c r="K435" s="55">
        <f>VLOOKUP(J435,Наценка!$A$1:$B$8,2,1)</f>
        <v>1.3</v>
      </c>
      <c r="L435" s="56">
        <f t="shared" si="103"/>
        <v>21546.2</v>
      </c>
      <c r="M435" s="57">
        <f t="shared" si="104"/>
        <v>21590</v>
      </c>
      <c r="N435" s="52">
        <f>VLOOKUP($A435,'Выгр Кат'!$A:$R,N$1,0)</f>
        <v>16574</v>
      </c>
      <c r="O435" s="52">
        <f>VLOOKUP($A435,'Выгр Кат'!$A:$R,O$1,0)</f>
        <v>23290</v>
      </c>
      <c r="P435" s="47">
        <f t="shared" si="105"/>
        <v>0</v>
      </c>
      <c r="Q435" s="47">
        <f t="shared" si="106"/>
        <v>1700</v>
      </c>
      <c r="R435" s="58">
        <f t="shared" si="107"/>
        <v>21590</v>
      </c>
      <c r="S435" s="59">
        <f t="shared" si="108"/>
        <v>0.30264269337516603</v>
      </c>
      <c r="T435" s="59">
        <f t="shared" si="109"/>
        <v>-0.2001111728738188</v>
      </c>
      <c r="U435" s="59">
        <f t="shared" si="110"/>
        <v>8.5435018703994281E-2</v>
      </c>
      <c r="V435" s="42">
        <f t="shared" si="117"/>
        <v>17990</v>
      </c>
      <c r="W435" s="69">
        <f>IFERROR((VLOOKUP($A435,'Из ГУГЛа'!$B:$Z,W$1,0)+Y435)*X435,VLOOKUP($A435,'Из ГУГЛа'!$B:$Z,W$1,0))</f>
        <v>17990</v>
      </c>
      <c r="X435" s="61">
        <v>1</v>
      </c>
      <c r="Y435" s="61">
        <v>0</v>
      </c>
      <c r="Z435" s="60">
        <v>17990</v>
      </c>
      <c r="AA435" s="60" t="s">
        <v>4222</v>
      </c>
    </row>
    <row r="436" spans="1:27" ht="45" x14ac:dyDescent="0.25">
      <c r="A436" s="52">
        <v>186251</v>
      </c>
      <c r="B436" s="52">
        <f>VLOOKUP($A436,'Выгр Кат'!$A:$R,B$1,0)</f>
        <v>32639</v>
      </c>
      <c r="C436" s="53" t="str">
        <f>VLOOKUP($A436,'Выгр Кат'!$A:$R,C$1,0)</f>
        <v>Панель облицовки рамки радиатора ("очки", катафорез) "АвтоВАЗ" для Лада Нива 4x4</v>
      </c>
      <c r="D436" s="52" t="str">
        <f>VLOOKUP($A436,'Выгр Кат'!$A:$R,D$1,0)</f>
        <v>Y</v>
      </c>
      <c r="E436" s="52" t="str">
        <f>VLOOKUP($A436,'Выгр Кат'!$A:$R,E$1,0)</f>
        <v>1</v>
      </c>
      <c r="F436" s="52" t="str">
        <f>VLOOKUP($A436,'Выгр Кат'!$A:$R,F$1,0)</f>
        <v>21213840112040</v>
      </c>
      <c r="G436" s="52" t="str">
        <f>IF(VLOOKUP($A436,'Выгр Кат'!$A:$R,G$1,0)=0,"",VLOOKUP($A436,'Выгр Кат'!$A:$R,G$1,0))</f>
        <v/>
      </c>
      <c r="H436" s="52"/>
      <c r="I436" s="52"/>
      <c r="J436" s="54">
        <f t="shared" si="102"/>
        <v>4247</v>
      </c>
      <c r="K436" s="55">
        <f>VLOOKUP(J436,Наценка!$A$1:$B$8,2,1)</f>
        <v>1.4</v>
      </c>
      <c r="L436" s="56">
        <f t="shared" si="103"/>
        <v>5945.7999999999993</v>
      </c>
      <c r="M436" s="57">
        <f t="shared" si="104"/>
        <v>5990</v>
      </c>
      <c r="N436" s="52">
        <f>VLOOKUP($A436,'Выгр Кат'!$A:$R,N$1,0)</f>
        <v>4247</v>
      </c>
      <c r="O436" s="52">
        <f>VLOOKUP($A436,'Выгр Кат'!$A:$R,O$1,0)</f>
        <v>5990</v>
      </c>
      <c r="P436" s="47">
        <f t="shared" si="105"/>
        <v>0</v>
      </c>
      <c r="Q436" s="47">
        <f t="shared" si="106"/>
        <v>0</v>
      </c>
      <c r="R436" s="58">
        <f t="shared" si="107"/>
        <v>5990</v>
      </c>
      <c r="S436" s="59">
        <f t="shared" si="108"/>
        <v>0.41040734636213805</v>
      </c>
      <c r="T436" s="59" t="str">
        <f t="shared" si="109"/>
        <v/>
      </c>
      <c r="U436" s="59" t="str">
        <f t="shared" si="110"/>
        <v/>
      </c>
      <c r="V436" s="60"/>
      <c r="W436" s="69" t="str">
        <f>IFERROR((VLOOKUP($A436,'Из ГУГЛа'!$B:$Z,W$1,0)+Y436)*X436,VLOOKUP($A436,'Из ГУГЛа'!$B:$Z,W$1,0))</f>
        <v/>
      </c>
      <c r="X436" s="61">
        <v>1</v>
      </c>
      <c r="Y436" s="61">
        <v>0</v>
      </c>
      <c r="Z436" s="60">
        <v>5190</v>
      </c>
      <c r="AA436" s="60" t="s">
        <v>4310</v>
      </c>
    </row>
    <row r="437" spans="1:27" ht="45" x14ac:dyDescent="0.25">
      <c r="A437" s="52">
        <v>186252</v>
      </c>
      <c r="B437" s="52">
        <f>VLOOKUP($A437,'Выгр Кат'!$A:$R,B$1,0)</f>
        <v>46246</v>
      </c>
      <c r="C437" s="53" t="str">
        <f>VLOOKUP($A437,'Выгр Кат'!$A:$R,C$1,0)</f>
        <v>Панель передка боковая "АвтоВАЗ" внутренняя левая (катафорез) для Лада Нива Travel, Шевроле Нива</v>
      </c>
      <c r="D437" s="52" t="str">
        <f>VLOOKUP($A437,'Выгр Кат'!$A:$R,D$1,0)</f>
        <v>Y</v>
      </c>
      <c r="E437" s="52" t="str">
        <f>VLOOKUP($A437,'Выгр Кат'!$A:$R,E$1,0)</f>
        <v>1</v>
      </c>
      <c r="F437" s="52" t="str">
        <f>VLOOKUP($A437,'Выгр Кат'!$A:$R,F$1,0)</f>
        <v>21230530132170</v>
      </c>
      <c r="G437" s="52" t="str">
        <f>IF(VLOOKUP($A437,'Выгр Кат'!$A:$R,G$1,0)=0,"",VLOOKUP($A437,'Выгр Кат'!$A:$R,G$1,0))</f>
        <v/>
      </c>
      <c r="H437" s="52"/>
      <c r="I437" s="52"/>
      <c r="J437" s="54">
        <f t="shared" si="102"/>
        <v>488</v>
      </c>
      <c r="K437" s="55">
        <f>VLOOKUP(J437,Наценка!$A$1:$B$8,2,1)</f>
        <v>1.6</v>
      </c>
      <c r="L437" s="56">
        <f t="shared" si="103"/>
        <v>780.80000000000007</v>
      </c>
      <c r="M437" s="57">
        <f t="shared" si="104"/>
        <v>789</v>
      </c>
      <c r="N437" s="52">
        <f>VLOOKUP($A437,'Выгр Кат'!$A:$R,N$1,0)</f>
        <v>488</v>
      </c>
      <c r="O437" s="52">
        <f>VLOOKUP($A437,'Выгр Кат'!$A:$R,O$1,0)</f>
        <v>789</v>
      </c>
      <c r="P437" s="47">
        <f t="shared" si="105"/>
        <v>0</v>
      </c>
      <c r="Q437" s="47">
        <f t="shared" si="106"/>
        <v>0</v>
      </c>
      <c r="R437" s="58">
        <f t="shared" si="107"/>
        <v>789</v>
      </c>
      <c r="S437" s="59">
        <f t="shared" si="108"/>
        <v>0.61680327868852469</v>
      </c>
      <c r="T437" s="59" t="str">
        <f t="shared" si="109"/>
        <v/>
      </c>
      <c r="U437" s="59" t="str">
        <f t="shared" si="110"/>
        <v/>
      </c>
      <c r="V437" s="60"/>
      <c r="W437" s="69" t="str">
        <f>IFERROR((VLOOKUP($A437,'Из ГУГЛа'!$B:$Z,W$1,0)+Y437)*X437,VLOOKUP($A437,'Из ГУГЛа'!$B:$Z,W$1,0))</f>
        <v/>
      </c>
      <c r="X437" s="61">
        <v>1</v>
      </c>
      <c r="Y437" s="61">
        <v>0</v>
      </c>
      <c r="Z437" s="60" t="s">
        <v>4170</v>
      </c>
      <c r="AA437" s="60"/>
    </row>
    <row r="438" spans="1:27" ht="45" x14ac:dyDescent="0.25">
      <c r="A438" s="52">
        <v>186254</v>
      </c>
      <c r="B438" s="52">
        <f>VLOOKUP($A438,'Выгр Кат'!$A:$R,B$1,0)</f>
        <v>46184</v>
      </c>
      <c r="C438" s="53" t="str">
        <f>VLOOKUP($A438,'Выгр Кат'!$A:$R,C$1,0)</f>
        <v>Панель передней стойки боковины "АвтоВАЗ" внутренняя правая для Лада Нива 4x4</v>
      </c>
      <c r="D438" s="52" t="str">
        <f>VLOOKUP($A438,'Выгр Кат'!$A:$R,D$1,0)</f>
        <v>Y</v>
      </c>
      <c r="E438" s="52" t="str">
        <f>VLOOKUP($A438,'Выгр Кат'!$A:$R,E$1,0)</f>
        <v>1</v>
      </c>
      <c r="F438" s="52" t="str">
        <f>VLOOKUP($A438,'Выгр Кат'!$A:$R,F$1,0)</f>
        <v>8450109172</v>
      </c>
      <c r="G438" s="52" t="str">
        <f>IF(VLOOKUP($A438,'Выгр Кат'!$A:$R,G$1,0)=0,"",VLOOKUP($A438,'Выгр Кат'!$A:$R,G$1,0))</f>
        <v/>
      </c>
      <c r="H438" s="52"/>
      <c r="I438" s="52"/>
      <c r="J438" s="54">
        <f t="shared" si="102"/>
        <v>479</v>
      </c>
      <c r="K438" s="55">
        <f>VLOOKUP(J438,Наценка!$A$1:$B$8,2,1)</f>
        <v>1.6</v>
      </c>
      <c r="L438" s="56">
        <f t="shared" si="103"/>
        <v>766.40000000000009</v>
      </c>
      <c r="M438" s="57">
        <f t="shared" si="104"/>
        <v>769</v>
      </c>
      <c r="N438" s="52">
        <f>VLOOKUP($A438,'Выгр Кат'!$A:$R,N$1,0)</f>
        <v>479</v>
      </c>
      <c r="O438" s="52">
        <f>VLOOKUP($A438,'Выгр Кат'!$A:$R,O$1,0)</f>
        <v>769</v>
      </c>
      <c r="P438" s="47">
        <f t="shared" si="105"/>
        <v>0</v>
      </c>
      <c r="Q438" s="47">
        <f t="shared" si="106"/>
        <v>0</v>
      </c>
      <c r="R438" s="58">
        <f t="shared" si="107"/>
        <v>769</v>
      </c>
      <c r="S438" s="59">
        <f t="shared" si="108"/>
        <v>0.60542797494780798</v>
      </c>
      <c r="T438" s="59" t="str">
        <f t="shared" si="109"/>
        <v/>
      </c>
      <c r="U438" s="59" t="str">
        <f t="shared" si="110"/>
        <v/>
      </c>
      <c r="V438" s="60"/>
      <c r="W438" s="69" t="str">
        <f>IFERROR((VLOOKUP($A438,'Из ГУГЛа'!$B:$Z,W$1,0)+Y438)*X438,VLOOKUP($A438,'Из ГУГЛа'!$B:$Z,W$1,0))</f>
        <v/>
      </c>
      <c r="X438" s="61">
        <v>1</v>
      </c>
      <c r="Y438" s="61">
        <v>0</v>
      </c>
      <c r="Z438" s="60" t="s">
        <v>4170</v>
      </c>
      <c r="AA438" s="60"/>
    </row>
    <row r="439" spans="1:27" ht="30" x14ac:dyDescent="0.25">
      <c r="A439" s="52">
        <v>347105</v>
      </c>
      <c r="B439" s="52">
        <f>VLOOKUP($A439,'Выгр Кат'!$A:$R,B$1,0)</f>
        <v>347105</v>
      </c>
      <c r="C439" s="53" t="str">
        <f>VLOOKUP($A439,'Выгр Кат'!$A:$R,C$1,0)</f>
        <v>Панель пола "АвтоВАЗ центральная (правая) для Лада XRAY</v>
      </c>
      <c r="D439" s="52" t="str">
        <f>VLOOKUP($A439,'Выгр Кат'!$A:$R,D$1,0)</f>
        <v>Y</v>
      </c>
      <c r="E439" s="52" t="str">
        <f>VLOOKUP($A439,'Выгр Кат'!$A:$R,E$1,0)</f>
        <v>1</v>
      </c>
      <c r="F439" s="52" t="str">
        <f>VLOOKUP($A439,'Выгр Кат'!$A:$R,F$1,0)</f>
        <v>743205653</v>
      </c>
      <c r="G439" s="52" t="str">
        <f>IF(VLOOKUP($A439,'Выгр Кат'!$A:$R,G$1,0)=0,"",VLOOKUP($A439,'Выгр Кат'!$A:$R,G$1,0))</f>
        <v/>
      </c>
      <c r="H439" s="52"/>
      <c r="I439" s="52"/>
      <c r="J439" s="54">
        <f t="shared" si="102"/>
        <v>15856</v>
      </c>
      <c r="K439" s="55">
        <f>VLOOKUP(J439,Наценка!$A$1:$B$8,2,1)</f>
        <v>1.3</v>
      </c>
      <c r="L439" s="56">
        <f t="shared" si="103"/>
        <v>20612.8</v>
      </c>
      <c r="M439" s="57">
        <f t="shared" si="104"/>
        <v>20690</v>
      </c>
      <c r="N439" s="52">
        <f>VLOOKUP($A439,'Выгр Кат'!$A:$R,N$1,0)</f>
        <v>15856</v>
      </c>
      <c r="O439" s="52">
        <f>VLOOKUP($A439,'Выгр Кат'!$A:$R,O$1,0)</f>
        <v>20690</v>
      </c>
      <c r="P439" s="47">
        <f t="shared" si="105"/>
        <v>0</v>
      </c>
      <c r="Q439" s="47">
        <f t="shared" si="106"/>
        <v>0</v>
      </c>
      <c r="R439" s="58">
        <f t="shared" si="107"/>
        <v>20690</v>
      </c>
      <c r="S439" s="59">
        <f t="shared" si="108"/>
        <v>0.30486881937436938</v>
      </c>
      <c r="T439" s="59" t="str">
        <f t="shared" si="109"/>
        <v/>
      </c>
      <c r="U439" s="59" t="str">
        <f t="shared" si="110"/>
        <v/>
      </c>
      <c r="V439" s="60"/>
      <c r="W439" s="69" t="str">
        <f>IFERROR((VLOOKUP($A439,'Из ГУГЛа'!$B:$Z,W$1,0)+Y439)*X439,VLOOKUP($A439,'Из ГУГЛа'!$B:$Z,W$1,0))</f>
        <v/>
      </c>
      <c r="X439" s="61">
        <v>1</v>
      </c>
      <c r="Y439" s="61">
        <v>0</v>
      </c>
      <c r="Z439" s="62" t="s">
        <v>4170</v>
      </c>
      <c r="AA439" s="60"/>
    </row>
    <row r="440" spans="1:27" ht="30" x14ac:dyDescent="0.25">
      <c r="A440" s="52">
        <v>186257</v>
      </c>
      <c r="B440" s="52">
        <f>VLOOKUP($A440,'Выгр Кат'!$A:$R,B$1,0)</f>
        <v>26481</v>
      </c>
      <c r="C440" s="53" t="str">
        <f>VLOOKUP($A440,'Выгр Кат'!$A:$R,C$1,0)</f>
        <v>Панель пола "АвтоВАЗ" (задняя, левая) для ВАЗ 2110, Лада Приора седан</v>
      </c>
      <c r="D440" s="52" t="str">
        <f>VLOOKUP($A440,'Выгр Кат'!$A:$R,D$1,0)</f>
        <v>Y</v>
      </c>
      <c r="E440" s="52" t="str">
        <f>VLOOKUP($A440,'Выгр Кат'!$A:$R,E$1,0)</f>
        <v>1</v>
      </c>
      <c r="F440" s="52" t="str">
        <f>VLOOKUP($A440,'Выгр Кат'!$A:$R,F$1,0)</f>
        <v>21100510104110</v>
      </c>
      <c r="G440" s="52" t="str">
        <f>IF(VLOOKUP($A440,'Выгр Кат'!$A:$R,G$1,0)=0,"",VLOOKUP($A440,'Выгр Кат'!$A:$R,G$1,0))</f>
        <v/>
      </c>
      <c r="H440" s="52"/>
      <c r="I440" s="52"/>
      <c r="J440" s="54">
        <f t="shared" ref="J440:J503" si="118">N440</f>
        <v>719</v>
      </c>
      <c r="K440" s="55">
        <f>VLOOKUP(J440,Наценка!$A$1:$B$8,2,1)</f>
        <v>1.55</v>
      </c>
      <c r="L440" s="56">
        <f t="shared" ref="L440:L503" si="119">J440*K440</f>
        <v>1114.45</v>
      </c>
      <c r="M440" s="57">
        <f t="shared" ref="M440:M503" si="120">IF(L440&lt;=1000,(ROUNDUP(L440,-1)-1),(ROUNDUP(L440,-2)-10))</f>
        <v>1190</v>
      </c>
      <c r="N440" s="52">
        <f>VLOOKUP($A440,'Выгр Кат'!$A:$R,N$1,0)</f>
        <v>719</v>
      </c>
      <c r="O440" s="52">
        <f>VLOOKUP($A440,'Выгр Кат'!$A:$R,O$1,0)</f>
        <v>1190</v>
      </c>
      <c r="P440" s="47">
        <f t="shared" ref="P440:P503" si="121">N440-J440</f>
        <v>0</v>
      </c>
      <c r="Q440" s="47">
        <f t="shared" ref="Q440:Q503" si="122">O440-M440</f>
        <v>0</v>
      </c>
      <c r="R440" s="58">
        <f t="shared" ref="R440:R503" si="123">IFERROR(ROUND(M440*(1-$R$2),),"")</f>
        <v>1190</v>
      </c>
      <c r="S440" s="59">
        <f t="shared" ref="S440:S503" si="124">IFERROR(R440/J440-1,"")</f>
        <v>0.65507649513212796</v>
      </c>
      <c r="T440" s="59">
        <f t="shared" ref="T440:T503" si="125">IFERROR((V440-R440)/V440,"")</f>
        <v>-0.33707865168539325</v>
      </c>
      <c r="U440" s="59">
        <f t="shared" ref="U440:U503" si="126">IFERROR(IF(V440="","",V440/J440-1),"")</f>
        <v>0.23783031988873438</v>
      </c>
      <c r="V440" s="42">
        <f t="shared" ref="V440:V441" si="127">Z440</f>
        <v>890</v>
      </c>
      <c r="W440" s="69" t="str">
        <f>IFERROR((VLOOKUP($A440,'Из ГУГЛа'!$B:$Z,W$1,0)+Y440)*X440,VLOOKUP($A440,'Из ГУГЛа'!$B:$Z,W$1,0))</f>
        <v/>
      </c>
      <c r="X440" s="61">
        <v>1</v>
      </c>
      <c r="Y440" s="61">
        <v>0</v>
      </c>
      <c r="Z440" s="60">
        <v>890</v>
      </c>
      <c r="AA440" s="60" t="s">
        <v>4299</v>
      </c>
    </row>
    <row r="441" spans="1:27" ht="45" x14ac:dyDescent="0.25">
      <c r="A441" s="52">
        <v>186258</v>
      </c>
      <c r="B441" s="52">
        <f>VLOOKUP($A441,'Выгр Кат'!$A:$R,B$1,0)</f>
        <v>23629</v>
      </c>
      <c r="C441" s="53" t="str">
        <f>VLOOKUP($A441,'Выгр Кат'!$A:$R,C$1,0)</f>
        <v>Панель пола "АвтоВАЗ" (задняя, правая) для ВАЗ 2110, Лада Приора седан</v>
      </c>
      <c r="D441" s="52" t="str">
        <f>VLOOKUP($A441,'Выгр Кат'!$A:$R,D$1,0)</f>
        <v>Y</v>
      </c>
      <c r="E441" s="52" t="str">
        <f>VLOOKUP($A441,'Выгр Кат'!$A:$R,E$1,0)</f>
        <v>1</v>
      </c>
      <c r="F441" s="52" t="str">
        <f>VLOOKUP($A441,'Выгр Кат'!$A:$R,F$1,0)</f>
        <v>21100510104010</v>
      </c>
      <c r="G441" s="52" t="str">
        <f>IF(VLOOKUP($A441,'Выгр Кат'!$A:$R,G$1,0)=0,"",VLOOKUP($A441,'Выгр Кат'!$A:$R,G$1,0))</f>
        <v/>
      </c>
      <c r="H441" s="52"/>
      <c r="I441" s="52"/>
      <c r="J441" s="54">
        <f t="shared" si="118"/>
        <v>1224</v>
      </c>
      <c r="K441" s="55">
        <f>VLOOKUP(J441,Наценка!$A$1:$B$8,2,1)</f>
        <v>1.5</v>
      </c>
      <c r="L441" s="56">
        <f t="shared" si="119"/>
        <v>1836</v>
      </c>
      <c r="M441" s="57">
        <f t="shared" si="120"/>
        <v>1890</v>
      </c>
      <c r="N441" s="52">
        <f>VLOOKUP($A441,'Выгр Кат'!$A:$R,N$1,0)</f>
        <v>1224</v>
      </c>
      <c r="O441" s="52">
        <f>VLOOKUP($A441,'Выгр Кат'!$A:$R,O$1,0)</f>
        <v>1890</v>
      </c>
      <c r="P441" s="47">
        <f t="shared" si="121"/>
        <v>0</v>
      </c>
      <c r="Q441" s="47">
        <f t="shared" si="122"/>
        <v>0</v>
      </c>
      <c r="R441" s="58">
        <f t="shared" si="123"/>
        <v>1890</v>
      </c>
      <c r="S441" s="59">
        <f t="shared" si="124"/>
        <v>0.54411764705882359</v>
      </c>
      <c r="T441" s="59">
        <f t="shared" si="125"/>
        <v>-0.46511627906976744</v>
      </c>
      <c r="U441" s="59">
        <f t="shared" si="126"/>
        <v>5.3921568627451011E-2</v>
      </c>
      <c r="V441" s="42">
        <f t="shared" si="127"/>
        <v>1290</v>
      </c>
      <c r="W441" s="69" t="str">
        <f>IFERROR((VLOOKUP($A441,'Из ГУГЛа'!$B:$Z,W$1,0)+Y441)*X441,VLOOKUP($A441,'Из ГУГЛа'!$B:$Z,W$1,0))</f>
        <v/>
      </c>
      <c r="X441" s="61">
        <v>1</v>
      </c>
      <c r="Y441" s="61">
        <v>0</v>
      </c>
      <c r="Z441" s="60">
        <v>1290</v>
      </c>
      <c r="AA441" s="60" t="s">
        <v>4300</v>
      </c>
    </row>
    <row r="442" spans="1:27" ht="45" x14ac:dyDescent="0.25">
      <c r="A442" s="52">
        <v>186256</v>
      </c>
      <c r="B442" s="52">
        <f>VLOOKUP($A442,'Выгр Кат'!$A:$R,B$1,0)</f>
        <v>45755</v>
      </c>
      <c r="C442" s="53" t="str">
        <f>VLOOKUP($A442,'Выгр Кат'!$A:$R,C$1,0)</f>
        <v>Панель пола "АвтоВАЗ" багажника, правая (катафорез) для ВАЗ 2112, Лада Приора</v>
      </c>
      <c r="D442" s="52" t="str">
        <f>VLOOKUP($A442,'Выгр Кат'!$A:$R,D$1,0)</f>
        <v>Y</v>
      </c>
      <c r="E442" s="52" t="str">
        <f>VLOOKUP($A442,'Выгр Кат'!$A:$R,E$1,0)</f>
        <v>1</v>
      </c>
      <c r="F442" s="52" t="str">
        <f>VLOOKUP($A442,'Выгр Кат'!$A:$R,F$1,0)</f>
        <v>21120510104010</v>
      </c>
      <c r="G442" s="52" t="str">
        <f>IF(VLOOKUP($A442,'Выгр Кат'!$A:$R,G$1,0)=0,"",VLOOKUP($A442,'Выгр Кат'!$A:$R,G$1,0))</f>
        <v/>
      </c>
      <c r="H442" s="52"/>
      <c r="I442" s="52"/>
      <c r="J442" s="54">
        <f t="shared" si="118"/>
        <v>785.76</v>
      </c>
      <c r="K442" s="55">
        <f>VLOOKUP(J442,Наценка!$A$1:$B$8,2,1)</f>
        <v>1.55</v>
      </c>
      <c r="L442" s="56">
        <f t="shared" si="119"/>
        <v>1217.9280000000001</v>
      </c>
      <c r="M442" s="57">
        <f t="shared" si="120"/>
        <v>1290</v>
      </c>
      <c r="N442" s="52">
        <f>VLOOKUP($A442,'Выгр Кат'!$A:$R,N$1,0)</f>
        <v>785.76</v>
      </c>
      <c r="O442" s="52">
        <f>VLOOKUP($A442,'Выгр Кат'!$A:$R,O$1,0)</f>
        <v>1290</v>
      </c>
      <c r="P442" s="47">
        <f t="shared" si="121"/>
        <v>0</v>
      </c>
      <c r="Q442" s="47">
        <f t="shared" si="122"/>
        <v>0</v>
      </c>
      <c r="R442" s="58">
        <f t="shared" si="123"/>
        <v>1290</v>
      </c>
      <c r="S442" s="59">
        <f t="shared" si="124"/>
        <v>0.64172266340867434</v>
      </c>
      <c r="T442" s="59" t="str">
        <f t="shared" si="125"/>
        <v/>
      </c>
      <c r="U442" s="59" t="str">
        <f t="shared" si="126"/>
        <v/>
      </c>
      <c r="V442" s="60"/>
      <c r="W442" s="69" t="str">
        <f>IFERROR((VLOOKUP($A442,'Из ГУГЛа'!$B:$Z,W$1,0)+Y442)*X442,VLOOKUP($A442,'Из ГУГЛа'!$B:$Z,W$1,0))</f>
        <v/>
      </c>
      <c r="X442" s="61">
        <v>1</v>
      </c>
      <c r="Y442" s="61">
        <v>0</v>
      </c>
      <c r="Z442" s="60" t="s">
        <v>4170</v>
      </c>
      <c r="AA442" s="60"/>
    </row>
    <row r="443" spans="1:27" ht="30" x14ac:dyDescent="0.25">
      <c r="A443" s="52">
        <v>186260</v>
      </c>
      <c r="B443" s="52">
        <f>VLOOKUP($A443,'Выгр Кат'!$A:$R,B$1,0)</f>
        <v>41662</v>
      </c>
      <c r="C443" s="53" t="str">
        <f>VLOOKUP($A443,'Выгр Кат'!$A:$R,C$1,0)</f>
        <v>Панель пола "АвтоВАЗ" задняя в сборе для Лада Веста NG седан</v>
      </c>
      <c r="D443" s="52" t="str">
        <f>VLOOKUP($A443,'Выгр Кат'!$A:$R,D$1,0)</f>
        <v>Y</v>
      </c>
      <c r="E443" s="52" t="str">
        <f>VLOOKUP($A443,'Выгр Кат'!$A:$R,E$1,0)</f>
        <v>1</v>
      </c>
      <c r="F443" s="52" t="str">
        <f>VLOOKUP($A443,'Выгр Кат'!$A:$R,F$1,0)</f>
        <v>8450013777</v>
      </c>
      <c r="G443" s="52" t="str">
        <f>IF(VLOOKUP($A443,'Выгр Кат'!$A:$R,G$1,0)=0,"",VLOOKUP($A443,'Выгр Кат'!$A:$R,G$1,0))</f>
        <v/>
      </c>
      <c r="H443" s="52"/>
      <c r="I443" s="52"/>
      <c r="J443" s="54">
        <f t="shared" si="118"/>
        <v>6858</v>
      </c>
      <c r="K443" s="55">
        <f>VLOOKUP(J443,Наценка!$A$1:$B$8,2,1)</f>
        <v>1.35</v>
      </c>
      <c r="L443" s="56">
        <f t="shared" si="119"/>
        <v>9258.3000000000011</v>
      </c>
      <c r="M443" s="57">
        <f t="shared" si="120"/>
        <v>9290</v>
      </c>
      <c r="N443" s="52">
        <f>VLOOKUP($A443,'Выгр Кат'!$A:$R,N$1,0)</f>
        <v>6858</v>
      </c>
      <c r="O443" s="52">
        <f>VLOOKUP($A443,'Выгр Кат'!$A:$R,O$1,0)</f>
        <v>9290</v>
      </c>
      <c r="P443" s="47">
        <f t="shared" si="121"/>
        <v>0</v>
      </c>
      <c r="Q443" s="47">
        <f t="shared" si="122"/>
        <v>0</v>
      </c>
      <c r="R443" s="58">
        <f t="shared" si="123"/>
        <v>9290</v>
      </c>
      <c r="S443" s="59">
        <f t="shared" si="124"/>
        <v>0.35462233887430727</v>
      </c>
      <c r="T443" s="59" t="str">
        <f t="shared" si="125"/>
        <v/>
      </c>
      <c r="U443" s="59" t="str">
        <f t="shared" si="126"/>
        <v/>
      </c>
      <c r="V443" s="60"/>
      <c r="W443" s="69" t="str">
        <f>IFERROR((VLOOKUP($A443,'Из ГУГЛа'!$B:$Z,W$1,0)+Y443)*X443,VLOOKUP($A443,'Из ГУГЛа'!$B:$Z,W$1,0))</f>
        <v/>
      </c>
      <c r="X443" s="61">
        <v>1</v>
      </c>
      <c r="Y443" s="61">
        <v>0</v>
      </c>
      <c r="Z443" s="60" t="s">
        <v>4170</v>
      </c>
      <c r="AA443" s="60"/>
    </row>
    <row r="444" spans="1:27" ht="45" x14ac:dyDescent="0.25">
      <c r="A444" s="52">
        <v>186261</v>
      </c>
      <c r="B444" s="52">
        <f>VLOOKUP($A444,'Выгр Кат'!$A:$R,B$1,0)</f>
        <v>41681</v>
      </c>
      <c r="C444" s="53" t="str">
        <f>VLOOKUP($A444,'Выгр Кат'!$A:$R,C$1,0)</f>
        <v>Панель пола "АвтоВАЗ" задняя в сборе для Лада Веста NG универсал, Веста NG Cross универсал</v>
      </c>
      <c r="D444" s="52" t="str">
        <f>VLOOKUP($A444,'Выгр Кат'!$A:$R,D$1,0)</f>
        <v>Y</v>
      </c>
      <c r="E444" s="52" t="str">
        <f>VLOOKUP($A444,'Выгр Кат'!$A:$R,E$1,0)</f>
        <v>1</v>
      </c>
      <c r="F444" s="52" t="str">
        <f>VLOOKUP($A444,'Выгр Кат'!$A:$R,F$1,0)</f>
        <v>8450013781</v>
      </c>
      <c r="G444" s="52" t="str">
        <f>IF(VLOOKUP($A444,'Выгр Кат'!$A:$R,G$1,0)=0,"",VLOOKUP($A444,'Выгр Кат'!$A:$R,G$1,0))</f>
        <v/>
      </c>
      <c r="H444" s="52"/>
      <c r="I444" s="52"/>
      <c r="J444" s="54">
        <f t="shared" si="118"/>
        <v>27321</v>
      </c>
      <c r="K444" s="55">
        <f>VLOOKUP(J444,Наценка!$A$1:$B$8,2,1)</f>
        <v>1.3</v>
      </c>
      <c r="L444" s="56">
        <f t="shared" si="119"/>
        <v>35517.300000000003</v>
      </c>
      <c r="M444" s="57">
        <f t="shared" si="120"/>
        <v>35590</v>
      </c>
      <c r="N444" s="52">
        <f>VLOOKUP($A444,'Выгр Кат'!$A:$R,N$1,0)</f>
        <v>27321</v>
      </c>
      <c r="O444" s="52">
        <f>VLOOKUP($A444,'Выгр Кат'!$A:$R,O$1,0)</f>
        <v>38290</v>
      </c>
      <c r="P444" s="47">
        <f t="shared" si="121"/>
        <v>0</v>
      </c>
      <c r="Q444" s="47">
        <f t="shared" si="122"/>
        <v>2700</v>
      </c>
      <c r="R444" s="58">
        <f t="shared" si="123"/>
        <v>35590</v>
      </c>
      <c r="S444" s="59">
        <f t="shared" si="124"/>
        <v>0.30266095677317817</v>
      </c>
      <c r="T444" s="59" t="str">
        <f t="shared" si="125"/>
        <v/>
      </c>
      <c r="U444" s="59" t="str">
        <f t="shared" si="126"/>
        <v/>
      </c>
      <c r="V444" s="60"/>
      <c r="W444" s="69" t="str">
        <f>IFERROR((VLOOKUP($A444,'Из ГУГЛа'!$B:$Z,W$1,0)+Y444)*X444,VLOOKUP($A444,'Из ГУГЛа'!$B:$Z,W$1,0))</f>
        <v/>
      </c>
      <c r="X444" s="61">
        <v>1</v>
      </c>
      <c r="Y444" s="61">
        <v>0</v>
      </c>
      <c r="Z444" s="60" t="s">
        <v>4170</v>
      </c>
      <c r="AA444" s="60"/>
    </row>
    <row r="445" spans="1:27" ht="45" x14ac:dyDescent="0.25">
      <c r="A445" s="52">
        <v>186262</v>
      </c>
      <c r="B445" s="52">
        <f>VLOOKUP($A445,'Выгр Кат'!$A:$R,B$1,0)</f>
        <v>23533</v>
      </c>
      <c r="C445" s="53" t="str">
        <f>VLOOKUP($A445,'Выгр Кат'!$A:$R,C$1,0)</f>
        <v>Панель пола "АвтоВАЗ" задняя, левая (катафорез) для ВАЗ 2112, Лада Приора хэтчбек</v>
      </c>
      <c r="D445" s="52" t="str">
        <f>VLOOKUP($A445,'Выгр Кат'!$A:$R,D$1,0)</f>
        <v>Y</v>
      </c>
      <c r="E445" s="52" t="str">
        <f>VLOOKUP($A445,'Выгр Кат'!$A:$R,E$1,0)</f>
        <v>1</v>
      </c>
      <c r="F445" s="52" t="str">
        <f>VLOOKUP($A445,'Выгр Кат'!$A:$R,F$1,0)</f>
        <v>21120510104110</v>
      </c>
      <c r="G445" s="52" t="str">
        <f>IF(VLOOKUP($A445,'Выгр Кат'!$A:$R,G$1,0)=0,"",VLOOKUP($A445,'Выгр Кат'!$A:$R,G$1,0))</f>
        <v/>
      </c>
      <c r="H445" s="52"/>
      <c r="I445" s="52"/>
      <c r="J445" s="54">
        <f t="shared" si="118"/>
        <v>594</v>
      </c>
      <c r="K445" s="55">
        <f>VLOOKUP(J445,Наценка!$A$1:$B$8,2,1)</f>
        <v>1.55</v>
      </c>
      <c r="L445" s="56">
        <f t="shared" si="119"/>
        <v>920.7</v>
      </c>
      <c r="M445" s="57">
        <f t="shared" si="120"/>
        <v>929</v>
      </c>
      <c r="N445" s="52">
        <f>VLOOKUP($A445,'Выгр Кат'!$A:$R,N$1,0)</f>
        <v>594</v>
      </c>
      <c r="O445" s="52">
        <f>VLOOKUP($A445,'Выгр Кат'!$A:$R,O$1,0)</f>
        <v>929</v>
      </c>
      <c r="P445" s="47">
        <f t="shared" si="121"/>
        <v>0</v>
      </c>
      <c r="Q445" s="47">
        <f t="shared" si="122"/>
        <v>0</v>
      </c>
      <c r="R445" s="58">
        <f t="shared" si="123"/>
        <v>929</v>
      </c>
      <c r="S445" s="59">
        <f t="shared" si="124"/>
        <v>0.56397306397306401</v>
      </c>
      <c r="T445" s="59" t="str">
        <f t="shared" si="125"/>
        <v/>
      </c>
      <c r="U445" s="59" t="str">
        <f t="shared" si="126"/>
        <v/>
      </c>
      <c r="V445" s="60"/>
      <c r="W445" s="69" t="str">
        <f>IFERROR((VLOOKUP($A445,'Из ГУГЛа'!$B:$Z,W$1,0)+Y445)*X445,VLOOKUP($A445,'Из ГУГЛа'!$B:$Z,W$1,0))</f>
        <v/>
      </c>
      <c r="X445" s="61">
        <v>1</v>
      </c>
      <c r="Y445" s="61">
        <v>0</v>
      </c>
      <c r="Z445" s="60" t="s">
        <v>4170</v>
      </c>
      <c r="AA445" s="60"/>
    </row>
    <row r="446" spans="1:27" ht="30" x14ac:dyDescent="0.25">
      <c r="A446" s="52">
        <v>186263</v>
      </c>
      <c r="B446" s="52">
        <f>VLOOKUP($A446,'Выгр Кат'!$A:$R,B$1,0)</f>
        <v>145946</v>
      </c>
      <c r="C446" s="53" t="str">
        <f>VLOOKUP($A446,'Выгр Кат'!$A:$R,C$1,0)</f>
        <v>Панель пола "АвтоВАЗ" задняя, левая для ВАЗ 2112, Лада Приора хэтчбек</v>
      </c>
      <c r="D446" s="52" t="str">
        <f>VLOOKUP($A446,'Выгр Кат'!$A:$R,D$1,0)</f>
        <v>Y</v>
      </c>
      <c r="E446" s="52" t="str">
        <f>VLOOKUP($A446,'Выгр Кат'!$A:$R,E$1,0)</f>
        <v>1</v>
      </c>
      <c r="F446" s="52" t="str">
        <f>VLOOKUP($A446,'Выгр Кат'!$A:$R,F$1,0)</f>
        <v>21120510104110</v>
      </c>
      <c r="G446" s="52" t="str">
        <f>IF(VLOOKUP($A446,'Выгр Кат'!$A:$R,G$1,0)=0,"",VLOOKUP($A446,'Выгр Кат'!$A:$R,G$1,0))</f>
        <v/>
      </c>
      <c r="H446" s="52"/>
      <c r="I446" s="52"/>
      <c r="J446" s="54">
        <f t="shared" si="118"/>
        <v>550</v>
      </c>
      <c r="K446" s="55">
        <f>VLOOKUP(J446,Наценка!$A$1:$B$8,2,1)</f>
        <v>1.55</v>
      </c>
      <c r="L446" s="56">
        <f t="shared" si="119"/>
        <v>852.5</v>
      </c>
      <c r="M446" s="57">
        <f t="shared" si="120"/>
        <v>859</v>
      </c>
      <c r="N446" s="52">
        <f>VLOOKUP($A446,'Выгр Кат'!$A:$R,N$1,0)</f>
        <v>550</v>
      </c>
      <c r="O446" s="52">
        <f>VLOOKUP($A446,'Выгр Кат'!$A:$R,O$1,0)</f>
        <v>859</v>
      </c>
      <c r="P446" s="47">
        <f t="shared" si="121"/>
        <v>0</v>
      </c>
      <c r="Q446" s="47">
        <f t="shared" si="122"/>
        <v>0</v>
      </c>
      <c r="R446" s="58">
        <f t="shared" si="123"/>
        <v>859</v>
      </c>
      <c r="S446" s="59">
        <f t="shared" si="124"/>
        <v>0.56181818181818177</v>
      </c>
      <c r="T446" s="59" t="str">
        <f t="shared" si="125"/>
        <v/>
      </c>
      <c r="U446" s="59" t="str">
        <f t="shared" si="126"/>
        <v/>
      </c>
      <c r="V446" s="60"/>
      <c r="W446" s="69" t="str">
        <f>IFERROR((VLOOKUP($A446,'Из ГУГЛа'!$B:$Z,W$1,0)+Y446)*X446,VLOOKUP($A446,'Из ГУГЛа'!$B:$Z,W$1,0))</f>
        <v/>
      </c>
      <c r="X446" s="61">
        <v>1</v>
      </c>
      <c r="Y446" s="61">
        <v>0</v>
      </c>
      <c r="Z446" s="60" t="s">
        <v>4170</v>
      </c>
      <c r="AA446" s="60"/>
    </row>
    <row r="447" spans="1:27" ht="45" x14ac:dyDescent="0.25">
      <c r="A447" s="52">
        <v>186264</v>
      </c>
      <c r="B447" s="52">
        <f>VLOOKUP($A447,'Выгр Кат'!$A:$R,B$1,0)</f>
        <v>45783</v>
      </c>
      <c r="C447" s="53" t="str">
        <f>VLOOKUP($A447,'Выгр Кат'!$A:$R,C$1,0)</f>
        <v>Панель пола "АвтоВАЗ" передняя (катафорез) для Лада Нива 4x4, Нива 4x4 Урбан</v>
      </c>
      <c r="D447" s="52" t="str">
        <f>VLOOKUP($A447,'Выгр Кат'!$A:$R,D$1,0)</f>
        <v>Y</v>
      </c>
      <c r="E447" s="52" t="str">
        <f>VLOOKUP($A447,'Выгр Кат'!$A:$R,E$1,0)</f>
        <v>1</v>
      </c>
      <c r="F447" s="52" t="str">
        <f>VLOOKUP($A447,'Выгр Кат'!$A:$R,F$1,0)</f>
        <v>21210510102420</v>
      </c>
      <c r="G447" s="52" t="str">
        <f>IF(VLOOKUP($A447,'Выгр Кат'!$A:$R,G$1,0)=0,"",VLOOKUP($A447,'Выгр Кат'!$A:$R,G$1,0))</f>
        <v>https://motorring.ru/product/13921-panely-pola-perednyaya-kataforeznym-pokrytiem-lada-4x4</v>
      </c>
      <c r="H447" s="52"/>
      <c r="I447" s="52"/>
      <c r="J447" s="54">
        <f t="shared" si="118"/>
        <v>8265</v>
      </c>
      <c r="K447" s="55">
        <f>VLOOKUP(J447,Наценка!$A$1:$B$8,2,1)</f>
        <v>1.35</v>
      </c>
      <c r="L447" s="56">
        <f t="shared" si="119"/>
        <v>11157.75</v>
      </c>
      <c r="M447" s="57">
        <f t="shared" si="120"/>
        <v>11190</v>
      </c>
      <c r="N447" s="52">
        <f>VLOOKUP($A447,'Выгр Кат'!$A:$R,N$1,0)</f>
        <v>8265</v>
      </c>
      <c r="O447" s="52">
        <f>VLOOKUP($A447,'Выгр Кат'!$A:$R,O$1,0)</f>
        <v>11590</v>
      </c>
      <c r="P447" s="47">
        <f t="shared" si="121"/>
        <v>0</v>
      </c>
      <c r="Q447" s="47">
        <f t="shared" si="122"/>
        <v>400</v>
      </c>
      <c r="R447" s="58">
        <f t="shared" si="123"/>
        <v>11190</v>
      </c>
      <c r="S447" s="59">
        <f t="shared" si="124"/>
        <v>0.35390199637023589</v>
      </c>
      <c r="T447" s="59">
        <f t="shared" si="125"/>
        <v>2.6109660574412531E-2</v>
      </c>
      <c r="U447" s="59">
        <f t="shared" si="126"/>
        <v>0.39019963702359339</v>
      </c>
      <c r="V447" s="42">
        <f>Z447</f>
        <v>11490</v>
      </c>
      <c r="W447" s="69">
        <f>IFERROR((VLOOKUP($A447,'Из ГУГЛа'!$B:$Z,W$1,0)+Y447)*X447,VLOOKUP($A447,'Из ГУГЛа'!$B:$Z,W$1,0))</f>
        <v>11490</v>
      </c>
      <c r="X447" s="61">
        <v>1</v>
      </c>
      <c r="Y447" s="61">
        <v>0</v>
      </c>
      <c r="Z447" s="70">
        <v>11490</v>
      </c>
      <c r="AA447" s="60" t="s">
        <v>1179</v>
      </c>
    </row>
    <row r="448" spans="1:27" ht="30" x14ac:dyDescent="0.25">
      <c r="A448" s="52">
        <v>385885</v>
      </c>
      <c r="B448" s="52">
        <f>VLOOKUP($A448,'Выгр Кат'!$A:$R,B$1,0)</f>
        <v>385885</v>
      </c>
      <c r="C448" s="53" t="str">
        <f>VLOOKUP($A448,'Выгр Кат'!$A:$R,C$1,0)</f>
        <v>Панель пола "Экрис" передняя правая для ВАЗ 2110-2112</v>
      </c>
      <c r="D448" s="52" t="str">
        <f>VLOOKUP($A448,'Выгр Кат'!$A:$R,D$1,0)</f>
        <v>Y</v>
      </c>
      <c r="E448" s="52" t="str">
        <f>VLOOKUP($A448,'Выгр Кат'!$A:$R,E$1,0)</f>
        <v>1</v>
      </c>
      <c r="F448" s="52" t="str">
        <f>VLOOKUP($A448,'Выгр Кат'!$A:$R,F$1,0)</f>
        <v>21100510103063</v>
      </c>
      <c r="G448" s="52" t="str">
        <f>IF(VLOOKUP($A448,'Выгр Кат'!$A:$R,G$1,0)=0,"",VLOOKUP($A448,'Выгр Кат'!$A:$R,G$1,0))</f>
        <v/>
      </c>
      <c r="H448" s="52"/>
      <c r="I448" s="52"/>
      <c r="J448" s="54">
        <f t="shared" si="118"/>
        <v>405</v>
      </c>
      <c r="K448" s="55">
        <f>VLOOKUP(J448,Наценка!$A$1:$B$8,2,1)</f>
        <v>1.6</v>
      </c>
      <c r="L448" s="56">
        <f t="shared" si="119"/>
        <v>648</v>
      </c>
      <c r="M448" s="57">
        <f t="shared" si="120"/>
        <v>649</v>
      </c>
      <c r="N448" s="52">
        <f>VLOOKUP($A448,'Выгр Кат'!$A:$R,N$1,0)</f>
        <v>405</v>
      </c>
      <c r="O448" s="52">
        <f>VLOOKUP($A448,'Выгр Кат'!$A:$R,O$1,0)</f>
        <v>649</v>
      </c>
      <c r="P448" s="47">
        <f t="shared" si="121"/>
        <v>0</v>
      </c>
      <c r="Q448" s="47">
        <f t="shared" si="122"/>
        <v>0</v>
      </c>
      <c r="R448" s="58">
        <f t="shared" si="123"/>
        <v>649</v>
      </c>
      <c r="S448" s="59">
        <f t="shared" si="124"/>
        <v>0.60246913580246919</v>
      </c>
      <c r="T448" s="59" t="str">
        <f t="shared" si="125"/>
        <v/>
      </c>
      <c r="U448" s="59" t="str">
        <f t="shared" si="126"/>
        <v/>
      </c>
      <c r="V448" s="60"/>
      <c r="W448" s="69" t="str">
        <f>IFERROR((VLOOKUP($A448,'Из ГУГЛа'!$B:$Z,W$1,0)+Y448)*X448,VLOOKUP($A448,'Из ГУГЛа'!$B:$Z,W$1,0))</f>
        <v/>
      </c>
      <c r="X448" s="61">
        <v>1</v>
      </c>
      <c r="Y448" s="61">
        <v>0</v>
      </c>
      <c r="Z448" s="60" t="s">
        <v>4169</v>
      </c>
      <c r="AA448" s="60"/>
    </row>
    <row r="449" spans="1:27" ht="45" x14ac:dyDescent="0.25">
      <c r="A449" s="52">
        <v>186266</v>
      </c>
      <c r="B449" s="52">
        <f>VLOOKUP($A449,'Выгр Кат'!$A:$R,B$1,0)</f>
        <v>30699</v>
      </c>
      <c r="C449" s="53" t="str">
        <f>VLOOKUP($A449,'Выгр Кат'!$A:$R,C$1,0)</f>
        <v>Панель пола багажника "АвтоВАЗ" (катафорез) для Лада Нива 4x4, Нива 4x4 Урбан, Нива Legend</v>
      </c>
      <c r="D449" s="52" t="str">
        <f>VLOOKUP($A449,'Выгр Кат'!$A:$R,D$1,0)</f>
        <v>Y</v>
      </c>
      <c r="E449" s="52" t="str">
        <f>VLOOKUP($A449,'Выгр Кат'!$A:$R,E$1,0)</f>
        <v>1</v>
      </c>
      <c r="F449" s="52" t="str">
        <f>VLOOKUP($A449,'Выгр Кат'!$A:$R,F$1,0)</f>
        <v>21213510103410</v>
      </c>
      <c r="G449" s="52" t="str">
        <f>IF(VLOOKUP($A449,'Выгр Кат'!$A:$R,G$1,0)=0,"",VLOOKUP($A449,'Выгр Кат'!$A:$R,G$1,0))</f>
        <v>https://motorring.ru/product/216-panely-pola-zadnyaya-kataforeznoe-pokrytie-lada-niva-4h4</v>
      </c>
      <c r="H449" s="52"/>
      <c r="I449" s="52"/>
      <c r="J449" s="54">
        <f t="shared" si="118"/>
        <v>1606</v>
      </c>
      <c r="K449" s="55">
        <f>VLOOKUP(J449,Наценка!$A$1:$B$8,2,1)</f>
        <v>1.5</v>
      </c>
      <c r="L449" s="56">
        <f t="shared" si="119"/>
        <v>2409</v>
      </c>
      <c r="M449" s="57">
        <f t="shared" si="120"/>
        <v>2490</v>
      </c>
      <c r="N449" s="52">
        <f>VLOOKUP($A449,'Выгр Кат'!$A:$R,N$1,0)</f>
        <v>1606</v>
      </c>
      <c r="O449" s="52">
        <f>VLOOKUP($A449,'Выгр Кат'!$A:$R,O$1,0)</f>
        <v>2490</v>
      </c>
      <c r="P449" s="47">
        <f t="shared" si="121"/>
        <v>0</v>
      </c>
      <c r="Q449" s="47">
        <f t="shared" si="122"/>
        <v>0</v>
      </c>
      <c r="R449" s="58">
        <f t="shared" si="123"/>
        <v>2490</v>
      </c>
      <c r="S449" s="59">
        <f t="shared" si="124"/>
        <v>0.55043586550435863</v>
      </c>
      <c r="T449" s="59">
        <f t="shared" si="125"/>
        <v>-0.56603773584905659</v>
      </c>
      <c r="U449" s="59">
        <f t="shared" si="126"/>
        <v>-9.9626400996264408E-3</v>
      </c>
      <c r="V449" s="42">
        <f t="shared" ref="V449:V450" si="128">Z449</f>
        <v>1590</v>
      </c>
      <c r="W449" s="69">
        <f>IFERROR((VLOOKUP($A449,'Из ГУГЛа'!$B:$Z,W$1,0)+Y449)*X449,VLOOKUP($A449,'Из ГУГЛа'!$B:$Z,W$1,0))</f>
        <v>1590</v>
      </c>
      <c r="X449" s="61">
        <v>1</v>
      </c>
      <c r="Y449" s="61">
        <v>0</v>
      </c>
      <c r="Z449" s="70">
        <v>1590</v>
      </c>
      <c r="AA449" s="60" t="s">
        <v>1184</v>
      </c>
    </row>
    <row r="450" spans="1:27" ht="45" x14ac:dyDescent="0.25">
      <c r="A450" s="52">
        <v>186267</v>
      </c>
      <c r="B450" s="52">
        <f>VLOOKUP($A450,'Выгр Кат'!$A:$R,B$1,0)</f>
        <v>30697</v>
      </c>
      <c r="C450" s="53" t="str">
        <f>VLOOKUP($A450,'Выгр Кат'!$A:$R,C$1,0)</f>
        <v>Панель пола багажника (запаски) катафорезное покрытие "АвтоВАЗ" для ВАЗ 21099, 2115</v>
      </c>
      <c r="D450" s="52" t="str">
        <f>VLOOKUP($A450,'Выгр Кат'!$A:$R,D$1,0)</f>
        <v>Y</v>
      </c>
      <c r="E450" s="52" t="str">
        <f>VLOOKUP($A450,'Выгр Кат'!$A:$R,E$1,0)</f>
        <v>1</v>
      </c>
      <c r="F450" s="52" t="str">
        <f>VLOOKUP($A450,'Выгр Кат'!$A:$R,F$1,0)</f>
        <v>21099510104210</v>
      </c>
      <c r="G450" s="52" t="str">
        <f>IF(VLOOKUP($A450,'Выгр Кат'!$A:$R,G$1,0)=0,"",VLOOKUP($A450,'Выгр Кат'!$A:$R,G$1,0))</f>
        <v>https://motorring.ru/product/744-panely-pola-zadnyaya-kataforeznoe-pokrytie-dlya-vaz-21099</v>
      </c>
      <c r="H450" s="52"/>
      <c r="I450" s="52"/>
      <c r="J450" s="54">
        <f t="shared" si="118"/>
        <v>2792</v>
      </c>
      <c r="K450" s="55">
        <f>VLOOKUP(J450,Наценка!$A$1:$B$8,2,1)</f>
        <v>1.4</v>
      </c>
      <c r="L450" s="56">
        <f t="shared" si="119"/>
        <v>3908.7999999999997</v>
      </c>
      <c r="M450" s="57">
        <f t="shared" si="120"/>
        <v>3990</v>
      </c>
      <c r="N450" s="52">
        <f>VLOOKUP($A450,'Выгр Кат'!$A:$R,N$1,0)</f>
        <v>2792</v>
      </c>
      <c r="O450" s="52">
        <f>VLOOKUP($A450,'Выгр Кат'!$A:$R,O$1,0)</f>
        <v>3990</v>
      </c>
      <c r="P450" s="47">
        <f t="shared" si="121"/>
        <v>0</v>
      </c>
      <c r="Q450" s="47">
        <f t="shared" si="122"/>
        <v>0</v>
      </c>
      <c r="R450" s="58">
        <f t="shared" si="123"/>
        <v>3990</v>
      </c>
      <c r="S450" s="59">
        <f t="shared" si="124"/>
        <v>0.4290830945558739</v>
      </c>
      <c r="T450" s="59">
        <f t="shared" si="125"/>
        <v>6.9930069930069935E-2</v>
      </c>
      <c r="U450" s="59">
        <f t="shared" si="126"/>
        <v>0.53653295128939837</v>
      </c>
      <c r="V450" s="42">
        <f t="shared" si="128"/>
        <v>4290</v>
      </c>
      <c r="W450" s="69">
        <f>IFERROR((VLOOKUP($A450,'Из ГУГЛа'!$B:$Z,W$1,0)+Y450)*X450,VLOOKUP($A450,'Из ГУГЛа'!$B:$Z,W$1,0))</f>
        <v>4290</v>
      </c>
      <c r="X450" s="61">
        <v>1</v>
      </c>
      <c r="Y450" s="61">
        <v>0</v>
      </c>
      <c r="Z450" s="70">
        <v>4290</v>
      </c>
      <c r="AA450" s="60" t="s">
        <v>1187</v>
      </c>
    </row>
    <row r="451" spans="1:27" ht="30" x14ac:dyDescent="0.25">
      <c r="A451" s="52">
        <v>186268</v>
      </c>
      <c r="B451" s="52">
        <f>VLOOKUP($A451,'Выгр Кат'!$A:$R,B$1,0)</f>
        <v>32699</v>
      </c>
      <c r="C451" s="53" t="str">
        <f>VLOOKUP($A451,'Выгр Кат'!$A:$R,C$1,0)</f>
        <v>Панель пола багажника (катафорез) "АвтоВАЗ" для Лада Гранта седан</v>
      </c>
      <c r="D451" s="52" t="str">
        <f>VLOOKUP($A451,'Выгр Кат'!$A:$R,D$1,0)</f>
        <v>Y</v>
      </c>
      <c r="E451" s="52" t="str">
        <f>VLOOKUP($A451,'Выгр Кат'!$A:$R,E$1,0)</f>
        <v>1</v>
      </c>
      <c r="F451" s="52" t="str">
        <f>VLOOKUP($A451,'Выгр Кат'!$A:$R,F$1,0)</f>
        <v>21900510104070</v>
      </c>
      <c r="G451" s="52" t="str">
        <f>IF(VLOOKUP($A451,'Выгр Кат'!$A:$R,G$1,0)=0,"",VLOOKUP($A451,'Выгр Кат'!$A:$R,G$1,0))</f>
        <v/>
      </c>
      <c r="H451" s="52"/>
      <c r="I451" s="52"/>
      <c r="J451" s="54">
        <f t="shared" si="118"/>
        <v>4642</v>
      </c>
      <c r="K451" s="55">
        <f>VLOOKUP(J451,Наценка!$A$1:$B$8,2,1)</f>
        <v>1.4</v>
      </c>
      <c r="L451" s="56">
        <f t="shared" si="119"/>
        <v>6498.7999999999993</v>
      </c>
      <c r="M451" s="57">
        <f t="shared" si="120"/>
        <v>6490</v>
      </c>
      <c r="N451" s="52">
        <f>VLOOKUP($A451,'Выгр Кат'!$A:$R,N$1,0)</f>
        <v>4642</v>
      </c>
      <c r="O451" s="52">
        <f>VLOOKUP($A451,'Выгр Кат'!$A:$R,O$1,0)</f>
        <v>6490</v>
      </c>
      <c r="P451" s="47">
        <f t="shared" si="121"/>
        <v>0</v>
      </c>
      <c r="Q451" s="47">
        <f t="shared" si="122"/>
        <v>0</v>
      </c>
      <c r="R451" s="58">
        <f t="shared" si="123"/>
        <v>6490</v>
      </c>
      <c r="S451" s="59">
        <f t="shared" si="124"/>
        <v>0.39810426540284349</v>
      </c>
      <c r="T451" s="59" t="str">
        <f t="shared" si="125"/>
        <v/>
      </c>
      <c r="U451" s="59" t="str">
        <f t="shared" si="126"/>
        <v/>
      </c>
      <c r="V451" s="60"/>
      <c r="W451" s="69" t="str">
        <f>IFERROR((VLOOKUP($A451,'Из ГУГЛа'!$B:$Z,W$1,0)+Y451)*X451,VLOOKUP($A451,'Из ГУГЛа'!$B:$Z,W$1,0))</f>
        <v/>
      </c>
      <c r="X451" s="61">
        <v>1</v>
      </c>
      <c r="Y451" s="61">
        <v>0</v>
      </c>
      <c r="Z451" s="60" t="s">
        <v>4170</v>
      </c>
      <c r="AA451" s="60"/>
    </row>
    <row r="452" spans="1:27" ht="45" x14ac:dyDescent="0.25">
      <c r="A452" s="52">
        <v>186269</v>
      </c>
      <c r="B452" s="52">
        <f>VLOOKUP($A452,'Выгр Кат'!$A:$R,B$1,0)</f>
        <v>32987</v>
      </c>
      <c r="C452" s="53" t="str">
        <f>VLOOKUP($A452,'Выгр Кат'!$A:$R,C$1,0)</f>
        <v>Панель пола багажника (катафорез) "АвтоВАЗ" для Лада Калина седан, универсал, Калина 2 универсал</v>
      </c>
      <c r="D452" s="52" t="str">
        <f>VLOOKUP($A452,'Выгр Кат'!$A:$R,D$1,0)</f>
        <v>Y</v>
      </c>
      <c r="E452" s="52" t="str">
        <f>VLOOKUP($A452,'Выгр Кат'!$A:$R,E$1,0)</f>
        <v>1ск1</v>
      </c>
      <c r="F452" s="52" t="str">
        <f>VLOOKUP($A452,'Выгр Кат'!$A:$R,F$1,0)</f>
        <v>11180510104070</v>
      </c>
      <c r="G452" s="52" t="str">
        <f>IF(VLOOKUP($A452,'Выгр Кат'!$A:$R,G$1,0)=0,"",VLOOKUP($A452,'Выгр Кат'!$A:$R,G$1,0))</f>
        <v>https://motorring.ru/product/18188-panely-pola-zadnyaya-sbore-kataforeznoe-pokrytie-lada</v>
      </c>
      <c r="H452" s="52"/>
      <c r="I452" s="52"/>
      <c r="J452" s="54">
        <f t="shared" si="118"/>
        <v>5654</v>
      </c>
      <c r="K452" s="55">
        <f>VLOOKUP(J452,Наценка!$A$1:$B$8,2,1)</f>
        <v>1.35</v>
      </c>
      <c r="L452" s="56">
        <f t="shared" si="119"/>
        <v>7632.9000000000005</v>
      </c>
      <c r="M452" s="57">
        <f t="shared" si="120"/>
        <v>7690</v>
      </c>
      <c r="N452" s="52">
        <f>VLOOKUP($A452,'Выгр Кат'!$A:$R,N$1,0)</f>
        <v>5654</v>
      </c>
      <c r="O452" s="52">
        <f>VLOOKUP($A452,'Выгр Кат'!$A:$R,O$1,0)</f>
        <v>7990</v>
      </c>
      <c r="P452" s="47">
        <f t="shared" si="121"/>
        <v>0</v>
      </c>
      <c r="Q452" s="47">
        <f t="shared" si="122"/>
        <v>300</v>
      </c>
      <c r="R452" s="58">
        <f t="shared" si="123"/>
        <v>7690</v>
      </c>
      <c r="S452" s="59">
        <f t="shared" si="124"/>
        <v>0.36009904492394762</v>
      </c>
      <c r="T452" s="59">
        <f t="shared" si="125"/>
        <v>-5.4869684499314127E-2</v>
      </c>
      <c r="U452" s="59">
        <f t="shared" si="126"/>
        <v>0.28935267067562798</v>
      </c>
      <c r="V452" s="42">
        <f t="shared" ref="V452:V457" si="129">Z452</f>
        <v>7290</v>
      </c>
      <c r="W452" s="69">
        <f>IFERROR((VLOOKUP($A452,'Из ГУГЛа'!$B:$Z,W$1,0)+Y452)*X452,VLOOKUP($A452,'Из ГУГЛа'!$B:$Z,W$1,0))</f>
        <v>7290</v>
      </c>
      <c r="X452" s="61">
        <v>1</v>
      </c>
      <c r="Y452" s="61">
        <v>0</v>
      </c>
      <c r="Z452" s="70">
        <v>7290</v>
      </c>
      <c r="AA452" s="60" t="s">
        <v>1192</v>
      </c>
    </row>
    <row r="453" spans="1:27" ht="45" x14ac:dyDescent="0.25">
      <c r="A453" s="52">
        <v>186270</v>
      </c>
      <c r="B453" s="52">
        <f>VLOOKUP($A453,'Выгр Кат'!$A:$R,B$1,0)</f>
        <v>31454</v>
      </c>
      <c r="C453" s="53" t="str">
        <f>VLOOKUP($A453,'Выгр Кат'!$A:$R,C$1,0)</f>
        <v>Панель пола багажника (катафорез) "АвтоВАЗ" для Лада Калина, Калина 2 хэтчбек</v>
      </c>
      <c r="D453" s="52" t="str">
        <f>VLOOKUP($A453,'Выгр Кат'!$A:$R,D$1,0)</f>
        <v>Y</v>
      </c>
      <c r="E453" s="52" t="str">
        <f>VLOOKUP($A453,'Выгр Кат'!$A:$R,E$1,0)</f>
        <v>1</v>
      </c>
      <c r="F453" s="52" t="str">
        <f>VLOOKUP($A453,'Выгр Кат'!$A:$R,F$1,0)</f>
        <v>11190510104070</v>
      </c>
      <c r="G453" s="52" t="str">
        <f>IF(VLOOKUP($A453,'Выгр Кат'!$A:$R,G$1,0)=0,"",VLOOKUP($A453,'Выгр Кат'!$A:$R,G$1,0))</f>
        <v>https://motorring.ru/product/16517-panely-pola-bagaghnika-kataforeznoe-pokrytie-lada-kalina</v>
      </c>
      <c r="H453" s="52"/>
      <c r="I453" s="52"/>
      <c r="J453" s="54">
        <f t="shared" si="118"/>
        <v>6346</v>
      </c>
      <c r="K453" s="55">
        <f>VLOOKUP(J453,Наценка!$A$1:$B$8,2,1)</f>
        <v>1.35</v>
      </c>
      <c r="L453" s="56">
        <f t="shared" si="119"/>
        <v>8567.1</v>
      </c>
      <c r="M453" s="57">
        <f t="shared" si="120"/>
        <v>8590</v>
      </c>
      <c r="N453" s="52">
        <f>VLOOKUP($A453,'Выгр Кат'!$A:$R,N$1,0)</f>
        <v>6346</v>
      </c>
      <c r="O453" s="52">
        <f>VLOOKUP($A453,'Выгр Кат'!$A:$R,O$1,0)</f>
        <v>8590</v>
      </c>
      <c r="P453" s="47">
        <f t="shared" si="121"/>
        <v>0</v>
      </c>
      <c r="Q453" s="47">
        <f t="shared" si="122"/>
        <v>0</v>
      </c>
      <c r="R453" s="58">
        <f t="shared" si="123"/>
        <v>8590</v>
      </c>
      <c r="S453" s="59">
        <f t="shared" si="124"/>
        <v>0.35360857232902609</v>
      </c>
      <c r="T453" s="59">
        <f t="shared" si="125"/>
        <v>-0.14686248331108145</v>
      </c>
      <c r="U453" s="59">
        <f t="shared" si="126"/>
        <v>0.18027103687362112</v>
      </c>
      <c r="V453" s="42">
        <f t="shared" si="129"/>
        <v>7490</v>
      </c>
      <c r="W453" s="69">
        <f>IFERROR((VLOOKUP($A453,'Из ГУГЛа'!$B:$Z,W$1,0)+Y453)*X453,VLOOKUP($A453,'Из ГУГЛа'!$B:$Z,W$1,0))</f>
        <v>7490</v>
      </c>
      <c r="X453" s="61">
        <v>1</v>
      </c>
      <c r="Y453" s="61">
        <v>0</v>
      </c>
      <c r="Z453" s="70">
        <v>7490</v>
      </c>
      <c r="AA453" s="60" t="s">
        <v>1195</v>
      </c>
    </row>
    <row r="454" spans="1:27" ht="45" x14ac:dyDescent="0.25">
      <c r="A454" s="52">
        <v>186271</v>
      </c>
      <c r="B454" s="52">
        <f>VLOOKUP($A454,'Выгр Кат'!$A:$R,B$1,0)</f>
        <v>31437</v>
      </c>
      <c r="C454" s="53" t="str">
        <f>VLOOKUP($A454,'Выгр Кат'!$A:$R,C$1,0)</f>
        <v>Панель пола задняя (катафорез) "АвтоВАЗ" для ВАЗ 2108, 2109, 2113, 2114</v>
      </c>
      <c r="D454" s="52" t="str">
        <f>VLOOKUP($A454,'Выгр Кат'!$A:$R,D$1,0)</f>
        <v>Y</v>
      </c>
      <c r="E454" s="52" t="str">
        <f>VLOOKUP($A454,'Выгр Кат'!$A:$R,E$1,0)</f>
        <v>1</v>
      </c>
      <c r="F454" s="52" t="str">
        <f>VLOOKUP($A454,'Выгр Кат'!$A:$R,F$1,0)</f>
        <v>21080510104210</v>
      </c>
      <c r="G454" s="52" t="str">
        <f>IF(VLOOKUP($A454,'Выгр Кат'!$A:$R,G$1,0)=0,"",VLOOKUP($A454,'Выгр Кат'!$A:$R,G$1,0))</f>
        <v>https://motorring.ru/product/35799-panely-pola-zadnyaya-kataforeznoe-pokrytie-vaz-2108</v>
      </c>
      <c r="H454" s="52"/>
      <c r="I454" s="52"/>
      <c r="J454" s="54">
        <f t="shared" si="118"/>
        <v>2875</v>
      </c>
      <c r="K454" s="55">
        <f>VLOOKUP(J454,Наценка!$A$1:$B$8,2,1)</f>
        <v>1.4</v>
      </c>
      <c r="L454" s="56">
        <f t="shared" si="119"/>
        <v>4024.9999999999995</v>
      </c>
      <c r="M454" s="57">
        <f t="shared" si="120"/>
        <v>4090</v>
      </c>
      <c r="N454" s="52">
        <f>VLOOKUP($A454,'Выгр Кат'!$A:$R,N$1,0)</f>
        <v>2875</v>
      </c>
      <c r="O454" s="52">
        <f>VLOOKUP($A454,'Выгр Кат'!$A:$R,O$1,0)</f>
        <v>4090</v>
      </c>
      <c r="P454" s="47">
        <f t="shared" si="121"/>
        <v>0</v>
      </c>
      <c r="Q454" s="47">
        <f t="shared" si="122"/>
        <v>0</v>
      </c>
      <c r="R454" s="58">
        <f t="shared" si="123"/>
        <v>4090</v>
      </c>
      <c r="S454" s="59">
        <f t="shared" si="124"/>
        <v>0.42260869565217396</v>
      </c>
      <c r="T454" s="59">
        <f t="shared" si="125"/>
        <v>2.386634844868735E-2</v>
      </c>
      <c r="U454" s="59">
        <f t="shared" si="126"/>
        <v>0.45739130434782616</v>
      </c>
      <c r="V454" s="42">
        <f t="shared" si="129"/>
        <v>4190</v>
      </c>
      <c r="W454" s="69">
        <f>IFERROR((VLOOKUP($A454,'Из ГУГЛа'!$B:$Z,W$1,0)+Y454)*X454,VLOOKUP($A454,'Из ГУГЛа'!$B:$Z,W$1,0))</f>
        <v>4190</v>
      </c>
      <c r="X454" s="61">
        <v>1</v>
      </c>
      <c r="Y454" s="61">
        <v>0</v>
      </c>
      <c r="Z454" s="70">
        <v>4190</v>
      </c>
      <c r="AA454" s="60" t="s">
        <v>1198</v>
      </c>
    </row>
    <row r="455" spans="1:27" ht="30" x14ac:dyDescent="0.25">
      <c r="A455" s="52">
        <v>186272</v>
      </c>
      <c r="B455" s="52">
        <f>VLOOKUP($A455,'Выгр Кат'!$A:$R,B$1,0)</f>
        <v>31160</v>
      </c>
      <c r="C455" s="53" t="str">
        <f>VLOOKUP($A455,'Выгр Кат'!$A:$R,C$1,0)</f>
        <v>Панель пола задняя в сборе (катафорез) "АвтоВАЗ" для Лада Веста</v>
      </c>
      <c r="D455" s="52" t="str">
        <f>VLOOKUP($A455,'Выгр Кат'!$A:$R,D$1,0)</f>
        <v>Y</v>
      </c>
      <c r="E455" s="52" t="str">
        <f>VLOOKUP($A455,'Выгр Кат'!$A:$R,E$1,0)</f>
        <v>1</v>
      </c>
      <c r="F455" s="52" t="str">
        <f>VLOOKUP($A455,'Выгр Кат'!$A:$R,F$1,0)</f>
        <v>8450039308</v>
      </c>
      <c r="G455" s="52" t="str">
        <f>IF(VLOOKUP($A455,'Выгр Кат'!$A:$R,G$1,0)=0,"",VLOOKUP($A455,'Выгр Кат'!$A:$R,G$1,0))</f>
        <v>https://motorring.ru/product/33496-panely-pola-zadnaya-v-sbore-dlya-lada-vesta</v>
      </c>
      <c r="H455" s="52"/>
      <c r="I455" s="52"/>
      <c r="J455" s="54">
        <f t="shared" si="118"/>
        <v>13770</v>
      </c>
      <c r="K455" s="55">
        <f>VLOOKUP(J455,Наценка!$A$1:$B$8,2,1)</f>
        <v>1.3</v>
      </c>
      <c r="L455" s="56">
        <f t="shared" si="119"/>
        <v>17901</v>
      </c>
      <c r="M455" s="57">
        <f t="shared" si="120"/>
        <v>17990</v>
      </c>
      <c r="N455" s="52">
        <f>VLOOKUP($A455,'Выгр Кат'!$A:$R,N$1,0)</f>
        <v>13770</v>
      </c>
      <c r="O455" s="52">
        <f>VLOOKUP($A455,'Выгр Кат'!$A:$R,O$1,0)</f>
        <v>19290</v>
      </c>
      <c r="P455" s="47">
        <f t="shared" si="121"/>
        <v>0</v>
      </c>
      <c r="Q455" s="47">
        <f t="shared" si="122"/>
        <v>1300</v>
      </c>
      <c r="R455" s="58">
        <f t="shared" si="123"/>
        <v>17990</v>
      </c>
      <c r="S455" s="59">
        <f t="shared" si="124"/>
        <v>0.30646332607116911</v>
      </c>
      <c r="T455" s="59">
        <f t="shared" si="125"/>
        <v>6.2532569046378328E-2</v>
      </c>
      <c r="U455" s="59">
        <f t="shared" si="126"/>
        <v>0.39360929557007984</v>
      </c>
      <c r="V455" s="42">
        <f t="shared" si="129"/>
        <v>19190</v>
      </c>
      <c r="W455" s="69">
        <f>IFERROR((VLOOKUP($A455,'Из ГУГЛа'!$B:$Z,W$1,0)+Y455)*X455,VLOOKUP($A455,'Из ГУГЛа'!$B:$Z,W$1,0))</f>
        <v>19190</v>
      </c>
      <c r="X455" s="61">
        <v>1</v>
      </c>
      <c r="Y455" s="61">
        <v>0</v>
      </c>
      <c r="Z455" s="70">
        <v>19190</v>
      </c>
      <c r="AA455" s="60" t="s">
        <v>1201</v>
      </c>
    </row>
    <row r="456" spans="1:27" ht="60" x14ac:dyDescent="0.25">
      <c r="A456" s="52">
        <v>186273</v>
      </c>
      <c r="B456" s="52">
        <f>VLOOKUP($A456,'Выгр Кат'!$A:$R,B$1,0)</f>
        <v>23624</v>
      </c>
      <c r="C456" s="53" t="str">
        <f>VLOOKUP($A456,'Выгр Кат'!$A:$R,C$1,0)</f>
        <v>Панель пола кузова "АвтоВАЗ" передняя (с катафорезным покрытием) для ВАЗ 2110-2112, Лада Приора</v>
      </c>
      <c r="D456" s="52" t="str">
        <f>VLOOKUP($A456,'Выгр Кат'!$A:$R,D$1,0)</f>
        <v>Y</v>
      </c>
      <c r="E456" s="52" t="str">
        <f>VLOOKUP($A456,'Выгр Кат'!$A:$R,E$1,0)</f>
        <v>1</v>
      </c>
      <c r="F456" s="52" t="str">
        <f>VLOOKUP($A456,'Выгр Кат'!$A:$R,F$1,0)</f>
        <v>21100510102420</v>
      </c>
      <c r="G456" s="52" t="str">
        <f>IF(VLOOKUP($A456,'Выгр Кат'!$A:$R,G$1,0)=0,"",VLOOKUP($A456,'Выгр Кат'!$A:$R,G$1,0))</f>
        <v>https://motorring.ru/product/35287-panely-pola-perednyaya-kataforeznym-pokrytiem-vaz-2110</v>
      </c>
      <c r="H456" s="52"/>
      <c r="I456" s="52"/>
      <c r="J456" s="54">
        <f t="shared" si="118"/>
        <v>4984</v>
      </c>
      <c r="K456" s="55">
        <f>VLOOKUP(J456,Наценка!$A$1:$B$8,2,1)</f>
        <v>1.4</v>
      </c>
      <c r="L456" s="56">
        <f t="shared" si="119"/>
        <v>6977.5999999999995</v>
      </c>
      <c r="M456" s="57">
        <f t="shared" si="120"/>
        <v>6990</v>
      </c>
      <c r="N456" s="52">
        <f>VLOOKUP($A456,'Выгр Кат'!$A:$R,N$1,0)</f>
        <v>4984</v>
      </c>
      <c r="O456" s="52">
        <f>VLOOKUP($A456,'Выгр Кат'!$A:$R,O$1,0)</f>
        <v>6990</v>
      </c>
      <c r="P456" s="47">
        <f t="shared" si="121"/>
        <v>0</v>
      </c>
      <c r="Q456" s="47">
        <f t="shared" si="122"/>
        <v>0</v>
      </c>
      <c r="R456" s="58">
        <f t="shared" si="123"/>
        <v>6990</v>
      </c>
      <c r="S456" s="59">
        <f t="shared" si="124"/>
        <v>0.40248796147672561</v>
      </c>
      <c r="T456" s="59">
        <f t="shared" si="125"/>
        <v>5.4127198917456022E-2</v>
      </c>
      <c r="U456" s="59">
        <f t="shared" si="126"/>
        <v>0.48274478330658099</v>
      </c>
      <c r="V456" s="42">
        <f t="shared" si="129"/>
        <v>7390</v>
      </c>
      <c r="W456" s="69">
        <f>IFERROR((VLOOKUP($A456,'Из ГУГЛа'!$B:$Z,W$1,0)+Y456)*X456,VLOOKUP($A456,'Из ГУГЛа'!$B:$Z,W$1,0))</f>
        <v>7390</v>
      </c>
      <c r="X456" s="61">
        <v>1</v>
      </c>
      <c r="Y456" s="61">
        <v>0</v>
      </c>
      <c r="Z456" s="70">
        <v>7390</v>
      </c>
      <c r="AA456" s="60" t="s">
        <v>1204</v>
      </c>
    </row>
    <row r="457" spans="1:27" ht="30" x14ac:dyDescent="0.25">
      <c r="A457" s="52">
        <v>186274</v>
      </c>
      <c r="B457" s="52">
        <f>VLOOKUP($A457,'Выгр Кат'!$A:$R,B$1,0)</f>
        <v>30701</v>
      </c>
      <c r="C457" s="53" t="str">
        <f>VLOOKUP($A457,'Выгр Кат'!$A:$R,C$1,0)</f>
        <v>Панель пола передняя "АвтоВАЗ" для Шевроле Нива</v>
      </c>
      <c r="D457" s="52" t="str">
        <f>VLOOKUP($A457,'Выгр Кат'!$A:$R,D$1,0)</f>
        <v>Y</v>
      </c>
      <c r="E457" s="52" t="str">
        <f>VLOOKUP($A457,'Выгр Кат'!$A:$R,E$1,0)</f>
        <v>1</v>
      </c>
      <c r="F457" s="52" t="str">
        <f>VLOOKUP($A457,'Выгр Кат'!$A:$R,F$1,0)</f>
        <v>21230510102070</v>
      </c>
      <c r="G457" s="52" t="str">
        <f>IF(VLOOKUP($A457,'Выгр Кат'!$A:$R,G$1,0)=0,"",VLOOKUP($A457,'Выгр Кат'!$A:$R,G$1,0))</f>
        <v>https://motorring.ru/product/37043-panely-pola-perednyaya-sbore-dlya-shevrole-niva</v>
      </c>
      <c r="H457" s="52"/>
      <c r="I457" s="52"/>
      <c r="J457" s="54">
        <f t="shared" si="118"/>
        <v>19000</v>
      </c>
      <c r="K457" s="55">
        <f>VLOOKUP(J457,Наценка!$A$1:$B$8,2,1)</f>
        <v>1.3</v>
      </c>
      <c r="L457" s="56">
        <f t="shared" si="119"/>
        <v>24700</v>
      </c>
      <c r="M457" s="57">
        <f t="shared" si="120"/>
        <v>24690</v>
      </c>
      <c r="N457" s="52">
        <f>VLOOKUP($A457,'Выгр Кат'!$A:$R,N$1,0)</f>
        <v>19000</v>
      </c>
      <c r="O457" s="52">
        <f>VLOOKUP($A457,'Выгр Кат'!$A:$R,O$1,0)</f>
        <v>26590</v>
      </c>
      <c r="P457" s="47">
        <f t="shared" si="121"/>
        <v>0</v>
      </c>
      <c r="Q457" s="47">
        <f t="shared" si="122"/>
        <v>1900</v>
      </c>
      <c r="R457" s="58">
        <f t="shared" si="123"/>
        <v>24690</v>
      </c>
      <c r="S457" s="59">
        <f t="shared" si="124"/>
        <v>0.29947368421052634</v>
      </c>
      <c r="T457" s="59">
        <f t="shared" si="125"/>
        <v>-0.14358499305233904</v>
      </c>
      <c r="U457" s="59">
        <f t="shared" si="126"/>
        <v>0.13631578947368417</v>
      </c>
      <c r="V457" s="42">
        <f t="shared" si="129"/>
        <v>21590</v>
      </c>
      <c r="W457" s="69">
        <f>IFERROR((VLOOKUP($A457,'Из ГУГЛа'!$B:$Z,W$1,0)+Y457)*X457,VLOOKUP($A457,'Из ГУГЛа'!$B:$Z,W$1,0))</f>
        <v>21590</v>
      </c>
      <c r="X457" s="61">
        <v>1</v>
      </c>
      <c r="Y457" s="61">
        <v>0</v>
      </c>
      <c r="Z457" s="70">
        <v>21590</v>
      </c>
      <c r="AA457" s="60" t="s">
        <v>1207</v>
      </c>
    </row>
    <row r="458" spans="1:27" ht="30" x14ac:dyDescent="0.25">
      <c r="A458" s="52">
        <v>186275</v>
      </c>
      <c r="B458" s="52">
        <f>VLOOKUP($A458,'Выгр Кат'!$A:$R,B$1,0)</f>
        <v>31171</v>
      </c>
      <c r="C458" s="53" t="str">
        <f>VLOOKUP($A458,'Выгр Кат'!$A:$R,C$1,0)</f>
        <v>Панель пола передняя левая в сборе (катафорез) "АвтоВАЗ" для Лада Веста</v>
      </c>
      <c r="D458" s="52" t="str">
        <f>VLOOKUP($A458,'Выгр Кат'!$A:$R,D$1,0)</f>
        <v>Y</v>
      </c>
      <c r="E458" s="52" t="str">
        <f>VLOOKUP($A458,'Выгр Кат'!$A:$R,E$1,0)</f>
        <v>1</v>
      </c>
      <c r="F458" s="52" t="str">
        <f>VLOOKUP($A458,'Выгр Кат'!$A:$R,F$1,0)</f>
        <v>8450039290</v>
      </c>
      <c r="G458" s="52" t="str">
        <f>IF(VLOOKUP($A458,'Выгр Кат'!$A:$R,G$1,0)=0,"",VLOOKUP($A458,'Выгр Кат'!$A:$R,G$1,0))</f>
        <v/>
      </c>
      <c r="H458" s="52"/>
      <c r="I458" s="52"/>
      <c r="J458" s="54">
        <f t="shared" si="118"/>
        <v>5853</v>
      </c>
      <c r="K458" s="55">
        <f>VLOOKUP(J458,Наценка!$A$1:$B$8,2,1)</f>
        <v>1.35</v>
      </c>
      <c r="L458" s="56">
        <f t="shared" si="119"/>
        <v>7901.55</v>
      </c>
      <c r="M458" s="57">
        <f t="shared" si="120"/>
        <v>7990</v>
      </c>
      <c r="N458" s="52">
        <f>VLOOKUP($A458,'Выгр Кат'!$A:$R,N$1,0)</f>
        <v>5853</v>
      </c>
      <c r="O458" s="52">
        <f>VLOOKUP($A458,'Выгр Кат'!$A:$R,O$1,0)</f>
        <v>8190</v>
      </c>
      <c r="P458" s="47">
        <f t="shared" si="121"/>
        <v>0</v>
      </c>
      <c r="Q458" s="47">
        <f t="shared" si="122"/>
        <v>200</v>
      </c>
      <c r="R458" s="58">
        <f t="shared" si="123"/>
        <v>7990</v>
      </c>
      <c r="S458" s="59">
        <f t="shared" si="124"/>
        <v>0.36511190842303098</v>
      </c>
      <c r="T458" s="59" t="str">
        <f t="shared" si="125"/>
        <v/>
      </c>
      <c r="U458" s="59" t="str">
        <f t="shared" si="126"/>
        <v/>
      </c>
      <c r="V458" s="60"/>
      <c r="W458" s="69" t="str">
        <f>IFERROR((VLOOKUP($A458,'Из ГУГЛа'!$B:$Z,W$1,0)+Y458)*X458,VLOOKUP($A458,'Из ГУГЛа'!$B:$Z,W$1,0))</f>
        <v/>
      </c>
      <c r="X458" s="61">
        <v>1</v>
      </c>
      <c r="Y458" s="61">
        <v>0</v>
      </c>
      <c r="Z458" s="60" t="s">
        <v>4170</v>
      </c>
      <c r="AA458" s="60"/>
    </row>
    <row r="459" spans="1:27" ht="30" x14ac:dyDescent="0.25">
      <c r="A459" s="52">
        <v>186276</v>
      </c>
      <c r="B459" s="52">
        <f>VLOOKUP($A459,'Выгр Кат'!$A:$R,B$1,0)</f>
        <v>31169</v>
      </c>
      <c r="C459" s="53" t="str">
        <f>VLOOKUP($A459,'Выгр Кат'!$A:$R,C$1,0)</f>
        <v>Панель пола передняя правая в сборе (катафорез) "АвтоВАЗ" для Лада Веста</v>
      </c>
      <c r="D459" s="52" t="str">
        <f>VLOOKUP($A459,'Выгр Кат'!$A:$R,D$1,0)</f>
        <v>Y</v>
      </c>
      <c r="E459" s="52" t="str">
        <f>VLOOKUP($A459,'Выгр Кат'!$A:$R,E$1,0)</f>
        <v>1</v>
      </c>
      <c r="F459" s="52" t="str">
        <f>VLOOKUP($A459,'Выгр Кат'!$A:$R,F$1,0)</f>
        <v>8450039291</v>
      </c>
      <c r="G459" s="52" t="str">
        <f>IF(VLOOKUP($A459,'Выгр Кат'!$A:$R,G$1,0)=0,"",VLOOKUP($A459,'Выгр Кат'!$A:$R,G$1,0))</f>
        <v/>
      </c>
      <c r="H459" s="52"/>
      <c r="I459" s="52"/>
      <c r="J459" s="54">
        <f t="shared" si="118"/>
        <v>2457</v>
      </c>
      <c r="K459" s="55">
        <f>VLOOKUP(J459,Наценка!$A$1:$B$8,2,1)</f>
        <v>1.4</v>
      </c>
      <c r="L459" s="56">
        <f t="shared" si="119"/>
        <v>3439.7999999999997</v>
      </c>
      <c r="M459" s="57">
        <f t="shared" si="120"/>
        <v>3490</v>
      </c>
      <c r="N459" s="52">
        <f>VLOOKUP($A459,'Выгр Кат'!$A:$R,N$1,0)</f>
        <v>2457</v>
      </c>
      <c r="O459" s="52">
        <f>VLOOKUP($A459,'Выгр Кат'!$A:$R,O$1,0)</f>
        <v>3490</v>
      </c>
      <c r="P459" s="47">
        <f t="shared" si="121"/>
        <v>0</v>
      </c>
      <c r="Q459" s="47">
        <f t="shared" si="122"/>
        <v>0</v>
      </c>
      <c r="R459" s="58">
        <f t="shared" si="123"/>
        <v>3490</v>
      </c>
      <c r="S459" s="59">
        <f t="shared" si="124"/>
        <v>0.42043142043142034</v>
      </c>
      <c r="T459" s="59" t="str">
        <f t="shared" si="125"/>
        <v/>
      </c>
      <c r="U459" s="59" t="str">
        <f t="shared" si="126"/>
        <v/>
      </c>
      <c r="V459" s="60"/>
      <c r="W459" s="69" t="str">
        <f>IFERROR((VLOOKUP($A459,'Из ГУГЛа'!$B:$Z,W$1,0)+Y459)*X459,VLOOKUP($A459,'Из ГУГЛа'!$B:$Z,W$1,0))</f>
        <v/>
      </c>
      <c r="X459" s="61">
        <v>1</v>
      </c>
      <c r="Y459" s="61">
        <v>0</v>
      </c>
      <c r="Z459" s="60" t="s">
        <v>4170</v>
      </c>
      <c r="AA459" s="60"/>
    </row>
    <row r="460" spans="1:27" ht="30" x14ac:dyDescent="0.25">
      <c r="A460" s="52">
        <v>186277</v>
      </c>
      <c r="B460" s="52">
        <f>VLOOKUP($A460,'Выгр Кат'!$A:$R,B$1,0)</f>
        <v>31293</v>
      </c>
      <c r="C460" s="53" t="str">
        <f>VLOOKUP($A460,'Выгр Кат'!$A:$R,C$1,0)</f>
        <v>Панель пола средняя "АвтоВАЗ" в сборе для Шевроле Нива</v>
      </c>
      <c r="D460" s="52" t="str">
        <f>VLOOKUP($A460,'Выгр Кат'!$A:$R,D$1,0)</f>
        <v>Y</v>
      </c>
      <c r="E460" s="52" t="str">
        <f>VLOOKUP($A460,'Выгр Кат'!$A:$R,E$1,0)</f>
        <v>1</v>
      </c>
      <c r="F460" s="52" t="str">
        <f>VLOOKUP($A460,'Выгр Кат'!$A:$R,F$1,0)</f>
        <v>21230510103200</v>
      </c>
      <c r="G460" s="52" t="str">
        <f>IF(VLOOKUP($A460,'Выгр Кат'!$A:$R,G$1,0)=0,"",VLOOKUP($A460,'Выгр Кат'!$A:$R,G$1,0))</f>
        <v>https://motorring.ru/product/6524</v>
      </c>
      <c r="H460" s="52"/>
      <c r="I460" s="52"/>
      <c r="J460" s="54">
        <f t="shared" si="118"/>
        <v>3831</v>
      </c>
      <c r="K460" s="55">
        <f>VLOOKUP(J460,Наценка!$A$1:$B$8,2,1)</f>
        <v>1.4</v>
      </c>
      <c r="L460" s="56">
        <f t="shared" si="119"/>
        <v>5363.4</v>
      </c>
      <c r="M460" s="57">
        <f t="shared" si="120"/>
        <v>5390</v>
      </c>
      <c r="N460" s="52">
        <f>VLOOKUP($A460,'Выгр Кат'!$A:$R,N$1,0)</f>
        <v>3831</v>
      </c>
      <c r="O460" s="52">
        <f>VLOOKUP($A460,'Выгр Кат'!$A:$R,O$1,0)</f>
        <v>5390</v>
      </c>
      <c r="P460" s="47">
        <f t="shared" si="121"/>
        <v>0</v>
      </c>
      <c r="Q460" s="47">
        <f t="shared" si="122"/>
        <v>0</v>
      </c>
      <c r="R460" s="58">
        <f t="shared" si="123"/>
        <v>5390</v>
      </c>
      <c r="S460" s="59">
        <f t="shared" si="124"/>
        <v>0.406943356825894</v>
      </c>
      <c r="T460" s="59">
        <f t="shared" si="125"/>
        <v>-0.68965517241379315</v>
      </c>
      <c r="U460" s="59">
        <f t="shared" si="126"/>
        <v>-0.16731923779691982</v>
      </c>
      <c r="V460" s="42">
        <f>Z460</f>
        <v>3190</v>
      </c>
      <c r="W460" s="69">
        <f>IFERROR((VLOOKUP($A460,'Из ГУГЛа'!$B:$Z,W$1,0)+Y460)*X460,VLOOKUP($A460,'Из ГУГЛа'!$B:$Z,W$1,0))</f>
        <v>3190</v>
      </c>
      <c r="X460" s="61">
        <v>1</v>
      </c>
      <c r="Y460" s="61">
        <v>0</v>
      </c>
      <c r="Z460" s="70">
        <v>3190</v>
      </c>
      <c r="AA460" s="60" t="s">
        <v>1214</v>
      </c>
    </row>
    <row r="461" spans="1:27" ht="30" x14ac:dyDescent="0.25">
      <c r="A461" s="52">
        <v>186278</v>
      </c>
      <c r="B461" s="52">
        <f>VLOOKUP($A461,'Выгр Кат'!$A:$R,B$1,0)</f>
        <v>31292</v>
      </c>
      <c r="C461" s="53" t="str">
        <f>VLOOKUP($A461,'Выгр Кат'!$A:$R,C$1,0)</f>
        <v>Панель пола средняя "АвтоВАЗ" для Шевроле Нива</v>
      </c>
      <c r="D461" s="52" t="str">
        <f>VLOOKUP($A461,'Выгр Кат'!$A:$R,D$1,0)</f>
        <v>Y</v>
      </c>
      <c r="E461" s="52" t="str">
        <f>VLOOKUP($A461,'Выгр Кат'!$A:$R,E$1,0)</f>
        <v>1</v>
      </c>
      <c r="F461" s="52" t="str">
        <f>VLOOKUP($A461,'Выгр Кат'!$A:$R,F$1,0)</f>
        <v>21230510103400</v>
      </c>
      <c r="G461" s="52" t="str">
        <f>IF(VLOOKUP($A461,'Выгр Кат'!$A:$R,G$1,0)=0,"",VLOOKUP($A461,'Выгр Кат'!$A:$R,G$1,0))</f>
        <v/>
      </c>
      <c r="H461" s="52"/>
      <c r="I461" s="52"/>
      <c r="J461" s="54">
        <f t="shared" si="118"/>
        <v>1111</v>
      </c>
      <c r="K461" s="55">
        <f>VLOOKUP(J461,Наценка!$A$1:$B$8,2,1)</f>
        <v>1.5</v>
      </c>
      <c r="L461" s="56">
        <f t="shared" si="119"/>
        <v>1666.5</v>
      </c>
      <c r="M461" s="57">
        <f t="shared" si="120"/>
        <v>1690</v>
      </c>
      <c r="N461" s="52">
        <f>VLOOKUP($A461,'Выгр Кат'!$A:$R,N$1,0)</f>
        <v>1111</v>
      </c>
      <c r="O461" s="52">
        <f>VLOOKUP($A461,'Выгр Кат'!$A:$R,O$1,0)</f>
        <v>1690</v>
      </c>
      <c r="P461" s="47">
        <f t="shared" si="121"/>
        <v>0</v>
      </c>
      <c r="Q461" s="47">
        <f t="shared" si="122"/>
        <v>0</v>
      </c>
      <c r="R461" s="58">
        <f t="shared" si="123"/>
        <v>1690</v>
      </c>
      <c r="S461" s="59">
        <f t="shared" si="124"/>
        <v>0.52115211521152105</v>
      </c>
      <c r="T461" s="59" t="str">
        <f t="shared" si="125"/>
        <v/>
      </c>
      <c r="U461" s="59" t="str">
        <f t="shared" si="126"/>
        <v/>
      </c>
      <c r="V461" s="60"/>
      <c r="W461" s="69" t="str">
        <f>IFERROR((VLOOKUP($A461,'Из ГУГЛа'!$B:$Z,W$1,0)+Y461)*X461,VLOOKUP($A461,'Из ГУГЛа'!$B:$Z,W$1,0))</f>
        <v/>
      </c>
      <c r="X461" s="61">
        <v>1</v>
      </c>
      <c r="Y461" s="61">
        <v>0</v>
      </c>
      <c r="Z461" s="60" t="s">
        <v>4170</v>
      </c>
      <c r="AA461" s="60"/>
    </row>
    <row r="462" spans="1:27" ht="45" x14ac:dyDescent="0.25">
      <c r="A462" s="52">
        <v>186280</v>
      </c>
      <c r="B462" s="52">
        <f>VLOOKUP($A462,'Выгр Кат'!$A:$R,B$1,0)</f>
        <v>31438</v>
      </c>
      <c r="C462" s="53" t="str">
        <f>VLOOKUP($A462,'Выгр Кат'!$A:$R,C$1,0)</f>
        <v>Панель пола средняя (катафорез) "АвтоВАЗ" для ВАЗ 2108, 2109, 2113, 2114</v>
      </c>
      <c r="D462" s="52" t="str">
        <f>VLOOKUP($A462,'Выгр Кат'!$A:$R,D$1,0)</f>
        <v>Y</v>
      </c>
      <c r="E462" s="52" t="str">
        <f>VLOOKUP($A462,'Выгр Кат'!$A:$R,E$1,0)</f>
        <v>0</v>
      </c>
      <c r="F462" s="52" t="str">
        <f>VLOOKUP($A462,'Выгр Кат'!$A:$R,F$1,0)</f>
        <v>21080510103410</v>
      </c>
      <c r="G462" s="52" t="str">
        <f>IF(VLOOKUP($A462,'Выгр Кат'!$A:$R,G$1,0)=0,"",VLOOKUP($A462,'Выгр Кат'!$A:$R,G$1,0))</f>
        <v/>
      </c>
      <c r="H462" s="52"/>
      <c r="I462" s="52"/>
      <c r="J462" s="54">
        <f t="shared" si="118"/>
        <v>2717</v>
      </c>
      <c r="K462" s="55">
        <f>VLOOKUP(J462,Наценка!$A$1:$B$8,2,1)</f>
        <v>1.4</v>
      </c>
      <c r="L462" s="56">
        <f t="shared" si="119"/>
        <v>3803.7999999999997</v>
      </c>
      <c r="M462" s="57">
        <f t="shared" si="120"/>
        <v>3890</v>
      </c>
      <c r="N462" s="52">
        <f>VLOOKUP($A462,'Выгр Кат'!$A:$R,N$1,0)</f>
        <v>2717</v>
      </c>
      <c r="O462" s="52">
        <f>VLOOKUP($A462,'Выгр Кат'!$A:$R,O$1,0)</f>
        <v>3890</v>
      </c>
      <c r="P462" s="47">
        <f t="shared" si="121"/>
        <v>0</v>
      </c>
      <c r="Q462" s="47">
        <f t="shared" si="122"/>
        <v>0</v>
      </c>
      <c r="R462" s="58">
        <f t="shared" si="123"/>
        <v>3890</v>
      </c>
      <c r="S462" s="59">
        <f t="shared" si="124"/>
        <v>0.43172616856827384</v>
      </c>
      <c r="T462" s="59" t="str">
        <f t="shared" si="125"/>
        <v/>
      </c>
      <c r="U462" s="59" t="str">
        <f t="shared" si="126"/>
        <v/>
      </c>
      <c r="V462" s="60"/>
      <c r="W462" s="69" t="str">
        <f>IFERROR((VLOOKUP($A462,'Из ГУГЛа'!$B:$Z,W$1,0)+Y462)*X462,VLOOKUP($A462,'Из ГУГЛа'!$B:$Z,W$1,0))</f>
        <v/>
      </c>
      <c r="X462" s="61">
        <v>1</v>
      </c>
      <c r="Y462" s="61">
        <v>0</v>
      </c>
      <c r="Z462" s="76" t="s">
        <v>4285</v>
      </c>
      <c r="AA462" s="60"/>
    </row>
    <row r="463" spans="1:27" ht="45" x14ac:dyDescent="0.25">
      <c r="A463" s="52">
        <v>186281</v>
      </c>
      <c r="B463" s="52">
        <f>VLOOKUP($A463,'Выгр Кат'!$A:$R,B$1,0)</f>
        <v>32510</v>
      </c>
      <c r="C463" s="53" t="str">
        <f>VLOOKUP($A463,'Выгр Кат'!$A:$R,C$1,0)</f>
        <v>Панель пола средняя в сборе "АвтоВАЗ" для Лада Калина 2, Гранта, Гранта FL</v>
      </c>
      <c r="D463" s="52" t="str">
        <f>VLOOKUP($A463,'Выгр Кат'!$A:$R,D$1,0)</f>
        <v>Y</v>
      </c>
      <c r="E463" s="52" t="str">
        <f>VLOOKUP($A463,'Выгр Кат'!$A:$R,E$1,0)</f>
        <v>1</v>
      </c>
      <c r="F463" s="52" t="str">
        <f>VLOOKUP($A463,'Выгр Кат'!$A:$R,F$1,0)</f>
        <v>11180510103299</v>
      </c>
      <c r="G463" s="52" t="str">
        <f>IF(VLOOKUP($A463,'Выгр Кат'!$A:$R,G$1,0)=0,"",VLOOKUP($A463,'Выгр Кат'!$A:$R,G$1,0))</f>
        <v>https://motorring.ru/product/32722-panely-pola-srednyaya-sbore-kalina</v>
      </c>
      <c r="H463" s="52"/>
      <c r="I463" s="52"/>
      <c r="J463" s="54">
        <f t="shared" si="118"/>
        <v>2622</v>
      </c>
      <c r="K463" s="55">
        <f>VLOOKUP(J463,Наценка!$A$1:$B$8,2,1)</f>
        <v>1.4</v>
      </c>
      <c r="L463" s="56">
        <f t="shared" si="119"/>
        <v>3670.7999999999997</v>
      </c>
      <c r="M463" s="57">
        <f t="shared" si="120"/>
        <v>3690</v>
      </c>
      <c r="N463" s="52">
        <f>VLOOKUP($A463,'Выгр Кат'!$A:$R,N$1,0)</f>
        <v>2622</v>
      </c>
      <c r="O463" s="52">
        <f>VLOOKUP($A463,'Выгр Кат'!$A:$R,O$1,0)</f>
        <v>3690</v>
      </c>
      <c r="P463" s="47">
        <f t="shared" si="121"/>
        <v>0</v>
      </c>
      <c r="Q463" s="47">
        <f t="shared" si="122"/>
        <v>0</v>
      </c>
      <c r="R463" s="58">
        <f t="shared" si="123"/>
        <v>3690</v>
      </c>
      <c r="S463" s="59">
        <f t="shared" si="124"/>
        <v>0.40732265446224258</v>
      </c>
      <c r="T463" s="59">
        <f t="shared" si="125"/>
        <v>-0.68493150684931503</v>
      </c>
      <c r="U463" s="59">
        <f t="shared" si="126"/>
        <v>-0.16475972540045769</v>
      </c>
      <c r="V463" s="42">
        <f>Z463</f>
        <v>2190</v>
      </c>
      <c r="W463" s="69">
        <f>IFERROR((VLOOKUP($A463,'Из ГУГЛа'!$B:$Z,W$1,0)+Y463)*X463,VLOOKUP($A463,'Из ГУГЛа'!$B:$Z,W$1,0))</f>
        <v>2190</v>
      </c>
      <c r="X463" s="61">
        <v>1</v>
      </c>
      <c r="Y463" s="61">
        <v>0</v>
      </c>
      <c r="Z463" s="70">
        <v>2190</v>
      </c>
      <c r="AA463" s="60" t="s">
        <v>1221</v>
      </c>
    </row>
    <row r="464" spans="1:27" ht="30" x14ac:dyDescent="0.25">
      <c r="A464" s="52">
        <v>186282</v>
      </c>
      <c r="B464" s="52">
        <f>VLOOKUP($A464,'Выгр Кат'!$A:$R,B$1,0)</f>
        <v>31166</v>
      </c>
      <c r="C464" s="53" t="str">
        <f>VLOOKUP($A464,'Выгр Кат'!$A:$R,C$1,0)</f>
        <v>Панель пола средняя в сборе (катафорез) "АвтоВАЗ" для Лада Веста</v>
      </c>
      <c r="D464" s="52" t="str">
        <f>VLOOKUP($A464,'Выгр Кат'!$A:$R,D$1,0)</f>
        <v>Y</v>
      </c>
      <c r="E464" s="52" t="str">
        <f>VLOOKUP($A464,'Выгр Кат'!$A:$R,E$1,0)</f>
        <v>1</v>
      </c>
      <c r="F464" s="52" t="str">
        <f>VLOOKUP($A464,'Выгр Кат'!$A:$R,F$1,0)</f>
        <v>8450039299</v>
      </c>
      <c r="G464" s="52" t="str">
        <f>IF(VLOOKUP($A464,'Выгр Кат'!$A:$R,G$1,0)=0,"",VLOOKUP($A464,'Выгр Кат'!$A:$R,G$1,0))</f>
        <v/>
      </c>
      <c r="H464" s="52"/>
      <c r="I464" s="52"/>
      <c r="J464" s="54">
        <f t="shared" si="118"/>
        <v>5265</v>
      </c>
      <c r="K464" s="55">
        <f>VLOOKUP(J464,Наценка!$A$1:$B$8,2,1)</f>
        <v>1.35</v>
      </c>
      <c r="L464" s="56">
        <f t="shared" si="119"/>
        <v>7107.7500000000009</v>
      </c>
      <c r="M464" s="57">
        <f t="shared" si="120"/>
        <v>7190</v>
      </c>
      <c r="N464" s="52">
        <f>VLOOKUP($A464,'Выгр Кат'!$A:$R,N$1,0)</f>
        <v>5265</v>
      </c>
      <c r="O464" s="52">
        <f>VLOOKUP($A464,'Выгр Кат'!$A:$R,O$1,0)</f>
        <v>7390</v>
      </c>
      <c r="P464" s="47">
        <f t="shared" si="121"/>
        <v>0</v>
      </c>
      <c r="Q464" s="47">
        <f t="shared" si="122"/>
        <v>200</v>
      </c>
      <c r="R464" s="58">
        <f t="shared" si="123"/>
        <v>7190</v>
      </c>
      <c r="S464" s="59">
        <f t="shared" si="124"/>
        <v>0.36562203228869894</v>
      </c>
      <c r="T464" s="59" t="str">
        <f t="shared" si="125"/>
        <v/>
      </c>
      <c r="U464" s="59" t="str">
        <f t="shared" si="126"/>
        <v/>
      </c>
      <c r="V464" s="60"/>
      <c r="W464" s="69" t="str">
        <f>IFERROR((VLOOKUP($A464,'Из ГУГЛа'!$B:$Z,W$1,0)+Y464)*X464,VLOOKUP($A464,'Из ГУГЛа'!$B:$Z,W$1,0))</f>
        <v/>
      </c>
      <c r="X464" s="61">
        <v>1</v>
      </c>
      <c r="Y464" s="61">
        <v>0</v>
      </c>
      <c r="Z464" s="60" t="s">
        <v>4170</v>
      </c>
      <c r="AA464" s="60"/>
    </row>
    <row r="465" spans="1:27" ht="45" x14ac:dyDescent="0.25">
      <c r="A465" s="52">
        <v>186299</v>
      </c>
      <c r="B465" s="52">
        <f>VLOOKUP($A465,'Выгр Кат'!$A:$R,B$1,0)</f>
        <v>41680</v>
      </c>
      <c r="C465" s="53" t="str">
        <f>VLOOKUP($A465,'Выгр Кат'!$A:$R,C$1,0)</f>
        <v>Панель рамки радиатора "АвтоВАЗ" правая в сборе для Лада Веста NG Седан</v>
      </c>
      <c r="D465" s="52" t="str">
        <f>VLOOKUP($A465,'Выгр Кат'!$A:$R,D$1,0)</f>
        <v>Y</v>
      </c>
      <c r="E465" s="52" t="str">
        <f>VLOOKUP($A465,'Выгр Кат'!$A:$R,E$1,0)</f>
        <v>1</v>
      </c>
      <c r="F465" s="52" t="str">
        <f>VLOOKUP($A465,'Выгр Кат'!$A:$R,F$1,0)</f>
        <v>8450013780</v>
      </c>
      <c r="G465" s="52" t="str">
        <f>IF(VLOOKUP($A465,'Выгр Кат'!$A:$R,G$1,0)=0,"",VLOOKUP($A465,'Выгр Кат'!$A:$R,G$1,0))</f>
        <v/>
      </c>
      <c r="H465" s="52"/>
      <c r="I465" s="52"/>
      <c r="J465" s="54">
        <f t="shared" si="118"/>
        <v>1917</v>
      </c>
      <c r="K465" s="55">
        <f>VLOOKUP(J465,Наценка!$A$1:$B$8,2,1)</f>
        <v>1.5</v>
      </c>
      <c r="L465" s="56">
        <f t="shared" si="119"/>
        <v>2875.5</v>
      </c>
      <c r="M465" s="57">
        <f t="shared" si="120"/>
        <v>2890</v>
      </c>
      <c r="N465" s="52">
        <f>VLOOKUP($A465,'Выгр Кат'!$A:$R,N$1,0)</f>
        <v>1917</v>
      </c>
      <c r="O465" s="52">
        <f>VLOOKUP($A465,'Выгр Кат'!$A:$R,O$1,0)</f>
        <v>2890</v>
      </c>
      <c r="P465" s="47">
        <f t="shared" si="121"/>
        <v>0</v>
      </c>
      <c r="Q465" s="47">
        <f t="shared" si="122"/>
        <v>0</v>
      </c>
      <c r="R465" s="58">
        <f t="shared" si="123"/>
        <v>2890</v>
      </c>
      <c r="S465" s="59">
        <f t="shared" si="124"/>
        <v>0.50756390193009904</v>
      </c>
      <c r="T465" s="59" t="str">
        <f t="shared" si="125"/>
        <v/>
      </c>
      <c r="U465" s="59" t="str">
        <f t="shared" si="126"/>
        <v/>
      </c>
      <c r="V465" s="60"/>
      <c r="W465" s="69" t="str">
        <f>IFERROR((VLOOKUP($A465,'Из ГУГЛа'!$B:$Z,W$1,0)+Y465)*X465,VLOOKUP($A465,'Из ГУГЛа'!$B:$Z,W$1,0))</f>
        <v/>
      </c>
      <c r="X465" s="61">
        <v>1</v>
      </c>
      <c r="Y465" s="61">
        <v>0</v>
      </c>
      <c r="Z465" s="60" t="s">
        <v>4170</v>
      </c>
      <c r="AA465" s="60"/>
    </row>
    <row r="466" spans="1:27" ht="45" x14ac:dyDescent="0.25">
      <c r="A466" s="52">
        <v>186300</v>
      </c>
      <c r="B466" s="52">
        <f>VLOOKUP($A466,'Выгр Кат'!$A:$R,B$1,0)</f>
        <v>20166</v>
      </c>
      <c r="C466" s="53" t="str">
        <f>VLOOKUP($A466,'Выгр Кат'!$A:$R,C$1,0)</f>
        <v>Панель рамки радиатора "АвтоВАЗ" с катафорезным покрытием в сборе для ВАЗ 2108-21099, 2113-2115</v>
      </c>
      <c r="D466" s="52" t="str">
        <f>VLOOKUP($A466,'Выгр Кат'!$A:$R,D$1,0)</f>
        <v>Y</v>
      </c>
      <c r="E466" s="52" t="str">
        <f>VLOOKUP($A466,'Выгр Кат'!$A:$R,E$1,0)</f>
        <v>1</v>
      </c>
      <c r="F466" s="52" t="str">
        <f>VLOOKUP($A466,'Выгр Кат'!$A:$R,F$1,0)</f>
        <v>21080840105230</v>
      </c>
      <c r="G466" s="52" t="str">
        <f>IF(VLOOKUP($A466,'Выгр Кат'!$A:$R,G$1,0)=0,"",VLOOKUP($A466,'Выгр Кат'!$A:$R,G$1,0))</f>
        <v>https://motorring.ru/product/4577-panely-ramki-radiatora-sbore-kataforeznoe-pokrytie-2108</v>
      </c>
      <c r="H466" s="52"/>
      <c r="I466" s="52"/>
      <c r="J466" s="54">
        <f t="shared" si="118"/>
        <v>1619</v>
      </c>
      <c r="K466" s="55">
        <f>VLOOKUP(J466,Наценка!$A$1:$B$8,2,1)</f>
        <v>1.5</v>
      </c>
      <c r="L466" s="56">
        <f t="shared" si="119"/>
        <v>2428.5</v>
      </c>
      <c r="M466" s="57">
        <f t="shared" si="120"/>
        <v>2490</v>
      </c>
      <c r="N466" s="52">
        <f>VLOOKUP($A466,'Выгр Кат'!$A:$R,N$1,0)</f>
        <v>1619</v>
      </c>
      <c r="O466" s="52">
        <f>VLOOKUP($A466,'Выгр Кат'!$A:$R,O$1,0)</f>
        <v>2490</v>
      </c>
      <c r="P466" s="47">
        <f t="shared" si="121"/>
        <v>0</v>
      </c>
      <c r="Q466" s="47">
        <f t="shared" si="122"/>
        <v>0</v>
      </c>
      <c r="R466" s="58">
        <f t="shared" si="123"/>
        <v>2490</v>
      </c>
      <c r="S466" s="59">
        <f t="shared" si="124"/>
        <v>0.53798641136504011</v>
      </c>
      <c r="T466" s="59">
        <f t="shared" si="125"/>
        <v>-4.1841004184100417E-2</v>
      </c>
      <c r="U466" s="59">
        <f t="shared" si="126"/>
        <v>0.47621988882025934</v>
      </c>
      <c r="V466" s="42">
        <f>Z466</f>
        <v>2390</v>
      </c>
      <c r="W466" s="69">
        <f>IFERROR((VLOOKUP($A466,'Из ГУГЛа'!$B:$Z,W$1,0)+Y466)*X466,VLOOKUP($A466,'Из ГУГЛа'!$B:$Z,W$1,0))</f>
        <v>2390</v>
      </c>
      <c r="X466" s="61">
        <v>1</v>
      </c>
      <c r="Y466" s="61">
        <v>0</v>
      </c>
      <c r="Z466" s="70">
        <v>2390</v>
      </c>
      <c r="AA466" s="60" t="s">
        <v>1229</v>
      </c>
    </row>
    <row r="467" spans="1:27" ht="45" x14ac:dyDescent="0.25">
      <c r="A467" s="52">
        <v>186302</v>
      </c>
      <c r="B467" s="52">
        <f>VLOOKUP($A467,'Выгр Кат'!$A:$R,B$1,0)</f>
        <v>31424</v>
      </c>
      <c r="C467" s="53" t="str">
        <f>VLOOKUP($A467,'Выгр Кат'!$A:$R,C$1,0)</f>
        <v>Панель рамки радиатора (катафорез) "АвтоВАЗ" голая для ВАЗ 2108-21099, 2113-2115</v>
      </c>
      <c r="D467" s="52" t="str">
        <f>VLOOKUP($A467,'Выгр Кат'!$A:$R,D$1,0)</f>
        <v>Y</v>
      </c>
      <c r="E467" s="52" t="str">
        <f>VLOOKUP($A467,'Выгр Кат'!$A:$R,E$1,0)</f>
        <v>1</v>
      </c>
      <c r="F467" s="52" t="str">
        <f>VLOOKUP($A467,'Выгр Кат'!$A:$R,F$1,0)</f>
        <v>21080840105410</v>
      </c>
      <c r="G467" s="52" t="str">
        <f>IF(VLOOKUP($A467,'Выгр Кат'!$A:$R,G$1,0)=0,"",VLOOKUP($A467,'Выгр Кат'!$A:$R,G$1,0))</f>
        <v/>
      </c>
      <c r="H467" s="52"/>
      <c r="I467" s="52"/>
      <c r="J467" s="54">
        <f t="shared" si="118"/>
        <v>868</v>
      </c>
      <c r="K467" s="55">
        <f>VLOOKUP(J467,Наценка!$A$1:$B$8,2,1)</f>
        <v>1.55</v>
      </c>
      <c r="L467" s="56">
        <f t="shared" si="119"/>
        <v>1345.4</v>
      </c>
      <c r="M467" s="57">
        <f t="shared" si="120"/>
        <v>1390</v>
      </c>
      <c r="N467" s="52">
        <f>VLOOKUP($A467,'Выгр Кат'!$A:$R,N$1,0)</f>
        <v>868</v>
      </c>
      <c r="O467" s="52">
        <f>VLOOKUP($A467,'Выгр Кат'!$A:$R,O$1,0)</f>
        <v>1390</v>
      </c>
      <c r="P467" s="47">
        <f t="shared" si="121"/>
        <v>0</v>
      </c>
      <c r="Q467" s="47">
        <f t="shared" si="122"/>
        <v>0</v>
      </c>
      <c r="R467" s="58">
        <f t="shared" si="123"/>
        <v>1390</v>
      </c>
      <c r="S467" s="59">
        <f t="shared" si="124"/>
        <v>0.60138248847926268</v>
      </c>
      <c r="T467" s="59">
        <f t="shared" si="125"/>
        <v>0</v>
      </c>
      <c r="U467" s="59">
        <f t="shared" si="126"/>
        <v>0.60138248847926268</v>
      </c>
      <c r="V467" s="42">
        <f t="shared" ref="V467:V468" si="130">Z467</f>
        <v>1390</v>
      </c>
      <c r="W467" s="69" t="str">
        <f>IFERROR((VLOOKUP($A467,'Из ГУГЛа'!$B:$Z,W$1,0)+Y467)*X467,VLOOKUP($A467,'Из ГУГЛа'!$B:$Z,W$1,0))</f>
        <v/>
      </c>
      <c r="X467" s="61">
        <v>1</v>
      </c>
      <c r="Y467" s="61">
        <v>0</v>
      </c>
      <c r="Z467" s="60">
        <v>1390</v>
      </c>
      <c r="AA467" s="60" t="s">
        <v>4288</v>
      </c>
    </row>
    <row r="468" spans="1:27" ht="30" x14ac:dyDescent="0.25">
      <c r="A468" s="52">
        <v>186303</v>
      </c>
      <c r="B468" s="52">
        <f>VLOOKUP($A468,'Выгр Кат'!$A:$R,B$1,0)</f>
        <v>16962</v>
      </c>
      <c r="C468" s="53" t="str">
        <f>VLOOKUP($A468,'Выгр Кат'!$A:$R,C$1,0)</f>
        <v>Панель рамки радиатора в сборе (катафорезное покрытие) Лада Калина</v>
      </c>
      <c r="D468" s="52" t="str">
        <f>VLOOKUP($A468,'Выгр Кат'!$A:$R,D$1,0)</f>
        <v>Y</v>
      </c>
      <c r="E468" s="52" t="str">
        <f>VLOOKUP($A468,'Выгр Кат'!$A:$R,E$1,0)</f>
        <v>1</v>
      </c>
      <c r="F468" s="52" t="str">
        <f>VLOOKUP($A468,'Выгр Кат'!$A:$R,F$1,0)</f>
        <v>11180840105270</v>
      </c>
      <c r="G468" s="52" t="str">
        <f>IF(VLOOKUP($A468,'Выгр Кат'!$A:$R,G$1,0)=0,"",VLOOKUP($A468,'Выгр Кат'!$A:$R,G$1,0))</f>
        <v/>
      </c>
      <c r="H468" s="52"/>
      <c r="I468" s="52"/>
      <c r="J468" s="54">
        <f t="shared" si="118"/>
        <v>508</v>
      </c>
      <c r="K468" s="55">
        <f>VLOOKUP(J468,Наценка!$A$1:$B$8,2,1)</f>
        <v>1.55</v>
      </c>
      <c r="L468" s="56">
        <f t="shared" si="119"/>
        <v>787.4</v>
      </c>
      <c r="M468" s="57">
        <f t="shared" si="120"/>
        <v>789</v>
      </c>
      <c r="N468" s="52">
        <f>VLOOKUP($A468,'Выгр Кат'!$A:$R,N$1,0)</f>
        <v>508</v>
      </c>
      <c r="O468" s="52">
        <f>VLOOKUP($A468,'Выгр Кат'!$A:$R,O$1,0)</f>
        <v>789</v>
      </c>
      <c r="P468" s="47">
        <f t="shared" si="121"/>
        <v>0</v>
      </c>
      <c r="Q468" s="47">
        <f t="shared" si="122"/>
        <v>0</v>
      </c>
      <c r="R468" s="58">
        <f t="shared" si="123"/>
        <v>789</v>
      </c>
      <c r="S468" s="59">
        <f t="shared" si="124"/>
        <v>0.5531496062992125</v>
      </c>
      <c r="T468" s="59">
        <f t="shared" si="125"/>
        <v>-0.33728813559322035</v>
      </c>
      <c r="U468" s="59">
        <f t="shared" si="126"/>
        <v>0.1614173228346456</v>
      </c>
      <c r="V468" s="42">
        <f t="shared" si="130"/>
        <v>590</v>
      </c>
      <c r="W468" s="69" t="str">
        <f>IFERROR((VLOOKUP($A468,'Из ГУГЛа'!$B:$Z,W$1,0)+Y468)*X468,VLOOKUP($A468,'Из ГУГЛа'!$B:$Z,W$1,0))</f>
        <v/>
      </c>
      <c r="X468" s="61">
        <v>1</v>
      </c>
      <c r="Y468" s="61">
        <v>0</v>
      </c>
      <c r="Z468" s="60">
        <v>590</v>
      </c>
      <c r="AA468" s="60" t="s">
        <v>4305</v>
      </c>
    </row>
    <row r="469" spans="1:27" ht="45" x14ac:dyDescent="0.25">
      <c r="A469" s="52">
        <v>186304</v>
      </c>
      <c r="B469" s="52">
        <f>VLOOKUP($A469,'Выгр Кат'!$A:$R,B$1,0)</f>
        <v>31161</v>
      </c>
      <c r="C469" s="53" t="str">
        <f>VLOOKUP($A469,'Выгр Кат'!$A:$R,C$1,0)</f>
        <v>Панель рамки радиатора левая в сборе (катафорез) "АвтоВАЗ" для Лада Веста</v>
      </c>
      <c r="D469" s="52" t="str">
        <f>VLOOKUP($A469,'Выгр Кат'!$A:$R,D$1,0)</f>
        <v>Y</v>
      </c>
      <c r="E469" s="52" t="str">
        <f>VLOOKUP($A469,'Выгр Кат'!$A:$R,E$1,0)</f>
        <v>1</v>
      </c>
      <c r="F469" s="52" t="str">
        <f>VLOOKUP($A469,'Выгр Кат'!$A:$R,F$1,0)</f>
        <v>8450039307</v>
      </c>
      <c r="G469" s="52" t="str">
        <f>IF(VLOOKUP($A469,'Выгр Кат'!$A:$R,G$1,0)=0,"",VLOOKUP($A469,'Выгр Кат'!$A:$R,G$1,0))</f>
        <v>https://motorring.ru/product/36834-levaya-panely-ramki-radiatora-dlya-lada-vesta</v>
      </c>
      <c r="H469" s="52"/>
      <c r="I469" s="52"/>
      <c r="J469" s="54">
        <f t="shared" si="118"/>
        <v>883</v>
      </c>
      <c r="K469" s="55">
        <f>VLOOKUP(J469,Наценка!$A$1:$B$8,2,1)</f>
        <v>1.55</v>
      </c>
      <c r="L469" s="56">
        <f t="shared" si="119"/>
        <v>1368.65</v>
      </c>
      <c r="M469" s="57">
        <f t="shared" si="120"/>
        <v>1390</v>
      </c>
      <c r="N469" s="52">
        <f>VLOOKUP($A469,'Выгр Кат'!$A:$R,N$1,0)</f>
        <v>883</v>
      </c>
      <c r="O469" s="52">
        <f>VLOOKUP($A469,'Выгр Кат'!$A:$R,O$1,0)</f>
        <v>1390</v>
      </c>
      <c r="P469" s="47">
        <f t="shared" si="121"/>
        <v>0</v>
      </c>
      <c r="Q469" s="47">
        <f t="shared" si="122"/>
        <v>0</v>
      </c>
      <c r="R469" s="58">
        <f t="shared" si="123"/>
        <v>1390</v>
      </c>
      <c r="S469" s="59">
        <f t="shared" si="124"/>
        <v>0.57417893544733856</v>
      </c>
      <c r="T469" s="59">
        <f t="shared" si="125"/>
        <v>0</v>
      </c>
      <c r="U469" s="59">
        <f t="shared" si="126"/>
        <v>0.57417893544733856</v>
      </c>
      <c r="V469" s="42">
        <f t="shared" ref="V469:V472" si="131">Z469</f>
        <v>1390</v>
      </c>
      <c r="W469" s="69">
        <f>IFERROR((VLOOKUP($A469,'Из ГУГЛа'!$B:$Z,W$1,0)+Y469)*X469,VLOOKUP($A469,'Из ГУГЛа'!$B:$Z,W$1,0))</f>
        <v>1390</v>
      </c>
      <c r="X469" s="61">
        <v>1</v>
      </c>
      <c r="Y469" s="61">
        <v>0</v>
      </c>
      <c r="Z469" s="70">
        <v>1390</v>
      </c>
      <c r="AA469" s="60" t="s">
        <v>1236</v>
      </c>
    </row>
    <row r="470" spans="1:27" ht="45" x14ac:dyDescent="0.25">
      <c r="A470" s="52">
        <v>186305</v>
      </c>
      <c r="B470" s="52">
        <f>VLOOKUP($A470,'Выгр Кат'!$A:$R,B$1,0)</f>
        <v>31162</v>
      </c>
      <c r="C470" s="53" t="str">
        <f>VLOOKUP($A470,'Выгр Кат'!$A:$R,C$1,0)</f>
        <v>Панель рамки радиатора правая в сборе (катафорез) "АвтоВАЗ" для Лада Веста</v>
      </c>
      <c r="D470" s="52" t="str">
        <f>VLOOKUP($A470,'Выгр Кат'!$A:$R,D$1,0)</f>
        <v>Y</v>
      </c>
      <c r="E470" s="52" t="str">
        <f>VLOOKUP($A470,'Выгр Кат'!$A:$R,E$1,0)</f>
        <v>1</v>
      </c>
      <c r="F470" s="52" t="str">
        <f>VLOOKUP($A470,'Выгр Кат'!$A:$R,F$1,0)</f>
        <v>8450039306</v>
      </c>
      <c r="G470" s="52" t="str">
        <f>IF(VLOOKUP($A470,'Выгр Кат'!$A:$R,G$1,0)=0,"",VLOOKUP($A470,'Выгр Кат'!$A:$R,G$1,0))</f>
        <v>https://motorring.ru/product/36835-pravaya-panely-ramki-radiatora-dlya-lada-vesta</v>
      </c>
      <c r="H470" s="52"/>
      <c r="I470" s="52"/>
      <c r="J470" s="54">
        <f t="shared" si="118"/>
        <v>1061</v>
      </c>
      <c r="K470" s="55">
        <f>VLOOKUP(J470,Наценка!$A$1:$B$8,2,1)</f>
        <v>1.5</v>
      </c>
      <c r="L470" s="56">
        <f t="shared" si="119"/>
        <v>1591.5</v>
      </c>
      <c r="M470" s="57">
        <f t="shared" si="120"/>
        <v>1590</v>
      </c>
      <c r="N470" s="52">
        <f>VLOOKUP($A470,'Выгр Кат'!$A:$R,N$1,0)</f>
        <v>1061</v>
      </c>
      <c r="O470" s="52">
        <f>VLOOKUP($A470,'Выгр Кат'!$A:$R,O$1,0)</f>
        <v>1590</v>
      </c>
      <c r="P470" s="47">
        <f t="shared" si="121"/>
        <v>0</v>
      </c>
      <c r="Q470" s="47">
        <f t="shared" si="122"/>
        <v>0</v>
      </c>
      <c r="R470" s="58">
        <f t="shared" si="123"/>
        <v>1590</v>
      </c>
      <c r="S470" s="59">
        <f t="shared" si="124"/>
        <v>0.49858623939679547</v>
      </c>
      <c r="T470" s="59">
        <f t="shared" si="125"/>
        <v>0</v>
      </c>
      <c r="U470" s="59">
        <f t="shared" si="126"/>
        <v>0.49858623939679547</v>
      </c>
      <c r="V470" s="42">
        <f t="shared" si="131"/>
        <v>1590</v>
      </c>
      <c r="W470" s="69">
        <f>IFERROR((VLOOKUP($A470,'Из ГУГЛа'!$B:$Z,W$1,0)+Y470)*X470,VLOOKUP($A470,'Из ГУГЛа'!$B:$Z,W$1,0))</f>
        <v>1590</v>
      </c>
      <c r="X470" s="61">
        <v>1</v>
      </c>
      <c r="Y470" s="61">
        <v>0</v>
      </c>
      <c r="Z470" s="70">
        <v>1590</v>
      </c>
      <c r="AA470" s="60" t="s">
        <v>1239</v>
      </c>
    </row>
    <row r="471" spans="1:27" ht="30" x14ac:dyDescent="0.25">
      <c r="A471" s="52">
        <v>186306</v>
      </c>
      <c r="B471" s="52">
        <f>VLOOKUP($A471,'Выгр Кат'!$A:$R,B$1,0)</f>
        <v>31098</v>
      </c>
      <c r="C471" s="53" t="str">
        <f>VLOOKUP($A471,'Выгр Кат'!$A:$R,C$1,0)</f>
        <v>Панель рамы ветрового окна "АвтоВАЗ" нижняя для Лада XRAY</v>
      </c>
      <c r="D471" s="52" t="str">
        <f>VLOOKUP($A471,'Выгр Кат'!$A:$R,D$1,0)</f>
        <v>Y</v>
      </c>
      <c r="E471" s="52" t="str">
        <f>VLOOKUP($A471,'Выгр Кат'!$A:$R,E$1,0)</f>
        <v>1</v>
      </c>
      <c r="F471" s="52" t="str">
        <f>VLOOKUP($A471,'Выгр Кат'!$A:$R,F$1,0)</f>
        <v>674123489R</v>
      </c>
      <c r="G471" s="52" t="str">
        <f>IF(VLOOKUP($A471,'Выгр Кат'!$A:$R,G$1,0)=0,"",VLOOKUP($A471,'Выгр Кат'!$A:$R,G$1,0))</f>
        <v>https://motorring.ru/product/36812-panely-ramy-vetrovogo-okna-nighnyaya-dlya-lada-iks-rey</v>
      </c>
      <c r="H471" s="52"/>
      <c r="I471" s="52"/>
      <c r="J471" s="54">
        <f t="shared" si="118"/>
        <v>7611</v>
      </c>
      <c r="K471" s="55">
        <f>VLOOKUP(J471,Наценка!$A$1:$B$8,2,1)</f>
        <v>1.35</v>
      </c>
      <c r="L471" s="56">
        <f t="shared" si="119"/>
        <v>10274.85</v>
      </c>
      <c r="M471" s="57">
        <f t="shared" si="120"/>
        <v>10290</v>
      </c>
      <c r="N471" s="52">
        <f>VLOOKUP($A471,'Выгр Кат'!$A:$R,N$1,0)</f>
        <v>7611</v>
      </c>
      <c r="O471" s="52">
        <f>VLOOKUP($A471,'Выгр Кат'!$A:$R,O$1,0)</f>
        <v>10690</v>
      </c>
      <c r="P471" s="47">
        <f t="shared" si="121"/>
        <v>0</v>
      </c>
      <c r="Q471" s="47">
        <f t="shared" si="122"/>
        <v>400</v>
      </c>
      <c r="R471" s="58">
        <f t="shared" si="123"/>
        <v>10290</v>
      </c>
      <c r="S471" s="59">
        <f t="shared" si="124"/>
        <v>0.35199054000788332</v>
      </c>
      <c r="T471" s="59">
        <f t="shared" si="125"/>
        <v>2.8328611898016998E-2</v>
      </c>
      <c r="U471" s="59">
        <f t="shared" si="126"/>
        <v>0.39140717382735524</v>
      </c>
      <c r="V471" s="42">
        <f t="shared" si="131"/>
        <v>10590</v>
      </c>
      <c r="W471" s="69">
        <f>IFERROR((VLOOKUP($A471,'Из ГУГЛа'!$B:$Z,W$1,0)+Y471)*X471,VLOOKUP($A471,'Из ГУГЛа'!$B:$Z,W$1,0))</f>
        <v>10590</v>
      </c>
      <c r="X471" s="61">
        <v>1</v>
      </c>
      <c r="Y471" s="61">
        <v>0</v>
      </c>
      <c r="Z471" s="70">
        <v>10590</v>
      </c>
      <c r="AA471" s="60" t="s">
        <v>1242</v>
      </c>
    </row>
    <row r="472" spans="1:27" ht="30" x14ac:dyDescent="0.25">
      <c r="A472" s="52">
        <v>186307</v>
      </c>
      <c r="B472" s="52">
        <f>VLOOKUP($A472,'Выгр Кат'!$A:$R,B$1,0)</f>
        <v>31283</v>
      </c>
      <c r="C472" s="53" t="str">
        <f>VLOOKUP($A472,'Выгр Кат'!$A:$R,C$1,0)</f>
        <v>Панель рамы ветрового окна нижняя "АвтоВАЗ" для Шевроле Нива</v>
      </c>
      <c r="D472" s="52" t="str">
        <f>VLOOKUP($A472,'Выгр Кат'!$A:$R,D$1,0)</f>
        <v>Y</v>
      </c>
      <c r="E472" s="52" t="str">
        <f>VLOOKUP($A472,'Выгр Кат'!$A:$R,E$1,0)</f>
        <v>1</v>
      </c>
      <c r="F472" s="52" t="str">
        <f>VLOOKUP($A472,'Выгр Кат'!$A:$R,F$1,0)</f>
        <v>21230520102000</v>
      </c>
      <c r="G472" s="52" t="str">
        <f>IF(VLOOKUP($A472,'Выгр Кат'!$A:$R,G$1,0)=0,"",VLOOKUP($A472,'Выгр Кат'!$A:$R,G$1,0))</f>
        <v>https://motorring.ru/product/6541-panely-ramki-vetrovogo-okna-nighnyaya-dlya-shevrole-niva</v>
      </c>
      <c r="H472" s="52"/>
      <c r="I472" s="52"/>
      <c r="J472" s="54">
        <f t="shared" si="118"/>
        <v>229</v>
      </c>
      <c r="K472" s="55">
        <f>VLOOKUP(J472,Наценка!$A$1:$B$8,2,1)</f>
        <v>1.8</v>
      </c>
      <c r="L472" s="56">
        <f t="shared" si="119"/>
        <v>412.2</v>
      </c>
      <c r="M472" s="57">
        <f t="shared" si="120"/>
        <v>419</v>
      </c>
      <c r="N472" s="52">
        <f>VLOOKUP($A472,'Выгр Кат'!$A:$R,N$1,0)</f>
        <v>229</v>
      </c>
      <c r="O472" s="52">
        <f>VLOOKUP($A472,'Выгр Кат'!$A:$R,O$1,0)</f>
        <v>419</v>
      </c>
      <c r="P472" s="47">
        <f t="shared" si="121"/>
        <v>0</v>
      </c>
      <c r="Q472" s="47">
        <f t="shared" si="122"/>
        <v>0</v>
      </c>
      <c r="R472" s="58">
        <f t="shared" si="123"/>
        <v>419</v>
      </c>
      <c r="S472" s="59">
        <f t="shared" si="124"/>
        <v>0.82969432314410474</v>
      </c>
      <c r="T472" s="59">
        <f t="shared" si="125"/>
        <v>0.67519379844961236</v>
      </c>
      <c r="U472" s="59">
        <f t="shared" si="126"/>
        <v>4.6331877729257638</v>
      </c>
      <c r="V472" s="42">
        <f t="shared" si="131"/>
        <v>1290</v>
      </c>
      <c r="W472" s="69">
        <f>IFERROR((VLOOKUP($A472,'Из ГУГЛа'!$B:$Z,W$1,0)+Y472)*X472,VLOOKUP($A472,'Из ГУГЛа'!$B:$Z,W$1,0))</f>
        <v>1290</v>
      </c>
      <c r="X472" s="61">
        <v>1</v>
      </c>
      <c r="Y472" s="61">
        <v>0</v>
      </c>
      <c r="Z472" s="70">
        <v>1290</v>
      </c>
      <c r="AA472" s="60" t="s">
        <v>1245</v>
      </c>
    </row>
    <row r="473" spans="1:27" ht="45" x14ac:dyDescent="0.25">
      <c r="A473" s="52">
        <v>186308</v>
      </c>
      <c r="B473" s="52">
        <f>VLOOKUP($A473,'Выгр Кат'!$A:$R,B$1,0)</f>
        <v>31177</v>
      </c>
      <c r="C473" s="53" t="str">
        <f>VLOOKUP($A473,'Выгр Кат'!$A:$R,C$1,0)</f>
        <v>Панель рамы ветрового окна нижняя в сборе (катафорез) "АвтоВАЗ" для Лада Веста</v>
      </c>
      <c r="D473" s="52" t="str">
        <f>VLOOKUP($A473,'Выгр Кат'!$A:$R,D$1,0)</f>
        <v>Y</v>
      </c>
      <c r="E473" s="52" t="str">
        <f>VLOOKUP($A473,'Выгр Кат'!$A:$R,E$1,0)</f>
        <v>1</v>
      </c>
      <c r="F473" s="52" t="str">
        <f>VLOOKUP($A473,'Выгр Кат'!$A:$R,F$1,0)</f>
        <v>8450039274</v>
      </c>
      <c r="G473" s="52" t="str">
        <f>IF(VLOOKUP($A473,'Выгр Кат'!$A:$R,G$1,0)=0,"",VLOOKUP($A473,'Выгр Кат'!$A:$R,G$1,0))</f>
        <v/>
      </c>
      <c r="H473" s="52"/>
      <c r="I473" s="52"/>
      <c r="J473" s="54">
        <f t="shared" si="118"/>
        <v>3252</v>
      </c>
      <c r="K473" s="55">
        <f>VLOOKUP(J473,Наценка!$A$1:$B$8,2,1)</f>
        <v>1.4</v>
      </c>
      <c r="L473" s="56">
        <f t="shared" si="119"/>
        <v>4552.7999999999993</v>
      </c>
      <c r="M473" s="57">
        <f t="shared" si="120"/>
        <v>4590</v>
      </c>
      <c r="N473" s="52">
        <f>VLOOKUP($A473,'Выгр Кат'!$A:$R,N$1,0)</f>
        <v>3252</v>
      </c>
      <c r="O473" s="52">
        <f>VLOOKUP($A473,'Выгр Кат'!$A:$R,O$1,0)</f>
        <v>4590</v>
      </c>
      <c r="P473" s="47">
        <f t="shared" si="121"/>
        <v>0</v>
      </c>
      <c r="Q473" s="47">
        <f t="shared" si="122"/>
        <v>0</v>
      </c>
      <c r="R473" s="58">
        <f t="shared" si="123"/>
        <v>4590</v>
      </c>
      <c r="S473" s="59">
        <f t="shared" si="124"/>
        <v>0.411439114391144</v>
      </c>
      <c r="T473" s="59" t="str">
        <f t="shared" si="125"/>
        <v/>
      </c>
      <c r="U473" s="59" t="str">
        <f t="shared" si="126"/>
        <v/>
      </c>
      <c r="V473" s="60"/>
      <c r="W473" s="69" t="str">
        <f>IFERROR((VLOOKUP($A473,'Из ГУГЛа'!$B:$Z,W$1,0)+Y473)*X473,VLOOKUP($A473,'Из ГУГЛа'!$B:$Z,W$1,0))</f>
        <v/>
      </c>
      <c r="X473" s="61">
        <v>1</v>
      </c>
      <c r="Y473" s="61">
        <v>0</v>
      </c>
      <c r="Z473" s="60" t="s">
        <v>4170</v>
      </c>
      <c r="AA473" s="60"/>
    </row>
    <row r="474" spans="1:27" ht="45" x14ac:dyDescent="0.25">
      <c r="A474" s="52">
        <v>186311</v>
      </c>
      <c r="B474" s="52">
        <f>VLOOKUP($A474,'Выгр Кат'!$A:$R,B$1,0)</f>
        <v>31070</v>
      </c>
      <c r="C474" s="53" t="str">
        <f>VLOOKUP($A474,'Выгр Кат'!$A:$R,C$1,0)</f>
        <v>Панель стойки проёма ветрового стекла внутренняя "Renault" левая для Лада Ларгус</v>
      </c>
      <c r="D474" s="52" t="str">
        <f>VLOOKUP($A474,'Выгр Кат'!$A:$R,D$1,0)</f>
        <v>Y</v>
      </c>
      <c r="E474" s="52" t="str">
        <f>VLOOKUP($A474,'Выгр Кат'!$A:$R,E$1,0)</f>
        <v>1</v>
      </c>
      <c r="F474" s="52" t="str">
        <f>VLOOKUP($A474,'Выгр Кат'!$A:$R,F$1,0)</f>
        <v>6001546768</v>
      </c>
      <c r="G474" s="52" t="str">
        <f>IF(VLOOKUP($A474,'Выгр Кат'!$A:$R,G$1,0)=0,"",VLOOKUP($A474,'Выгр Кат'!$A:$R,G$1,0))</f>
        <v/>
      </c>
      <c r="H474" s="52"/>
      <c r="I474" s="52"/>
      <c r="J474" s="54">
        <f t="shared" si="118"/>
        <v>8264</v>
      </c>
      <c r="K474" s="55">
        <f>VLOOKUP(J474,Наценка!$A$1:$B$8,2,1)</f>
        <v>1.35</v>
      </c>
      <c r="L474" s="56">
        <f t="shared" si="119"/>
        <v>11156.400000000001</v>
      </c>
      <c r="M474" s="57">
        <f t="shared" si="120"/>
        <v>11190</v>
      </c>
      <c r="N474" s="52">
        <f>VLOOKUP($A474,'Выгр Кат'!$A:$R,N$1,0)</f>
        <v>8264</v>
      </c>
      <c r="O474" s="52">
        <f>VLOOKUP($A474,'Выгр Кат'!$A:$R,O$1,0)</f>
        <v>11590</v>
      </c>
      <c r="P474" s="47">
        <f t="shared" si="121"/>
        <v>0</v>
      </c>
      <c r="Q474" s="47">
        <f t="shared" si="122"/>
        <v>400</v>
      </c>
      <c r="R474" s="58">
        <f t="shared" si="123"/>
        <v>11190</v>
      </c>
      <c r="S474" s="59">
        <f t="shared" si="124"/>
        <v>0.35406582768635042</v>
      </c>
      <c r="T474" s="59" t="str">
        <f t="shared" si="125"/>
        <v/>
      </c>
      <c r="U474" s="59" t="str">
        <f t="shared" si="126"/>
        <v/>
      </c>
      <c r="V474" s="60"/>
      <c r="W474" s="69" t="str">
        <f>IFERROR((VLOOKUP($A474,'Из ГУГЛа'!$B:$Z,W$1,0)+Y474)*X474,VLOOKUP($A474,'Из ГУГЛа'!$B:$Z,W$1,0))</f>
        <v/>
      </c>
      <c r="X474" s="61">
        <v>1</v>
      </c>
      <c r="Y474" s="61">
        <v>0</v>
      </c>
      <c r="Z474" s="60" t="s">
        <v>4170</v>
      </c>
      <c r="AA474" s="60"/>
    </row>
    <row r="475" spans="1:27" ht="45" x14ac:dyDescent="0.25">
      <c r="A475" s="52">
        <v>186312</v>
      </c>
      <c r="B475" s="52">
        <f>VLOOKUP($A475,'Выгр Кат'!$A:$R,B$1,0)</f>
        <v>31069</v>
      </c>
      <c r="C475" s="53" t="str">
        <f>VLOOKUP($A475,'Выгр Кат'!$A:$R,C$1,0)</f>
        <v>Панель стойки проёма ветрового стекла внутренняя "Renault" правая для Лада Ларгус</v>
      </c>
      <c r="D475" s="52" t="str">
        <f>VLOOKUP($A475,'Выгр Кат'!$A:$R,D$1,0)</f>
        <v>Y</v>
      </c>
      <c r="E475" s="52" t="str">
        <f>VLOOKUP($A475,'Выгр Кат'!$A:$R,E$1,0)</f>
        <v>1</v>
      </c>
      <c r="F475" s="52" t="str">
        <f>VLOOKUP($A475,'Выгр Кат'!$A:$R,F$1,0)</f>
        <v>6001546769</v>
      </c>
      <c r="G475" s="52" t="str">
        <f>IF(VLOOKUP($A475,'Выгр Кат'!$A:$R,G$1,0)=0,"",VLOOKUP($A475,'Выгр Кат'!$A:$R,G$1,0))</f>
        <v/>
      </c>
      <c r="H475" s="52"/>
      <c r="I475" s="52"/>
      <c r="J475" s="54">
        <f t="shared" si="118"/>
        <v>10473</v>
      </c>
      <c r="K475" s="55">
        <f>VLOOKUP(J475,Наценка!$A$1:$B$8,2,1)</f>
        <v>1.3</v>
      </c>
      <c r="L475" s="56">
        <f t="shared" si="119"/>
        <v>13614.9</v>
      </c>
      <c r="M475" s="57">
        <f t="shared" si="120"/>
        <v>13690</v>
      </c>
      <c r="N475" s="52">
        <f>VLOOKUP($A475,'Выгр Кат'!$A:$R,N$1,0)</f>
        <v>10473</v>
      </c>
      <c r="O475" s="52">
        <f>VLOOKUP($A475,'Выгр Кат'!$A:$R,O$1,0)</f>
        <v>14690</v>
      </c>
      <c r="P475" s="47">
        <f t="shared" si="121"/>
        <v>0</v>
      </c>
      <c r="Q475" s="47">
        <f t="shared" si="122"/>
        <v>1000</v>
      </c>
      <c r="R475" s="58">
        <f t="shared" si="123"/>
        <v>13690</v>
      </c>
      <c r="S475" s="59">
        <f t="shared" si="124"/>
        <v>0.30717082020433506</v>
      </c>
      <c r="T475" s="59" t="str">
        <f t="shared" si="125"/>
        <v/>
      </c>
      <c r="U475" s="59" t="str">
        <f t="shared" si="126"/>
        <v/>
      </c>
      <c r="V475" s="60"/>
      <c r="W475" s="69" t="str">
        <f>IFERROR((VLOOKUP($A475,'Из ГУГЛа'!$B:$Z,W$1,0)+Y475)*X475,VLOOKUP($A475,'Из ГУГЛа'!$B:$Z,W$1,0))</f>
        <v/>
      </c>
      <c r="X475" s="61">
        <v>1</v>
      </c>
      <c r="Y475" s="61">
        <v>0</v>
      </c>
      <c r="Z475" s="60" t="s">
        <v>4170</v>
      </c>
      <c r="AA475" s="60"/>
    </row>
    <row r="476" spans="1:27" ht="45" x14ac:dyDescent="0.25">
      <c r="A476" s="52">
        <v>186315</v>
      </c>
      <c r="B476" s="52">
        <f>VLOOKUP($A476,'Выгр Кат'!$A:$R,B$1,0)</f>
        <v>31096</v>
      </c>
      <c r="C476" s="53" t="str">
        <f>VLOOKUP($A476,'Выгр Кат'!$A:$R,C$1,0)</f>
        <v>Панель центральная заднего пола (ниша запасного колеса) "АвтоВАЗ" для Лада XRAY</v>
      </c>
      <c r="D476" s="52" t="str">
        <f>VLOOKUP($A476,'Выгр Кат'!$A:$R,D$1,0)</f>
        <v>Y</v>
      </c>
      <c r="E476" s="52" t="str">
        <f>VLOOKUP($A476,'Выгр Кат'!$A:$R,E$1,0)</f>
        <v>1</v>
      </c>
      <c r="F476" s="52" t="str">
        <f>VLOOKUP($A476,'Выгр Кат'!$A:$R,F$1,0)</f>
        <v>745141235R</v>
      </c>
      <c r="G476" s="52" t="str">
        <f>IF(VLOOKUP($A476,'Выгр Кат'!$A:$R,G$1,0)=0,"",VLOOKUP($A476,'Выгр Кат'!$A:$R,G$1,0))</f>
        <v>https://motorring.ru/product/36810-pol-zapasnogo-kolesa-tazik-dlya-lada-iks-rey-iks-rey-kross</v>
      </c>
      <c r="H476" s="52"/>
      <c r="I476" s="52"/>
      <c r="J476" s="54">
        <f t="shared" si="118"/>
        <v>5606</v>
      </c>
      <c r="K476" s="55">
        <f>VLOOKUP(J476,Наценка!$A$1:$B$8,2,1)</f>
        <v>1.35</v>
      </c>
      <c r="L476" s="56">
        <f t="shared" si="119"/>
        <v>7568.1</v>
      </c>
      <c r="M476" s="57">
        <f t="shared" si="120"/>
        <v>7590</v>
      </c>
      <c r="N476" s="52">
        <f>VLOOKUP($A476,'Выгр Кат'!$A:$R,N$1,0)</f>
        <v>5606</v>
      </c>
      <c r="O476" s="52">
        <f>VLOOKUP($A476,'Выгр Кат'!$A:$R,O$1,0)</f>
        <v>7890</v>
      </c>
      <c r="P476" s="47">
        <f t="shared" si="121"/>
        <v>0</v>
      </c>
      <c r="Q476" s="47">
        <f t="shared" si="122"/>
        <v>300</v>
      </c>
      <c r="R476" s="58">
        <f t="shared" si="123"/>
        <v>7590</v>
      </c>
      <c r="S476" s="59">
        <f t="shared" si="124"/>
        <v>0.35390652871922934</v>
      </c>
      <c r="T476" s="59">
        <f t="shared" si="125"/>
        <v>-5.5632823365785816E-2</v>
      </c>
      <c r="U476" s="59">
        <f t="shared" si="126"/>
        <v>0.28255440599357828</v>
      </c>
      <c r="V476" s="42">
        <f t="shared" ref="V476:V477" si="132">Z476</f>
        <v>7190</v>
      </c>
      <c r="W476" s="69">
        <f>IFERROR((VLOOKUP($A476,'Из ГУГЛа'!$B:$Z,W$1,0)+Y476)*X476,VLOOKUP($A476,'Из ГУГЛа'!$B:$Z,W$1,0))</f>
        <v>7190</v>
      </c>
      <c r="X476" s="61">
        <v>1</v>
      </c>
      <c r="Y476" s="61">
        <v>0</v>
      </c>
      <c r="Z476" s="70">
        <v>7190</v>
      </c>
      <c r="AA476" s="60" t="s">
        <v>1254</v>
      </c>
    </row>
    <row r="477" spans="1:27" ht="45" x14ac:dyDescent="0.25">
      <c r="A477" s="52">
        <v>193348</v>
      </c>
      <c r="B477" s="52">
        <f>VLOOKUP($A477,'Выгр Кат'!$A:$R,B$1,0)</f>
        <v>31398</v>
      </c>
      <c r="C477" s="53" t="str">
        <f>VLOOKUP($A477,'Выгр Кат'!$A:$R,C$1,0)</f>
        <v>Передний левый брызговик крыла "АвтоВАЗ" катафорезное покрытие для ВАЗ 2110-2112, Лада Приора седан</v>
      </c>
      <c r="D477" s="52" t="str">
        <f>VLOOKUP($A477,'Выгр Кат'!$A:$R,D$1,0)</f>
        <v>Y</v>
      </c>
      <c r="E477" s="52" t="str">
        <f>VLOOKUP($A477,'Выгр Кат'!$A:$R,E$1,0)</f>
        <v>1</v>
      </c>
      <c r="F477" s="52" t="str">
        <f>VLOOKUP($A477,'Выгр Кат'!$A:$R,F$1,0)</f>
        <v>21100840326510</v>
      </c>
      <c r="G477" s="52" t="str">
        <f>IF(VLOOKUP($A477,'Выгр Кат'!$A:$R,G$1,0)=0,"",VLOOKUP($A477,'Выгр Кат'!$A:$R,G$1,0))</f>
        <v>https://motorring.ru/product/25103-bryzgovik-kryla-perednego-levogo-kataforez-2110</v>
      </c>
      <c r="H477" s="52"/>
      <c r="I477" s="52"/>
      <c r="J477" s="54">
        <f t="shared" si="118"/>
        <v>3550</v>
      </c>
      <c r="K477" s="55">
        <f>VLOOKUP(J477,Наценка!$A$1:$B$8,2,1)</f>
        <v>1.4</v>
      </c>
      <c r="L477" s="56">
        <f t="shared" si="119"/>
        <v>4970</v>
      </c>
      <c r="M477" s="57">
        <f t="shared" si="120"/>
        <v>4990</v>
      </c>
      <c r="N477" s="52">
        <f>VLOOKUP($A477,'Выгр Кат'!$A:$R,N$1,0)</f>
        <v>3550</v>
      </c>
      <c r="O477" s="52">
        <f>VLOOKUP($A477,'Выгр Кат'!$A:$R,O$1,0)</f>
        <v>4990</v>
      </c>
      <c r="P477" s="47">
        <f t="shared" si="121"/>
        <v>0</v>
      </c>
      <c r="Q477" s="47">
        <f t="shared" si="122"/>
        <v>0</v>
      </c>
      <c r="R477" s="58">
        <f t="shared" si="123"/>
        <v>4990</v>
      </c>
      <c r="S477" s="59">
        <f t="shared" si="124"/>
        <v>0.40563380281690131</v>
      </c>
      <c r="T477" s="59">
        <f t="shared" si="125"/>
        <v>-6.3965884861407252E-2</v>
      </c>
      <c r="U477" s="59">
        <f t="shared" si="126"/>
        <v>0.3211267605633803</v>
      </c>
      <c r="V477" s="42">
        <f t="shared" si="132"/>
        <v>4690</v>
      </c>
      <c r="W477" s="69">
        <f>IFERROR((VLOOKUP($A477,'Из ГУГЛа'!$B:$Z,W$1,0)+Y477)*X477,VLOOKUP($A477,'Из ГУГЛа'!$B:$Z,W$1,0))</f>
        <v>4690</v>
      </c>
      <c r="X477" s="61">
        <v>1</v>
      </c>
      <c r="Y477" s="61">
        <v>0</v>
      </c>
      <c r="Z477" s="70">
        <v>4690</v>
      </c>
      <c r="AA477" s="60" t="s">
        <v>1257</v>
      </c>
    </row>
    <row r="478" spans="1:27" ht="45" x14ac:dyDescent="0.25">
      <c r="A478" s="52">
        <v>193353</v>
      </c>
      <c r="B478" s="52">
        <f>VLOOKUP($A478,'Выгр Кат'!$A:$R,B$1,0)</f>
        <v>29426</v>
      </c>
      <c r="C478" s="53" t="str">
        <f>VLOOKUP($A478,'Выгр Кат'!$A:$R,C$1,0)</f>
        <v>Передний правый брызговик крыла "АвтоВАЗ" катафорезное покрытие для ВАЗ 2110-2112, Лада Приора седан</v>
      </c>
      <c r="D478" s="52" t="str">
        <f>VLOOKUP($A478,'Выгр Кат'!$A:$R,D$1,0)</f>
        <v>Y</v>
      </c>
      <c r="E478" s="52" t="str">
        <f>VLOOKUP($A478,'Выгр Кат'!$A:$R,E$1,0)</f>
        <v>0</v>
      </c>
      <c r="F478" s="52" t="str">
        <f>VLOOKUP($A478,'Выгр Кат'!$A:$R,F$1,0)</f>
        <v>21100840326010</v>
      </c>
      <c r="G478" s="52" t="str">
        <f>IF(VLOOKUP($A478,'Выгр Кат'!$A:$R,G$1,0)=0,"",VLOOKUP($A478,'Выгр Кат'!$A:$R,G$1,0))</f>
        <v/>
      </c>
      <c r="H478" s="52"/>
      <c r="I478" s="52"/>
      <c r="J478" s="54">
        <f t="shared" si="118"/>
        <v>3100</v>
      </c>
      <c r="K478" s="55">
        <f>VLOOKUP(J478,Наценка!$A$1:$B$8,2,1)</f>
        <v>1.4</v>
      </c>
      <c r="L478" s="56">
        <f t="shared" si="119"/>
        <v>4340</v>
      </c>
      <c r="M478" s="57">
        <f t="shared" si="120"/>
        <v>4390</v>
      </c>
      <c r="N478" s="52">
        <f>VLOOKUP($A478,'Выгр Кат'!$A:$R,N$1,0)</f>
        <v>3100</v>
      </c>
      <c r="O478" s="52">
        <f>VLOOKUP($A478,'Выгр Кат'!$A:$R,O$1,0)</f>
        <v>4390</v>
      </c>
      <c r="P478" s="47">
        <f t="shared" si="121"/>
        <v>0</v>
      </c>
      <c r="Q478" s="47">
        <f t="shared" si="122"/>
        <v>0</v>
      </c>
      <c r="R478" s="58">
        <f t="shared" si="123"/>
        <v>4390</v>
      </c>
      <c r="S478" s="59">
        <f t="shared" si="124"/>
        <v>0.41612903225806441</v>
      </c>
      <c r="T478" s="59" t="str">
        <f t="shared" si="125"/>
        <v/>
      </c>
      <c r="U478" s="59" t="str">
        <f t="shared" si="126"/>
        <v/>
      </c>
      <c r="V478" s="60"/>
      <c r="W478" s="69" t="str">
        <f>IFERROR((VLOOKUP($A478,'Из ГУГЛа'!$B:$Z,W$1,0)+Y478)*X478,VLOOKUP($A478,'Из ГУГЛа'!$B:$Z,W$1,0))</f>
        <v/>
      </c>
      <c r="X478" s="61">
        <v>1</v>
      </c>
      <c r="Y478" s="61">
        <v>0</v>
      </c>
      <c r="Z478" s="76" t="s">
        <v>4285</v>
      </c>
      <c r="AA478" s="60"/>
    </row>
    <row r="479" spans="1:27" ht="30" x14ac:dyDescent="0.25">
      <c r="A479" s="52">
        <v>193626</v>
      </c>
      <c r="B479" s="52">
        <f>VLOOKUP($A479,'Выгр Кат'!$A:$R,B$1,0)</f>
        <v>19421</v>
      </c>
      <c r="C479" s="53" t="str">
        <f>VLOOKUP($A479,'Выгр Кат'!$A:$R,C$1,0)</f>
        <v>Петля двери верхняя / нижняя для ВАЗ 2101-07 (2 шт)</v>
      </c>
      <c r="D479" s="52" t="str">
        <f>VLOOKUP($A479,'Выгр Кат'!$A:$R,D$1,0)</f>
        <v>Y</v>
      </c>
      <c r="E479" s="52" t="str">
        <f>VLOOKUP($A479,'Выгр Кат'!$A:$R,E$1,0)</f>
        <v>0</v>
      </c>
      <c r="F479" s="52" t="str">
        <f>VLOOKUP($A479,'Выгр Кат'!$A:$R,F$1,0)</f>
        <v>210505401180, 210505401181</v>
      </c>
      <c r="G479" s="52" t="str">
        <f>IF(VLOOKUP($A479,'Выгр Кат'!$A:$R,G$1,0)=0,"",VLOOKUP($A479,'Выгр Кат'!$A:$R,G$1,0))</f>
        <v/>
      </c>
      <c r="H479" s="52"/>
      <c r="I479" s="52"/>
      <c r="J479" s="54">
        <f t="shared" si="118"/>
        <v>0</v>
      </c>
      <c r="K479" s="55" t="e">
        <f>VLOOKUP(J479,Наценка!$A$1:$B$8,2,1)</f>
        <v>#N/A</v>
      </c>
      <c r="L479" s="56" t="e">
        <f t="shared" si="119"/>
        <v>#N/A</v>
      </c>
      <c r="M479" s="57" t="e">
        <f t="shared" si="120"/>
        <v>#N/A</v>
      </c>
      <c r="N479" s="52">
        <f>VLOOKUP($A479,'Выгр Кат'!$A:$R,N$1,0)</f>
        <v>0</v>
      </c>
      <c r="O479" s="52">
        <f>VLOOKUP($A479,'Выгр Кат'!$A:$R,O$1,0)</f>
        <v>0</v>
      </c>
      <c r="P479" s="47">
        <f t="shared" si="121"/>
        <v>0</v>
      </c>
      <c r="Q479" s="47" t="e">
        <f t="shared" si="122"/>
        <v>#N/A</v>
      </c>
      <c r="R479" s="58" t="str">
        <f t="shared" si="123"/>
        <v/>
      </c>
      <c r="S479" s="59" t="str">
        <f t="shared" si="124"/>
        <v/>
      </c>
      <c r="T479" s="59" t="str">
        <f t="shared" si="125"/>
        <v/>
      </c>
      <c r="U479" s="59" t="str">
        <f t="shared" si="126"/>
        <v/>
      </c>
      <c r="V479" s="60"/>
      <c r="W479" s="69" t="str">
        <f>IFERROR((VLOOKUP($A479,'Из ГУГЛа'!$B:$Z,W$1,0)+Y479)*X479,VLOOKUP($A479,'Из ГУГЛа'!$B:$Z,W$1,0))</f>
        <v/>
      </c>
      <c r="X479" s="61">
        <v>1</v>
      </c>
      <c r="Y479" s="61">
        <v>0</v>
      </c>
      <c r="Z479" s="76" t="s">
        <v>4285</v>
      </c>
      <c r="AA479" s="60"/>
    </row>
    <row r="480" spans="1:27" ht="30" x14ac:dyDescent="0.25">
      <c r="A480" s="52">
        <v>193627</v>
      </c>
      <c r="B480" s="52">
        <f>VLOOKUP($A480,'Выгр Кат'!$A:$R,B$1,0)</f>
        <v>23525</v>
      </c>
      <c r="C480" s="53" t="str">
        <f>VLOOKUP($A480,'Выгр Кат'!$A:$R,C$1,0)</f>
        <v>Петля двери задка "ДААЗ" (левая) для ВАЗ 2111</v>
      </c>
      <c r="D480" s="52" t="str">
        <f>VLOOKUP($A480,'Выгр Кат'!$A:$R,D$1,0)</f>
        <v>Y</v>
      </c>
      <c r="E480" s="52" t="str">
        <f>VLOOKUP($A480,'Выгр Кат'!$A:$R,E$1,0)</f>
        <v>1</v>
      </c>
      <c r="F480" s="52" t="str">
        <f>VLOOKUP($A480,'Выгр Кат'!$A:$R,F$1,0)</f>
        <v>21110630601101</v>
      </c>
      <c r="G480" s="52" t="str">
        <f>IF(VLOOKUP($A480,'Выгр Кат'!$A:$R,G$1,0)=0,"",VLOOKUP($A480,'Выгр Кат'!$A:$R,G$1,0))</f>
        <v>https://motorring.ru/product/1254</v>
      </c>
      <c r="H480" s="52"/>
      <c r="I480" s="52"/>
      <c r="J480" s="54">
        <f t="shared" si="118"/>
        <v>318</v>
      </c>
      <c r="K480" s="55">
        <f>VLOOKUP(J480,Наценка!$A$1:$B$8,2,1)</f>
        <v>1.6</v>
      </c>
      <c r="L480" s="56">
        <f t="shared" si="119"/>
        <v>508.8</v>
      </c>
      <c r="M480" s="57">
        <f t="shared" si="120"/>
        <v>509</v>
      </c>
      <c r="N480" s="52">
        <f>VLOOKUP($A480,'Выгр Кат'!$A:$R,N$1,0)</f>
        <v>318</v>
      </c>
      <c r="O480" s="52">
        <f>VLOOKUP($A480,'Выгр Кат'!$A:$R,O$1,0)</f>
        <v>509</v>
      </c>
      <c r="P480" s="47">
        <f t="shared" si="121"/>
        <v>0</v>
      </c>
      <c r="Q480" s="47">
        <f t="shared" si="122"/>
        <v>0</v>
      </c>
      <c r="R480" s="58">
        <f t="shared" si="123"/>
        <v>509</v>
      </c>
      <c r="S480" s="59">
        <f t="shared" si="124"/>
        <v>0.60062893081761004</v>
      </c>
      <c r="T480" s="59">
        <f t="shared" si="125"/>
        <v>3.780718336483932E-2</v>
      </c>
      <c r="U480" s="59">
        <f t="shared" si="126"/>
        <v>0.66352201257861632</v>
      </c>
      <c r="V480" s="42">
        <f t="shared" ref="V480:V483" si="133">Z480</f>
        <v>529</v>
      </c>
      <c r="W480" s="69">
        <f>IFERROR((VLOOKUP($A480,'Из ГУГЛа'!$B:$Z,W$1,0)+Y480)*X480,VLOOKUP($A480,'Из ГУГЛа'!$B:$Z,W$1,0))</f>
        <v>529</v>
      </c>
      <c r="X480" s="61">
        <v>1</v>
      </c>
      <c r="Y480" s="61">
        <v>0</v>
      </c>
      <c r="Z480" s="70">
        <v>529</v>
      </c>
      <c r="AA480" s="60" t="s">
        <v>1265</v>
      </c>
    </row>
    <row r="481" spans="1:27" ht="30" x14ac:dyDescent="0.25">
      <c r="A481" s="52">
        <v>193628</v>
      </c>
      <c r="B481" s="52">
        <f>VLOOKUP($A481,'Выгр Кат'!$A:$R,B$1,0)</f>
        <v>23526</v>
      </c>
      <c r="C481" s="53" t="str">
        <f>VLOOKUP($A481,'Выгр Кат'!$A:$R,C$1,0)</f>
        <v>Петля двери задка "ДААЗ" (правая) для ВАЗ 2111</v>
      </c>
      <c r="D481" s="52" t="str">
        <f>VLOOKUP($A481,'Выгр Кат'!$A:$R,D$1,0)</f>
        <v>Y</v>
      </c>
      <c r="E481" s="52" t="str">
        <f>VLOOKUP($A481,'Выгр Кат'!$A:$R,E$1,0)</f>
        <v>1</v>
      </c>
      <c r="F481" s="52" t="str">
        <f>VLOOKUP($A481,'Выгр Кат'!$A:$R,F$1,0)</f>
        <v>21110630601001</v>
      </c>
      <c r="G481" s="52" t="str">
        <f>IF(VLOOKUP($A481,'Выгр Кат'!$A:$R,G$1,0)=0,"",VLOOKUP($A481,'Выгр Кат'!$A:$R,G$1,0))</f>
        <v>https://motorring.ru/product/1259</v>
      </c>
      <c r="H481" s="52"/>
      <c r="I481" s="52"/>
      <c r="J481" s="54">
        <f t="shared" si="118"/>
        <v>318</v>
      </c>
      <c r="K481" s="55">
        <f>VLOOKUP(J481,Наценка!$A$1:$B$8,2,1)</f>
        <v>1.6</v>
      </c>
      <c r="L481" s="56">
        <f t="shared" si="119"/>
        <v>508.8</v>
      </c>
      <c r="M481" s="57">
        <f t="shared" si="120"/>
        <v>509</v>
      </c>
      <c r="N481" s="52">
        <f>VLOOKUP($A481,'Выгр Кат'!$A:$R,N$1,0)</f>
        <v>318</v>
      </c>
      <c r="O481" s="52">
        <f>VLOOKUP($A481,'Выгр Кат'!$A:$R,O$1,0)</f>
        <v>509</v>
      </c>
      <c r="P481" s="47">
        <f t="shared" si="121"/>
        <v>0</v>
      </c>
      <c r="Q481" s="47">
        <f t="shared" si="122"/>
        <v>0</v>
      </c>
      <c r="R481" s="58">
        <f t="shared" si="123"/>
        <v>509</v>
      </c>
      <c r="S481" s="59">
        <f t="shared" si="124"/>
        <v>0.60062893081761004</v>
      </c>
      <c r="T481" s="59">
        <f t="shared" si="125"/>
        <v>3.780718336483932E-2</v>
      </c>
      <c r="U481" s="59">
        <f t="shared" si="126"/>
        <v>0.66352201257861632</v>
      </c>
      <c r="V481" s="42">
        <f t="shared" si="133"/>
        <v>529</v>
      </c>
      <c r="W481" s="69">
        <f>IFERROR((VLOOKUP($A481,'Из ГУГЛа'!$B:$Z,W$1,0)+Y481)*X481,VLOOKUP($A481,'Из ГУГЛа'!$B:$Z,W$1,0))</f>
        <v>529</v>
      </c>
      <c r="X481" s="61">
        <v>1</v>
      </c>
      <c r="Y481" s="61">
        <v>0</v>
      </c>
      <c r="Z481" s="70">
        <v>529</v>
      </c>
      <c r="AA481" s="60" t="s">
        <v>1268</v>
      </c>
    </row>
    <row r="482" spans="1:27" ht="30" x14ac:dyDescent="0.25">
      <c r="A482" s="52">
        <v>193630</v>
      </c>
      <c r="B482" s="52">
        <f>VLOOKUP($A482,'Выгр Кат'!$A:$R,B$1,0)</f>
        <v>32669</v>
      </c>
      <c r="C482" s="53" t="str">
        <f>VLOOKUP($A482,'Выгр Кат'!$A:$R,C$1,0)</f>
        <v>Петля задней двери "АвтоВАЗ" верхняя левая для Шевроле Нива</v>
      </c>
      <c r="D482" s="52" t="str">
        <f>VLOOKUP($A482,'Выгр Кат'!$A:$R,D$1,0)</f>
        <v>Y</v>
      </c>
      <c r="E482" s="52" t="str">
        <f>VLOOKUP($A482,'Выгр Кат'!$A:$R,E$1,0)</f>
        <v>1</v>
      </c>
      <c r="F482" s="52" t="str">
        <f>VLOOKUP($A482,'Выгр Кат'!$A:$R,F$1,0)</f>
        <v>21230620600910</v>
      </c>
      <c r="G482" s="52" t="str">
        <f>IF(VLOOKUP($A482,'Выгр Кат'!$A:$R,G$1,0)=0,"",VLOOKUP($A482,'Выгр Кат'!$A:$R,G$1,0))</f>
        <v>https://motorring.ru/product/37055-petlya-zadney-dveri-verhnyaya-levaya-shevrole-niva</v>
      </c>
      <c r="H482" s="52"/>
      <c r="I482" s="52"/>
      <c r="J482" s="54">
        <f t="shared" si="118"/>
        <v>166</v>
      </c>
      <c r="K482" s="55">
        <f>VLOOKUP(J482,Наценка!$A$1:$B$8,2,1)</f>
        <v>1.8</v>
      </c>
      <c r="L482" s="56">
        <f t="shared" si="119"/>
        <v>298.8</v>
      </c>
      <c r="M482" s="57">
        <f t="shared" si="120"/>
        <v>299</v>
      </c>
      <c r="N482" s="52">
        <f>VLOOKUP($A482,'Выгр Кат'!$A:$R,N$1,0)</f>
        <v>166</v>
      </c>
      <c r="O482" s="52">
        <f>VLOOKUP($A482,'Выгр Кат'!$A:$R,O$1,0)</f>
        <v>299</v>
      </c>
      <c r="P482" s="47">
        <f t="shared" si="121"/>
        <v>0</v>
      </c>
      <c r="Q482" s="47">
        <f t="shared" si="122"/>
        <v>0</v>
      </c>
      <c r="R482" s="58">
        <f t="shared" si="123"/>
        <v>299</v>
      </c>
      <c r="S482" s="59">
        <f t="shared" si="124"/>
        <v>0.8012048192771084</v>
      </c>
      <c r="T482" s="59">
        <f t="shared" si="125"/>
        <v>0.33407572383073497</v>
      </c>
      <c r="U482" s="59">
        <f t="shared" si="126"/>
        <v>1.7048192771084336</v>
      </c>
      <c r="V482" s="42">
        <f t="shared" si="133"/>
        <v>449</v>
      </c>
      <c r="W482" s="69">
        <f>IFERROR((VLOOKUP($A482,'Из ГУГЛа'!$B:$Z,W$1,0)+Y482)*X482,VLOOKUP($A482,'Из ГУГЛа'!$B:$Z,W$1,0))</f>
        <v>449</v>
      </c>
      <c r="X482" s="61">
        <v>1</v>
      </c>
      <c r="Y482" s="61">
        <v>0</v>
      </c>
      <c r="Z482" s="70">
        <v>449</v>
      </c>
      <c r="AA482" s="60" t="s">
        <v>1271</v>
      </c>
    </row>
    <row r="483" spans="1:27" ht="30" x14ac:dyDescent="0.25">
      <c r="A483" s="52">
        <v>193631</v>
      </c>
      <c r="B483" s="52">
        <f>VLOOKUP($A483,'Выгр Кат'!$A:$R,B$1,0)</f>
        <v>32667</v>
      </c>
      <c r="C483" s="53" t="str">
        <f>VLOOKUP($A483,'Выгр Кат'!$A:$R,C$1,0)</f>
        <v>Петля задней двери "АвтоВАЗ" верхняя правая для Шевроле Нива</v>
      </c>
      <c r="D483" s="52" t="str">
        <f>VLOOKUP($A483,'Выгр Кат'!$A:$R,D$1,0)</f>
        <v>Y</v>
      </c>
      <c r="E483" s="52" t="str">
        <f>VLOOKUP($A483,'Выгр Кат'!$A:$R,E$1,0)</f>
        <v>1</v>
      </c>
      <c r="F483" s="52" t="str">
        <f>VLOOKUP($A483,'Выгр Кат'!$A:$R,F$1,0)</f>
        <v>21230620600810</v>
      </c>
      <c r="G483" s="52" t="str">
        <f>IF(VLOOKUP($A483,'Выгр Кат'!$A:$R,G$1,0)=0,"",VLOOKUP($A483,'Выгр Кат'!$A:$R,G$1,0))</f>
        <v>https://motorring.ru/product/8796</v>
      </c>
      <c r="H483" s="52"/>
      <c r="I483" s="52"/>
      <c r="J483" s="54">
        <f t="shared" si="118"/>
        <v>151</v>
      </c>
      <c r="K483" s="55">
        <f>VLOOKUP(J483,Наценка!$A$1:$B$8,2,1)</f>
        <v>1.8</v>
      </c>
      <c r="L483" s="56">
        <f t="shared" si="119"/>
        <v>271.8</v>
      </c>
      <c r="M483" s="57">
        <f t="shared" si="120"/>
        <v>279</v>
      </c>
      <c r="N483" s="52">
        <f>VLOOKUP($A483,'Выгр Кат'!$A:$R,N$1,0)</f>
        <v>151</v>
      </c>
      <c r="O483" s="52">
        <f>VLOOKUP($A483,'Выгр Кат'!$A:$R,O$1,0)</f>
        <v>279</v>
      </c>
      <c r="P483" s="47">
        <f t="shared" si="121"/>
        <v>0</v>
      </c>
      <c r="Q483" s="47">
        <f t="shared" si="122"/>
        <v>0</v>
      </c>
      <c r="R483" s="58">
        <f t="shared" si="123"/>
        <v>279</v>
      </c>
      <c r="S483" s="59">
        <f t="shared" si="124"/>
        <v>0.84768211920529812</v>
      </c>
      <c r="T483" s="59">
        <f t="shared" si="125"/>
        <v>0.37861915367483295</v>
      </c>
      <c r="U483" s="59">
        <f t="shared" si="126"/>
        <v>1.9735099337748343</v>
      </c>
      <c r="V483" s="42">
        <f t="shared" si="133"/>
        <v>449</v>
      </c>
      <c r="W483" s="69">
        <f>IFERROR((VLOOKUP($A483,'Из ГУГЛа'!$B:$Z,W$1,0)+Y483)*X483,VLOOKUP($A483,'Из ГУГЛа'!$B:$Z,W$1,0))</f>
        <v>449</v>
      </c>
      <c r="X483" s="61">
        <v>1</v>
      </c>
      <c r="Y483" s="61">
        <v>0</v>
      </c>
      <c r="Z483" s="70">
        <v>449</v>
      </c>
      <c r="AA483" s="60" t="s">
        <v>1274</v>
      </c>
    </row>
    <row r="484" spans="1:27" ht="30" x14ac:dyDescent="0.25">
      <c r="A484" s="52">
        <v>193632</v>
      </c>
      <c r="B484" s="52">
        <f>VLOOKUP($A484,'Выгр Кат'!$A:$R,B$1,0)</f>
        <v>31068</v>
      </c>
      <c r="C484" s="53" t="str">
        <f>VLOOKUP($A484,'Выгр Кат'!$A:$R,C$1,0)</f>
        <v>Петля капота "Renault" левая для Лада Ларгус</v>
      </c>
      <c r="D484" s="52" t="str">
        <f>VLOOKUP($A484,'Выгр Кат'!$A:$R,D$1,0)</f>
        <v>Y</v>
      </c>
      <c r="E484" s="52" t="str">
        <f>VLOOKUP($A484,'Выгр Кат'!$A:$R,E$1,0)</f>
        <v>1</v>
      </c>
      <c r="F484" s="52" t="str">
        <f>VLOOKUP($A484,'Выгр Кат'!$A:$R,F$1,0)</f>
        <v>6001546875</v>
      </c>
      <c r="G484" s="52" t="str">
        <f>IF(VLOOKUP($A484,'Выгр Кат'!$A:$R,G$1,0)=0,"",VLOOKUP($A484,'Выгр Кат'!$A:$R,G$1,0))</f>
        <v/>
      </c>
      <c r="H484" s="52"/>
      <c r="I484" s="52"/>
      <c r="J484" s="54">
        <f t="shared" si="118"/>
        <v>1004</v>
      </c>
      <c r="K484" s="55">
        <f>VLOOKUP(J484,Наценка!$A$1:$B$8,2,1)</f>
        <v>1.5</v>
      </c>
      <c r="L484" s="56">
        <f t="shared" si="119"/>
        <v>1506</v>
      </c>
      <c r="M484" s="57">
        <f t="shared" si="120"/>
        <v>1590</v>
      </c>
      <c r="N484" s="52">
        <f>VLOOKUP($A484,'Выгр Кат'!$A:$R,N$1,0)</f>
        <v>1004</v>
      </c>
      <c r="O484" s="52">
        <f>VLOOKUP($A484,'Выгр Кат'!$A:$R,O$1,0)</f>
        <v>1590</v>
      </c>
      <c r="P484" s="47">
        <f t="shared" si="121"/>
        <v>0</v>
      </c>
      <c r="Q484" s="47">
        <f t="shared" si="122"/>
        <v>0</v>
      </c>
      <c r="R484" s="58">
        <f t="shared" si="123"/>
        <v>1590</v>
      </c>
      <c r="S484" s="59">
        <f t="shared" si="124"/>
        <v>0.58366533864541825</v>
      </c>
      <c r="T484" s="59" t="str">
        <f t="shared" si="125"/>
        <v/>
      </c>
      <c r="U484" s="59" t="str">
        <f t="shared" si="126"/>
        <v/>
      </c>
      <c r="V484" s="60"/>
      <c r="W484" s="69" t="str">
        <f>IFERROR((VLOOKUP($A484,'Из ГУГЛа'!$B:$Z,W$1,0)+Y484)*X484,VLOOKUP($A484,'Из ГУГЛа'!$B:$Z,W$1,0))</f>
        <v/>
      </c>
      <c r="X484" s="61">
        <v>1</v>
      </c>
      <c r="Y484" s="61">
        <v>0</v>
      </c>
      <c r="Z484" s="60" t="s">
        <v>4170</v>
      </c>
      <c r="AA484" s="60"/>
    </row>
    <row r="485" spans="1:27" ht="30" x14ac:dyDescent="0.25">
      <c r="A485" s="52">
        <v>193634</v>
      </c>
      <c r="B485" s="52">
        <f>VLOOKUP($A485,'Выгр Кат'!$A:$R,B$1,0)</f>
        <v>31440</v>
      </c>
      <c r="C485" s="53" t="str">
        <f>VLOOKUP($A485,'Выгр Кат'!$A:$R,C$1,0)</f>
        <v>Петля капота "АвтоВАЗ" для ВАЗ 2105, 2107</v>
      </c>
      <c r="D485" s="52" t="str">
        <f>VLOOKUP($A485,'Выгр Кат'!$A:$R,D$1,0)</f>
        <v>Y</v>
      </c>
      <c r="E485" s="52" t="str">
        <f>VLOOKUP($A485,'Выгр Кат'!$A:$R,E$1,0)</f>
        <v>1</v>
      </c>
      <c r="F485" s="52" t="str">
        <f>VLOOKUP($A485,'Выгр Кат'!$A:$R,F$1,0)</f>
        <v>21050840701000</v>
      </c>
      <c r="G485" s="52" t="str">
        <f>IF(VLOOKUP($A485,'Выгр Кат'!$A:$R,G$1,0)=0,"",VLOOKUP($A485,'Выгр Кат'!$A:$R,G$1,0))</f>
        <v>https://motorring.ru/product/37063-petlya-kapota-dlya-vaz-2104-2105</v>
      </c>
      <c r="H485" s="52"/>
      <c r="I485" s="52"/>
      <c r="J485" s="54">
        <f t="shared" si="118"/>
        <v>85</v>
      </c>
      <c r="K485" s="55">
        <f>VLOOKUP(J485,Наценка!$A$1:$B$8,2,1)</f>
        <v>2</v>
      </c>
      <c r="L485" s="56">
        <f t="shared" si="119"/>
        <v>170</v>
      </c>
      <c r="M485" s="57">
        <f t="shared" si="120"/>
        <v>169</v>
      </c>
      <c r="N485" s="52">
        <f>VLOOKUP($A485,'Выгр Кат'!$A:$R,N$1,0)</f>
        <v>85</v>
      </c>
      <c r="O485" s="52">
        <f>VLOOKUP($A485,'Выгр Кат'!$A:$R,O$1,0)</f>
        <v>169</v>
      </c>
      <c r="P485" s="47">
        <f t="shared" si="121"/>
        <v>0</v>
      </c>
      <c r="Q485" s="47">
        <f t="shared" si="122"/>
        <v>0</v>
      </c>
      <c r="R485" s="58">
        <f t="shared" si="123"/>
        <v>169</v>
      </c>
      <c r="S485" s="59">
        <f t="shared" si="124"/>
        <v>0.9882352941176471</v>
      </c>
      <c r="T485" s="59">
        <f t="shared" si="125"/>
        <v>0.10582010582010581</v>
      </c>
      <c r="U485" s="59">
        <f t="shared" si="126"/>
        <v>1.223529411764706</v>
      </c>
      <c r="V485" s="42">
        <f t="shared" ref="V485:V486" si="134">Z485</f>
        <v>189</v>
      </c>
      <c r="W485" s="69">
        <f>IFERROR((VLOOKUP($A485,'Из ГУГЛа'!$B:$Z,W$1,0)+Y485)*X485,VLOOKUP($A485,'Из ГУГЛа'!$B:$Z,W$1,0))</f>
        <v>189</v>
      </c>
      <c r="X485" s="61">
        <v>1</v>
      </c>
      <c r="Y485" s="61">
        <v>0</v>
      </c>
      <c r="Z485" s="70">
        <v>189</v>
      </c>
      <c r="AA485" s="60" t="s">
        <v>1279</v>
      </c>
    </row>
    <row r="486" spans="1:27" ht="30" x14ac:dyDescent="0.25">
      <c r="A486" s="52">
        <v>193635</v>
      </c>
      <c r="B486" s="52">
        <f>VLOOKUP($A486,'Выгр Кат'!$A:$R,B$1,0)</f>
        <v>31318</v>
      </c>
      <c r="C486" s="53" t="str">
        <f>VLOOKUP($A486,'Выгр Кат'!$A:$R,C$1,0)</f>
        <v>Петля капота "АвтоВАЗ" для Лада Нива 4x4</v>
      </c>
      <c r="D486" s="52" t="str">
        <f>VLOOKUP($A486,'Выгр Кат'!$A:$R,D$1,0)</f>
        <v>Y</v>
      </c>
      <c r="E486" s="52" t="str">
        <f>VLOOKUP($A486,'Выгр Кат'!$A:$R,E$1,0)</f>
        <v>1</v>
      </c>
      <c r="F486" s="52" t="str">
        <f>VLOOKUP($A486,'Выгр Кат'!$A:$R,F$1,0)</f>
        <v>21210840701001</v>
      </c>
      <c r="G486" s="52" t="str">
        <f>IF(VLOOKUP($A486,'Выгр Кат'!$A:$R,G$1,0)=0,"",VLOOKUP($A486,'Выгр Кат'!$A:$R,G$1,0))</f>
        <v>https://motorring.ru/product/359-petlya-kapota-dlya-lada-niva-4h4</v>
      </c>
      <c r="H486" s="52"/>
      <c r="I486" s="52"/>
      <c r="J486" s="54">
        <f t="shared" si="118"/>
        <v>207</v>
      </c>
      <c r="K486" s="55">
        <f>VLOOKUP(J486,Наценка!$A$1:$B$8,2,1)</f>
        <v>1.8</v>
      </c>
      <c r="L486" s="56">
        <f t="shared" si="119"/>
        <v>372.6</v>
      </c>
      <c r="M486" s="57">
        <f t="shared" si="120"/>
        <v>379</v>
      </c>
      <c r="N486" s="52">
        <f>VLOOKUP($A486,'Выгр Кат'!$A:$R,N$1,0)</f>
        <v>207</v>
      </c>
      <c r="O486" s="52">
        <f>VLOOKUP($A486,'Выгр Кат'!$A:$R,O$1,0)</f>
        <v>379</v>
      </c>
      <c r="P486" s="47">
        <f t="shared" si="121"/>
        <v>0</v>
      </c>
      <c r="Q486" s="47">
        <f t="shared" si="122"/>
        <v>0</v>
      </c>
      <c r="R486" s="58">
        <f t="shared" si="123"/>
        <v>379</v>
      </c>
      <c r="S486" s="59">
        <f t="shared" si="124"/>
        <v>0.83091787439613518</v>
      </c>
      <c r="T486" s="59">
        <f t="shared" si="125"/>
        <v>-0.40892193308550184</v>
      </c>
      <c r="U486" s="59">
        <f t="shared" si="126"/>
        <v>0.29951690821256038</v>
      </c>
      <c r="V486" s="42">
        <f t="shared" si="134"/>
        <v>269</v>
      </c>
      <c r="W486" s="69">
        <f>IFERROR((VLOOKUP($A486,'Из ГУГЛа'!$B:$Z,W$1,0)+Y486)*X486,VLOOKUP($A486,'Из ГУГЛа'!$B:$Z,W$1,0))</f>
        <v>269</v>
      </c>
      <c r="X486" s="61">
        <v>1</v>
      </c>
      <c r="Y486" s="61">
        <v>0</v>
      </c>
      <c r="Z486" s="70">
        <v>269</v>
      </c>
      <c r="AA486" s="60" t="s">
        <v>1282</v>
      </c>
    </row>
    <row r="487" spans="1:27" ht="30" x14ac:dyDescent="0.25">
      <c r="A487" s="52">
        <v>193636</v>
      </c>
      <c r="B487" s="52">
        <f>VLOOKUP($A487,'Выгр Кат'!$A:$R,B$1,0)</f>
        <v>31243</v>
      </c>
      <c r="C487" s="53" t="str">
        <f>VLOOKUP($A487,'Выгр Кат'!$A:$R,C$1,0)</f>
        <v>Петля капота "АвтоВАЗ" левая для Шевроле Нива</v>
      </c>
      <c r="D487" s="52" t="str">
        <f>VLOOKUP($A487,'Выгр Кат'!$A:$R,D$1,0)</f>
        <v>Y</v>
      </c>
      <c r="E487" s="52" t="str">
        <f>VLOOKUP($A487,'Выгр Кат'!$A:$R,E$1,0)</f>
        <v>1</v>
      </c>
      <c r="F487" s="52" t="str">
        <f>VLOOKUP($A487,'Выгр Кат'!$A:$R,F$1,0)</f>
        <v>21230840701100</v>
      </c>
      <c r="G487" s="52" t="str">
        <f>IF(VLOOKUP($A487,'Выгр Кат'!$A:$R,G$1,0)=0,"",VLOOKUP($A487,'Выгр Кат'!$A:$R,G$1,0))</f>
        <v/>
      </c>
      <c r="H487" s="52"/>
      <c r="I487" s="52"/>
      <c r="J487" s="54">
        <f t="shared" si="118"/>
        <v>217</v>
      </c>
      <c r="K487" s="55">
        <f>VLOOKUP(J487,Наценка!$A$1:$B$8,2,1)</f>
        <v>1.8</v>
      </c>
      <c r="L487" s="56">
        <f t="shared" si="119"/>
        <v>390.6</v>
      </c>
      <c r="M487" s="57">
        <f t="shared" si="120"/>
        <v>399</v>
      </c>
      <c r="N487" s="52">
        <f>VLOOKUP($A487,'Выгр Кат'!$A:$R,N$1,0)</f>
        <v>217</v>
      </c>
      <c r="O487" s="52">
        <f>VLOOKUP($A487,'Выгр Кат'!$A:$R,O$1,0)</f>
        <v>399</v>
      </c>
      <c r="P487" s="47">
        <f t="shared" si="121"/>
        <v>0</v>
      </c>
      <c r="Q487" s="47">
        <f t="shared" si="122"/>
        <v>0</v>
      </c>
      <c r="R487" s="58">
        <f t="shared" si="123"/>
        <v>399</v>
      </c>
      <c r="S487" s="59">
        <f t="shared" si="124"/>
        <v>0.83870967741935476</v>
      </c>
      <c r="T487" s="59" t="str">
        <f t="shared" si="125"/>
        <v/>
      </c>
      <c r="U487" s="59" t="str">
        <f t="shared" si="126"/>
        <v/>
      </c>
      <c r="V487" s="60"/>
      <c r="W487" s="69" t="str">
        <f>IFERROR((VLOOKUP($A487,'Из ГУГЛа'!$B:$Z,W$1,0)+Y487)*X487,VLOOKUP($A487,'Из ГУГЛа'!$B:$Z,W$1,0))</f>
        <v/>
      </c>
      <c r="X487" s="78">
        <v>0.5</v>
      </c>
      <c r="Y487" s="61">
        <v>0</v>
      </c>
      <c r="Z487" s="60">
        <f>590/2</f>
        <v>295</v>
      </c>
      <c r="AA487" s="60" t="s">
        <v>4309</v>
      </c>
    </row>
    <row r="488" spans="1:27" ht="30" x14ac:dyDescent="0.25">
      <c r="A488" s="52">
        <v>193637</v>
      </c>
      <c r="B488" s="52">
        <f>VLOOKUP($A488,'Выгр Кат'!$A:$R,B$1,0)</f>
        <v>48134</v>
      </c>
      <c r="C488" s="53" t="str">
        <f>VLOOKUP($A488,'Выгр Кат'!$A:$R,C$1,0)</f>
        <v>Петля капота "АвтоВАЗ" правая для Шевроле Нива</v>
      </c>
      <c r="D488" s="52" t="str">
        <f>VLOOKUP($A488,'Выгр Кат'!$A:$R,D$1,0)</f>
        <v>Y</v>
      </c>
      <c r="E488" s="52" t="str">
        <f>VLOOKUP($A488,'Выгр Кат'!$A:$R,E$1,0)</f>
        <v>1</v>
      </c>
      <c r="F488" s="52" t="str">
        <f>VLOOKUP($A488,'Выгр Кат'!$A:$R,F$1,0)</f>
        <v>21230840701000</v>
      </c>
      <c r="G488" s="52" t="str">
        <f>IF(VLOOKUP($A488,'Выгр Кат'!$A:$R,G$1,0)=0,"",VLOOKUP($A488,'Выгр Кат'!$A:$R,G$1,0))</f>
        <v>https://motorring.ru/product/16787-petlya-kapota-pravaya-dlya-shevrole-niva</v>
      </c>
      <c r="H488" s="52"/>
      <c r="I488" s="52"/>
      <c r="J488" s="54">
        <f t="shared" si="118"/>
        <v>138</v>
      </c>
      <c r="K488" s="55">
        <f>VLOOKUP(J488,Наценка!$A$1:$B$8,2,1)</f>
        <v>1.8</v>
      </c>
      <c r="L488" s="56">
        <f t="shared" si="119"/>
        <v>248.4</v>
      </c>
      <c r="M488" s="57">
        <f t="shared" si="120"/>
        <v>249</v>
      </c>
      <c r="N488" s="52">
        <f>VLOOKUP($A488,'Выгр Кат'!$A:$R,N$1,0)</f>
        <v>138</v>
      </c>
      <c r="O488" s="52">
        <f>VLOOKUP($A488,'Выгр Кат'!$A:$R,O$1,0)</f>
        <v>249</v>
      </c>
      <c r="P488" s="47">
        <f t="shared" si="121"/>
        <v>0</v>
      </c>
      <c r="Q488" s="47">
        <f t="shared" si="122"/>
        <v>0</v>
      </c>
      <c r="R488" s="58">
        <f t="shared" si="123"/>
        <v>249</v>
      </c>
      <c r="S488" s="59">
        <f t="shared" si="124"/>
        <v>0.80434782608695654</v>
      </c>
      <c r="T488" s="59">
        <f t="shared" si="125"/>
        <v>0.24316109422492402</v>
      </c>
      <c r="U488" s="59">
        <f t="shared" si="126"/>
        <v>1.3840579710144927</v>
      </c>
      <c r="V488" s="42">
        <f t="shared" ref="V488:V495" si="135">Z488</f>
        <v>329</v>
      </c>
      <c r="W488" s="69">
        <f>IFERROR((VLOOKUP($A488,'Из ГУГЛа'!$B:$Z,W$1,0)+Y488)*X488,VLOOKUP($A488,'Из ГУГЛа'!$B:$Z,W$1,0))</f>
        <v>329</v>
      </c>
      <c r="X488" s="61">
        <v>1</v>
      </c>
      <c r="Y488" s="61">
        <v>0</v>
      </c>
      <c r="Z488" s="70">
        <v>329</v>
      </c>
      <c r="AA488" s="60" t="s">
        <v>1288</v>
      </c>
    </row>
    <row r="489" spans="1:27" ht="45" x14ac:dyDescent="0.25">
      <c r="A489" s="52">
        <v>193639</v>
      </c>
      <c r="B489" s="52">
        <f>VLOOKUP($A489,'Выгр Кат'!$A:$R,B$1,0)</f>
        <v>16437</v>
      </c>
      <c r="C489" s="53" t="str">
        <f>VLOOKUP($A489,'Выгр Кат'!$A:$R,C$1,0)</f>
        <v>Петля капота "ТЗТО" левая для Лада (Калина 2, Гранта), Датсун (mi-DO, on-DO)</v>
      </c>
      <c r="D489" s="52" t="str">
        <f>VLOOKUP($A489,'Выгр Кат'!$A:$R,D$1,0)</f>
        <v>Y</v>
      </c>
      <c r="E489" s="52" t="str">
        <f>VLOOKUP($A489,'Выгр Кат'!$A:$R,E$1,0)</f>
        <v>0ск1</v>
      </c>
      <c r="F489" s="52" t="str">
        <f>VLOOKUP($A489,'Выгр Кат'!$A:$R,F$1,0)</f>
        <v>21900840701101</v>
      </c>
      <c r="G489" s="52" t="str">
        <f>IF(VLOOKUP($A489,'Выгр Кат'!$A:$R,G$1,0)=0,"",VLOOKUP($A489,'Выгр Кат'!$A:$R,G$1,0))</f>
        <v>https://motorring.ru/product/16976-petlya-kapota-levaya-tzto-lada-granta-kalina</v>
      </c>
      <c r="H489" s="52"/>
      <c r="I489" s="52"/>
      <c r="J489" s="54">
        <f t="shared" si="118"/>
        <v>170</v>
      </c>
      <c r="K489" s="55">
        <f>VLOOKUP(J489,Наценка!$A$1:$B$8,2,1)</f>
        <v>1.8</v>
      </c>
      <c r="L489" s="56">
        <f t="shared" si="119"/>
        <v>306</v>
      </c>
      <c r="M489" s="57">
        <f t="shared" si="120"/>
        <v>309</v>
      </c>
      <c r="N489" s="52">
        <f>VLOOKUP($A489,'Выгр Кат'!$A:$R,N$1,0)</f>
        <v>170</v>
      </c>
      <c r="O489" s="52">
        <f>VLOOKUP($A489,'Выгр Кат'!$A:$R,O$1,0)</f>
        <v>309</v>
      </c>
      <c r="P489" s="47">
        <f t="shared" si="121"/>
        <v>0</v>
      </c>
      <c r="Q489" s="47">
        <f t="shared" si="122"/>
        <v>0</v>
      </c>
      <c r="R489" s="58">
        <f t="shared" si="123"/>
        <v>309</v>
      </c>
      <c r="S489" s="59">
        <f t="shared" si="124"/>
        <v>0.81764705882352939</v>
      </c>
      <c r="T489" s="59">
        <f t="shared" si="125"/>
        <v>0.60886075949367091</v>
      </c>
      <c r="U489" s="59">
        <f t="shared" si="126"/>
        <v>3.6470588235294121</v>
      </c>
      <c r="V489" s="42">
        <f t="shared" si="135"/>
        <v>790</v>
      </c>
      <c r="W489" s="69">
        <f>IFERROR((VLOOKUP($A489,'Из ГУГЛа'!$B:$Z,W$1,0)+Y489)*X489,VLOOKUP($A489,'Из ГУГЛа'!$B:$Z,W$1,0))</f>
        <v>790</v>
      </c>
      <c r="X489" s="61">
        <v>1</v>
      </c>
      <c r="Y489" s="61">
        <v>0</v>
      </c>
      <c r="Z489" s="70">
        <v>790</v>
      </c>
      <c r="AA489" s="60" t="s">
        <v>1291</v>
      </c>
    </row>
    <row r="490" spans="1:27" ht="45" x14ac:dyDescent="0.25">
      <c r="A490" s="52">
        <v>251176</v>
      </c>
      <c r="B490" s="52">
        <f>VLOOKUP($A490,'Выгр Кат'!$A:$R,B$1,0)</f>
        <v>177874</v>
      </c>
      <c r="C490" s="53" t="str">
        <f>VLOOKUP($A490,'Выгр Кат'!$A:$R,C$1,0)</f>
        <v>Петля капота "ТЗТО" правая для Лада (Калина 2, Гранта), Датсун (mi-DO, on-DO)</v>
      </c>
      <c r="D490" s="52" t="str">
        <f>VLOOKUP($A490,'Выгр Кат'!$A:$R,D$1,0)</f>
        <v>Y</v>
      </c>
      <c r="E490" s="52" t="str">
        <f>VLOOKUP($A490,'Выгр Кат'!$A:$R,E$1,0)</f>
        <v>0ск1</v>
      </c>
      <c r="F490" s="52" t="str">
        <f>VLOOKUP($A490,'Выгр Кат'!$A:$R,F$1,0)</f>
        <v>21900840701001</v>
      </c>
      <c r="G490" s="52" t="str">
        <f>IF(VLOOKUP($A490,'Выгр Кат'!$A:$R,G$1,0)=0,"",VLOOKUP($A490,'Выгр Кат'!$A:$R,G$1,0))</f>
        <v>https://motorring.ru/product/16975-petlya-kapota-pravaya-tzto-lada-granta-kalina</v>
      </c>
      <c r="H490" s="52"/>
      <c r="I490" s="52"/>
      <c r="J490" s="54">
        <f t="shared" si="118"/>
        <v>170</v>
      </c>
      <c r="K490" s="55">
        <f>VLOOKUP(J490,Наценка!$A$1:$B$8,2,1)</f>
        <v>1.8</v>
      </c>
      <c r="L490" s="56">
        <f t="shared" si="119"/>
        <v>306</v>
      </c>
      <c r="M490" s="57">
        <f t="shared" si="120"/>
        <v>309</v>
      </c>
      <c r="N490" s="52">
        <f>VLOOKUP($A490,'Выгр Кат'!$A:$R,N$1,0)</f>
        <v>170</v>
      </c>
      <c r="O490" s="52">
        <f>VLOOKUP($A490,'Выгр Кат'!$A:$R,O$1,0)</f>
        <v>309</v>
      </c>
      <c r="P490" s="47">
        <f t="shared" si="121"/>
        <v>0</v>
      </c>
      <c r="Q490" s="47">
        <f t="shared" si="122"/>
        <v>0</v>
      </c>
      <c r="R490" s="58">
        <f t="shared" si="123"/>
        <v>309</v>
      </c>
      <c r="S490" s="59">
        <f t="shared" si="124"/>
        <v>0.81764705882352939</v>
      </c>
      <c r="T490" s="59">
        <f t="shared" si="125"/>
        <v>0.60886075949367091</v>
      </c>
      <c r="U490" s="59">
        <f t="shared" si="126"/>
        <v>3.6470588235294121</v>
      </c>
      <c r="V490" s="42">
        <f t="shared" si="135"/>
        <v>790</v>
      </c>
      <c r="W490" s="69">
        <f>IFERROR((VLOOKUP($A490,'Из ГУГЛа'!$B:$Z,W$1,0)+Y490)*X490,VLOOKUP($A490,'Из ГУГЛа'!$B:$Z,W$1,0))</f>
        <v>790</v>
      </c>
      <c r="X490" s="61">
        <v>1</v>
      </c>
      <c r="Y490" s="61">
        <v>0</v>
      </c>
      <c r="Z490" s="70">
        <v>790</v>
      </c>
      <c r="AA490" s="60" t="s">
        <v>1294</v>
      </c>
    </row>
    <row r="491" spans="1:27" ht="30" x14ac:dyDescent="0.25">
      <c r="A491" s="52">
        <v>193640</v>
      </c>
      <c r="B491" s="52">
        <f>VLOOKUP($A491,'Выгр Кат'!$A:$R,B$1,0)</f>
        <v>31196</v>
      </c>
      <c r="C491" s="53" t="str">
        <f>VLOOKUP($A491,'Выгр Кат'!$A:$R,C$1,0)</f>
        <v>Петля капота левая в сборе "АвтоВАЗ" для Лада Веста</v>
      </c>
      <c r="D491" s="52" t="str">
        <f>VLOOKUP($A491,'Выгр Кат'!$A:$R,D$1,0)</f>
        <v>Y</v>
      </c>
      <c r="E491" s="52" t="str">
        <f>VLOOKUP($A491,'Выгр Кат'!$A:$R,E$1,0)</f>
        <v>1</v>
      </c>
      <c r="F491" s="52" t="str">
        <f>VLOOKUP($A491,'Выгр Кат'!$A:$R,F$1,0)</f>
        <v>8450008287</v>
      </c>
      <c r="G491" s="52" t="str">
        <f>IF(VLOOKUP($A491,'Выгр Кат'!$A:$R,G$1,0)=0,"",VLOOKUP($A491,'Выгр Кат'!$A:$R,G$1,0))</f>
        <v>https://motorring.ru/product/18992-petlya-kapota-levaya-lada-vesta</v>
      </c>
      <c r="H491" s="52"/>
      <c r="I491" s="52"/>
      <c r="J491" s="54">
        <f t="shared" si="118"/>
        <v>1152</v>
      </c>
      <c r="K491" s="55">
        <f>VLOOKUP(J491,Наценка!$A$1:$B$8,2,1)</f>
        <v>1.5</v>
      </c>
      <c r="L491" s="56">
        <f t="shared" si="119"/>
        <v>1728</v>
      </c>
      <c r="M491" s="57">
        <f t="shared" si="120"/>
        <v>1790</v>
      </c>
      <c r="N491" s="52">
        <f>VLOOKUP($A491,'Выгр Кат'!$A:$R,N$1,0)</f>
        <v>1152</v>
      </c>
      <c r="O491" s="52">
        <f>VLOOKUP($A491,'Выгр Кат'!$A:$R,O$1,0)</f>
        <v>1790</v>
      </c>
      <c r="P491" s="47">
        <f t="shared" si="121"/>
        <v>0</v>
      </c>
      <c r="Q491" s="47">
        <f t="shared" si="122"/>
        <v>0</v>
      </c>
      <c r="R491" s="58">
        <f t="shared" si="123"/>
        <v>1790</v>
      </c>
      <c r="S491" s="59">
        <f t="shared" si="124"/>
        <v>0.55381944444444442</v>
      </c>
      <c r="T491" s="59">
        <f t="shared" si="125"/>
        <v>-5.9171597633136092E-2</v>
      </c>
      <c r="U491" s="59">
        <f t="shared" si="126"/>
        <v>0.46701388888888884</v>
      </c>
      <c r="V491" s="42">
        <f t="shared" si="135"/>
        <v>1690</v>
      </c>
      <c r="W491" s="69">
        <f>IFERROR((VLOOKUP($A491,'Из ГУГЛа'!$B:$Z,W$1,0)+Y491)*X491,VLOOKUP($A491,'Из ГУГЛа'!$B:$Z,W$1,0))</f>
        <v>1690</v>
      </c>
      <c r="X491" s="61">
        <v>1</v>
      </c>
      <c r="Y491" s="61">
        <v>0</v>
      </c>
      <c r="Z491" s="70">
        <v>1690</v>
      </c>
      <c r="AA491" s="60" t="s">
        <v>1297</v>
      </c>
    </row>
    <row r="492" spans="1:27" x14ac:dyDescent="0.25">
      <c r="A492" s="52">
        <v>335644</v>
      </c>
      <c r="B492" s="52">
        <f>VLOOKUP($A492,'Выгр Кат'!$A:$R,B$1,0)</f>
        <v>335644</v>
      </c>
      <c r="C492" s="53" t="str">
        <f>VLOOKUP($A492,'Выгр Кат'!$A:$R,C$1,0)</f>
        <v>Петля капота левая для Лада Калина</v>
      </c>
      <c r="D492" s="52" t="str">
        <f>VLOOKUP($A492,'Выгр Кат'!$A:$R,D$1,0)</f>
        <v>Y</v>
      </c>
      <c r="E492" s="52" t="str">
        <f>VLOOKUP($A492,'Выгр Кат'!$A:$R,E$1,0)</f>
        <v>1ск1</v>
      </c>
      <c r="F492" s="52" t="str">
        <f>VLOOKUP($A492,'Выгр Кат'!$A:$R,F$1,0)</f>
        <v>11180840701100</v>
      </c>
      <c r="G492" s="52" t="str">
        <f>IF(VLOOKUP($A492,'Выгр Кат'!$A:$R,G$1,0)=0,"",VLOOKUP($A492,'Выгр Кат'!$A:$R,G$1,0))</f>
        <v>https://motorring.ru/product/11425-petlya-kapota-11180-8407011-00-levaya-dlya-lada-kalina</v>
      </c>
      <c r="H492" s="52"/>
      <c r="I492" s="52"/>
      <c r="J492" s="54">
        <f t="shared" si="118"/>
        <v>268</v>
      </c>
      <c r="K492" s="55">
        <f>VLOOKUP(J492,Наценка!$A$1:$B$8,2,1)</f>
        <v>1.8</v>
      </c>
      <c r="L492" s="56">
        <f t="shared" si="119"/>
        <v>482.40000000000003</v>
      </c>
      <c r="M492" s="57">
        <f t="shared" si="120"/>
        <v>489</v>
      </c>
      <c r="N492" s="52">
        <f>VLOOKUP($A492,'Выгр Кат'!$A:$R,N$1,0)</f>
        <v>268</v>
      </c>
      <c r="O492" s="52">
        <f>VLOOKUP($A492,'Выгр Кат'!$A:$R,O$1,0)</f>
        <v>489</v>
      </c>
      <c r="P492" s="47">
        <f t="shared" si="121"/>
        <v>0</v>
      </c>
      <c r="Q492" s="47">
        <f t="shared" si="122"/>
        <v>0</v>
      </c>
      <c r="R492" s="58">
        <f t="shared" si="123"/>
        <v>489</v>
      </c>
      <c r="S492" s="59">
        <f t="shared" si="124"/>
        <v>0.82462686567164178</v>
      </c>
      <c r="T492" s="59">
        <f t="shared" si="125"/>
        <v>2.0408163265306124E-3</v>
      </c>
      <c r="U492" s="59">
        <f t="shared" si="126"/>
        <v>0.82835820895522394</v>
      </c>
      <c r="V492" s="42">
        <f t="shared" si="135"/>
        <v>490</v>
      </c>
      <c r="W492" s="69">
        <f>IFERROR((VLOOKUP($A492,'Из ГУГЛа'!$B:$Z,W$1,0)+Y492)*X492,VLOOKUP($A492,'Из ГУГЛа'!$B:$Z,W$1,0))</f>
        <v>490</v>
      </c>
      <c r="X492" s="61">
        <v>1</v>
      </c>
      <c r="Y492" s="61">
        <v>0</v>
      </c>
      <c r="Z492" s="70">
        <v>490</v>
      </c>
      <c r="AA492" s="60" t="s">
        <v>1300</v>
      </c>
    </row>
    <row r="493" spans="1:27" x14ac:dyDescent="0.25">
      <c r="A493" s="52">
        <v>193641</v>
      </c>
      <c r="B493" s="52">
        <f>VLOOKUP($A493,'Выгр Кат'!$A:$R,B$1,0)</f>
        <v>37590</v>
      </c>
      <c r="C493" s="53" t="str">
        <f>VLOOKUP($A493,'Выгр Кат'!$A:$R,C$1,0)</f>
        <v>Петля капота левая для Лада Приора</v>
      </c>
      <c r="D493" s="52" t="str">
        <f>VLOOKUP($A493,'Выгр Кат'!$A:$R,D$1,0)</f>
        <v>Y</v>
      </c>
      <c r="E493" s="52" t="str">
        <f>VLOOKUP($A493,'Выгр Кат'!$A:$R,E$1,0)</f>
        <v>1</v>
      </c>
      <c r="F493" s="52" t="str">
        <f>VLOOKUP($A493,'Выгр Кат'!$A:$R,F$1,0)</f>
        <v>21700840701100</v>
      </c>
      <c r="G493" s="52" t="str">
        <f>IF(VLOOKUP($A493,'Выгр Кат'!$A:$R,G$1,0)=0,"",VLOOKUP($A493,'Выгр Кат'!$A:$R,G$1,0))</f>
        <v>https://motorring.ru/product/18043-petlya-kapota-levaya-lada-priora</v>
      </c>
      <c r="H493" s="52"/>
      <c r="I493" s="52"/>
      <c r="J493" s="54">
        <f t="shared" si="118"/>
        <v>434</v>
      </c>
      <c r="K493" s="55">
        <f>VLOOKUP(J493,Наценка!$A$1:$B$8,2,1)</f>
        <v>1.6</v>
      </c>
      <c r="L493" s="56">
        <f t="shared" si="119"/>
        <v>694.40000000000009</v>
      </c>
      <c r="M493" s="57">
        <f t="shared" si="120"/>
        <v>699</v>
      </c>
      <c r="N493" s="52">
        <f>VLOOKUP($A493,'Выгр Кат'!$A:$R,N$1,0)</f>
        <v>434</v>
      </c>
      <c r="O493" s="52">
        <f>VLOOKUP($A493,'Выгр Кат'!$A:$R,O$1,0)</f>
        <v>699</v>
      </c>
      <c r="P493" s="47">
        <f t="shared" si="121"/>
        <v>0</v>
      </c>
      <c r="Q493" s="47">
        <f t="shared" si="122"/>
        <v>0</v>
      </c>
      <c r="R493" s="58">
        <f t="shared" si="123"/>
        <v>699</v>
      </c>
      <c r="S493" s="59">
        <f t="shared" si="124"/>
        <v>0.61059907834101379</v>
      </c>
      <c r="T493" s="59">
        <f t="shared" si="125"/>
        <v>0.27863777089783281</v>
      </c>
      <c r="U493" s="59">
        <f t="shared" si="126"/>
        <v>1.2327188940092166</v>
      </c>
      <c r="V493" s="42">
        <f t="shared" si="135"/>
        <v>969</v>
      </c>
      <c r="W493" s="69">
        <f>IFERROR((VLOOKUP($A493,'Из ГУГЛа'!$B:$Z,W$1,0)+Y493)*X493,VLOOKUP($A493,'Из ГУГЛа'!$B:$Z,W$1,0))</f>
        <v>969</v>
      </c>
      <c r="X493" s="61">
        <v>1</v>
      </c>
      <c r="Y493" s="61">
        <v>0</v>
      </c>
      <c r="Z493" s="70">
        <v>969</v>
      </c>
      <c r="AA493" s="60" t="s">
        <v>1303</v>
      </c>
    </row>
    <row r="494" spans="1:27" ht="30" x14ac:dyDescent="0.25">
      <c r="A494" s="52">
        <v>193642</v>
      </c>
      <c r="B494" s="52">
        <f>VLOOKUP($A494,'Выгр Кат'!$A:$R,B$1,0)</f>
        <v>31197</v>
      </c>
      <c r="C494" s="53" t="str">
        <f>VLOOKUP($A494,'Выгр Кат'!$A:$R,C$1,0)</f>
        <v>Петля капота правая в сборе "АвтоВАЗ" для Лада Веста</v>
      </c>
      <c r="D494" s="52" t="str">
        <f>VLOOKUP($A494,'Выгр Кат'!$A:$R,D$1,0)</f>
        <v>Y</v>
      </c>
      <c r="E494" s="52" t="str">
        <f>VLOOKUP($A494,'Выгр Кат'!$A:$R,E$1,0)</f>
        <v>1</v>
      </c>
      <c r="F494" s="52" t="str">
        <f>VLOOKUP($A494,'Выгр Кат'!$A:$R,F$1,0)</f>
        <v>8450008286</v>
      </c>
      <c r="G494" s="52" t="str">
        <f>IF(VLOOKUP($A494,'Выгр Кат'!$A:$R,G$1,0)=0,"",VLOOKUP($A494,'Выгр Кат'!$A:$R,G$1,0))</f>
        <v>https://motorring.ru/product/18993-petlya-kapota-pravaya-lada-vesta</v>
      </c>
      <c r="H494" s="52"/>
      <c r="I494" s="52"/>
      <c r="J494" s="54">
        <f t="shared" si="118"/>
        <v>1116</v>
      </c>
      <c r="K494" s="55">
        <f>VLOOKUP(J494,Наценка!$A$1:$B$8,2,1)</f>
        <v>1.5</v>
      </c>
      <c r="L494" s="56">
        <f t="shared" si="119"/>
        <v>1674</v>
      </c>
      <c r="M494" s="57">
        <f t="shared" si="120"/>
        <v>1690</v>
      </c>
      <c r="N494" s="52">
        <f>VLOOKUP($A494,'Выгр Кат'!$A:$R,N$1,0)</f>
        <v>1116</v>
      </c>
      <c r="O494" s="52">
        <f>VLOOKUP($A494,'Выгр Кат'!$A:$R,O$1,0)</f>
        <v>1690</v>
      </c>
      <c r="P494" s="47">
        <f t="shared" si="121"/>
        <v>0</v>
      </c>
      <c r="Q494" s="47">
        <f t="shared" si="122"/>
        <v>0</v>
      </c>
      <c r="R494" s="58">
        <f t="shared" si="123"/>
        <v>1690</v>
      </c>
      <c r="S494" s="59">
        <f t="shared" si="124"/>
        <v>0.51433691756272393</v>
      </c>
      <c r="T494" s="59">
        <f t="shared" si="125"/>
        <v>0</v>
      </c>
      <c r="U494" s="59">
        <f t="shared" si="126"/>
        <v>0.51433691756272393</v>
      </c>
      <c r="V494" s="42">
        <f t="shared" si="135"/>
        <v>1690</v>
      </c>
      <c r="W494" s="69">
        <f>IFERROR((VLOOKUP($A494,'Из ГУГЛа'!$B:$Z,W$1,0)+Y494)*X494,VLOOKUP($A494,'Из ГУГЛа'!$B:$Z,W$1,0))</f>
        <v>1690</v>
      </c>
      <c r="X494" s="61">
        <v>1</v>
      </c>
      <c r="Y494" s="61">
        <v>0</v>
      </c>
      <c r="Z494" s="70">
        <v>1690</v>
      </c>
      <c r="AA494" s="60" t="s">
        <v>1306</v>
      </c>
    </row>
    <row r="495" spans="1:27" x14ac:dyDescent="0.25">
      <c r="A495" s="52">
        <v>335659</v>
      </c>
      <c r="B495" s="52">
        <f>VLOOKUP($A495,'Выгр Кат'!$A:$R,B$1,0)</f>
        <v>335659</v>
      </c>
      <c r="C495" s="53" t="str">
        <f>VLOOKUP($A495,'Выгр Кат'!$A:$R,C$1,0)</f>
        <v>Петля капота правая для Лада Калина</v>
      </c>
      <c r="D495" s="52" t="str">
        <f>VLOOKUP($A495,'Выгр Кат'!$A:$R,D$1,0)</f>
        <v>Y</v>
      </c>
      <c r="E495" s="52" t="str">
        <f>VLOOKUP($A495,'Выгр Кат'!$A:$R,E$1,0)</f>
        <v>1ск1</v>
      </c>
      <c r="F495" s="52" t="str">
        <f>VLOOKUP($A495,'Выгр Кат'!$A:$R,F$1,0)</f>
        <v>11180840701000</v>
      </c>
      <c r="G495" s="52" t="str">
        <f>IF(VLOOKUP($A495,'Выгр Кат'!$A:$R,G$1,0)=0,"",VLOOKUP($A495,'Выгр Кат'!$A:$R,G$1,0))</f>
        <v>https://motorring.ru/product/11426-petlya-kapota-11180-8407010-00-pravaya-dlya-lada-kalina</v>
      </c>
      <c r="H495" s="52"/>
      <c r="I495" s="52"/>
      <c r="J495" s="54">
        <f t="shared" si="118"/>
        <v>295</v>
      </c>
      <c r="K495" s="55">
        <f>VLOOKUP(J495,Наценка!$A$1:$B$8,2,1)</f>
        <v>1.8</v>
      </c>
      <c r="L495" s="56">
        <f t="shared" si="119"/>
        <v>531</v>
      </c>
      <c r="M495" s="57">
        <f t="shared" si="120"/>
        <v>539</v>
      </c>
      <c r="N495" s="52">
        <f>VLOOKUP($A495,'Выгр Кат'!$A:$R,N$1,0)</f>
        <v>295</v>
      </c>
      <c r="O495" s="52">
        <f>VLOOKUP($A495,'Выгр Кат'!$A:$R,O$1,0)</f>
        <v>539</v>
      </c>
      <c r="P495" s="47">
        <f t="shared" si="121"/>
        <v>0</v>
      </c>
      <c r="Q495" s="47">
        <f t="shared" si="122"/>
        <v>0</v>
      </c>
      <c r="R495" s="58">
        <f t="shared" si="123"/>
        <v>539</v>
      </c>
      <c r="S495" s="59">
        <f t="shared" si="124"/>
        <v>0.82711864406779667</v>
      </c>
      <c r="T495" s="59">
        <f t="shared" si="125"/>
        <v>-0.1</v>
      </c>
      <c r="U495" s="59">
        <f t="shared" si="126"/>
        <v>0.66101694915254239</v>
      </c>
      <c r="V495" s="42">
        <f t="shared" si="135"/>
        <v>490</v>
      </c>
      <c r="W495" s="69">
        <f>IFERROR((VLOOKUP($A495,'Из ГУГЛа'!$B:$Z,W$1,0)+Y495)*X495,VLOOKUP($A495,'Из ГУГЛа'!$B:$Z,W$1,0))</f>
        <v>490</v>
      </c>
      <c r="X495" s="61">
        <v>1</v>
      </c>
      <c r="Y495" s="61">
        <v>0</v>
      </c>
      <c r="Z495" s="70">
        <v>490</v>
      </c>
      <c r="AA495" s="60" t="s">
        <v>1309</v>
      </c>
    </row>
    <row r="496" spans="1:27" x14ac:dyDescent="0.25">
      <c r="A496" s="52">
        <v>193643</v>
      </c>
      <c r="B496" s="52">
        <f>VLOOKUP($A496,'Выгр Кат'!$A:$R,B$1,0)</f>
        <v>17468</v>
      </c>
      <c r="C496" s="53" t="str">
        <f>VLOOKUP($A496,'Выгр Кат'!$A:$R,C$1,0)</f>
        <v>Петля капота правая для Лада Приора</v>
      </c>
      <c r="D496" s="52" t="str">
        <f>VLOOKUP($A496,'Выгр Кат'!$A:$R,D$1,0)</f>
        <v>Y</v>
      </c>
      <c r="E496" s="52" t="str">
        <f>VLOOKUP($A496,'Выгр Кат'!$A:$R,E$1,0)</f>
        <v>1</v>
      </c>
      <c r="F496" s="52" t="str">
        <f>VLOOKUP($A496,'Выгр Кат'!$A:$R,F$1,0)</f>
        <v>21700840701000</v>
      </c>
      <c r="G496" s="52" t="str">
        <f>IF(VLOOKUP($A496,'Выгр Кат'!$A:$R,G$1,0)=0,"",VLOOKUP($A496,'Выгр Кат'!$A:$R,G$1,0))</f>
        <v/>
      </c>
      <c r="H496" s="52"/>
      <c r="I496" s="52"/>
      <c r="J496" s="54">
        <f t="shared" si="118"/>
        <v>433.29</v>
      </c>
      <c r="K496" s="55">
        <f>VLOOKUP(J496,Наценка!$A$1:$B$8,2,1)</f>
        <v>1.6</v>
      </c>
      <c r="L496" s="56">
        <f t="shared" si="119"/>
        <v>693.26400000000012</v>
      </c>
      <c r="M496" s="57">
        <f t="shared" si="120"/>
        <v>699</v>
      </c>
      <c r="N496" s="52">
        <f>VLOOKUP($A496,'Выгр Кат'!$A:$R,N$1,0)</f>
        <v>433.29</v>
      </c>
      <c r="O496" s="52">
        <f>VLOOKUP($A496,'Выгр Кат'!$A:$R,O$1,0)</f>
        <v>699</v>
      </c>
      <c r="P496" s="47">
        <f t="shared" si="121"/>
        <v>0</v>
      </c>
      <c r="Q496" s="47">
        <f t="shared" si="122"/>
        <v>0</v>
      </c>
      <c r="R496" s="58">
        <f t="shared" si="123"/>
        <v>699</v>
      </c>
      <c r="S496" s="59">
        <f t="shared" si="124"/>
        <v>0.6132382469016131</v>
      </c>
      <c r="T496" s="59">
        <f t="shared" si="125"/>
        <v>0.26343519494204426</v>
      </c>
      <c r="U496" s="59">
        <f t="shared" si="126"/>
        <v>1.1902190219021902</v>
      </c>
      <c r="V496" s="42">
        <f>Z496</f>
        <v>949</v>
      </c>
      <c r="W496" s="69" t="str">
        <f>IFERROR((VLOOKUP($A496,'Из ГУГЛа'!$B:$Z,W$1,0)+Y496)*X496,VLOOKUP($A496,'Из ГУГЛа'!$B:$Z,W$1,0))</f>
        <v/>
      </c>
      <c r="X496" s="61">
        <v>1</v>
      </c>
      <c r="Y496" s="61">
        <v>0</v>
      </c>
      <c r="Z496" s="60">
        <v>949</v>
      </c>
      <c r="AA496" s="60" t="s">
        <v>4304</v>
      </c>
    </row>
    <row r="497" spans="1:27" ht="30" x14ac:dyDescent="0.25">
      <c r="A497" s="52">
        <v>194006</v>
      </c>
      <c r="B497" s="52">
        <f>VLOOKUP($A497,'Выгр Кат'!$A:$R,B$1,0)</f>
        <v>31455</v>
      </c>
      <c r="C497" s="53" t="str">
        <f>VLOOKUP($A497,'Выгр Кат'!$A:$R,C$1,0)</f>
        <v>Площадка аккумуляторной батареи "АвтоВАЗ" для Лада Калина</v>
      </c>
      <c r="D497" s="52" t="str">
        <f>VLOOKUP($A497,'Выгр Кат'!$A:$R,D$1,0)</f>
        <v>Y</v>
      </c>
      <c r="E497" s="52" t="str">
        <f>VLOOKUP($A497,'Выгр Кат'!$A:$R,E$1,0)</f>
        <v>0</v>
      </c>
      <c r="F497" s="52" t="str">
        <f>VLOOKUP($A497,'Выгр Кат'!$A:$R,F$1,0)</f>
        <v>11180840340000</v>
      </c>
      <c r="G497" s="52" t="str">
        <f>IF(VLOOKUP($A497,'Выгр Кат'!$A:$R,G$1,0)=0,"",VLOOKUP($A497,'Выгр Кат'!$A:$R,G$1,0))</f>
        <v/>
      </c>
      <c r="H497" s="52"/>
      <c r="I497" s="52"/>
      <c r="J497" s="54">
        <f t="shared" si="118"/>
        <v>662</v>
      </c>
      <c r="K497" s="55">
        <f>VLOOKUP(J497,Наценка!$A$1:$B$8,2,1)</f>
        <v>1.55</v>
      </c>
      <c r="L497" s="56">
        <f t="shared" si="119"/>
        <v>1026.1000000000001</v>
      </c>
      <c r="M497" s="57">
        <f t="shared" si="120"/>
        <v>1090</v>
      </c>
      <c r="N497" s="52">
        <f>VLOOKUP($A497,'Выгр Кат'!$A:$R,N$1,0)</f>
        <v>662</v>
      </c>
      <c r="O497" s="52">
        <f>VLOOKUP($A497,'Выгр Кат'!$A:$R,O$1,0)</f>
        <v>1090</v>
      </c>
      <c r="P497" s="47">
        <f t="shared" si="121"/>
        <v>0</v>
      </c>
      <c r="Q497" s="47">
        <f t="shared" si="122"/>
        <v>0</v>
      </c>
      <c r="R497" s="58">
        <f t="shared" si="123"/>
        <v>1090</v>
      </c>
      <c r="S497" s="59">
        <f t="shared" si="124"/>
        <v>0.6465256797583081</v>
      </c>
      <c r="T497" s="59" t="str">
        <f t="shared" si="125"/>
        <v/>
      </c>
      <c r="U497" s="59" t="str">
        <f t="shared" si="126"/>
        <v/>
      </c>
      <c r="V497" s="60"/>
      <c r="W497" s="69" t="str">
        <f>IFERROR((VLOOKUP($A497,'Из ГУГЛа'!$B:$Z,W$1,0)+Y497)*X497,VLOOKUP($A497,'Из ГУГЛа'!$B:$Z,W$1,0))</f>
        <v/>
      </c>
      <c r="X497" s="61">
        <v>1</v>
      </c>
      <c r="Y497" s="61">
        <v>0</v>
      </c>
      <c r="Z497" s="76" t="s">
        <v>4285</v>
      </c>
      <c r="AA497" s="60"/>
    </row>
    <row r="498" spans="1:27" ht="45" x14ac:dyDescent="0.25">
      <c r="A498" s="52">
        <v>194007</v>
      </c>
      <c r="B498" s="52">
        <f>VLOOKUP($A498,'Выгр Кат'!$A:$R,B$1,0)</f>
        <v>31417</v>
      </c>
      <c r="C498" s="53" t="str">
        <f>VLOOKUP($A498,'Выгр Кат'!$A:$R,C$1,0)</f>
        <v>Площадка аккумуляторной батареи (катафорез) "АвтоВАЗ" для ВАЗ 2108-21099</v>
      </c>
      <c r="D498" s="52" t="str">
        <f>VLOOKUP($A498,'Выгр Кат'!$A:$R,D$1,0)</f>
        <v>Y</v>
      </c>
      <c r="E498" s="52" t="str">
        <f>VLOOKUP($A498,'Выгр Кат'!$A:$R,E$1,0)</f>
        <v>0</v>
      </c>
      <c r="F498" s="52" t="str">
        <f>VLOOKUP($A498,'Выгр Кат'!$A:$R,F$1,0)</f>
        <v>21080840340020</v>
      </c>
      <c r="G498" s="52" t="str">
        <f>IF(VLOOKUP($A498,'Выгр Кат'!$A:$R,G$1,0)=0,"",VLOOKUP($A498,'Выгр Кат'!$A:$R,G$1,0))</f>
        <v>https://motorring.ru/product/33239-ploschadka-akkumulyatornoy-batarei-sbore-vaz-2108</v>
      </c>
      <c r="H498" s="52"/>
      <c r="I498" s="52"/>
      <c r="J498" s="54">
        <f t="shared" si="118"/>
        <v>599</v>
      </c>
      <c r="K498" s="55">
        <f>VLOOKUP(J498,Наценка!$A$1:$B$8,2,1)</f>
        <v>1.55</v>
      </c>
      <c r="L498" s="56">
        <f t="shared" si="119"/>
        <v>928.45</v>
      </c>
      <c r="M498" s="57">
        <f t="shared" si="120"/>
        <v>929</v>
      </c>
      <c r="N498" s="52">
        <f>VLOOKUP($A498,'Выгр Кат'!$A:$R,N$1,0)</f>
        <v>599</v>
      </c>
      <c r="O498" s="52">
        <f>VLOOKUP($A498,'Выгр Кат'!$A:$R,O$1,0)</f>
        <v>929</v>
      </c>
      <c r="P498" s="47">
        <f t="shared" si="121"/>
        <v>0</v>
      </c>
      <c r="Q498" s="47">
        <f t="shared" si="122"/>
        <v>0</v>
      </c>
      <c r="R498" s="58">
        <f t="shared" si="123"/>
        <v>929</v>
      </c>
      <c r="S498" s="59">
        <f t="shared" si="124"/>
        <v>0.55091819699499167</v>
      </c>
      <c r="T498" s="59">
        <f t="shared" si="125"/>
        <v>6.1616161616161617E-2</v>
      </c>
      <c r="U498" s="59">
        <f t="shared" si="126"/>
        <v>0.65275459098497501</v>
      </c>
      <c r="V498" s="42">
        <f>Z498</f>
        <v>990</v>
      </c>
      <c r="W498" s="69">
        <f>IFERROR((VLOOKUP($A498,'Из ГУГЛа'!$B:$Z,W$1,0)+Y498)*X498,VLOOKUP($A498,'Из ГУГЛа'!$B:$Z,W$1,0))</f>
        <v>990</v>
      </c>
      <c r="X498" s="61">
        <v>1</v>
      </c>
      <c r="Y498" s="61">
        <v>0</v>
      </c>
      <c r="Z498" s="70">
        <v>990</v>
      </c>
      <c r="AA498" s="60" t="s">
        <v>1316</v>
      </c>
    </row>
    <row r="499" spans="1:27" ht="30" x14ac:dyDescent="0.25">
      <c r="A499" s="52">
        <v>194488</v>
      </c>
      <c r="B499" s="52">
        <f>VLOOKUP($A499,'Выгр Кат'!$A:$R,B$1,0)</f>
        <v>52987</v>
      </c>
      <c r="C499" s="53" t="str">
        <f>VLOOKUP($A499,'Выгр Кат'!$A:$R,C$1,0)</f>
        <v>Подрамник "АвтоВАЗ" передней подвески в сборе для Лада Ларгус</v>
      </c>
      <c r="D499" s="52" t="str">
        <f>VLOOKUP($A499,'Выгр Кат'!$A:$R,D$1,0)</f>
        <v>Y</v>
      </c>
      <c r="E499" s="52" t="str">
        <f>VLOOKUP($A499,'Выгр Кат'!$A:$R,E$1,0)</f>
        <v>1ск1</v>
      </c>
      <c r="F499" s="52" t="str">
        <f>VLOOKUP($A499,'Выгр Кат'!$A:$R,F$1,0)</f>
        <v>8450091739</v>
      </c>
      <c r="G499" s="52" t="str">
        <f>IF(VLOOKUP($A499,'Выгр Кат'!$A:$R,G$1,0)=0,"",VLOOKUP($A499,'Выгр Кат'!$A:$R,G$1,0))</f>
        <v/>
      </c>
      <c r="H499" s="52"/>
      <c r="I499" s="52"/>
      <c r="J499" s="54">
        <f t="shared" si="118"/>
        <v>15000</v>
      </c>
      <c r="K499" s="55">
        <f>VLOOKUP(J499,Наценка!$A$1:$B$8,2,1)</f>
        <v>1.3</v>
      </c>
      <c r="L499" s="56">
        <f t="shared" si="119"/>
        <v>19500</v>
      </c>
      <c r="M499" s="57">
        <f t="shared" si="120"/>
        <v>19490</v>
      </c>
      <c r="N499" s="52">
        <f>VLOOKUP($A499,'Выгр Кат'!$A:$R,N$1,0)</f>
        <v>15000</v>
      </c>
      <c r="O499" s="52">
        <f>VLOOKUP($A499,'Выгр Кат'!$A:$R,O$1,0)</f>
        <v>19490</v>
      </c>
      <c r="P499" s="47">
        <f t="shared" si="121"/>
        <v>0</v>
      </c>
      <c r="Q499" s="47">
        <f t="shared" si="122"/>
        <v>0</v>
      </c>
      <c r="R499" s="58">
        <f t="shared" si="123"/>
        <v>19490</v>
      </c>
      <c r="S499" s="59">
        <f t="shared" si="124"/>
        <v>0.29933333333333323</v>
      </c>
      <c r="T499" s="59" t="str">
        <f t="shared" si="125"/>
        <v/>
      </c>
      <c r="U499" s="59" t="str">
        <f t="shared" si="126"/>
        <v/>
      </c>
      <c r="V499" s="60"/>
      <c r="W499" s="69" t="str">
        <f>IFERROR((VLOOKUP($A499,'Из ГУГЛа'!$B:$Z,W$1,0)+Y499)*X499,VLOOKUP($A499,'Из ГУГЛа'!$B:$Z,W$1,0))</f>
        <v/>
      </c>
      <c r="X499" s="61">
        <v>1</v>
      </c>
      <c r="Y499" s="61">
        <v>0</v>
      </c>
      <c r="Z499" s="60" t="s">
        <v>4170</v>
      </c>
      <c r="AA499" s="60"/>
    </row>
    <row r="500" spans="1:27" ht="30" x14ac:dyDescent="0.25">
      <c r="A500" s="52">
        <v>194489</v>
      </c>
      <c r="B500" s="52">
        <f>VLOOKUP($A500,'Выгр Кат'!$A:$R,B$1,0)</f>
        <v>52990</v>
      </c>
      <c r="C500" s="53" t="str">
        <f>VLOOKUP($A500,'Выгр Кат'!$A:$R,C$1,0)</f>
        <v>Подрамник "АвтоВАЗ" передней подвески в сборе для Лада Ларгус FL</v>
      </c>
      <c r="D500" s="52" t="str">
        <f>VLOOKUP($A500,'Выгр Кат'!$A:$R,D$1,0)</f>
        <v>Y</v>
      </c>
      <c r="E500" s="52" t="str">
        <f>VLOOKUP($A500,'Выгр Кат'!$A:$R,E$1,0)</f>
        <v>1</v>
      </c>
      <c r="F500" s="52" t="str">
        <f>VLOOKUP($A500,'Выгр Кат'!$A:$R,F$1,0)</f>
        <v>8450091790</v>
      </c>
      <c r="G500" s="52" t="str">
        <f>IF(VLOOKUP($A500,'Выгр Кат'!$A:$R,G$1,0)=0,"",VLOOKUP($A500,'Выгр Кат'!$A:$R,G$1,0))</f>
        <v/>
      </c>
      <c r="H500" s="52"/>
      <c r="I500" s="52"/>
      <c r="J500" s="54">
        <f t="shared" si="118"/>
        <v>10992</v>
      </c>
      <c r="K500" s="55">
        <f>VLOOKUP(J500,Наценка!$A$1:$B$8,2,1)</f>
        <v>1.3</v>
      </c>
      <c r="L500" s="56">
        <f t="shared" si="119"/>
        <v>14289.6</v>
      </c>
      <c r="M500" s="57">
        <f t="shared" si="120"/>
        <v>14290</v>
      </c>
      <c r="N500" s="52">
        <f>VLOOKUP($A500,'Выгр Кат'!$A:$R,N$1,0)</f>
        <v>10992</v>
      </c>
      <c r="O500" s="52">
        <f>VLOOKUP($A500,'Выгр Кат'!$A:$R,O$1,0)</f>
        <v>25000</v>
      </c>
      <c r="P500" s="47">
        <f t="shared" si="121"/>
        <v>0</v>
      </c>
      <c r="Q500" s="47">
        <f t="shared" si="122"/>
        <v>10710</v>
      </c>
      <c r="R500" s="58">
        <f t="shared" si="123"/>
        <v>14290</v>
      </c>
      <c r="S500" s="59">
        <f t="shared" si="124"/>
        <v>0.30003639010189231</v>
      </c>
      <c r="T500" s="59" t="str">
        <f t="shared" si="125"/>
        <v/>
      </c>
      <c r="U500" s="59" t="str">
        <f t="shared" si="126"/>
        <v/>
      </c>
      <c r="V500" s="60"/>
      <c r="W500" s="69" t="str">
        <f>IFERROR((VLOOKUP($A500,'Из ГУГЛа'!$B:$Z,W$1,0)+Y500)*X500,VLOOKUP($A500,'Из ГУГЛа'!$B:$Z,W$1,0))</f>
        <v/>
      </c>
      <c r="X500" s="61">
        <v>1</v>
      </c>
      <c r="Y500" s="61">
        <v>0</v>
      </c>
      <c r="Z500" s="60" t="s">
        <v>4170</v>
      </c>
      <c r="AA500" s="60"/>
    </row>
    <row r="501" spans="1:27" ht="45" x14ac:dyDescent="0.25">
      <c r="A501" s="52">
        <v>194509</v>
      </c>
      <c r="B501" s="52">
        <f>VLOOKUP($A501,'Выгр Кат'!$A:$R,B$1,0)</f>
        <v>32752</v>
      </c>
      <c r="C501" s="53" t="str">
        <f>VLOOKUP($A501,'Выгр Кат'!$A:$R,C$1,0)</f>
        <v>Подрамник передней подвески "АвтоВАЗ" в сборе (окрашенный) для Лада XRAY (с двигателем H4M)</v>
      </c>
      <c r="D501" s="52" t="str">
        <f>VLOOKUP($A501,'Выгр Кат'!$A:$R,D$1,0)</f>
        <v>Y</v>
      </c>
      <c r="E501" s="52" t="str">
        <f>VLOOKUP($A501,'Выгр Кат'!$A:$R,E$1,0)</f>
        <v>1ск1</v>
      </c>
      <c r="F501" s="52" t="str">
        <f>VLOOKUP($A501,'Выгр Кат'!$A:$R,F$1,0)</f>
        <v>8450022712</v>
      </c>
      <c r="G501" s="52" t="str">
        <f>IF(VLOOKUP($A501,'Выгр Кат'!$A:$R,G$1,0)=0,"",VLOOKUP($A501,'Выгр Кат'!$A:$R,G$1,0))</f>
        <v/>
      </c>
      <c r="H501" s="52"/>
      <c r="I501" s="52"/>
      <c r="J501" s="54">
        <f t="shared" si="118"/>
        <v>10856</v>
      </c>
      <c r="K501" s="55">
        <f>VLOOKUP(J501,Наценка!$A$1:$B$8,2,1)</f>
        <v>1.3</v>
      </c>
      <c r="L501" s="56">
        <f t="shared" si="119"/>
        <v>14112.800000000001</v>
      </c>
      <c r="M501" s="57">
        <f t="shared" si="120"/>
        <v>14190</v>
      </c>
      <c r="N501" s="52">
        <f>VLOOKUP($A501,'Выгр Кат'!$A:$R,N$1,0)</f>
        <v>10856</v>
      </c>
      <c r="O501" s="52">
        <f>VLOOKUP($A501,'Выгр Кат'!$A:$R,O$1,0)</f>
        <v>15000</v>
      </c>
      <c r="P501" s="47">
        <f t="shared" si="121"/>
        <v>0</v>
      </c>
      <c r="Q501" s="47">
        <f t="shared" si="122"/>
        <v>810</v>
      </c>
      <c r="R501" s="58">
        <f t="shared" si="123"/>
        <v>14190</v>
      </c>
      <c r="S501" s="59">
        <f t="shared" si="124"/>
        <v>0.30711127487103895</v>
      </c>
      <c r="T501" s="59" t="str">
        <f t="shared" si="125"/>
        <v/>
      </c>
      <c r="U501" s="59" t="str">
        <f t="shared" si="126"/>
        <v/>
      </c>
      <c r="V501" s="60"/>
      <c r="W501" s="69" t="str">
        <f>IFERROR((VLOOKUP($A501,'Из ГУГЛа'!$B:$Z,W$1,0)+Y501)*X501,VLOOKUP($A501,'Из ГУГЛа'!$B:$Z,W$1,0))</f>
        <v/>
      </c>
      <c r="X501" s="61">
        <v>1</v>
      </c>
      <c r="Y501" s="61">
        <v>0</v>
      </c>
      <c r="Z501" s="62" t="s">
        <v>4170</v>
      </c>
      <c r="AA501" s="60"/>
    </row>
    <row r="502" spans="1:27" ht="45" x14ac:dyDescent="0.25">
      <c r="A502" s="52">
        <v>194510</v>
      </c>
      <c r="B502" s="52">
        <f>VLOOKUP($A502,'Выгр Кат'!$A:$R,B$1,0)</f>
        <v>31074</v>
      </c>
      <c r="C502" s="53" t="str">
        <f>VLOOKUP($A502,'Выгр Кат'!$A:$R,C$1,0)</f>
        <v>Подрамник передней подвески "АвтоВАЗ" для Лада Ларгус (с двигателем K4M, K7M)</v>
      </c>
      <c r="D502" s="52" t="str">
        <f>VLOOKUP($A502,'Выгр Кат'!$A:$R,D$1,0)</f>
        <v>Y</v>
      </c>
      <c r="E502" s="52" t="str">
        <f>VLOOKUP($A502,'Выгр Кат'!$A:$R,E$1,0)</f>
        <v>1</v>
      </c>
      <c r="F502" s="52" t="str">
        <f>VLOOKUP($A502,'Выгр Кат'!$A:$R,F$1,0)</f>
        <v>544010828R</v>
      </c>
      <c r="G502" s="52" t="str">
        <f>IF(VLOOKUP($A502,'Выгр Кат'!$A:$R,G$1,0)=0,"",VLOOKUP($A502,'Выгр Кат'!$A:$R,G$1,0))</f>
        <v>https://motorring.ru/product/15202</v>
      </c>
      <c r="H502" s="52"/>
      <c r="I502" s="52"/>
      <c r="J502" s="54">
        <f t="shared" si="118"/>
        <v>17774</v>
      </c>
      <c r="K502" s="55">
        <f>VLOOKUP(J502,Наценка!$A$1:$B$8,2,1)</f>
        <v>1.3</v>
      </c>
      <c r="L502" s="56">
        <f t="shared" si="119"/>
        <v>23106.2</v>
      </c>
      <c r="M502" s="57">
        <f t="shared" si="120"/>
        <v>23190</v>
      </c>
      <c r="N502" s="52">
        <f>VLOOKUP($A502,'Выгр Кат'!$A:$R,N$1,0)</f>
        <v>17774</v>
      </c>
      <c r="O502" s="52">
        <f>VLOOKUP($A502,'Выгр Кат'!$A:$R,O$1,0)</f>
        <v>24890</v>
      </c>
      <c r="P502" s="47">
        <f t="shared" si="121"/>
        <v>0</v>
      </c>
      <c r="Q502" s="47">
        <f t="shared" si="122"/>
        <v>1700</v>
      </c>
      <c r="R502" s="58">
        <f t="shared" si="123"/>
        <v>23190</v>
      </c>
      <c r="S502" s="59">
        <f t="shared" si="124"/>
        <v>0.30471475188477548</v>
      </c>
      <c r="T502" s="59">
        <f t="shared" si="125"/>
        <v>-0.16008004002001</v>
      </c>
      <c r="U502" s="59">
        <f t="shared" si="126"/>
        <v>0.12467649375492296</v>
      </c>
      <c r="V502" s="42">
        <f>Z502</f>
        <v>19990</v>
      </c>
      <c r="W502" s="69">
        <f>IFERROR((VLOOKUP($A502,'Из ГУГЛа'!$B:$Z,W$1,0)+Y502)*X502,VLOOKUP($A502,'Из ГУГЛа'!$B:$Z,W$1,0))</f>
        <v>19990</v>
      </c>
      <c r="X502" s="61">
        <v>1</v>
      </c>
      <c r="Y502" s="61">
        <v>0</v>
      </c>
      <c r="Z502" s="70">
        <v>19990</v>
      </c>
      <c r="AA502" s="60" t="s">
        <v>1327</v>
      </c>
    </row>
    <row r="503" spans="1:27" ht="30" x14ac:dyDescent="0.25">
      <c r="A503" s="52">
        <v>194511</v>
      </c>
      <c r="B503" s="52">
        <f>VLOOKUP($A503,'Выгр Кат'!$A:$R,B$1,0)</f>
        <v>31200</v>
      </c>
      <c r="C503" s="53" t="str">
        <f>VLOOKUP($A503,'Выгр Кат'!$A:$R,C$1,0)</f>
        <v>Подрамник передней подвески в сборе "АвтоВАЗ" для Лада Веста</v>
      </c>
      <c r="D503" s="52" t="str">
        <f>VLOOKUP($A503,'Выгр Кат'!$A:$R,D$1,0)</f>
        <v>Y</v>
      </c>
      <c r="E503" s="52" t="str">
        <f>VLOOKUP($A503,'Выгр Кат'!$A:$R,E$1,0)</f>
        <v>1</v>
      </c>
      <c r="F503" s="52" t="str">
        <f>VLOOKUP($A503,'Выгр Кат'!$A:$R,F$1,0)</f>
        <v>8450006637</v>
      </c>
      <c r="G503" s="52" t="str">
        <f>IF(VLOOKUP($A503,'Выгр Кат'!$A:$R,G$1,0)=0,"",VLOOKUP($A503,'Выгр Кат'!$A:$R,G$1,0))</f>
        <v/>
      </c>
      <c r="H503" s="52"/>
      <c r="I503" s="52"/>
      <c r="J503" s="54">
        <f t="shared" si="118"/>
        <v>11333</v>
      </c>
      <c r="K503" s="55">
        <f>VLOOKUP(J503,Наценка!$A$1:$B$8,2,1)</f>
        <v>1.3</v>
      </c>
      <c r="L503" s="56">
        <f t="shared" si="119"/>
        <v>14732.9</v>
      </c>
      <c r="M503" s="57">
        <f t="shared" si="120"/>
        <v>14790</v>
      </c>
      <c r="N503" s="52">
        <f>VLOOKUP($A503,'Выгр Кат'!$A:$R,N$1,0)</f>
        <v>11333</v>
      </c>
      <c r="O503" s="52">
        <f>VLOOKUP($A503,'Выгр Кат'!$A:$R,O$1,0)</f>
        <v>15890</v>
      </c>
      <c r="P503" s="47">
        <f t="shared" si="121"/>
        <v>0</v>
      </c>
      <c r="Q503" s="47">
        <f t="shared" si="122"/>
        <v>1100</v>
      </c>
      <c r="R503" s="58">
        <f t="shared" si="123"/>
        <v>14790</v>
      </c>
      <c r="S503" s="59">
        <f t="shared" si="124"/>
        <v>0.30503838348186707</v>
      </c>
      <c r="T503" s="59" t="str">
        <f t="shared" si="125"/>
        <v/>
      </c>
      <c r="U503" s="59" t="str">
        <f t="shared" si="126"/>
        <v/>
      </c>
      <c r="V503" s="60"/>
      <c r="W503" s="69" t="str">
        <f>IFERROR((VLOOKUP($A503,'Из ГУГЛа'!$B:$Z,W$1,0)+Y503)*X503,VLOOKUP($A503,'Из ГУГЛа'!$B:$Z,W$1,0))</f>
        <v/>
      </c>
      <c r="X503" s="61">
        <v>1</v>
      </c>
      <c r="Y503" s="61">
        <v>0</v>
      </c>
      <c r="Z503" s="60" t="s">
        <v>4170</v>
      </c>
      <c r="AA503" s="60"/>
    </row>
    <row r="504" spans="1:27" ht="45" x14ac:dyDescent="0.25">
      <c r="A504" s="52">
        <v>194512</v>
      </c>
      <c r="B504" s="52">
        <f>VLOOKUP($A504,'Выгр Кат'!$A:$R,B$1,0)</f>
        <v>31195</v>
      </c>
      <c r="C504" s="53" t="str">
        <f>VLOOKUP($A504,'Выгр Кат'!$A:$R,C$1,0)</f>
        <v>Подрамник передней подвески в сборе "АвтоВАЗ" для Лада Веста SW Cross универсал</v>
      </c>
      <c r="D504" s="52" t="str">
        <f>VLOOKUP($A504,'Выгр Кат'!$A:$R,D$1,0)</f>
        <v>Y</v>
      </c>
      <c r="E504" s="52" t="str">
        <f>VLOOKUP($A504,'Выгр Кат'!$A:$R,E$1,0)</f>
        <v>1</v>
      </c>
      <c r="F504" s="52" t="str">
        <f>VLOOKUP($A504,'Выгр Кат'!$A:$R,F$1,0)</f>
        <v>8450031650</v>
      </c>
      <c r="G504" s="52" t="str">
        <f>IF(VLOOKUP($A504,'Выгр Кат'!$A:$R,G$1,0)=0,"",VLOOKUP($A504,'Выгр Кат'!$A:$R,G$1,0))</f>
        <v/>
      </c>
      <c r="H504" s="52"/>
      <c r="I504" s="52"/>
      <c r="J504" s="54">
        <f t="shared" ref="J504:J567" si="136">N504</f>
        <v>12755</v>
      </c>
      <c r="K504" s="55">
        <f>VLOOKUP(J504,Наценка!$A$1:$B$8,2,1)</f>
        <v>1.3</v>
      </c>
      <c r="L504" s="56">
        <f t="shared" ref="L504:L567" si="137">J504*K504</f>
        <v>16581.5</v>
      </c>
      <c r="M504" s="57">
        <f t="shared" ref="M504:M567" si="138">IF(L504&lt;=1000,(ROUNDUP(L504,-1)-1),(ROUNDUP(L504,-2)-10))</f>
        <v>16590</v>
      </c>
      <c r="N504" s="52">
        <f>VLOOKUP($A504,'Выгр Кат'!$A:$R,N$1,0)</f>
        <v>12755</v>
      </c>
      <c r="O504" s="52">
        <f>VLOOKUP($A504,'Выгр Кат'!$A:$R,O$1,0)</f>
        <v>17890</v>
      </c>
      <c r="P504" s="47">
        <f t="shared" ref="P504:P567" si="139">N504-J504</f>
        <v>0</v>
      </c>
      <c r="Q504" s="47">
        <f t="shared" ref="Q504:Q567" si="140">O504-M504</f>
        <v>1300</v>
      </c>
      <c r="R504" s="58">
        <f t="shared" ref="R504:R567" si="141">IFERROR(ROUND(M504*(1-$R$2),),"")</f>
        <v>16590</v>
      </c>
      <c r="S504" s="59">
        <f t="shared" ref="S504:S567" si="142">IFERROR(R504/J504-1,"")</f>
        <v>0.30066640533124267</v>
      </c>
      <c r="T504" s="59" t="str">
        <f t="shared" ref="T504:T567" si="143">IFERROR((V504-R504)/V504,"")</f>
        <v/>
      </c>
      <c r="U504" s="59" t="str">
        <f t="shared" ref="U504:U567" si="144">IFERROR(IF(V504="","",V504/J504-1),"")</f>
        <v/>
      </c>
      <c r="V504" s="60"/>
      <c r="W504" s="69" t="str">
        <f>IFERROR((VLOOKUP($A504,'Из ГУГЛа'!$B:$Z,W$1,0)+Y504)*X504,VLOOKUP($A504,'Из ГУГЛа'!$B:$Z,W$1,0))</f>
        <v/>
      </c>
      <c r="X504" s="61">
        <v>1</v>
      </c>
      <c r="Y504" s="61">
        <v>0</v>
      </c>
      <c r="Z504" s="60" t="s">
        <v>4170</v>
      </c>
      <c r="AA504" s="60"/>
    </row>
    <row r="505" spans="1:27" x14ac:dyDescent="0.25">
      <c r="A505" s="52">
        <v>195159</v>
      </c>
      <c r="B505" s="52">
        <f>VLOOKUP($A505,'Выгр Кат'!$A:$R,B$1,0)</f>
        <v>17053</v>
      </c>
      <c r="C505" s="53" t="str">
        <f>VLOOKUP($A505,'Выгр Кат'!$A:$R,C$1,0)</f>
        <v>Пол голый задний левый ВАЗ 2101-2107</v>
      </c>
      <c r="D505" s="52" t="str">
        <f>VLOOKUP($A505,'Выгр Кат'!$A:$R,D$1,0)</f>
        <v>Y</v>
      </c>
      <c r="E505" s="52" t="str">
        <f>VLOOKUP($A505,'Выгр Кат'!$A:$R,E$1,0)</f>
        <v>1</v>
      </c>
      <c r="F505" s="52" t="str">
        <f>VLOOKUP($A505,'Выгр Кат'!$A:$R,F$1,0)</f>
        <v>21010510104363</v>
      </c>
      <c r="G505" s="52" t="str">
        <f>IF(VLOOKUP($A505,'Выгр Кат'!$A:$R,G$1,0)=0,"",VLOOKUP($A505,'Выгр Кат'!$A:$R,G$1,0))</f>
        <v>https://motorring.ru/product/16869-remontnaya-chasty-pola-zadnyaya-levaya-vaz-2101-2106</v>
      </c>
      <c r="H505" s="52"/>
      <c r="I505" s="52"/>
      <c r="J505" s="54">
        <f t="shared" si="136"/>
        <v>695</v>
      </c>
      <c r="K505" s="55">
        <f>VLOOKUP(J505,Наценка!$A$1:$B$8,2,1)</f>
        <v>1.55</v>
      </c>
      <c r="L505" s="56">
        <f t="shared" si="137"/>
        <v>1077.25</v>
      </c>
      <c r="M505" s="57">
        <f t="shared" si="138"/>
        <v>1090</v>
      </c>
      <c r="N505" s="52">
        <f>VLOOKUP($A505,'Выгр Кат'!$A:$R,N$1,0)</f>
        <v>695</v>
      </c>
      <c r="O505" s="52">
        <f>VLOOKUP($A505,'Выгр Кат'!$A:$R,O$1,0)</f>
        <v>1090</v>
      </c>
      <c r="P505" s="47">
        <f t="shared" si="139"/>
        <v>0</v>
      </c>
      <c r="Q505" s="47">
        <f t="shared" si="140"/>
        <v>0</v>
      </c>
      <c r="R505" s="58">
        <f t="shared" si="141"/>
        <v>1090</v>
      </c>
      <c r="S505" s="59">
        <f t="shared" si="142"/>
        <v>0.56834532374100721</v>
      </c>
      <c r="T505" s="59">
        <f t="shared" si="143"/>
        <v>0</v>
      </c>
      <c r="U505" s="59">
        <f t="shared" si="144"/>
        <v>0.56834532374100721</v>
      </c>
      <c r="V505" s="42">
        <f t="shared" ref="V505:V507" si="145">Z505</f>
        <v>1090</v>
      </c>
      <c r="W505" s="69">
        <f>IFERROR((VLOOKUP($A505,'Из ГУГЛа'!$B:$Z,W$1,0)+Y505)*X505,VLOOKUP($A505,'Из ГУГЛа'!$B:$Z,W$1,0))</f>
        <v>1090</v>
      </c>
      <c r="X505" s="61">
        <v>1</v>
      </c>
      <c r="Y505" s="61">
        <v>0</v>
      </c>
      <c r="Z505" s="70">
        <v>1090</v>
      </c>
      <c r="AA505" s="60" t="s">
        <v>1334</v>
      </c>
    </row>
    <row r="506" spans="1:27" ht="30" x14ac:dyDescent="0.25">
      <c r="A506" s="52">
        <v>195160</v>
      </c>
      <c r="B506" s="52">
        <f>VLOOKUP($A506,'Выгр Кат'!$A:$R,B$1,0)</f>
        <v>17054</v>
      </c>
      <c r="C506" s="53" t="str">
        <f>VLOOKUP($A506,'Выгр Кат'!$A:$R,C$1,0)</f>
        <v>Пол голый задний правый для ВАЗ 2101-2107</v>
      </c>
      <c r="D506" s="52" t="str">
        <f>VLOOKUP($A506,'Выгр Кат'!$A:$R,D$1,0)</f>
        <v>Y</v>
      </c>
      <c r="E506" s="52" t="str">
        <f>VLOOKUP($A506,'Выгр Кат'!$A:$R,E$1,0)</f>
        <v>1</v>
      </c>
      <c r="F506" s="52" t="str">
        <f>VLOOKUP($A506,'Выгр Кат'!$A:$R,F$1,0)</f>
        <v>21010510104263</v>
      </c>
      <c r="G506" s="52" t="str">
        <f>IF(VLOOKUP($A506,'Выгр Кат'!$A:$R,G$1,0)=0,"",VLOOKUP($A506,'Выгр Кат'!$A:$R,G$1,0))</f>
        <v>https://motorring.ru/product/16868-remontnaya-chasty-pola-zadnyaya-pravaya-vaz-2101-2106</v>
      </c>
      <c r="H506" s="52"/>
      <c r="I506" s="52"/>
      <c r="J506" s="54">
        <f t="shared" si="136"/>
        <v>640</v>
      </c>
      <c r="K506" s="55">
        <f>VLOOKUP(J506,Наценка!$A$1:$B$8,2,1)</f>
        <v>1.55</v>
      </c>
      <c r="L506" s="56">
        <f t="shared" si="137"/>
        <v>992</v>
      </c>
      <c r="M506" s="57">
        <f t="shared" si="138"/>
        <v>999</v>
      </c>
      <c r="N506" s="52">
        <f>VLOOKUP($A506,'Выгр Кат'!$A:$R,N$1,0)</f>
        <v>640</v>
      </c>
      <c r="O506" s="52">
        <f>VLOOKUP($A506,'Выгр Кат'!$A:$R,O$1,0)</f>
        <v>999</v>
      </c>
      <c r="P506" s="47">
        <f t="shared" si="139"/>
        <v>0</v>
      </c>
      <c r="Q506" s="47">
        <f t="shared" si="140"/>
        <v>0</v>
      </c>
      <c r="R506" s="58">
        <f t="shared" si="141"/>
        <v>999</v>
      </c>
      <c r="S506" s="59">
        <f t="shared" si="142"/>
        <v>0.56093750000000009</v>
      </c>
      <c r="T506" s="59">
        <f t="shared" si="143"/>
        <v>8.3486238532110096E-2</v>
      </c>
      <c r="U506" s="59">
        <f t="shared" si="144"/>
        <v>0.703125</v>
      </c>
      <c r="V506" s="42">
        <f t="shared" si="145"/>
        <v>1090</v>
      </c>
      <c r="W506" s="69">
        <f>IFERROR((VLOOKUP($A506,'Из ГУГЛа'!$B:$Z,W$1,0)+Y506)*X506,VLOOKUP($A506,'Из ГУГЛа'!$B:$Z,W$1,0))</f>
        <v>1090</v>
      </c>
      <c r="X506" s="61">
        <v>1</v>
      </c>
      <c r="Y506" s="61">
        <v>0</v>
      </c>
      <c r="Z506" s="70">
        <v>1090</v>
      </c>
      <c r="AA506" s="60" t="s">
        <v>1337</v>
      </c>
    </row>
    <row r="507" spans="1:27" ht="30" x14ac:dyDescent="0.25">
      <c r="A507" s="52">
        <v>195161</v>
      </c>
      <c r="B507" s="52">
        <f>VLOOKUP($A507,'Выгр Кат'!$A:$R,B$1,0)</f>
        <v>26033</v>
      </c>
      <c r="C507" s="53" t="str">
        <f>VLOOKUP($A507,'Выгр Кат'!$A:$R,C$1,0)</f>
        <v>Пол кузова "АвтоВАЗ" для ВАЗ 2108-21099, 2113-2115</v>
      </c>
      <c r="D507" s="52" t="str">
        <f>VLOOKUP($A507,'Выгр Кат'!$A:$R,D$1,0)</f>
        <v>Y</v>
      </c>
      <c r="E507" s="52" t="str">
        <f>VLOOKUP($A507,'Выгр Кат'!$A:$R,E$1,0)</f>
        <v>1</v>
      </c>
      <c r="F507" s="52" t="str">
        <f>VLOOKUP($A507,'Выгр Кат'!$A:$R,F$1,0)</f>
        <v>21080510102410</v>
      </c>
      <c r="G507" s="52" t="str">
        <f>IF(VLOOKUP($A507,'Выгр Кат'!$A:$R,G$1,0)=0,"",VLOOKUP($A507,'Выгр Кат'!$A:$R,G$1,0))</f>
        <v>https://motorring.ru/product/2892-panely-pola-perednyaya-kataforeznoe-pokrytie-vaz-2108-21099</v>
      </c>
      <c r="H507" s="52"/>
      <c r="I507" s="52"/>
      <c r="J507" s="54">
        <f t="shared" si="136"/>
        <v>7008</v>
      </c>
      <c r="K507" s="55">
        <f>VLOOKUP(J507,Наценка!$A$1:$B$8,2,1)</f>
        <v>1.35</v>
      </c>
      <c r="L507" s="56">
        <f t="shared" si="137"/>
        <v>9460.8000000000011</v>
      </c>
      <c r="M507" s="57">
        <f t="shared" si="138"/>
        <v>9490</v>
      </c>
      <c r="N507" s="52">
        <f>VLOOKUP($A507,'Выгр Кат'!$A:$R,N$1,0)</f>
        <v>7008</v>
      </c>
      <c r="O507" s="52">
        <f>VLOOKUP($A507,'Выгр Кат'!$A:$R,O$1,0)</f>
        <v>9890</v>
      </c>
      <c r="P507" s="47">
        <f t="shared" si="139"/>
        <v>0</v>
      </c>
      <c r="Q507" s="47">
        <f t="shared" si="140"/>
        <v>400</v>
      </c>
      <c r="R507" s="58">
        <f t="shared" si="141"/>
        <v>9490</v>
      </c>
      <c r="S507" s="59">
        <f t="shared" si="142"/>
        <v>0.35416666666666674</v>
      </c>
      <c r="T507" s="59">
        <f t="shared" si="143"/>
        <v>-3.2644178454842222E-2</v>
      </c>
      <c r="U507" s="59">
        <f t="shared" si="144"/>
        <v>0.31135844748858443</v>
      </c>
      <c r="V507" s="42">
        <f t="shared" si="145"/>
        <v>9190</v>
      </c>
      <c r="W507" s="69">
        <f>IFERROR((VLOOKUP($A507,'Из ГУГЛа'!$B:$Z,W$1,0)+Y507)*X507,VLOOKUP($A507,'Из ГУГЛа'!$B:$Z,W$1,0))</f>
        <v>9190</v>
      </c>
      <c r="X507" s="61">
        <v>1</v>
      </c>
      <c r="Y507" s="61">
        <v>0</v>
      </c>
      <c r="Z507" s="70">
        <v>9190</v>
      </c>
      <c r="AA507" s="60" t="s">
        <v>1340</v>
      </c>
    </row>
    <row r="508" spans="1:27" ht="30" x14ac:dyDescent="0.25">
      <c r="A508" s="52">
        <v>195162</v>
      </c>
      <c r="B508" s="52">
        <f>VLOOKUP($A508,'Выгр Кат'!$A:$R,B$1,0)</f>
        <v>41880</v>
      </c>
      <c r="C508" s="53" t="str">
        <f>VLOOKUP($A508,'Выгр Кат'!$A:$R,C$1,0)</f>
        <v>Пол передний "АвтоВАЗ" в сборе для Лада Веста NG седан</v>
      </c>
      <c r="D508" s="52" t="str">
        <f>VLOOKUP($A508,'Выгр Кат'!$A:$R,D$1,0)</f>
        <v>Y</v>
      </c>
      <c r="E508" s="52" t="str">
        <f>VLOOKUP($A508,'Выгр Кат'!$A:$R,E$1,0)</f>
        <v>1</v>
      </c>
      <c r="F508" s="52" t="str">
        <f>VLOOKUP($A508,'Выгр Кат'!$A:$R,F$1,0)</f>
        <v>8450013962</v>
      </c>
      <c r="G508" s="52" t="str">
        <f>IF(VLOOKUP($A508,'Выгр Кат'!$A:$R,G$1,0)=0,"",VLOOKUP($A508,'Выгр Кат'!$A:$R,G$1,0))</f>
        <v/>
      </c>
      <c r="H508" s="52"/>
      <c r="I508" s="52"/>
      <c r="J508" s="54">
        <f t="shared" si="136"/>
        <v>13876</v>
      </c>
      <c r="K508" s="55">
        <f>VLOOKUP(J508,Наценка!$A$1:$B$8,2,1)</f>
        <v>1.3</v>
      </c>
      <c r="L508" s="56">
        <f t="shared" si="137"/>
        <v>18038.8</v>
      </c>
      <c r="M508" s="57">
        <f t="shared" si="138"/>
        <v>18090</v>
      </c>
      <c r="N508" s="52">
        <f>VLOOKUP($A508,'Выгр Кат'!$A:$R,N$1,0)</f>
        <v>13876</v>
      </c>
      <c r="O508" s="52">
        <f>VLOOKUP($A508,'Выгр Кат'!$A:$R,O$1,0)</f>
        <v>19490</v>
      </c>
      <c r="P508" s="47">
        <f t="shared" si="139"/>
        <v>0</v>
      </c>
      <c r="Q508" s="47">
        <f t="shared" si="140"/>
        <v>1400</v>
      </c>
      <c r="R508" s="58">
        <f t="shared" si="141"/>
        <v>18090</v>
      </c>
      <c r="S508" s="59">
        <f t="shared" si="142"/>
        <v>0.30368982415681756</v>
      </c>
      <c r="T508" s="59" t="str">
        <f t="shared" si="143"/>
        <v/>
      </c>
      <c r="U508" s="59" t="str">
        <f t="shared" si="144"/>
        <v/>
      </c>
      <c r="V508" s="60"/>
      <c r="W508" s="69" t="str">
        <f>IFERROR((VLOOKUP($A508,'Из ГУГЛа'!$B:$Z,W$1,0)+Y508)*X508,VLOOKUP($A508,'Из ГУГЛа'!$B:$Z,W$1,0))</f>
        <v/>
      </c>
      <c r="X508" s="61">
        <v>1</v>
      </c>
      <c r="Y508" s="61">
        <v>0</v>
      </c>
      <c r="Z508" s="60" t="s">
        <v>4170</v>
      </c>
      <c r="AA508" s="60"/>
    </row>
    <row r="509" spans="1:27" ht="30" x14ac:dyDescent="0.25">
      <c r="A509" s="52">
        <v>195163</v>
      </c>
      <c r="B509" s="52">
        <f>VLOOKUP($A509,'Выгр Кат'!$A:$R,B$1,0)</f>
        <v>47877</v>
      </c>
      <c r="C509" s="53" t="str">
        <f>VLOOKUP($A509,'Выгр Кат'!$A:$R,C$1,0)</f>
        <v>Пол передний "АвтоВАЗ" левый в сборе для ВАЗ 2101-2107</v>
      </c>
      <c r="D509" s="52" t="str">
        <f>VLOOKUP($A509,'Выгр Кат'!$A:$R,D$1,0)</f>
        <v>Y</v>
      </c>
      <c r="E509" s="52" t="str">
        <f>VLOOKUP($A509,'Выгр Кат'!$A:$R,E$1,0)</f>
        <v>0</v>
      </c>
      <c r="F509" s="52" t="str">
        <f>VLOOKUP($A509,'Выгр Кат'!$A:$R,F$1,0)</f>
        <v>210105101035</v>
      </c>
      <c r="G509" s="52" t="str">
        <f>IF(VLOOKUP($A509,'Выгр Кат'!$A:$R,G$1,0)=0,"",VLOOKUP($A509,'Выгр Кат'!$A:$R,G$1,0))</f>
        <v/>
      </c>
      <c r="H509" s="52"/>
      <c r="I509" s="52"/>
      <c r="J509" s="54">
        <f t="shared" si="136"/>
        <v>646</v>
      </c>
      <c r="K509" s="55">
        <f>VLOOKUP(J509,Наценка!$A$1:$B$8,2,1)</f>
        <v>1.55</v>
      </c>
      <c r="L509" s="56">
        <f t="shared" si="137"/>
        <v>1001.3000000000001</v>
      </c>
      <c r="M509" s="57">
        <f t="shared" si="138"/>
        <v>1090</v>
      </c>
      <c r="N509" s="52">
        <f>VLOOKUP($A509,'Выгр Кат'!$A:$R,N$1,0)</f>
        <v>646</v>
      </c>
      <c r="O509" s="52">
        <f>VLOOKUP($A509,'Выгр Кат'!$A:$R,O$1,0)</f>
        <v>1090</v>
      </c>
      <c r="P509" s="47">
        <f t="shared" si="139"/>
        <v>0</v>
      </c>
      <c r="Q509" s="47">
        <f t="shared" si="140"/>
        <v>0</v>
      </c>
      <c r="R509" s="58">
        <f t="shared" si="141"/>
        <v>1090</v>
      </c>
      <c r="S509" s="59">
        <f t="shared" si="142"/>
        <v>0.68730650154798756</v>
      </c>
      <c r="T509" s="59" t="str">
        <f t="shared" si="143"/>
        <v/>
      </c>
      <c r="U509" s="59" t="str">
        <f t="shared" si="144"/>
        <v/>
      </c>
      <c r="V509" s="60"/>
      <c r="W509" s="69" t="str">
        <f>IFERROR((VLOOKUP($A509,'Из ГУГЛа'!$B:$Z,W$1,0)+Y509)*X509,VLOOKUP($A509,'Из ГУГЛа'!$B:$Z,W$1,0))</f>
        <v/>
      </c>
      <c r="X509" s="61">
        <v>1</v>
      </c>
      <c r="Y509" s="61">
        <v>0</v>
      </c>
      <c r="Z509" s="76" t="s">
        <v>4285</v>
      </c>
      <c r="AA509" s="60"/>
    </row>
    <row r="510" spans="1:27" ht="30" x14ac:dyDescent="0.25">
      <c r="A510" s="52">
        <v>195164</v>
      </c>
      <c r="B510" s="52">
        <f>VLOOKUP($A510,'Выгр Кат'!$A:$R,B$1,0)</f>
        <v>32508</v>
      </c>
      <c r="C510" s="53" t="str">
        <f>VLOOKUP($A510,'Выгр Кат'!$A:$R,C$1,0)</f>
        <v>Пол передний в сборе "АвтоВАЗ" для Лада Калина</v>
      </c>
      <c r="D510" s="52" t="str">
        <f>VLOOKUP($A510,'Выгр Кат'!$A:$R,D$1,0)</f>
        <v>Y</v>
      </c>
      <c r="E510" s="52" t="str">
        <f>VLOOKUP($A510,'Выгр Кат'!$A:$R,E$1,0)</f>
        <v>1</v>
      </c>
      <c r="F510" s="52" t="str">
        <f>VLOOKUP($A510,'Выгр Кат'!$A:$R,F$1,0)</f>
        <v>11180510001499</v>
      </c>
      <c r="G510" s="52" t="str">
        <f>IF(VLOOKUP($A510,'Выгр Кат'!$A:$R,G$1,0)=0,"",VLOOKUP($A510,'Выгр Кат'!$A:$R,G$1,0))</f>
        <v/>
      </c>
      <c r="H510" s="52"/>
      <c r="I510" s="52"/>
      <c r="J510" s="54">
        <f t="shared" si="136"/>
        <v>4732</v>
      </c>
      <c r="K510" s="55">
        <f>VLOOKUP(J510,Наценка!$A$1:$B$8,2,1)</f>
        <v>1.4</v>
      </c>
      <c r="L510" s="56">
        <f t="shared" si="137"/>
        <v>6624.7999999999993</v>
      </c>
      <c r="M510" s="57">
        <f t="shared" si="138"/>
        <v>6690</v>
      </c>
      <c r="N510" s="52">
        <f>VLOOKUP($A510,'Выгр Кат'!$A:$R,N$1,0)</f>
        <v>4732</v>
      </c>
      <c r="O510" s="52">
        <f>VLOOKUP($A510,'Выгр Кат'!$A:$R,O$1,0)</f>
        <v>6690</v>
      </c>
      <c r="P510" s="47">
        <f t="shared" si="139"/>
        <v>0</v>
      </c>
      <c r="Q510" s="47">
        <f t="shared" si="140"/>
        <v>0</v>
      </c>
      <c r="R510" s="58">
        <f t="shared" si="141"/>
        <v>6690</v>
      </c>
      <c r="S510" s="59">
        <f t="shared" si="142"/>
        <v>0.41377852916314461</v>
      </c>
      <c r="T510" s="59" t="str">
        <f t="shared" si="143"/>
        <v/>
      </c>
      <c r="U510" s="59" t="str">
        <f t="shared" si="144"/>
        <v/>
      </c>
      <c r="V510" s="60"/>
      <c r="W510" s="69" t="str">
        <f>IFERROR((VLOOKUP($A510,'Из ГУГЛа'!$B:$Z,W$1,0)+Y510)*X510,VLOOKUP($A510,'Из ГУГЛа'!$B:$Z,W$1,0))</f>
        <v/>
      </c>
      <c r="X510" s="61">
        <v>1</v>
      </c>
      <c r="Y510" s="61">
        <v>0</v>
      </c>
      <c r="Z510" s="60" t="s">
        <v>4170</v>
      </c>
      <c r="AA510" s="60"/>
    </row>
    <row r="511" spans="1:27" ht="30" x14ac:dyDescent="0.25">
      <c r="A511" s="52">
        <v>195165</v>
      </c>
      <c r="B511" s="52">
        <f>VLOOKUP($A511,'Выгр Кат'!$A:$R,B$1,0)</f>
        <v>32507</v>
      </c>
      <c r="C511" s="53" t="str">
        <f>VLOOKUP($A511,'Выгр Кат'!$A:$R,C$1,0)</f>
        <v>Пол передний в сборе (катафорез) "АвтоВАЗ" для Лада Калина</v>
      </c>
      <c r="D511" s="52" t="str">
        <f>VLOOKUP($A511,'Выгр Кат'!$A:$R,D$1,0)</f>
        <v>Y</v>
      </c>
      <c r="E511" s="52" t="str">
        <f>VLOOKUP($A511,'Выгр Кат'!$A:$R,E$1,0)</f>
        <v>1</v>
      </c>
      <c r="F511" s="52" t="str">
        <f>VLOOKUP($A511,'Выгр Кат'!$A:$R,F$1,0)</f>
        <v>11180510001470</v>
      </c>
      <c r="G511" s="52" t="str">
        <f>IF(VLOOKUP($A511,'Выгр Кат'!$A:$R,G$1,0)=0,"",VLOOKUP($A511,'Выгр Кат'!$A:$R,G$1,0))</f>
        <v>https://motorring.ru/product/16634-pol-peredniy-sbore-lada-kalina</v>
      </c>
      <c r="H511" s="52"/>
      <c r="I511" s="52"/>
      <c r="J511" s="54">
        <f t="shared" si="136"/>
        <v>11399</v>
      </c>
      <c r="K511" s="55">
        <f>VLOOKUP(J511,Наценка!$A$1:$B$8,2,1)</f>
        <v>1.3</v>
      </c>
      <c r="L511" s="56">
        <f t="shared" si="137"/>
        <v>14818.7</v>
      </c>
      <c r="M511" s="57">
        <f t="shared" si="138"/>
        <v>14890</v>
      </c>
      <c r="N511" s="52">
        <f>VLOOKUP($A511,'Выгр Кат'!$A:$R,N$1,0)</f>
        <v>11399</v>
      </c>
      <c r="O511" s="52">
        <f>VLOOKUP($A511,'Выгр Кат'!$A:$R,O$1,0)</f>
        <v>15990</v>
      </c>
      <c r="P511" s="47">
        <f t="shared" si="139"/>
        <v>0</v>
      </c>
      <c r="Q511" s="47">
        <f t="shared" si="140"/>
        <v>1100</v>
      </c>
      <c r="R511" s="58">
        <f t="shared" si="141"/>
        <v>14890</v>
      </c>
      <c r="S511" s="59">
        <f t="shared" si="142"/>
        <v>0.30625493464338982</v>
      </c>
      <c r="T511" s="59">
        <f t="shared" si="143"/>
        <v>0.25512756378189094</v>
      </c>
      <c r="U511" s="59">
        <f t="shared" si="144"/>
        <v>0.75366260198263002</v>
      </c>
      <c r="V511" s="42">
        <f t="shared" ref="V511:V513" si="146">Z511</f>
        <v>19990</v>
      </c>
      <c r="W511" s="69">
        <f>IFERROR((VLOOKUP($A511,'Из ГУГЛа'!$B:$Z,W$1,0)+Y511)*X511,VLOOKUP($A511,'Из ГУГЛа'!$B:$Z,W$1,0))</f>
        <v>19990</v>
      </c>
      <c r="X511" s="61">
        <v>1</v>
      </c>
      <c r="Y511" s="61">
        <v>0</v>
      </c>
      <c r="Z511" s="70">
        <v>19990</v>
      </c>
      <c r="AA511" s="60" t="s">
        <v>1350</v>
      </c>
    </row>
    <row r="512" spans="1:27" ht="30" x14ac:dyDescent="0.25">
      <c r="A512" s="52">
        <v>195166</v>
      </c>
      <c r="B512" s="52">
        <f>VLOOKUP($A512,'Выгр Кат'!$A:$R,B$1,0)</f>
        <v>17051</v>
      </c>
      <c r="C512" s="53" t="str">
        <f>VLOOKUP($A512,'Выгр Кат'!$A:$R,C$1,0)</f>
        <v>Пол передний левый голый ВАЗ 2101-2106</v>
      </c>
      <c r="D512" s="52" t="str">
        <f>VLOOKUP($A512,'Выгр Кат'!$A:$R,D$1,0)</f>
        <v>Y</v>
      </c>
      <c r="E512" s="52" t="str">
        <f>VLOOKUP($A512,'Выгр Кат'!$A:$R,E$1,0)</f>
        <v>1</v>
      </c>
      <c r="F512" s="52" t="str">
        <f>VLOOKUP($A512,'Выгр Кат'!$A:$R,F$1,0)</f>
        <v>21010510103163</v>
      </c>
      <c r="G512" s="52" t="str">
        <f>IF(VLOOKUP($A512,'Выгр Кат'!$A:$R,G$1,0)=0,"",VLOOKUP($A512,'Выгр Кат'!$A:$R,G$1,0))</f>
        <v>https://motorring.ru/product/955-pol-peredniy-levyy-golyy-vaz-2101-2106</v>
      </c>
      <c r="H512" s="52"/>
      <c r="I512" s="52"/>
      <c r="J512" s="54">
        <f t="shared" si="136"/>
        <v>1800</v>
      </c>
      <c r="K512" s="55">
        <f>VLOOKUP(J512,Наценка!$A$1:$B$8,2,1)</f>
        <v>1.5</v>
      </c>
      <c r="L512" s="56">
        <f t="shared" si="137"/>
        <v>2700</v>
      </c>
      <c r="M512" s="57">
        <f t="shared" si="138"/>
        <v>2690</v>
      </c>
      <c r="N512" s="52">
        <f>VLOOKUP($A512,'Выгр Кат'!$A:$R,N$1,0)</f>
        <v>1800</v>
      </c>
      <c r="O512" s="52">
        <f>VLOOKUP($A512,'Выгр Кат'!$A:$R,O$1,0)</f>
        <v>2690</v>
      </c>
      <c r="P512" s="47">
        <f t="shared" si="139"/>
        <v>0</v>
      </c>
      <c r="Q512" s="47">
        <f t="shared" si="140"/>
        <v>0</v>
      </c>
      <c r="R512" s="58">
        <f t="shared" si="141"/>
        <v>2690</v>
      </c>
      <c r="S512" s="59">
        <f t="shared" si="142"/>
        <v>0.49444444444444446</v>
      </c>
      <c r="T512" s="59">
        <f t="shared" si="143"/>
        <v>-0.22831050228310501</v>
      </c>
      <c r="U512" s="59">
        <f t="shared" si="144"/>
        <v>0.21666666666666656</v>
      </c>
      <c r="V512" s="42">
        <f t="shared" si="146"/>
        <v>2190</v>
      </c>
      <c r="W512" s="69">
        <f>IFERROR((VLOOKUP($A512,'Из ГУГЛа'!$B:$Z,W$1,0)+Y512)*X512,VLOOKUP($A512,'Из ГУГЛа'!$B:$Z,W$1,0))</f>
        <v>2190</v>
      </c>
      <c r="X512" s="61">
        <v>1</v>
      </c>
      <c r="Y512" s="61">
        <v>0</v>
      </c>
      <c r="Z512" s="70">
        <v>2190</v>
      </c>
      <c r="AA512" s="60" t="s">
        <v>1353</v>
      </c>
    </row>
    <row r="513" spans="1:27" ht="30" x14ac:dyDescent="0.25">
      <c r="A513" s="52">
        <v>195167</v>
      </c>
      <c r="B513" s="52">
        <f>VLOOKUP($A513,'Выгр Кат'!$A:$R,B$1,0)</f>
        <v>17052</v>
      </c>
      <c r="C513" s="53" t="str">
        <f>VLOOKUP($A513,'Выгр Кат'!$A:$R,C$1,0)</f>
        <v>Пол передний правый голый ВАЗ 2101-2106</v>
      </c>
      <c r="D513" s="52" t="str">
        <f>VLOOKUP($A513,'Выгр Кат'!$A:$R,D$1,0)</f>
        <v>Y</v>
      </c>
      <c r="E513" s="52" t="str">
        <f>VLOOKUP($A513,'Выгр Кат'!$A:$R,E$1,0)</f>
        <v>1</v>
      </c>
      <c r="F513" s="52" t="str">
        <f>VLOOKUP($A513,'Выгр Кат'!$A:$R,F$1,0)</f>
        <v>21010510103263</v>
      </c>
      <c r="G513" s="52" t="str">
        <f>IF(VLOOKUP($A513,'Выгр Кат'!$A:$R,G$1,0)=0,"",VLOOKUP($A513,'Выгр Кат'!$A:$R,G$1,0))</f>
        <v>https://motorring.ru/product/959-pol-peredniy-pravyy-golyy-vaz-2101-2106</v>
      </c>
      <c r="H513" s="52"/>
      <c r="I513" s="52"/>
      <c r="J513" s="54">
        <f t="shared" si="136"/>
        <v>1800</v>
      </c>
      <c r="K513" s="55">
        <f>VLOOKUP(J513,Наценка!$A$1:$B$8,2,1)</f>
        <v>1.5</v>
      </c>
      <c r="L513" s="56">
        <f t="shared" si="137"/>
        <v>2700</v>
      </c>
      <c r="M513" s="57">
        <f t="shared" si="138"/>
        <v>2690</v>
      </c>
      <c r="N513" s="52">
        <f>VLOOKUP($A513,'Выгр Кат'!$A:$R,N$1,0)</f>
        <v>1800</v>
      </c>
      <c r="O513" s="52">
        <f>VLOOKUP($A513,'Выгр Кат'!$A:$R,O$1,0)</f>
        <v>2690</v>
      </c>
      <c r="P513" s="47">
        <f t="shared" si="139"/>
        <v>0</v>
      </c>
      <c r="Q513" s="47">
        <f t="shared" si="140"/>
        <v>0</v>
      </c>
      <c r="R513" s="58">
        <f t="shared" si="141"/>
        <v>2690</v>
      </c>
      <c r="S513" s="59">
        <f t="shared" si="142"/>
        <v>0.49444444444444446</v>
      </c>
      <c r="T513" s="59">
        <f t="shared" si="143"/>
        <v>-0.17467248908296942</v>
      </c>
      <c r="U513" s="59">
        <f t="shared" si="144"/>
        <v>0.27222222222222214</v>
      </c>
      <c r="V513" s="42">
        <f t="shared" si="146"/>
        <v>2290</v>
      </c>
      <c r="W513" s="69">
        <f>IFERROR((VLOOKUP($A513,'Из ГУГЛа'!$B:$Z,W$1,0)+Y513)*X513,VLOOKUP($A513,'Из ГУГЛа'!$B:$Z,W$1,0))</f>
        <v>2290</v>
      </c>
      <c r="X513" s="61">
        <v>1</v>
      </c>
      <c r="Y513" s="61">
        <v>0</v>
      </c>
      <c r="Z513" s="70">
        <v>2290</v>
      </c>
      <c r="AA513" s="60" t="s">
        <v>1356</v>
      </c>
    </row>
    <row r="514" spans="1:27" ht="30" x14ac:dyDescent="0.25">
      <c r="A514" s="52">
        <v>195178</v>
      </c>
      <c r="B514" s="52">
        <f>VLOOKUP($A514,'Выгр Кат'!$A:$R,B$1,0)</f>
        <v>31211</v>
      </c>
      <c r="C514" s="53" t="str">
        <f>VLOOKUP($A514,'Выгр Кат'!$A:$R,C$1,0)</f>
        <v>Полка задка в сборе "АвтоВАЗ" для Лада Гранта, Гранта FL седан</v>
      </c>
      <c r="D514" s="52" t="str">
        <f>VLOOKUP($A514,'Выгр Кат'!$A:$R,D$1,0)</f>
        <v>Y</v>
      </c>
      <c r="E514" s="52" t="str">
        <f>VLOOKUP($A514,'Выгр Кат'!$A:$R,E$1,0)</f>
        <v>1</v>
      </c>
      <c r="F514" s="52" t="str">
        <f>VLOOKUP($A514,'Выгр Кат'!$A:$R,F$1,0)</f>
        <v>21900560126400</v>
      </c>
      <c r="G514" s="52" t="str">
        <f>IF(VLOOKUP($A514,'Выгр Кат'!$A:$R,G$1,0)=0,"",VLOOKUP($A514,'Выгр Кат'!$A:$R,G$1,0))</f>
        <v/>
      </c>
      <c r="H514" s="52"/>
      <c r="I514" s="52"/>
      <c r="J514" s="54">
        <f t="shared" si="136"/>
        <v>2401</v>
      </c>
      <c r="K514" s="55">
        <f>VLOOKUP(J514,Наценка!$A$1:$B$8,2,1)</f>
        <v>1.4</v>
      </c>
      <c r="L514" s="56">
        <f t="shared" si="137"/>
        <v>3361.3999999999996</v>
      </c>
      <c r="M514" s="57">
        <f t="shared" si="138"/>
        <v>3390</v>
      </c>
      <c r="N514" s="52">
        <f>VLOOKUP($A514,'Выгр Кат'!$A:$R,N$1,0)</f>
        <v>2401</v>
      </c>
      <c r="O514" s="52">
        <f>VLOOKUP($A514,'Выгр Кат'!$A:$R,O$1,0)</f>
        <v>3390</v>
      </c>
      <c r="P514" s="47">
        <f t="shared" si="139"/>
        <v>0</v>
      </c>
      <c r="Q514" s="47">
        <f t="shared" si="140"/>
        <v>0</v>
      </c>
      <c r="R514" s="58">
        <f t="shared" si="141"/>
        <v>3390</v>
      </c>
      <c r="S514" s="59">
        <f t="shared" si="142"/>
        <v>0.41191170345689287</v>
      </c>
      <c r="T514" s="59" t="str">
        <f t="shared" si="143"/>
        <v/>
      </c>
      <c r="U514" s="59" t="str">
        <f t="shared" si="144"/>
        <v/>
      </c>
      <c r="V514" s="60"/>
      <c r="W514" s="69" t="str">
        <f>IFERROR((VLOOKUP($A514,'Из ГУГЛа'!$B:$Z,W$1,0)+Y514)*X514,VLOOKUP($A514,'Из ГУГЛа'!$B:$Z,W$1,0))</f>
        <v/>
      </c>
      <c r="X514" s="61">
        <v>1</v>
      </c>
      <c r="Y514" s="61">
        <v>0</v>
      </c>
      <c r="Z514" s="60" t="s">
        <v>4170</v>
      </c>
      <c r="AA514" s="60"/>
    </row>
    <row r="515" spans="1:27" ht="45" x14ac:dyDescent="0.25">
      <c r="A515" s="52">
        <v>356285</v>
      </c>
      <c r="B515" s="52">
        <f>VLOOKUP($A515,'Выгр Кат'!$A:$R,B$1,0)</f>
        <v>356285</v>
      </c>
      <c r="C515" s="53" t="str">
        <f>VLOOKUP($A515,'Выгр Кат'!$A:$R,C$1,0)</f>
        <v>Поперечина "Renault" S.A.S задняя (под третий ряд сидений) для Лада Ларгус</v>
      </c>
      <c r="D515" s="52" t="str">
        <f>VLOOKUP($A515,'Выгр Кат'!$A:$R,D$1,0)</f>
        <v>Y</v>
      </c>
      <c r="E515" s="52" t="str">
        <f>VLOOKUP($A515,'Выгр Кат'!$A:$R,E$1,0)</f>
        <v>1</v>
      </c>
      <c r="F515" s="52" t="str">
        <f>VLOOKUP($A515,'Выгр Кат'!$A:$R,F$1,0)</f>
        <v>6001548782</v>
      </c>
      <c r="G515" s="52" t="str">
        <f>IF(VLOOKUP($A515,'Выгр Кат'!$A:$R,G$1,0)=0,"",VLOOKUP($A515,'Выгр Кат'!$A:$R,G$1,0))</f>
        <v/>
      </c>
      <c r="H515" s="52"/>
      <c r="I515" s="52"/>
      <c r="J515" s="54">
        <f t="shared" si="136"/>
        <v>1710</v>
      </c>
      <c r="K515" s="55">
        <f>VLOOKUP(J515,Наценка!$A$1:$B$8,2,1)</f>
        <v>1.5</v>
      </c>
      <c r="L515" s="56">
        <f t="shared" si="137"/>
        <v>2565</v>
      </c>
      <c r="M515" s="57">
        <f t="shared" si="138"/>
        <v>2590</v>
      </c>
      <c r="N515" s="52">
        <f>VLOOKUP($A515,'Выгр Кат'!$A:$R,N$1,0)</f>
        <v>1710</v>
      </c>
      <c r="O515" s="52">
        <f>VLOOKUP($A515,'Выгр Кат'!$A:$R,O$1,0)</f>
        <v>2590</v>
      </c>
      <c r="P515" s="47">
        <f t="shared" si="139"/>
        <v>0</v>
      </c>
      <c r="Q515" s="47">
        <f t="shared" si="140"/>
        <v>0</v>
      </c>
      <c r="R515" s="58">
        <f t="shared" si="141"/>
        <v>2590</v>
      </c>
      <c r="S515" s="59">
        <f t="shared" si="142"/>
        <v>0.51461988304093564</v>
      </c>
      <c r="T515" s="59" t="str">
        <f t="shared" si="143"/>
        <v/>
      </c>
      <c r="U515" s="59" t="str">
        <f t="shared" si="144"/>
        <v/>
      </c>
      <c r="V515" s="60"/>
      <c r="W515" s="69" t="str">
        <f>IFERROR((VLOOKUP($A515,'Из ГУГЛа'!$B:$Z,W$1,0)+Y515)*X515,VLOOKUP($A515,'Из ГУГЛа'!$B:$Z,W$1,0))</f>
        <v/>
      </c>
      <c r="X515" s="61">
        <v>1</v>
      </c>
      <c r="Y515" s="61">
        <v>0</v>
      </c>
      <c r="Z515" s="60" t="s">
        <v>4170</v>
      </c>
      <c r="AA515" s="60"/>
    </row>
    <row r="516" spans="1:27" ht="45" x14ac:dyDescent="0.25">
      <c r="A516" s="52">
        <v>195343</v>
      </c>
      <c r="B516" s="52">
        <f>VLOOKUP($A516,'Выгр Кат'!$A:$R,B$1,0)</f>
        <v>31198</v>
      </c>
      <c r="C516" s="53" t="str">
        <f>VLOOKUP($A516,'Выгр Кат'!$A:$R,C$1,0)</f>
        <v>Поперечина "АвтоВАЗ" рамки радиатора нижняя в сборе для Лада Веста</v>
      </c>
      <c r="D516" s="52" t="str">
        <f>VLOOKUP($A516,'Выгр Кат'!$A:$R,D$1,0)</f>
        <v>Y</v>
      </c>
      <c r="E516" s="52" t="str">
        <f>VLOOKUP($A516,'Выгр Кат'!$A:$R,E$1,0)</f>
        <v>1ск1</v>
      </c>
      <c r="F516" s="52" t="str">
        <f>VLOOKUP($A516,'Выгр Кат'!$A:$R,F$1,0)</f>
        <v>8450008128</v>
      </c>
      <c r="G516" s="52" t="str">
        <f>IF(VLOOKUP($A516,'Выгр Кат'!$A:$R,G$1,0)=0,"",VLOOKUP($A516,'Выгр Кат'!$A:$R,G$1,0))</f>
        <v>https://motorring.ru/product/18989-poperechina-ramki-radiatora-nighnyaya-lada-vesta</v>
      </c>
      <c r="H516" s="52"/>
      <c r="I516" s="52"/>
      <c r="J516" s="54">
        <f t="shared" si="136"/>
        <v>3390</v>
      </c>
      <c r="K516" s="55">
        <f>VLOOKUP(J516,Наценка!$A$1:$B$8,2,1)</f>
        <v>1.4</v>
      </c>
      <c r="L516" s="56">
        <f t="shared" si="137"/>
        <v>4746</v>
      </c>
      <c r="M516" s="57">
        <f t="shared" si="138"/>
        <v>4790</v>
      </c>
      <c r="N516" s="52">
        <f>VLOOKUP($A516,'Выгр Кат'!$A:$R,N$1,0)</f>
        <v>3390</v>
      </c>
      <c r="O516" s="52">
        <f>VLOOKUP($A516,'Выгр Кат'!$A:$R,O$1,0)</f>
        <v>4790</v>
      </c>
      <c r="P516" s="47">
        <f t="shared" si="139"/>
        <v>0</v>
      </c>
      <c r="Q516" s="47">
        <f t="shared" si="140"/>
        <v>0</v>
      </c>
      <c r="R516" s="58">
        <f t="shared" si="141"/>
        <v>4790</v>
      </c>
      <c r="S516" s="59">
        <f t="shared" si="142"/>
        <v>0.41297935103244843</v>
      </c>
      <c r="T516" s="59">
        <f t="shared" si="143"/>
        <v>-2.1321961620469083E-2</v>
      </c>
      <c r="U516" s="59">
        <f t="shared" si="144"/>
        <v>0.38348082595870214</v>
      </c>
      <c r="V516" s="42">
        <f>Z516</f>
        <v>4690</v>
      </c>
      <c r="W516" s="69">
        <f>IFERROR((VLOOKUP($A516,'Из ГУГЛа'!$B:$Z,W$1,0)+Y516)*X516,VLOOKUP($A516,'Из ГУГЛа'!$B:$Z,W$1,0))</f>
        <v>4690</v>
      </c>
      <c r="X516" s="61">
        <v>1</v>
      </c>
      <c r="Y516" s="61">
        <v>0</v>
      </c>
      <c r="Z516" s="70">
        <v>4690</v>
      </c>
      <c r="AA516" s="60" t="s">
        <v>1363</v>
      </c>
    </row>
    <row r="517" spans="1:27" ht="30" x14ac:dyDescent="0.25">
      <c r="A517" s="52">
        <v>195254</v>
      </c>
      <c r="B517" s="52">
        <f>VLOOKUP($A517,'Выгр Кат'!$A:$R,B$1,0)</f>
        <v>32548</v>
      </c>
      <c r="C517" s="53" t="str">
        <f>VLOOKUP($A517,'Выгр Кат'!$A:$R,C$1,0)</f>
        <v>Поперечина (лопух) рамки заднего окна "АвтоВАЗ" для ВАЗ 2110</v>
      </c>
      <c r="D517" s="52" t="str">
        <f>VLOOKUP($A517,'Выгр Кат'!$A:$R,D$1,0)</f>
        <v>Y</v>
      </c>
      <c r="E517" s="52" t="str">
        <f>VLOOKUP($A517,'Выгр Кат'!$A:$R,E$1,0)</f>
        <v>1</v>
      </c>
      <c r="F517" s="52" t="str">
        <f>VLOOKUP($A517,'Выгр Кат'!$A:$R,F$1,0)</f>
        <v>21100560125000</v>
      </c>
      <c r="G517" s="52" t="str">
        <f>IF(VLOOKUP($A517,'Выгр Кат'!$A:$R,G$1,0)=0,"",VLOOKUP($A517,'Выгр Кат'!$A:$R,G$1,0))</f>
        <v/>
      </c>
      <c r="H517" s="52"/>
      <c r="I517" s="52"/>
      <c r="J517" s="54">
        <f t="shared" si="136"/>
        <v>153</v>
      </c>
      <c r="K517" s="55">
        <f>VLOOKUP(J517,Наценка!$A$1:$B$8,2,1)</f>
        <v>1.8</v>
      </c>
      <c r="L517" s="56">
        <f t="shared" si="137"/>
        <v>275.40000000000003</v>
      </c>
      <c r="M517" s="57">
        <f t="shared" si="138"/>
        <v>279</v>
      </c>
      <c r="N517" s="52">
        <f>VLOOKUP($A517,'Выгр Кат'!$A:$R,N$1,0)</f>
        <v>153</v>
      </c>
      <c r="O517" s="52">
        <f>VLOOKUP($A517,'Выгр Кат'!$A:$R,O$1,0)</f>
        <v>279</v>
      </c>
      <c r="P517" s="47">
        <f t="shared" si="139"/>
        <v>0</v>
      </c>
      <c r="Q517" s="47">
        <f t="shared" si="140"/>
        <v>0</v>
      </c>
      <c r="R517" s="58">
        <f t="shared" si="141"/>
        <v>279</v>
      </c>
      <c r="S517" s="59">
        <f t="shared" si="142"/>
        <v>0.82352941176470584</v>
      </c>
      <c r="T517" s="59" t="str">
        <f t="shared" si="143"/>
        <v/>
      </c>
      <c r="U517" s="59" t="str">
        <f t="shared" si="144"/>
        <v/>
      </c>
      <c r="V517" s="60"/>
      <c r="W517" s="69" t="str">
        <f>IFERROR((VLOOKUP($A517,'Из ГУГЛа'!$B:$Z,W$1,0)+Y517)*X517,VLOOKUP($A517,'Из ГУГЛа'!$B:$Z,W$1,0))</f>
        <v/>
      </c>
      <c r="X517" s="61">
        <v>1</v>
      </c>
      <c r="Y517" s="61">
        <v>0</v>
      </c>
      <c r="Z517" s="60" t="s">
        <v>4169</v>
      </c>
      <c r="AA517" s="60"/>
    </row>
    <row r="518" spans="1:27" ht="45" x14ac:dyDescent="0.25">
      <c r="A518" s="52">
        <v>195255</v>
      </c>
      <c r="B518" s="52">
        <f>VLOOKUP($A518,'Выгр Кат'!$A:$R,B$1,0)</f>
        <v>31401</v>
      </c>
      <c r="C518" s="53" t="str">
        <f>VLOOKUP($A518,'Выгр Кат'!$A:$R,C$1,0)</f>
        <v>Поперечина (лопух) рамки заднего окна (катафорез) "АвтоВАЗ" для ВАЗ 2110</v>
      </c>
      <c r="D518" s="52" t="str">
        <f>VLOOKUP($A518,'Выгр Кат'!$A:$R,D$1,0)</f>
        <v>Y</v>
      </c>
      <c r="E518" s="52" t="str">
        <f>VLOOKUP($A518,'Выгр Кат'!$A:$R,E$1,0)</f>
        <v>1</v>
      </c>
      <c r="F518" s="52" t="str">
        <f>VLOOKUP($A518,'Выгр Кат'!$A:$R,F$1,0)</f>
        <v>21100560125010</v>
      </c>
      <c r="G518" s="52" t="str">
        <f>IF(VLOOKUP($A518,'Выгр Кат'!$A:$R,G$1,0)=0,"",VLOOKUP($A518,'Выгр Кат'!$A:$R,G$1,0))</f>
        <v>https://motorring.ru/product/771-poperechina-ramki-zadnego-okna-lopuh-kataforeznoe-pokrytie</v>
      </c>
      <c r="H518" s="52"/>
      <c r="I518" s="52"/>
      <c r="J518" s="54">
        <f t="shared" si="136"/>
        <v>1290</v>
      </c>
      <c r="K518" s="55">
        <f>VLOOKUP(J518,Наценка!$A$1:$B$8,2,1)</f>
        <v>1.5</v>
      </c>
      <c r="L518" s="56">
        <f t="shared" si="137"/>
        <v>1935</v>
      </c>
      <c r="M518" s="57">
        <f t="shared" si="138"/>
        <v>1990</v>
      </c>
      <c r="N518" s="52">
        <f>VLOOKUP($A518,'Выгр Кат'!$A:$R,N$1,0)</f>
        <v>1290</v>
      </c>
      <c r="O518" s="52">
        <f>VLOOKUP($A518,'Выгр Кат'!$A:$R,O$1,0)</f>
        <v>1990</v>
      </c>
      <c r="P518" s="47">
        <f t="shared" si="139"/>
        <v>0</v>
      </c>
      <c r="Q518" s="47">
        <f t="shared" si="140"/>
        <v>0</v>
      </c>
      <c r="R518" s="58">
        <f t="shared" si="141"/>
        <v>1990</v>
      </c>
      <c r="S518" s="59">
        <f t="shared" si="142"/>
        <v>0.54263565891472876</v>
      </c>
      <c r="T518" s="59">
        <f t="shared" si="143"/>
        <v>0.20080321285140562</v>
      </c>
      <c r="U518" s="59">
        <f t="shared" si="144"/>
        <v>0.93023255813953498</v>
      </c>
      <c r="V518" s="42">
        <f>Z518</f>
        <v>2490</v>
      </c>
      <c r="W518" s="69">
        <f>IFERROR((VLOOKUP($A518,'Из ГУГЛа'!$B:$Z,W$1,0)+Y518)*X518,VLOOKUP($A518,'Из ГУГЛа'!$B:$Z,W$1,0))</f>
        <v>2490</v>
      </c>
      <c r="X518" s="61">
        <v>1</v>
      </c>
      <c r="Y518" s="61">
        <v>0</v>
      </c>
      <c r="Z518" s="70">
        <v>2490</v>
      </c>
      <c r="AA518" s="60" t="s">
        <v>1368</v>
      </c>
    </row>
    <row r="519" spans="1:27" ht="30" x14ac:dyDescent="0.25">
      <c r="A519" s="52">
        <v>195257</v>
      </c>
      <c r="B519" s="52">
        <f>VLOOKUP($A519,'Выгр Кат'!$A:$R,B$1,0)</f>
        <v>51526</v>
      </c>
      <c r="C519" s="53" t="str">
        <f>VLOOKUP($A519,'Выгр Кат'!$A:$R,C$1,0)</f>
        <v>Поперечина ветрового окна "АвтоВАЗ" нижняя в сборе для Лада Ларгус</v>
      </c>
      <c r="D519" s="52" t="str">
        <f>VLOOKUP($A519,'Выгр Кат'!$A:$R,D$1,0)</f>
        <v>Y</v>
      </c>
      <c r="E519" s="52" t="str">
        <f>VLOOKUP($A519,'Выгр Кат'!$A:$R,E$1,0)</f>
        <v>1</v>
      </c>
      <c r="F519" s="52" t="str">
        <f>VLOOKUP($A519,'Выгр Кат'!$A:$R,F$1,0)</f>
        <v>8450013062</v>
      </c>
      <c r="G519" s="52" t="str">
        <f>IF(VLOOKUP($A519,'Выгр Кат'!$A:$R,G$1,0)=0,"",VLOOKUP($A519,'Выгр Кат'!$A:$R,G$1,0))</f>
        <v/>
      </c>
      <c r="H519" s="52"/>
      <c r="I519" s="52"/>
      <c r="J519" s="54">
        <f t="shared" si="136"/>
        <v>10772.13</v>
      </c>
      <c r="K519" s="55">
        <f>VLOOKUP(J519,Наценка!$A$1:$B$8,2,1)</f>
        <v>1.3</v>
      </c>
      <c r="L519" s="56">
        <f t="shared" si="137"/>
        <v>14003.769</v>
      </c>
      <c r="M519" s="57">
        <f t="shared" si="138"/>
        <v>14090</v>
      </c>
      <c r="N519" s="52">
        <f>VLOOKUP($A519,'Выгр Кат'!$A:$R,N$1,0)</f>
        <v>10772.13</v>
      </c>
      <c r="O519" s="52">
        <f>VLOOKUP($A519,'Выгр Кат'!$A:$R,O$1,0)</f>
        <v>14090</v>
      </c>
      <c r="P519" s="47">
        <f t="shared" si="139"/>
        <v>0</v>
      </c>
      <c r="Q519" s="47">
        <f t="shared" si="140"/>
        <v>0</v>
      </c>
      <c r="R519" s="58">
        <f t="shared" si="141"/>
        <v>14090</v>
      </c>
      <c r="S519" s="59">
        <f t="shared" si="142"/>
        <v>0.30800500922287433</v>
      </c>
      <c r="T519" s="59" t="str">
        <f t="shared" si="143"/>
        <v/>
      </c>
      <c r="U519" s="59" t="str">
        <f t="shared" si="144"/>
        <v/>
      </c>
      <c r="V519" s="60"/>
      <c r="W519" s="69" t="str">
        <f>IFERROR((VLOOKUP($A519,'Из ГУГЛа'!$B:$Z,W$1,0)+Y519)*X519,VLOOKUP($A519,'Из ГУГЛа'!$B:$Z,W$1,0))</f>
        <v/>
      </c>
      <c r="X519" s="61">
        <v>1</v>
      </c>
      <c r="Y519" s="61">
        <v>0</v>
      </c>
      <c r="Z519" s="60" t="s">
        <v>4170</v>
      </c>
      <c r="AA519" s="60"/>
    </row>
    <row r="520" spans="1:27" ht="30" x14ac:dyDescent="0.25">
      <c r="A520" s="52">
        <v>195258</v>
      </c>
      <c r="B520" s="52">
        <f>VLOOKUP($A520,'Выгр Кат'!$A:$R,B$1,0)</f>
        <v>50738</v>
      </c>
      <c r="C520" s="53" t="str">
        <f>VLOOKUP($A520,'Выгр Кат'!$A:$R,C$1,0)</f>
        <v>Поперечина задка "АвтоВАЗ" в сборе для Лада Веста SW, SW Cross</v>
      </c>
      <c r="D520" s="52" t="str">
        <f>VLOOKUP($A520,'Выгр Кат'!$A:$R,D$1,0)</f>
        <v>Y</v>
      </c>
      <c r="E520" s="52" t="str">
        <f>VLOOKUP($A520,'Выгр Кат'!$A:$R,E$1,0)</f>
        <v>1ск1</v>
      </c>
      <c r="F520" s="52" t="str">
        <f>VLOOKUP($A520,'Выгр Кат'!$A:$R,F$1,0)</f>
        <v>8450102342</v>
      </c>
      <c r="G520" s="52" t="str">
        <f>IF(VLOOKUP($A520,'Выгр Кат'!$A:$R,G$1,0)=0,"",VLOOKUP($A520,'Выгр Кат'!$A:$R,G$1,0))</f>
        <v>https://motorring.ru/product/38292-usilitely-paneli-zadka-dlya-lada-vesta-vesta-cross</v>
      </c>
      <c r="H520" s="52"/>
      <c r="I520" s="52"/>
      <c r="J520" s="54">
        <f t="shared" si="136"/>
        <v>3677</v>
      </c>
      <c r="K520" s="55">
        <f>VLOOKUP(J520,Наценка!$A$1:$B$8,2,1)</f>
        <v>1.4</v>
      </c>
      <c r="L520" s="56">
        <f t="shared" si="137"/>
        <v>5147.7999999999993</v>
      </c>
      <c r="M520" s="57">
        <f t="shared" si="138"/>
        <v>5190</v>
      </c>
      <c r="N520" s="52">
        <f>VLOOKUP($A520,'Выгр Кат'!$A:$R,N$1,0)</f>
        <v>3677</v>
      </c>
      <c r="O520" s="52">
        <f>VLOOKUP($A520,'Выгр Кат'!$A:$R,O$1,0)</f>
        <v>5190</v>
      </c>
      <c r="P520" s="47">
        <f t="shared" si="139"/>
        <v>0</v>
      </c>
      <c r="Q520" s="47">
        <f t="shared" si="140"/>
        <v>0</v>
      </c>
      <c r="R520" s="58">
        <f t="shared" si="141"/>
        <v>5190</v>
      </c>
      <c r="S520" s="59">
        <f t="shared" si="142"/>
        <v>0.4114767473483818</v>
      </c>
      <c r="T520" s="59">
        <f t="shared" si="143"/>
        <v>-4.0080160320641281E-2</v>
      </c>
      <c r="U520" s="59">
        <f t="shared" si="144"/>
        <v>0.35708457982050579</v>
      </c>
      <c r="V520" s="42">
        <f>Z520</f>
        <v>4990</v>
      </c>
      <c r="W520" s="69">
        <f>IFERROR((VLOOKUP($A520,'Из ГУГЛа'!$B:$Z,W$1,0)+Y520)*X520,VLOOKUP($A520,'Из ГУГЛа'!$B:$Z,W$1,0))</f>
        <v>4990</v>
      </c>
      <c r="X520" s="61">
        <v>1</v>
      </c>
      <c r="Y520" s="61">
        <v>0</v>
      </c>
      <c r="Z520" s="70">
        <v>4990</v>
      </c>
      <c r="AA520" s="60" t="s">
        <v>1375</v>
      </c>
    </row>
    <row r="521" spans="1:27" ht="45" x14ac:dyDescent="0.25">
      <c r="A521" s="52">
        <v>357526</v>
      </c>
      <c r="B521" s="52">
        <f>VLOOKUP($A521,'Выгр Кат'!$A:$R,B$1,0)</f>
        <v>357526</v>
      </c>
      <c r="C521" s="53" t="str">
        <f>VLOOKUP($A521,'Выгр Кат'!$A:$R,C$1,0)</f>
        <v>Поперечина заднего лонжерона "Renault" S.A.S боковая (левая) для Лада Ларгус</v>
      </c>
      <c r="D521" s="52" t="str">
        <f>VLOOKUP($A521,'Выгр Кат'!$A:$R,D$1,0)</f>
        <v>Y</v>
      </c>
      <c r="E521" s="52" t="str">
        <f>VLOOKUP($A521,'Выгр Кат'!$A:$R,E$1,0)</f>
        <v>1</v>
      </c>
      <c r="F521" s="52" t="str">
        <f>VLOOKUP($A521,'Выгр Кат'!$A:$R,F$1,0)</f>
        <v>6001548785</v>
      </c>
      <c r="G521" s="52" t="str">
        <f>IF(VLOOKUP($A521,'Выгр Кат'!$A:$R,G$1,0)=0,"",VLOOKUP($A521,'Выгр Кат'!$A:$R,G$1,0))</f>
        <v/>
      </c>
      <c r="H521" s="52"/>
      <c r="I521" s="52"/>
      <c r="J521" s="54">
        <f t="shared" si="136"/>
        <v>2389</v>
      </c>
      <c r="K521" s="55">
        <f>VLOOKUP(J521,Наценка!$A$1:$B$8,2,1)</f>
        <v>1.4</v>
      </c>
      <c r="L521" s="56">
        <f t="shared" si="137"/>
        <v>3344.6</v>
      </c>
      <c r="M521" s="57">
        <f t="shared" si="138"/>
        <v>3390</v>
      </c>
      <c r="N521" s="52">
        <f>VLOOKUP($A521,'Выгр Кат'!$A:$R,N$1,0)</f>
        <v>2389</v>
      </c>
      <c r="O521" s="52">
        <f>VLOOKUP($A521,'Выгр Кат'!$A:$R,O$1,0)</f>
        <v>3390</v>
      </c>
      <c r="P521" s="47">
        <f t="shared" si="139"/>
        <v>0</v>
      </c>
      <c r="Q521" s="47">
        <f t="shared" si="140"/>
        <v>0</v>
      </c>
      <c r="R521" s="58">
        <f t="shared" si="141"/>
        <v>3390</v>
      </c>
      <c r="S521" s="59">
        <f t="shared" si="142"/>
        <v>0.41900376726663868</v>
      </c>
      <c r="T521" s="59" t="str">
        <f t="shared" si="143"/>
        <v/>
      </c>
      <c r="U521" s="59" t="str">
        <f t="shared" si="144"/>
        <v/>
      </c>
      <c r="V521" s="60"/>
      <c r="W521" s="69" t="str">
        <f>IFERROR((VLOOKUP($A521,'Из ГУГЛа'!$B:$Z,W$1,0)+Y521)*X521,VLOOKUP($A521,'Из ГУГЛа'!$B:$Z,W$1,0))</f>
        <v/>
      </c>
      <c r="X521" s="61">
        <v>1</v>
      </c>
      <c r="Y521" s="61">
        <v>0</v>
      </c>
      <c r="Z521" s="60" t="s">
        <v>4170</v>
      </c>
      <c r="AA521" s="60"/>
    </row>
    <row r="522" spans="1:27" ht="45" x14ac:dyDescent="0.25">
      <c r="A522" s="52">
        <v>357529</v>
      </c>
      <c r="B522" s="52">
        <f>VLOOKUP($A522,'Выгр Кат'!$A:$R,B$1,0)</f>
        <v>357529</v>
      </c>
      <c r="C522" s="53" t="str">
        <f>VLOOKUP($A522,'Выгр Кат'!$A:$R,C$1,0)</f>
        <v>Поперечина заднего лонжерона "АвтоВАЗ" боковая (правая) для Лада Ларгус</v>
      </c>
      <c r="D522" s="52" t="str">
        <f>VLOOKUP($A522,'Выгр Кат'!$A:$R,D$1,0)</f>
        <v>Y</v>
      </c>
      <c r="E522" s="52" t="str">
        <f>VLOOKUP($A522,'Выгр Кат'!$A:$R,E$1,0)</f>
        <v>1</v>
      </c>
      <c r="F522" s="52" t="str">
        <f>VLOOKUP($A522,'Выгр Кат'!$A:$R,F$1,0)</f>
        <v>6001548786</v>
      </c>
      <c r="G522" s="52" t="str">
        <f>IF(VLOOKUP($A522,'Выгр Кат'!$A:$R,G$1,0)=0,"",VLOOKUP($A522,'Выгр Кат'!$A:$R,G$1,0))</f>
        <v/>
      </c>
      <c r="H522" s="52"/>
      <c r="I522" s="52"/>
      <c r="J522" s="54">
        <f t="shared" si="136"/>
        <v>2389</v>
      </c>
      <c r="K522" s="55">
        <f>VLOOKUP(J522,Наценка!$A$1:$B$8,2,1)</f>
        <v>1.4</v>
      </c>
      <c r="L522" s="56">
        <f t="shared" si="137"/>
        <v>3344.6</v>
      </c>
      <c r="M522" s="57">
        <f t="shared" si="138"/>
        <v>3390</v>
      </c>
      <c r="N522" s="52">
        <f>VLOOKUP($A522,'Выгр Кат'!$A:$R,N$1,0)</f>
        <v>2389</v>
      </c>
      <c r="O522" s="52">
        <f>VLOOKUP($A522,'Выгр Кат'!$A:$R,O$1,0)</f>
        <v>3390</v>
      </c>
      <c r="P522" s="47">
        <f t="shared" si="139"/>
        <v>0</v>
      </c>
      <c r="Q522" s="47">
        <f t="shared" si="140"/>
        <v>0</v>
      </c>
      <c r="R522" s="58">
        <f t="shared" si="141"/>
        <v>3390</v>
      </c>
      <c r="S522" s="59">
        <f t="shared" si="142"/>
        <v>0.41900376726663868</v>
      </c>
      <c r="T522" s="59" t="str">
        <f t="shared" si="143"/>
        <v/>
      </c>
      <c r="U522" s="59" t="str">
        <f t="shared" si="144"/>
        <v/>
      </c>
      <c r="V522" s="60"/>
      <c r="W522" s="69" t="str">
        <f>IFERROR((VLOOKUP($A522,'Из ГУГЛа'!$B:$Z,W$1,0)+Y522)*X522,VLOOKUP($A522,'Из ГУГЛа'!$B:$Z,W$1,0))</f>
        <v/>
      </c>
      <c r="X522" s="61">
        <v>1</v>
      </c>
      <c r="Y522" s="61">
        <v>0</v>
      </c>
      <c r="Z522" s="60" t="s">
        <v>4170</v>
      </c>
      <c r="AA522" s="60"/>
    </row>
    <row r="523" spans="1:27" ht="30" x14ac:dyDescent="0.25">
      <c r="A523" s="52">
        <v>195259</v>
      </c>
      <c r="B523" s="52">
        <f>VLOOKUP($A523,'Выгр Кат'!$A:$R,B$1,0)</f>
        <v>31052</v>
      </c>
      <c r="C523" s="53" t="str">
        <f>VLOOKUP($A523,'Выгр Кат'!$A:$R,C$1,0)</f>
        <v>Поперечина крайняя "Renault" для Лада Ларгус</v>
      </c>
      <c r="D523" s="52" t="str">
        <f>VLOOKUP($A523,'Выгр Кат'!$A:$R,D$1,0)</f>
        <v>Y</v>
      </c>
      <c r="E523" s="52" t="str">
        <f>VLOOKUP($A523,'Выгр Кат'!$A:$R,E$1,0)</f>
        <v>1</v>
      </c>
      <c r="F523" s="52" t="str">
        <f>VLOOKUP($A523,'Выгр Кат'!$A:$R,F$1,0)</f>
        <v>6001548812</v>
      </c>
      <c r="G523" s="52" t="str">
        <f>IF(VLOOKUP($A523,'Выгр Кат'!$A:$R,G$1,0)=0,"",VLOOKUP($A523,'Выгр Кат'!$A:$R,G$1,0))</f>
        <v/>
      </c>
      <c r="H523" s="52"/>
      <c r="I523" s="52"/>
      <c r="J523" s="54">
        <f t="shared" si="136"/>
        <v>9872</v>
      </c>
      <c r="K523" s="55">
        <f>VLOOKUP(J523,Наценка!$A$1:$B$8,2,1)</f>
        <v>1.35</v>
      </c>
      <c r="L523" s="56">
        <f t="shared" si="137"/>
        <v>13327.2</v>
      </c>
      <c r="M523" s="57">
        <f t="shared" si="138"/>
        <v>13390</v>
      </c>
      <c r="N523" s="52">
        <f>VLOOKUP($A523,'Выгр Кат'!$A:$R,N$1,0)</f>
        <v>9872</v>
      </c>
      <c r="O523" s="52">
        <f>VLOOKUP($A523,'Выгр Кат'!$A:$R,O$1,0)</f>
        <v>13890</v>
      </c>
      <c r="P523" s="47">
        <f t="shared" si="139"/>
        <v>0</v>
      </c>
      <c r="Q523" s="47">
        <f t="shared" si="140"/>
        <v>500</v>
      </c>
      <c r="R523" s="58">
        <f t="shared" si="141"/>
        <v>13390</v>
      </c>
      <c r="S523" s="59">
        <f t="shared" si="142"/>
        <v>0.3563614262560777</v>
      </c>
      <c r="T523" s="59" t="str">
        <f t="shared" si="143"/>
        <v/>
      </c>
      <c r="U523" s="59" t="str">
        <f t="shared" si="144"/>
        <v/>
      </c>
      <c r="V523" s="60"/>
      <c r="W523" s="69" t="str">
        <f>IFERROR((VLOOKUP($A523,'Из ГУГЛа'!$B:$Z,W$1,0)+Y523)*X523,VLOOKUP($A523,'Из ГУГЛа'!$B:$Z,W$1,0))</f>
        <v/>
      </c>
      <c r="X523" s="61">
        <v>1</v>
      </c>
      <c r="Y523" s="61">
        <v>0</v>
      </c>
      <c r="Z523" s="60" t="s">
        <v>4170</v>
      </c>
      <c r="AA523" s="60"/>
    </row>
    <row r="524" spans="1:27" ht="30" x14ac:dyDescent="0.25">
      <c r="A524" s="52">
        <v>347098</v>
      </c>
      <c r="B524" s="52">
        <f>VLOOKUP($A524,'Выгр Кат'!$A:$R,B$1,0)</f>
        <v>347098</v>
      </c>
      <c r="C524" s="53" t="str">
        <f>VLOOKUP($A524,'Выгр Кат'!$A:$R,C$1,0)</f>
        <v>Поперечина крыши "АвтоВАЗ центральная для Лада XRAY</v>
      </c>
      <c r="D524" s="52" t="str">
        <f>VLOOKUP($A524,'Выгр Кат'!$A:$R,D$1,0)</f>
        <v>Y</v>
      </c>
      <c r="E524" s="52" t="str">
        <f>VLOOKUP($A524,'Выгр Кат'!$A:$R,E$1,0)</f>
        <v>1</v>
      </c>
      <c r="F524" s="52" t="str">
        <f>VLOOKUP($A524,'Выгр Кат'!$A:$R,F$1,0)</f>
        <v>732562484</v>
      </c>
      <c r="G524" s="52" t="str">
        <f>IF(VLOOKUP($A524,'Выгр Кат'!$A:$R,G$1,0)=0,"",VLOOKUP($A524,'Выгр Кат'!$A:$R,G$1,0))</f>
        <v/>
      </c>
      <c r="H524" s="52"/>
      <c r="I524" s="52"/>
      <c r="J524" s="54">
        <f t="shared" si="136"/>
        <v>577</v>
      </c>
      <c r="K524" s="55">
        <f>VLOOKUP(J524,Наценка!$A$1:$B$8,2,1)</f>
        <v>1.55</v>
      </c>
      <c r="L524" s="56">
        <f t="shared" si="137"/>
        <v>894.35</v>
      </c>
      <c r="M524" s="57">
        <f t="shared" si="138"/>
        <v>899</v>
      </c>
      <c r="N524" s="52">
        <f>VLOOKUP($A524,'Выгр Кат'!$A:$R,N$1,0)</f>
        <v>577</v>
      </c>
      <c r="O524" s="52">
        <f>VLOOKUP($A524,'Выгр Кат'!$A:$R,O$1,0)</f>
        <v>899</v>
      </c>
      <c r="P524" s="47">
        <f t="shared" si="139"/>
        <v>0</v>
      </c>
      <c r="Q524" s="47">
        <f t="shared" si="140"/>
        <v>0</v>
      </c>
      <c r="R524" s="58">
        <f t="shared" si="141"/>
        <v>899</v>
      </c>
      <c r="S524" s="59">
        <f t="shared" si="142"/>
        <v>0.55805892547660307</v>
      </c>
      <c r="T524" s="59" t="str">
        <f t="shared" si="143"/>
        <v/>
      </c>
      <c r="U524" s="59" t="str">
        <f t="shared" si="144"/>
        <v/>
      </c>
      <c r="V524" s="60"/>
      <c r="W524" s="69" t="str">
        <f>IFERROR((VLOOKUP($A524,'Из ГУГЛа'!$B:$Z,W$1,0)+Y524)*X524,VLOOKUP($A524,'Из ГУГЛа'!$B:$Z,W$1,0))</f>
        <v/>
      </c>
      <c r="X524" s="61">
        <v>1</v>
      </c>
      <c r="Y524" s="61">
        <v>0</v>
      </c>
      <c r="Z524" s="62" t="s">
        <v>4170</v>
      </c>
      <c r="AA524" s="60"/>
    </row>
    <row r="525" spans="1:27" ht="30" x14ac:dyDescent="0.25">
      <c r="A525" s="52">
        <v>195260</v>
      </c>
      <c r="B525" s="52">
        <f>VLOOKUP($A525,'Выгр Кат'!$A:$R,B$1,0)</f>
        <v>32571</v>
      </c>
      <c r="C525" s="53" t="str">
        <f>VLOOKUP($A525,'Выгр Кат'!$A:$R,C$1,0)</f>
        <v>Поперечина крыши "АвтоВАЗ" задняя для ВАЗ 2112</v>
      </c>
      <c r="D525" s="52" t="str">
        <f>VLOOKUP($A525,'Выгр Кат'!$A:$R,D$1,0)</f>
        <v>Y</v>
      </c>
      <c r="E525" s="52" t="str">
        <f>VLOOKUP($A525,'Выгр Кат'!$A:$R,E$1,0)</f>
        <v>1</v>
      </c>
      <c r="F525" s="52" t="str">
        <f>VLOOKUP($A525,'Выгр Кат'!$A:$R,F$1,0)</f>
        <v>21120570112400</v>
      </c>
      <c r="G525" s="52" t="str">
        <f>IF(VLOOKUP($A525,'Выгр Кат'!$A:$R,G$1,0)=0,"",VLOOKUP($A525,'Выгр Кат'!$A:$R,G$1,0))</f>
        <v/>
      </c>
      <c r="H525" s="52"/>
      <c r="I525" s="52"/>
      <c r="J525" s="54">
        <f t="shared" si="136"/>
        <v>126</v>
      </c>
      <c r="K525" s="55">
        <f>VLOOKUP(J525,Наценка!$A$1:$B$8,2,1)</f>
        <v>1.8</v>
      </c>
      <c r="L525" s="56">
        <f t="shared" si="137"/>
        <v>226.8</v>
      </c>
      <c r="M525" s="57">
        <f t="shared" si="138"/>
        <v>229</v>
      </c>
      <c r="N525" s="52">
        <f>VLOOKUP($A525,'Выгр Кат'!$A:$R,N$1,0)</f>
        <v>126</v>
      </c>
      <c r="O525" s="52">
        <f>VLOOKUP($A525,'Выгр Кат'!$A:$R,O$1,0)</f>
        <v>229</v>
      </c>
      <c r="P525" s="47">
        <f t="shared" si="139"/>
        <v>0</v>
      </c>
      <c r="Q525" s="47">
        <f t="shared" si="140"/>
        <v>0</v>
      </c>
      <c r="R525" s="58">
        <f t="shared" si="141"/>
        <v>229</v>
      </c>
      <c r="S525" s="59">
        <f t="shared" si="142"/>
        <v>0.81746031746031744</v>
      </c>
      <c r="T525" s="59">
        <f t="shared" si="143"/>
        <v>0.48997772828507796</v>
      </c>
      <c r="U525" s="59">
        <f t="shared" si="144"/>
        <v>2.5634920634920637</v>
      </c>
      <c r="V525" s="42">
        <f t="shared" ref="V525" si="147">Z525</f>
        <v>449</v>
      </c>
      <c r="W525" s="69">
        <f>IFERROR((VLOOKUP($A525,'Из ГУГЛа'!$B:$Z,W$1,0)+Y525)*X525,VLOOKUP($A525,'Из ГУГЛа'!$B:$Z,W$1,0))</f>
        <v>449</v>
      </c>
      <c r="X525" s="61">
        <v>1</v>
      </c>
      <c r="Y525" s="61">
        <v>0</v>
      </c>
      <c r="Z525" s="60">
        <v>449</v>
      </c>
      <c r="AA525" s="60" t="s">
        <v>100</v>
      </c>
    </row>
    <row r="526" spans="1:27" ht="30" x14ac:dyDescent="0.25">
      <c r="A526" s="52">
        <v>195261</v>
      </c>
      <c r="B526" s="52">
        <f>VLOOKUP($A526,'Выгр Кат'!$A:$R,B$1,0)</f>
        <v>31097</v>
      </c>
      <c r="C526" s="53" t="str">
        <f>VLOOKUP($A526,'Выгр Кат'!$A:$R,C$1,0)</f>
        <v>Поперечина крыши "АвтоВАЗ" задняя для Лада XRAY</v>
      </c>
      <c r="D526" s="52" t="str">
        <f>VLOOKUP($A526,'Выгр Кат'!$A:$R,D$1,0)</f>
        <v>Y</v>
      </c>
      <c r="E526" s="52" t="str">
        <f>VLOOKUP($A526,'Выгр Кат'!$A:$R,E$1,0)</f>
        <v>1</v>
      </c>
      <c r="F526" s="52" t="str">
        <f>VLOOKUP($A526,'Выгр Кат'!$A:$R,F$1,0)</f>
        <v>732330458R</v>
      </c>
      <c r="G526" s="52" t="str">
        <f>IF(VLOOKUP($A526,'Выгр Кат'!$A:$R,G$1,0)=0,"",VLOOKUP($A526,'Выгр Кат'!$A:$R,G$1,0))</f>
        <v/>
      </c>
      <c r="H526" s="52"/>
      <c r="I526" s="52"/>
      <c r="J526" s="54">
        <f t="shared" si="136"/>
        <v>2996</v>
      </c>
      <c r="K526" s="55">
        <f>VLOOKUP(J526,Наценка!$A$1:$B$8,2,1)</f>
        <v>1.4</v>
      </c>
      <c r="L526" s="56">
        <f t="shared" si="137"/>
        <v>4194.3999999999996</v>
      </c>
      <c r="M526" s="57">
        <f t="shared" si="138"/>
        <v>4190</v>
      </c>
      <c r="N526" s="52">
        <f>VLOOKUP($A526,'Выгр Кат'!$A:$R,N$1,0)</f>
        <v>2996</v>
      </c>
      <c r="O526" s="52">
        <f>VLOOKUP($A526,'Выгр Кат'!$A:$R,O$1,0)</f>
        <v>4190</v>
      </c>
      <c r="P526" s="47">
        <f t="shared" si="139"/>
        <v>0</v>
      </c>
      <c r="Q526" s="47">
        <f t="shared" si="140"/>
        <v>0</v>
      </c>
      <c r="R526" s="58">
        <f t="shared" si="141"/>
        <v>4190</v>
      </c>
      <c r="S526" s="59">
        <f t="shared" si="142"/>
        <v>0.39853137516688908</v>
      </c>
      <c r="T526" s="59" t="str">
        <f t="shared" si="143"/>
        <v/>
      </c>
      <c r="U526" s="59" t="str">
        <f t="shared" si="144"/>
        <v/>
      </c>
      <c r="V526" s="60"/>
      <c r="W526" s="69" t="str">
        <f>IFERROR((VLOOKUP($A526,'Из ГУГЛа'!$B:$Z,W$1,0)+Y526)*X526,VLOOKUP($A526,'Из ГУГЛа'!$B:$Z,W$1,0))</f>
        <v/>
      </c>
      <c r="X526" s="61">
        <v>1</v>
      </c>
      <c r="Y526" s="61">
        <v>0</v>
      </c>
      <c r="Z526" s="62" t="s">
        <v>4170</v>
      </c>
      <c r="AA526" s="60"/>
    </row>
    <row r="527" spans="1:27" ht="30" x14ac:dyDescent="0.25">
      <c r="A527" s="52">
        <v>195262</v>
      </c>
      <c r="B527" s="52">
        <f>VLOOKUP($A527,'Выгр Кат'!$A:$R,B$1,0)</f>
        <v>31448</v>
      </c>
      <c r="C527" s="53" t="str">
        <f>VLOOKUP($A527,'Выгр Кат'!$A:$R,C$1,0)</f>
        <v>Поперечина крыши "АвтоВАЗ" задняя для Лада Калина хэтчбек</v>
      </c>
      <c r="D527" s="52" t="str">
        <f>VLOOKUP($A527,'Выгр Кат'!$A:$R,D$1,0)</f>
        <v>Y</v>
      </c>
      <c r="E527" s="52" t="str">
        <f>VLOOKUP($A527,'Выгр Кат'!$A:$R,E$1,0)</f>
        <v>1</v>
      </c>
      <c r="F527" s="52" t="str">
        <f>VLOOKUP($A527,'Выгр Кат'!$A:$R,F$1,0)</f>
        <v>11190570112000</v>
      </c>
      <c r="G527" s="52" t="str">
        <f>IF(VLOOKUP($A527,'Выгр Кат'!$A:$R,G$1,0)=0,"",VLOOKUP($A527,'Выгр Кат'!$A:$R,G$1,0))</f>
        <v>https://motorring.ru/product/332</v>
      </c>
      <c r="H527" s="52"/>
      <c r="I527" s="52"/>
      <c r="J527" s="54">
        <f t="shared" si="136"/>
        <v>934</v>
      </c>
      <c r="K527" s="55">
        <f>VLOOKUP(J527,Наценка!$A$1:$B$8,2,1)</f>
        <v>1.55</v>
      </c>
      <c r="L527" s="56">
        <f t="shared" si="137"/>
        <v>1447.7</v>
      </c>
      <c r="M527" s="57">
        <f t="shared" si="138"/>
        <v>1490</v>
      </c>
      <c r="N527" s="52">
        <f>VLOOKUP($A527,'Выгр Кат'!$A:$R,N$1,0)</f>
        <v>934</v>
      </c>
      <c r="O527" s="52">
        <f>VLOOKUP($A527,'Выгр Кат'!$A:$R,O$1,0)</f>
        <v>1490</v>
      </c>
      <c r="P527" s="47">
        <f t="shared" si="139"/>
        <v>0</v>
      </c>
      <c r="Q527" s="47">
        <f t="shared" si="140"/>
        <v>0</v>
      </c>
      <c r="R527" s="58">
        <f t="shared" si="141"/>
        <v>1490</v>
      </c>
      <c r="S527" s="59">
        <f t="shared" si="142"/>
        <v>0.59528907922912211</v>
      </c>
      <c r="T527" s="59">
        <f t="shared" si="143"/>
        <v>0.37656903765690375</v>
      </c>
      <c r="U527" s="59">
        <f t="shared" si="144"/>
        <v>1.5588865096359741</v>
      </c>
      <c r="V527" s="42">
        <f>Z527</f>
        <v>2390</v>
      </c>
      <c r="W527" s="69">
        <f>IFERROR((VLOOKUP($A527,'Из ГУГЛа'!$B:$Z,W$1,0)+Y527)*X527,VLOOKUP($A527,'Из ГУГЛа'!$B:$Z,W$1,0))</f>
        <v>2390</v>
      </c>
      <c r="X527" s="61">
        <v>1</v>
      </c>
      <c r="Y527" s="61">
        <v>0</v>
      </c>
      <c r="Z527" s="70">
        <v>2390</v>
      </c>
      <c r="AA527" s="60" t="s">
        <v>1390</v>
      </c>
    </row>
    <row r="528" spans="1:27" ht="30" x14ac:dyDescent="0.25">
      <c r="A528" s="52">
        <v>195263</v>
      </c>
      <c r="B528" s="52">
        <f>VLOOKUP($A528,'Выгр Кат'!$A:$R,B$1,0)</f>
        <v>31457</v>
      </c>
      <c r="C528" s="53" t="str">
        <f>VLOOKUP($A528,'Выгр Кат'!$A:$R,C$1,0)</f>
        <v>Поперечина крыши "АвтоВАЗ" задняя для Лада Калина, Гранта седан</v>
      </c>
      <c r="D528" s="52" t="str">
        <f>VLOOKUP($A528,'Выгр Кат'!$A:$R,D$1,0)</f>
        <v>Y</v>
      </c>
      <c r="E528" s="52" t="str">
        <f>VLOOKUP($A528,'Выгр Кат'!$A:$R,E$1,0)</f>
        <v>1</v>
      </c>
      <c r="F528" s="52" t="str">
        <f>VLOOKUP($A528,'Выгр Кат'!$A:$R,F$1,0)</f>
        <v>11180570112499</v>
      </c>
      <c r="G528" s="52" t="str">
        <f>IF(VLOOKUP($A528,'Выгр Кат'!$A:$R,G$1,0)=0,"",VLOOKUP($A528,'Выгр Кат'!$A:$R,G$1,0))</f>
        <v/>
      </c>
      <c r="H528" s="52"/>
      <c r="I528" s="52"/>
      <c r="J528" s="54">
        <f t="shared" si="136"/>
        <v>481</v>
      </c>
      <c r="K528" s="55">
        <f>VLOOKUP(J528,Наценка!$A$1:$B$8,2,1)</f>
        <v>1.6</v>
      </c>
      <c r="L528" s="56">
        <f t="shared" si="137"/>
        <v>769.6</v>
      </c>
      <c r="M528" s="57">
        <f t="shared" si="138"/>
        <v>769</v>
      </c>
      <c r="N528" s="52">
        <f>VLOOKUP($A528,'Выгр Кат'!$A:$R,N$1,0)</f>
        <v>481</v>
      </c>
      <c r="O528" s="52">
        <f>VLOOKUP($A528,'Выгр Кат'!$A:$R,O$1,0)</f>
        <v>779</v>
      </c>
      <c r="P528" s="47">
        <f t="shared" si="139"/>
        <v>0</v>
      </c>
      <c r="Q528" s="47">
        <f t="shared" si="140"/>
        <v>10</v>
      </c>
      <c r="R528" s="58">
        <f t="shared" si="141"/>
        <v>769</v>
      </c>
      <c r="S528" s="59">
        <f t="shared" si="142"/>
        <v>0.59875259875259879</v>
      </c>
      <c r="T528" s="59" t="str">
        <f t="shared" si="143"/>
        <v/>
      </c>
      <c r="U528" s="59" t="str">
        <f t="shared" si="144"/>
        <v/>
      </c>
      <c r="V528" s="60"/>
      <c r="W528" s="69" t="str">
        <f>IFERROR((VLOOKUP($A528,'Из ГУГЛа'!$B:$Z,W$1,0)+Y528)*X528,VLOOKUP($A528,'Из ГУГЛа'!$B:$Z,W$1,0))</f>
        <v/>
      </c>
      <c r="X528" s="61">
        <v>1</v>
      </c>
      <c r="Y528" s="61">
        <v>0</v>
      </c>
      <c r="Z528" s="60" t="s">
        <v>4170</v>
      </c>
      <c r="AA528" s="60"/>
    </row>
    <row r="529" spans="1:27" ht="45" x14ac:dyDescent="0.25">
      <c r="A529" s="52">
        <v>195264</v>
      </c>
      <c r="B529" s="52">
        <f>VLOOKUP($A529,'Выгр Кат'!$A:$R,B$1,0)</f>
        <v>30984</v>
      </c>
      <c r="C529" s="53" t="str">
        <f>VLOOKUP($A529,'Выгр Кат'!$A:$R,C$1,0)</f>
        <v>Поперечина крыши (балка) "АвтоВАЗ" (катафорезное покрытие) для Лада Калина, Калина 2, Гранта FL универсал</v>
      </c>
      <c r="D529" s="52" t="str">
        <f>VLOOKUP($A529,'Выгр Кат'!$A:$R,D$1,0)</f>
        <v>Y</v>
      </c>
      <c r="E529" s="52" t="str">
        <f>VLOOKUP($A529,'Выгр Кат'!$A:$R,E$1,0)</f>
        <v>1</v>
      </c>
      <c r="F529" s="52" t="str">
        <f>VLOOKUP($A529,'Выгр Кат'!$A:$R,F$1,0)</f>
        <v>11170570112070</v>
      </c>
      <c r="G529" s="52" t="str">
        <f>IF(VLOOKUP($A529,'Выгр Кат'!$A:$R,G$1,0)=0,"",VLOOKUP($A529,'Выгр Кат'!$A:$R,G$1,0))</f>
        <v>https://motorring.ru/product/32691-poperechina-balka-kryshi-zadnyaya-sbore-kalina-universal</v>
      </c>
      <c r="H529" s="52"/>
      <c r="I529" s="52"/>
      <c r="J529" s="54">
        <f t="shared" si="136"/>
        <v>959</v>
      </c>
      <c r="K529" s="55">
        <f>VLOOKUP(J529,Наценка!$A$1:$B$8,2,1)</f>
        <v>1.55</v>
      </c>
      <c r="L529" s="56">
        <f t="shared" si="137"/>
        <v>1486.45</v>
      </c>
      <c r="M529" s="57">
        <f t="shared" si="138"/>
        <v>1490</v>
      </c>
      <c r="N529" s="52">
        <f>VLOOKUP($A529,'Выгр Кат'!$A:$R,N$1,0)</f>
        <v>959</v>
      </c>
      <c r="O529" s="52">
        <f>VLOOKUP($A529,'Выгр Кат'!$A:$R,O$1,0)</f>
        <v>1490</v>
      </c>
      <c r="P529" s="47">
        <f t="shared" si="139"/>
        <v>0</v>
      </c>
      <c r="Q529" s="47">
        <f t="shared" si="140"/>
        <v>0</v>
      </c>
      <c r="R529" s="58">
        <f t="shared" si="141"/>
        <v>1490</v>
      </c>
      <c r="S529" s="59">
        <f t="shared" si="142"/>
        <v>0.55370177267987497</v>
      </c>
      <c r="T529" s="59">
        <f t="shared" si="143"/>
        <v>-1.1594202898550725</v>
      </c>
      <c r="U529" s="59">
        <f t="shared" si="144"/>
        <v>-0.28050052137643378</v>
      </c>
      <c r="V529" s="42">
        <f>Z529</f>
        <v>690</v>
      </c>
      <c r="W529" s="69">
        <f>IFERROR((VLOOKUP($A529,'Из ГУГЛа'!$B:$Z,W$1,0)+Y529)*X529,VLOOKUP($A529,'Из ГУГЛа'!$B:$Z,W$1,0))</f>
        <v>690</v>
      </c>
      <c r="X529" s="61">
        <v>1</v>
      </c>
      <c r="Y529" s="61">
        <v>0</v>
      </c>
      <c r="Z529" s="70">
        <v>690</v>
      </c>
      <c r="AA529" s="60" t="s">
        <v>1395</v>
      </c>
    </row>
    <row r="530" spans="1:27" ht="30" x14ac:dyDescent="0.25">
      <c r="A530" s="52">
        <v>195265</v>
      </c>
      <c r="B530" s="52">
        <f>VLOOKUP($A530,'Выгр Кат'!$A:$R,B$1,0)</f>
        <v>31146</v>
      </c>
      <c r="C530" s="53" t="str">
        <f>VLOOKUP($A530,'Выгр Кат'!$A:$R,C$1,0)</f>
        <v>Поперечина крыши (катафорез) "АвтоВАЗ" для Лада Веста</v>
      </c>
      <c r="D530" s="52" t="str">
        <f>VLOOKUP($A530,'Выгр Кат'!$A:$R,D$1,0)</f>
        <v>Y</v>
      </c>
      <c r="E530" s="52" t="str">
        <f>VLOOKUP($A530,'Выгр Кат'!$A:$R,E$1,0)</f>
        <v>1</v>
      </c>
      <c r="F530" s="52" t="str">
        <f>VLOOKUP($A530,'Выгр Кат'!$A:$R,F$1,0)</f>
        <v>8450039448</v>
      </c>
      <c r="G530" s="52" t="str">
        <f>IF(VLOOKUP($A530,'Выгр Кат'!$A:$R,G$1,0)=0,"",VLOOKUP($A530,'Выгр Кат'!$A:$R,G$1,0))</f>
        <v/>
      </c>
      <c r="H530" s="52"/>
      <c r="I530" s="52"/>
      <c r="J530" s="54">
        <f t="shared" si="136"/>
        <v>914</v>
      </c>
      <c r="K530" s="55">
        <f>VLOOKUP(J530,Наценка!$A$1:$B$8,2,1)</f>
        <v>1.55</v>
      </c>
      <c r="L530" s="56">
        <f t="shared" si="137"/>
        <v>1416.7</v>
      </c>
      <c r="M530" s="57">
        <f t="shared" si="138"/>
        <v>1490</v>
      </c>
      <c r="N530" s="52">
        <f>VLOOKUP($A530,'Выгр Кат'!$A:$R,N$1,0)</f>
        <v>914</v>
      </c>
      <c r="O530" s="52">
        <f>VLOOKUP($A530,'Выгр Кат'!$A:$R,O$1,0)</f>
        <v>1490</v>
      </c>
      <c r="P530" s="47">
        <f t="shared" si="139"/>
        <v>0</v>
      </c>
      <c r="Q530" s="47">
        <f t="shared" si="140"/>
        <v>0</v>
      </c>
      <c r="R530" s="58">
        <f t="shared" si="141"/>
        <v>1490</v>
      </c>
      <c r="S530" s="59">
        <f t="shared" si="142"/>
        <v>0.63019693654266962</v>
      </c>
      <c r="T530" s="59" t="str">
        <f t="shared" si="143"/>
        <v/>
      </c>
      <c r="U530" s="59" t="str">
        <f t="shared" si="144"/>
        <v/>
      </c>
      <c r="V530" s="60"/>
      <c r="W530" s="69" t="str">
        <f>IFERROR((VLOOKUP($A530,'Из ГУГЛа'!$B:$Z,W$1,0)+Y530)*X530,VLOOKUP($A530,'Из ГУГЛа'!$B:$Z,W$1,0))</f>
        <v/>
      </c>
      <c r="X530" s="61">
        <v>1</v>
      </c>
      <c r="Y530" s="61">
        <v>0</v>
      </c>
      <c r="Z530" s="60" t="s">
        <v>4170</v>
      </c>
      <c r="AA530" s="60"/>
    </row>
    <row r="531" spans="1:27" ht="30" x14ac:dyDescent="0.25">
      <c r="A531" s="52">
        <v>195266</v>
      </c>
      <c r="B531" s="52">
        <f>VLOOKUP($A531,'Выгр Кат'!$A:$R,B$1,0)</f>
        <v>31053</v>
      </c>
      <c r="C531" s="53" t="str">
        <f>VLOOKUP($A531,'Выгр Кат'!$A:$R,C$1,0)</f>
        <v>Поперечина крыши задняя "Renault" для Лада Ларгус</v>
      </c>
      <c r="D531" s="52" t="str">
        <f>VLOOKUP($A531,'Выгр Кат'!$A:$R,D$1,0)</f>
        <v>Y</v>
      </c>
      <c r="E531" s="52" t="str">
        <f>VLOOKUP($A531,'Выгр Кат'!$A:$R,E$1,0)</f>
        <v>1</v>
      </c>
      <c r="F531" s="52" t="str">
        <f>VLOOKUP($A531,'Выгр Кат'!$A:$R,F$1,0)</f>
        <v>6001548810</v>
      </c>
      <c r="G531" s="52" t="str">
        <f>IF(VLOOKUP($A531,'Выгр Кат'!$A:$R,G$1,0)=0,"",VLOOKUP($A531,'Выгр Кат'!$A:$R,G$1,0))</f>
        <v/>
      </c>
      <c r="H531" s="52"/>
      <c r="I531" s="52"/>
      <c r="J531" s="54">
        <f t="shared" si="136"/>
        <v>5360</v>
      </c>
      <c r="K531" s="55">
        <f>VLOOKUP(J531,Наценка!$A$1:$B$8,2,1)</f>
        <v>1.35</v>
      </c>
      <c r="L531" s="56">
        <f t="shared" si="137"/>
        <v>7236.0000000000009</v>
      </c>
      <c r="M531" s="57">
        <f t="shared" si="138"/>
        <v>7290</v>
      </c>
      <c r="N531" s="52">
        <f>VLOOKUP($A531,'Выгр Кат'!$A:$R,N$1,0)</f>
        <v>5360</v>
      </c>
      <c r="O531" s="52">
        <f>VLOOKUP($A531,'Выгр Кат'!$A:$R,O$1,0)</f>
        <v>7590</v>
      </c>
      <c r="P531" s="47">
        <f t="shared" si="139"/>
        <v>0</v>
      </c>
      <c r="Q531" s="47">
        <f t="shared" si="140"/>
        <v>300</v>
      </c>
      <c r="R531" s="58">
        <f t="shared" si="141"/>
        <v>7290</v>
      </c>
      <c r="S531" s="59">
        <f t="shared" si="142"/>
        <v>0.3600746268656716</v>
      </c>
      <c r="T531" s="59" t="str">
        <f t="shared" si="143"/>
        <v/>
      </c>
      <c r="U531" s="59" t="str">
        <f t="shared" si="144"/>
        <v/>
      </c>
      <c r="V531" s="60"/>
      <c r="W531" s="69" t="str">
        <f>IFERROR((VLOOKUP($A531,'Из ГУГЛа'!$B:$Z,W$1,0)+Y531)*X531,VLOOKUP($A531,'Из ГУГЛа'!$B:$Z,W$1,0))</f>
        <v/>
      </c>
      <c r="X531" s="61">
        <v>1</v>
      </c>
      <c r="Y531" s="61">
        <v>0</v>
      </c>
      <c r="Z531" s="60" t="s">
        <v>4170</v>
      </c>
      <c r="AA531" s="60"/>
    </row>
    <row r="532" spans="1:27" ht="30" x14ac:dyDescent="0.25">
      <c r="A532" s="52">
        <v>195267</v>
      </c>
      <c r="B532" s="52">
        <f>VLOOKUP($A532,'Выгр Кат'!$A:$R,B$1,0)</f>
        <v>31425</v>
      </c>
      <c r="C532" s="53" t="str">
        <f>VLOOKUP($A532,'Выгр Кат'!$A:$R,C$1,0)</f>
        <v>Поперечина крыши задняя "АвтоВАЗ" для ВАЗ 2108, 2109, 2113, 2114</v>
      </c>
      <c r="D532" s="52" t="str">
        <f>VLOOKUP($A532,'Выгр Кат'!$A:$R,D$1,0)</f>
        <v>Y</v>
      </c>
      <c r="E532" s="52" t="str">
        <f>VLOOKUP($A532,'Выгр Кат'!$A:$R,E$1,0)</f>
        <v>1</v>
      </c>
      <c r="F532" s="52" t="str">
        <f>VLOOKUP($A532,'Выгр Кат'!$A:$R,F$1,0)</f>
        <v>21080570112000</v>
      </c>
      <c r="G532" s="52" t="str">
        <f>IF(VLOOKUP($A532,'Выгр Кат'!$A:$R,G$1,0)=0,"",VLOOKUP($A532,'Выгр Кат'!$A:$R,G$1,0))</f>
        <v/>
      </c>
      <c r="H532" s="52"/>
      <c r="I532" s="52"/>
      <c r="J532" s="54">
        <f t="shared" si="136"/>
        <v>174</v>
      </c>
      <c r="K532" s="55">
        <f>VLOOKUP(J532,Наценка!$A$1:$B$8,2,1)</f>
        <v>1.8</v>
      </c>
      <c r="L532" s="56">
        <f t="shared" si="137"/>
        <v>313.2</v>
      </c>
      <c r="M532" s="57">
        <f t="shared" si="138"/>
        <v>319</v>
      </c>
      <c r="N532" s="52">
        <f>VLOOKUP($A532,'Выгр Кат'!$A:$R,N$1,0)</f>
        <v>174</v>
      </c>
      <c r="O532" s="52">
        <f>VLOOKUP($A532,'Выгр Кат'!$A:$R,O$1,0)</f>
        <v>319</v>
      </c>
      <c r="P532" s="47">
        <f t="shared" si="139"/>
        <v>0</v>
      </c>
      <c r="Q532" s="47">
        <f t="shared" si="140"/>
        <v>0</v>
      </c>
      <c r="R532" s="58">
        <f t="shared" si="141"/>
        <v>319</v>
      </c>
      <c r="S532" s="59">
        <f t="shared" si="142"/>
        <v>0.83333333333333326</v>
      </c>
      <c r="T532" s="59" t="str">
        <f t="shared" si="143"/>
        <v/>
      </c>
      <c r="U532" s="59" t="str">
        <f t="shared" si="144"/>
        <v/>
      </c>
      <c r="V532" s="60"/>
      <c r="W532" s="69" t="str">
        <f>IFERROR((VLOOKUP($A532,'Из ГУГЛа'!$B:$Z,W$1,0)+Y532)*X532,VLOOKUP($A532,'Из ГУГЛа'!$B:$Z,W$1,0))</f>
        <v/>
      </c>
      <c r="X532" s="61">
        <v>1</v>
      </c>
      <c r="Y532" s="61">
        <v>0</v>
      </c>
      <c r="Z532" s="60" t="s">
        <v>4170</v>
      </c>
      <c r="AA532" s="60"/>
    </row>
    <row r="533" spans="1:27" ht="30" x14ac:dyDescent="0.25">
      <c r="A533" s="52">
        <v>195268</v>
      </c>
      <c r="B533" s="52">
        <f>VLOOKUP($A533,'Выгр Кат'!$A:$R,B$1,0)</f>
        <v>31117</v>
      </c>
      <c r="C533" s="53" t="str">
        <f>VLOOKUP($A533,'Выгр Кат'!$A:$R,C$1,0)</f>
        <v>Поперечина крыши задняя "АвтоВАЗ" для Лада Веста SW универсал</v>
      </c>
      <c r="D533" s="52" t="str">
        <f>VLOOKUP($A533,'Выгр Кат'!$A:$R,D$1,0)</f>
        <v>Y</v>
      </c>
      <c r="E533" s="52" t="str">
        <f>VLOOKUP($A533,'Выгр Кат'!$A:$R,E$1,0)</f>
        <v>1</v>
      </c>
      <c r="F533" s="52" t="str">
        <f>VLOOKUP($A533,'Выгр Кат'!$A:$R,F$1,0)</f>
        <v>8450102323</v>
      </c>
      <c r="G533" s="52" t="str">
        <f>IF(VLOOKUP($A533,'Выгр Кат'!$A:$R,G$1,0)=0,"",VLOOKUP($A533,'Выгр Кат'!$A:$R,G$1,0))</f>
        <v/>
      </c>
      <c r="H533" s="52"/>
      <c r="I533" s="52"/>
      <c r="J533" s="54">
        <f t="shared" si="136"/>
        <v>578</v>
      </c>
      <c r="K533" s="55">
        <f>VLOOKUP(J533,Наценка!$A$1:$B$8,2,1)</f>
        <v>1.55</v>
      </c>
      <c r="L533" s="56">
        <f t="shared" si="137"/>
        <v>895.9</v>
      </c>
      <c r="M533" s="57">
        <f t="shared" si="138"/>
        <v>899</v>
      </c>
      <c r="N533" s="52">
        <f>VLOOKUP($A533,'Выгр Кат'!$A:$R,N$1,0)</f>
        <v>578</v>
      </c>
      <c r="O533" s="52">
        <f>VLOOKUP($A533,'Выгр Кат'!$A:$R,O$1,0)</f>
        <v>899</v>
      </c>
      <c r="P533" s="47">
        <f t="shared" si="139"/>
        <v>0</v>
      </c>
      <c r="Q533" s="47">
        <f t="shared" si="140"/>
        <v>0</v>
      </c>
      <c r="R533" s="58">
        <f t="shared" si="141"/>
        <v>899</v>
      </c>
      <c r="S533" s="59">
        <f t="shared" si="142"/>
        <v>0.55536332179930792</v>
      </c>
      <c r="T533" s="59" t="str">
        <f t="shared" si="143"/>
        <v/>
      </c>
      <c r="U533" s="59" t="str">
        <f t="shared" si="144"/>
        <v/>
      </c>
      <c r="V533" s="60"/>
      <c r="W533" s="69" t="str">
        <f>IFERROR((VLOOKUP($A533,'Из ГУГЛа'!$B:$Z,W$1,0)+Y533)*X533,VLOOKUP($A533,'Из ГУГЛа'!$B:$Z,W$1,0))</f>
        <v/>
      </c>
      <c r="X533" s="61">
        <v>1</v>
      </c>
      <c r="Y533" s="61">
        <v>0</v>
      </c>
      <c r="Z533" s="60" t="s">
        <v>4170</v>
      </c>
      <c r="AA533" s="60"/>
    </row>
    <row r="534" spans="1:27" ht="30" x14ac:dyDescent="0.25">
      <c r="A534" s="52">
        <v>195269</v>
      </c>
      <c r="B534" s="52">
        <f>VLOOKUP($A534,'Выгр Кат'!$A:$R,B$1,0)</f>
        <v>31054</v>
      </c>
      <c r="C534" s="53" t="str">
        <f>VLOOKUP($A534,'Выгр Кат'!$A:$R,C$1,0)</f>
        <v>Поперечина крыши средняя "Renault" для Лада Ларгус</v>
      </c>
      <c r="D534" s="52" t="str">
        <f>VLOOKUP($A534,'Выгр Кат'!$A:$R,D$1,0)</f>
        <v>Y</v>
      </c>
      <c r="E534" s="52" t="str">
        <f>VLOOKUP($A534,'Выгр Кат'!$A:$R,E$1,0)</f>
        <v>1</v>
      </c>
      <c r="F534" s="52" t="str">
        <f>VLOOKUP($A534,'Выгр Кат'!$A:$R,F$1,0)</f>
        <v>6001548809</v>
      </c>
      <c r="G534" s="52" t="str">
        <f>IF(VLOOKUP($A534,'Выгр Кат'!$A:$R,G$1,0)=0,"",VLOOKUP($A534,'Выгр Кат'!$A:$R,G$1,0))</f>
        <v>https://motorring.ru/product/15208</v>
      </c>
      <c r="H534" s="52"/>
      <c r="I534" s="52"/>
      <c r="J534" s="54">
        <f t="shared" si="136"/>
        <v>4647</v>
      </c>
      <c r="K534" s="55">
        <f>VLOOKUP(J534,Наценка!$A$1:$B$8,2,1)</f>
        <v>1.4</v>
      </c>
      <c r="L534" s="56">
        <f t="shared" si="137"/>
        <v>6505.7999999999993</v>
      </c>
      <c r="M534" s="57">
        <f t="shared" si="138"/>
        <v>6590</v>
      </c>
      <c r="N534" s="52">
        <f>VLOOKUP($A534,'Выгр Кат'!$A:$R,N$1,0)</f>
        <v>4647</v>
      </c>
      <c r="O534" s="52">
        <f>VLOOKUP($A534,'Выгр Кат'!$A:$R,O$1,0)</f>
        <v>6590</v>
      </c>
      <c r="P534" s="47">
        <f t="shared" si="139"/>
        <v>0</v>
      </c>
      <c r="Q534" s="47">
        <f t="shared" si="140"/>
        <v>0</v>
      </c>
      <c r="R534" s="58">
        <f t="shared" si="141"/>
        <v>6590</v>
      </c>
      <c r="S534" s="59">
        <f t="shared" si="142"/>
        <v>0.41811921669894558</v>
      </c>
      <c r="T534" s="59">
        <f t="shared" si="143"/>
        <v>-0.36750363145880888</v>
      </c>
      <c r="U534" s="59">
        <f t="shared" si="144"/>
        <v>3.7013126748439928E-2</v>
      </c>
      <c r="V534" s="42">
        <f t="shared" ref="V534:V537" si="148">Z534</f>
        <v>4819</v>
      </c>
      <c r="W534" s="69">
        <f>IFERROR((VLOOKUP($A534,'Из ГУГЛа'!$B:$Z,W$1,0)+Y534)*X534,VLOOKUP($A534,'Из ГУГЛа'!$B:$Z,W$1,0))</f>
        <v>4819</v>
      </c>
      <c r="X534" s="61">
        <v>1</v>
      </c>
      <c r="Y534" s="61">
        <v>0</v>
      </c>
      <c r="Z534" s="70">
        <v>4819</v>
      </c>
      <c r="AA534" s="60" t="s">
        <v>1406</v>
      </c>
    </row>
    <row r="535" spans="1:27" ht="45" x14ac:dyDescent="0.25">
      <c r="A535" s="52">
        <v>195270</v>
      </c>
      <c r="B535" s="52">
        <f>VLOOKUP($A535,'Выгр Кат'!$A:$R,B$1,0)</f>
        <v>23552</v>
      </c>
      <c r="C535" s="53" t="str">
        <f>VLOOKUP($A535,'Выгр Кат'!$A:$R,C$1,0)</f>
        <v>Поперечина панели задка "АвтоВАЗ" (верхняя, катафорезное покрытие) для ВАЗ 2110-2112</v>
      </c>
      <c r="D535" s="52" t="str">
        <f>VLOOKUP($A535,'Выгр Кат'!$A:$R,D$1,0)</f>
        <v>Y</v>
      </c>
      <c r="E535" s="52" t="str">
        <f>VLOOKUP($A535,'Выгр Кат'!$A:$R,E$1,0)</f>
        <v>1</v>
      </c>
      <c r="F535" s="52" t="str">
        <f>VLOOKUP($A535,'Выгр Кат'!$A:$R,F$1,0)</f>
        <v>21120560108610</v>
      </c>
      <c r="G535" s="52" t="str">
        <f>IF(VLOOKUP($A535,'Выгр Кат'!$A:$R,G$1,0)=0,"",VLOOKUP($A535,'Выгр Кат'!$A:$R,G$1,0))</f>
        <v>https://motorring.ru/product/18147-poperechina-paneli-zadka-verhnyaya-kataforeznoe-pokrytie</v>
      </c>
      <c r="H535" s="52"/>
      <c r="I535" s="52"/>
      <c r="J535" s="54">
        <f t="shared" si="136"/>
        <v>646</v>
      </c>
      <c r="K535" s="55">
        <f>VLOOKUP(J535,Наценка!$A$1:$B$8,2,1)</f>
        <v>1.55</v>
      </c>
      <c r="L535" s="56">
        <f t="shared" si="137"/>
        <v>1001.3000000000001</v>
      </c>
      <c r="M535" s="57">
        <f t="shared" si="138"/>
        <v>1090</v>
      </c>
      <c r="N535" s="52">
        <f>VLOOKUP($A535,'Выгр Кат'!$A:$R,N$1,0)</f>
        <v>646</v>
      </c>
      <c r="O535" s="52">
        <f>VLOOKUP($A535,'Выгр Кат'!$A:$R,O$1,0)</f>
        <v>1090</v>
      </c>
      <c r="P535" s="47">
        <f t="shared" si="139"/>
        <v>0</v>
      </c>
      <c r="Q535" s="47">
        <f t="shared" si="140"/>
        <v>0</v>
      </c>
      <c r="R535" s="58">
        <f t="shared" si="141"/>
        <v>1090</v>
      </c>
      <c r="S535" s="59">
        <f t="shared" si="142"/>
        <v>0.68730650154798756</v>
      </c>
      <c r="T535" s="59">
        <f t="shared" si="143"/>
        <v>0</v>
      </c>
      <c r="U535" s="59">
        <f t="shared" si="144"/>
        <v>0.68730650154798756</v>
      </c>
      <c r="V535" s="42">
        <f t="shared" si="148"/>
        <v>1090</v>
      </c>
      <c r="W535" s="69">
        <f>IFERROR((VLOOKUP($A535,'Из ГУГЛа'!$B:$Z,W$1,0)+Y535)*X535,VLOOKUP($A535,'Из ГУГЛа'!$B:$Z,W$1,0))</f>
        <v>1090</v>
      </c>
      <c r="X535" s="61">
        <v>1</v>
      </c>
      <c r="Y535" s="61">
        <v>0</v>
      </c>
      <c r="Z535" s="70">
        <v>1090</v>
      </c>
      <c r="AA535" s="60" t="s">
        <v>1409</v>
      </c>
    </row>
    <row r="536" spans="1:27" ht="30" x14ac:dyDescent="0.25">
      <c r="A536" s="52">
        <v>195271</v>
      </c>
      <c r="B536" s="52">
        <f>VLOOKUP($A536,'Выгр Кат'!$A:$R,B$1,0)</f>
        <v>31265</v>
      </c>
      <c r="C536" s="53" t="str">
        <f>VLOOKUP($A536,'Выгр Кат'!$A:$R,C$1,0)</f>
        <v>Поперечина панели задка (катафорез) "АвтоВАЗ" для Шевроле Нива</v>
      </c>
      <c r="D536" s="52" t="str">
        <f>VLOOKUP($A536,'Выгр Кат'!$A:$R,D$1,0)</f>
        <v>Y</v>
      </c>
      <c r="E536" s="52" t="str">
        <f>VLOOKUP($A536,'Выгр Кат'!$A:$R,E$1,0)</f>
        <v>1</v>
      </c>
      <c r="F536" s="52" t="str">
        <f>VLOOKUP($A536,'Выгр Кат'!$A:$R,F$1,0)</f>
        <v>21230560108670</v>
      </c>
      <c r="G536" s="52" t="str">
        <f>IF(VLOOKUP($A536,'Выгр Кат'!$A:$R,G$1,0)=0,"",VLOOKUP($A536,'Выгр Кат'!$A:$R,G$1,0))</f>
        <v>https://motorring.ru/product/38272</v>
      </c>
      <c r="H536" s="52"/>
      <c r="I536" s="52"/>
      <c r="J536" s="54">
        <f t="shared" si="136"/>
        <v>2627.51</v>
      </c>
      <c r="K536" s="55">
        <f>VLOOKUP(J536,Наценка!$A$1:$B$8,2,1)</f>
        <v>1.4</v>
      </c>
      <c r="L536" s="56">
        <f t="shared" si="137"/>
        <v>3678.5140000000001</v>
      </c>
      <c r="M536" s="57">
        <f t="shared" si="138"/>
        <v>3690</v>
      </c>
      <c r="N536" s="52">
        <f>VLOOKUP($A536,'Выгр Кат'!$A:$R,N$1,0)</f>
        <v>2627.51</v>
      </c>
      <c r="O536" s="52">
        <f>VLOOKUP($A536,'Выгр Кат'!$A:$R,O$1,0)</f>
        <v>3690</v>
      </c>
      <c r="P536" s="47">
        <f t="shared" si="139"/>
        <v>0</v>
      </c>
      <c r="Q536" s="47">
        <f t="shared" si="140"/>
        <v>0</v>
      </c>
      <c r="R536" s="58">
        <f t="shared" si="141"/>
        <v>3690</v>
      </c>
      <c r="S536" s="59">
        <f t="shared" si="142"/>
        <v>0.40437143911916595</v>
      </c>
      <c r="T536" s="59">
        <f t="shared" si="143"/>
        <v>-0.23411371237458195</v>
      </c>
      <c r="U536" s="59">
        <f t="shared" si="144"/>
        <v>0.137959512998999</v>
      </c>
      <c r="V536" s="42">
        <f t="shared" si="148"/>
        <v>2990</v>
      </c>
      <c r="W536" s="69">
        <f>IFERROR((VLOOKUP($A536,'Из ГУГЛа'!$B:$Z,W$1,0)+Y536)*X536,VLOOKUP($A536,'Из ГУГЛа'!$B:$Z,W$1,0))</f>
        <v>2990</v>
      </c>
      <c r="X536" s="61">
        <v>1</v>
      </c>
      <c r="Y536" s="61">
        <v>0</v>
      </c>
      <c r="Z536" s="70">
        <v>2990</v>
      </c>
      <c r="AA536" s="60" t="s">
        <v>1412</v>
      </c>
    </row>
    <row r="537" spans="1:27" ht="45" x14ac:dyDescent="0.25">
      <c r="A537" s="52">
        <v>195272</v>
      </c>
      <c r="B537" s="52">
        <f>VLOOKUP($A537,'Выгр Кат'!$A:$R,B$1,0)</f>
        <v>32697</v>
      </c>
      <c r="C537" s="53" t="str">
        <f>VLOOKUP($A537,'Выгр Кат'!$A:$R,C$1,0)</f>
        <v>Поперечина панели задка верхняя (катафорез) "АвтоВАЗ" для Лада Приора, Приора 2 хэтчбек</v>
      </c>
      <c r="D537" s="52" t="str">
        <f>VLOOKUP($A537,'Выгр Кат'!$A:$R,D$1,0)</f>
        <v>Y</v>
      </c>
      <c r="E537" s="52" t="str">
        <f>VLOOKUP($A537,'Выгр Кат'!$A:$R,E$1,0)</f>
        <v>1</v>
      </c>
      <c r="F537" s="52" t="str">
        <f>VLOOKUP($A537,'Выгр Кат'!$A:$R,F$1,0)</f>
        <v>21720560108610</v>
      </c>
      <c r="G537" s="52" t="str">
        <f>IF(VLOOKUP($A537,'Выгр Кат'!$A:$R,G$1,0)=0,"",VLOOKUP($A537,'Выгр Кат'!$A:$R,G$1,0))</f>
        <v>https://motorring.ru/product/38259-verhnyaya-chasty-paneli-zadka-dlya-lada-priora-hetchbek</v>
      </c>
      <c r="H537" s="52"/>
      <c r="I537" s="52"/>
      <c r="J537" s="54">
        <f t="shared" si="136"/>
        <v>953</v>
      </c>
      <c r="K537" s="55">
        <f>VLOOKUP(J537,Наценка!$A$1:$B$8,2,1)</f>
        <v>1.55</v>
      </c>
      <c r="L537" s="56">
        <f t="shared" si="137"/>
        <v>1477.15</v>
      </c>
      <c r="M537" s="57">
        <f t="shared" si="138"/>
        <v>1490</v>
      </c>
      <c r="N537" s="52">
        <f>VLOOKUP($A537,'Выгр Кат'!$A:$R,N$1,0)</f>
        <v>953</v>
      </c>
      <c r="O537" s="52">
        <f>VLOOKUP($A537,'Выгр Кат'!$A:$R,O$1,0)</f>
        <v>1490</v>
      </c>
      <c r="P537" s="47">
        <f t="shared" si="139"/>
        <v>0</v>
      </c>
      <c r="Q537" s="47">
        <f t="shared" si="140"/>
        <v>0</v>
      </c>
      <c r="R537" s="58">
        <f t="shared" si="141"/>
        <v>1490</v>
      </c>
      <c r="S537" s="59">
        <f t="shared" si="142"/>
        <v>0.56348373557187825</v>
      </c>
      <c r="T537" s="59">
        <f t="shared" si="143"/>
        <v>6.2893081761006289E-2</v>
      </c>
      <c r="U537" s="59">
        <f t="shared" si="144"/>
        <v>0.66841552990556141</v>
      </c>
      <c r="V537" s="42">
        <f t="shared" si="148"/>
        <v>1590</v>
      </c>
      <c r="W537" s="69">
        <f>IFERROR((VLOOKUP($A537,'Из ГУГЛа'!$B:$Z,W$1,0)+Y537)*X537,VLOOKUP($A537,'Из ГУГЛа'!$B:$Z,W$1,0))</f>
        <v>1590</v>
      </c>
      <c r="X537" s="61">
        <v>1</v>
      </c>
      <c r="Y537" s="61">
        <v>0</v>
      </c>
      <c r="Z537" s="70">
        <v>1590</v>
      </c>
      <c r="AA537" s="60" t="s">
        <v>1415</v>
      </c>
    </row>
    <row r="538" spans="1:27" ht="45" x14ac:dyDescent="0.25">
      <c r="A538" s="52">
        <v>195273</v>
      </c>
      <c r="B538" s="52">
        <f>VLOOKUP($A538,'Выгр Кат'!$A:$R,B$1,0)</f>
        <v>31467</v>
      </c>
      <c r="C538" s="53" t="str">
        <f>VLOOKUP($A538,'Выгр Кат'!$A:$R,C$1,0)</f>
        <v>Поперечина панели приборов "АвтоВАЗ" с кронштейном в сборе для Лада Калина</v>
      </c>
      <c r="D538" s="52" t="str">
        <f>VLOOKUP($A538,'Выгр Кат'!$A:$R,D$1,0)</f>
        <v>Y</v>
      </c>
      <c r="E538" s="52" t="str">
        <f>VLOOKUP($A538,'Выгр Кат'!$A:$R,E$1,0)</f>
        <v>1</v>
      </c>
      <c r="F538" s="52" t="str">
        <f>VLOOKUP($A538,'Выгр Кат'!$A:$R,F$1,0)</f>
        <v>11180532507910</v>
      </c>
      <c r="G538" s="52" t="str">
        <f>IF(VLOOKUP($A538,'Выгр Кат'!$A:$R,G$1,0)=0,"",VLOOKUP($A538,'Выгр Кат'!$A:$R,G$1,0))</f>
        <v/>
      </c>
      <c r="H538" s="52"/>
      <c r="I538" s="52"/>
      <c r="J538" s="54">
        <f t="shared" si="136"/>
        <v>1511</v>
      </c>
      <c r="K538" s="55">
        <f>VLOOKUP(J538,Наценка!$A$1:$B$8,2,1)</f>
        <v>1.5</v>
      </c>
      <c r="L538" s="56">
        <f t="shared" si="137"/>
        <v>2266.5</v>
      </c>
      <c r="M538" s="57">
        <f t="shared" si="138"/>
        <v>2290</v>
      </c>
      <c r="N538" s="52">
        <f>VLOOKUP($A538,'Выгр Кат'!$A:$R,N$1,0)</f>
        <v>1511</v>
      </c>
      <c r="O538" s="52">
        <f>VLOOKUP($A538,'Выгр Кат'!$A:$R,O$1,0)</f>
        <v>2290</v>
      </c>
      <c r="P538" s="47">
        <f t="shared" si="139"/>
        <v>0</v>
      </c>
      <c r="Q538" s="47">
        <f t="shared" si="140"/>
        <v>0</v>
      </c>
      <c r="R538" s="58">
        <f t="shared" si="141"/>
        <v>2290</v>
      </c>
      <c r="S538" s="59">
        <f t="shared" si="142"/>
        <v>0.51555261416280618</v>
      </c>
      <c r="T538" s="59" t="str">
        <f t="shared" si="143"/>
        <v/>
      </c>
      <c r="U538" s="59" t="str">
        <f t="shared" si="144"/>
        <v/>
      </c>
      <c r="V538" s="60"/>
      <c r="W538" s="69" t="str">
        <f>IFERROR((VLOOKUP($A538,'Из ГУГЛа'!$B:$Z,W$1,0)+Y538)*X538,VLOOKUP($A538,'Из ГУГЛа'!$B:$Z,W$1,0))</f>
        <v/>
      </c>
      <c r="X538" s="61">
        <v>1</v>
      </c>
      <c r="Y538" s="61">
        <v>0</v>
      </c>
      <c r="Z538" s="60" t="s">
        <v>4170</v>
      </c>
      <c r="AA538" s="60"/>
    </row>
    <row r="539" spans="1:27" ht="45" x14ac:dyDescent="0.25">
      <c r="A539" s="52">
        <v>195274</v>
      </c>
      <c r="B539" s="52">
        <f>VLOOKUP($A539,'Выгр Кат'!$A:$R,B$1,0)</f>
        <v>32658</v>
      </c>
      <c r="C539" s="53" t="str">
        <f>VLOOKUP($A539,'Выгр Кат'!$A:$R,C$1,0)</f>
        <v>Поперечина панели приборов "АвтоВАЗ" с усилителями в сборе для Шевроле Нива</v>
      </c>
      <c r="D539" s="52" t="str">
        <f>VLOOKUP($A539,'Выгр Кат'!$A:$R,D$1,0)</f>
        <v>Y</v>
      </c>
      <c r="E539" s="52" t="str">
        <f>VLOOKUP($A539,'Выгр Кат'!$A:$R,E$1,0)</f>
        <v>1</v>
      </c>
      <c r="F539" s="52" t="str">
        <f>VLOOKUP($A539,'Выгр Кат'!$A:$R,F$1,0)</f>
        <v>21230532507900</v>
      </c>
      <c r="G539" s="52" t="str">
        <f>IF(VLOOKUP($A539,'Выгр Кат'!$A:$R,G$1,0)=0,"",VLOOKUP($A539,'Выгр Кат'!$A:$R,G$1,0))</f>
        <v/>
      </c>
      <c r="H539" s="52"/>
      <c r="I539" s="52"/>
      <c r="J539" s="54">
        <f t="shared" si="136"/>
        <v>3452</v>
      </c>
      <c r="K539" s="55">
        <f>VLOOKUP(J539,Наценка!$A$1:$B$8,2,1)</f>
        <v>1.4</v>
      </c>
      <c r="L539" s="56">
        <f t="shared" si="137"/>
        <v>4832.7999999999993</v>
      </c>
      <c r="M539" s="57">
        <f t="shared" si="138"/>
        <v>4890</v>
      </c>
      <c r="N539" s="52">
        <f>VLOOKUP($A539,'Выгр Кат'!$A:$R,N$1,0)</f>
        <v>3452</v>
      </c>
      <c r="O539" s="52">
        <f>VLOOKUP($A539,'Выгр Кат'!$A:$R,O$1,0)</f>
        <v>4890</v>
      </c>
      <c r="P539" s="47">
        <f t="shared" si="139"/>
        <v>0</v>
      </c>
      <c r="Q539" s="47">
        <f t="shared" si="140"/>
        <v>0</v>
      </c>
      <c r="R539" s="58">
        <f t="shared" si="141"/>
        <v>4890</v>
      </c>
      <c r="S539" s="59">
        <f t="shared" si="142"/>
        <v>0.41657010428736974</v>
      </c>
      <c r="T539" s="59" t="str">
        <f t="shared" si="143"/>
        <v/>
      </c>
      <c r="U539" s="59" t="str">
        <f t="shared" si="144"/>
        <v/>
      </c>
      <c r="V539" s="60"/>
      <c r="W539" s="69" t="str">
        <f>IFERROR((VLOOKUP($A539,'Из ГУГЛа'!$B:$Z,W$1,0)+Y539)*X539,VLOOKUP($A539,'Из ГУГЛа'!$B:$Z,W$1,0))</f>
        <v/>
      </c>
      <c r="X539" s="61">
        <v>1</v>
      </c>
      <c r="Y539" s="61">
        <v>0</v>
      </c>
      <c r="Z539" s="60" t="s">
        <v>4170</v>
      </c>
      <c r="AA539" s="60"/>
    </row>
    <row r="540" spans="1:27" ht="30" x14ac:dyDescent="0.25">
      <c r="A540" s="52">
        <v>356104</v>
      </c>
      <c r="B540" s="52">
        <f>VLOOKUP($A540,'Выгр Кат'!$A:$R,B$1,0)</f>
        <v>356104</v>
      </c>
      <c r="C540" s="53" t="str">
        <f>VLOOKUP($A540,'Выгр Кат'!$A:$R,C$1,0)</f>
        <v>Поперечина пола "Renault" S.A.S центральная (задняя) для Лада Ларгус</v>
      </c>
      <c r="D540" s="52" t="str">
        <f>VLOOKUP($A540,'Выгр Кат'!$A:$R,D$1,0)</f>
        <v>Y</v>
      </c>
      <c r="E540" s="52" t="str">
        <f>VLOOKUP($A540,'Выгр Кат'!$A:$R,E$1,0)</f>
        <v>1</v>
      </c>
      <c r="F540" s="52" t="str">
        <f>VLOOKUP($A540,'Выгр Кат'!$A:$R,F$1,0)</f>
        <v>6001548781</v>
      </c>
      <c r="G540" s="52" t="str">
        <f>IF(VLOOKUP($A540,'Выгр Кат'!$A:$R,G$1,0)=0,"",VLOOKUP($A540,'Выгр Кат'!$A:$R,G$1,0))</f>
        <v/>
      </c>
      <c r="H540" s="52"/>
      <c r="I540" s="52"/>
      <c r="J540" s="54">
        <f t="shared" si="136"/>
        <v>3358</v>
      </c>
      <c r="K540" s="55">
        <f>VLOOKUP(J540,Наценка!$A$1:$B$8,2,1)</f>
        <v>1.4</v>
      </c>
      <c r="L540" s="56">
        <f t="shared" si="137"/>
        <v>4701.2</v>
      </c>
      <c r="M540" s="57">
        <f t="shared" si="138"/>
        <v>4790</v>
      </c>
      <c r="N540" s="52">
        <f>VLOOKUP($A540,'Выгр Кат'!$A:$R,N$1,0)</f>
        <v>3358</v>
      </c>
      <c r="O540" s="52">
        <f>VLOOKUP($A540,'Выгр Кат'!$A:$R,O$1,0)</f>
        <v>4790</v>
      </c>
      <c r="P540" s="47">
        <f t="shared" si="139"/>
        <v>0</v>
      </c>
      <c r="Q540" s="47">
        <f t="shared" si="140"/>
        <v>0</v>
      </c>
      <c r="R540" s="58">
        <f t="shared" si="141"/>
        <v>4790</v>
      </c>
      <c r="S540" s="59">
        <f t="shared" si="142"/>
        <v>0.42644431209053013</v>
      </c>
      <c r="T540" s="59" t="str">
        <f t="shared" si="143"/>
        <v/>
      </c>
      <c r="U540" s="59" t="str">
        <f t="shared" si="144"/>
        <v/>
      </c>
      <c r="V540" s="60"/>
      <c r="W540" s="69" t="str">
        <f>IFERROR((VLOOKUP($A540,'Из ГУГЛа'!$B:$Z,W$1,0)+Y540)*X540,VLOOKUP($A540,'Из ГУГЛа'!$B:$Z,W$1,0))</f>
        <v/>
      </c>
      <c r="X540" s="61">
        <v>1</v>
      </c>
      <c r="Y540" s="61">
        <v>0</v>
      </c>
      <c r="Z540" s="60" t="s">
        <v>4170</v>
      </c>
      <c r="AA540" s="60"/>
    </row>
    <row r="541" spans="1:27" ht="30" x14ac:dyDescent="0.25">
      <c r="A541" s="52">
        <v>347453</v>
      </c>
      <c r="B541" s="52">
        <f>VLOOKUP($A541,'Выгр Кат'!$A:$R,B$1,0)</f>
        <v>347453</v>
      </c>
      <c r="C541" s="53" t="str">
        <f>VLOOKUP($A541,'Выгр Кат'!$A:$R,C$1,0)</f>
        <v>Поперечина пола "АвтоВАЗ центральная для Лада XRAY</v>
      </c>
      <c r="D541" s="52" t="str">
        <f>VLOOKUP($A541,'Выгр Кат'!$A:$R,D$1,0)</f>
        <v>Y</v>
      </c>
      <c r="E541" s="52" t="str">
        <f>VLOOKUP($A541,'Выгр Кат'!$A:$R,E$1,0)</f>
        <v>1</v>
      </c>
      <c r="F541" s="52" t="str">
        <f>VLOOKUP($A541,'Выгр Кат'!$A:$R,F$1,0)</f>
        <v>756507965</v>
      </c>
      <c r="G541" s="52" t="str">
        <f>IF(VLOOKUP($A541,'Выгр Кат'!$A:$R,G$1,0)=0,"",VLOOKUP($A541,'Выгр Кат'!$A:$R,G$1,0))</f>
        <v/>
      </c>
      <c r="H541" s="52"/>
      <c r="I541" s="52"/>
      <c r="J541" s="54">
        <f t="shared" si="136"/>
        <v>3652</v>
      </c>
      <c r="K541" s="55">
        <f>VLOOKUP(J541,Наценка!$A$1:$B$8,2,1)</f>
        <v>1.4</v>
      </c>
      <c r="L541" s="56">
        <f t="shared" si="137"/>
        <v>5112.7999999999993</v>
      </c>
      <c r="M541" s="57">
        <f t="shared" si="138"/>
        <v>5190</v>
      </c>
      <c r="N541" s="52">
        <f>VLOOKUP($A541,'Выгр Кат'!$A:$R,N$1,0)</f>
        <v>3652</v>
      </c>
      <c r="O541" s="52">
        <f>VLOOKUP($A541,'Выгр Кат'!$A:$R,O$1,0)</f>
        <v>5190</v>
      </c>
      <c r="P541" s="47">
        <f t="shared" si="139"/>
        <v>0</v>
      </c>
      <c r="Q541" s="47">
        <f t="shared" si="140"/>
        <v>0</v>
      </c>
      <c r="R541" s="58">
        <f t="shared" si="141"/>
        <v>5190</v>
      </c>
      <c r="S541" s="59">
        <f t="shared" si="142"/>
        <v>0.42113910186199344</v>
      </c>
      <c r="T541" s="59" t="str">
        <f t="shared" si="143"/>
        <v/>
      </c>
      <c r="U541" s="59" t="str">
        <f t="shared" si="144"/>
        <v/>
      </c>
      <c r="V541" s="60"/>
      <c r="W541" s="69" t="str">
        <f>IFERROR((VLOOKUP($A541,'Из ГУГЛа'!$B:$Z,W$1,0)+Y541)*X541,VLOOKUP($A541,'Из ГУГЛа'!$B:$Z,W$1,0))</f>
        <v/>
      </c>
      <c r="X541" s="61">
        <v>1</v>
      </c>
      <c r="Y541" s="61">
        <v>0</v>
      </c>
      <c r="Z541" s="62" t="s">
        <v>4170</v>
      </c>
      <c r="AA541" s="60"/>
    </row>
    <row r="542" spans="1:27" ht="45" x14ac:dyDescent="0.25">
      <c r="A542" s="52">
        <v>195304</v>
      </c>
      <c r="B542" s="52">
        <f>VLOOKUP($A542,'Выгр Кат'!$A:$R,B$1,0)</f>
        <v>23535</v>
      </c>
      <c r="C542" s="53" t="str">
        <f>VLOOKUP($A542,'Выгр Кат'!$A:$R,C$1,0)</f>
        <v>Поперечина пола "АвтоВАЗ" (передняя, катафорезное покрытие) для ВАЗ 2110-2112</v>
      </c>
      <c r="D542" s="52" t="str">
        <f>VLOOKUP($A542,'Выгр Кат'!$A:$R,D$1,0)</f>
        <v>Y</v>
      </c>
      <c r="E542" s="52" t="str">
        <f>VLOOKUP($A542,'Выгр Кат'!$A:$R,E$1,0)</f>
        <v>1</v>
      </c>
      <c r="F542" s="52" t="str">
        <f>VLOOKUP($A542,'Выгр Кат'!$A:$R,F$1,0)</f>
        <v>21100510108010</v>
      </c>
      <c r="G542" s="52" t="str">
        <f>IF(VLOOKUP($A542,'Выгр Кат'!$A:$R,G$1,0)=0,"",VLOOKUP($A542,'Выгр Кат'!$A:$R,G$1,0))</f>
        <v/>
      </c>
      <c r="H542" s="52"/>
      <c r="I542" s="52"/>
      <c r="J542" s="54">
        <f t="shared" si="136"/>
        <v>2326.7399999999998</v>
      </c>
      <c r="K542" s="55">
        <f>VLOOKUP(J542,Наценка!$A$1:$B$8,2,1)</f>
        <v>1.4</v>
      </c>
      <c r="L542" s="56">
        <f t="shared" si="137"/>
        <v>3257.4359999999997</v>
      </c>
      <c r="M542" s="57">
        <f t="shared" si="138"/>
        <v>3290</v>
      </c>
      <c r="N542" s="52">
        <f>VLOOKUP($A542,'Выгр Кат'!$A:$R,N$1,0)</f>
        <v>2326.7399999999998</v>
      </c>
      <c r="O542" s="52">
        <f>VLOOKUP($A542,'Выгр Кат'!$A:$R,O$1,0)</f>
        <v>3290</v>
      </c>
      <c r="P542" s="47">
        <f t="shared" si="139"/>
        <v>0</v>
      </c>
      <c r="Q542" s="47">
        <f t="shared" si="140"/>
        <v>0</v>
      </c>
      <c r="R542" s="58">
        <f t="shared" si="141"/>
        <v>3290</v>
      </c>
      <c r="S542" s="59">
        <f t="shared" si="142"/>
        <v>0.41399554741827638</v>
      </c>
      <c r="T542" s="59">
        <f t="shared" si="143"/>
        <v>-6.4724919093851127E-2</v>
      </c>
      <c r="U542" s="59">
        <f t="shared" si="144"/>
        <v>0.32803837128342672</v>
      </c>
      <c r="V542" s="42">
        <f>Z542</f>
        <v>3090</v>
      </c>
      <c r="W542" s="69" t="str">
        <f>IFERROR((VLOOKUP($A542,'Из ГУГЛа'!$B:$Z,W$1,0)+Y542)*X542,VLOOKUP($A542,'Из ГУГЛа'!$B:$Z,W$1,0))</f>
        <v/>
      </c>
      <c r="X542" s="61">
        <v>1</v>
      </c>
      <c r="Y542" s="61">
        <v>0</v>
      </c>
      <c r="Z542" s="60">
        <v>3090</v>
      </c>
      <c r="AA542" s="60" t="s">
        <v>4301</v>
      </c>
    </row>
    <row r="543" spans="1:27" ht="45" x14ac:dyDescent="0.25">
      <c r="A543" s="52">
        <v>195305</v>
      </c>
      <c r="B543" s="52">
        <f>VLOOKUP($A543,'Выгр Кат'!$A:$R,B$1,0)</f>
        <v>46215</v>
      </c>
      <c r="C543" s="53" t="str">
        <f>VLOOKUP($A543,'Выгр Кат'!$A:$R,C$1,0)</f>
        <v>Поперечина пола "АвтоВАЗ" в сборе (катафорез) для Лада Нива Travel, Шевроле Нива</v>
      </c>
      <c r="D543" s="52" t="str">
        <f>VLOOKUP($A543,'Выгр Кат'!$A:$R,D$1,0)</f>
        <v>Y</v>
      </c>
      <c r="E543" s="52" t="str">
        <f>VLOOKUP($A543,'Выгр Кат'!$A:$R,E$1,0)</f>
        <v>1</v>
      </c>
      <c r="F543" s="52" t="str">
        <f>VLOOKUP($A543,'Выгр Кат'!$A:$R,F$1,0)</f>
        <v>21230510117070</v>
      </c>
      <c r="G543" s="52" t="str">
        <f>IF(VLOOKUP($A543,'Выгр Кат'!$A:$R,G$1,0)=0,"",VLOOKUP($A543,'Выгр Кат'!$A:$R,G$1,0))</f>
        <v>https://motorring.ru/product/6525-poperechina-pola-pod-sidenyem-zadnim-sbore-shevrole-niva</v>
      </c>
      <c r="H543" s="52"/>
      <c r="I543" s="52"/>
      <c r="J543" s="54">
        <f t="shared" si="136"/>
        <v>2374</v>
      </c>
      <c r="K543" s="55">
        <f>VLOOKUP(J543,Наценка!$A$1:$B$8,2,1)</f>
        <v>1.4</v>
      </c>
      <c r="L543" s="56">
        <f t="shared" si="137"/>
        <v>3323.6</v>
      </c>
      <c r="M543" s="57">
        <f t="shared" si="138"/>
        <v>3390</v>
      </c>
      <c r="N543" s="52">
        <f>VLOOKUP($A543,'Выгр Кат'!$A:$R,N$1,0)</f>
        <v>2374</v>
      </c>
      <c r="O543" s="52">
        <f>VLOOKUP($A543,'Выгр Кат'!$A:$R,O$1,0)</f>
        <v>3390</v>
      </c>
      <c r="P543" s="47">
        <f t="shared" si="139"/>
        <v>0</v>
      </c>
      <c r="Q543" s="47">
        <f t="shared" si="140"/>
        <v>0</v>
      </c>
      <c r="R543" s="58">
        <f t="shared" si="141"/>
        <v>3390</v>
      </c>
      <c r="S543" s="59">
        <f t="shared" si="142"/>
        <v>0.42796967144060649</v>
      </c>
      <c r="T543" s="59">
        <f t="shared" si="143"/>
        <v>-0.36144578313253012</v>
      </c>
      <c r="U543" s="59">
        <f t="shared" si="144"/>
        <v>4.8862679022746436E-2</v>
      </c>
      <c r="V543" s="42">
        <f>Z543</f>
        <v>2490</v>
      </c>
      <c r="W543" s="69">
        <f>IFERROR((VLOOKUP($A543,'Из ГУГЛа'!$B:$Z,W$1,0)+Y543)*X543,VLOOKUP($A543,'Из ГУГЛа'!$B:$Z,W$1,0))</f>
        <v>2490</v>
      </c>
      <c r="X543" s="61">
        <v>1</v>
      </c>
      <c r="Y543" s="61">
        <v>0</v>
      </c>
      <c r="Z543" s="70">
        <v>2490</v>
      </c>
      <c r="AA543" s="60" t="s">
        <v>1429</v>
      </c>
    </row>
    <row r="544" spans="1:27" ht="30" x14ac:dyDescent="0.25">
      <c r="A544" s="52">
        <v>195306</v>
      </c>
      <c r="B544" s="52">
        <f>VLOOKUP($A544,'Выгр Кат'!$A:$R,B$1,0)</f>
        <v>34263</v>
      </c>
      <c r="C544" s="53" t="str">
        <f>VLOOKUP($A544,'Выгр Кат'!$A:$R,C$1,0)</f>
        <v>Поперечина пола "АвтоВАЗ" голая для ВАЗ 2110-2112</v>
      </c>
      <c r="D544" s="52" t="str">
        <f>VLOOKUP($A544,'Выгр Кат'!$A:$R,D$1,0)</f>
        <v>Y</v>
      </c>
      <c r="E544" s="52" t="str">
        <f>VLOOKUP($A544,'Выгр Кат'!$A:$R,E$1,0)</f>
        <v>1</v>
      </c>
      <c r="F544" s="52" t="str">
        <f>VLOOKUP($A544,'Выгр Кат'!$A:$R,F$1,0)</f>
        <v>211005101084</v>
      </c>
      <c r="G544" s="52" t="str">
        <f>IF(VLOOKUP($A544,'Выгр Кат'!$A:$R,G$1,0)=0,"",VLOOKUP($A544,'Выгр Кат'!$A:$R,G$1,0))</f>
        <v/>
      </c>
      <c r="H544" s="52"/>
      <c r="I544" s="52"/>
      <c r="J544" s="54">
        <f t="shared" si="136"/>
        <v>1140</v>
      </c>
      <c r="K544" s="55">
        <f>VLOOKUP(J544,Наценка!$A$1:$B$8,2,1)</f>
        <v>1.5</v>
      </c>
      <c r="L544" s="56">
        <f t="shared" si="137"/>
        <v>1710</v>
      </c>
      <c r="M544" s="57">
        <f t="shared" si="138"/>
        <v>1790</v>
      </c>
      <c r="N544" s="52">
        <f>VLOOKUP($A544,'Выгр Кат'!$A:$R,N$1,0)</f>
        <v>1140</v>
      </c>
      <c r="O544" s="52">
        <f>VLOOKUP($A544,'Выгр Кат'!$A:$R,O$1,0)</f>
        <v>1790</v>
      </c>
      <c r="P544" s="47">
        <f t="shared" si="139"/>
        <v>0</v>
      </c>
      <c r="Q544" s="47">
        <f t="shared" si="140"/>
        <v>0</v>
      </c>
      <c r="R544" s="58">
        <f t="shared" si="141"/>
        <v>1790</v>
      </c>
      <c r="S544" s="59">
        <f t="shared" si="142"/>
        <v>0.57017543859649122</v>
      </c>
      <c r="T544" s="59" t="str">
        <f t="shared" si="143"/>
        <v/>
      </c>
      <c r="U544" s="59" t="str">
        <f t="shared" si="144"/>
        <v/>
      </c>
      <c r="V544" s="60"/>
      <c r="W544" s="69" t="str">
        <f>IFERROR((VLOOKUP($A544,'Из ГУГЛа'!$B:$Z,W$1,0)+Y544)*X544,VLOOKUP($A544,'Из ГУГЛа'!$B:$Z,W$1,0))</f>
        <v/>
      </c>
      <c r="X544" s="61">
        <v>1</v>
      </c>
      <c r="Y544" s="61">
        <v>0</v>
      </c>
      <c r="Z544" s="60" t="s">
        <v>4170</v>
      </c>
      <c r="AA544" s="60"/>
    </row>
    <row r="545" spans="1:27" ht="45" x14ac:dyDescent="0.25">
      <c r="A545" s="52">
        <v>195307</v>
      </c>
      <c r="B545" s="52">
        <f>VLOOKUP($A545,'Выгр Кат'!$A:$R,B$1,0)</f>
        <v>45740</v>
      </c>
      <c r="C545" s="53" t="str">
        <f>VLOOKUP($A545,'Выгр Кат'!$A:$R,C$1,0)</f>
        <v>Поперечина пола "АвтоВАЗ" задняя (катафорез) для ВАЗ 2110-2112, Лада Приора</v>
      </c>
      <c r="D545" s="52" t="str">
        <f>VLOOKUP($A545,'Выгр Кат'!$A:$R,D$1,0)</f>
        <v>Y</v>
      </c>
      <c r="E545" s="52" t="str">
        <f>VLOOKUP($A545,'Выгр Кат'!$A:$R,E$1,0)</f>
        <v>0</v>
      </c>
      <c r="F545" s="52" t="str">
        <f>VLOOKUP($A545,'Выгр Кат'!$A:$R,F$1,0)</f>
        <v>21100510127620</v>
      </c>
      <c r="G545" s="52" t="str">
        <f>IF(VLOOKUP($A545,'Выгр Кат'!$A:$R,G$1,0)=0,"",VLOOKUP($A545,'Выгр Кат'!$A:$R,G$1,0))</f>
        <v/>
      </c>
      <c r="H545" s="52"/>
      <c r="I545" s="52"/>
      <c r="J545" s="54">
        <f t="shared" si="136"/>
        <v>994</v>
      </c>
      <c r="K545" s="55">
        <f>VLOOKUP(J545,Наценка!$A$1:$B$8,2,1)</f>
        <v>1.55</v>
      </c>
      <c r="L545" s="56">
        <f t="shared" si="137"/>
        <v>1540.7</v>
      </c>
      <c r="M545" s="57">
        <f t="shared" si="138"/>
        <v>1590</v>
      </c>
      <c r="N545" s="52">
        <f>VLOOKUP($A545,'Выгр Кат'!$A:$R,N$1,0)</f>
        <v>994</v>
      </c>
      <c r="O545" s="52">
        <f>VLOOKUP($A545,'Выгр Кат'!$A:$R,O$1,0)</f>
        <v>1590</v>
      </c>
      <c r="P545" s="47">
        <f t="shared" si="139"/>
        <v>0</v>
      </c>
      <c r="Q545" s="47">
        <f t="shared" si="140"/>
        <v>0</v>
      </c>
      <c r="R545" s="58">
        <f t="shared" si="141"/>
        <v>1590</v>
      </c>
      <c r="S545" s="59">
        <f t="shared" si="142"/>
        <v>0.5995975855130784</v>
      </c>
      <c r="T545" s="59" t="str">
        <f t="shared" si="143"/>
        <v/>
      </c>
      <c r="U545" s="59" t="str">
        <f t="shared" si="144"/>
        <v/>
      </c>
      <c r="V545" s="60"/>
      <c r="W545" s="69" t="str">
        <f>IFERROR((VLOOKUP($A545,'Из ГУГЛа'!$B:$Z,W$1,0)+Y545)*X545,VLOOKUP($A545,'Из ГУГЛа'!$B:$Z,W$1,0))</f>
        <v/>
      </c>
      <c r="X545" s="61">
        <v>1</v>
      </c>
      <c r="Y545" s="61">
        <v>0</v>
      </c>
      <c r="Z545" s="76" t="s">
        <v>4285</v>
      </c>
      <c r="AA545" s="60"/>
    </row>
    <row r="546" spans="1:27" ht="30" x14ac:dyDescent="0.25">
      <c r="A546" s="52">
        <v>195308</v>
      </c>
      <c r="B546" s="52">
        <f>VLOOKUP($A546,'Выгр Кат'!$A:$R,B$1,0)</f>
        <v>45918</v>
      </c>
      <c r="C546" s="53" t="str">
        <f>VLOOKUP($A546,'Выгр Кат'!$A:$R,C$1,0)</f>
        <v>Поперечина пола "АвтоВАЗ" задняя в сборе для Лада Нива 4x4, Нива Legend</v>
      </c>
      <c r="D546" s="52" t="str">
        <f>VLOOKUP($A546,'Выгр Кат'!$A:$R,D$1,0)</f>
        <v>Y</v>
      </c>
      <c r="E546" s="52" t="str">
        <f>VLOOKUP($A546,'Выгр Кат'!$A:$R,E$1,0)</f>
        <v>1</v>
      </c>
      <c r="F546" s="52" t="str">
        <f>VLOOKUP($A546,'Выгр Кат'!$A:$R,F$1,0)</f>
        <v>21214510127220</v>
      </c>
      <c r="G546" s="52" t="str">
        <f>IF(VLOOKUP($A546,'Выгр Кат'!$A:$R,G$1,0)=0,"",VLOOKUP($A546,'Выгр Кат'!$A:$R,G$1,0))</f>
        <v/>
      </c>
      <c r="H546" s="52"/>
      <c r="I546" s="52"/>
      <c r="J546" s="54">
        <f t="shared" si="136"/>
        <v>1114</v>
      </c>
      <c r="K546" s="55">
        <f>VLOOKUP(J546,Наценка!$A$1:$B$8,2,1)</f>
        <v>1.5</v>
      </c>
      <c r="L546" s="56">
        <f t="shared" si="137"/>
        <v>1671</v>
      </c>
      <c r="M546" s="57">
        <f t="shared" si="138"/>
        <v>1690</v>
      </c>
      <c r="N546" s="52">
        <f>VLOOKUP($A546,'Выгр Кат'!$A:$R,N$1,0)</f>
        <v>1114</v>
      </c>
      <c r="O546" s="52">
        <f>VLOOKUP($A546,'Выгр Кат'!$A:$R,O$1,0)</f>
        <v>1690</v>
      </c>
      <c r="P546" s="47">
        <f t="shared" si="139"/>
        <v>0</v>
      </c>
      <c r="Q546" s="47">
        <f t="shared" si="140"/>
        <v>0</v>
      </c>
      <c r="R546" s="58">
        <f t="shared" si="141"/>
        <v>1690</v>
      </c>
      <c r="S546" s="59">
        <f t="shared" si="142"/>
        <v>0.51705565529622977</v>
      </c>
      <c r="T546" s="59" t="str">
        <f t="shared" si="143"/>
        <v/>
      </c>
      <c r="U546" s="59" t="str">
        <f t="shared" si="144"/>
        <v/>
      </c>
      <c r="V546" s="60"/>
      <c r="W546" s="69" t="str">
        <f>IFERROR((VLOOKUP($A546,'Из ГУГЛа'!$B:$Z,W$1,0)+Y546)*X546,VLOOKUP($A546,'Из ГУГЛа'!$B:$Z,W$1,0))</f>
        <v/>
      </c>
      <c r="X546" s="61">
        <v>1</v>
      </c>
      <c r="Y546" s="61">
        <v>0</v>
      </c>
      <c r="Z546" s="60" t="s">
        <v>4170</v>
      </c>
      <c r="AA546" s="60"/>
    </row>
    <row r="547" spans="1:27" ht="30" x14ac:dyDescent="0.25">
      <c r="A547" s="52">
        <v>195309</v>
      </c>
      <c r="B547" s="52">
        <f>VLOOKUP($A547,'Выгр Кат'!$A:$R,B$1,0)</f>
        <v>45528</v>
      </c>
      <c r="C547" s="53" t="str">
        <f>VLOOKUP($A547,'Выгр Кат'!$A:$R,C$1,0)</f>
        <v>Поперечина пола "АвтоВАЗ" задняя для ВАЗ 21099, 2115</v>
      </c>
      <c r="D547" s="52" t="str">
        <f>VLOOKUP($A547,'Выгр Кат'!$A:$R,D$1,0)</f>
        <v>Y</v>
      </c>
      <c r="E547" s="52" t="str">
        <f>VLOOKUP($A547,'Выгр Кат'!$A:$R,E$1,0)</f>
        <v>1</v>
      </c>
      <c r="F547" s="52" t="str">
        <f>VLOOKUP($A547,'Выгр Кат'!$A:$R,F$1,0)</f>
        <v>21099510127610</v>
      </c>
      <c r="G547" s="52" t="str">
        <f>IF(VLOOKUP($A547,'Выгр Кат'!$A:$R,G$1,0)=0,"",VLOOKUP($A547,'Выгр Кат'!$A:$R,G$1,0))</f>
        <v>https://motorring.ru/product/38248-zadnyaya-poperechina-pola-dlya-vaz-21099-2115</v>
      </c>
      <c r="H547" s="52"/>
      <c r="I547" s="52"/>
      <c r="J547" s="54">
        <f t="shared" si="136"/>
        <v>409</v>
      </c>
      <c r="K547" s="55">
        <f>VLOOKUP(J547,Наценка!$A$1:$B$8,2,1)</f>
        <v>1.6</v>
      </c>
      <c r="L547" s="56">
        <f t="shared" si="137"/>
        <v>654.40000000000009</v>
      </c>
      <c r="M547" s="57">
        <f t="shared" si="138"/>
        <v>659</v>
      </c>
      <c r="N547" s="52">
        <f>VLOOKUP($A547,'Выгр Кат'!$A:$R,N$1,0)</f>
        <v>409</v>
      </c>
      <c r="O547" s="52">
        <f>VLOOKUP($A547,'Выгр Кат'!$A:$R,O$1,0)</f>
        <v>659</v>
      </c>
      <c r="P547" s="47">
        <f t="shared" si="139"/>
        <v>0</v>
      </c>
      <c r="Q547" s="47">
        <f t="shared" si="140"/>
        <v>0</v>
      </c>
      <c r="R547" s="58">
        <f t="shared" si="141"/>
        <v>659</v>
      </c>
      <c r="S547" s="59">
        <f t="shared" si="142"/>
        <v>0.61124694376528121</v>
      </c>
      <c r="T547" s="59">
        <f t="shared" si="143"/>
        <v>-1.5408320493066256E-2</v>
      </c>
      <c r="U547" s="59">
        <f t="shared" si="144"/>
        <v>0.58679706601466997</v>
      </c>
      <c r="V547" s="42">
        <f t="shared" ref="V547:V548" si="149">Z547</f>
        <v>649</v>
      </c>
      <c r="W547" s="69">
        <f>IFERROR((VLOOKUP($A547,'Из ГУГЛа'!$B:$Z,W$1,0)+Y547)*X547,VLOOKUP($A547,'Из ГУГЛа'!$B:$Z,W$1,0))</f>
        <v>649</v>
      </c>
      <c r="X547" s="61">
        <v>1</v>
      </c>
      <c r="Y547" s="61">
        <v>0</v>
      </c>
      <c r="Z547" s="70">
        <v>649</v>
      </c>
      <c r="AA547" s="60" t="s">
        <v>1442</v>
      </c>
    </row>
    <row r="548" spans="1:27" ht="30" x14ac:dyDescent="0.25">
      <c r="A548" s="52">
        <v>195310</v>
      </c>
      <c r="B548" s="52">
        <f>VLOOKUP($A548,'Выгр Кат'!$A:$R,B$1,0)</f>
        <v>32511</v>
      </c>
      <c r="C548" s="53" t="str">
        <f>VLOOKUP($A548,'Выгр Кат'!$A:$R,C$1,0)</f>
        <v>Поперечина пола "АвтоВАЗ" левая в сборе (катафорез) для Лада Калина</v>
      </c>
      <c r="D548" s="52" t="str">
        <f>VLOOKUP($A548,'Выгр Кат'!$A:$R,D$1,0)</f>
        <v>Y</v>
      </c>
      <c r="E548" s="52" t="str">
        <f>VLOOKUP($A548,'Выгр Кат'!$A:$R,E$1,0)</f>
        <v>1</v>
      </c>
      <c r="F548" s="52" t="str">
        <f>VLOOKUP($A548,'Выгр Кат'!$A:$R,F$1,0)</f>
        <v>11180510162170</v>
      </c>
      <c r="G548" s="52" t="str">
        <f>IF(VLOOKUP($A548,'Выгр Кат'!$A:$R,G$1,0)=0,"",VLOOKUP($A548,'Выгр Кат'!$A:$R,G$1,0))</f>
        <v>https://motorring.ru/product/18161-poperechina-pola-levaya-sbore-kataforeznoe-pokrytie-lada</v>
      </c>
      <c r="H548" s="52"/>
      <c r="I548" s="52"/>
      <c r="J548" s="54">
        <f t="shared" si="136"/>
        <v>1843.75</v>
      </c>
      <c r="K548" s="55">
        <f>VLOOKUP(J548,Наценка!$A$1:$B$8,2,1)</f>
        <v>1.5</v>
      </c>
      <c r="L548" s="56">
        <f t="shared" si="137"/>
        <v>2765.625</v>
      </c>
      <c r="M548" s="57">
        <f t="shared" si="138"/>
        <v>2790</v>
      </c>
      <c r="N548" s="52">
        <f>VLOOKUP($A548,'Выгр Кат'!$A:$R,N$1,0)</f>
        <v>1843.75</v>
      </c>
      <c r="O548" s="52">
        <f>VLOOKUP($A548,'Выгр Кат'!$A:$R,O$1,0)</f>
        <v>2790</v>
      </c>
      <c r="P548" s="47">
        <f t="shared" si="139"/>
        <v>0</v>
      </c>
      <c r="Q548" s="47">
        <f t="shared" si="140"/>
        <v>0</v>
      </c>
      <c r="R548" s="58">
        <f t="shared" si="141"/>
        <v>2790</v>
      </c>
      <c r="S548" s="59">
        <f t="shared" si="142"/>
        <v>0.51322033898305075</v>
      </c>
      <c r="T548" s="59">
        <f t="shared" si="143"/>
        <v>-3.717472118959108E-2</v>
      </c>
      <c r="U548" s="59">
        <f t="shared" si="144"/>
        <v>0.45898305084745772</v>
      </c>
      <c r="V548" s="42">
        <f t="shared" si="149"/>
        <v>2690</v>
      </c>
      <c r="W548" s="69">
        <f>IFERROR((VLOOKUP($A548,'Из ГУГЛа'!$B:$Z,W$1,0)+Y548)*X548,VLOOKUP($A548,'Из ГУГЛа'!$B:$Z,W$1,0))</f>
        <v>2690</v>
      </c>
      <c r="X548" s="61">
        <v>1</v>
      </c>
      <c r="Y548" s="61">
        <v>0</v>
      </c>
      <c r="Z548" s="70">
        <v>2690</v>
      </c>
      <c r="AA548" s="60" t="s">
        <v>1445</v>
      </c>
    </row>
    <row r="549" spans="1:27" ht="45" x14ac:dyDescent="0.25">
      <c r="A549" s="52">
        <v>195311</v>
      </c>
      <c r="B549" s="52">
        <f>VLOOKUP($A549,'Выгр Кат'!$A:$R,B$1,0)</f>
        <v>31468</v>
      </c>
      <c r="C549" s="53" t="str">
        <f>VLOOKUP($A549,'Выгр Кат'!$A:$R,C$1,0)</f>
        <v>Поперечина пола "АвтоВАЗ" левая в сборе для Лада Калина, Калина 2, Гранта, Гранта FL</v>
      </c>
      <c r="D549" s="52" t="str">
        <f>VLOOKUP($A549,'Выгр Кат'!$A:$R,D$1,0)</f>
        <v>Y</v>
      </c>
      <c r="E549" s="52" t="str">
        <f>VLOOKUP($A549,'Выгр Кат'!$A:$R,E$1,0)</f>
        <v>1</v>
      </c>
      <c r="F549" s="52" t="str">
        <f>VLOOKUP($A549,'Выгр Кат'!$A:$R,F$1,0)</f>
        <v>11180510162100</v>
      </c>
      <c r="G549" s="52" t="str">
        <f>IF(VLOOKUP($A549,'Выгр Кат'!$A:$R,G$1,0)=0,"",VLOOKUP($A549,'Выгр Кат'!$A:$R,G$1,0))</f>
        <v/>
      </c>
      <c r="H549" s="52"/>
      <c r="I549" s="52"/>
      <c r="J549" s="54">
        <f t="shared" si="136"/>
        <v>2366</v>
      </c>
      <c r="K549" s="55">
        <f>VLOOKUP(J549,Наценка!$A$1:$B$8,2,1)</f>
        <v>1.4</v>
      </c>
      <c r="L549" s="56">
        <f t="shared" si="137"/>
        <v>3312.3999999999996</v>
      </c>
      <c r="M549" s="57">
        <f t="shared" si="138"/>
        <v>3390</v>
      </c>
      <c r="N549" s="52">
        <f>VLOOKUP($A549,'Выгр Кат'!$A:$R,N$1,0)</f>
        <v>2366</v>
      </c>
      <c r="O549" s="52">
        <f>VLOOKUP($A549,'Выгр Кат'!$A:$R,O$1,0)</f>
        <v>3390</v>
      </c>
      <c r="P549" s="47">
        <f t="shared" si="139"/>
        <v>0</v>
      </c>
      <c r="Q549" s="47">
        <f t="shared" si="140"/>
        <v>0</v>
      </c>
      <c r="R549" s="58">
        <f t="shared" si="141"/>
        <v>3390</v>
      </c>
      <c r="S549" s="59">
        <f t="shared" si="142"/>
        <v>0.43279797125950981</v>
      </c>
      <c r="T549" s="59">
        <f t="shared" si="143"/>
        <v>-0.26022304832713755</v>
      </c>
      <c r="U549" s="59">
        <f t="shared" si="144"/>
        <v>0.13693998309382915</v>
      </c>
      <c r="V549" s="42">
        <f>Z549</f>
        <v>2690</v>
      </c>
      <c r="W549" s="69" t="str">
        <f>IFERROR((VLOOKUP($A549,'Из ГУГЛа'!$B:$Z,W$1,0)+Y549)*X549,VLOOKUP($A549,'Из ГУГЛа'!$B:$Z,W$1,0))</f>
        <v/>
      </c>
      <c r="X549" s="61">
        <v>1</v>
      </c>
      <c r="Y549" s="61">
        <v>0</v>
      </c>
      <c r="Z549" s="60">
        <v>2690</v>
      </c>
      <c r="AA549" s="60" t="s">
        <v>1445</v>
      </c>
    </row>
    <row r="550" spans="1:27" ht="30" x14ac:dyDescent="0.25">
      <c r="A550" s="52">
        <v>195312</v>
      </c>
      <c r="B550" s="52">
        <f>VLOOKUP($A550,'Выгр Кат'!$A:$R,B$1,0)</f>
        <v>32528</v>
      </c>
      <c r="C550" s="53" t="str">
        <f>VLOOKUP($A550,'Выгр Кат'!$A:$R,C$1,0)</f>
        <v>Поперечина пола "АвтоВАЗ" левая для ВАЗ 2108-21099, 2113-2115</v>
      </c>
      <c r="D550" s="52" t="str">
        <f>VLOOKUP($A550,'Выгр Кат'!$A:$R,D$1,0)</f>
        <v>Y</v>
      </c>
      <c r="E550" s="52" t="str">
        <f>VLOOKUP($A550,'Выгр Кат'!$A:$R,E$1,0)</f>
        <v>1ск1</v>
      </c>
      <c r="F550" s="52" t="str">
        <f>VLOOKUP($A550,'Выгр Кат'!$A:$R,F$1,0)</f>
        <v>21080510108300</v>
      </c>
      <c r="G550" s="52" t="str">
        <f>IF(VLOOKUP($A550,'Выгр Кат'!$A:$R,G$1,0)=0,"",VLOOKUP($A550,'Выгр Кат'!$A:$R,G$1,0))</f>
        <v>https://motorring.ru/product/727-poperechina-pola-levaya-vaz-2108-21099-2113-2115</v>
      </c>
      <c r="H550" s="52"/>
      <c r="I550" s="52"/>
      <c r="J550" s="54">
        <f t="shared" si="136"/>
        <v>136</v>
      </c>
      <c r="K550" s="55">
        <f>VLOOKUP(J550,Наценка!$A$1:$B$8,2,1)</f>
        <v>1.8</v>
      </c>
      <c r="L550" s="56">
        <f t="shared" si="137"/>
        <v>244.8</v>
      </c>
      <c r="M550" s="57">
        <f t="shared" si="138"/>
        <v>249</v>
      </c>
      <c r="N550" s="52">
        <f>VLOOKUP($A550,'Выгр Кат'!$A:$R,N$1,0)</f>
        <v>136</v>
      </c>
      <c r="O550" s="52">
        <f>VLOOKUP($A550,'Выгр Кат'!$A:$R,O$1,0)</f>
        <v>249</v>
      </c>
      <c r="P550" s="47">
        <f t="shared" si="139"/>
        <v>0</v>
      </c>
      <c r="Q550" s="47">
        <f t="shared" si="140"/>
        <v>0</v>
      </c>
      <c r="R550" s="58">
        <f t="shared" si="141"/>
        <v>249</v>
      </c>
      <c r="S550" s="59">
        <f t="shared" si="142"/>
        <v>0.83088235294117641</v>
      </c>
      <c r="T550" s="59">
        <f t="shared" si="143"/>
        <v>0.36153846153846153</v>
      </c>
      <c r="U550" s="59">
        <f t="shared" si="144"/>
        <v>1.8676470588235294</v>
      </c>
      <c r="V550" s="42">
        <f>Z550</f>
        <v>390</v>
      </c>
      <c r="W550" s="69">
        <f>IFERROR((VLOOKUP($A550,'Из ГУГЛа'!$B:$Z,W$1,0)+Y550)*X550,VLOOKUP($A550,'Из ГУГЛа'!$B:$Z,W$1,0))</f>
        <v>390</v>
      </c>
      <c r="X550" s="61">
        <v>1</v>
      </c>
      <c r="Y550" s="61">
        <v>0</v>
      </c>
      <c r="Z550" s="70">
        <v>390</v>
      </c>
      <c r="AA550" s="60" t="s">
        <v>1450</v>
      </c>
    </row>
    <row r="551" spans="1:27" ht="30" x14ac:dyDescent="0.25">
      <c r="A551" s="52">
        <v>195313</v>
      </c>
      <c r="B551" s="52">
        <f>VLOOKUP($A551,'Выгр Кат'!$A:$R,B$1,0)</f>
        <v>31081</v>
      </c>
      <c r="C551" s="53" t="str">
        <f>VLOOKUP($A551,'Выгр Кат'!$A:$R,C$1,0)</f>
        <v>Поперечина пола "АвтоВАЗ" передняя левая, в сборе для Лада XRAY</v>
      </c>
      <c r="D551" s="52" t="str">
        <f>VLOOKUP($A551,'Выгр Кат'!$A:$R,D$1,0)</f>
        <v>Y</v>
      </c>
      <c r="E551" s="52" t="str">
        <f>VLOOKUP($A551,'Выгр Кат'!$A:$R,E$1,0)</f>
        <v>1</v>
      </c>
      <c r="F551" s="52" t="str">
        <f>VLOOKUP($A551,'Выгр Кат'!$A:$R,F$1,0)</f>
        <v>8450106754</v>
      </c>
      <c r="G551" s="52" t="str">
        <f>IF(VLOOKUP($A551,'Выгр Кат'!$A:$R,G$1,0)=0,"",VLOOKUP($A551,'Выгр Кат'!$A:$R,G$1,0))</f>
        <v/>
      </c>
      <c r="H551" s="52"/>
      <c r="I551" s="52"/>
      <c r="J551" s="54">
        <f t="shared" si="136"/>
        <v>1150</v>
      </c>
      <c r="K551" s="55">
        <f>VLOOKUP(J551,Наценка!$A$1:$B$8,2,1)</f>
        <v>1.5</v>
      </c>
      <c r="L551" s="56">
        <f t="shared" si="137"/>
        <v>1725</v>
      </c>
      <c r="M551" s="57">
        <f t="shared" si="138"/>
        <v>1790</v>
      </c>
      <c r="N551" s="52">
        <f>VLOOKUP($A551,'Выгр Кат'!$A:$R,N$1,0)</f>
        <v>1150</v>
      </c>
      <c r="O551" s="52">
        <f>VLOOKUP($A551,'Выгр Кат'!$A:$R,O$1,0)</f>
        <v>1790</v>
      </c>
      <c r="P551" s="47">
        <f t="shared" si="139"/>
        <v>0</v>
      </c>
      <c r="Q551" s="47">
        <f t="shared" si="140"/>
        <v>0</v>
      </c>
      <c r="R551" s="58">
        <f t="shared" si="141"/>
        <v>1790</v>
      </c>
      <c r="S551" s="59">
        <f t="shared" si="142"/>
        <v>0.55652173913043468</v>
      </c>
      <c r="T551" s="59" t="str">
        <f t="shared" si="143"/>
        <v/>
      </c>
      <c r="U551" s="59" t="str">
        <f t="shared" si="144"/>
        <v/>
      </c>
      <c r="V551" s="60"/>
      <c r="W551" s="69" t="str">
        <f>IFERROR((VLOOKUP($A551,'Из ГУГЛа'!$B:$Z,W$1,0)+Y551)*X551,VLOOKUP($A551,'Из ГУГЛа'!$B:$Z,W$1,0))</f>
        <v/>
      </c>
      <c r="X551" s="61">
        <v>1</v>
      </c>
      <c r="Y551" s="61">
        <v>0</v>
      </c>
      <c r="Z551" s="62" t="s">
        <v>4170</v>
      </c>
      <c r="AA551" s="60"/>
    </row>
    <row r="552" spans="1:27" ht="45" x14ac:dyDescent="0.25">
      <c r="A552" s="52">
        <v>195314</v>
      </c>
      <c r="B552" s="52">
        <f>VLOOKUP($A552,'Выгр Кат'!$A:$R,B$1,0)</f>
        <v>31469</v>
      </c>
      <c r="C552" s="53" t="str">
        <f>VLOOKUP($A552,'Выгр Кат'!$A:$R,C$1,0)</f>
        <v>Поперечина пола "АвтоВАЗ" правая в сборе для Лада Калина, Калина 2, Гранта, Гранта FL</v>
      </c>
      <c r="D552" s="52" t="str">
        <f>VLOOKUP($A552,'Выгр Кат'!$A:$R,D$1,0)</f>
        <v>Y</v>
      </c>
      <c r="E552" s="52" t="str">
        <f>VLOOKUP($A552,'Выгр Кат'!$A:$R,E$1,0)</f>
        <v>1</v>
      </c>
      <c r="F552" s="52" t="str">
        <f>VLOOKUP($A552,'Выгр Кат'!$A:$R,F$1,0)</f>
        <v>11180510162000</v>
      </c>
      <c r="G552" s="52" t="str">
        <f>IF(VLOOKUP($A552,'Выгр Кат'!$A:$R,G$1,0)=0,"",VLOOKUP($A552,'Выгр Кат'!$A:$R,G$1,0))</f>
        <v/>
      </c>
      <c r="H552" s="52"/>
      <c r="I552" s="52"/>
      <c r="J552" s="54">
        <f t="shared" si="136"/>
        <v>790.35</v>
      </c>
      <c r="K552" s="55">
        <f>VLOOKUP(J552,Наценка!$A$1:$B$8,2,1)</f>
        <v>1.55</v>
      </c>
      <c r="L552" s="56">
        <f t="shared" si="137"/>
        <v>1225.0425</v>
      </c>
      <c r="M552" s="57">
        <f t="shared" si="138"/>
        <v>1290</v>
      </c>
      <c r="N552" s="52">
        <f>VLOOKUP($A552,'Выгр Кат'!$A:$R,N$1,0)</f>
        <v>790.35</v>
      </c>
      <c r="O552" s="52">
        <f>VLOOKUP($A552,'Выгр Кат'!$A:$R,O$1,0)</f>
        <v>1290</v>
      </c>
      <c r="P552" s="47">
        <f t="shared" si="139"/>
        <v>0</v>
      </c>
      <c r="Q552" s="47">
        <f t="shared" si="140"/>
        <v>0</v>
      </c>
      <c r="R552" s="58">
        <f t="shared" si="141"/>
        <v>1290</v>
      </c>
      <c r="S552" s="59">
        <f t="shared" si="142"/>
        <v>0.63218827101916863</v>
      </c>
      <c r="T552" s="59" t="str">
        <f t="shared" si="143"/>
        <v/>
      </c>
      <c r="U552" s="59" t="str">
        <f t="shared" si="144"/>
        <v/>
      </c>
      <c r="V552" s="60"/>
      <c r="W552" s="69" t="str">
        <f>IFERROR((VLOOKUP($A552,'Из ГУГЛа'!$B:$Z,W$1,0)+Y552)*X552,VLOOKUP($A552,'Из ГУГЛа'!$B:$Z,W$1,0))</f>
        <v/>
      </c>
      <c r="X552" s="61">
        <v>1</v>
      </c>
      <c r="Y552" s="61">
        <v>0</v>
      </c>
      <c r="Z552" s="60" t="s">
        <v>4170</v>
      </c>
      <c r="AA552" s="60"/>
    </row>
    <row r="553" spans="1:27" ht="30" x14ac:dyDescent="0.25">
      <c r="A553" s="52">
        <v>195315</v>
      </c>
      <c r="B553" s="52">
        <f>VLOOKUP($A553,'Выгр Кат'!$A:$R,B$1,0)</f>
        <v>31435</v>
      </c>
      <c r="C553" s="53" t="str">
        <f>VLOOKUP($A553,'Выгр Кат'!$A:$R,C$1,0)</f>
        <v>Поперечина пола "АвтоВАЗ" правая для ВАЗ 2108-21099, 2113-2115</v>
      </c>
      <c r="D553" s="52" t="str">
        <f>VLOOKUP($A553,'Выгр Кат'!$A:$R,D$1,0)</f>
        <v>Y</v>
      </c>
      <c r="E553" s="52" t="str">
        <f>VLOOKUP($A553,'Выгр Кат'!$A:$R,E$1,0)</f>
        <v>1</v>
      </c>
      <c r="F553" s="52" t="str">
        <f>VLOOKUP($A553,'Выгр Кат'!$A:$R,F$1,0)</f>
        <v>21080510108200</v>
      </c>
      <c r="G553" s="52" t="str">
        <f>IF(VLOOKUP($A553,'Выгр Кат'!$A:$R,G$1,0)=0,"",VLOOKUP($A553,'Выгр Кат'!$A:$R,G$1,0))</f>
        <v>https://motorring.ru/product/725-poperechina-pola-pravaya-vaz-2108-21099-2113-2115</v>
      </c>
      <c r="H553" s="52"/>
      <c r="I553" s="52"/>
      <c r="J553" s="54">
        <f t="shared" si="136"/>
        <v>130</v>
      </c>
      <c r="K553" s="55">
        <f>VLOOKUP(J553,Наценка!$A$1:$B$8,2,1)</f>
        <v>1.8</v>
      </c>
      <c r="L553" s="56">
        <f t="shared" si="137"/>
        <v>234</v>
      </c>
      <c r="M553" s="57">
        <f t="shared" si="138"/>
        <v>239</v>
      </c>
      <c r="N553" s="52">
        <f>VLOOKUP($A553,'Выгр Кат'!$A:$R,N$1,0)</f>
        <v>130</v>
      </c>
      <c r="O553" s="52">
        <f>VLOOKUP($A553,'Выгр Кат'!$A:$R,O$1,0)</f>
        <v>239</v>
      </c>
      <c r="P553" s="47">
        <f t="shared" si="139"/>
        <v>0</v>
      </c>
      <c r="Q553" s="47">
        <f t="shared" si="140"/>
        <v>0</v>
      </c>
      <c r="R553" s="58">
        <f t="shared" si="141"/>
        <v>239</v>
      </c>
      <c r="S553" s="59">
        <f t="shared" si="142"/>
        <v>0.83846153846153837</v>
      </c>
      <c r="T553" s="59">
        <f t="shared" si="143"/>
        <v>0.38717948717948719</v>
      </c>
      <c r="U553" s="59">
        <f t="shared" si="144"/>
        <v>2</v>
      </c>
      <c r="V553" s="42">
        <f>Z553</f>
        <v>390</v>
      </c>
      <c r="W553" s="69">
        <f>IFERROR((VLOOKUP($A553,'Из ГУГЛа'!$B:$Z,W$1,0)+Y553)*X553,VLOOKUP($A553,'Из ГУГЛа'!$B:$Z,W$1,0))</f>
        <v>390</v>
      </c>
      <c r="X553" s="61">
        <v>1</v>
      </c>
      <c r="Y553" s="61">
        <v>0</v>
      </c>
      <c r="Z553" s="70">
        <v>390</v>
      </c>
      <c r="AA553" s="60" t="s">
        <v>1457</v>
      </c>
    </row>
    <row r="554" spans="1:27" ht="30" x14ac:dyDescent="0.25">
      <c r="A554" s="52">
        <v>251297</v>
      </c>
      <c r="B554" s="52">
        <f>VLOOKUP($A554,'Выгр Кат'!$A:$R,B$1,0)</f>
        <v>196785</v>
      </c>
      <c r="C554" s="53" t="str">
        <f>VLOOKUP($A554,'Выгр Кат'!$A:$R,C$1,0)</f>
        <v>Поперечина пола "АвтоВАЗ" правая для ВАЗ 2110-2112, Лада Приора</v>
      </c>
      <c r="D554" s="52" t="str">
        <f>VLOOKUP($A554,'Выгр Кат'!$A:$R,D$1,0)</f>
        <v>Y</v>
      </c>
      <c r="E554" s="52" t="str">
        <f>VLOOKUP($A554,'Выгр Кат'!$A:$R,E$1,0)</f>
        <v>1</v>
      </c>
      <c r="F554" s="52" t="str">
        <f>VLOOKUP($A554,'Выгр Кат'!$A:$R,F$1,0)</f>
        <v>211005101082</v>
      </c>
      <c r="G554" s="52" t="str">
        <f>IF(VLOOKUP($A554,'Выгр Кат'!$A:$R,G$1,0)=0,"",VLOOKUP($A554,'Выгр Кат'!$A:$R,G$1,0))</f>
        <v/>
      </c>
      <c r="H554" s="52"/>
      <c r="I554" s="52"/>
      <c r="J554" s="54">
        <f t="shared" si="136"/>
        <v>331</v>
      </c>
      <c r="K554" s="55">
        <f>VLOOKUP(J554,Наценка!$A$1:$B$8,2,1)</f>
        <v>1.6</v>
      </c>
      <c r="L554" s="56">
        <f t="shared" si="137"/>
        <v>529.6</v>
      </c>
      <c r="M554" s="57">
        <f t="shared" si="138"/>
        <v>529</v>
      </c>
      <c r="N554" s="52">
        <f>VLOOKUP($A554,'Выгр Кат'!$A:$R,N$1,0)</f>
        <v>331</v>
      </c>
      <c r="O554" s="52">
        <f>VLOOKUP($A554,'Выгр Кат'!$A:$R,O$1,0)</f>
        <v>529</v>
      </c>
      <c r="P554" s="47">
        <f t="shared" si="139"/>
        <v>0</v>
      </c>
      <c r="Q554" s="47">
        <f t="shared" si="140"/>
        <v>0</v>
      </c>
      <c r="R554" s="58">
        <f t="shared" si="141"/>
        <v>529</v>
      </c>
      <c r="S554" s="59">
        <f t="shared" si="142"/>
        <v>0.59818731117824764</v>
      </c>
      <c r="T554" s="59" t="str">
        <f t="shared" si="143"/>
        <v/>
      </c>
      <c r="U554" s="59" t="str">
        <f t="shared" si="144"/>
        <v/>
      </c>
      <c r="V554" s="60"/>
      <c r="W554" s="69" t="str">
        <f>IFERROR((VLOOKUP($A554,'Из ГУГЛа'!$B:$Z,W$1,0)+Y554)*X554,VLOOKUP($A554,'Из ГУГЛа'!$B:$Z,W$1,0))</f>
        <v/>
      </c>
      <c r="X554" s="61">
        <v>1</v>
      </c>
      <c r="Y554" s="61">
        <v>0</v>
      </c>
      <c r="Z554" s="60" t="s">
        <v>4170</v>
      </c>
      <c r="AA554" s="60"/>
    </row>
    <row r="555" spans="1:27" ht="30" x14ac:dyDescent="0.25">
      <c r="A555" s="52">
        <v>195316</v>
      </c>
      <c r="B555" s="52">
        <f>VLOOKUP($A555,'Выгр Кат'!$A:$R,B$1,0)</f>
        <v>50629</v>
      </c>
      <c r="C555" s="53" t="str">
        <f>VLOOKUP($A555,'Выгр Кат'!$A:$R,C$1,0)</f>
        <v>Поперечина пола "АвтоВАЗ" средняя в сборе (катафорез) для Лада Веста</v>
      </c>
      <c r="D555" s="52" t="str">
        <f>VLOOKUP($A555,'Выгр Кат'!$A:$R,D$1,0)</f>
        <v>Y</v>
      </c>
      <c r="E555" s="52" t="str">
        <f>VLOOKUP($A555,'Выгр Кат'!$A:$R,E$1,0)</f>
        <v>1</v>
      </c>
      <c r="F555" s="52" t="str">
        <f>VLOOKUP($A555,'Выгр Кат'!$A:$R,F$1,0)</f>
        <v>8450039282</v>
      </c>
      <c r="G555" s="52" t="str">
        <f>IF(VLOOKUP($A555,'Выгр Кат'!$A:$R,G$1,0)=0,"",VLOOKUP($A555,'Выгр Кат'!$A:$R,G$1,0))</f>
        <v/>
      </c>
      <c r="H555" s="52"/>
      <c r="I555" s="52"/>
      <c r="J555" s="54">
        <f t="shared" si="136"/>
        <v>3339</v>
      </c>
      <c r="K555" s="55">
        <f>VLOOKUP(J555,Наценка!$A$1:$B$8,2,1)</f>
        <v>1.4</v>
      </c>
      <c r="L555" s="56">
        <f t="shared" si="137"/>
        <v>4674.5999999999995</v>
      </c>
      <c r="M555" s="57">
        <f t="shared" si="138"/>
        <v>4690</v>
      </c>
      <c r="N555" s="52">
        <f>VLOOKUP($A555,'Выгр Кат'!$A:$R,N$1,0)</f>
        <v>3339</v>
      </c>
      <c r="O555" s="52">
        <f>VLOOKUP($A555,'Выгр Кат'!$A:$R,O$1,0)</f>
        <v>4690</v>
      </c>
      <c r="P555" s="47">
        <f t="shared" si="139"/>
        <v>0</v>
      </c>
      <c r="Q555" s="47">
        <f t="shared" si="140"/>
        <v>0</v>
      </c>
      <c r="R555" s="58">
        <f t="shared" si="141"/>
        <v>4690</v>
      </c>
      <c r="S555" s="59">
        <f t="shared" si="142"/>
        <v>0.40461215932914052</v>
      </c>
      <c r="T555" s="59" t="str">
        <f t="shared" si="143"/>
        <v/>
      </c>
      <c r="U555" s="59" t="str">
        <f t="shared" si="144"/>
        <v/>
      </c>
      <c r="V555" s="60"/>
      <c r="W555" s="69" t="str">
        <f>IFERROR((VLOOKUP($A555,'Из ГУГЛа'!$B:$Z,W$1,0)+Y555)*X555,VLOOKUP($A555,'Из ГУГЛа'!$B:$Z,W$1,0))</f>
        <v/>
      </c>
      <c r="X555" s="61">
        <v>1</v>
      </c>
      <c r="Y555" s="61">
        <v>0</v>
      </c>
      <c r="Z555" s="60" t="s">
        <v>4170</v>
      </c>
      <c r="AA555" s="60"/>
    </row>
    <row r="556" spans="1:27" ht="30" x14ac:dyDescent="0.25">
      <c r="A556" s="52">
        <v>195317</v>
      </c>
      <c r="B556" s="52">
        <f>VLOOKUP($A556,'Выгр Кат'!$A:$R,B$1,0)</f>
        <v>31477</v>
      </c>
      <c r="C556" s="53" t="str">
        <f>VLOOKUP($A556,'Выгр Кат'!$A:$R,C$1,0)</f>
        <v>Поперечина пола "АвтоВАЗ" средняя для Лада Калина</v>
      </c>
      <c r="D556" s="52" t="str">
        <f>VLOOKUP($A556,'Выгр Кат'!$A:$R,D$1,0)</f>
        <v>Y</v>
      </c>
      <c r="E556" s="52" t="str">
        <f>VLOOKUP($A556,'Выгр Кат'!$A:$R,E$1,0)</f>
        <v>1</v>
      </c>
      <c r="F556" s="52" t="str">
        <f>VLOOKUP($A556,'Выгр Кат'!$A:$R,F$1,0)</f>
        <v>11180510127200</v>
      </c>
      <c r="G556" s="52" t="str">
        <f>IF(VLOOKUP($A556,'Выгр Кат'!$A:$R,G$1,0)=0,"",VLOOKUP($A556,'Выгр Кат'!$A:$R,G$1,0))</f>
        <v/>
      </c>
      <c r="H556" s="52"/>
      <c r="I556" s="52"/>
      <c r="J556" s="54">
        <f t="shared" si="136"/>
        <v>577</v>
      </c>
      <c r="K556" s="55">
        <f>VLOOKUP(J556,Наценка!$A$1:$B$8,2,1)</f>
        <v>1.55</v>
      </c>
      <c r="L556" s="56">
        <f t="shared" si="137"/>
        <v>894.35</v>
      </c>
      <c r="M556" s="57">
        <f t="shared" si="138"/>
        <v>899</v>
      </c>
      <c r="N556" s="52">
        <f>VLOOKUP($A556,'Выгр Кат'!$A:$R,N$1,0)</f>
        <v>577</v>
      </c>
      <c r="O556" s="52">
        <f>VLOOKUP($A556,'Выгр Кат'!$A:$R,O$1,0)</f>
        <v>899</v>
      </c>
      <c r="P556" s="47">
        <f t="shared" si="139"/>
        <v>0</v>
      </c>
      <c r="Q556" s="47">
        <f t="shared" si="140"/>
        <v>0</v>
      </c>
      <c r="R556" s="58">
        <f t="shared" si="141"/>
        <v>899</v>
      </c>
      <c r="S556" s="59">
        <f t="shared" si="142"/>
        <v>0.55805892547660307</v>
      </c>
      <c r="T556" s="59" t="str">
        <f t="shared" si="143"/>
        <v/>
      </c>
      <c r="U556" s="59" t="str">
        <f t="shared" si="144"/>
        <v/>
      </c>
      <c r="V556" s="60"/>
      <c r="W556" s="69" t="str">
        <f>IFERROR((VLOOKUP($A556,'Из ГУГЛа'!$B:$Z,W$1,0)+Y556)*X556,VLOOKUP($A556,'Из ГУГЛа'!$B:$Z,W$1,0))</f>
        <v/>
      </c>
      <c r="X556" s="61">
        <v>1</v>
      </c>
      <c r="Y556" s="61">
        <v>0</v>
      </c>
      <c r="Z556" s="60" t="s">
        <v>4170</v>
      </c>
      <c r="AA556" s="60"/>
    </row>
    <row r="557" spans="1:27" ht="45" x14ac:dyDescent="0.25">
      <c r="A557" s="52">
        <v>195318</v>
      </c>
      <c r="B557" s="52">
        <f>VLOOKUP($A557,'Выгр Кат'!$A:$R,B$1,0)</f>
        <v>31476</v>
      </c>
      <c r="C557" s="53" t="str">
        <f>VLOOKUP($A557,'Выгр Кат'!$A:$R,C$1,0)</f>
        <v>Поперечина пола (катафорез) "АвтоВАЗ" задняя в сборе для Лада Калина седан</v>
      </c>
      <c r="D557" s="52" t="str">
        <f>VLOOKUP($A557,'Выгр Кат'!$A:$R,D$1,0)</f>
        <v>Y</v>
      </c>
      <c r="E557" s="52" t="str">
        <f>VLOOKUP($A557,'Выгр Кат'!$A:$R,E$1,0)</f>
        <v>1</v>
      </c>
      <c r="F557" s="52" t="str">
        <f>VLOOKUP($A557,'Выгр Кат'!$A:$R,F$1,0)</f>
        <v>11180510127670</v>
      </c>
      <c r="G557" s="52" t="str">
        <f>IF(VLOOKUP($A557,'Выгр Кат'!$A:$R,G$1,0)=0,"",VLOOKUP($A557,'Выгр Кат'!$A:$R,G$1,0))</f>
        <v>https://motorring.ru/product/38000-usilitely-zadney-paneli-kataforez-lada-kalina-granta</v>
      </c>
      <c r="H557" s="52"/>
      <c r="I557" s="52"/>
      <c r="J557" s="54">
        <f t="shared" si="136"/>
        <v>1223</v>
      </c>
      <c r="K557" s="55">
        <f>VLOOKUP(J557,Наценка!$A$1:$B$8,2,1)</f>
        <v>1.5</v>
      </c>
      <c r="L557" s="56">
        <f t="shared" si="137"/>
        <v>1834.5</v>
      </c>
      <c r="M557" s="57">
        <f t="shared" si="138"/>
        <v>1890</v>
      </c>
      <c r="N557" s="52">
        <f>VLOOKUP($A557,'Выгр Кат'!$A:$R,N$1,0)</f>
        <v>1223</v>
      </c>
      <c r="O557" s="52">
        <f>VLOOKUP($A557,'Выгр Кат'!$A:$R,O$1,0)</f>
        <v>1890</v>
      </c>
      <c r="P557" s="47">
        <f t="shared" si="139"/>
        <v>0</v>
      </c>
      <c r="Q557" s="47">
        <f t="shared" si="140"/>
        <v>0</v>
      </c>
      <c r="R557" s="58">
        <f t="shared" si="141"/>
        <v>1890</v>
      </c>
      <c r="S557" s="59">
        <f t="shared" si="142"/>
        <v>0.54538021259198688</v>
      </c>
      <c r="T557" s="59">
        <f t="shared" si="143"/>
        <v>-0.35971223021582732</v>
      </c>
      <c r="U557" s="59">
        <f t="shared" si="144"/>
        <v>0.1365494685200328</v>
      </c>
      <c r="V557" s="42">
        <f t="shared" ref="V557:V558" si="150">Z557</f>
        <v>1390</v>
      </c>
      <c r="W557" s="69">
        <f>IFERROR((VLOOKUP($A557,'Из ГУГЛа'!$B:$Z,W$1,0)+Y557)*X557,VLOOKUP($A557,'Из ГУГЛа'!$B:$Z,W$1,0))</f>
        <v>1390</v>
      </c>
      <c r="X557" s="61">
        <v>1</v>
      </c>
      <c r="Y557" s="61">
        <v>0</v>
      </c>
      <c r="Z557" s="70">
        <v>1390</v>
      </c>
      <c r="AA557" s="60" t="s">
        <v>1467</v>
      </c>
    </row>
    <row r="558" spans="1:27" ht="45" x14ac:dyDescent="0.25">
      <c r="A558" s="52">
        <v>195319</v>
      </c>
      <c r="B558" s="52">
        <f>VLOOKUP($A558,'Выгр Кат'!$A:$R,B$1,0)</f>
        <v>31453</v>
      </c>
      <c r="C558" s="53" t="str">
        <f>VLOOKUP($A558,'Выгр Кат'!$A:$R,C$1,0)</f>
        <v>Поперечина пола (катафорез) "АвтоВАЗ" задняя для Лада Калина хэтчбек</v>
      </c>
      <c r="D558" s="52" t="str">
        <f>VLOOKUP($A558,'Выгр Кат'!$A:$R,D$1,0)</f>
        <v>Y</v>
      </c>
      <c r="E558" s="52" t="str">
        <f>VLOOKUP($A558,'Выгр Кат'!$A:$R,E$1,0)</f>
        <v>1</v>
      </c>
      <c r="F558" s="52" t="str">
        <f>VLOOKUP($A558,'Выгр Кат'!$A:$R,F$1,0)</f>
        <v>11190510127670</v>
      </c>
      <c r="G558" s="52" t="str">
        <f>IF(VLOOKUP($A558,'Выгр Кат'!$A:$R,G$1,0)=0,"",VLOOKUP($A558,'Выгр Кат'!$A:$R,G$1,0))</f>
        <v>https://motorring.ru/product/38288-usilitely-zadney-paneli-dlya-lada-kalina-hetchbek</v>
      </c>
      <c r="H558" s="52"/>
      <c r="I558" s="52"/>
      <c r="J558" s="54">
        <f t="shared" si="136"/>
        <v>3471</v>
      </c>
      <c r="K558" s="55">
        <f>VLOOKUP(J558,Наценка!$A$1:$B$8,2,1)</f>
        <v>1.4</v>
      </c>
      <c r="L558" s="56">
        <f t="shared" si="137"/>
        <v>4859.3999999999996</v>
      </c>
      <c r="M558" s="57">
        <f t="shared" si="138"/>
        <v>4890</v>
      </c>
      <c r="N558" s="52">
        <f>VLOOKUP($A558,'Выгр Кат'!$A:$R,N$1,0)</f>
        <v>3471</v>
      </c>
      <c r="O558" s="52">
        <f>VLOOKUP($A558,'Выгр Кат'!$A:$R,O$1,0)</f>
        <v>4890</v>
      </c>
      <c r="P558" s="47">
        <f t="shared" si="139"/>
        <v>0</v>
      </c>
      <c r="Q558" s="47">
        <f t="shared" si="140"/>
        <v>0</v>
      </c>
      <c r="R558" s="58">
        <f t="shared" si="141"/>
        <v>4890</v>
      </c>
      <c r="S558" s="59">
        <f t="shared" si="142"/>
        <v>0.40881590319792571</v>
      </c>
      <c r="T558" s="59">
        <f t="shared" si="143"/>
        <v>0</v>
      </c>
      <c r="U558" s="59">
        <f t="shared" si="144"/>
        <v>0.40881590319792571</v>
      </c>
      <c r="V558" s="42">
        <f t="shared" si="150"/>
        <v>4890</v>
      </c>
      <c r="W558" s="69">
        <f>IFERROR((VLOOKUP($A558,'Из ГУГЛа'!$B:$Z,W$1,0)+Y558)*X558,VLOOKUP($A558,'Из ГУГЛа'!$B:$Z,W$1,0))</f>
        <v>4890</v>
      </c>
      <c r="X558" s="61">
        <v>1</v>
      </c>
      <c r="Y558" s="61">
        <v>0</v>
      </c>
      <c r="Z558" s="70">
        <v>4890</v>
      </c>
      <c r="AA558" s="60" t="s">
        <v>1470</v>
      </c>
    </row>
    <row r="559" spans="1:27" ht="30" x14ac:dyDescent="0.25">
      <c r="A559" s="52">
        <v>195320</v>
      </c>
      <c r="B559" s="52">
        <f>VLOOKUP($A559,'Выгр Кат'!$A:$R,B$1,0)</f>
        <v>32638</v>
      </c>
      <c r="C559" s="53" t="str">
        <f>VLOOKUP($A559,'Выгр Кат'!$A:$R,C$1,0)</f>
        <v>Поперечина пола (усилитель панели задка) "АвтоВАЗ" для Лада Нива 4x4</v>
      </c>
      <c r="D559" s="52" t="str">
        <f>VLOOKUP($A559,'Выгр Кат'!$A:$R,D$1,0)</f>
        <v>Y</v>
      </c>
      <c r="E559" s="52" t="str">
        <f>VLOOKUP($A559,'Выгр Кат'!$A:$R,E$1,0)</f>
        <v>1</v>
      </c>
      <c r="F559" s="52" t="str">
        <f>VLOOKUP($A559,'Выгр Кат'!$A:$R,F$1,0)</f>
        <v>21213560109610</v>
      </c>
      <c r="G559" s="52" t="str">
        <f>IF(VLOOKUP($A559,'Выгр Кат'!$A:$R,G$1,0)=0,"",VLOOKUP($A559,'Выгр Кат'!$A:$R,G$1,0))</f>
        <v/>
      </c>
      <c r="H559" s="52"/>
      <c r="I559" s="52"/>
      <c r="J559" s="54">
        <f t="shared" si="136"/>
        <v>2309</v>
      </c>
      <c r="K559" s="55">
        <f>VLOOKUP(J559,Наценка!$A$1:$B$8,2,1)</f>
        <v>1.4</v>
      </c>
      <c r="L559" s="56">
        <f t="shared" si="137"/>
        <v>3232.6</v>
      </c>
      <c r="M559" s="57">
        <f t="shared" si="138"/>
        <v>3290</v>
      </c>
      <c r="N559" s="52">
        <f>VLOOKUP($A559,'Выгр Кат'!$A:$R,N$1,0)</f>
        <v>2309</v>
      </c>
      <c r="O559" s="52">
        <f>VLOOKUP($A559,'Выгр Кат'!$A:$R,O$1,0)</f>
        <v>3290</v>
      </c>
      <c r="P559" s="47">
        <f t="shared" si="139"/>
        <v>0</v>
      </c>
      <c r="Q559" s="47">
        <f t="shared" si="140"/>
        <v>0</v>
      </c>
      <c r="R559" s="58">
        <f t="shared" si="141"/>
        <v>3290</v>
      </c>
      <c r="S559" s="59">
        <f t="shared" si="142"/>
        <v>0.42485924642702466</v>
      </c>
      <c r="T559" s="59" t="str">
        <f t="shared" si="143"/>
        <v/>
      </c>
      <c r="U559" s="59" t="str">
        <f t="shared" si="144"/>
        <v/>
      </c>
      <c r="V559" s="60"/>
      <c r="W559" s="69" t="str">
        <f>IFERROR((VLOOKUP($A559,'Из ГУГЛа'!$B:$Z,W$1,0)+Y559)*X559,VLOOKUP($A559,'Из ГУГЛа'!$B:$Z,W$1,0))</f>
        <v/>
      </c>
      <c r="X559" s="61">
        <v>1</v>
      </c>
      <c r="Y559" s="61">
        <v>0</v>
      </c>
      <c r="Z559" s="60">
        <v>1790</v>
      </c>
      <c r="AA559" s="60" t="s">
        <v>1475</v>
      </c>
    </row>
    <row r="560" spans="1:27" ht="45" x14ac:dyDescent="0.25">
      <c r="A560" s="52">
        <v>195321</v>
      </c>
      <c r="B560" s="52">
        <f>VLOOKUP($A560,'Выгр Кат'!$A:$R,B$1,0)</f>
        <v>31311</v>
      </c>
      <c r="C560" s="53" t="str">
        <f>VLOOKUP($A560,'Выгр Кат'!$A:$R,C$1,0)</f>
        <v>Поперечина пола (усилитель панели задка) (катафорез) "АвтоВАЗ" для Лада Нива 4x4</v>
      </c>
      <c r="D560" s="52" t="str">
        <f>VLOOKUP($A560,'Выгр Кат'!$A:$R,D$1,0)</f>
        <v>Y</v>
      </c>
      <c r="E560" s="52" t="str">
        <f>VLOOKUP($A560,'Выгр Кат'!$A:$R,E$1,0)</f>
        <v>1ск1</v>
      </c>
      <c r="F560" s="52" t="str">
        <f>VLOOKUP($A560,'Выгр Кат'!$A:$R,F$1,0)</f>
        <v>21213560109620</v>
      </c>
      <c r="G560" s="52" t="str">
        <f>IF(VLOOKUP($A560,'Выгр Кат'!$A:$R,G$1,0)=0,"",VLOOKUP($A560,'Выгр Кат'!$A:$R,G$1,0))</f>
        <v>https://motorring.ru/product/6013-poperechina-pola-usilitely-paneli-zadka-kataforeznym</v>
      </c>
      <c r="H560" s="52"/>
      <c r="I560" s="52"/>
      <c r="J560" s="54">
        <f t="shared" si="136"/>
        <v>944</v>
      </c>
      <c r="K560" s="55">
        <f>VLOOKUP(J560,Наценка!$A$1:$B$8,2,1)</f>
        <v>1.55</v>
      </c>
      <c r="L560" s="56">
        <f t="shared" si="137"/>
        <v>1463.2</v>
      </c>
      <c r="M560" s="57">
        <f t="shared" si="138"/>
        <v>1490</v>
      </c>
      <c r="N560" s="52">
        <f>VLOOKUP($A560,'Выгр Кат'!$A:$R,N$1,0)</f>
        <v>944</v>
      </c>
      <c r="O560" s="52">
        <f>VLOOKUP($A560,'Выгр Кат'!$A:$R,O$1,0)</f>
        <v>1490</v>
      </c>
      <c r="P560" s="47">
        <f t="shared" si="139"/>
        <v>0</v>
      </c>
      <c r="Q560" s="47">
        <f t="shared" si="140"/>
        <v>0</v>
      </c>
      <c r="R560" s="58">
        <f t="shared" si="141"/>
        <v>1490</v>
      </c>
      <c r="S560" s="59">
        <f t="shared" si="142"/>
        <v>0.57838983050847448</v>
      </c>
      <c r="T560" s="59">
        <f t="shared" si="143"/>
        <v>0.16759776536312848</v>
      </c>
      <c r="U560" s="59">
        <f t="shared" si="144"/>
        <v>0.89618644067796605</v>
      </c>
      <c r="V560" s="42">
        <f>Z560</f>
        <v>1790</v>
      </c>
      <c r="W560" s="69">
        <f>IFERROR((VLOOKUP($A560,'Из ГУГЛа'!$B:$Z,W$1,0)+Y560)*X560,VLOOKUP($A560,'Из ГУГЛа'!$B:$Z,W$1,0))</f>
        <v>1790</v>
      </c>
      <c r="X560" s="61">
        <v>1</v>
      </c>
      <c r="Y560" s="61">
        <v>0</v>
      </c>
      <c r="Z560" s="70">
        <v>1790</v>
      </c>
      <c r="AA560" s="60" t="s">
        <v>1475</v>
      </c>
    </row>
    <row r="561" spans="1:27" ht="30" x14ac:dyDescent="0.25">
      <c r="A561" s="52">
        <v>195322</v>
      </c>
      <c r="B561" s="52">
        <f>VLOOKUP($A561,'Выгр Кат'!$A:$R,B$1,0)</f>
        <v>31386</v>
      </c>
      <c r="C561" s="53" t="str">
        <f>VLOOKUP($A561,'Выгр Кат'!$A:$R,C$1,0)</f>
        <v>Поперечина пола задняя (катафорез) "АвтоВАЗ" в сборе для Лада Нива 4x4</v>
      </c>
      <c r="D561" s="52" t="str">
        <f>VLOOKUP($A561,'Выгр Кат'!$A:$R,D$1,0)</f>
        <v>Y</v>
      </c>
      <c r="E561" s="52" t="str">
        <f>VLOOKUP($A561,'Выгр Кат'!$A:$R,E$1,0)</f>
        <v>1</v>
      </c>
      <c r="F561" s="52" t="str">
        <f>VLOOKUP($A561,'Выгр Кат'!$A:$R,F$1,0)</f>
        <v>21210510117020</v>
      </c>
      <c r="G561" s="52" t="str">
        <f>IF(VLOOKUP($A561,'Выгр Кат'!$A:$R,G$1,0)=0,"",VLOOKUP($A561,'Выгр Кат'!$A:$R,G$1,0))</f>
        <v/>
      </c>
      <c r="H561" s="52"/>
      <c r="I561" s="52"/>
      <c r="J561" s="54">
        <f t="shared" si="136"/>
        <v>1591</v>
      </c>
      <c r="K561" s="55">
        <f>VLOOKUP(J561,Наценка!$A$1:$B$8,2,1)</f>
        <v>1.5</v>
      </c>
      <c r="L561" s="56">
        <f t="shared" si="137"/>
        <v>2386.5</v>
      </c>
      <c r="M561" s="57">
        <f t="shared" si="138"/>
        <v>2390</v>
      </c>
      <c r="N561" s="52">
        <f>VLOOKUP($A561,'Выгр Кат'!$A:$R,N$1,0)</f>
        <v>1591</v>
      </c>
      <c r="O561" s="52">
        <f>VLOOKUP($A561,'Выгр Кат'!$A:$R,O$1,0)</f>
        <v>2390</v>
      </c>
      <c r="P561" s="47">
        <f t="shared" si="139"/>
        <v>0</v>
      </c>
      <c r="Q561" s="47">
        <f t="shared" si="140"/>
        <v>0</v>
      </c>
      <c r="R561" s="58">
        <f t="shared" si="141"/>
        <v>2390</v>
      </c>
      <c r="S561" s="59">
        <f t="shared" si="142"/>
        <v>0.50219987429289747</v>
      </c>
      <c r="T561" s="59" t="str">
        <f t="shared" si="143"/>
        <v/>
      </c>
      <c r="U561" s="59" t="str">
        <f t="shared" si="144"/>
        <v/>
      </c>
      <c r="V561" s="60"/>
      <c r="W561" s="69" t="str">
        <f>IFERROR((VLOOKUP($A561,'Из ГУГЛа'!$B:$Z,W$1,0)+Y561)*X561,VLOOKUP($A561,'Из ГУГЛа'!$B:$Z,W$1,0))</f>
        <v/>
      </c>
      <c r="X561" s="61">
        <v>1</v>
      </c>
      <c r="Y561" s="61">
        <v>0</v>
      </c>
      <c r="Z561" s="60" t="s">
        <v>4170</v>
      </c>
      <c r="AA561" s="60"/>
    </row>
    <row r="562" spans="1:27" ht="30" x14ac:dyDescent="0.25">
      <c r="A562" s="52">
        <v>195323</v>
      </c>
      <c r="B562" s="52">
        <f>VLOOKUP($A562,'Выгр Кат'!$A:$R,B$1,0)</f>
        <v>31287</v>
      </c>
      <c r="C562" s="53" t="str">
        <f>VLOOKUP($A562,'Выгр Кат'!$A:$R,C$1,0)</f>
        <v>Поперечина пола задняя (катафорез) "АвтоВАЗ" в сборе для Шевроле Нива</v>
      </c>
      <c r="D562" s="52" t="str">
        <f>VLOOKUP($A562,'Выгр Кат'!$A:$R,D$1,0)</f>
        <v>Y</v>
      </c>
      <c r="E562" s="52" t="str">
        <f>VLOOKUP($A562,'Выгр Кат'!$A:$R,E$1,0)</f>
        <v>1</v>
      </c>
      <c r="F562" s="52" t="str">
        <f>VLOOKUP($A562,'Выгр Кат'!$A:$R,F$1,0)</f>
        <v>21230510127070</v>
      </c>
      <c r="G562" s="52" t="str">
        <f>IF(VLOOKUP($A562,'Выгр Кат'!$A:$R,G$1,0)=0,"",VLOOKUP($A562,'Выгр Кат'!$A:$R,G$1,0))</f>
        <v>https://motorring.ru/product/37046-poperechina-pola-roga-sbore-dlya-shevrole-niva</v>
      </c>
      <c r="H562" s="52"/>
      <c r="I562" s="52"/>
      <c r="J562" s="54">
        <f t="shared" si="136"/>
        <v>2950</v>
      </c>
      <c r="K562" s="55">
        <f>VLOOKUP(J562,Наценка!$A$1:$B$8,2,1)</f>
        <v>1.4</v>
      </c>
      <c r="L562" s="56">
        <f t="shared" si="137"/>
        <v>4130</v>
      </c>
      <c r="M562" s="57">
        <f t="shared" si="138"/>
        <v>4190</v>
      </c>
      <c r="N562" s="52">
        <f>VLOOKUP($A562,'Выгр Кат'!$A:$R,N$1,0)</f>
        <v>2950</v>
      </c>
      <c r="O562" s="52">
        <f>VLOOKUP($A562,'Выгр Кат'!$A:$R,O$1,0)</f>
        <v>4190</v>
      </c>
      <c r="P562" s="47">
        <f t="shared" si="139"/>
        <v>0</v>
      </c>
      <c r="Q562" s="47">
        <f t="shared" si="140"/>
        <v>0</v>
      </c>
      <c r="R562" s="58">
        <f t="shared" si="141"/>
        <v>4190</v>
      </c>
      <c r="S562" s="59">
        <f t="shared" si="142"/>
        <v>0.42033898305084749</v>
      </c>
      <c r="T562" s="59">
        <f t="shared" si="143"/>
        <v>-7.7120822622107968E-2</v>
      </c>
      <c r="U562" s="59">
        <f t="shared" si="144"/>
        <v>0.31864406779661025</v>
      </c>
      <c r="V562" s="42">
        <f t="shared" ref="V562:V563" si="151">Z562</f>
        <v>3890</v>
      </c>
      <c r="W562" s="69">
        <f>IFERROR((VLOOKUP($A562,'Из ГУГЛа'!$B:$Z,W$1,0)+Y562)*X562,VLOOKUP($A562,'Из ГУГЛа'!$B:$Z,W$1,0))</f>
        <v>3890</v>
      </c>
      <c r="X562" s="61">
        <v>1</v>
      </c>
      <c r="Y562" s="61">
        <v>0</v>
      </c>
      <c r="Z562" s="70">
        <v>3890</v>
      </c>
      <c r="AA562" s="60" t="s">
        <v>1480</v>
      </c>
    </row>
    <row r="563" spans="1:27" ht="30" x14ac:dyDescent="0.25">
      <c r="A563" s="52">
        <v>195324</v>
      </c>
      <c r="B563" s="52">
        <f>VLOOKUP($A563,'Выгр Кат'!$A:$R,B$1,0)</f>
        <v>32652</v>
      </c>
      <c r="C563" s="53" t="str">
        <f>VLOOKUP($A563,'Выгр Кат'!$A:$R,C$1,0)</f>
        <v>Поперечина пола задняя (катафорез) "АвтоВАЗ" для Шевроле Нива</v>
      </c>
      <c r="D563" s="52" t="str">
        <f>VLOOKUP($A563,'Выгр Кат'!$A:$R,D$1,0)</f>
        <v>Y</v>
      </c>
      <c r="E563" s="52" t="str">
        <f>VLOOKUP($A563,'Выгр Кат'!$A:$R,E$1,0)</f>
        <v>1</v>
      </c>
      <c r="F563" s="52" t="str">
        <f>VLOOKUP($A563,'Выгр Кат'!$A:$R,F$1,0)</f>
        <v>21230510127270</v>
      </c>
      <c r="G563" s="52" t="str">
        <f>IF(VLOOKUP($A563,'Выгр Кат'!$A:$R,G$1,0)=0,"",VLOOKUP($A563,'Выгр Кат'!$A:$R,G$1,0))</f>
        <v>https://motorring.ru/product/38275-poperechina-pola-zadnyaya-soldatikom-dlya-shevrole-niva</v>
      </c>
      <c r="H563" s="52"/>
      <c r="I563" s="52"/>
      <c r="J563" s="54">
        <f t="shared" si="136"/>
        <v>2350</v>
      </c>
      <c r="K563" s="55">
        <f>VLOOKUP(J563,Наценка!$A$1:$B$8,2,1)</f>
        <v>1.4</v>
      </c>
      <c r="L563" s="56">
        <f t="shared" si="137"/>
        <v>3290</v>
      </c>
      <c r="M563" s="57">
        <f t="shared" si="138"/>
        <v>3290</v>
      </c>
      <c r="N563" s="52">
        <f>VLOOKUP($A563,'Выгр Кат'!$A:$R,N$1,0)</f>
        <v>2350</v>
      </c>
      <c r="O563" s="52">
        <f>VLOOKUP($A563,'Выгр Кат'!$A:$R,O$1,0)</f>
        <v>3290</v>
      </c>
      <c r="P563" s="47">
        <f t="shared" si="139"/>
        <v>0</v>
      </c>
      <c r="Q563" s="47">
        <f t="shared" si="140"/>
        <v>0</v>
      </c>
      <c r="R563" s="58">
        <f t="shared" si="141"/>
        <v>3290</v>
      </c>
      <c r="S563" s="59">
        <f t="shared" si="142"/>
        <v>0.39999999999999991</v>
      </c>
      <c r="T563" s="59">
        <f t="shared" si="143"/>
        <v>-0.22304832713754646</v>
      </c>
      <c r="U563" s="59">
        <f t="shared" si="144"/>
        <v>0.14468085106382977</v>
      </c>
      <c r="V563" s="42">
        <f t="shared" si="151"/>
        <v>2690</v>
      </c>
      <c r="W563" s="69">
        <f>IFERROR((VLOOKUP($A563,'Из ГУГЛа'!$B:$Z,W$1,0)+Y563)*X563,VLOOKUP($A563,'Из ГУГЛа'!$B:$Z,W$1,0))</f>
        <v>2690</v>
      </c>
      <c r="X563" s="61">
        <v>1</v>
      </c>
      <c r="Y563" s="61">
        <v>0</v>
      </c>
      <c r="Z563" s="70">
        <v>2690</v>
      </c>
      <c r="AA563" s="60" t="s">
        <v>1483</v>
      </c>
    </row>
    <row r="564" spans="1:27" ht="45" x14ac:dyDescent="0.25">
      <c r="A564" s="52">
        <v>195325</v>
      </c>
      <c r="B564" s="52">
        <f>VLOOKUP($A564,'Выгр Кат'!$A:$R,B$1,0)</f>
        <v>31065</v>
      </c>
      <c r="C564" s="53" t="str">
        <f>VLOOKUP($A564,'Выгр Кат'!$A:$R,C$1,0)</f>
        <v>Поперечина пола задняя (под второй ряд сидений) "Renault" для Лада Ларгус</v>
      </c>
      <c r="D564" s="52" t="str">
        <f>VLOOKUP($A564,'Выгр Кат'!$A:$R,D$1,0)</f>
        <v>Y</v>
      </c>
      <c r="E564" s="52" t="str">
        <f>VLOOKUP($A564,'Выгр Кат'!$A:$R,E$1,0)</f>
        <v>1</v>
      </c>
      <c r="F564" s="52" t="str">
        <f>VLOOKUP($A564,'Выгр Кат'!$A:$R,F$1,0)</f>
        <v>6001548780</v>
      </c>
      <c r="G564" s="52" t="str">
        <f>IF(VLOOKUP($A564,'Выгр Кат'!$A:$R,G$1,0)=0,"",VLOOKUP($A564,'Выгр Кат'!$A:$R,G$1,0))</f>
        <v/>
      </c>
      <c r="H564" s="52"/>
      <c r="I564" s="52"/>
      <c r="J564" s="54">
        <f t="shared" si="136"/>
        <v>1807</v>
      </c>
      <c r="K564" s="55">
        <f>VLOOKUP(J564,Наценка!$A$1:$B$8,2,1)</f>
        <v>1.5</v>
      </c>
      <c r="L564" s="56">
        <f t="shared" si="137"/>
        <v>2710.5</v>
      </c>
      <c r="M564" s="57">
        <f t="shared" si="138"/>
        <v>2790</v>
      </c>
      <c r="N564" s="52">
        <f>VLOOKUP($A564,'Выгр Кат'!$A:$R,N$1,0)</f>
        <v>1807</v>
      </c>
      <c r="O564" s="52">
        <f>VLOOKUP($A564,'Выгр Кат'!$A:$R,O$1,0)</f>
        <v>2790</v>
      </c>
      <c r="P564" s="47">
        <f t="shared" si="139"/>
        <v>0</v>
      </c>
      <c r="Q564" s="47">
        <f t="shared" si="140"/>
        <v>0</v>
      </c>
      <c r="R564" s="58">
        <f t="shared" si="141"/>
        <v>2790</v>
      </c>
      <c r="S564" s="59">
        <f t="shared" si="142"/>
        <v>0.54399557277255117</v>
      </c>
      <c r="T564" s="59" t="str">
        <f t="shared" si="143"/>
        <v/>
      </c>
      <c r="U564" s="59" t="str">
        <f t="shared" si="144"/>
        <v/>
      </c>
      <c r="V564" s="60"/>
      <c r="W564" s="69" t="str">
        <f>IFERROR((VLOOKUP($A564,'Из ГУГЛа'!$B:$Z,W$1,0)+Y564)*X564,VLOOKUP($A564,'Из ГУГЛа'!$B:$Z,W$1,0))</f>
        <v/>
      </c>
      <c r="X564" s="61">
        <v>1</v>
      </c>
      <c r="Y564" s="61">
        <v>0</v>
      </c>
      <c r="Z564" s="60" t="s">
        <v>4170</v>
      </c>
      <c r="AA564" s="60"/>
    </row>
    <row r="565" spans="1:27" ht="30" x14ac:dyDescent="0.25">
      <c r="A565" s="52">
        <v>195326</v>
      </c>
      <c r="B565" s="52">
        <f>VLOOKUP($A565,'Выгр Кат'!$A:$R,B$1,0)</f>
        <v>32536</v>
      </c>
      <c r="C565" s="53" t="str">
        <f>VLOOKUP($A565,'Выгр Кат'!$A:$R,C$1,0)</f>
        <v>Поперечина пола среднего "АвтоВАЗ" передняя для ВАЗ 2110-2112</v>
      </c>
      <c r="D565" s="52" t="str">
        <f>VLOOKUP($A565,'Выгр Кат'!$A:$R,D$1,0)</f>
        <v>Y</v>
      </c>
      <c r="E565" s="52" t="str">
        <f>VLOOKUP($A565,'Выгр Кат'!$A:$R,E$1,0)</f>
        <v>0</v>
      </c>
      <c r="F565" s="52" t="str">
        <f>VLOOKUP($A565,'Выгр Кат'!$A:$R,F$1,0)</f>
        <v>21100510119200</v>
      </c>
      <c r="G565" s="52" t="str">
        <f>IF(VLOOKUP($A565,'Выгр Кат'!$A:$R,G$1,0)=0,"",VLOOKUP($A565,'Выгр Кат'!$A:$R,G$1,0))</f>
        <v/>
      </c>
      <c r="H565" s="52"/>
      <c r="I565" s="52"/>
      <c r="J565" s="54">
        <f t="shared" si="136"/>
        <v>288</v>
      </c>
      <c r="K565" s="55">
        <f>VLOOKUP(J565,Наценка!$A$1:$B$8,2,1)</f>
        <v>1.8</v>
      </c>
      <c r="L565" s="56">
        <f t="shared" si="137"/>
        <v>518.4</v>
      </c>
      <c r="M565" s="57">
        <f t="shared" si="138"/>
        <v>519</v>
      </c>
      <c r="N565" s="52">
        <f>VLOOKUP($A565,'Выгр Кат'!$A:$R,N$1,0)</f>
        <v>288</v>
      </c>
      <c r="O565" s="52">
        <f>VLOOKUP($A565,'Выгр Кат'!$A:$R,O$1,0)</f>
        <v>519</v>
      </c>
      <c r="P565" s="47">
        <f t="shared" si="139"/>
        <v>0</v>
      </c>
      <c r="Q565" s="47">
        <f t="shared" si="140"/>
        <v>0</v>
      </c>
      <c r="R565" s="58">
        <f t="shared" si="141"/>
        <v>519</v>
      </c>
      <c r="S565" s="59">
        <f t="shared" si="142"/>
        <v>0.80208333333333326</v>
      </c>
      <c r="T565" s="59" t="str">
        <f t="shared" si="143"/>
        <v/>
      </c>
      <c r="U565" s="59" t="str">
        <f t="shared" si="144"/>
        <v/>
      </c>
      <c r="V565" s="60"/>
      <c r="W565" s="69" t="str">
        <f>IFERROR((VLOOKUP($A565,'Из ГУГЛа'!$B:$Z,W$1,0)+Y565)*X565,VLOOKUP($A565,'Из ГУГЛа'!$B:$Z,W$1,0))</f>
        <v/>
      </c>
      <c r="X565" s="61">
        <v>1</v>
      </c>
      <c r="Y565" s="61">
        <v>0</v>
      </c>
      <c r="Z565" s="76" t="s">
        <v>4285</v>
      </c>
      <c r="AA565" s="60"/>
    </row>
    <row r="566" spans="1:27" ht="30" x14ac:dyDescent="0.25">
      <c r="A566" s="52">
        <v>195327</v>
      </c>
      <c r="B566" s="52">
        <f>VLOOKUP($A566,'Выгр Кат'!$A:$R,B$1,0)</f>
        <v>31073</v>
      </c>
      <c r="C566" s="53" t="str">
        <f>VLOOKUP($A566,'Выгр Кат'!$A:$R,C$1,0)</f>
        <v>Поперечина пола средняя "Renault" для Лада Ларгус</v>
      </c>
      <c r="D566" s="52" t="str">
        <f>VLOOKUP($A566,'Выгр Кат'!$A:$R,D$1,0)</f>
        <v>Y</v>
      </c>
      <c r="E566" s="52" t="str">
        <f>VLOOKUP($A566,'Выгр Кат'!$A:$R,E$1,0)</f>
        <v>1</v>
      </c>
      <c r="F566" s="52" t="str">
        <f>VLOOKUP($A566,'Выгр Кат'!$A:$R,F$1,0)</f>
        <v>6001546735</v>
      </c>
      <c r="G566" s="52" t="str">
        <f>IF(VLOOKUP($A566,'Выгр Кат'!$A:$R,G$1,0)=0,"",VLOOKUP($A566,'Выгр Кат'!$A:$R,G$1,0))</f>
        <v>https://motorring.ru/product/1113-poperechina-pola-srednyaya-dlya-lada-largus</v>
      </c>
      <c r="H566" s="52"/>
      <c r="I566" s="52"/>
      <c r="J566" s="54">
        <f t="shared" si="136"/>
        <v>8144</v>
      </c>
      <c r="K566" s="55">
        <f>VLOOKUP(J566,Наценка!$A$1:$B$8,2,1)</f>
        <v>1.35</v>
      </c>
      <c r="L566" s="56">
        <f t="shared" si="137"/>
        <v>10994.400000000001</v>
      </c>
      <c r="M566" s="57">
        <f t="shared" si="138"/>
        <v>10990</v>
      </c>
      <c r="N566" s="52">
        <f>VLOOKUP($A566,'Выгр Кат'!$A:$R,N$1,0)</f>
        <v>8144</v>
      </c>
      <c r="O566" s="52">
        <f>VLOOKUP($A566,'Выгр Кат'!$A:$R,O$1,0)</f>
        <v>11490</v>
      </c>
      <c r="P566" s="47">
        <f t="shared" si="139"/>
        <v>0</v>
      </c>
      <c r="Q566" s="47">
        <f t="shared" si="140"/>
        <v>500</v>
      </c>
      <c r="R566" s="58">
        <f t="shared" si="141"/>
        <v>10990</v>
      </c>
      <c r="S566" s="59">
        <f t="shared" si="142"/>
        <v>0.34945972495088418</v>
      </c>
      <c r="T566" s="59">
        <f t="shared" si="143"/>
        <v>-9.0825688073394488</v>
      </c>
      <c r="U566" s="59">
        <f t="shared" si="144"/>
        <v>-0.86615913555992141</v>
      </c>
      <c r="V566" s="42">
        <f>Z566</f>
        <v>1090</v>
      </c>
      <c r="W566" s="69">
        <f>IFERROR((VLOOKUP($A566,'Из ГУГЛа'!$B:$Z,W$1,0)+Y566)*X566,VLOOKUP($A566,'Из ГУГЛа'!$B:$Z,W$1,0))</f>
        <v>1090</v>
      </c>
      <c r="X566" s="61">
        <v>1</v>
      </c>
      <c r="Y566" s="61">
        <v>0</v>
      </c>
      <c r="Z566" s="70">
        <v>1090</v>
      </c>
      <c r="AA566" s="60" t="s">
        <v>1490</v>
      </c>
    </row>
    <row r="567" spans="1:27" ht="30" x14ac:dyDescent="0.25">
      <c r="A567" s="52">
        <v>195328</v>
      </c>
      <c r="B567" s="52">
        <f>VLOOKUP($A567,'Выгр Кат'!$A:$R,B$1,0)</f>
        <v>31214</v>
      </c>
      <c r="C567" s="53" t="str">
        <f>VLOOKUP($A567,'Выгр Кат'!$A:$R,C$1,0)</f>
        <v>Поперечина полки задка (катафорез) "АвтоВАЗ" для Лада Гранта седан</v>
      </c>
      <c r="D567" s="52" t="str">
        <f>VLOOKUP($A567,'Выгр Кат'!$A:$R,D$1,0)</f>
        <v>Y</v>
      </c>
      <c r="E567" s="52" t="str">
        <f>VLOOKUP($A567,'Выгр Кат'!$A:$R,E$1,0)</f>
        <v>1</v>
      </c>
      <c r="F567" s="52" t="str">
        <f>VLOOKUP($A567,'Выгр Кат'!$A:$R,F$1,0)</f>
        <v>21900560125670</v>
      </c>
      <c r="G567" s="52" t="str">
        <f>IF(VLOOKUP($A567,'Выгр Кат'!$A:$R,G$1,0)=0,"",VLOOKUP($A567,'Выгр Кат'!$A:$R,G$1,0))</f>
        <v/>
      </c>
      <c r="H567" s="52"/>
      <c r="I567" s="52"/>
      <c r="J567" s="54">
        <f t="shared" si="136"/>
        <v>1745</v>
      </c>
      <c r="K567" s="55">
        <f>VLOOKUP(J567,Наценка!$A$1:$B$8,2,1)</f>
        <v>1.5</v>
      </c>
      <c r="L567" s="56">
        <f t="shared" si="137"/>
        <v>2617.5</v>
      </c>
      <c r="M567" s="57">
        <f t="shared" si="138"/>
        <v>2690</v>
      </c>
      <c r="N567" s="52">
        <f>VLOOKUP($A567,'Выгр Кат'!$A:$R,N$1,0)</f>
        <v>1745</v>
      </c>
      <c r="O567" s="52">
        <f>VLOOKUP($A567,'Выгр Кат'!$A:$R,O$1,0)</f>
        <v>2690</v>
      </c>
      <c r="P567" s="47">
        <f t="shared" si="139"/>
        <v>0</v>
      </c>
      <c r="Q567" s="47">
        <f t="shared" si="140"/>
        <v>0</v>
      </c>
      <c r="R567" s="58">
        <f t="shared" si="141"/>
        <v>2690</v>
      </c>
      <c r="S567" s="59">
        <f t="shared" si="142"/>
        <v>0.54154727793696278</v>
      </c>
      <c r="T567" s="59" t="str">
        <f t="shared" si="143"/>
        <v/>
      </c>
      <c r="U567" s="59" t="str">
        <f t="shared" si="144"/>
        <v/>
      </c>
      <c r="V567" s="60"/>
      <c r="W567" s="69" t="str">
        <f>IFERROR((VLOOKUP($A567,'Из ГУГЛа'!$B:$Z,W$1,0)+Y567)*X567,VLOOKUP($A567,'Из ГУГЛа'!$B:$Z,W$1,0))</f>
        <v/>
      </c>
      <c r="X567" s="61">
        <v>1</v>
      </c>
      <c r="Y567" s="61">
        <v>0</v>
      </c>
      <c r="Z567" s="60" t="s">
        <v>4170</v>
      </c>
      <c r="AA567" s="60"/>
    </row>
    <row r="568" spans="1:27" ht="30" x14ac:dyDescent="0.25">
      <c r="A568" s="52">
        <v>195329</v>
      </c>
      <c r="B568" s="52">
        <f>VLOOKUP($A568,'Выгр Кат'!$A:$R,B$1,0)</f>
        <v>50383</v>
      </c>
      <c r="C568" s="53" t="str">
        <f>VLOOKUP($A568,'Выгр Кат'!$A:$R,C$1,0)</f>
        <v>Поперечина радиатора "АвтоВАЗ" нижняя в сборе для Лада Нива 4x4</v>
      </c>
      <c r="D568" s="52" t="str">
        <f>VLOOKUP($A568,'Выгр Кат'!$A:$R,D$1,0)</f>
        <v>Y</v>
      </c>
      <c r="E568" s="52" t="str">
        <f>VLOOKUP($A568,'Выгр Кат'!$A:$R,E$1,0)</f>
        <v>1</v>
      </c>
      <c r="F568" s="52" t="str">
        <f>VLOOKUP($A568,'Выгр Кат'!$A:$R,F$1,0)</f>
        <v>8450108927</v>
      </c>
      <c r="G568" s="52" t="str">
        <f>IF(VLOOKUP($A568,'Выгр Кат'!$A:$R,G$1,0)=0,"",VLOOKUP($A568,'Выгр Кат'!$A:$R,G$1,0))</f>
        <v/>
      </c>
      <c r="H568" s="52"/>
      <c r="I568" s="52"/>
      <c r="J568" s="54">
        <f t="shared" ref="J568:J631" si="152">N568</f>
        <v>528</v>
      </c>
      <c r="K568" s="55">
        <f>VLOOKUP(J568,Наценка!$A$1:$B$8,2,1)</f>
        <v>1.55</v>
      </c>
      <c r="L568" s="56">
        <f t="shared" ref="L568:L631" si="153">J568*K568</f>
        <v>818.4</v>
      </c>
      <c r="M568" s="57">
        <f t="shared" ref="M568:M631" si="154">IF(L568&lt;=1000,(ROUNDUP(L568,-1)-1),(ROUNDUP(L568,-2)-10))</f>
        <v>819</v>
      </c>
      <c r="N568" s="52">
        <f>VLOOKUP($A568,'Выгр Кат'!$A:$R,N$1,0)</f>
        <v>528</v>
      </c>
      <c r="O568" s="52">
        <f>VLOOKUP($A568,'Выгр Кат'!$A:$R,O$1,0)</f>
        <v>819</v>
      </c>
      <c r="P568" s="47">
        <f t="shared" ref="P568:P631" si="155">N568-J568</f>
        <v>0</v>
      </c>
      <c r="Q568" s="47">
        <f t="shared" ref="Q568:Q631" si="156">O568-M568</f>
        <v>0</v>
      </c>
      <c r="R568" s="58">
        <f t="shared" ref="R568:R631" si="157">IFERROR(ROUND(M568*(1-$R$2),),"")</f>
        <v>819</v>
      </c>
      <c r="S568" s="59">
        <f t="shared" ref="S568:S631" si="158">IFERROR(R568/J568-1,"")</f>
        <v>0.55113636363636354</v>
      </c>
      <c r="T568" s="59" t="str">
        <f t="shared" ref="T568:T631" si="159">IFERROR((V568-R568)/V568,"")</f>
        <v/>
      </c>
      <c r="U568" s="59" t="str">
        <f t="shared" ref="U568:U631" si="160">IFERROR(IF(V568="","",V568/J568-1),"")</f>
        <v/>
      </c>
      <c r="V568" s="60"/>
      <c r="W568" s="69" t="str">
        <f>IFERROR((VLOOKUP($A568,'Из ГУГЛа'!$B:$Z,W$1,0)+Y568)*X568,VLOOKUP($A568,'Из ГУГЛа'!$B:$Z,W$1,0))</f>
        <v/>
      </c>
      <c r="X568" s="61">
        <v>1</v>
      </c>
      <c r="Y568" s="61">
        <v>0</v>
      </c>
      <c r="Z568" s="60" t="s">
        <v>4170</v>
      </c>
      <c r="AA568" s="60"/>
    </row>
    <row r="569" spans="1:27" ht="45" x14ac:dyDescent="0.25">
      <c r="A569" s="52">
        <v>195330</v>
      </c>
      <c r="B569" s="52">
        <f>VLOOKUP($A569,'Выгр Кат'!$A:$R,B$1,0)</f>
        <v>50389</v>
      </c>
      <c r="C569" s="53" t="str">
        <f>VLOOKUP($A569,'Выгр Кат'!$A:$R,C$1,0)</f>
        <v>Поперечина радиатора "АвтоВАЗ" нижняя в сборе для Лада Нива 4x4, Нива 4x4 Урбан</v>
      </c>
      <c r="D569" s="52" t="str">
        <f>VLOOKUP($A569,'Выгр Кат'!$A:$R,D$1,0)</f>
        <v>Y</v>
      </c>
      <c r="E569" s="52" t="str">
        <f>VLOOKUP($A569,'Выгр Кат'!$A:$R,E$1,0)</f>
        <v>1</v>
      </c>
      <c r="F569" s="52" t="str">
        <f>VLOOKUP($A569,'Выгр Кат'!$A:$R,F$1,0)</f>
        <v>8450108930</v>
      </c>
      <c r="G569" s="52" t="str">
        <f>IF(VLOOKUP($A569,'Выгр Кат'!$A:$R,G$1,0)=0,"",VLOOKUP($A569,'Выгр Кат'!$A:$R,G$1,0))</f>
        <v/>
      </c>
      <c r="H569" s="52"/>
      <c r="I569" s="52"/>
      <c r="J569" s="54">
        <f t="shared" si="152"/>
        <v>700</v>
      </c>
      <c r="K569" s="55">
        <f>VLOOKUP(J569,Наценка!$A$1:$B$8,2,1)</f>
        <v>1.55</v>
      </c>
      <c r="L569" s="56">
        <f t="shared" si="153"/>
        <v>1085</v>
      </c>
      <c r="M569" s="57">
        <f t="shared" si="154"/>
        <v>1090</v>
      </c>
      <c r="N569" s="52">
        <f>VLOOKUP($A569,'Выгр Кат'!$A:$R,N$1,0)</f>
        <v>700</v>
      </c>
      <c r="O569" s="52">
        <f>VLOOKUP($A569,'Выгр Кат'!$A:$R,O$1,0)</f>
        <v>1090</v>
      </c>
      <c r="P569" s="47">
        <f t="shared" si="155"/>
        <v>0</v>
      </c>
      <c r="Q569" s="47">
        <f t="shared" si="156"/>
        <v>0</v>
      </c>
      <c r="R569" s="58">
        <f t="shared" si="157"/>
        <v>1090</v>
      </c>
      <c r="S569" s="59">
        <f t="shared" si="158"/>
        <v>0.55714285714285716</v>
      </c>
      <c r="T569" s="59" t="str">
        <f t="shared" si="159"/>
        <v/>
      </c>
      <c r="U569" s="59" t="str">
        <f t="shared" si="160"/>
        <v/>
      </c>
      <c r="V569" s="60"/>
      <c r="W569" s="69" t="str">
        <f>IFERROR((VLOOKUP($A569,'Из ГУГЛа'!$B:$Z,W$1,0)+Y569)*X569,VLOOKUP($A569,'Из ГУГЛа'!$B:$Z,W$1,0))</f>
        <v/>
      </c>
      <c r="X569" s="61">
        <v>1</v>
      </c>
      <c r="Y569" s="61">
        <v>0</v>
      </c>
      <c r="Z569" s="60" t="s">
        <v>4170</v>
      </c>
      <c r="AA569" s="60"/>
    </row>
    <row r="570" spans="1:27" ht="45" x14ac:dyDescent="0.25">
      <c r="A570" s="52">
        <v>195331</v>
      </c>
      <c r="B570" s="52">
        <f>VLOOKUP($A570,'Выгр Кат'!$A:$R,B$1,0)</f>
        <v>32521</v>
      </c>
      <c r="C570" s="53" t="str">
        <f>VLOOKUP($A570,'Выгр Кат'!$A:$R,C$1,0)</f>
        <v>Поперечина рамки радиатора "АвтоВАЗ" верхняя в сборе для Лада Калина</v>
      </c>
      <c r="D570" s="52" t="str">
        <f>VLOOKUP($A570,'Выгр Кат'!$A:$R,D$1,0)</f>
        <v>Y</v>
      </c>
      <c r="E570" s="52" t="str">
        <f>VLOOKUP($A570,'Выгр Кат'!$A:$R,E$1,0)</f>
        <v>1</v>
      </c>
      <c r="F570" s="52" t="str">
        <f>VLOOKUP($A570,'Выгр Кат'!$A:$R,F$1,0)</f>
        <v>11180840106000</v>
      </c>
      <c r="G570" s="52" t="str">
        <f>IF(VLOOKUP($A570,'Выгр Кат'!$A:$R,G$1,0)=0,"",VLOOKUP($A570,'Выгр Кат'!$A:$R,G$1,0))</f>
        <v>https://motorring.ru/product/35727-poperechina-ramki-radiatora-verhnyaya-lada-kalina</v>
      </c>
      <c r="H570" s="52"/>
      <c r="I570" s="52"/>
      <c r="J570" s="54">
        <f t="shared" si="152"/>
        <v>2861</v>
      </c>
      <c r="K570" s="55">
        <f>VLOOKUP(J570,Наценка!$A$1:$B$8,2,1)</f>
        <v>1.4</v>
      </c>
      <c r="L570" s="56">
        <f t="shared" si="153"/>
        <v>4005.3999999999996</v>
      </c>
      <c r="M570" s="57">
        <f t="shared" si="154"/>
        <v>4090</v>
      </c>
      <c r="N570" s="52">
        <f>VLOOKUP($A570,'Выгр Кат'!$A:$R,N$1,0)</f>
        <v>2861</v>
      </c>
      <c r="O570" s="52">
        <f>VLOOKUP($A570,'Выгр Кат'!$A:$R,O$1,0)</f>
        <v>4090</v>
      </c>
      <c r="P570" s="47">
        <f t="shared" si="155"/>
        <v>0</v>
      </c>
      <c r="Q570" s="47">
        <f t="shared" si="156"/>
        <v>0</v>
      </c>
      <c r="R570" s="58">
        <f t="shared" si="157"/>
        <v>4090</v>
      </c>
      <c r="S570" s="59">
        <f t="shared" si="158"/>
        <v>0.42957008039147149</v>
      </c>
      <c r="T570" s="59">
        <f t="shared" si="159"/>
        <v>8.9086859688195991E-2</v>
      </c>
      <c r="U570" s="59">
        <f t="shared" si="160"/>
        <v>0.56938133519748346</v>
      </c>
      <c r="V570" s="42">
        <f>Z570</f>
        <v>4490</v>
      </c>
      <c r="W570" s="69">
        <f>IFERROR((VLOOKUP($A570,'Из ГУГЛа'!$B:$Z,W$1,0)+Y570)*X570,VLOOKUP($A570,'Из ГУГЛа'!$B:$Z,W$1,0))</f>
        <v>4490</v>
      </c>
      <c r="X570" s="61">
        <v>1</v>
      </c>
      <c r="Y570" s="61">
        <v>0</v>
      </c>
      <c r="Z570" s="70">
        <v>4490</v>
      </c>
      <c r="AA570" s="60" t="s">
        <v>1501</v>
      </c>
    </row>
    <row r="571" spans="1:27" ht="45" x14ac:dyDescent="0.25">
      <c r="A571" s="52">
        <v>195332</v>
      </c>
      <c r="B571" s="52">
        <f>VLOOKUP($A571,'Выгр Кат'!$A:$R,B$1,0)</f>
        <v>52770</v>
      </c>
      <c r="C571" s="53" t="str">
        <f>VLOOKUP($A571,'Выгр Кат'!$A:$R,C$1,0)</f>
        <v>Поперечина рамки радиатора "АвтоВАЗ" верхняя в сборе для Лада Ларгус FL</v>
      </c>
      <c r="D571" s="52" t="str">
        <f>VLOOKUP($A571,'Выгр Кат'!$A:$R,D$1,0)</f>
        <v>Y</v>
      </c>
      <c r="E571" s="52" t="str">
        <f>VLOOKUP($A571,'Выгр Кат'!$A:$R,E$1,0)</f>
        <v>1</v>
      </c>
      <c r="F571" s="52" t="str">
        <f>VLOOKUP($A571,'Выгр Кат'!$A:$R,F$1,0)</f>
        <v>8450013862</v>
      </c>
      <c r="G571" s="52" t="str">
        <f>IF(VLOOKUP($A571,'Выгр Кат'!$A:$R,G$1,0)=0,"",VLOOKUP($A571,'Выгр Кат'!$A:$R,G$1,0))</f>
        <v/>
      </c>
      <c r="H571" s="52"/>
      <c r="I571" s="52"/>
      <c r="J571" s="54">
        <f t="shared" si="152"/>
        <v>18014</v>
      </c>
      <c r="K571" s="55">
        <f>VLOOKUP(J571,Наценка!$A$1:$B$8,2,1)</f>
        <v>1.3</v>
      </c>
      <c r="L571" s="56">
        <f t="shared" si="153"/>
        <v>23418.2</v>
      </c>
      <c r="M571" s="57">
        <f t="shared" si="154"/>
        <v>23490</v>
      </c>
      <c r="N571" s="52">
        <f>VLOOKUP($A571,'Выгр Кат'!$A:$R,N$1,0)</f>
        <v>18014</v>
      </c>
      <c r="O571" s="52">
        <f>VLOOKUP($A571,'Выгр Кат'!$A:$R,O$1,0)</f>
        <v>23490</v>
      </c>
      <c r="P571" s="47">
        <f t="shared" si="155"/>
        <v>0</v>
      </c>
      <c r="Q571" s="47">
        <f t="shared" si="156"/>
        <v>0</v>
      </c>
      <c r="R571" s="58">
        <f t="shared" si="157"/>
        <v>23490</v>
      </c>
      <c r="S571" s="59">
        <f t="shared" si="158"/>
        <v>0.30398578883090921</v>
      </c>
      <c r="T571" s="59" t="str">
        <f t="shared" si="159"/>
        <v/>
      </c>
      <c r="U571" s="59" t="str">
        <f t="shared" si="160"/>
        <v/>
      </c>
      <c r="V571" s="60"/>
      <c r="W571" s="69" t="str">
        <f>IFERROR((VLOOKUP($A571,'Из ГУГЛа'!$B:$Z,W$1,0)+Y571)*X571,VLOOKUP($A571,'Из ГУГЛа'!$B:$Z,W$1,0))</f>
        <v/>
      </c>
      <c r="X571" s="61">
        <v>1</v>
      </c>
      <c r="Y571" s="61">
        <v>0</v>
      </c>
      <c r="Z571" s="60" t="s">
        <v>4170</v>
      </c>
      <c r="AA571" s="60"/>
    </row>
    <row r="572" spans="1:27" ht="30" x14ac:dyDescent="0.25">
      <c r="A572" s="52">
        <v>195333</v>
      </c>
      <c r="B572" s="52">
        <f>VLOOKUP($A572,'Выгр Кат'!$A:$R,B$1,0)</f>
        <v>31443</v>
      </c>
      <c r="C572" s="53" t="str">
        <f>VLOOKUP($A572,'Выгр Кат'!$A:$R,C$1,0)</f>
        <v>Поперечина рамки радиатора "АвтоВАЗ" верхняя для ВАЗ 2104, 2105</v>
      </c>
      <c r="D572" s="52" t="str">
        <f>VLOOKUP($A572,'Выгр Кат'!$A:$R,D$1,0)</f>
        <v>Y</v>
      </c>
      <c r="E572" s="52" t="str">
        <f>VLOOKUP($A572,'Выгр Кат'!$A:$R,E$1,0)</f>
        <v>1</v>
      </c>
      <c r="F572" s="52" t="str">
        <f>VLOOKUP($A572,'Выгр Кат'!$A:$R,F$1,0)</f>
        <v>21050840106010</v>
      </c>
      <c r="G572" s="52" t="str">
        <f>IF(VLOOKUP($A572,'Выгр Кат'!$A:$R,G$1,0)=0,"",VLOOKUP($A572,'Выгр Кат'!$A:$R,G$1,0))</f>
        <v/>
      </c>
      <c r="H572" s="52"/>
      <c r="I572" s="52"/>
      <c r="J572" s="54">
        <f t="shared" si="152"/>
        <v>217</v>
      </c>
      <c r="K572" s="55">
        <f>VLOOKUP(J572,Наценка!$A$1:$B$8,2,1)</f>
        <v>1.8</v>
      </c>
      <c r="L572" s="56">
        <f t="shared" si="153"/>
        <v>390.6</v>
      </c>
      <c r="M572" s="57">
        <f t="shared" si="154"/>
        <v>399</v>
      </c>
      <c r="N572" s="52">
        <f>VLOOKUP($A572,'Выгр Кат'!$A:$R,N$1,0)</f>
        <v>217</v>
      </c>
      <c r="O572" s="52">
        <f>VLOOKUP($A572,'Выгр Кат'!$A:$R,O$1,0)</f>
        <v>399</v>
      </c>
      <c r="P572" s="47">
        <f t="shared" si="155"/>
        <v>0</v>
      </c>
      <c r="Q572" s="47">
        <f t="shared" si="156"/>
        <v>0</v>
      </c>
      <c r="R572" s="58">
        <f t="shared" si="157"/>
        <v>399</v>
      </c>
      <c r="S572" s="59">
        <f t="shared" si="158"/>
        <v>0.83870967741935476</v>
      </c>
      <c r="T572" s="59" t="str">
        <f t="shared" si="159"/>
        <v/>
      </c>
      <c r="U572" s="59" t="str">
        <f t="shared" si="160"/>
        <v/>
      </c>
      <c r="V572" s="60"/>
      <c r="W572" s="69" t="str">
        <f>IFERROR((VLOOKUP($A572,'Из ГУГЛа'!$B:$Z,W$1,0)+Y572)*X572,VLOOKUP($A572,'Из ГУГЛа'!$B:$Z,W$1,0))</f>
        <v/>
      </c>
      <c r="X572" s="61">
        <v>1</v>
      </c>
      <c r="Y572" s="61">
        <v>0</v>
      </c>
      <c r="Z572" s="60" t="s">
        <v>4307</v>
      </c>
      <c r="AA572" s="60" t="s">
        <v>4306</v>
      </c>
    </row>
    <row r="573" spans="1:27" ht="30" x14ac:dyDescent="0.25">
      <c r="A573" s="52">
        <v>195334</v>
      </c>
      <c r="B573" s="52">
        <f>VLOOKUP($A573,'Выгр Кат'!$A:$R,B$1,0)</f>
        <v>31422</v>
      </c>
      <c r="C573" s="53" t="str">
        <f>VLOOKUP($A573,'Выгр Кат'!$A:$R,C$1,0)</f>
        <v>Поперечина рамки радиатора "АвтоВАЗ" для ВАЗ 2108-21099</v>
      </c>
      <c r="D573" s="52" t="str">
        <f>VLOOKUP($A573,'Выгр Кат'!$A:$R,D$1,0)</f>
        <v>Y</v>
      </c>
      <c r="E573" s="52" t="str">
        <f>VLOOKUP($A573,'Выгр Кат'!$A:$R,E$1,0)</f>
        <v>1</v>
      </c>
      <c r="F573" s="52" t="str">
        <f>VLOOKUP($A573,'Выгр Кат'!$A:$R,F$1,0)</f>
        <v>21080840106210</v>
      </c>
      <c r="G573" s="52" t="str">
        <f>IF(VLOOKUP($A573,'Выгр Кат'!$A:$R,G$1,0)=0,"",VLOOKUP($A573,'Выгр Кат'!$A:$R,G$1,0))</f>
        <v>https://motorring.ru/product/33237-poperechina-ramki-radiatora-verhnyaya-2108</v>
      </c>
      <c r="H573" s="52"/>
      <c r="I573" s="52"/>
      <c r="J573" s="54">
        <f t="shared" si="152"/>
        <v>162</v>
      </c>
      <c r="K573" s="55">
        <f>VLOOKUP(J573,Наценка!$A$1:$B$8,2,1)</f>
        <v>1.8</v>
      </c>
      <c r="L573" s="56">
        <f t="shared" si="153"/>
        <v>291.60000000000002</v>
      </c>
      <c r="M573" s="57">
        <f t="shared" si="154"/>
        <v>299</v>
      </c>
      <c r="N573" s="52">
        <f>VLOOKUP($A573,'Выгр Кат'!$A:$R,N$1,0)</f>
        <v>162</v>
      </c>
      <c r="O573" s="52">
        <f>VLOOKUP($A573,'Выгр Кат'!$A:$R,O$1,0)</f>
        <v>299</v>
      </c>
      <c r="P573" s="47">
        <f t="shared" si="155"/>
        <v>0</v>
      </c>
      <c r="Q573" s="47">
        <f t="shared" si="156"/>
        <v>0</v>
      </c>
      <c r="R573" s="58">
        <f t="shared" si="157"/>
        <v>299</v>
      </c>
      <c r="S573" s="59">
        <f t="shared" si="158"/>
        <v>0.84567901234567899</v>
      </c>
      <c r="T573" s="59">
        <f t="shared" si="159"/>
        <v>0.69797979797979803</v>
      </c>
      <c r="U573" s="59">
        <f t="shared" si="160"/>
        <v>5.1111111111111107</v>
      </c>
      <c r="V573" s="42">
        <f t="shared" ref="V573:V578" si="161">Z573</f>
        <v>990</v>
      </c>
      <c r="W573" s="69">
        <f>IFERROR((VLOOKUP($A573,'Из ГУГЛа'!$B:$Z,W$1,0)+Y573)*X573,VLOOKUP($A573,'Из ГУГЛа'!$B:$Z,W$1,0))</f>
        <v>990</v>
      </c>
      <c r="X573" s="61">
        <v>1</v>
      </c>
      <c r="Y573" s="61">
        <v>0</v>
      </c>
      <c r="Z573" s="70">
        <v>990</v>
      </c>
      <c r="AA573" s="60" t="s">
        <v>1509</v>
      </c>
    </row>
    <row r="574" spans="1:27" ht="30" x14ac:dyDescent="0.25">
      <c r="A574" s="52">
        <v>195335</v>
      </c>
      <c r="B574" s="52">
        <f>VLOOKUP($A574,'Выгр Кат'!$A:$R,B$1,0)</f>
        <v>32550</v>
      </c>
      <c r="C574" s="53" t="str">
        <f>VLOOKUP($A574,'Выгр Кат'!$A:$R,C$1,0)</f>
        <v>Поперечина рамки радиатора "АвтоВАЗ" для ВАЗ 2110-2112</v>
      </c>
      <c r="D574" s="52" t="str">
        <f>VLOOKUP($A574,'Выгр Кат'!$A:$R,D$1,0)</f>
        <v>Y</v>
      </c>
      <c r="E574" s="52" t="str">
        <f>VLOOKUP($A574,'Выгр Кат'!$A:$R,E$1,0)</f>
        <v>1</v>
      </c>
      <c r="F574" s="52" t="str">
        <f>VLOOKUP($A574,'Выгр Кат'!$A:$R,F$1,0)</f>
        <v>21100840106010</v>
      </c>
      <c r="G574" s="52" t="str">
        <f>IF(VLOOKUP($A574,'Выгр Кат'!$A:$R,G$1,0)=0,"",VLOOKUP($A574,'Выгр Кат'!$A:$R,G$1,0))</f>
        <v>https://motorring.ru/product/33256-poperechina-ramki-radiatora-dlya-vaz-2110</v>
      </c>
      <c r="H574" s="52"/>
      <c r="I574" s="52"/>
      <c r="J574" s="54">
        <f t="shared" si="152"/>
        <v>629</v>
      </c>
      <c r="K574" s="55">
        <f>VLOOKUP(J574,Наценка!$A$1:$B$8,2,1)</f>
        <v>1.55</v>
      </c>
      <c r="L574" s="56">
        <f t="shared" si="153"/>
        <v>974.95</v>
      </c>
      <c r="M574" s="57">
        <f t="shared" si="154"/>
        <v>979</v>
      </c>
      <c r="N574" s="52">
        <f>VLOOKUP($A574,'Выгр Кат'!$A:$R,N$1,0)</f>
        <v>629</v>
      </c>
      <c r="O574" s="52">
        <f>VLOOKUP($A574,'Выгр Кат'!$A:$R,O$1,0)</f>
        <v>979</v>
      </c>
      <c r="P574" s="47">
        <f t="shared" si="155"/>
        <v>0</v>
      </c>
      <c r="Q574" s="47">
        <f t="shared" si="156"/>
        <v>0</v>
      </c>
      <c r="R574" s="58">
        <f t="shared" si="157"/>
        <v>979</v>
      </c>
      <c r="S574" s="59">
        <f t="shared" si="158"/>
        <v>0.55643879173290944</v>
      </c>
      <c r="T574" s="59">
        <f t="shared" si="159"/>
        <v>-0.1</v>
      </c>
      <c r="U574" s="59">
        <f t="shared" si="160"/>
        <v>0.41494435612082681</v>
      </c>
      <c r="V574" s="42">
        <f t="shared" si="161"/>
        <v>890</v>
      </c>
      <c r="W574" s="69">
        <f>IFERROR((VLOOKUP($A574,'Из ГУГЛа'!$B:$Z,W$1,0)+Y574)*X574,VLOOKUP($A574,'Из ГУГЛа'!$B:$Z,W$1,0))</f>
        <v>890</v>
      </c>
      <c r="X574" s="61">
        <v>1</v>
      </c>
      <c r="Y574" s="61">
        <v>0</v>
      </c>
      <c r="Z574" s="70">
        <v>890</v>
      </c>
      <c r="AA574" s="60" t="s">
        <v>1512</v>
      </c>
    </row>
    <row r="575" spans="1:27" ht="45" x14ac:dyDescent="0.25">
      <c r="A575" s="52">
        <v>195342</v>
      </c>
      <c r="B575" s="52">
        <f>VLOOKUP($A575,'Выгр Кат'!$A:$R,B$1,0)</f>
        <v>16961</v>
      </c>
      <c r="C575" s="53" t="str">
        <f>VLOOKUP($A575,'Выгр Кат'!$A:$R,C$1,0)</f>
        <v>Поперечина рамки радиатора "АвтоВАЗ" нижняя (катафорез) для Лада Калина, Калина 2, Гранта</v>
      </c>
      <c r="D575" s="52" t="str">
        <f>VLOOKUP($A575,'Выгр Кат'!$A:$R,D$1,0)</f>
        <v>Y</v>
      </c>
      <c r="E575" s="52" t="str">
        <f>VLOOKUP($A575,'Выгр Кат'!$A:$R,E$1,0)</f>
        <v>1ск1</v>
      </c>
      <c r="F575" s="52" t="str">
        <f>VLOOKUP($A575,'Выгр Кат'!$A:$R,F$1,0)</f>
        <v>11180840107670</v>
      </c>
      <c r="G575" s="52" t="str">
        <f>IF(VLOOKUP($A575,'Выгр Кат'!$A:$R,G$1,0)=0,"",VLOOKUP($A575,'Выгр Кат'!$A:$R,G$1,0))</f>
        <v>https://motorring.ru/product/18123-poperechina-ramki-radiatora-nighnyaya-kataforeznoe-pokrytie</v>
      </c>
      <c r="H575" s="52"/>
      <c r="I575" s="52"/>
      <c r="J575" s="54">
        <f t="shared" si="152"/>
        <v>3182</v>
      </c>
      <c r="K575" s="55">
        <f>VLOOKUP(J575,Наценка!$A$1:$B$8,2,1)</f>
        <v>1.4</v>
      </c>
      <c r="L575" s="56">
        <f t="shared" si="153"/>
        <v>4454.7999999999993</v>
      </c>
      <c r="M575" s="57">
        <f t="shared" si="154"/>
        <v>4490</v>
      </c>
      <c r="N575" s="52">
        <f>VLOOKUP($A575,'Выгр Кат'!$A:$R,N$1,0)</f>
        <v>3182</v>
      </c>
      <c r="O575" s="52">
        <f>VLOOKUP($A575,'Выгр Кат'!$A:$R,O$1,0)</f>
        <v>4490</v>
      </c>
      <c r="P575" s="47">
        <f t="shared" si="155"/>
        <v>0</v>
      </c>
      <c r="Q575" s="47">
        <f t="shared" si="156"/>
        <v>0</v>
      </c>
      <c r="R575" s="58">
        <f t="shared" si="157"/>
        <v>4490</v>
      </c>
      <c r="S575" s="59">
        <f t="shared" si="158"/>
        <v>0.41106222501571343</v>
      </c>
      <c r="T575" s="59">
        <f t="shared" si="159"/>
        <v>-0.25069637883008355</v>
      </c>
      <c r="U575" s="59">
        <f t="shared" si="160"/>
        <v>0.12822124450031436</v>
      </c>
      <c r="V575" s="42">
        <f t="shared" si="161"/>
        <v>3590</v>
      </c>
      <c r="W575" s="69">
        <f>IFERROR((VLOOKUP($A575,'Из ГУГЛа'!$B:$Z,W$1,0)+Y575)*X575,VLOOKUP($A575,'Из ГУГЛа'!$B:$Z,W$1,0))</f>
        <v>3590</v>
      </c>
      <c r="X575" s="61">
        <v>1</v>
      </c>
      <c r="Y575" s="61">
        <v>0</v>
      </c>
      <c r="Z575" s="70">
        <v>3590</v>
      </c>
      <c r="AA575" s="60" t="s">
        <v>1515</v>
      </c>
    </row>
    <row r="576" spans="1:27" ht="45" x14ac:dyDescent="0.25">
      <c r="A576" s="52">
        <v>195337</v>
      </c>
      <c r="B576" s="52">
        <f>VLOOKUP($A576,'Выгр Кат'!$A:$R,B$1,0)</f>
        <v>32720</v>
      </c>
      <c r="C576" s="53" t="str">
        <f>VLOOKUP($A576,'Выгр Кат'!$A:$R,C$1,0)</f>
        <v>Поперечина рамки радиатора (катафорез) "АвтоВАЗ" верхняя в сборе для Лада Веста</v>
      </c>
      <c r="D576" s="52" t="str">
        <f>VLOOKUP($A576,'Выгр Кат'!$A:$R,D$1,0)</f>
        <v>Y</v>
      </c>
      <c r="E576" s="52" t="str">
        <f>VLOOKUP($A576,'Выгр Кат'!$A:$R,E$1,0)</f>
        <v>1</v>
      </c>
      <c r="F576" s="52" t="str">
        <f>VLOOKUP($A576,'Выгр Кат'!$A:$R,F$1,0)</f>
        <v>8450039238</v>
      </c>
      <c r="G576" s="52" t="str">
        <f>IF(VLOOKUP($A576,'Выгр Кат'!$A:$R,G$1,0)=0,"",VLOOKUP($A576,'Выгр Кат'!$A:$R,G$1,0))</f>
        <v>https://motorring.ru/product/18990-poperechina-ramki-radiatora-verhnyaya-lada-vesta</v>
      </c>
      <c r="H576" s="52"/>
      <c r="I576" s="52"/>
      <c r="J576" s="54">
        <f t="shared" si="152"/>
        <v>7525</v>
      </c>
      <c r="K576" s="55">
        <f>VLOOKUP(J576,Наценка!$A$1:$B$8,2,1)</f>
        <v>1.35</v>
      </c>
      <c r="L576" s="56">
        <f t="shared" si="153"/>
        <v>10158.75</v>
      </c>
      <c r="M576" s="57">
        <f t="shared" si="154"/>
        <v>10190</v>
      </c>
      <c r="N576" s="52">
        <f>VLOOKUP($A576,'Выгр Кат'!$A:$R,N$1,0)</f>
        <v>7525</v>
      </c>
      <c r="O576" s="52">
        <f>VLOOKUP($A576,'Выгр Кат'!$A:$R,O$1,0)</f>
        <v>10590</v>
      </c>
      <c r="P576" s="47">
        <f t="shared" si="155"/>
        <v>0</v>
      </c>
      <c r="Q576" s="47">
        <f t="shared" si="156"/>
        <v>400</v>
      </c>
      <c r="R576" s="58">
        <f t="shared" si="157"/>
        <v>10190</v>
      </c>
      <c r="S576" s="59">
        <f t="shared" si="158"/>
        <v>0.35415282392026581</v>
      </c>
      <c r="T576" s="59">
        <f t="shared" si="159"/>
        <v>1.9249278152069296E-2</v>
      </c>
      <c r="U576" s="59">
        <f t="shared" si="160"/>
        <v>0.38073089700996676</v>
      </c>
      <c r="V576" s="42">
        <f t="shared" si="161"/>
        <v>10390</v>
      </c>
      <c r="W576" s="69">
        <f>IFERROR((VLOOKUP($A576,'Из ГУГЛа'!$B:$Z,W$1,0)+Y576)*X576,VLOOKUP($A576,'Из ГУГЛа'!$B:$Z,W$1,0))</f>
        <v>10390</v>
      </c>
      <c r="X576" s="61">
        <v>1</v>
      </c>
      <c r="Y576" s="61">
        <v>0</v>
      </c>
      <c r="Z576" s="70">
        <v>10390</v>
      </c>
      <c r="AA576" s="60" t="s">
        <v>1518</v>
      </c>
    </row>
    <row r="577" spans="1:27" ht="45" x14ac:dyDescent="0.25">
      <c r="A577" s="52">
        <v>195338</v>
      </c>
      <c r="B577" s="52">
        <f>VLOOKUP($A577,'Выгр Кат'!$A:$R,B$1,0)</f>
        <v>31423</v>
      </c>
      <c r="C577" s="53" t="str">
        <f>VLOOKUP($A577,'Выгр Кат'!$A:$R,C$1,0)</f>
        <v>Поперечина рамки радиатора (катафорез) "АвтоВАЗ" верхняя для ВАЗ 2108-21099, 2113-2115</v>
      </c>
      <c r="D577" s="52" t="str">
        <f>VLOOKUP($A577,'Выгр Кат'!$A:$R,D$1,0)</f>
        <v>Y</v>
      </c>
      <c r="E577" s="52" t="str">
        <f>VLOOKUP($A577,'Выгр Кат'!$A:$R,E$1,0)</f>
        <v>1ск1</v>
      </c>
      <c r="F577" s="52" t="str">
        <f>VLOOKUP($A577,'Выгр Кат'!$A:$R,F$1,0)</f>
        <v>21080840106010</v>
      </c>
      <c r="G577" s="52" t="str">
        <f>IF(VLOOKUP($A577,'Выгр Кат'!$A:$R,G$1,0)=0,"",VLOOKUP($A577,'Выгр Кат'!$A:$R,G$1,0))</f>
        <v>https://motorring.ru/product/4576-poperechina-ramki-radiatora-verhnyaya-kataforeznoe-pokrytie</v>
      </c>
      <c r="H577" s="52"/>
      <c r="I577" s="52"/>
      <c r="J577" s="54">
        <f t="shared" si="152"/>
        <v>770</v>
      </c>
      <c r="K577" s="55">
        <f>VLOOKUP(J577,Наценка!$A$1:$B$8,2,1)</f>
        <v>1.55</v>
      </c>
      <c r="L577" s="56">
        <f t="shared" si="153"/>
        <v>1193.5</v>
      </c>
      <c r="M577" s="57">
        <f t="shared" si="154"/>
        <v>1190</v>
      </c>
      <c r="N577" s="52">
        <f>VLOOKUP($A577,'Выгр Кат'!$A:$R,N$1,0)</f>
        <v>770</v>
      </c>
      <c r="O577" s="52">
        <f>VLOOKUP($A577,'Выгр Кат'!$A:$R,O$1,0)</f>
        <v>1190</v>
      </c>
      <c r="P577" s="47">
        <f t="shared" si="155"/>
        <v>0</v>
      </c>
      <c r="Q577" s="47">
        <f t="shared" si="156"/>
        <v>0</v>
      </c>
      <c r="R577" s="58">
        <f t="shared" si="157"/>
        <v>1190</v>
      </c>
      <c r="S577" s="59">
        <f t="shared" si="158"/>
        <v>0.54545454545454541</v>
      </c>
      <c r="T577" s="59">
        <f t="shared" si="159"/>
        <v>0.14388489208633093</v>
      </c>
      <c r="U577" s="59">
        <f t="shared" si="160"/>
        <v>0.80519480519480524</v>
      </c>
      <c r="V577" s="42">
        <f t="shared" si="161"/>
        <v>1390</v>
      </c>
      <c r="W577" s="69">
        <f>IFERROR((VLOOKUP($A577,'Из ГУГЛа'!$B:$Z,W$1,0)+Y577)*X577,VLOOKUP($A577,'Из ГУГЛа'!$B:$Z,W$1,0))</f>
        <v>1390</v>
      </c>
      <c r="X577" s="61">
        <v>1</v>
      </c>
      <c r="Y577" s="61">
        <v>0</v>
      </c>
      <c r="Z577" s="70">
        <v>1390</v>
      </c>
      <c r="AA577" s="60" t="s">
        <v>1521</v>
      </c>
    </row>
    <row r="578" spans="1:27" ht="45" x14ac:dyDescent="0.25">
      <c r="A578" s="52">
        <v>195339</v>
      </c>
      <c r="B578" s="52">
        <f>VLOOKUP($A578,'Выгр Кат'!$A:$R,B$1,0)</f>
        <v>32673</v>
      </c>
      <c r="C578" s="53" t="str">
        <f>VLOOKUP($A578,'Выгр Кат'!$A:$R,C$1,0)</f>
        <v>Поперечина рамки радиатора (катафорез) "АвтоВАЗ" верхняя для Шевроле Нива</v>
      </c>
      <c r="D578" s="52" t="str">
        <f>VLOOKUP($A578,'Выгр Кат'!$A:$R,D$1,0)</f>
        <v>Y</v>
      </c>
      <c r="E578" s="52" t="str">
        <f>VLOOKUP($A578,'Выгр Кат'!$A:$R,E$1,0)</f>
        <v>1</v>
      </c>
      <c r="F578" s="52" t="str">
        <f>VLOOKUP($A578,'Выгр Кат'!$A:$R,F$1,0)</f>
        <v>21230840106070</v>
      </c>
      <c r="G578" s="52" t="str">
        <f>IF(VLOOKUP($A578,'Выгр Кат'!$A:$R,G$1,0)=0,"",VLOOKUP($A578,'Выгр Кат'!$A:$R,G$1,0))</f>
        <v>https://motorring.ru/product/38267-verhnyaya-planka-ramki-radiatora-dlya-shevrole-niva</v>
      </c>
      <c r="H578" s="52"/>
      <c r="I578" s="52"/>
      <c r="J578" s="54">
        <f t="shared" si="152"/>
        <v>1694</v>
      </c>
      <c r="K578" s="55">
        <f>VLOOKUP(J578,Наценка!$A$1:$B$8,2,1)</f>
        <v>1.5</v>
      </c>
      <c r="L578" s="56">
        <f t="shared" si="153"/>
        <v>2541</v>
      </c>
      <c r="M578" s="57">
        <f t="shared" si="154"/>
        <v>2590</v>
      </c>
      <c r="N578" s="52">
        <f>VLOOKUP($A578,'Выгр Кат'!$A:$R,N$1,0)</f>
        <v>1694</v>
      </c>
      <c r="O578" s="52">
        <f>VLOOKUP($A578,'Выгр Кат'!$A:$R,O$1,0)</f>
        <v>2590</v>
      </c>
      <c r="P578" s="47">
        <f t="shared" si="155"/>
        <v>0</v>
      </c>
      <c r="Q578" s="47">
        <f t="shared" si="156"/>
        <v>0</v>
      </c>
      <c r="R578" s="58">
        <f t="shared" si="157"/>
        <v>2590</v>
      </c>
      <c r="S578" s="59">
        <f t="shared" si="158"/>
        <v>0.52892561983471076</v>
      </c>
      <c r="T578" s="59">
        <f t="shared" si="159"/>
        <v>-8.3682008368200833E-2</v>
      </c>
      <c r="U578" s="59">
        <f t="shared" si="160"/>
        <v>0.41086186540731995</v>
      </c>
      <c r="V578" s="42">
        <f t="shared" si="161"/>
        <v>2390</v>
      </c>
      <c r="W578" s="69">
        <f>IFERROR((VLOOKUP($A578,'Из ГУГЛа'!$B:$Z,W$1,0)+Y578)*X578,VLOOKUP($A578,'Из ГУГЛа'!$B:$Z,W$1,0))</f>
        <v>2390</v>
      </c>
      <c r="X578" s="61">
        <v>1</v>
      </c>
      <c r="Y578" s="61">
        <v>0</v>
      </c>
      <c r="Z578" s="70">
        <v>2390</v>
      </c>
      <c r="AA578" s="60" t="s">
        <v>1524</v>
      </c>
    </row>
    <row r="579" spans="1:27" ht="45" x14ac:dyDescent="0.25">
      <c r="A579" s="52">
        <v>195340</v>
      </c>
      <c r="B579" s="52">
        <f>VLOOKUP($A579,'Выгр Кат'!$A:$R,B$1,0)</f>
        <v>31399</v>
      </c>
      <c r="C579" s="53" t="str">
        <f>VLOOKUP($A579,'Выгр Кат'!$A:$R,C$1,0)</f>
        <v>Поперечина рамки радиатора (катафорез) "АвтоВАЗ" нижняя для ВАЗ 2110-2112</v>
      </c>
      <c r="D579" s="52" t="str">
        <f>VLOOKUP($A579,'Выгр Кат'!$A:$R,D$1,0)</f>
        <v>Y</v>
      </c>
      <c r="E579" s="52" t="str">
        <f>VLOOKUP($A579,'Выгр Кат'!$A:$R,E$1,0)</f>
        <v>1</v>
      </c>
      <c r="F579" s="52" t="str">
        <f>VLOOKUP($A579,'Выгр Кат'!$A:$R,F$1,0)</f>
        <v>21100840107810</v>
      </c>
      <c r="G579" s="52" t="str">
        <f>IF(VLOOKUP($A579,'Выгр Кат'!$A:$R,G$1,0)=0,"",VLOOKUP($A579,'Выгр Кат'!$A:$R,G$1,0))</f>
        <v/>
      </c>
      <c r="H579" s="52"/>
      <c r="I579" s="52"/>
      <c r="J579" s="54">
        <f t="shared" si="152"/>
        <v>640</v>
      </c>
      <c r="K579" s="55">
        <f>VLOOKUP(J579,Наценка!$A$1:$B$8,2,1)</f>
        <v>1.55</v>
      </c>
      <c r="L579" s="56">
        <f t="shared" si="153"/>
        <v>992</v>
      </c>
      <c r="M579" s="57">
        <f t="shared" si="154"/>
        <v>999</v>
      </c>
      <c r="N579" s="52">
        <f>VLOOKUP($A579,'Выгр Кат'!$A:$R,N$1,0)</f>
        <v>640</v>
      </c>
      <c r="O579" s="52">
        <f>VLOOKUP($A579,'Выгр Кат'!$A:$R,O$1,0)</f>
        <v>999</v>
      </c>
      <c r="P579" s="47">
        <f t="shared" si="155"/>
        <v>0</v>
      </c>
      <c r="Q579" s="47">
        <f t="shared" si="156"/>
        <v>0</v>
      </c>
      <c r="R579" s="58">
        <f t="shared" si="157"/>
        <v>999</v>
      </c>
      <c r="S579" s="59">
        <f t="shared" si="158"/>
        <v>0.56093750000000009</v>
      </c>
      <c r="T579" s="59" t="str">
        <f t="shared" si="159"/>
        <v/>
      </c>
      <c r="U579" s="59" t="str">
        <f t="shared" si="160"/>
        <v/>
      </c>
      <c r="V579" s="60"/>
      <c r="W579" s="69" t="str">
        <f>IFERROR((VLOOKUP($A579,'Из ГУГЛа'!$B:$Z,W$1,0)+Y579)*X579,VLOOKUP($A579,'Из ГУГЛа'!$B:$Z,W$1,0))</f>
        <v/>
      </c>
      <c r="X579" s="61">
        <v>1</v>
      </c>
      <c r="Y579" s="61">
        <v>0</v>
      </c>
      <c r="Z579" s="60" t="s">
        <v>4170</v>
      </c>
      <c r="AA579" s="60"/>
    </row>
    <row r="580" spans="1:27" ht="45" x14ac:dyDescent="0.25">
      <c r="A580" s="52">
        <v>195341</v>
      </c>
      <c r="B580" s="52">
        <f>VLOOKUP($A580,'Выгр Кат'!$A:$R,B$1,0)</f>
        <v>31249</v>
      </c>
      <c r="C580" s="53" t="str">
        <f>VLOOKUP($A580,'Выгр Кат'!$A:$R,C$1,0)</f>
        <v>Поперечина рамки радиатора (катафорез) "АвтоВАЗ" нижняя для Шевроле Нива</v>
      </c>
      <c r="D580" s="52" t="str">
        <f>VLOOKUP($A580,'Выгр Кат'!$A:$R,D$1,0)</f>
        <v>Y</v>
      </c>
      <c r="E580" s="52" t="str">
        <f>VLOOKUP($A580,'Выгр Кат'!$A:$R,E$1,0)</f>
        <v>1</v>
      </c>
      <c r="F580" s="52" t="str">
        <f>VLOOKUP($A580,'Выгр Кат'!$A:$R,F$1,0)</f>
        <v>21230840107670</v>
      </c>
      <c r="G580" s="52" t="str">
        <f>IF(VLOOKUP($A580,'Выгр Кат'!$A:$R,G$1,0)=0,"",VLOOKUP($A580,'Выгр Кат'!$A:$R,G$1,0))</f>
        <v>https://motorring.ru/product/1072-poperechina-nighnyaya-ramki-radiatora-kataforeznoe-pokrytie</v>
      </c>
      <c r="H580" s="52"/>
      <c r="I580" s="52"/>
      <c r="J580" s="54">
        <f t="shared" si="152"/>
        <v>5945</v>
      </c>
      <c r="K580" s="55">
        <f>VLOOKUP(J580,Наценка!$A$1:$B$8,2,1)</f>
        <v>1.35</v>
      </c>
      <c r="L580" s="56">
        <f t="shared" si="153"/>
        <v>8025.7500000000009</v>
      </c>
      <c r="M580" s="57">
        <f t="shared" si="154"/>
        <v>8090</v>
      </c>
      <c r="N580" s="52">
        <f>VLOOKUP($A580,'Выгр Кат'!$A:$R,N$1,0)</f>
        <v>5945</v>
      </c>
      <c r="O580" s="52">
        <f>VLOOKUP($A580,'Выгр Кат'!$A:$R,O$1,0)</f>
        <v>8390</v>
      </c>
      <c r="P580" s="47">
        <f t="shared" si="155"/>
        <v>0</v>
      </c>
      <c r="Q580" s="47">
        <f t="shared" si="156"/>
        <v>300</v>
      </c>
      <c r="R580" s="58">
        <f t="shared" si="157"/>
        <v>8090</v>
      </c>
      <c r="S580" s="59">
        <f t="shared" si="158"/>
        <v>0.36080740117746002</v>
      </c>
      <c r="T580" s="59">
        <f t="shared" si="159"/>
        <v>4.7114252061248529E-2</v>
      </c>
      <c r="U580" s="59">
        <f t="shared" si="160"/>
        <v>0.42809083263246417</v>
      </c>
      <c r="V580" s="42">
        <f>Z580</f>
        <v>8490</v>
      </c>
      <c r="W580" s="69">
        <f>IFERROR((VLOOKUP($A580,'Из ГУГЛа'!$B:$Z,W$1,0)+Y580)*X580,VLOOKUP($A580,'Из ГУГЛа'!$B:$Z,W$1,0))</f>
        <v>8490</v>
      </c>
      <c r="X580" s="61">
        <v>1</v>
      </c>
      <c r="Y580" s="61">
        <v>0</v>
      </c>
      <c r="Z580" s="70">
        <v>8490</v>
      </c>
      <c r="AA580" s="60" t="s">
        <v>1529</v>
      </c>
    </row>
    <row r="581" spans="1:27" ht="30" x14ac:dyDescent="0.25">
      <c r="A581" s="52">
        <v>195344</v>
      </c>
      <c r="B581" s="52">
        <f>VLOOKUP($A581,'Выгр Кат'!$A:$R,B$1,0)</f>
        <v>32533</v>
      </c>
      <c r="C581" s="53" t="str">
        <f>VLOOKUP($A581,'Выгр Кат'!$A:$R,C$1,0)</f>
        <v>Поперечина рамы заднего окна "АвтоВАЗ" для ВАЗ 21099</v>
      </c>
      <c r="D581" s="52" t="str">
        <f>VLOOKUP($A581,'Выгр Кат'!$A:$R,D$1,0)</f>
        <v>Y</v>
      </c>
      <c r="E581" s="52" t="str">
        <f>VLOOKUP($A581,'Выгр Кат'!$A:$R,E$1,0)</f>
        <v>1</v>
      </c>
      <c r="F581" s="52" t="str">
        <f>VLOOKUP($A581,'Выгр Кат'!$A:$R,F$1,0)</f>
        <v>21099560125000</v>
      </c>
      <c r="G581" s="52" t="str">
        <f>IF(VLOOKUP($A581,'Выгр Кат'!$A:$R,G$1,0)=0,"",VLOOKUP($A581,'Выгр Кат'!$A:$R,G$1,0))</f>
        <v/>
      </c>
      <c r="H581" s="52"/>
      <c r="I581" s="52"/>
      <c r="J581" s="54">
        <f t="shared" si="152"/>
        <v>459.34</v>
      </c>
      <c r="K581" s="55">
        <f>VLOOKUP(J581,Наценка!$A$1:$B$8,2,1)</f>
        <v>1.6</v>
      </c>
      <c r="L581" s="56">
        <f t="shared" si="153"/>
        <v>734.94399999999996</v>
      </c>
      <c r="M581" s="57">
        <f t="shared" si="154"/>
        <v>739</v>
      </c>
      <c r="N581" s="52">
        <f>VLOOKUP($A581,'Выгр Кат'!$A:$R,N$1,0)</f>
        <v>459.34</v>
      </c>
      <c r="O581" s="52">
        <f>VLOOKUP($A581,'Выгр Кат'!$A:$R,O$1,0)</f>
        <v>739</v>
      </c>
      <c r="P581" s="47">
        <f t="shared" si="155"/>
        <v>0</v>
      </c>
      <c r="Q581" s="47">
        <f t="shared" si="156"/>
        <v>0</v>
      </c>
      <c r="R581" s="58">
        <f t="shared" si="157"/>
        <v>739</v>
      </c>
      <c r="S581" s="59">
        <f t="shared" si="158"/>
        <v>0.60883006052161814</v>
      </c>
      <c r="T581" s="59" t="str">
        <f t="shared" si="159"/>
        <v/>
      </c>
      <c r="U581" s="59" t="str">
        <f t="shared" si="160"/>
        <v/>
      </c>
      <c r="V581" s="60"/>
      <c r="W581" s="69" t="str">
        <f>IFERROR((VLOOKUP($A581,'Из ГУГЛа'!$B:$Z,W$1,0)+Y581)*X581,VLOOKUP($A581,'Из ГУГЛа'!$B:$Z,W$1,0))</f>
        <v/>
      </c>
      <c r="X581" s="61">
        <v>1</v>
      </c>
      <c r="Y581" s="61">
        <v>0</v>
      </c>
      <c r="Z581" s="60" t="s">
        <v>4170</v>
      </c>
      <c r="AA581" s="60"/>
    </row>
    <row r="582" spans="1:27" ht="45" x14ac:dyDescent="0.25">
      <c r="A582" s="52">
        <v>357534</v>
      </c>
      <c r="B582" s="52">
        <f>VLOOKUP($A582,'Выгр Кат'!$A:$R,B$1,0)</f>
        <v>357534</v>
      </c>
      <c r="C582" s="53" t="str">
        <f>VLOOKUP($A582,'Выгр Кат'!$A:$R,C$1,0)</f>
        <v>Поперечина топливного бака "Renault" S.A.S под сиденье 3 ряда для Лада Ларгус</v>
      </c>
      <c r="D582" s="52" t="str">
        <f>VLOOKUP($A582,'Выгр Кат'!$A:$R,D$1,0)</f>
        <v>Y</v>
      </c>
      <c r="E582" s="52" t="str">
        <f>VLOOKUP($A582,'Выгр Кат'!$A:$R,E$1,0)</f>
        <v>1</v>
      </c>
      <c r="F582" s="52" t="str">
        <f>VLOOKUP($A582,'Выгр Кат'!$A:$R,F$1,0)</f>
        <v>6001548792</v>
      </c>
      <c r="G582" s="52" t="str">
        <f>IF(VLOOKUP($A582,'Выгр Кат'!$A:$R,G$1,0)=0,"",VLOOKUP($A582,'Выгр Кат'!$A:$R,G$1,0))</f>
        <v/>
      </c>
      <c r="H582" s="52"/>
      <c r="I582" s="52"/>
      <c r="J582" s="54">
        <f t="shared" si="152"/>
        <v>2389</v>
      </c>
      <c r="K582" s="55">
        <f>VLOOKUP(J582,Наценка!$A$1:$B$8,2,1)</f>
        <v>1.4</v>
      </c>
      <c r="L582" s="56">
        <f t="shared" si="153"/>
        <v>3344.6</v>
      </c>
      <c r="M582" s="57">
        <f t="shared" si="154"/>
        <v>3390</v>
      </c>
      <c r="N582" s="52">
        <f>VLOOKUP($A582,'Выгр Кат'!$A:$R,N$1,0)</f>
        <v>2389</v>
      </c>
      <c r="O582" s="52">
        <f>VLOOKUP($A582,'Выгр Кат'!$A:$R,O$1,0)</f>
        <v>3390</v>
      </c>
      <c r="P582" s="47">
        <f t="shared" si="155"/>
        <v>0</v>
      </c>
      <c r="Q582" s="47">
        <f t="shared" si="156"/>
        <v>0</v>
      </c>
      <c r="R582" s="58">
        <f t="shared" si="157"/>
        <v>3390</v>
      </c>
      <c r="S582" s="59">
        <f t="shared" si="158"/>
        <v>0.41900376726663868</v>
      </c>
      <c r="T582" s="59" t="str">
        <f t="shared" si="159"/>
        <v/>
      </c>
      <c r="U582" s="59" t="str">
        <f t="shared" si="160"/>
        <v/>
      </c>
      <c r="V582" s="60"/>
      <c r="W582" s="69" t="str">
        <f>IFERROR((VLOOKUP($A582,'Из ГУГЛа'!$B:$Z,W$1,0)+Y582)*X582,VLOOKUP($A582,'Из ГУГЛа'!$B:$Z,W$1,0))</f>
        <v/>
      </c>
      <c r="X582" s="61">
        <v>1</v>
      </c>
      <c r="Y582" s="61">
        <v>0</v>
      </c>
      <c r="Z582" s="60" t="s">
        <v>4170</v>
      </c>
      <c r="AA582" s="60"/>
    </row>
    <row r="583" spans="1:27" ht="45" x14ac:dyDescent="0.25">
      <c r="A583" s="52">
        <v>195345</v>
      </c>
      <c r="B583" s="52">
        <f>VLOOKUP($A583,'Выгр Кат'!$A:$R,B$1,0)</f>
        <v>50643</v>
      </c>
      <c r="C583" s="53" t="str">
        <f>VLOOKUP($A583,'Выгр Кат'!$A:$R,C$1,0)</f>
        <v>Поперечина щитка "АвтоВАЗ" передка в сборе (катафорез) для Лада Веста, Веста Cross, Веста Спорт</v>
      </c>
      <c r="D583" s="52" t="str">
        <f>VLOOKUP($A583,'Выгр Кат'!$A:$R,D$1,0)</f>
        <v>Y</v>
      </c>
      <c r="E583" s="52" t="str">
        <f>VLOOKUP($A583,'Выгр Кат'!$A:$R,E$1,0)</f>
        <v>1</v>
      </c>
      <c r="F583" s="52" t="str">
        <f>VLOOKUP($A583,'Выгр Кат'!$A:$R,F$1,0)</f>
        <v>8450039328</v>
      </c>
      <c r="G583" s="52" t="str">
        <f>IF(VLOOKUP($A583,'Выгр Кат'!$A:$R,G$1,0)=0,"",VLOOKUP($A583,'Выгр Кат'!$A:$R,G$1,0))</f>
        <v/>
      </c>
      <c r="H583" s="52"/>
      <c r="I583" s="52"/>
      <c r="J583" s="54">
        <f t="shared" si="152"/>
        <v>1322</v>
      </c>
      <c r="K583" s="55">
        <f>VLOOKUP(J583,Наценка!$A$1:$B$8,2,1)</f>
        <v>1.5</v>
      </c>
      <c r="L583" s="56">
        <f t="shared" si="153"/>
        <v>1983</v>
      </c>
      <c r="M583" s="57">
        <f t="shared" si="154"/>
        <v>1990</v>
      </c>
      <c r="N583" s="52">
        <f>VLOOKUP($A583,'Выгр Кат'!$A:$R,N$1,0)</f>
        <v>1322</v>
      </c>
      <c r="O583" s="52">
        <f>VLOOKUP($A583,'Выгр Кат'!$A:$R,O$1,0)</f>
        <v>1990</v>
      </c>
      <c r="P583" s="47">
        <f t="shared" si="155"/>
        <v>0</v>
      </c>
      <c r="Q583" s="47">
        <f t="shared" si="156"/>
        <v>0</v>
      </c>
      <c r="R583" s="58">
        <f t="shared" si="157"/>
        <v>1990</v>
      </c>
      <c r="S583" s="59">
        <f t="shared" si="158"/>
        <v>0.50529500756429657</v>
      </c>
      <c r="T583" s="59" t="str">
        <f t="shared" si="159"/>
        <v/>
      </c>
      <c r="U583" s="59" t="str">
        <f t="shared" si="160"/>
        <v/>
      </c>
      <c r="V583" s="60"/>
      <c r="W583" s="69" t="str">
        <f>IFERROR((VLOOKUP($A583,'Из ГУГЛа'!$B:$Z,W$1,0)+Y583)*X583,VLOOKUP($A583,'Из ГУГЛа'!$B:$Z,W$1,0))</f>
        <v/>
      </c>
      <c r="X583" s="61">
        <v>1</v>
      </c>
      <c r="Y583" s="61">
        <v>0</v>
      </c>
      <c r="Z583" s="60" t="s">
        <v>4170</v>
      </c>
      <c r="AA583" s="60"/>
    </row>
    <row r="584" spans="1:27" ht="30" x14ac:dyDescent="0.25">
      <c r="A584" s="52">
        <v>195349</v>
      </c>
      <c r="B584" s="52">
        <f>VLOOKUP($A584,'Выгр Кат'!$A:$R,B$1,0)</f>
        <v>23625</v>
      </c>
      <c r="C584" s="53" t="str">
        <f>VLOOKUP($A584,'Выгр Кат'!$A:$R,C$1,0)</f>
        <v>Порог "АвтоВАЗ" (левый) для ВАЗ 2110-2112, Лада Приора</v>
      </c>
      <c r="D584" s="52" t="str">
        <f>VLOOKUP($A584,'Выгр Кат'!$A:$R,D$1,0)</f>
        <v>Y</v>
      </c>
      <c r="E584" s="52" t="str">
        <f>VLOOKUP($A584,'Выгр Кат'!$A:$R,E$1,0)</f>
        <v>1</v>
      </c>
      <c r="F584" s="52" t="str">
        <f>VLOOKUP($A584,'Выгр Кат'!$A:$R,F$1,0)</f>
        <v>21100540106100</v>
      </c>
      <c r="G584" s="52" t="str">
        <f>IF(VLOOKUP($A584,'Выгр Кат'!$A:$R,G$1,0)=0,"",VLOOKUP($A584,'Выгр Кат'!$A:$R,G$1,0))</f>
        <v/>
      </c>
      <c r="H584" s="52"/>
      <c r="I584" s="52"/>
      <c r="J584" s="54">
        <f t="shared" si="152"/>
        <v>850</v>
      </c>
      <c r="K584" s="55">
        <f>VLOOKUP(J584,Наценка!$A$1:$B$8,2,1)</f>
        <v>1.55</v>
      </c>
      <c r="L584" s="56">
        <f t="shared" si="153"/>
        <v>1317.5</v>
      </c>
      <c r="M584" s="57">
        <f t="shared" si="154"/>
        <v>1390</v>
      </c>
      <c r="N584" s="52">
        <f>VLOOKUP($A584,'Выгр Кат'!$A:$R,N$1,0)</f>
        <v>850</v>
      </c>
      <c r="O584" s="52">
        <f>VLOOKUP($A584,'Выгр Кат'!$A:$R,O$1,0)</f>
        <v>1390</v>
      </c>
      <c r="P584" s="47">
        <f t="shared" si="155"/>
        <v>0</v>
      </c>
      <c r="Q584" s="47">
        <f t="shared" si="156"/>
        <v>0</v>
      </c>
      <c r="R584" s="58">
        <f t="shared" si="157"/>
        <v>1390</v>
      </c>
      <c r="S584" s="59">
        <f t="shared" si="158"/>
        <v>0.63529411764705879</v>
      </c>
      <c r="T584" s="59">
        <f t="shared" si="159"/>
        <v>-0.5617977528089888</v>
      </c>
      <c r="U584" s="59">
        <f t="shared" si="160"/>
        <v>4.705882352941182E-2</v>
      </c>
      <c r="V584" s="42">
        <f t="shared" ref="V584:V586" si="162">Z584</f>
        <v>890</v>
      </c>
      <c r="W584" s="69">
        <f>IFERROR((VLOOKUP($A584,'Из ГУГЛа'!$B:$Z,W$1,0)+Y584)*X584,VLOOKUP($A584,'Из ГУГЛа'!$B:$Z,W$1,0))</f>
        <v>890</v>
      </c>
      <c r="X584" s="61">
        <v>1</v>
      </c>
      <c r="Y584" s="61">
        <v>0</v>
      </c>
      <c r="Z584" s="60">
        <v>890</v>
      </c>
      <c r="AA584" s="60" t="s">
        <v>4244</v>
      </c>
    </row>
    <row r="585" spans="1:27" ht="30" x14ac:dyDescent="0.25">
      <c r="A585" s="52">
        <v>195350</v>
      </c>
      <c r="B585" s="52">
        <f>VLOOKUP($A585,'Выгр Кат'!$A:$R,B$1,0)</f>
        <v>23804</v>
      </c>
      <c r="C585" s="53" t="str">
        <f>VLOOKUP($A585,'Выгр Кат'!$A:$R,C$1,0)</f>
        <v>Порог "АвтоВАЗ" (правый) для ВАЗ 2110-2112, Лада Приора</v>
      </c>
      <c r="D585" s="52" t="str">
        <f>VLOOKUP($A585,'Выгр Кат'!$A:$R,D$1,0)</f>
        <v>Y</v>
      </c>
      <c r="E585" s="52" t="str">
        <f>VLOOKUP($A585,'Выгр Кат'!$A:$R,E$1,0)</f>
        <v>1ск1</v>
      </c>
      <c r="F585" s="52" t="str">
        <f>VLOOKUP($A585,'Выгр Кат'!$A:$R,F$1,0)</f>
        <v>21100540106000</v>
      </c>
      <c r="G585" s="52" t="str">
        <f>IF(VLOOKUP($A585,'Выгр Кат'!$A:$R,G$1,0)=0,"",VLOOKUP($A585,'Выгр Кат'!$A:$R,G$1,0))</f>
        <v/>
      </c>
      <c r="H585" s="52"/>
      <c r="I585" s="52"/>
      <c r="J585" s="54">
        <f t="shared" si="152"/>
        <v>960.96</v>
      </c>
      <c r="K585" s="55">
        <f>VLOOKUP(J585,Наценка!$A$1:$B$8,2,1)</f>
        <v>1.55</v>
      </c>
      <c r="L585" s="56">
        <f t="shared" si="153"/>
        <v>1489.4880000000001</v>
      </c>
      <c r="M585" s="57">
        <f t="shared" si="154"/>
        <v>1490</v>
      </c>
      <c r="N585" s="52">
        <f>VLOOKUP($A585,'Выгр Кат'!$A:$R,N$1,0)</f>
        <v>960.96</v>
      </c>
      <c r="O585" s="52">
        <f>VLOOKUP($A585,'Выгр Кат'!$A:$R,O$1,0)</f>
        <v>1490</v>
      </c>
      <c r="P585" s="47">
        <f t="shared" si="155"/>
        <v>0</v>
      </c>
      <c r="Q585" s="47">
        <f t="shared" si="156"/>
        <v>0</v>
      </c>
      <c r="R585" s="58">
        <f t="shared" si="157"/>
        <v>1490</v>
      </c>
      <c r="S585" s="59">
        <f t="shared" si="158"/>
        <v>0.55053280053280051</v>
      </c>
      <c r="T585" s="59">
        <f t="shared" si="159"/>
        <v>-0.6741573033707865</v>
      </c>
      <c r="U585" s="59">
        <f t="shared" si="160"/>
        <v>-7.3842823842823924E-2</v>
      </c>
      <c r="V585" s="42">
        <f t="shared" si="162"/>
        <v>890</v>
      </c>
      <c r="W585" s="69">
        <f>IFERROR((VLOOKUP($A585,'Из ГУГЛа'!$B:$Z,W$1,0)+Y585)*X585,VLOOKUP($A585,'Из ГУГЛа'!$B:$Z,W$1,0))</f>
        <v>890</v>
      </c>
      <c r="X585" s="61">
        <v>1</v>
      </c>
      <c r="Y585" s="61">
        <v>0</v>
      </c>
      <c r="Z585" s="60">
        <v>890</v>
      </c>
      <c r="AA585" s="60" t="s">
        <v>4245</v>
      </c>
    </row>
    <row r="586" spans="1:27" ht="30" x14ac:dyDescent="0.25">
      <c r="A586" s="52">
        <v>195358</v>
      </c>
      <c r="B586" s="52">
        <f>VLOOKUP($A586,'Выгр Кат'!$A:$R,B$1,0)</f>
        <v>18745</v>
      </c>
      <c r="C586" s="53" t="str">
        <f>VLOOKUP($A586,'Выгр Кат'!$A:$R,C$1,0)</f>
        <v>Порог "ЭКРИС" правый для для Лада Нива 4х4</v>
      </c>
      <c r="D586" s="52" t="str">
        <f>VLOOKUP($A586,'Выгр Кат'!$A:$R,D$1,0)</f>
        <v>Y</v>
      </c>
      <c r="E586" s="52" t="str">
        <f>VLOOKUP($A586,'Выгр Кат'!$A:$R,E$1,0)</f>
        <v>1</v>
      </c>
      <c r="F586" s="52" t="str">
        <f>VLOOKUP($A586,'Выгр Кат'!$A:$R,F$1,0)</f>
        <v>21210540106063</v>
      </c>
      <c r="G586" s="52" t="str">
        <f>IF(VLOOKUP($A586,'Выгр Кат'!$A:$R,G$1,0)=0,"",VLOOKUP($A586,'Выгр Кат'!$A:$R,G$1,0))</f>
        <v/>
      </c>
      <c r="H586" s="52"/>
      <c r="I586" s="52"/>
      <c r="J586" s="54">
        <f t="shared" si="152"/>
        <v>570</v>
      </c>
      <c r="K586" s="55">
        <f>VLOOKUP(J586,Наценка!$A$1:$B$8,2,1)</f>
        <v>1.55</v>
      </c>
      <c r="L586" s="56">
        <f t="shared" si="153"/>
        <v>883.5</v>
      </c>
      <c r="M586" s="57">
        <f t="shared" si="154"/>
        <v>889</v>
      </c>
      <c r="N586" s="52">
        <f>VLOOKUP($A586,'Выгр Кат'!$A:$R,N$1,0)</f>
        <v>570</v>
      </c>
      <c r="O586" s="52">
        <f>VLOOKUP($A586,'Выгр Кат'!$A:$R,O$1,0)</f>
        <v>889</v>
      </c>
      <c r="P586" s="47">
        <f t="shared" si="155"/>
        <v>0</v>
      </c>
      <c r="Q586" s="47">
        <f t="shared" si="156"/>
        <v>0</v>
      </c>
      <c r="R586" s="58">
        <f t="shared" si="157"/>
        <v>889</v>
      </c>
      <c r="S586" s="59">
        <f t="shared" si="158"/>
        <v>0.55964912280701751</v>
      </c>
      <c r="T586" s="59">
        <f t="shared" si="159"/>
        <v>4.3057050592034449E-2</v>
      </c>
      <c r="U586" s="59">
        <f t="shared" si="160"/>
        <v>0.62982456140350873</v>
      </c>
      <c r="V586" s="42">
        <f t="shared" si="162"/>
        <v>929</v>
      </c>
      <c r="W586" s="69">
        <f>IFERROR((VLOOKUP($A586,'Из ГУГЛа'!$B:$Z,W$1,0)+Y586)*X586,VLOOKUP($A586,'Из ГУГЛа'!$B:$Z,W$1,0))</f>
        <v>929</v>
      </c>
      <c r="X586" s="61">
        <v>1</v>
      </c>
      <c r="Y586" s="61">
        <v>0</v>
      </c>
      <c r="Z586" s="60">
        <v>929</v>
      </c>
      <c r="AA586" s="60" t="s">
        <v>4232</v>
      </c>
    </row>
    <row r="587" spans="1:27" ht="30" x14ac:dyDescent="0.25">
      <c r="A587" s="52">
        <v>195352</v>
      </c>
      <c r="B587" s="52">
        <f>VLOOKUP($A587,'Выгр Кат'!$A:$R,B$1,0)</f>
        <v>32736</v>
      </c>
      <c r="C587" s="53" t="str">
        <f>VLOOKUP($A587,'Выгр Кат'!$A:$R,C$1,0)</f>
        <v>Порог левый (без арки) для ВАЗ 2108, 2113</v>
      </c>
      <c r="D587" s="52" t="str">
        <f>VLOOKUP($A587,'Выгр Кат'!$A:$R,D$1,0)</f>
        <v>Y</v>
      </c>
      <c r="E587" s="52" t="str">
        <f>VLOOKUP($A587,'Выгр Кат'!$A:$R,E$1,0)</f>
        <v>1</v>
      </c>
      <c r="F587" s="52" t="str">
        <f>VLOOKUP($A587,'Выгр Кат'!$A:$R,F$1,0)</f>
        <v>21080540106111</v>
      </c>
      <c r="G587" s="52" t="str">
        <f>IF(VLOOKUP($A587,'Выгр Кат'!$A:$R,G$1,0)=0,"",VLOOKUP($A587,'Выгр Кат'!$A:$R,G$1,0))</f>
        <v/>
      </c>
      <c r="H587" s="52"/>
      <c r="I587" s="52"/>
      <c r="J587" s="54">
        <f t="shared" si="152"/>
        <v>700</v>
      </c>
      <c r="K587" s="55">
        <f>VLOOKUP(J587,Наценка!$A$1:$B$8,2,1)</f>
        <v>1.55</v>
      </c>
      <c r="L587" s="56">
        <f t="shared" si="153"/>
        <v>1085</v>
      </c>
      <c r="M587" s="57">
        <f t="shared" si="154"/>
        <v>1090</v>
      </c>
      <c r="N587" s="52">
        <f>VLOOKUP($A587,'Выгр Кат'!$A:$R,N$1,0)</f>
        <v>700</v>
      </c>
      <c r="O587" s="52">
        <f>VLOOKUP($A587,'Выгр Кат'!$A:$R,O$1,0)</f>
        <v>1090</v>
      </c>
      <c r="P587" s="47">
        <f t="shared" si="155"/>
        <v>0</v>
      </c>
      <c r="Q587" s="47">
        <f t="shared" si="156"/>
        <v>0</v>
      </c>
      <c r="R587" s="58">
        <f t="shared" si="157"/>
        <v>1090</v>
      </c>
      <c r="S587" s="59">
        <f t="shared" si="158"/>
        <v>0.55714285714285716</v>
      </c>
      <c r="T587" s="59" t="str">
        <f t="shared" si="159"/>
        <v/>
      </c>
      <c r="U587" s="59" t="str">
        <f t="shared" si="160"/>
        <v/>
      </c>
      <c r="V587" s="60"/>
      <c r="W587" s="69" t="str">
        <f>IFERROR((VLOOKUP($A587,'Из ГУГЛа'!$B:$Z,W$1,0)+Y587)*X587,VLOOKUP($A587,'Из ГУГЛа'!$B:$Z,W$1,0))</f>
        <v/>
      </c>
      <c r="X587" s="61">
        <v>1</v>
      </c>
      <c r="Y587" s="61">
        <v>0</v>
      </c>
      <c r="Z587" s="62" t="s">
        <v>4170</v>
      </c>
      <c r="AA587" s="60"/>
    </row>
    <row r="588" spans="1:27" x14ac:dyDescent="0.25">
      <c r="A588" s="52">
        <v>195354</v>
      </c>
      <c r="B588" s="52">
        <f>VLOOKUP($A588,'Выгр Кат'!$A:$R,B$1,0)</f>
        <v>18746</v>
      </c>
      <c r="C588" s="53" t="str">
        <f>VLOOKUP($A588,'Выгр Кат'!$A:$R,C$1,0)</f>
        <v>Порог левый для ВАЗ 2121, 21213</v>
      </c>
      <c r="D588" s="52" t="str">
        <f>VLOOKUP($A588,'Выгр Кат'!$A:$R,D$1,0)</f>
        <v>Y</v>
      </c>
      <c r="E588" s="52" t="str">
        <f>VLOOKUP($A588,'Выгр Кат'!$A:$R,E$1,0)</f>
        <v>1</v>
      </c>
      <c r="F588" s="52" t="str">
        <f>VLOOKUP($A588,'Выгр Кат'!$A:$R,F$1,0)</f>
        <v>21210540106161</v>
      </c>
      <c r="G588" s="52" t="str">
        <f>IF(VLOOKUP($A588,'Выгр Кат'!$A:$R,G$1,0)=0,"",VLOOKUP($A588,'Выгр Кат'!$A:$R,G$1,0))</f>
        <v/>
      </c>
      <c r="H588" s="52"/>
      <c r="I588" s="52"/>
      <c r="J588" s="54">
        <f t="shared" si="152"/>
        <v>530</v>
      </c>
      <c r="K588" s="55">
        <f>VLOOKUP(J588,Наценка!$A$1:$B$8,2,1)</f>
        <v>1.55</v>
      </c>
      <c r="L588" s="56">
        <f t="shared" si="153"/>
        <v>821.5</v>
      </c>
      <c r="M588" s="57">
        <f t="shared" si="154"/>
        <v>829</v>
      </c>
      <c r="N588" s="52">
        <f>VLOOKUP($A588,'Выгр Кат'!$A:$R,N$1,0)</f>
        <v>530</v>
      </c>
      <c r="O588" s="52">
        <f>VLOOKUP($A588,'Выгр Кат'!$A:$R,O$1,0)</f>
        <v>829</v>
      </c>
      <c r="P588" s="47">
        <f t="shared" si="155"/>
        <v>0</v>
      </c>
      <c r="Q588" s="47">
        <f t="shared" si="156"/>
        <v>0</v>
      </c>
      <c r="R588" s="58">
        <f t="shared" si="157"/>
        <v>829</v>
      </c>
      <c r="S588" s="59">
        <f t="shared" si="158"/>
        <v>0.5641509433962264</v>
      </c>
      <c r="T588" s="59">
        <f t="shared" si="159"/>
        <v>0.10764262648008611</v>
      </c>
      <c r="U588" s="59">
        <f t="shared" si="160"/>
        <v>0.75283018867924523</v>
      </c>
      <c r="V588" s="42">
        <f t="shared" ref="V588" si="163">Z588</f>
        <v>929</v>
      </c>
      <c r="W588" s="69">
        <f>IFERROR((VLOOKUP($A588,'Из ГУГЛа'!$B:$Z,W$1,0)+Y588)*X588,VLOOKUP($A588,'Из ГУГЛа'!$B:$Z,W$1,0))</f>
        <v>929</v>
      </c>
      <c r="X588" s="61">
        <v>1</v>
      </c>
      <c r="Y588" s="61">
        <v>0</v>
      </c>
      <c r="Z588" s="60">
        <v>929</v>
      </c>
      <c r="AA588" s="60" t="s">
        <v>4231</v>
      </c>
    </row>
    <row r="589" spans="1:27" x14ac:dyDescent="0.25">
      <c r="A589" s="52">
        <v>195356</v>
      </c>
      <c r="B589" s="52">
        <f>VLOOKUP($A589,'Выгр Кат'!$A:$R,B$1,0)</f>
        <v>27053</v>
      </c>
      <c r="C589" s="53" t="str">
        <f>VLOOKUP($A589,'Выгр Кат'!$A:$R,C$1,0)</f>
        <v>Порог правый (без арки) для ВАЗ 2108</v>
      </c>
      <c r="D589" s="52" t="str">
        <f>VLOOKUP($A589,'Выгр Кат'!$A:$R,D$1,0)</f>
        <v>Y</v>
      </c>
      <c r="E589" s="52" t="str">
        <f>VLOOKUP($A589,'Выгр Кат'!$A:$R,E$1,0)</f>
        <v>1</v>
      </c>
      <c r="F589" s="52" t="str">
        <f>VLOOKUP($A589,'Выгр Кат'!$A:$R,F$1,0)</f>
        <v>21080540106011</v>
      </c>
      <c r="G589" s="52" t="str">
        <f>IF(VLOOKUP($A589,'Выгр Кат'!$A:$R,G$1,0)=0,"",VLOOKUP($A589,'Выгр Кат'!$A:$R,G$1,0))</f>
        <v/>
      </c>
      <c r="H589" s="52"/>
      <c r="I589" s="52"/>
      <c r="J589" s="54">
        <f t="shared" si="152"/>
        <v>638</v>
      </c>
      <c r="K589" s="55">
        <f>VLOOKUP(J589,Наценка!$A$1:$B$8,2,1)</f>
        <v>1.55</v>
      </c>
      <c r="L589" s="56">
        <f t="shared" si="153"/>
        <v>988.9</v>
      </c>
      <c r="M589" s="57">
        <f t="shared" si="154"/>
        <v>989</v>
      </c>
      <c r="N589" s="52">
        <f>VLOOKUP($A589,'Выгр Кат'!$A:$R,N$1,0)</f>
        <v>638</v>
      </c>
      <c r="O589" s="52">
        <f>VLOOKUP($A589,'Выгр Кат'!$A:$R,O$1,0)</f>
        <v>989</v>
      </c>
      <c r="P589" s="47">
        <f t="shared" si="155"/>
        <v>0</v>
      </c>
      <c r="Q589" s="47">
        <f t="shared" si="156"/>
        <v>0</v>
      </c>
      <c r="R589" s="58">
        <f t="shared" si="157"/>
        <v>989</v>
      </c>
      <c r="S589" s="59">
        <f t="shared" si="158"/>
        <v>0.55015673981191227</v>
      </c>
      <c r="T589" s="59" t="str">
        <f t="shared" si="159"/>
        <v/>
      </c>
      <c r="U589" s="59" t="str">
        <f t="shared" si="160"/>
        <v/>
      </c>
      <c r="V589" s="60"/>
      <c r="W589" s="69" t="str">
        <f>IFERROR((VLOOKUP($A589,'Из ГУГЛа'!$B:$Z,W$1,0)+Y589)*X589,VLOOKUP($A589,'Из ГУГЛа'!$B:$Z,W$1,0))</f>
        <v/>
      </c>
      <c r="X589" s="61">
        <v>1</v>
      </c>
      <c r="Y589" s="61">
        <v>0</v>
      </c>
      <c r="Z589" s="62" t="s">
        <v>4170</v>
      </c>
      <c r="AA589" s="60"/>
    </row>
    <row r="590" spans="1:27" ht="45" x14ac:dyDescent="0.25">
      <c r="A590" s="52">
        <v>201020</v>
      </c>
      <c r="B590" s="52">
        <f>VLOOKUP($A590,'Выгр Кат'!$A:$R,B$1,0)</f>
        <v>15454</v>
      </c>
      <c r="C590" s="53" t="str">
        <f>VLOOKUP($A590,'Выгр Кат'!$A:$R,C$1,0)</f>
        <v>Правый задний соединитель порога пола (Поддомкратник) ВАЗ 2108-21099, 2113-2115</v>
      </c>
      <c r="D590" s="52" t="str">
        <f>VLOOKUP($A590,'Выгр Кат'!$A:$R,D$1,0)</f>
        <v>Y</v>
      </c>
      <c r="E590" s="52" t="str">
        <f>VLOOKUP($A590,'Выгр Кат'!$A:$R,E$1,0)</f>
        <v>1ск1</v>
      </c>
      <c r="F590" s="52" t="str">
        <f>VLOOKUP($A590,'Выгр Кат'!$A:$R,F$1,0)</f>
        <v>21080510205463</v>
      </c>
      <c r="G590" s="52" t="str">
        <f>IF(VLOOKUP($A590,'Выгр Кат'!$A:$R,G$1,0)=0,"",VLOOKUP($A590,'Выгр Кат'!$A:$R,G$1,0))</f>
        <v>https://motorring.ru/product/18732-soedinitely-poroga-pola-zadniy-pravyy-poddomkratnik-vaz</v>
      </c>
      <c r="H590" s="52"/>
      <c r="I590" s="52"/>
      <c r="J590" s="54">
        <f t="shared" si="152"/>
        <v>86</v>
      </c>
      <c r="K590" s="55">
        <f>VLOOKUP(J590,Наценка!$A$1:$B$8,2,1)</f>
        <v>2</v>
      </c>
      <c r="L590" s="56">
        <f t="shared" si="153"/>
        <v>172</v>
      </c>
      <c r="M590" s="57">
        <f t="shared" si="154"/>
        <v>179</v>
      </c>
      <c r="N590" s="52">
        <f>VLOOKUP($A590,'Выгр Кат'!$A:$R,N$1,0)</f>
        <v>86</v>
      </c>
      <c r="O590" s="52">
        <f>VLOOKUP($A590,'Выгр Кат'!$A:$R,O$1,0)</f>
        <v>179</v>
      </c>
      <c r="P590" s="47">
        <f t="shared" si="155"/>
        <v>0</v>
      </c>
      <c r="Q590" s="47">
        <f t="shared" si="156"/>
        <v>0</v>
      </c>
      <c r="R590" s="58">
        <f t="shared" si="157"/>
        <v>179</v>
      </c>
      <c r="S590" s="59">
        <f t="shared" si="158"/>
        <v>1.0813953488372094</v>
      </c>
      <c r="T590" s="59">
        <f t="shared" si="159"/>
        <v>0.33457249070631973</v>
      </c>
      <c r="U590" s="59">
        <f t="shared" si="160"/>
        <v>2.1279069767441858</v>
      </c>
      <c r="V590" s="42">
        <f t="shared" ref="V590:V592" si="164">Z590</f>
        <v>269</v>
      </c>
      <c r="W590" s="69">
        <f>IFERROR((VLOOKUP($A590,'Из ГУГЛа'!$B:$Z,W$1,0)+Y590)*X590,VLOOKUP($A590,'Из ГУГЛа'!$B:$Z,W$1,0))</f>
        <v>269</v>
      </c>
      <c r="X590" s="61">
        <v>1</v>
      </c>
      <c r="Y590" s="61">
        <v>0</v>
      </c>
      <c r="Z590" s="70">
        <v>269</v>
      </c>
      <c r="AA590" s="60" t="s">
        <v>1552</v>
      </c>
    </row>
    <row r="591" spans="1:27" ht="45" x14ac:dyDescent="0.25">
      <c r="A591" s="52">
        <v>201023</v>
      </c>
      <c r="B591" s="52">
        <f>VLOOKUP($A591,'Выгр Кат'!$A:$R,B$1,0)</f>
        <v>27211</v>
      </c>
      <c r="C591" s="53" t="str">
        <f>VLOOKUP($A591,'Выгр Кат'!$A:$R,C$1,0)</f>
        <v>Правый соединитель порога "АвтоВАЗ" для ВАЗ 2108-21099, 2113-2115</v>
      </c>
      <c r="D591" s="52" t="str">
        <f>VLOOKUP($A591,'Выгр Кат'!$A:$R,D$1,0)</f>
        <v>Y</v>
      </c>
      <c r="E591" s="52" t="str">
        <f>VLOOKUP($A591,'Выгр Кат'!$A:$R,E$1,0)</f>
        <v>1</v>
      </c>
      <c r="F591" s="52" t="str">
        <f>VLOOKUP($A591,'Выгр Кат'!$A:$R,F$1,0)</f>
        <v>21080510106600</v>
      </c>
      <c r="G591" s="52" t="str">
        <f>IF(VLOOKUP($A591,'Выгр Кат'!$A:$R,G$1,0)=0,"",VLOOKUP($A591,'Выгр Кат'!$A:$R,G$1,0))</f>
        <v>https://motorring.ru/product/721-soedinitely-poroga-pravyy-vaz-2108-21099-2113-2115</v>
      </c>
      <c r="H591" s="52"/>
      <c r="I591" s="52"/>
      <c r="J591" s="54">
        <f t="shared" si="152"/>
        <v>159</v>
      </c>
      <c r="K591" s="55">
        <f>VLOOKUP(J591,Наценка!$A$1:$B$8,2,1)</f>
        <v>1.8</v>
      </c>
      <c r="L591" s="56">
        <f t="shared" si="153"/>
        <v>286.2</v>
      </c>
      <c r="M591" s="57">
        <f t="shared" si="154"/>
        <v>289</v>
      </c>
      <c r="N591" s="52">
        <f>VLOOKUP($A591,'Выгр Кат'!$A:$R,N$1,0)</f>
        <v>159</v>
      </c>
      <c r="O591" s="52">
        <f>VLOOKUP($A591,'Выгр Кат'!$A:$R,O$1,0)</f>
        <v>289</v>
      </c>
      <c r="P591" s="47">
        <f t="shared" si="155"/>
        <v>0</v>
      </c>
      <c r="Q591" s="47">
        <f t="shared" si="156"/>
        <v>0</v>
      </c>
      <c r="R591" s="58">
        <f t="shared" si="157"/>
        <v>289</v>
      </c>
      <c r="S591" s="59">
        <f t="shared" si="158"/>
        <v>0.8176100628930818</v>
      </c>
      <c r="T591" s="59">
        <f t="shared" si="159"/>
        <v>-0.45226130653266333</v>
      </c>
      <c r="U591" s="59">
        <f t="shared" si="160"/>
        <v>0.2515723270440251</v>
      </c>
      <c r="V591" s="42">
        <f t="shared" si="164"/>
        <v>199</v>
      </c>
      <c r="W591" s="69">
        <f>IFERROR((VLOOKUP($A591,'Из ГУГЛа'!$B:$Z,W$1,0)+Y591)*X591,VLOOKUP($A591,'Из ГУГЛа'!$B:$Z,W$1,0))</f>
        <v>199</v>
      </c>
      <c r="X591" s="61">
        <v>1</v>
      </c>
      <c r="Y591" s="61">
        <v>0</v>
      </c>
      <c r="Z591" s="70">
        <v>199</v>
      </c>
      <c r="AA591" s="60" t="s">
        <v>1555</v>
      </c>
    </row>
    <row r="592" spans="1:27" ht="45" x14ac:dyDescent="0.25">
      <c r="A592" s="52">
        <v>201024</v>
      </c>
      <c r="B592" s="52">
        <f>VLOOKUP($A592,'Выгр Кат'!$A:$R,B$1,0)</f>
        <v>15446</v>
      </c>
      <c r="C592" s="53" t="str">
        <f>VLOOKUP($A592,'Выгр Кат'!$A:$R,C$1,0)</f>
        <v>Правый соединитель порога пола "АвтоВАЗ" (поддомкратник) для ВАЗ 2108-21099, 2113-2115</v>
      </c>
      <c r="D592" s="52" t="str">
        <f>VLOOKUP($A592,'Выгр Кат'!$A:$R,D$1,0)</f>
        <v>Y</v>
      </c>
      <c r="E592" s="52" t="str">
        <f>VLOOKUP($A592,'Выгр Кат'!$A:$R,E$1,0)</f>
        <v>1ск1</v>
      </c>
      <c r="F592" s="52" t="str">
        <f>VLOOKUP($A592,'Выгр Кат'!$A:$R,F$1,0)</f>
        <v>21080510105420</v>
      </c>
      <c r="G592" s="52" t="str">
        <f>IF(VLOOKUP($A592,'Выгр Кат'!$A:$R,G$1,0)=0,"",VLOOKUP($A592,'Выгр Кат'!$A:$R,G$1,0))</f>
        <v/>
      </c>
      <c r="H592" s="52"/>
      <c r="I592" s="52"/>
      <c r="J592" s="54">
        <f t="shared" si="152"/>
        <v>272</v>
      </c>
      <c r="K592" s="55">
        <f>VLOOKUP(J592,Наценка!$A$1:$B$8,2,1)</f>
        <v>1.8</v>
      </c>
      <c r="L592" s="56">
        <f t="shared" si="153"/>
        <v>489.6</v>
      </c>
      <c r="M592" s="57">
        <f t="shared" si="154"/>
        <v>489</v>
      </c>
      <c r="N592" s="52">
        <f>VLOOKUP($A592,'Выгр Кат'!$A:$R,N$1,0)</f>
        <v>272</v>
      </c>
      <c r="O592" s="52">
        <f>VLOOKUP($A592,'Выгр Кат'!$A:$R,O$1,0)</f>
        <v>489</v>
      </c>
      <c r="P592" s="47">
        <f t="shared" si="155"/>
        <v>0</v>
      </c>
      <c r="Q592" s="47">
        <f t="shared" si="156"/>
        <v>0</v>
      </c>
      <c r="R592" s="58">
        <f t="shared" si="157"/>
        <v>489</v>
      </c>
      <c r="S592" s="59">
        <f t="shared" si="158"/>
        <v>0.79779411764705888</v>
      </c>
      <c r="T592" s="59">
        <f t="shared" si="159"/>
        <v>-0.81784386617100369</v>
      </c>
      <c r="U592" s="59">
        <f t="shared" si="160"/>
        <v>-1.1029411764705843E-2</v>
      </c>
      <c r="V592" s="42">
        <f t="shared" si="164"/>
        <v>269</v>
      </c>
      <c r="W592" s="69">
        <f>IFERROR((VLOOKUP($A592,'Из ГУГЛа'!$B:$Z,W$1,0)+Y592)*X592,VLOOKUP($A592,'Из ГУГЛа'!$B:$Z,W$1,0))</f>
        <v>269</v>
      </c>
      <c r="X592" s="61">
        <v>1</v>
      </c>
      <c r="Y592" s="61">
        <v>0</v>
      </c>
      <c r="Z592" s="60">
        <v>269</v>
      </c>
      <c r="AA592" s="60" t="s">
        <v>1552</v>
      </c>
    </row>
    <row r="593" spans="1:27" ht="30" x14ac:dyDescent="0.25">
      <c r="A593" s="52">
        <v>201817</v>
      </c>
      <c r="B593" s="52">
        <f>VLOOKUP($A593,'Выгр Кат'!$A:$R,B$1,0)</f>
        <v>31112</v>
      </c>
      <c r="C593" s="53" t="str">
        <f>VLOOKUP($A593,'Выгр Кат'!$A:$R,C$1,0)</f>
        <v>Проушина буксирная "АвтоВАЗ" задняя, в сборе для Лада Веста</v>
      </c>
      <c r="D593" s="52" t="str">
        <f>VLOOKUP($A593,'Выгр Кат'!$A:$R,D$1,0)</f>
        <v>Y</v>
      </c>
      <c r="E593" s="52" t="str">
        <f>VLOOKUP($A593,'Выгр Кат'!$A:$R,E$1,0)</f>
        <v>1</v>
      </c>
      <c r="F593" s="52" t="str">
        <f>VLOOKUP($A593,'Выгр Кат'!$A:$R,F$1,0)</f>
        <v>8450105292</v>
      </c>
      <c r="G593" s="52" t="str">
        <f>IF(VLOOKUP($A593,'Выгр Кат'!$A:$R,G$1,0)=0,"",VLOOKUP($A593,'Выгр Кат'!$A:$R,G$1,0))</f>
        <v/>
      </c>
      <c r="H593" s="52"/>
      <c r="I593" s="52"/>
      <c r="J593" s="54">
        <f t="shared" si="152"/>
        <v>1154</v>
      </c>
      <c r="K593" s="55">
        <f>VLOOKUP(J593,Наценка!$A$1:$B$8,2,1)</f>
        <v>1.5</v>
      </c>
      <c r="L593" s="56">
        <f t="shared" si="153"/>
        <v>1731</v>
      </c>
      <c r="M593" s="57">
        <f t="shared" si="154"/>
        <v>1790</v>
      </c>
      <c r="N593" s="52">
        <f>VLOOKUP($A593,'Выгр Кат'!$A:$R,N$1,0)</f>
        <v>1154</v>
      </c>
      <c r="O593" s="52">
        <f>VLOOKUP($A593,'Выгр Кат'!$A:$R,O$1,0)</f>
        <v>1790</v>
      </c>
      <c r="P593" s="47">
        <f t="shared" si="155"/>
        <v>0</v>
      </c>
      <c r="Q593" s="47">
        <f t="shared" si="156"/>
        <v>0</v>
      </c>
      <c r="R593" s="58">
        <f t="shared" si="157"/>
        <v>1790</v>
      </c>
      <c r="S593" s="59">
        <f t="shared" si="158"/>
        <v>0.55112651646447142</v>
      </c>
      <c r="T593" s="59" t="str">
        <f t="shared" si="159"/>
        <v/>
      </c>
      <c r="U593" s="59" t="str">
        <f t="shared" si="160"/>
        <v/>
      </c>
      <c r="V593" s="60"/>
      <c r="W593" s="69" t="str">
        <f>IFERROR((VLOOKUP($A593,'Из ГУГЛа'!$B:$Z,W$1,0)+Y593)*X593,VLOOKUP($A593,'Из ГУГЛа'!$B:$Z,W$1,0))</f>
        <v/>
      </c>
      <c r="X593" s="61">
        <v>1</v>
      </c>
      <c r="Y593" s="61">
        <v>0</v>
      </c>
      <c r="Z593" s="60" t="s">
        <v>4170</v>
      </c>
      <c r="AA593" s="60"/>
    </row>
    <row r="594" spans="1:27" ht="45" x14ac:dyDescent="0.25">
      <c r="A594" s="52">
        <v>201818</v>
      </c>
      <c r="B594" s="52">
        <f>VLOOKUP($A594,'Выгр Кат'!$A:$R,B$1,0)</f>
        <v>32727</v>
      </c>
      <c r="C594" s="53" t="str">
        <f>VLOOKUP($A594,'Выгр Кат'!$A:$R,C$1,0)</f>
        <v>Проушина буксирная (катафорез) "АвтоВАЗ" задняя, в сборе для Лада Веста</v>
      </c>
      <c r="D594" s="52" t="str">
        <f>VLOOKUP($A594,'Выгр Кат'!$A:$R,D$1,0)</f>
        <v>Y</v>
      </c>
      <c r="E594" s="52" t="str">
        <f>VLOOKUP($A594,'Выгр Кат'!$A:$R,E$1,0)</f>
        <v>1</v>
      </c>
      <c r="F594" s="52" t="str">
        <f>VLOOKUP($A594,'Выгр Кат'!$A:$R,F$1,0)</f>
        <v>8450039319</v>
      </c>
      <c r="G594" s="52" t="str">
        <f>IF(VLOOKUP($A594,'Выгр Кат'!$A:$R,G$1,0)=0,"",VLOOKUP($A594,'Выгр Кат'!$A:$R,G$1,0))</f>
        <v>https://motorring.ru/product/36832-proushina-buksirovochnaya-zadnyaya-sbore-dlya-lada-vesta</v>
      </c>
      <c r="H594" s="52"/>
      <c r="I594" s="52"/>
      <c r="J594" s="54">
        <f t="shared" si="152"/>
        <v>1214</v>
      </c>
      <c r="K594" s="55">
        <f>VLOOKUP(J594,Наценка!$A$1:$B$8,2,1)</f>
        <v>1.5</v>
      </c>
      <c r="L594" s="56">
        <f t="shared" si="153"/>
        <v>1821</v>
      </c>
      <c r="M594" s="57">
        <f t="shared" si="154"/>
        <v>1890</v>
      </c>
      <c r="N594" s="52">
        <f>VLOOKUP($A594,'Выгр Кат'!$A:$R,N$1,0)</f>
        <v>1214</v>
      </c>
      <c r="O594" s="52">
        <f>VLOOKUP($A594,'Выгр Кат'!$A:$R,O$1,0)</f>
        <v>1890</v>
      </c>
      <c r="P594" s="47">
        <f t="shared" si="155"/>
        <v>0</v>
      </c>
      <c r="Q594" s="47">
        <f t="shared" si="156"/>
        <v>0</v>
      </c>
      <c r="R594" s="58">
        <f t="shared" si="157"/>
        <v>1890</v>
      </c>
      <c r="S594" s="59">
        <f t="shared" si="158"/>
        <v>0.55683690280065901</v>
      </c>
      <c r="T594" s="59">
        <f t="shared" si="159"/>
        <v>-0.35971223021582732</v>
      </c>
      <c r="U594" s="59">
        <f t="shared" si="160"/>
        <v>0.14497528830313011</v>
      </c>
      <c r="V594" s="42">
        <f>Z594</f>
        <v>1390</v>
      </c>
      <c r="W594" s="69">
        <f>IFERROR((VLOOKUP($A594,'Из ГУГЛа'!$B:$Z,W$1,0)+Y594)*X594,VLOOKUP($A594,'Из ГУГЛа'!$B:$Z,W$1,0))</f>
        <v>1390</v>
      </c>
      <c r="X594" s="61">
        <v>1</v>
      </c>
      <c r="Y594" s="61">
        <v>0</v>
      </c>
      <c r="Z594" s="70">
        <v>1390</v>
      </c>
      <c r="AA594" s="60" t="s">
        <v>1562</v>
      </c>
    </row>
    <row r="595" spans="1:27" ht="45" x14ac:dyDescent="0.25">
      <c r="A595" s="52">
        <v>201820</v>
      </c>
      <c r="B595" s="52">
        <f>VLOOKUP($A595,'Выгр Кат'!$A:$R,B$1,0)</f>
        <v>31051</v>
      </c>
      <c r="C595" s="53" t="str">
        <f>VLOOKUP($A595,'Выгр Кат'!$A:$R,C$1,0)</f>
        <v>Профиль крыши продольный внутренний "Renault" задний правый для Лада Ларгус</v>
      </c>
      <c r="D595" s="52" t="str">
        <f>VLOOKUP($A595,'Выгр Кат'!$A:$R,D$1,0)</f>
        <v>Y</v>
      </c>
      <c r="E595" s="52" t="str">
        <f>VLOOKUP($A595,'Выгр Кат'!$A:$R,E$1,0)</f>
        <v>1</v>
      </c>
      <c r="F595" s="52" t="str">
        <f>VLOOKUP($A595,'Выгр Кат'!$A:$R,F$1,0)</f>
        <v>6001548815</v>
      </c>
      <c r="G595" s="52" t="str">
        <f>IF(VLOOKUP($A595,'Выгр Кат'!$A:$R,G$1,0)=0,"",VLOOKUP($A595,'Выгр Кат'!$A:$R,G$1,0))</f>
        <v/>
      </c>
      <c r="H595" s="52"/>
      <c r="I595" s="52"/>
      <c r="J595" s="54">
        <f t="shared" si="152"/>
        <v>343</v>
      </c>
      <c r="K595" s="55">
        <f>VLOOKUP(J595,Наценка!$A$1:$B$8,2,1)</f>
        <v>1.6</v>
      </c>
      <c r="L595" s="56">
        <f t="shared" si="153"/>
        <v>548.80000000000007</v>
      </c>
      <c r="M595" s="57">
        <f t="shared" si="154"/>
        <v>549</v>
      </c>
      <c r="N595" s="52">
        <f>VLOOKUP($A595,'Выгр Кат'!$A:$R,N$1,0)</f>
        <v>343</v>
      </c>
      <c r="O595" s="52">
        <f>VLOOKUP($A595,'Выгр Кат'!$A:$R,O$1,0)</f>
        <v>549</v>
      </c>
      <c r="P595" s="47">
        <f t="shared" si="155"/>
        <v>0</v>
      </c>
      <c r="Q595" s="47">
        <f t="shared" si="156"/>
        <v>0</v>
      </c>
      <c r="R595" s="58">
        <f t="shared" si="157"/>
        <v>549</v>
      </c>
      <c r="S595" s="59">
        <f t="shared" si="158"/>
        <v>0.60058309037900881</v>
      </c>
      <c r="T595" s="59" t="str">
        <f t="shared" si="159"/>
        <v/>
      </c>
      <c r="U595" s="59" t="str">
        <f t="shared" si="160"/>
        <v/>
      </c>
      <c r="V595" s="60"/>
      <c r="W595" s="69" t="str">
        <f>IFERROR((VLOOKUP($A595,'Из ГУГЛа'!$B:$Z,W$1,0)+Y595)*X595,VLOOKUP($A595,'Из ГУГЛа'!$B:$Z,W$1,0))</f>
        <v/>
      </c>
      <c r="X595" s="61">
        <v>1</v>
      </c>
      <c r="Y595" s="61">
        <v>0</v>
      </c>
      <c r="Z595" s="60" t="s">
        <v>4170</v>
      </c>
      <c r="AA595" s="60"/>
    </row>
    <row r="596" spans="1:27" ht="30" x14ac:dyDescent="0.25">
      <c r="A596" s="52">
        <v>202571</v>
      </c>
      <c r="B596" s="52">
        <f>VLOOKUP($A596,'Выгр Кат'!$A:$R,B$1,0)</f>
        <v>31408</v>
      </c>
      <c r="C596" s="53" t="str">
        <f>VLOOKUP($A596,'Выгр Кат'!$A:$R,C$1,0)</f>
        <v>Рама ветрового окна (катафорез) "АвтоВАЗ" для ВАЗ 2110-2112</v>
      </c>
      <c r="D596" s="52" t="str">
        <f>VLOOKUP($A596,'Выгр Кат'!$A:$R,D$1,0)</f>
        <v>Y</v>
      </c>
      <c r="E596" s="52" t="str">
        <f>VLOOKUP($A596,'Выгр Кат'!$A:$R,E$1,0)</f>
        <v>1</v>
      </c>
      <c r="F596" s="52" t="str">
        <f>VLOOKUP($A596,'Выгр Кат'!$A:$R,F$1,0)</f>
        <v>21100520101010</v>
      </c>
      <c r="G596" s="52" t="str">
        <f>IF(VLOOKUP($A596,'Выгр Кат'!$A:$R,G$1,0)=0,"",VLOOKUP($A596,'Выгр Кат'!$A:$R,G$1,0))</f>
        <v>https://motorring.ru/product/756-rama-vetrovogo-okna-kataforeznym-pokrytiem-dlya-vaz-2110</v>
      </c>
      <c r="H596" s="52"/>
      <c r="I596" s="52"/>
      <c r="J596" s="54">
        <f t="shared" si="152"/>
        <v>2407</v>
      </c>
      <c r="K596" s="55">
        <f>VLOOKUP(J596,Наценка!$A$1:$B$8,2,1)</f>
        <v>1.4</v>
      </c>
      <c r="L596" s="56">
        <f t="shared" si="153"/>
        <v>3369.7999999999997</v>
      </c>
      <c r="M596" s="57">
        <f t="shared" si="154"/>
        <v>3390</v>
      </c>
      <c r="N596" s="52">
        <f>VLOOKUP($A596,'Выгр Кат'!$A:$R,N$1,0)</f>
        <v>2407</v>
      </c>
      <c r="O596" s="52">
        <f>VLOOKUP($A596,'Выгр Кат'!$A:$R,O$1,0)</f>
        <v>3390</v>
      </c>
      <c r="P596" s="47">
        <f t="shared" si="155"/>
        <v>0</v>
      </c>
      <c r="Q596" s="47">
        <f t="shared" si="156"/>
        <v>0</v>
      </c>
      <c r="R596" s="58">
        <f t="shared" si="157"/>
        <v>3390</v>
      </c>
      <c r="S596" s="59">
        <f t="shared" si="158"/>
        <v>0.40839218944744493</v>
      </c>
      <c r="T596" s="59">
        <f t="shared" si="159"/>
        <v>0</v>
      </c>
      <c r="U596" s="59">
        <f t="shared" si="160"/>
        <v>0.40839218944744493</v>
      </c>
      <c r="V596" s="42">
        <f t="shared" ref="V596:V597" si="165">Z596</f>
        <v>3390</v>
      </c>
      <c r="W596" s="69">
        <f>IFERROR((VLOOKUP($A596,'Из ГУГЛа'!$B:$Z,W$1,0)+Y596)*X596,VLOOKUP($A596,'Из ГУГЛа'!$B:$Z,W$1,0))</f>
        <v>3390</v>
      </c>
      <c r="X596" s="61">
        <v>1</v>
      </c>
      <c r="Y596" s="61">
        <v>0</v>
      </c>
      <c r="Z596" s="70">
        <v>3390</v>
      </c>
      <c r="AA596" s="60" t="s">
        <v>1567</v>
      </c>
    </row>
    <row r="597" spans="1:27" ht="45" x14ac:dyDescent="0.25">
      <c r="A597" s="52">
        <v>202572</v>
      </c>
      <c r="B597" s="52">
        <f>VLOOKUP($A597,'Выгр Кат'!$A:$R,B$1,0)</f>
        <v>31233</v>
      </c>
      <c r="C597" s="53" t="str">
        <f>VLOOKUP($A597,'Выгр Кат'!$A:$R,C$1,0)</f>
        <v>Рама ветрового окна в сборе (катафорез) "АвтоВАЗ" для Лада Приора, Приора 2</v>
      </c>
      <c r="D597" s="52" t="str">
        <f>VLOOKUP($A597,'Выгр Кат'!$A:$R,D$1,0)</f>
        <v>Y</v>
      </c>
      <c r="E597" s="52" t="str">
        <f>VLOOKUP($A597,'Выгр Кат'!$A:$R,E$1,0)</f>
        <v>1ск1</v>
      </c>
      <c r="F597" s="52" t="str">
        <f>VLOOKUP($A597,'Выгр Кат'!$A:$R,F$1,0)</f>
        <v>21700520101010</v>
      </c>
      <c r="G597" s="52" t="str">
        <f>IF(VLOOKUP($A597,'Выгр Кат'!$A:$R,G$1,0)=0,"",VLOOKUP($A597,'Выгр Кат'!$A:$R,G$1,0))</f>
        <v>https://motorring.ru/product/15496-rama-vetrovogo-okna-sbore-kataforeznoe-pokrytie-priora</v>
      </c>
      <c r="H597" s="52"/>
      <c r="I597" s="52"/>
      <c r="J597" s="54">
        <f t="shared" si="152"/>
        <v>3188</v>
      </c>
      <c r="K597" s="55">
        <f>VLOOKUP(J597,Наценка!$A$1:$B$8,2,1)</f>
        <v>1.4</v>
      </c>
      <c r="L597" s="56">
        <f t="shared" si="153"/>
        <v>4463.2</v>
      </c>
      <c r="M597" s="57">
        <f t="shared" si="154"/>
        <v>4490</v>
      </c>
      <c r="N597" s="52">
        <f>VLOOKUP($A597,'Выгр Кат'!$A:$R,N$1,0)</f>
        <v>3188</v>
      </c>
      <c r="O597" s="52">
        <f>VLOOKUP($A597,'Выгр Кат'!$A:$R,O$1,0)</f>
        <v>4490</v>
      </c>
      <c r="P597" s="47">
        <f t="shared" si="155"/>
        <v>0</v>
      </c>
      <c r="Q597" s="47">
        <f t="shared" si="156"/>
        <v>0</v>
      </c>
      <c r="R597" s="58">
        <f t="shared" si="157"/>
        <v>4490</v>
      </c>
      <c r="S597" s="59">
        <f t="shared" si="158"/>
        <v>0.4084065244667503</v>
      </c>
      <c r="T597" s="59">
        <f t="shared" si="159"/>
        <v>4.2643923240938165E-2</v>
      </c>
      <c r="U597" s="59">
        <f t="shared" si="160"/>
        <v>0.47114178168130483</v>
      </c>
      <c r="V597" s="42">
        <f t="shared" si="165"/>
        <v>4690</v>
      </c>
      <c r="W597" s="69">
        <f>IFERROR((VLOOKUP($A597,'Из ГУГЛа'!$B:$Z,W$1,0)+Y597)*X597,VLOOKUP($A597,'Из ГУГЛа'!$B:$Z,W$1,0))</f>
        <v>4690</v>
      </c>
      <c r="X597" s="61">
        <v>1</v>
      </c>
      <c r="Y597" s="61">
        <v>0</v>
      </c>
      <c r="Z597" s="70">
        <v>4690</v>
      </c>
      <c r="AA597" s="60" t="s">
        <v>1570</v>
      </c>
    </row>
    <row r="598" spans="1:27" ht="30" x14ac:dyDescent="0.25">
      <c r="A598" s="52">
        <v>202575</v>
      </c>
      <c r="B598" s="52">
        <f>VLOOKUP($A598,'Выгр Кат'!$A:$R,B$1,0)</f>
        <v>32751</v>
      </c>
      <c r="C598" s="53" t="str">
        <f>VLOOKUP($A598,'Выгр Кат'!$A:$R,C$1,0)</f>
        <v>Рамка дополнительная задней левой двери "АвтоВАЗ" для Лада XRAY</v>
      </c>
      <c r="D598" s="52" t="str">
        <f>VLOOKUP($A598,'Выгр Кат'!$A:$R,D$1,0)</f>
        <v>Y</v>
      </c>
      <c r="E598" s="52" t="str">
        <f>VLOOKUP($A598,'Выгр Кат'!$A:$R,E$1,0)</f>
        <v>1</v>
      </c>
      <c r="F598" s="52" t="str">
        <f>VLOOKUP($A598,'Выгр Кат'!$A:$R,F$1,0)</f>
        <v>822171246R</v>
      </c>
      <c r="G598" s="52" t="str">
        <f>IF(VLOOKUP($A598,'Выгр Кат'!$A:$R,G$1,0)=0,"",VLOOKUP($A598,'Выгр Кат'!$A:$R,G$1,0))</f>
        <v/>
      </c>
      <c r="H598" s="52"/>
      <c r="I598" s="52"/>
      <c r="J598" s="54">
        <f t="shared" si="152"/>
        <v>383</v>
      </c>
      <c r="K598" s="55">
        <f>VLOOKUP(J598,Наценка!$A$1:$B$8,2,1)</f>
        <v>1.6</v>
      </c>
      <c r="L598" s="56">
        <f t="shared" si="153"/>
        <v>612.80000000000007</v>
      </c>
      <c r="M598" s="57">
        <f t="shared" si="154"/>
        <v>619</v>
      </c>
      <c r="N598" s="52">
        <f>VLOOKUP($A598,'Выгр Кат'!$A:$R,N$1,0)</f>
        <v>383</v>
      </c>
      <c r="O598" s="52">
        <f>VLOOKUP($A598,'Выгр Кат'!$A:$R,O$1,0)</f>
        <v>619</v>
      </c>
      <c r="P598" s="47">
        <f t="shared" si="155"/>
        <v>0</v>
      </c>
      <c r="Q598" s="47">
        <f t="shared" si="156"/>
        <v>0</v>
      </c>
      <c r="R598" s="58">
        <f t="shared" si="157"/>
        <v>619</v>
      </c>
      <c r="S598" s="59">
        <f t="shared" si="158"/>
        <v>0.61618798955613574</v>
      </c>
      <c r="T598" s="59" t="str">
        <f t="shared" si="159"/>
        <v/>
      </c>
      <c r="U598" s="59" t="str">
        <f t="shared" si="160"/>
        <v/>
      </c>
      <c r="V598" s="60"/>
      <c r="W598" s="69" t="str">
        <f>IFERROR((VLOOKUP($A598,'Из ГУГЛа'!$B:$Z,W$1,0)+Y598)*X598,VLOOKUP($A598,'Из ГУГЛа'!$B:$Z,W$1,0))</f>
        <v/>
      </c>
      <c r="X598" s="61">
        <v>1</v>
      </c>
      <c r="Y598" s="61">
        <v>0</v>
      </c>
      <c r="Z598" s="62" t="s">
        <v>4170</v>
      </c>
      <c r="AA598" s="60"/>
    </row>
    <row r="599" spans="1:27" ht="30" x14ac:dyDescent="0.25">
      <c r="A599" s="52">
        <v>202576</v>
      </c>
      <c r="B599" s="52">
        <f>VLOOKUP($A599,'Выгр Кат'!$A:$R,B$1,0)</f>
        <v>32750</v>
      </c>
      <c r="C599" s="53" t="str">
        <f>VLOOKUP($A599,'Выгр Кат'!$A:$R,C$1,0)</f>
        <v>Рамка дополнительная передняя "АвтоВАЗ" левая для Лада XRAY</v>
      </c>
      <c r="D599" s="52" t="str">
        <f>VLOOKUP($A599,'Выгр Кат'!$A:$R,D$1,0)</f>
        <v>Y</v>
      </c>
      <c r="E599" s="52" t="str">
        <f>VLOOKUP($A599,'Выгр Кат'!$A:$R,E$1,0)</f>
        <v>1</v>
      </c>
      <c r="F599" s="52" t="str">
        <f>VLOOKUP($A599,'Выгр Кат'!$A:$R,F$1,0)</f>
        <v>802171818R</v>
      </c>
      <c r="G599" s="52" t="str">
        <f>IF(VLOOKUP($A599,'Выгр Кат'!$A:$R,G$1,0)=0,"",VLOOKUP($A599,'Выгр Кат'!$A:$R,G$1,0))</f>
        <v/>
      </c>
      <c r="H599" s="52"/>
      <c r="I599" s="52"/>
      <c r="J599" s="54">
        <f t="shared" si="152"/>
        <v>578</v>
      </c>
      <c r="K599" s="55">
        <f>VLOOKUP(J599,Наценка!$A$1:$B$8,2,1)</f>
        <v>1.55</v>
      </c>
      <c r="L599" s="56">
        <f t="shared" si="153"/>
        <v>895.9</v>
      </c>
      <c r="M599" s="57">
        <f t="shared" si="154"/>
        <v>899</v>
      </c>
      <c r="N599" s="52">
        <f>VLOOKUP($A599,'Выгр Кат'!$A:$R,N$1,0)</f>
        <v>578</v>
      </c>
      <c r="O599" s="52">
        <f>VLOOKUP($A599,'Выгр Кат'!$A:$R,O$1,0)</f>
        <v>899</v>
      </c>
      <c r="P599" s="47">
        <f t="shared" si="155"/>
        <v>0</v>
      </c>
      <c r="Q599" s="47">
        <f t="shared" si="156"/>
        <v>0</v>
      </c>
      <c r="R599" s="58">
        <f t="shared" si="157"/>
        <v>899</v>
      </c>
      <c r="S599" s="59">
        <f t="shared" si="158"/>
        <v>0.55536332179930792</v>
      </c>
      <c r="T599" s="59" t="str">
        <f t="shared" si="159"/>
        <v/>
      </c>
      <c r="U599" s="59" t="str">
        <f t="shared" si="160"/>
        <v/>
      </c>
      <c r="V599" s="60"/>
      <c r="W599" s="69" t="str">
        <f>IFERROR((VLOOKUP($A599,'Из ГУГЛа'!$B:$Z,W$1,0)+Y599)*X599,VLOOKUP($A599,'Из ГУГЛа'!$B:$Z,W$1,0))</f>
        <v/>
      </c>
      <c r="X599" s="61">
        <v>1</v>
      </c>
      <c r="Y599" s="61">
        <v>0</v>
      </c>
      <c r="Z599" s="62" t="s">
        <v>4170</v>
      </c>
      <c r="AA599" s="60"/>
    </row>
    <row r="600" spans="1:27" ht="30" x14ac:dyDescent="0.25">
      <c r="A600" s="52">
        <v>202577</v>
      </c>
      <c r="B600" s="52">
        <f>VLOOKUP($A600,'Выгр Кат'!$A:$R,B$1,0)</f>
        <v>31082</v>
      </c>
      <c r="C600" s="53" t="str">
        <f>VLOOKUP($A600,'Выгр Кат'!$A:$R,C$1,0)</f>
        <v>Рамка защиты радиатора "АвтоВАЗ" для Лада XRAY Cross</v>
      </c>
      <c r="D600" s="52" t="str">
        <f>VLOOKUP($A600,'Выгр Кат'!$A:$R,D$1,0)</f>
        <v>Y</v>
      </c>
      <c r="E600" s="52" t="str">
        <f>VLOOKUP($A600,'Выгр Кат'!$A:$R,E$1,0)</f>
        <v>1</v>
      </c>
      <c r="F600" s="52" t="str">
        <f>VLOOKUP($A600,'Выгр Кат'!$A:$R,F$1,0)</f>
        <v>8450106586</v>
      </c>
      <c r="G600" s="52" t="str">
        <f>IF(VLOOKUP($A600,'Выгр Кат'!$A:$R,G$1,0)=0,"",VLOOKUP($A600,'Выгр Кат'!$A:$R,G$1,0))</f>
        <v/>
      </c>
      <c r="H600" s="52"/>
      <c r="I600" s="52"/>
      <c r="J600" s="54">
        <f t="shared" si="152"/>
        <v>1702</v>
      </c>
      <c r="K600" s="55">
        <f>VLOOKUP(J600,Наценка!$A$1:$B$8,2,1)</f>
        <v>1.5</v>
      </c>
      <c r="L600" s="56">
        <f t="shared" si="153"/>
        <v>2553</v>
      </c>
      <c r="M600" s="57">
        <f t="shared" si="154"/>
        <v>2590</v>
      </c>
      <c r="N600" s="52">
        <f>VLOOKUP($A600,'Выгр Кат'!$A:$R,N$1,0)</f>
        <v>1702</v>
      </c>
      <c r="O600" s="52">
        <f>VLOOKUP($A600,'Выгр Кат'!$A:$R,O$1,0)</f>
        <v>2590</v>
      </c>
      <c r="P600" s="47">
        <f t="shared" si="155"/>
        <v>0</v>
      </c>
      <c r="Q600" s="47">
        <f t="shared" si="156"/>
        <v>0</v>
      </c>
      <c r="R600" s="58">
        <f t="shared" si="157"/>
        <v>2590</v>
      </c>
      <c r="S600" s="59">
        <f t="shared" si="158"/>
        <v>0.52173913043478271</v>
      </c>
      <c r="T600" s="59" t="str">
        <f t="shared" si="159"/>
        <v/>
      </c>
      <c r="U600" s="59" t="str">
        <f t="shared" si="160"/>
        <v/>
      </c>
      <c r="V600" s="60"/>
      <c r="W600" s="69" t="str">
        <f>IFERROR((VLOOKUP($A600,'Из ГУГЛа'!$B:$Z,W$1,0)+Y600)*X600,VLOOKUP($A600,'Из ГУГЛа'!$B:$Z,W$1,0))</f>
        <v/>
      </c>
      <c r="X600" s="61">
        <v>1</v>
      </c>
      <c r="Y600" s="61">
        <v>0</v>
      </c>
      <c r="Z600" s="62" t="s">
        <v>4170</v>
      </c>
      <c r="AA600" s="60"/>
    </row>
    <row r="601" spans="1:27" ht="30" x14ac:dyDescent="0.25">
      <c r="A601" s="52">
        <v>202598</v>
      </c>
      <c r="B601" s="52">
        <f>VLOOKUP($A601,'Выгр Кат'!$A:$R,B$1,0)</f>
        <v>31445</v>
      </c>
      <c r="C601" s="53" t="str">
        <f>VLOOKUP($A601,'Выгр Кат'!$A:$R,C$1,0)</f>
        <v>Рамка люка горловины наливной "АвтоВАЗ" для Лада Калина хэтчбек</v>
      </c>
      <c r="D601" s="52" t="str">
        <f>VLOOKUP($A601,'Выгр Кат'!$A:$R,D$1,0)</f>
        <v>Y</v>
      </c>
      <c r="E601" s="52" t="str">
        <f>VLOOKUP($A601,'Выгр Кат'!$A:$R,E$1,0)</f>
        <v>1</v>
      </c>
      <c r="F601" s="52" t="str">
        <f>VLOOKUP($A601,'Выгр Кат'!$A:$R,F$1,0)</f>
        <v>11190840410100</v>
      </c>
      <c r="G601" s="52" t="str">
        <f>IF(VLOOKUP($A601,'Выгр Кат'!$A:$R,G$1,0)=0,"",VLOOKUP($A601,'Выгр Кат'!$A:$R,G$1,0))</f>
        <v/>
      </c>
      <c r="H601" s="52"/>
      <c r="I601" s="52"/>
      <c r="J601" s="54">
        <f t="shared" si="152"/>
        <v>163</v>
      </c>
      <c r="K601" s="55">
        <f>VLOOKUP(J601,Наценка!$A$1:$B$8,2,1)</f>
        <v>1.8</v>
      </c>
      <c r="L601" s="56">
        <f t="shared" si="153"/>
        <v>293.40000000000003</v>
      </c>
      <c r="M601" s="57">
        <f t="shared" si="154"/>
        <v>299</v>
      </c>
      <c r="N601" s="52">
        <f>VLOOKUP($A601,'Выгр Кат'!$A:$R,N$1,0)</f>
        <v>163</v>
      </c>
      <c r="O601" s="52">
        <f>VLOOKUP($A601,'Выгр Кат'!$A:$R,O$1,0)</f>
        <v>299</v>
      </c>
      <c r="P601" s="47">
        <f t="shared" si="155"/>
        <v>0</v>
      </c>
      <c r="Q601" s="47">
        <f t="shared" si="156"/>
        <v>0</v>
      </c>
      <c r="R601" s="58">
        <f t="shared" si="157"/>
        <v>299</v>
      </c>
      <c r="S601" s="59">
        <f t="shared" si="158"/>
        <v>0.83435582822085896</v>
      </c>
      <c r="T601" s="59" t="str">
        <f t="shared" si="159"/>
        <v/>
      </c>
      <c r="U601" s="59" t="str">
        <f t="shared" si="160"/>
        <v/>
      </c>
      <c r="V601" s="60"/>
      <c r="W601" s="69" t="str">
        <f>IFERROR((VLOOKUP($A601,'Из ГУГЛа'!$B:$Z,W$1,0)+Y601)*X601,VLOOKUP($A601,'Из ГУГЛа'!$B:$Z,W$1,0))</f>
        <v/>
      </c>
      <c r="X601" s="61">
        <v>1</v>
      </c>
      <c r="Y601" s="61">
        <v>0</v>
      </c>
      <c r="Z601" s="60" t="s">
        <v>4170</v>
      </c>
      <c r="AA601" s="60"/>
    </row>
    <row r="602" spans="1:27" ht="45" x14ac:dyDescent="0.25">
      <c r="A602" s="52">
        <v>202599</v>
      </c>
      <c r="B602" s="52">
        <f>VLOOKUP($A602,'Выгр Кат'!$A:$R,B$1,0)</f>
        <v>31234</v>
      </c>
      <c r="C602" s="53" t="str">
        <f>VLOOKUP($A602,'Выгр Кат'!$A:$R,C$1,0)</f>
        <v>Рамка люка наливной горловины топливного бака в сборе "АвтоВАЗ" для Лада Нива 4x4</v>
      </c>
      <c r="D602" s="52" t="str">
        <f>VLOOKUP($A602,'Выгр Кат'!$A:$R,D$1,0)</f>
        <v>Y</v>
      </c>
      <c r="E602" s="52" t="str">
        <f>VLOOKUP($A602,'Выгр Кат'!$A:$R,E$1,0)</f>
        <v>1ск1</v>
      </c>
      <c r="F602" s="52" t="str">
        <f>VLOOKUP($A602,'Выгр Кат'!$A:$R,F$1,0)</f>
        <v>21310541301610</v>
      </c>
      <c r="G602" s="52" t="str">
        <f>IF(VLOOKUP($A602,'Выгр Кат'!$A:$R,G$1,0)=0,"",VLOOKUP($A602,'Выгр Кат'!$A:$R,G$1,0))</f>
        <v/>
      </c>
      <c r="H602" s="52"/>
      <c r="I602" s="52"/>
      <c r="J602" s="54">
        <f t="shared" si="152"/>
        <v>840</v>
      </c>
      <c r="K602" s="55">
        <f>VLOOKUP(J602,Наценка!$A$1:$B$8,2,1)</f>
        <v>1.55</v>
      </c>
      <c r="L602" s="56">
        <f t="shared" si="153"/>
        <v>1302</v>
      </c>
      <c r="M602" s="57">
        <f t="shared" si="154"/>
        <v>1390</v>
      </c>
      <c r="N602" s="52">
        <f>VLOOKUP($A602,'Выгр Кат'!$A:$R,N$1,0)</f>
        <v>840</v>
      </c>
      <c r="O602" s="52">
        <f>VLOOKUP($A602,'Выгр Кат'!$A:$R,O$1,0)</f>
        <v>1390</v>
      </c>
      <c r="P602" s="47">
        <f t="shared" si="155"/>
        <v>0</v>
      </c>
      <c r="Q602" s="47">
        <f t="shared" si="156"/>
        <v>0</v>
      </c>
      <c r="R602" s="58">
        <f t="shared" si="157"/>
        <v>1390</v>
      </c>
      <c r="S602" s="59">
        <f t="shared" si="158"/>
        <v>0.65476190476190466</v>
      </c>
      <c r="T602" s="59" t="str">
        <f t="shared" si="159"/>
        <v/>
      </c>
      <c r="U602" s="59" t="str">
        <f t="shared" si="160"/>
        <v/>
      </c>
      <c r="V602" s="60"/>
      <c r="W602" s="69" t="str">
        <f>IFERROR((VLOOKUP($A602,'Из ГУГЛа'!$B:$Z,W$1,0)+Y602)*X602,VLOOKUP($A602,'Из ГУГЛа'!$B:$Z,W$1,0))</f>
        <v/>
      </c>
      <c r="X602" s="61">
        <v>1</v>
      </c>
      <c r="Y602" s="61">
        <v>0</v>
      </c>
      <c r="Z602" s="60" t="s">
        <v>4170</v>
      </c>
      <c r="AA602" s="60"/>
    </row>
    <row r="603" spans="1:27" ht="45" x14ac:dyDescent="0.25">
      <c r="A603" s="52">
        <v>202611</v>
      </c>
      <c r="B603" s="52">
        <f>VLOOKUP($A603,'Выгр Кат'!$A:$R,B$1,0)</f>
        <v>31142</v>
      </c>
      <c r="C603" s="53" t="str">
        <f>VLOOKUP($A603,'Выгр Кат'!$A:$R,C$1,0)</f>
        <v>Рамка поясничной опоры переднего сиденья (левого) "АвтоВАЗ" для Лада Веста</v>
      </c>
      <c r="D603" s="52" t="str">
        <f>VLOOKUP($A603,'Выгр Кат'!$A:$R,D$1,0)</f>
        <v>Y</v>
      </c>
      <c r="E603" s="52" t="str">
        <f>VLOOKUP($A603,'Выгр Кат'!$A:$R,E$1,0)</f>
        <v>1</v>
      </c>
      <c r="F603" s="52" t="str">
        <f>VLOOKUP($A603,'Выгр Кат'!$A:$R,F$1,0)</f>
        <v>8450102187</v>
      </c>
      <c r="G603" s="52" t="str">
        <f>IF(VLOOKUP($A603,'Выгр Кат'!$A:$R,G$1,0)=0,"",VLOOKUP($A603,'Выгр Кат'!$A:$R,G$1,0))</f>
        <v/>
      </c>
      <c r="H603" s="52"/>
      <c r="I603" s="52"/>
      <c r="J603" s="54">
        <f t="shared" si="152"/>
        <v>135</v>
      </c>
      <c r="K603" s="55">
        <f>VLOOKUP(J603,Наценка!$A$1:$B$8,2,1)</f>
        <v>1.8</v>
      </c>
      <c r="L603" s="56">
        <f t="shared" si="153"/>
        <v>243</v>
      </c>
      <c r="M603" s="57">
        <f t="shared" si="154"/>
        <v>249</v>
      </c>
      <c r="N603" s="52">
        <f>VLOOKUP($A603,'Выгр Кат'!$A:$R,N$1,0)</f>
        <v>135</v>
      </c>
      <c r="O603" s="52">
        <f>VLOOKUP($A603,'Выгр Кат'!$A:$R,O$1,0)</f>
        <v>249</v>
      </c>
      <c r="P603" s="47">
        <f t="shared" si="155"/>
        <v>0</v>
      </c>
      <c r="Q603" s="47">
        <f t="shared" si="156"/>
        <v>0</v>
      </c>
      <c r="R603" s="58">
        <f t="shared" si="157"/>
        <v>249</v>
      </c>
      <c r="S603" s="59">
        <f t="shared" si="158"/>
        <v>0.84444444444444455</v>
      </c>
      <c r="T603" s="59" t="str">
        <f t="shared" si="159"/>
        <v/>
      </c>
      <c r="U603" s="59" t="str">
        <f t="shared" si="160"/>
        <v/>
      </c>
      <c r="V603" s="60"/>
      <c r="W603" s="69" t="str">
        <f>IFERROR((VLOOKUP($A603,'Из ГУГЛа'!$B:$Z,W$1,0)+Y603)*X603,VLOOKUP($A603,'Из ГУГЛа'!$B:$Z,W$1,0))</f>
        <v/>
      </c>
      <c r="X603" s="61">
        <v>1</v>
      </c>
      <c r="Y603" s="61">
        <v>0</v>
      </c>
      <c r="Z603" s="60" t="s">
        <v>4170</v>
      </c>
      <c r="AA603" s="60"/>
    </row>
    <row r="604" spans="1:27" ht="45" x14ac:dyDescent="0.25">
      <c r="A604" s="52">
        <v>202625</v>
      </c>
      <c r="B604" s="52">
        <f>VLOOKUP($A604,'Выгр Кат'!$A:$R,B$1,0)</f>
        <v>19349</v>
      </c>
      <c r="C604" s="53" t="str">
        <f>VLOOKUP($A604,'Выгр Кат'!$A:$R,C$1,0)</f>
        <v>Рамка радиатора "АвтоВАЗ" (катафорезное покрытие) для Лада Гранта FL (с 2018 г. в.)</v>
      </c>
      <c r="D604" s="52" t="str">
        <f>VLOOKUP($A604,'Выгр Кат'!$A:$R,D$1,0)</f>
        <v>Y</v>
      </c>
      <c r="E604" s="52" t="str">
        <f>VLOOKUP($A604,'Выгр Кат'!$A:$R,E$1,0)</f>
        <v>1ск1</v>
      </c>
      <c r="F604" s="52" t="str">
        <f>VLOOKUP($A604,'Выгр Кат'!$A:$R,F$1,0)</f>
        <v>8450104959</v>
      </c>
      <c r="G604" s="52" t="str">
        <f>IF(VLOOKUP($A604,'Выгр Кат'!$A:$R,G$1,0)=0,"",VLOOKUP($A604,'Выгр Кат'!$A:$R,G$1,0))</f>
        <v/>
      </c>
      <c r="H604" s="52"/>
      <c r="I604" s="52"/>
      <c r="J604" s="54">
        <f t="shared" si="152"/>
        <v>7037</v>
      </c>
      <c r="K604" s="55">
        <f>VLOOKUP(J604,Наценка!$A$1:$B$8,2,1)</f>
        <v>1.35</v>
      </c>
      <c r="L604" s="56">
        <f t="shared" si="153"/>
        <v>9499.9500000000007</v>
      </c>
      <c r="M604" s="57">
        <f t="shared" si="154"/>
        <v>9490</v>
      </c>
      <c r="N604" s="52">
        <f>VLOOKUP($A604,'Выгр Кат'!$A:$R,N$1,0)</f>
        <v>7037</v>
      </c>
      <c r="O604" s="52">
        <f>VLOOKUP($A604,'Выгр Кат'!$A:$R,O$1,0)</f>
        <v>9890</v>
      </c>
      <c r="P604" s="47">
        <f t="shared" si="155"/>
        <v>0</v>
      </c>
      <c r="Q604" s="47">
        <f t="shared" si="156"/>
        <v>400</v>
      </c>
      <c r="R604" s="58">
        <f t="shared" si="157"/>
        <v>9490</v>
      </c>
      <c r="S604" s="59">
        <f t="shared" si="158"/>
        <v>0.34858604518971159</v>
      </c>
      <c r="T604" s="59" t="str">
        <f t="shared" si="159"/>
        <v/>
      </c>
      <c r="U604" s="59" t="str">
        <f t="shared" si="160"/>
        <v/>
      </c>
      <c r="V604" s="60"/>
      <c r="W604" s="69" t="str">
        <f>IFERROR((VLOOKUP($A604,'Из ГУГЛа'!$B:$Z,W$1,0)+Y604)*X604,VLOOKUP($A604,'Из ГУГЛа'!$B:$Z,W$1,0))</f>
        <v/>
      </c>
      <c r="X604" s="61">
        <v>1</v>
      </c>
      <c r="Y604" s="61">
        <v>0</v>
      </c>
      <c r="Z604" s="60" t="s">
        <v>4170</v>
      </c>
      <c r="AA604" s="60"/>
    </row>
    <row r="605" spans="1:27" ht="30" x14ac:dyDescent="0.25">
      <c r="A605" s="52">
        <v>202612</v>
      </c>
      <c r="B605" s="52">
        <f>VLOOKUP($A605,'Выгр Кат'!$A:$R,B$1,0)</f>
        <v>51507</v>
      </c>
      <c r="C605" s="53" t="str">
        <f>VLOOKUP($A605,'Выгр Кат'!$A:$R,C$1,0)</f>
        <v>Рамка радиатора "АвтоВАЗ" в сборе для Лада Ларгус FL</v>
      </c>
      <c r="D605" s="52" t="str">
        <f>VLOOKUP($A605,'Выгр Кат'!$A:$R,D$1,0)</f>
        <v>Y</v>
      </c>
      <c r="E605" s="52" t="str">
        <f>VLOOKUP($A605,'Выгр Кат'!$A:$R,E$1,0)</f>
        <v>1</v>
      </c>
      <c r="F605" s="52" t="str">
        <f>VLOOKUP($A605,'Выгр Кат'!$A:$R,F$1,0)</f>
        <v>8450013061</v>
      </c>
      <c r="G605" s="52" t="str">
        <f>IF(VLOOKUP($A605,'Выгр Кат'!$A:$R,G$1,0)=0,"",VLOOKUP($A605,'Выгр Кат'!$A:$R,G$1,0))</f>
        <v>https://motorring.ru/product/38243-ramka-radiatora-sbore-dlya-lada-largus</v>
      </c>
      <c r="H605" s="52"/>
      <c r="I605" s="52"/>
      <c r="J605" s="54">
        <f t="shared" si="152"/>
        <v>5626.55</v>
      </c>
      <c r="K605" s="55">
        <f>VLOOKUP(J605,Наценка!$A$1:$B$8,2,1)</f>
        <v>1.35</v>
      </c>
      <c r="L605" s="56">
        <f t="shared" si="153"/>
        <v>7595.8425000000007</v>
      </c>
      <c r="M605" s="57">
        <f t="shared" si="154"/>
        <v>7590</v>
      </c>
      <c r="N605" s="52">
        <f>VLOOKUP($A605,'Выгр Кат'!$A:$R,N$1,0)</f>
        <v>5626.55</v>
      </c>
      <c r="O605" s="52">
        <f>VLOOKUP($A605,'Выгр Кат'!$A:$R,O$1,0)</f>
        <v>7890</v>
      </c>
      <c r="P605" s="47">
        <f t="shared" si="155"/>
        <v>0</v>
      </c>
      <c r="Q605" s="47">
        <f t="shared" si="156"/>
        <v>300</v>
      </c>
      <c r="R605" s="58">
        <f t="shared" si="157"/>
        <v>7590</v>
      </c>
      <c r="S605" s="59">
        <f t="shared" si="158"/>
        <v>0.3489616194648586</v>
      </c>
      <c r="T605" s="59">
        <f t="shared" si="159"/>
        <v>6.1804697156983932E-2</v>
      </c>
      <c r="U605" s="59">
        <f t="shared" si="160"/>
        <v>0.43782602127413783</v>
      </c>
      <c r="V605" s="42">
        <f t="shared" ref="V605:V606" si="166">Z605</f>
        <v>8090</v>
      </c>
      <c r="W605" s="69">
        <f>IFERROR((VLOOKUP($A605,'Из ГУГЛа'!$B:$Z,W$1,0)+Y605)*X605,VLOOKUP($A605,'Из ГУГЛа'!$B:$Z,W$1,0))</f>
        <v>8090</v>
      </c>
      <c r="X605" s="61">
        <v>1</v>
      </c>
      <c r="Y605" s="61">
        <v>0</v>
      </c>
      <c r="Z605" s="70">
        <v>8090</v>
      </c>
      <c r="AA605" s="60" t="s">
        <v>1588</v>
      </c>
    </row>
    <row r="606" spans="1:27" ht="45" x14ac:dyDescent="0.25">
      <c r="A606" s="52">
        <v>202613</v>
      </c>
      <c r="B606" s="52">
        <f>VLOOKUP($A606,'Выгр Кат'!$A:$R,B$1,0)</f>
        <v>31302</v>
      </c>
      <c r="C606" s="53" t="str">
        <f>VLOOKUP($A606,'Выгр Кат'!$A:$R,C$1,0)</f>
        <v>Рамка радиатора "АвтоВАЗ" в сборе для Лада Нива 4x4 Урбан (с кондиционером)</v>
      </c>
      <c r="D606" s="52" t="str">
        <f>VLOOKUP($A606,'Выгр Кат'!$A:$R,D$1,0)</f>
        <v>Y</v>
      </c>
      <c r="E606" s="52" t="str">
        <f>VLOOKUP($A606,'Выгр Кат'!$A:$R,E$1,0)</f>
        <v>1</v>
      </c>
      <c r="F606" s="52" t="str">
        <f>VLOOKUP($A606,'Выгр Кат'!$A:$R,F$1,0)</f>
        <v>8450108929</v>
      </c>
      <c r="G606" s="52" t="str">
        <f>IF(VLOOKUP($A606,'Выгр Кат'!$A:$R,G$1,0)=0,"",VLOOKUP($A606,'Выгр Кат'!$A:$R,G$1,0))</f>
        <v>https://motorring.ru/product/15947-ramka-radiatora-kataforeznoe-pokrytie-lada-niva-4h4</v>
      </c>
      <c r="H606" s="52"/>
      <c r="I606" s="52"/>
      <c r="J606" s="54">
        <f t="shared" si="152"/>
        <v>2864</v>
      </c>
      <c r="K606" s="55">
        <f>VLOOKUP(J606,Наценка!$A$1:$B$8,2,1)</f>
        <v>1.4</v>
      </c>
      <c r="L606" s="56">
        <f t="shared" si="153"/>
        <v>4009.6</v>
      </c>
      <c r="M606" s="57">
        <f t="shared" si="154"/>
        <v>4090</v>
      </c>
      <c r="N606" s="52">
        <f>VLOOKUP($A606,'Выгр Кат'!$A:$R,N$1,0)</f>
        <v>2864</v>
      </c>
      <c r="O606" s="52">
        <f>VLOOKUP($A606,'Выгр Кат'!$A:$R,O$1,0)</f>
        <v>4090</v>
      </c>
      <c r="P606" s="47">
        <f t="shared" si="155"/>
        <v>0</v>
      </c>
      <c r="Q606" s="47">
        <f t="shared" si="156"/>
        <v>0</v>
      </c>
      <c r="R606" s="58">
        <f t="shared" si="157"/>
        <v>4090</v>
      </c>
      <c r="S606" s="59">
        <f t="shared" si="158"/>
        <v>0.42807262569832405</v>
      </c>
      <c r="T606" s="59">
        <f t="shared" si="159"/>
        <v>4.6620046620046623E-2</v>
      </c>
      <c r="U606" s="59">
        <f t="shared" si="160"/>
        <v>0.49790502793296088</v>
      </c>
      <c r="V606" s="42">
        <f t="shared" si="166"/>
        <v>4290</v>
      </c>
      <c r="W606" s="69">
        <f>IFERROR((VLOOKUP($A606,'Из ГУГЛа'!$B:$Z,W$1,0)+Y606)*X606,VLOOKUP($A606,'Из ГУГЛа'!$B:$Z,W$1,0))</f>
        <v>4290</v>
      </c>
      <c r="X606" s="61">
        <v>1</v>
      </c>
      <c r="Y606" s="61">
        <v>0</v>
      </c>
      <c r="Z606" s="70">
        <v>4290</v>
      </c>
      <c r="AA606" s="60" t="s">
        <v>1591</v>
      </c>
    </row>
    <row r="607" spans="1:27" ht="30" x14ac:dyDescent="0.25">
      <c r="A607" s="52">
        <v>202614</v>
      </c>
      <c r="B607" s="52">
        <f>VLOOKUP($A607,'Выгр Кат'!$A:$R,B$1,0)</f>
        <v>45980</v>
      </c>
      <c r="C607" s="53" t="str">
        <f>VLOOKUP($A607,'Выгр Кат'!$A:$R,C$1,0)</f>
        <v>Рамка радиатора "АвтоВАЗ" в сборе для Лада Нива 4x4, Нива 4x4 Урбан</v>
      </c>
      <c r="D607" s="52" t="str">
        <f>VLOOKUP($A607,'Выгр Кат'!$A:$R,D$1,0)</f>
        <v>Y</v>
      </c>
      <c r="E607" s="52" t="str">
        <f>VLOOKUP($A607,'Выгр Кат'!$A:$R,E$1,0)</f>
        <v>1</v>
      </c>
      <c r="F607" s="52" t="str">
        <f>VLOOKUP($A607,'Выгр Кат'!$A:$R,F$1,0)</f>
        <v>8450108926</v>
      </c>
      <c r="G607" s="52" t="str">
        <f>IF(VLOOKUP($A607,'Выгр Кат'!$A:$R,G$1,0)=0,"",VLOOKUP($A607,'Выгр Кат'!$A:$R,G$1,0))</f>
        <v/>
      </c>
      <c r="H607" s="52"/>
      <c r="I607" s="52"/>
      <c r="J607" s="54">
        <f t="shared" si="152"/>
        <v>3171</v>
      </c>
      <c r="K607" s="55">
        <f>VLOOKUP(J607,Наценка!$A$1:$B$8,2,1)</f>
        <v>1.4</v>
      </c>
      <c r="L607" s="56">
        <f t="shared" si="153"/>
        <v>4439.3999999999996</v>
      </c>
      <c r="M607" s="57">
        <f t="shared" si="154"/>
        <v>4490</v>
      </c>
      <c r="N607" s="52">
        <f>VLOOKUP($A607,'Выгр Кат'!$A:$R,N$1,0)</f>
        <v>3171</v>
      </c>
      <c r="O607" s="52">
        <f>VLOOKUP($A607,'Выгр Кат'!$A:$R,O$1,0)</f>
        <v>4490</v>
      </c>
      <c r="P607" s="47">
        <f t="shared" si="155"/>
        <v>0</v>
      </c>
      <c r="Q607" s="47">
        <f t="shared" si="156"/>
        <v>0</v>
      </c>
      <c r="R607" s="58">
        <f t="shared" si="157"/>
        <v>4490</v>
      </c>
      <c r="S607" s="59">
        <f t="shared" si="158"/>
        <v>0.41595711132134983</v>
      </c>
      <c r="T607" s="59" t="str">
        <f t="shared" si="159"/>
        <v/>
      </c>
      <c r="U607" s="59" t="str">
        <f t="shared" si="160"/>
        <v/>
      </c>
      <c r="V607" s="60"/>
      <c r="W607" s="69" t="str">
        <f>IFERROR((VLOOKUP($A607,'Из ГУГЛа'!$B:$Z,W$1,0)+Y607)*X607,VLOOKUP($A607,'Из ГУГЛа'!$B:$Z,W$1,0))</f>
        <v/>
      </c>
      <c r="X607" s="61">
        <v>1</v>
      </c>
      <c r="Y607" s="61">
        <v>0</v>
      </c>
      <c r="Z607" s="60" t="s">
        <v>4170</v>
      </c>
      <c r="AA607" s="60"/>
    </row>
    <row r="608" spans="1:27" ht="30" x14ac:dyDescent="0.25">
      <c r="A608" s="52">
        <v>202615</v>
      </c>
      <c r="B608" s="52">
        <f>VLOOKUP($A608,'Выгр Кат'!$A:$R,B$1,0)</f>
        <v>47949</v>
      </c>
      <c r="C608" s="53" t="str">
        <f>VLOOKUP($A608,'Выгр Кат'!$A:$R,C$1,0)</f>
        <v>Рамка радиатора "АвтоВАЗ" в сборе для Лада Нива Travel</v>
      </c>
      <c r="D608" s="52" t="str">
        <f>VLOOKUP($A608,'Выгр Кат'!$A:$R,D$1,0)</f>
        <v>Y</v>
      </c>
      <c r="E608" s="52" t="str">
        <f>VLOOKUP($A608,'Выгр Кат'!$A:$R,E$1,0)</f>
        <v>1ск1</v>
      </c>
      <c r="F608" s="52" t="str">
        <f>VLOOKUP($A608,'Выгр Кат'!$A:$R,F$1,0)</f>
        <v>21230840105081</v>
      </c>
      <c r="G608" s="52" t="str">
        <f>IF(VLOOKUP($A608,'Выгр Кат'!$A:$R,G$1,0)=0,"",VLOOKUP($A608,'Выгр Кат'!$A:$R,G$1,0))</f>
        <v/>
      </c>
      <c r="H608" s="52"/>
      <c r="I608" s="52"/>
      <c r="J608" s="54">
        <f t="shared" si="152"/>
        <v>7200</v>
      </c>
      <c r="K608" s="55">
        <f>VLOOKUP(J608,Наценка!$A$1:$B$8,2,1)</f>
        <v>1.35</v>
      </c>
      <c r="L608" s="56">
        <f t="shared" si="153"/>
        <v>9720</v>
      </c>
      <c r="M608" s="57">
        <f t="shared" si="154"/>
        <v>9790</v>
      </c>
      <c r="N608" s="52">
        <f>VLOOKUP($A608,'Выгр Кат'!$A:$R,N$1,0)</f>
        <v>7200</v>
      </c>
      <c r="O608" s="52">
        <f>VLOOKUP($A608,'Выгр Кат'!$A:$R,O$1,0)</f>
        <v>9790</v>
      </c>
      <c r="P608" s="47">
        <f t="shared" si="155"/>
        <v>0</v>
      </c>
      <c r="Q608" s="47">
        <f t="shared" si="156"/>
        <v>0</v>
      </c>
      <c r="R608" s="58">
        <f t="shared" si="157"/>
        <v>9790</v>
      </c>
      <c r="S608" s="59">
        <f t="shared" si="158"/>
        <v>0.35972222222222228</v>
      </c>
      <c r="T608" s="59" t="str">
        <f t="shared" si="159"/>
        <v/>
      </c>
      <c r="U608" s="59" t="str">
        <f t="shared" si="160"/>
        <v/>
      </c>
      <c r="V608" s="60"/>
      <c r="W608" s="69" t="str">
        <f>IFERROR((VLOOKUP($A608,'Из ГУГЛа'!$B:$Z,W$1,0)+Y608)*X608,VLOOKUP($A608,'Из ГУГЛа'!$B:$Z,W$1,0))</f>
        <v/>
      </c>
      <c r="X608" s="61">
        <v>1</v>
      </c>
      <c r="Y608" s="61">
        <v>0</v>
      </c>
      <c r="Z608" s="60" t="s">
        <v>4170</v>
      </c>
      <c r="AA608" s="60"/>
    </row>
    <row r="609" spans="1:27" ht="30" x14ac:dyDescent="0.25">
      <c r="A609" s="52">
        <v>202616</v>
      </c>
      <c r="B609" s="52">
        <f>VLOOKUP($A609,'Выгр Кат'!$A:$R,B$1,0)</f>
        <v>16438</v>
      </c>
      <c r="C609" s="53" t="str">
        <f>VLOOKUP($A609,'Выгр Кат'!$A:$R,C$1,0)</f>
        <v>Рамка радиатора "Катафорезное покрытие" для Лада Калина</v>
      </c>
      <c r="D609" s="52" t="str">
        <f>VLOOKUP($A609,'Выгр Кат'!$A:$R,D$1,0)</f>
        <v>Y</v>
      </c>
      <c r="E609" s="52" t="str">
        <f>VLOOKUP($A609,'Выгр Кат'!$A:$R,E$1,0)</f>
        <v>1</v>
      </c>
      <c r="F609" s="52" t="str">
        <f>VLOOKUP($A609,'Выгр Кат'!$A:$R,F$1,0)</f>
        <v>11180840105070</v>
      </c>
      <c r="G609" s="52" t="str">
        <f>IF(VLOOKUP($A609,'Выгр Кат'!$A:$R,G$1,0)=0,"",VLOOKUP($A609,'Выгр Кат'!$A:$R,G$1,0))</f>
        <v>https://motorring.ru/product/16505-ramka-radiatora-kataforeznoe-pokrytie-lada-kalina-kalina</v>
      </c>
      <c r="H609" s="52"/>
      <c r="I609" s="52"/>
      <c r="J609" s="54">
        <f t="shared" si="152"/>
        <v>3050</v>
      </c>
      <c r="K609" s="55">
        <f>VLOOKUP(J609,Наценка!$A$1:$B$8,2,1)</f>
        <v>1.4</v>
      </c>
      <c r="L609" s="56">
        <f t="shared" si="153"/>
        <v>4270</v>
      </c>
      <c r="M609" s="57">
        <f t="shared" si="154"/>
        <v>4290</v>
      </c>
      <c r="N609" s="52">
        <f>VLOOKUP($A609,'Выгр Кат'!$A:$R,N$1,0)</f>
        <v>3050</v>
      </c>
      <c r="O609" s="52">
        <f>VLOOKUP($A609,'Выгр Кат'!$A:$R,O$1,0)</f>
        <v>4290</v>
      </c>
      <c r="P609" s="47">
        <f t="shared" si="155"/>
        <v>0</v>
      </c>
      <c r="Q609" s="47">
        <f t="shared" si="156"/>
        <v>0</v>
      </c>
      <c r="R609" s="58">
        <f t="shared" si="157"/>
        <v>4290</v>
      </c>
      <c r="S609" s="59">
        <f t="shared" si="158"/>
        <v>0.40655737704918038</v>
      </c>
      <c r="T609" s="59">
        <f t="shared" si="159"/>
        <v>-0.13192612137203166</v>
      </c>
      <c r="U609" s="59">
        <f t="shared" si="160"/>
        <v>0.24262295081967222</v>
      </c>
      <c r="V609" s="42">
        <f t="shared" ref="V609:V612" si="167">Z609</f>
        <v>3790</v>
      </c>
      <c r="W609" s="69">
        <f>IFERROR((VLOOKUP($A609,'Из ГУГЛа'!$B:$Z,W$1,0)+Y609)*X609,VLOOKUP($A609,'Из ГУГЛа'!$B:$Z,W$1,0))</f>
        <v>3790</v>
      </c>
      <c r="X609" s="61">
        <v>1</v>
      </c>
      <c r="Y609" s="61">
        <v>0</v>
      </c>
      <c r="Z609" s="70">
        <v>3790</v>
      </c>
      <c r="AA609" s="60" t="s">
        <v>1599</v>
      </c>
    </row>
    <row r="610" spans="1:27" ht="30" x14ac:dyDescent="0.25">
      <c r="A610" s="52">
        <v>202619</v>
      </c>
      <c r="B610" s="52">
        <f>VLOOKUP($A610,'Выгр Кат'!$A:$R,B$1,0)</f>
        <v>31250</v>
      </c>
      <c r="C610" s="53" t="str">
        <f>VLOOKUP($A610,'Выгр Кат'!$A:$R,C$1,0)</f>
        <v>Рамка радиатора (катафорез) "АвтоВАЗ" в сборе для Шевроле Нива</v>
      </c>
      <c r="D610" s="52" t="str">
        <f>VLOOKUP($A610,'Выгр Кат'!$A:$R,D$1,0)</f>
        <v>Y</v>
      </c>
      <c r="E610" s="52" t="str">
        <f>VLOOKUP($A610,'Выгр Кат'!$A:$R,E$1,0)</f>
        <v>1</v>
      </c>
      <c r="F610" s="52" t="str">
        <f>VLOOKUP($A610,'Выгр Кат'!$A:$R,F$1,0)</f>
        <v>21230840105070</v>
      </c>
      <c r="G610" s="52" t="str">
        <f>IF(VLOOKUP($A610,'Выгр Кат'!$A:$R,G$1,0)=0,"",VLOOKUP($A610,'Выгр Кат'!$A:$R,G$1,0))</f>
        <v>https://motorring.ru/product/1062-ramka-radiatora-kataforeznym-pokrytiem-sbore-dlya-shevrole</v>
      </c>
      <c r="H610" s="52"/>
      <c r="I610" s="52"/>
      <c r="J610" s="54">
        <f t="shared" si="152"/>
        <v>6121</v>
      </c>
      <c r="K610" s="55">
        <f>VLOOKUP(J610,Наценка!$A$1:$B$8,2,1)</f>
        <v>1.35</v>
      </c>
      <c r="L610" s="56">
        <f t="shared" si="153"/>
        <v>8263.35</v>
      </c>
      <c r="M610" s="57">
        <f t="shared" si="154"/>
        <v>8290</v>
      </c>
      <c r="N610" s="52">
        <f>VLOOKUP($A610,'Выгр Кат'!$A:$R,N$1,0)</f>
        <v>6121</v>
      </c>
      <c r="O610" s="52">
        <f>VLOOKUP($A610,'Выгр Кат'!$A:$R,O$1,0)</f>
        <v>8590</v>
      </c>
      <c r="P610" s="47">
        <f t="shared" si="155"/>
        <v>0</v>
      </c>
      <c r="Q610" s="47">
        <f t="shared" si="156"/>
        <v>300</v>
      </c>
      <c r="R610" s="58">
        <f t="shared" si="157"/>
        <v>8290</v>
      </c>
      <c r="S610" s="59">
        <f t="shared" si="158"/>
        <v>0.35435386374775368</v>
      </c>
      <c r="T610" s="59">
        <f t="shared" si="159"/>
        <v>-2.0817843866171004</v>
      </c>
      <c r="U610" s="59">
        <f t="shared" si="160"/>
        <v>-0.56052932527364807</v>
      </c>
      <c r="V610" s="42">
        <f t="shared" si="167"/>
        <v>2690</v>
      </c>
      <c r="W610" s="69">
        <f>IFERROR((VLOOKUP($A610,'Из ГУГЛа'!$B:$Z,W$1,0)+Y610)*X610,VLOOKUP($A610,'Из ГУГЛа'!$B:$Z,W$1,0))</f>
        <v>2690</v>
      </c>
      <c r="X610" s="61">
        <v>1</v>
      </c>
      <c r="Y610" s="61">
        <v>0</v>
      </c>
      <c r="Z610" s="70">
        <v>2690</v>
      </c>
      <c r="AA610" s="60" t="s">
        <v>1602</v>
      </c>
    </row>
    <row r="611" spans="1:27" ht="45" x14ac:dyDescent="0.25">
      <c r="A611" s="52">
        <v>202620</v>
      </c>
      <c r="B611" s="52">
        <f>VLOOKUP($A611,'Выгр Кат'!$A:$R,B$1,0)</f>
        <v>32532</v>
      </c>
      <c r="C611" s="53" t="str">
        <f>VLOOKUP($A611,'Выгр Кат'!$A:$R,C$1,0)</f>
        <v>Рамка радиатора (катафорез) "АвтоВАЗ" для ВАЗ 2108-21099, 2113-2115</v>
      </c>
      <c r="D611" s="52" t="str">
        <f>VLOOKUP($A611,'Выгр Кат'!$A:$R,D$1,0)</f>
        <v>Y</v>
      </c>
      <c r="E611" s="52" t="str">
        <f>VLOOKUP($A611,'Выгр Кат'!$A:$R,E$1,0)</f>
        <v>0</v>
      </c>
      <c r="F611" s="52" t="str">
        <f>VLOOKUP($A611,'Выгр Кат'!$A:$R,F$1,0)</f>
        <v>21080840105020</v>
      </c>
      <c r="G611" s="52" t="str">
        <f>IF(VLOOKUP($A611,'Выгр Кат'!$A:$R,G$1,0)=0,"",VLOOKUP($A611,'Выгр Кат'!$A:$R,G$1,0))</f>
        <v>https://motorring.ru/product/18125-ramka-radiatora-kataforeznoe-pokrytie-vaz-2108-21099</v>
      </c>
      <c r="H611" s="52"/>
      <c r="I611" s="52"/>
      <c r="J611" s="54">
        <f t="shared" si="152"/>
        <v>2340</v>
      </c>
      <c r="K611" s="55">
        <f>VLOOKUP(J611,Наценка!$A$1:$B$8,2,1)</f>
        <v>1.4</v>
      </c>
      <c r="L611" s="56">
        <f t="shared" si="153"/>
        <v>3276</v>
      </c>
      <c r="M611" s="57">
        <f t="shared" si="154"/>
        <v>3290</v>
      </c>
      <c r="N611" s="52">
        <f>VLOOKUP($A611,'Выгр Кат'!$A:$R,N$1,0)</f>
        <v>2340</v>
      </c>
      <c r="O611" s="52">
        <f>VLOOKUP($A611,'Выгр Кат'!$A:$R,O$1,0)</f>
        <v>3290</v>
      </c>
      <c r="P611" s="47">
        <f t="shared" si="155"/>
        <v>0</v>
      </c>
      <c r="Q611" s="47">
        <f t="shared" si="156"/>
        <v>0</v>
      </c>
      <c r="R611" s="58">
        <f t="shared" si="157"/>
        <v>3290</v>
      </c>
      <c r="S611" s="59">
        <f t="shared" si="158"/>
        <v>0.40598290598290587</v>
      </c>
      <c r="T611" s="59">
        <f t="shared" si="159"/>
        <v>0.21479713603818615</v>
      </c>
      <c r="U611" s="59">
        <f t="shared" si="160"/>
        <v>0.79059829059829068</v>
      </c>
      <c r="V611" s="42">
        <f t="shared" si="167"/>
        <v>4190</v>
      </c>
      <c r="W611" s="69">
        <f>IFERROR((VLOOKUP($A611,'Из ГУГЛа'!$B:$Z,W$1,0)+Y611)*X611,VLOOKUP($A611,'Из ГУГЛа'!$B:$Z,W$1,0))</f>
        <v>4190</v>
      </c>
      <c r="X611" s="61">
        <v>1</v>
      </c>
      <c r="Y611" s="61">
        <v>0</v>
      </c>
      <c r="Z611" s="70">
        <v>4190</v>
      </c>
      <c r="AA611" s="60" t="s">
        <v>1605</v>
      </c>
    </row>
    <row r="612" spans="1:27" ht="30" x14ac:dyDescent="0.25">
      <c r="A612" s="52">
        <v>202617</v>
      </c>
      <c r="B612" s="52">
        <f>VLOOKUP($A612,'Выгр Кат'!$A:$R,B$1,0)</f>
        <v>16785</v>
      </c>
      <c r="C612" s="53" t="str">
        <f>VLOOKUP($A612,'Выгр Кат'!$A:$R,C$1,0)</f>
        <v>Рамка радиатора (катафорезное покрытие) для Лада Калина 2, Гранта</v>
      </c>
      <c r="D612" s="52" t="str">
        <f>VLOOKUP($A612,'Выгр Кат'!$A:$R,D$1,0)</f>
        <v>Y</v>
      </c>
      <c r="E612" s="52" t="str">
        <f>VLOOKUP($A612,'Выгр Кат'!$A:$R,E$1,0)</f>
        <v>1</v>
      </c>
      <c r="F612" s="52" t="str">
        <f>VLOOKUP($A612,'Выгр Кат'!$A:$R,F$1,0)</f>
        <v>21900840105070</v>
      </c>
      <c r="G612" s="52" t="str">
        <f>IF(VLOOKUP($A612,'Выгр Кат'!$A:$R,G$1,0)=0,"",VLOOKUP($A612,'Выгр Кат'!$A:$R,G$1,0))</f>
        <v>https://motorring.ru/product/32073-ramka-radiatora-kataforez-lada-granta-kalina-universal</v>
      </c>
      <c r="H612" s="52"/>
      <c r="I612" s="52"/>
      <c r="J612" s="54">
        <f t="shared" si="152"/>
        <v>4496</v>
      </c>
      <c r="K612" s="55">
        <f>VLOOKUP(J612,Наценка!$A$1:$B$8,2,1)</f>
        <v>1.4</v>
      </c>
      <c r="L612" s="56">
        <f t="shared" si="153"/>
        <v>6294.4</v>
      </c>
      <c r="M612" s="57">
        <f t="shared" si="154"/>
        <v>6290</v>
      </c>
      <c r="N612" s="52">
        <f>VLOOKUP($A612,'Выгр Кат'!$A:$R,N$1,0)</f>
        <v>4496</v>
      </c>
      <c r="O612" s="52">
        <f>VLOOKUP($A612,'Выгр Кат'!$A:$R,O$1,0)</f>
        <v>6290</v>
      </c>
      <c r="P612" s="47">
        <f t="shared" si="155"/>
        <v>0</v>
      </c>
      <c r="Q612" s="47">
        <f t="shared" si="156"/>
        <v>0</v>
      </c>
      <c r="R612" s="58">
        <f t="shared" si="157"/>
        <v>6290</v>
      </c>
      <c r="S612" s="59">
        <f t="shared" si="158"/>
        <v>0.39902135231316715</v>
      </c>
      <c r="T612" s="59">
        <f t="shared" si="159"/>
        <v>-6.7911714770797965E-2</v>
      </c>
      <c r="U612" s="59">
        <f t="shared" si="160"/>
        <v>0.31005338078291822</v>
      </c>
      <c r="V612" s="42">
        <f t="shared" si="167"/>
        <v>5890</v>
      </c>
      <c r="W612" s="69">
        <f>IFERROR((VLOOKUP($A612,'Из ГУГЛа'!$B:$Z,W$1,0)+Y612)*X612,VLOOKUP($A612,'Из ГУГЛа'!$B:$Z,W$1,0))</f>
        <v>5890</v>
      </c>
      <c r="X612" s="61">
        <v>1</v>
      </c>
      <c r="Y612" s="61">
        <v>0</v>
      </c>
      <c r="Z612" s="70">
        <v>5890</v>
      </c>
      <c r="AA612" s="60" t="s">
        <v>1608</v>
      </c>
    </row>
    <row r="613" spans="1:27" ht="30" x14ac:dyDescent="0.25">
      <c r="A613" s="52">
        <v>202624</v>
      </c>
      <c r="B613" s="52">
        <f>VLOOKUP($A613,'Выгр Кат'!$A:$R,B$1,0)</f>
        <v>35643</v>
      </c>
      <c r="C613" s="53" t="str">
        <f>VLOOKUP($A613,'Выгр Кат'!$A:$R,C$1,0)</f>
        <v>Рамка радиатора (телевизор) старого образца для ВАЗ 2110-2112</v>
      </c>
      <c r="D613" s="52" t="str">
        <f>VLOOKUP($A613,'Выгр Кат'!$A:$R,D$1,0)</f>
        <v>Y</v>
      </c>
      <c r="E613" s="52" t="str">
        <f>VLOOKUP($A613,'Выгр Кат'!$A:$R,E$1,0)</f>
        <v>1</v>
      </c>
      <c r="F613" s="52" t="str">
        <f>VLOOKUP($A613,'Выгр Кат'!$A:$R,F$1,0)</f>
        <v>21100840105082</v>
      </c>
      <c r="G613" s="52" t="str">
        <f>IF(VLOOKUP($A613,'Выгр Кат'!$A:$R,G$1,0)=0,"",VLOOKUP($A613,'Выгр Кат'!$A:$R,G$1,0))</f>
        <v/>
      </c>
      <c r="H613" s="52"/>
      <c r="I613" s="52"/>
      <c r="J613" s="54">
        <f t="shared" si="152"/>
        <v>4000</v>
      </c>
      <c r="K613" s="55">
        <f>VLOOKUP(J613,Наценка!$A$1:$B$8,2,1)</f>
        <v>1.4</v>
      </c>
      <c r="L613" s="56">
        <f t="shared" si="153"/>
        <v>5600</v>
      </c>
      <c r="M613" s="57">
        <f t="shared" si="154"/>
        <v>5590</v>
      </c>
      <c r="N613" s="52">
        <f>VLOOKUP($A613,'Выгр Кат'!$A:$R,N$1,0)</f>
        <v>4000</v>
      </c>
      <c r="O613" s="52">
        <f>VLOOKUP($A613,'Выгр Кат'!$A:$R,O$1,0)</f>
        <v>5590</v>
      </c>
      <c r="P613" s="47">
        <f t="shared" si="155"/>
        <v>0</v>
      </c>
      <c r="Q613" s="47">
        <f t="shared" si="156"/>
        <v>0</v>
      </c>
      <c r="R613" s="58">
        <f t="shared" si="157"/>
        <v>5590</v>
      </c>
      <c r="S613" s="59">
        <f t="shared" si="158"/>
        <v>0.39749999999999996</v>
      </c>
      <c r="T613" s="59" t="str">
        <f t="shared" si="159"/>
        <v/>
      </c>
      <c r="U613" s="59" t="str">
        <f t="shared" si="160"/>
        <v/>
      </c>
      <c r="V613" s="60"/>
      <c r="W613" s="69" t="str">
        <f>IFERROR((VLOOKUP($A613,'Из ГУГЛа'!$B:$Z,W$1,0)+Y613)*X613,VLOOKUP($A613,'Из ГУГЛа'!$B:$Z,W$1,0))</f>
        <v/>
      </c>
      <c r="X613" s="61">
        <v>1</v>
      </c>
      <c r="Y613" s="61">
        <v>0</v>
      </c>
      <c r="Z613" s="60" t="s">
        <v>4169</v>
      </c>
      <c r="AA613" s="60"/>
    </row>
    <row r="614" spans="1:27" ht="45" x14ac:dyDescent="0.25">
      <c r="A614" s="52">
        <v>202627</v>
      </c>
      <c r="B614" s="52">
        <f>VLOOKUP($A614,'Выгр Кат'!$A:$R,B$1,0)</f>
        <v>18885</v>
      </c>
      <c r="C614" s="53" t="str">
        <f>VLOOKUP($A614,'Выгр Кат'!$A:$R,C$1,0)</f>
        <v>Рамка радиатора катафорез (телевизор) "АвтоВАЗ" С/О для Лада Приора, ВАЗ 2110-2112 Н/О</v>
      </c>
      <c r="D614" s="52" t="str">
        <f>VLOOKUP($A614,'Выгр Кат'!$A:$R,D$1,0)</f>
        <v>Y</v>
      </c>
      <c r="E614" s="52" t="str">
        <f>VLOOKUP($A614,'Выгр Кат'!$A:$R,E$1,0)</f>
        <v>0</v>
      </c>
      <c r="F614" s="52" t="str">
        <f>VLOOKUP($A614,'Выгр Кат'!$A:$R,F$1,0)</f>
        <v>21100840105063</v>
      </c>
      <c r="G614" s="52" t="str">
        <f>IF(VLOOKUP($A614,'Выгр Кат'!$A:$R,G$1,0)=0,"",VLOOKUP($A614,'Выгр Кат'!$A:$R,G$1,0))</f>
        <v/>
      </c>
      <c r="H614" s="52"/>
      <c r="I614" s="52"/>
      <c r="J614" s="54">
        <f t="shared" si="152"/>
        <v>2932</v>
      </c>
      <c r="K614" s="55">
        <f>VLOOKUP(J614,Наценка!$A$1:$B$8,2,1)</f>
        <v>1.4</v>
      </c>
      <c r="L614" s="56">
        <f t="shared" si="153"/>
        <v>4104.8</v>
      </c>
      <c r="M614" s="57">
        <f t="shared" si="154"/>
        <v>4190</v>
      </c>
      <c r="N614" s="52">
        <f>VLOOKUP($A614,'Выгр Кат'!$A:$R,N$1,0)</f>
        <v>2932</v>
      </c>
      <c r="O614" s="52">
        <f>VLOOKUP($A614,'Выгр Кат'!$A:$R,O$1,0)</f>
        <v>4190</v>
      </c>
      <c r="P614" s="47">
        <f t="shared" si="155"/>
        <v>0</v>
      </c>
      <c r="Q614" s="47">
        <f t="shared" si="156"/>
        <v>0</v>
      </c>
      <c r="R614" s="58">
        <f t="shared" si="157"/>
        <v>4190</v>
      </c>
      <c r="S614" s="59">
        <f t="shared" si="158"/>
        <v>0.42905866302864948</v>
      </c>
      <c r="T614" s="59" t="str">
        <f t="shared" si="159"/>
        <v/>
      </c>
      <c r="U614" s="59" t="str">
        <f t="shared" si="160"/>
        <v/>
      </c>
      <c r="V614" s="60"/>
      <c r="W614" s="69" t="str">
        <f>IFERROR((VLOOKUP($A614,'Из ГУГЛа'!$B:$Z,W$1,0)+Y614)*X614,VLOOKUP($A614,'Из ГУГЛа'!$B:$Z,W$1,0))</f>
        <v/>
      </c>
      <c r="X614" s="61">
        <v>1</v>
      </c>
      <c r="Y614" s="61">
        <v>0</v>
      </c>
      <c r="Z614" s="76" t="s">
        <v>4285</v>
      </c>
      <c r="AA614" s="60"/>
    </row>
    <row r="615" spans="1:27" ht="30" x14ac:dyDescent="0.25">
      <c r="A615" s="52">
        <v>202628</v>
      </c>
      <c r="B615" s="52">
        <f>VLOOKUP($A615,'Выгр Кат'!$A:$R,B$1,0)</f>
        <v>18009</v>
      </c>
      <c r="C615" s="53" t="str">
        <f>VLOOKUP($A615,'Выгр Кат'!$A:$R,C$1,0)</f>
        <v>Рамка стекла ветрового "АвтоВАЗ" ВАЗ 2108</v>
      </c>
      <c r="D615" s="52" t="str">
        <f>VLOOKUP($A615,'Выгр Кат'!$A:$R,D$1,0)</f>
        <v>Y</v>
      </c>
      <c r="E615" s="52" t="str">
        <f>VLOOKUP($A615,'Выгр Кат'!$A:$R,E$1,0)</f>
        <v>1</v>
      </c>
      <c r="F615" s="52" t="str">
        <f>VLOOKUP($A615,'Выгр Кат'!$A:$R,F$1,0)</f>
        <v>21080520101210</v>
      </c>
      <c r="G615" s="52" t="str">
        <f>IF(VLOOKUP($A615,'Выгр Кат'!$A:$R,G$1,0)=0,"",VLOOKUP($A615,'Выгр Кат'!$A:$R,G$1,0))</f>
        <v>https://motorring.ru/product/16806-panely-ramy-vetrovogo-okna-kataforeznym-pokrytiem-dlya-vaz</v>
      </c>
      <c r="H615" s="52"/>
      <c r="I615" s="52"/>
      <c r="J615" s="54">
        <f t="shared" si="152"/>
        <v>1791</v>
      </c>
      <c r="K615" s="55">
        <f>VLOOKUP(J615,Наценка!$A$1:$B$8,2,1)</f>
        <v>1.5</v>
      </c>
      <c r="L615" s="56">
        <f t="shared" si="153"/>
        <v>2686.5</v>
      </c>
      <c r="M615" s="57">
        <f t="shared" si="154"/>
        <v>2690</v>
      </c>
      <c r="N615" s="52">
        <f>VLOOKUP($A615,'Выгр Кат'!$A:$R,N$1,0)</f>
        <v>1791</v>
      </c>
      <c r="O615" s="52">
        <f>VLOOKUP($A615,'Выгр Кат'!$A:$R,O$1,0)</f>
        <v>2690</v>
      </c>
      <c r="P615" s="47">
        <f t="shared" si="155"/>
        <v>0</v>
      </c>
      <c r="Q615" s="47">
        <f t="shared" si="156"/>
        <v>0</v>
      </c>
      <c r="R615" s="58">
        <f t="shared" si="157"/>
        <v>2690</v>
      </c>
      <c r="S615" s="59">
        <f t="shared" si="158"/>
        <v>0.50195421552205466</v>
      </c>
      <c r="T615" s="59">
        <f t="shared" si="159"/>
        <v>0</v>
      </c>
      <c r="U615" s="59">
        <f t="shared" si="160"/>
        <v>0.50195421552205466</v>
      </c>
      <c r="V615" s="42">
        <f>Z615</f>
        <v>2690</v>
      </c>
      <c r="W615" s="69">
        <f>IFERROR((VLOOKUP($A615,'Из ГУГЛа'!$B:$Z,W$1,0)+Y615)*X615,VLOOKUP($A615,'Из ГУГЛа'!$B:$Z,W$1,0))</f>
        <v>2690</v>
      </c>
      <c r="X615" s="61">
        <v>1</v>
      </c>
      <c r="Y615" s="61">
        <v>0</v>
      </c>
      <c r="Z615" s="70">
        <v>2690</v>
      </c>
      <c r="AA615" s="60" t="s">
        <v>1616</v>
      </c>
    </row>
    <row r="616" spans="1:27" ht="30" x14ac:dyDescent="0.25">
      <c r="A616" s="52">
        <v>202733</v>
      </c>
      <c r="B616" s="52">
        <f>VLOOKUP($A616,'Выгр Кат'!$A:$R,B$1,0)</f>
        <v>51749</v>
      </c>
      <c r="C616" s="53" t="str">
        <f>VLOOKUP($A616,'Выгр Кат'!$A:$R,C$1,0)</f>
        <v>Раскос передка "АвтоВАЗ" правый в сборе для Лада Ларгус FL</v>
      </c>
      <c r="D616" s="52" t="str">
        <f>VLOOKUP($A616,'Выгр Кат'!$A:$R,D$1,0)</f>
        <v>Y</v>
      </c>
      <c r="E616" s="52" t="str">
        <f>VLOOKUP($A616,'Выгр Кат'!$A:$R,E$1,0)</f>
        <v>1</v>
      </c>
      <c r="F616" s="52" t="str">
        <f>VLOOKUP($A616,'Выгр Кат'!$A:$R,F$1,0)</f>
        <v>8450013071</v>
      </c>
      <c r="G616" s="52" t="str">
        <f>IF(VLOOKUP($A616,'Выгр Кат'!$A:$R,G$1,0)=0,"",VLOOKUP($A616,'Выгр Кат'!$A:$R,G$1,0))</f>
        <v/>
      </c>
      <c r="H616" s="52"/>
      <c r="I616" s="52"/>
      <c r="J616" s="54">
        <f t="shared" si="152"/>
        <v>1455</v>
      </c>
      <c r="K616" s="55">
        <f>VLOOKUP(J616,Наценка!$A$1:$B$8,2,1)</f>
        <v>1.5</v>
      </c>
      <c r="L616" s="56">
        <f t="shared" si="153"/>
        <v>2182.5</v>
      </c>
      <c r="M616" s="57">
        <f t="shared" si="154"/>
        <v>2190</v>
      </c>
      <c r="N616" s="52">
        <f>VLOOKUP($A616,'Выгр Кат'!$A:$R,N$1,0)</f>
        <v>1455</v>
      </c>
      <c r="O616" s="52">
        <f>VLOOKUP($A616,'Выгр Кат'!$A:$R,O$1,0)</f>
        <v>2190</v>
      </c>
      <c r="P616" s="47">
        <f t="shared" si="155"/>
        <v>0</v>
      </c>
      <c r="Q616" s="47">
        <f t="shared" si="156"/>
        <v>0</v>
      </c>
      <c r="R616" s="58">
        <f t="shared" si="157"/>
        <v>2190</v>
      </c>
      <c r="S616" s="59">
        <f t="shared" si="158"/>
        <v>0.50515463917525771</v>
      </c>
      <c r="T616" s="59" t="str">
        <f t="shared" si="159"/>
        <v/>
      </c>
      <c r="U616" s="59" t="str">
        <f t="shared" si="160"/>
        <v/>
      </c>
      <c r="V616" s="60"/>
      <c r="W616" s="69" t="str">
        <f>IFERROR((VLOOKUP($A616,'Из ГУГЛа'!$B:$Z,W$1,0)+Y616)*X616,VLOOKUP($A616,'Из ГУГЛа'!$B:$Z,W$1,0))</f>
        <v/>
      </c>
      <c r="X616" s="61">
        <v>1</v>
      </c>
      <c r="Y616" s="61">
        <v>0</v>
      </c>
      <c r="Z616" s="60" t="s">
        <v>4170</v>
      </c>
      <c r="AA616" s="60"/>
    </row>
    <row r="617" spans="1:27" ht="45" x14ac:dyDescent="0.25">
      <c r="A617" s="52">
        <v>202761</v>
      </c>
      <c r="B617" s="52">
        <f>VLOOKUP($A617,'Выгр Кат'!$A:$R,B$1,0)</f>
        <v>32647</v>
      </c>
      <c r="C617" s="53" t="str">
        <f>VLOOKUP($A617,'Выгр Кат'!$A:$R,C$1,0)</f>
        <v>Распорка поперечины рамки радиатора "АвтоВАЗ" в сборе для Шевроле Нива</v>
      </c>
      <c r="D617" s="52" t="str">
        <f>VLOOKUP($A617,'Выгр Кат'!$A:$R,D$1,0)</f>
        <v>Y</v>
      </c>
      <c r="E617" s="52" t="str">
        <f>VLOOKUP($A617,'Выгр Кат'!$A:$R,E$1,0)</f>
        <v>1</v>
      </c>
      <c r="F617" s="52" t="str">
        <f>VLOOKUP($A617,'Выгр Кат'!$A:$R,F$1,0)</f>
        <v>21230500024001</v>
      </c>
      <c r="G617" s="52" t="str">
        <f>IF(VLOOKUP($A617,'Выгр Кат'!$A:$R,G$1,0)=0,"",VLOOKUP($A617,'Выгр Кат'!$A:$R,G$1,0))</f>
        <v/>
      </c>
      <c r="H617" s="52"/>
      <c r="I617" s="52"/>
      <c r="J617" s="54">
        <f t="shared" si="152"/>
        <v>948</v>
      </c>
      <c r="K617" s="55">
        <f>VLOOKUP(J617,Наценка!$A$1:$B$8,2,1)</f>
        <v>1.55</v>
      </c>
      <c r="L617" s="56">
        <f t="shared" si="153"/>
        <v>1469.4</v>
      </c>
      <c r="M617" s="57">
        <f t="shared" si="154"/>
        <v>1490</v>
      </c>
      <c r="N617" s="52">
        <f>VLOOKUP($A617,'Выгр Кат'!$A:$R,N$1,0)</f>
        <v>948</v>
      </c>
      <c r="O617" s="52">
        <f>VLOOKUP($A617,'Выгр Кат'!$A:$R,O$1,0)</f>
        <v>1490</v>
      </c>
      <c r="P617" s="47">
        <f t="shared" si="155"/>
        <v>0</v>
      </c>
      <c r="Q617" s="47">
        <f t="shared" si="156"/>
        <v>0</v>
      </c>
      <c r="R617" s="58">
        <f t="shared" si="157"/>
        <v>1490</v>
      </c>
      <c r="S617" s="59">
        <f t="shared" si="158"/>
        <v>0.57172995780590719</v>
      </c>
      <c r="T617" s="59" t="str">
        <f t="shared" si="159"/>
        <v/>
      </c>
      <c r="U617" s="59" t="str">
        <f t="shared" si="160"/>
        <v/>
      </c>
      <c r="V617" s="60"/>
      <c r="W617" s="69" t="str">
        <f>IFERROR((VLOOKUP($A617,'Из ГУГЛа'!$B:$Z,W$1,0)+Y617)*X617,VLOOKUP($A617,'Из ГУГЛа'!$B:$Z,W$1,0))</f>
        <v/>
      </c>
      <c r="X617" s="61">
        <v>1</v>
      </c>
      <c r="Y617" s="61">
        <v>0</v>
      </c>
      <c r="Z617" s="60" t="s">
        <v>4170</v>
      </c>
      <c r="AA617" s="60"/>
    </row>
    <row r="618" spans="1:27" ht="30" x14ac:dyDescent="0.25">
      <c r="A618" s="52">
        <v>363641</v>
      </c>
      <c r="B618" s="52">
        <f>VLOOKUP($A618,'Выгр Кат'!$A:$R,B$1,0)</f>
        <v>363641</v>
      </c>
      <c r="C618" s="53" t="str">
        <f>VLOOKUP($A618,'Выгр Кат'!$A:$R,C$1,0)</f>
        <v>Ремонтная вставка заднего лонжерона (левая) для ВАЗ 2108-21099, 2113-2115</v>
      </c>
      <c r="D618" s="52" t="str">
        <f>VLOOKUP($A618,'Выгр Кат'!$A:$R,D$1,0)</f>
        <v>Y</v>
      </c>
      <c r="E618" s="52" t="str">
        <f>VLOOKUP($A618,'Выгр Кат'!$A:$R,E$1,0)</f>
        <v>1</v>
      </c>
      <c r="F618" s="52" t="str">
        <f>VLOOKUP($A618,'Выгр Кат'!$A:$R,F$1,0)</f>
        <v>21080510137700</v>
      </c>
      <c r="G618" s="52" t="str">
        <f>IF(VLOOKUP($A618,'Выгр Кат'!$A:$R,G$1,0)=0,"",VLOOKUP($A618,'Выгр Кат'!$A:$R,G$1,0))</f>
        <v/>
      </c>
      <c r="H618" s="52"/>
      <c r="I618" s="52"/>
      <c r="J618" s="54">
        <f t="shared" si="152"/>
        <v>113.96</v>
      </c>
      <c r="K618" s="55">
        <f>VLOOKUP(J618,Наценка!$A$1:$B$8,2,1)</f>
        <v>1.8</v>
      </c>
      <c r="L618" s="56">
        <f t="shared" si="153"/>
        <v>205.12799999999999</v>
      </c>
      <c r="M618" s="57">
        <f t="shared" si="154"/>
        <v>209</v>
      </c>
      <c r="N618" s="52">
        <f>VLOOKUP($A618,'Выгр Кат'!$A:$R,N$1,0)</f>
        <v>113.96</v>
      </c>
      <c r="O618" s="52">
        <f>VLOOKUP($A618,'Выгр Кат'!$A:$R,O$1,0)</f>
        <v>209</v>
      </c>
      <c r="P618" s="47">
        <f t="shared" si="155"/>
        <v>0</v>
      </c>
      <c r="Q618" s="47">
        <f t="shared" si="156"/>
        <v>0</v>
      </c>
      <c r="R618" s="58">
        <f t="shared" si="157"/>
        <v>209</v>
      </c>
      <c r="S618" s="59">
        <f t="shared" si="158"/>
        <v>0.83397683397683409</v>
      </c>
      <c r="T618" s="59" t="str">
        <f t="shared" si="159"/>
        <v/>
      </c>
      <c r="U618" s="59" t="str">
        <f t="shared" si="160"/>
        <v/>
      </c>
      <c r="V618" s="60"/>
      <c r="W618" s="69" t="str">
        <f>IFERROR((VLOOKUP($A618,'Из ГУГЛа'!$B:$Z,W$1,0)+Y618)*X618,VLOOKUP($A618,'Из ГУГЛа'!$B:$Z,W$1,0))</f>
        <v/>
      </c>
      <c r="X618" s="61">
        <v>1</v>
      </c>
      <c r="Y618" s="61">
        <v>0</v>
      </c>
      <c r="Z618" s="60" t="s">
        <v>4170</v>
      </c>
      <c r="AA618" s="60"/>
    </row>
    <row r="619" spans="1:27" ht="30" x14ac:dyDescent="0.25">
      <c r="A619" s="52">
        <v>363694</v>
      </c>
      <c r="B619" s="52">
        <f>VLOOKUP($A619,'Выгр Кат'!$A:$R,B$1,0)</f>
        <v>363694</v>
      </c>
      <c r="C619" s="53" t="str">
        <f>VLOOKUP($A619,'Выгр Кат'!$A:$R,C$1,0)</f>
        <v>Ремонтная вставка заднего лонжерона (правая) для ВАЗ 2108-21099, 2113-2115</v>
      </c>
      <c r="D619" s="52" t="str">
        <f>VLOOKUP($A619,'Выгр Кат'!$A:$R,D$1,0)</f>
        <v>Y</v>
      </c>
      <c r="E619" s="52" t="str">
        <f>VLOOKUP($A619,'Выгр Кат'!$A:$R,E$1,0)</f>
        <v>0</v>
      </c>
      <c r="F619" s="52" t="str">
        <f>VLOOKUP($A619,'Выгр Кат'!$A:$R,F$1,0)</f>
        <v>21080510137600</v>
      </c>
      <c r="G619" s="52" t="str">
        <f>IF(VLOOKUP($A619,'Выгр Кат'!$A:$R,G$1,0)=0,"",VLOOKUP($A619,'Выгр Кат'!$A:$R,G$1,0))</f>
        <v/>
      </c>
      <c r="H619" s="52"/>
      <c r="I619" s="52"/>
      <c r="J619" s="54">
        <f t="shared" si="152"/>
        <v>0</v>
      </c>
      <c r="K619" s="55" t="e">
        <f>VLOOKUP(J619,Наценка!$A$1:$B$8,2,1)</f>
        <v>#N/A</v>
      </c>
      <c r="L619" s="56" t="e">
        <f t="shared" si="153"/>
        <v>#N/A</v>
      </c>
      <c r="M619" s="57" t="e">
        <f t="shared" si="154"/>
        <v>#N/A</v>
      </c>
      <c r="N619" s="52">
        <f>VLOOKUP($A619,'Выгр Кат'!$A:$R,N$1,0)</f>
        <v>0</v>
      </c>
      <c r="O619" s="52">
        <f>VLOOKUP($A619,'Выгр Кат'!$A:$R,O$1,0)</f>
        <v>0</v>
      </c>
      <c r="P619" s="47">
        <f t="shared" si="155"/>
        <v>0</v>
      </c>
      <c r="Q619" s="47" t="e">
        <f t="shared" si="156"/>
        <v>#N/A</v>
      </c>
      <c r="R619" s="58" t="str">
        <f t="shared" si="157"/>
        <v/>
      </c>
      <c r="S619" s="59" t="str">
        <f t="shared" si="158"/>
        <v/>
      </c>
      <c r="T619" s="59" t="str">
        <f t="shared" si="159"/>
        <v/>
      </c>
      <c r="U619" s="59" t="str">
        <f t="shared" si="160"/>
        <v/>
      </c>
      <c r="V619" s="60"/>
      <c r="W619" s="69" t="str">
        <f>IFERROR((VLOOKUP($A619,'Из ГУГЛа'!$B:$Z,W$1,0)+Y619)*X619,VLOOKUP($A619,'Из ГУГЛа'!$B:$Z,W$1,0))</f>
        <v/>
      </c>
      <c r="X619" s="61">
        <v>1</v>
      </c>
      <c r="Y619" s="61">
        <v>0</v>
      </c>
      <c r="Z619" s="76" t="s">
        <v>4285</v>
      </c>
      <c r="AA619" s="60"/>
    </row>
    <row r="620" spans="1:27" ht="45" x14ac:dyDescent="0.25">
      <c r="A620" s="52">
        <v>364388</v>
      </c>
      <c r="B620" s="52">
        <f>VLOOKUP($A620,'Выгр Кат'!$A:$R,B$1,0)</f>
        <v>364388</v>
      </c>
      <c r="C620" s="53" t="str">
        <f>VLOOKUP($A620,'Выгр Кат'!$A:$R,C$1,0)</f>
        <v>Ремонтная вставка заднего правого лонжерона (задняя часть с петлей) для ВАЗ 2108-21099, 2113-2115</v>
      </c>
      <c r="D620" s="52" t="str">
        <f>VLOOKUP($A620,'Выгр Кат'!$A:$R,D$1,0)</f>
        <v>Y</v>
      </c>
      <c r="E620" s="52" t="str">
        <f>VLOOKUP($A620,'Выгр Кат'!$A:$R,E$1,0)</f>
        <v>0ск1</v>
      </c>
      <c r="F620" s="52" t="str">
        <f>VLOOKUP($A620,'Выгр Кат'!$A:$R,F$1,0)</f>
        <v>21080510137210</v>
      </c>
      <c r="G620" s="52" t="str">
        <f>IF(VLOOKUP($A620,'Выгр Кат'!$A:$R,G$1,0)=0,"",VLOOKUP($A620,'Выгр Кат'!$A:$R,G$1,0))</f>
        <v/>
      </c>
      <c r="H620" s="52"/>
      <c r="I620" s="52"/>
      <c r="J620" s="54">
        <f t="shared" si="152"/>
        <v>0</v>
      </c>
      <c r="K620" s="55" t="e">
        <f>VLOOKUP(J620,Наценка!$A$1:$B$8,2,1)</f>
        <v>#N/A</v>
      </c>
      <c r="L620" s="56" t="e">
        <f t="shared" si="153"/>
        <v>#N/A</v>
      </c>
      <c r="M620" s="57" t="e">
        <f t="shared" si="154"/>
        <v>#N/A</v>
      </c>
      <c r="N620" s="52">
        <f>VLOOKUP($A620,'Выгр Кат'!$A:$R,N$1,0)</f>
        <v>0</v>
      </c>
      <c r="O620" s="52">
        <f>VLOOKUP($A620,'Выгр Кат'!$A:$R,O$1,0)</f>
        <v>0</v>
      </c>
      <c r="P620" s="47">
        <f t="shared" si="155"/>
        <v>0</v>
      </c>
      <c r="Q620" s="47" t="e">
        <f t="shared" si="156"/>
        <v>#N/A</v>
      </c>
      <c r="R620" s="58" t="str">
        <f t="shared" si="157"/>
        <v/>
      </c>
      <c r="S620" s="59" t="str">
        <f t="shared" si="158"/>
        <v/>
      </c>
      <c r="T620" s="59" t="str">
        <f t="shared" si="159"/>
        <v/>
      </c>
      <c r="U620" s="59" t="str">
        <f t="shared" si="160"/>
        <v/>
      </c>
      <c r="V620" s="60"/>
      <c r="W620" s="69" t="str">
        <f>IFERROR((VLOOKUP($A620,'Из ГУГЛа'!$B:$Z,W$1,0)+Y620)*X620,VLOOKUP($A620,'Из ГУГЛа'!$B:$Z,W$1,0))</f>
        <v/>
      </c>
      <c r="X620" s="61">
        <v>1</v>
      </c>
      <c r="Y620" s="61">
        <v>0</v>
      </c>
      <c r="Z620" s="60" t="s">
        <v>4170</v>
      </c>
      <c r="AA620" s="60"/>
    </row>
    <row r="621" spans="1:27" ht="45" x14ac:dyDescent="0.25">
      <c r="A621" s="52">
        <v>204491</v>
      </c>
      <c r="B621" s="52">
        <f>VLOOKUP($A621,'Выгр Кат'!$A:$R,B$1,0)</f>
        <v>32718</v>
      </c>
      <c r="C621" s="53" t="str">
        <f>VLOOKUP($A621,'Выгр Кат'!$A:$R,C$1,0)</f>
        <v>Ремонтная часть заднего правого крыла (большой хвостовик) для Лада Приора</v>
      </c>
      <c r="D621" s="52" t="str">
        <f>VLOOKUP($A621,'Выгр Кат'!$A:$R,D$1,0)</f>
        <v>Y</v>
      </c>
      <c r="E621" s="52" t="str">
        <f>VLOOKUP($A621,'Выгр Кат'!$A:$R,E$1,0)</f>
        <v>1</v>
      </c>
      <c r="F621" s="52" t="str">
        <f>VLOOKUP($A621,'Выгр Кат'!$A:$R,F$1,0)</f>
        <v>21700840402026</v>
      </c>
      <c r="G621" s="52" t="str">
        <f>IF(VLOOKUP($A621,'Выгр Кат'!$A:$R,G$1,0)=0,"",VLOOKUP($A621,'Выгр Кат'!$A:$R,G$1,0))</f>
        <v/>
      </c>
      <c r="H621" s="52"/>
      <c r="I621" s="52"/>
      <c r="J621" s="54">
        <f t="shared" si="152"/>
        <v>722</v>
      </c>
      <c r="K621" s="55">
        <f>VLOOKUP(J621,Наценка!$A$1:$B$8,2,1)</f>
        <v>1.55</v>
      </c>
      <c r="L621" s="56">
        <f t="shared" si="153"/>
        <v>1119.1000000000001</v>
      </c>
      <c r="M621" s="57">
        <f t="shared" si="154"/>
        <v>1190</v>
      </c>
      <c r="N621" s="52">
        <f>VLOOKUP($A621,'Выгр Кат'!$A:$R,N$1,0)</f>
        <v>722</v>
      </c>
      <c r="O621" s="52">
        <f>VLOOKUP($A621,'Выгр Кат'!$A:$R,O$1,0)</f>
        <v>1190</v>
      </c>
      <c r="P621" s="47">
        <f t="shared" si="155"/>
        <v>0</v>
      </c>
      <c r="Q621" s="47">
        <f t="shared" si="156"/>
        <v>0</v>
      </c>
      <c r="R621" s="58">
        <f t="shared" si="157"/>
        <v>1190</v>
      </c>
      <c r="S621" s="59">
        <f t="shared" si="158"/>
        <v>0.64819944598337953</v>
      </c>
      <c r="T621" s="59" t="str">
        <f t="shared" si="159"/>
        <v/>
      </c>
      <c r="U621" s="59" t="str">
        <f t="shared" si="160"/>
        <v/>
      </c>
      <c r="V621" s="60"/>
      <c r="W621" s="69" t="str">
        <f>IFERROR((VLOOKUP($A621,'Из ГУГЛа'!$B:$Z,W$1,0)+Y621)*X621,VLOOKUP($A621,'Из ГУГЛа'!$B:$Z,W$1,0))</f>
        <v/>
      </c>
      <c r="X621" s="61">
        <v>1</v>
      </c>
      <c r="Y621" s="61">
        <v>0</v>
      </c>
      <c r="Z621" s="60" t="s">
        <v>4170</v>
      </c>
      <c r="AA621" s="60"/>
    </row>
    <row r="622" spans="1:27" ht="45" x14ac:dyDescent="0.25">
      <c r="A622" s="52">
        <v>214051</v>
      </c>
      <c r="B622" s="52">
        <f>VLOOKUP($A622,'Выгр Кат'!$A:$R,B$1,0)</f>
        <v>45748</v>
      </c>
      <c r="C622" s="53" t="str">
        <f>VLOOKUP($A622,'Выгр Кат'!$A:$R,C$1,0)</f>
        <v>Соединитель "АвтоВАЗ" брызговика с передком, правый для ВАЗ 2110-2112, Лада Приора</v>
      </c>
      <c r="D622" s="52" t="str">
        <f>VLOOKUP($A622,'Выгр Кат'!$A:$R,D$1,0)</f>
        <v>Y</v>
      </c>
      <c r="E622" s="52" t="str">
        <f>VLOOKUP($A622,'Выгр Кат'!$A:$R,E$1,0)</f>
        <v>1</v>
      </c>
      <c r="F622" s="52" t="str">
        <f>VLOOKUP($A622,'Выгр Кат'!$A:$R,F$1,0)</f>
        <v>21100840342650</v>
      </c>
      <c r="G622" s="52" t="str">
        <f>IF(VLOOKUP($A622,'Выгр Кат'!$A:$R,G$1,0)=0,"",VLOOKUP($A622,'Выгр Кат'!$A:$R,G$1,0))</f>
        <v/>
      </c>
      <c r="H622" s="52"/>
      <c r="I622" s="52"/>
      <c r="J622" s="54">
        <f t="shared" si="152"/>
        <v>51</v>
      </c>
      <c r="K622" s="55">
        <f>VLOOKUP(J622,Наценка!$A$1:$B$8,2,1)</f>
        <v>2</v>
      </c>
      <c r="L622" s="56">
        <f t="shared" si="153"/>
        <v>102</v>
      </c>
      <c r="M622" s="57">
        <f t="shared" si="154"/>
        <v>109</v>
      </c>
      <c r="N622" s="52">
        <f>VLOOKUP($A622,'Выгр Кат'!$A:$R,N$1,0)</f>
        <v>51</v>
      </c>
      <c r="O622" s="52">
        <f>VLOOKUP($A622,'Выгр Кат'!$A:$R,O$1,0)</f>
        <v>109</v>
      </c>
      <c r="P622" s="47">
        <f t="shared" si="155"/>
        <v>0</v>
      </c>
      <c r="Q622" s="47">
        <f t="shared" si="156"/>
        <v>0</v>
      </c>
      <c r="R622" s="58">
        <f t="shared" si="157"/>
        <v>109</v>
      </c>
      <c r="S622" s="59">
        <f t="shared" si="158"/>
        <v>1.1372549019607843</v>
      </c>
      <c r="T622" s="59" t="str">
        <f t="shared" si="159"/>
        <v/>
      </c>
      <c r="U622" s="59" t="str">
        <f t="shared" si="160"/>
        <v/>
      </c>
      <c r="V622" s="60"/>
      <c r="W622" s="69" t="str">
        <f>IFERROR((VLOOKUP($A622,'Из ГУГЛа'!$B:$Z,W$1,0)+Y622)*X622,VLOOKUP($A622,'Из ГУГЛа'!$B:$Z,W$1,0))</f>
        <v/>
      </c>
      <c r="X622" s="61">
        <v>1</v>
      </c>
      <c r="Y622" s="61">
        <v>0</v>
      </c>
      <c r="Z622" s="60" t="s">
        <v>4170</v>
      </c>
      <c r="AA622" s="60"/>
    </row>
    <row r="623" spans="1:27" ht="30" x14ac:dyDescent="0.25">
      <c r="A623" s="52">
        <v>214052</v>
      </c>
      <c r="B623" s="52">
        <f>VLOOKUP($A623,'Выгр Кат'!$A:$R,B$1,0)</f>
        <v>50409</v>
      </c>
      <c r="C623" s="53" t="str">
        <f>VLOOKUP($A623,'Выгр Кат'!$A:$R,C$1,0)</f>
        <v>Соединитель "АвтоВАЗ" заднего пола и боковины левый для Лада Веста</v>
      </c>
      <c r="D623" s="52" t="str">
        <f>VLOOKUP($A623,'Выгр Кат'!$A:$R,D$1,0)</f>
        <v>Y</v>
      </c>
      <c r="E623" s="52" t="str">
        <f>VLOOKUP($A623,'Выгр Кат'!$A:$R,E$1,0)</f>
        <v>1</v>
      </c>
      <c r="F623" s="52" t="str">
        <f>VLOOKUP($A623,'Выгр Кат'!$A:$R,F$1,0)</f>
        <v>8450008609</v>
      </c>
      <c r="G623" s="52" t="str">
        <f>IF(VLOOKUP($A623,'Выгр Кат'!$A:$R,G$1,0)=0,"",VLOOKUP($A623,'Выгр Кат'!$A:$R,G$1,0))</f>
        <v/>
      </c>
      <c r="H623" s="52"/>
      <c r="I623" s="52"/>
      <c r="J623" s="54">
        <f t="shared" si="152"/>
        <v>592</v>
      </c>
      <c r="K623" s="55">
        <f>VLOOKUP(J623,Наценка!$A$1:$B$8,2,1)</f>
        <v>1.55</v>
      </c>
      <c r="L623" s="56">
        <f t="shared" si="153"/>
        <v>917.6</v>
      </c>
      <c r="M623" s="57">
        <f t="shared" si="154"/>
        <v>919</v>
      </c>
      <c r="N623" s="52">
        <f>VLOOKUP($A623,'Выгр Кат'!$A:$R,N$1,0)</f>
        <v>592</v>
      </c>
      <c r="O623" s="52">
        <f>VLOOKUP($A623,'Выгр Кат'!$A:$R,O$1,0)</f>
        <v>919</v>
      </c>
      <c r="P623" s="47">
        <f t="shared" si="155"/>
        <v>0</v>
      </c>
      <c r="Q623" s="47">
        <f t="shared" si="156"/>
        <v>0</v>
      </c>
      <c r="R623" s="58">
        <f t="shared" si="157"/>
        <v>919</v>
      </c>
      <c r="S623" s="59">
        <f t="shared" si="158"/>
        <v>0.55236486486486491</v>
      </c>
      <c r="T623" s="59" t="str">
        <f t="shared" si="159"/>
        <v/>
      </c>
      <c r="U623" s="59" t="str">
        <f t="shared" si="160"/>
        <v/>
      </c>
      <c r="V623" s="60"/>
      <c r="W623" s="69" t="str">
        <f>IFERROR((VLOOKUP($A623,'Из ГУГЛа'!$B:$Z,W$1,0)+Y623)*X623,VLOOKUP($A623,'Из ГУГЛа'!$B:$Z,W$1,0))</f>
        <v/>
      </c>
      <c r="X623" s="61">
        <v>1</v>
      </c>
      <c r="Y623" s="61">
        <v>0</v>
      </c>
      <c r="Z623" s="60" t="s">
        <v>4170</v>
      </c>
      <c r="AA623" s="60"/>
    </row>
    <row r="624" spans="1:27" ht="30" x14ac:dyDescent="0.25">
      <c r="A624" s="52">
        <v>214053</v>
      </c>
      <c r="B624" s="52">
        <f>VLOOKUP($A624,'Выгр Кат'!$A:$R,B$1,0)</f>
        <v>50405</v>
      </c>
      <c r="C624" s="53" t="str">
        <f>VLOOKUP($A624,'Выгр Кат'!$A:$R,C$1,0)</f>
        <v>Соединитель "АвтоВАЗ" заднего пола и боковины правый для Лада Веста</v>
      </c>
      <c r="D624" s="52" t="str">
        <f>VLOOKUP($A624,'Выгр Кат'!$A:$R,D$1,0)</f>
        <v>Y</v>
      </c>
      <c r="E624" s="52" t="str">
        <f>VLOOKUP($A624,'Выгр Кат'!$A:$R,E$1,0)</f>
        <v>1</v>
      </c>
      <c r="F624" s="52" t="str">
        <f>VLOOKUP($A624,'Выгр Кат'!$A:$R,F$1,0)</f>
        <v>8450008608</v>
      </c>
      <c r="G624" s="52" t="str">
        <f>IF(VLOOKUP($A624,'Выгр Кат'!$A:$R,G$1,0)=0,"",VLOOKUP($A624,'Выгр Кат'!$A:$R,G$1,0))</f>
        <v/>
      </c>
      <c r="H624" s="52"/>
      <c r="I624" s="52"/>
      <c r="J624" s="54">
        <f t="shared" si="152"/>
        <v>739</v>
      </c>
      <c r="K624" s="55">
        <f>VLOOKUP(J624,Наценка!$A$1:$B$8,2,1)</f>
        <v>1.55</v>
      </c>
      <c r="L624" s="56">
        <f t="shared" si="153"/>
        <v>1145.45</v>
      </c>
      <c r="M624" s="57">
        <f t="shared" si="154"/>
        <v>1190</v>
      </c>
      <c r="N624" s="52">
        <f>VLOOKUP($A624,'Выгр Кат'!$A:$R,N$1,0)</f>
        <v>739</v>
      </c>
      <c r="O624" s="52">
        <f>VLOOKUP($A624,'Выгр Кат'!$A:$R,O$1,0)</f>
        <v>1190</v>
      </c>
      <c r="P624" s="47">
        <f t="shared" si="155"/>
        <v>0</v>
      </c>
      <c r="Q624" s="47">
        <f t="shared" si="156"/>
        <v>0</v>
      </c>
      <c r="R624" s="58">
        <f t="shared" si="157"/>
        <v>1190</v>
      </c>
      <c r="S624" s="59">
        <f t="shared" si="158"/>
        <v>0.61028416779431671</v>
      </c>
      <c r="T624" s="59" t="str">
        <f t="shared" si="159"/>
        <v/>
      </c>
      <c r="U624" s="59" t="str">
        <f t="shared" si="160"/>
        <v/>
      </c>
      <c r="V624" s="60"/>
      <c r="W624" s="69" t="str">
        <f>IFERROR((VLOOKUP($A624,'Из ГУГЛа'!$B:$Z,W$1,0)+Y624)*X624,VLOOKUP($A624,'Из ГУГЛа'!$B:$Z,W$1,0))</f>
        <v/>
      </c>
      <c r="X624" s="61">
        <v>1</v>
      </c>
      <c r="Y624" s="61">
        <v>0</v>
      </c>
      <c r="Z624" s="60" t="s">
        <v>4170</v>
      </c>
      <c r="AA624" s="60"/>
    </row>
    <row r="625" spans="1:27" ht="45" x14ac:dyDescent="0.25">
      <c r="A625" s="52">
        <v>214055</v>
      </c>
      <c r="B625" s="52">
        <f>VLOOKUP($A625,'Выгр Кат'!$A:$R,B$1,0)</f>
        <v>31227</v>
      </c>
      <c r="C625" s="53" t="str">
        <f>VLOOKUP($A625,'Выгр Кат'!$A:$R,C$1,0)</f>
        <v>Соединитель боковины и крыши задний "АвтоВАЗ" правый для Лада Приора, Приора 2 универсал</v>
      </c>
      <c r="D625" s="52" t="str">
        <f>VLOOKUP($A625,'Выгр Кат'!$A:$R,D$1,0)</f>
        <v>Y</v>
      </c>
      <c r="E625" s="52" t="str">
        <f>VLOOKUP($A625,'Выгр Кат'!$A:$R,E$1,0)</f>
        <v>1</v>
      </c>
      <c r="F625" s="52" t="str">
        <f>VLOOKUP($A625,'Выгр Кат'!$A:$R,F$1,0)</f>
        <v>21710540125800</v>
      </c>
      <c r="G625" s="52" t="str">
        <f>IF(VLOOKUP($A625,'Выгр Кат'!$A:$R,G$1,0)=0,"",VLOOKUP($A625,'Выгр Кат'!$A:$R,G$1,0))</f>
        <v>https://motorring.ru/product/16795</v>
      </c>
      <c r="H625" s="52"/>
      <c r="I625" s="52"/>
      <c r="J625" s="54">
        <f t="shared" si="152"/>
        <v>161</v>
      </c>
      <c r="K625" s="55">
        <f>VLOOKUP(J625,Наценка!$A$1:$B$8,2,1)</f>
        <v>1.8</v>
      </c>
      <c r="L625" s="56">
        <f t="shared" si="153"/>
        <v>289.8</v>
      </c>
      <c r="M625" s="57">
        <f t="shared" si="154"/>
        <v>289</v>
      </c>
      <c r="N625" s="52">
        <f>VLOOKUP($A625,'Выгр Кат'!$A:$R,N$1,0)</f>
        <v>161</v>
      </c>
      <c r="O625" s="52">
        <f>VLOOKUP($A625,'Выгр Кат'!$A:$R,O$1,0)</f>
        <v>289</v>
      </c>
      <c r="P625" s="47">
        <f t="shared" si="155"/>
        <v>0</v>
      </c>
      <c r="Q625" s="47">
        <f t="shared" si="156"/>
        <v>0</v>
      </c>
      <c r="R625" s="58">
        <f t="shared" si="157"/>
        <v>289</v>
      </c>
      <c r="S625" s="59">
        <f t="shared" si="158"/>
        <v>0.79503105590062106</v>
      </c>
      <c r="T625" s="59">
        <f t="shared" si="159"/>
        <v>0.51016949152542368</v>
      </c>
      <c r="U625" s="59">
        <f t="shared" si="160"/>
        <v>2.6645962732919255</v>
      </c>
      <c r="V625" s="42">
        <f>Z625</f>
        <v>590</v>
      </c>
      <c r="W625" s="69">
        <f>IFERROR((VLOOKUP($A625,'Из ГУГЛа'!$B:$Z,W$1,0)+Y625)*X625,VLOOKUP($A625,'Из ГУГЛа'!$B:$Z,W$1,0))</f>
        <v>590</v>
      </c>
      <c r="X625" s="61">
        <v>1</v>
      </c>
      <c r="Y625" s="61">
        <v>0</v>
      </c>
      <c r="Z625" s="70">
        <v>590</v>
      </c>
      <c r="AA625" s="60" t="s">
        <v>1641</v>
      </c>
    </row>
    <row r="626" spans="1:27" ht="45" x14ac:dyDescent="0.25">
      <c r="A626" s="52">
        <v>214056</v>
      </c>
      <c r="B626" s="52">
        <f>VLOOKUP($A626,'Выгр Кат'!$A:$R,B$1,0)</f>
        <v>31396</v>
      </c>
      <c r="C626" s="53" t="str">
        <f>VLOOKUP($A626,'Выгр Кат'!$A:$R,C$1,0)</f>
        <v>Соединитель брызговика с щитком передка "АвтоВАЗ" правый для ВАЗ 2110</v>
      </c>
      <c r="D626" s="52" t="str">
        <f>VLOOKUP($A626,'Выгр Кат'!$A:$R,D$1,0)</f>
        <v>Y</v>
      </c>
      <c r="E626" s="52" t="str">
        <f>VLOOKUP($A626,'Выгр Кат'!$A:$R,E$1,0)</f>
        <v>1</v>
      </c>
      <c r="F626" s="52" t="str">
        <f>VLOOKUP($A626,'Выгр Кат'!$A:$R,F$1,0)</f>
        <v>21100840342850</v>
      </c>
      <c r="G626" s="52" t="str">
        <f>IF(VLOOKUP($A626,'Выгр Кат'!$A:$R,G$1,0)=0,"",VLOOKUP($A626,'Выгр Кат'!$A:$R,G$1,0))</f>
        <v/>
      </c>
      <c r="H626" s="52"/>
      <c r="I626" s="52"/>
      <c r="J626" s="54">
        <f t="shared" si="152"/>
        <v>23</v>
      </c>
      <c r="K626" s="55">
        <f>VLOOKUP(J626,Наценка!$A$1:$B$8,2,1)</f>
        <v>2</v>
      </c>
      <c r="L626" s="56">
        <f t="shared" si="153"/>
        <v>46</v>
      </c>
      <c r="M626" s="57">
        <f t="shared" si="154"/>
        <v>49</v>
      </c>
      <c r="N626" s="52">
        <f>VLOOKUP($A626,'Выгр Кат'!$A:$R,N$1,0)</f>
        <v>23</v>
      </c>
      <c r="O626" s="52">
        <f>VLOOKUP($A626,'Выгр Кат'!$A:$R,O$1,0)</f>
        <v>49</v>
      </c>
      <c r="P626" s="47">
        <f t="shared" si="155"/>
        <v>0</v>
      </c>
      <c r="Q626" s="47">
        <f t="shared" si="156"/>
        <v>0</v>
      </c>
      <c r="R626" s="58">
        <f t="shared" si="157"/>
        <v>49</v>
      </c>
      <c r="S626" s="59">
        <f t="shared" si="158"/>
        <v>1.1304347826086958</v>
      </c>
      <c r="T626" s="59" t="str">
        <f t="shared" si="159"/>
        <v/>
      </c>
      <c r="U626" s="59" t="str">
        <f t="shared" si="160"/>
        <v/>
      </c>
      <c r="V626" s="60"/>
      <c r="W626" s="69" t="str">
        <f>IFERROR((VLOOKUP($A626,'Из ГУГЛа'!$B:$Z,W$1,0)+Y626)*X626,VLOOKUP($A626,'Из ГУГЛа'!$B:$Z,W$1,0))</f>
        <v/>
      </c>
      <c r="X626" s="61">
        <v>1</v>
      </c>
      <c r="Y626" s="61">
        <v>0</v>
      </c>
      <c r="Z626" s="60" t="s">
        <v>4170</v>
      </c>
      <c r="AA626" s="60"/>
    </row>
    <row r="627" spans="1:27" ht="30" x14ac:dyDescent="0.25">
      <c r="A627" s="52">
        <v>214057</v>
      </c>
      <c r="B627" s="52">
        <f>VLOOKUP($A627,'Выгр Кат'!$A:$R,B$1,0)</f>
        <v>31212</v>
      </c>
      <c r="C627" s="53" t="str">
        <f>VLOOKUP($A627,'Выгр Кат'!$A:$R,C$1,0)</f>
        <v>Соединитель крыла заднего "АвтоВАЗ" правый для Лада Гранта седан</v>
      </c>
      <c r="D627" s="52" t="str">
        <f>VLOOKUP($A627,'Выгр Кат'!$A:$R,D$1,0)</f>
        <v>Y</v>
      </c>
      <c r="E627" s="52" t="str">
        <f>VLOOKUP($A627,'Выгр Кат'!$A:$R,E$1,0)</f>
        <v>1</v>
      </c>
      <c r="F627" s="52" t="str">
        <f>VLOOKUP($A627,'Выгр Кат'!$A:$R,F$1,0)</f>
        <v>21900840406600</v>
      </c>
      <c r="G627" s="52" t="str">
        <f>IF(VLOOKUP($A627,'Выгр Кат'!$A:$R,G$1,0)=0,"",VLOOKUP($A627,'Выгр Кат'!$A:$R,G$1,0))</f>
        <v>https://motorring.ru/product/15221-soedinitely-kryla-zadnego-pravyy-lada-granta</v>
      </c>
      <c r="H627" s="52"/>
      <c r="I627" s="52"/>
      <c r="J627" s="54">
        <f t="shared" si="152"/>
        <v>832</v>
      </c>
      <c r="K627" s="55">
        <f>VLOOKUP(J627,Наценка!$A$1:$B$8,2,1)</f>
        <v>1.55</v>
      </c>
      <c r="L627" s="56">
        <f t="shared" si="153"/>
        <v>1289.6000000000001</v>
      </c>
      <c r="M627" s="57">
        <f t="shared" si="154"/>
        <v>1290</v>
      </c>
      <c r="N627" s="52">
        <f>VLOOKUP($A627,'Выгр Кат'!$A:$R,N$1,0)</f>
        <v>832</v>
      </c>
      <c r="O627" s="52">
        <f>VLOOKUP($A627,'Выгр Кат'!$A:$R,O$1,0)</f>
        <v>1290</v>
      </c>
      <c r="P627" s="47">
        <f t="shared" si="155"/>
        <v>0</v>
      </c>
      <c r="Q627" s="47">
        <f t="shared" si="156"/>
        <v>0</v>
      </c>
      <c r="R627" s="58">
        <f t="shared" si="157"/>
        <v>1290</v>
      </c>
      <c r="S627" s="59">
        <f t="shared" si="158"/>
        <v>0.55048076923076916</v>
      </c>
      <c r="T627" s="59">
        <f t="shared" si="159"/>
        <v>0</v>
      </c>
      <c r="U627" s="59">
        <f t="shared" si="160"/>
        <v>0.55048076923076916</v>
      </c>
      <c r="V627" s="42">
        <f t="shared" ref="V627:V629" si="168">Z627</f>
        <v>1290</v>
      </c>
      <c r="W627" s="69">
        <f>IFERROR((VLOOKUP($A627,'Из ГУГЛа'!$B:$Z,W$1,0)+Y627)*X627,VLOOKUP($A627,'Из ГУГЛа'!$B:$Z,W$1,0))</f>
        <v>1290</v>
      </c>
      <c r="X627" s="61">
        <v>1</v>
      </c>
      <c r="Y627" s="61">
        <v>0</v>
      </c>
      <c r="Z627" s="70">
        <v>1290</v>
      </c>
      <c r="AA627" s="60" t="s">
        <v>1646</v>
      </c>
    </row>
    <row r="628" spans="1:27" ht="45" x14ac:dyDescent="0.25">
      <c r="A628" s="52">
        <v>214058</v>
      </c>
      <c r="B628" s="52">
        <f>VLOOKUP($A628,'Выгр Кат'!$A:$R,B$1,0)</f>
        <v>31201</v>
      </c>
      <c r="C628" s="53" t="str">
        <f>VLOOKUP($A628,'Выгр Кат'!$A:$R,C$1,0)</f>
        <v>Соединитель крыла заднего и пола "АвтоВАЗ" левый для Лада Калина 2 универсал</v>
      </c>
      <c r="D628" s="52" t="str">
        <f>VLOOKUP($A628,'Выгр Кат'!$A:$R,D$1,0)</f>
        <v>Y</v>
      </c>
      <c r="E628" s="52" t="str">
        <f>VLOOKUP($A628,'Выгр Кат'!$A:$R,E$1,0)</f>
        <v>1</v>
      </c>
      <c r="F628" s="52" t="str">
        <f>VLOOKUP($A628,'Выгр Кат'!$A:$R,F$1,0)</f>
        <v>21940840406700</v>
      </c>
      <c r="G628" s="52" t="str">
        <f>IF(VLOOKUP($A628,'Выгр Кат'!$A:$R,G$1,0)=0,"",VLOOKUP($A628,'Выгр Кат'!$A:$R,G$1,0))</f>
        <v>https://motorring.ru/product/15203</v>
      </c>
      <c r="H628" s="52"/>
      <c r="I628" s="52"/>
      <c r="J628" s="54">
        <f t="shared" si="152"/>
        <v>1279</v>
      </c>
      <c r="K628" s="55">
        <f>VLOOKUP(J628,Наценка!$A$1:$B$8,2,1)</f>
        <v>1.5</v>
      </c>
      <c r="L628" s="56">
        <f t="shared" si="153"/>
        <v>1918.5</v>
      </c>
      <c r="M628" s="57">
        <f t="shared" si="154"/>
        <v>1990</v>
      </c>
      <c r="N628" s="52">
        <f>VLOOKUP($A628,'Выгр Кат'!$A:$R,N$1,0)</f>
        <v>1279</v>
      </c>
      <c r="O628" s="52">
        <f>VLOOKUP($A628,'Выгр Кат'!$A:$R,O$1,0)</f>
        <v>1990</v>
      </c>
      <c r="P628" s="47">
        <f t="shared" si="155"/>
        <v>0</v>
      </c>
      <c r="Q628" s="47">
        <f t="shared" si="156"/>
        <v>0</v>
      </c>
      <c r="R628" s="58">
        <f t="shared" si="157"/>
        <v>1990</v>
      </c>
      <c r="S628" s="59">
        <f t="shared" si="158"/>
        <v>0.55590304925723211</v>
      </c>
      <c r="T628" s="59">
        <f t="shared" si="159"/>
        <v>-5.2910052910052907E-2</v>
      </c>
      <c r="U628" s="59">
        <f t="shared" si="160"/>
        <v>0.47771696637998429</v>
      </c>
      <c r="V628" s="42">
        <f t="shared" si="168"/>
        <v>1890</v>
      </c>
      <c r="W628" s="69">
        <f>IFERROR((VLOOKUP($A628,'Из ГУГЛа'!$B:$Z,W$1,0)+Y628)*X628,VLOOKUP($A628,'Из ГУГЛа'!$B:$Z,W$1,0))</f>
        <v>1890</v>
      </c>
      <c r="X628" s="61">
        <v>1</v>
      </c>
      <c r="Y628" s="61">
        <v>0</v>
      </c>
      <c r="Z628" s="70">
        <v>1890</v>
      </c>
      <c r="AA628" s="60" t="s">
        <v>1649</v>
      </c>
    </row>
    <row r="629" spans="1:27" ht="45" x14ac:dyDescent="0.25">
      <c r="A629" s="52">
        <v>214059</v>
      </c>
      <c r="B629" s="52">
        <f>VLOOKUP($A629,'Выгр Кат'!$A:$R,B$1,0)</f>
        <v>32708</v>
      </c>
      <c r="C629" s="53" t="str">
        <f>VLOOKUP($A629,'Выгр Кат'!$A:$R,C$1,0)</f>
        <v>Соединитель крыла заднего и пола "АвтоВАЗ" правый для Лада Калина 2 универсал</v>
      </c>
      <c r="D629" s="52" t="str">
        <f>VLOOKUP($A629,'Выгр Кат'!$A:$R,D$1,0)</f>
        <v>Y</v>
      </c>
      <c r="E629" s="52" t="str">
        <f>VLOOKUP($A629,'Выгр Кат'!$A:$R,E$1,0)</f>
        <v>1</v>
      </c>
      <c r="F629" s="52" t="str">
        <f>VLOOKUP($A629,'Выгр Кат'!$A:$R,F$1,0)</f>
        <v>21940840406600</v>
      </c>
      <c r="G629" s="52" t="str">
        <f>IF(VLOOKUP($A629,'Выгр Кат'!$A:$R,G$1,0)=0,"",VLOOKUP($A629,'Выгр Кат'!$A:$R,G$1,0))</f>
        <v>https://motorring.ru/product/18222-soedinitely-kryla-zadnego-pola-pravyy-lada-kalina</v>
      </c>
      <c r="H629" s="52"/>
      <c r="I629" s="52"/>
      <c r="J629" s="54">
        <f t="shared" si="152"/>
        <v>1304</v>
      </c>
      <c r="K629" s="55">
        <f>VLOOKUP(J629,Наценка!$A$1:$B$8,2,1)</f>
        <v>1.5</v>
      </c>
      <c r="L629" s="56">
        <f t="shared" si="153"/>
        <v>1956</v>
      </c>
      <c r="M629" s="57">
        <f t="shared" si="154"/>
        <v>1990</v>
      </c>
      <c r="N629" s="52">
        <f>VLOOKUP($A629,'Выгр Кат'!$A:$R,N$1,0)</f>
        <v>1304</v>
      </c>
      <c r="O629" s="52">
        <f>VLOOKUP($A629,'Выгр Кат'!$A:$R,O$1,0)</f>
        <v>1990</v>
      </c>
      <c r="P629" s="47">
        <f t="shared" si="155"/>
        <v>0</v>
      </c>
      <c r="Q629" s="47">
        <f t="shared" si="156"/>
        <v>0</v>
      </c>
      <c r="R629" s="58">
        <f t="shared" si="157"/>
        <v>1990</v>
      </c>
      <c r="S629" s="59">
        <f t="shared" si="158"/>
        <v>0.5260736196319018</v>
      </c>
      <c r="T629" s="59">
        <f t="shared" si="159"/>
        <v>-5.2910052910052907E-2</v>
      </c>
      <c r="U629" s="59">
        <f t="shared" si="160"/>
        <v>0.44938650306748462</v>
      </c>
      <c r="V629" s="42">
        <f t="shared" si="168"/>
        <v>1890</v>
      </c>
      <c r="W629" s="69">
        <f>IFERROR((VLOOKUP($A629,'Из ГУГЛа'!$B:$Z,W$1,0)+Y629)*X629,VLOOKUP($A629,'Из ГУГЛа'!$B:$Z,W$1,0))</f>
        <v>1890</v>
      </c>
      <c r="X629" s="61">
        <v>1</v>
      </c>
      <c r="Y629" s="61">
        <v>0</v>
      </c>
      <c r="Z629" s="70">
        <v>1890</v>
      </c>
      <c r="AA629" s="60" t="s">
        <v>1652</v>
      </c>
    </row>
    <row r="630" spans="1:27" ht="45" x14ac:dyDescent="0.25">
      <c r="A630" s="52">
        <v>214060</v>
      </c>
      <c r="B630" s="52">
        <f>VLOOKUP($A630,'Выгр Кат'!$A:$R,B$1,0)</f>
        <v>48571</v>
      </c>
      <c r="C630" s="53" t="str">
        <f>VLOOKUP($A630,'Выгр Кат'!$A:$R,C$1,0)</f>
        <v>Соединитель крыла и пола "АвтоВАЗ" задний левый для Лада Гранта, Гранта FL</v>
      </c>
      <c r="D630" s="52" t="str">
        <f>VLOOKUP($A630,'Выгр Кат'!$A:$R,D$1,0)</f>
        <v>Y</v>
      </c>
      <c r="E630" s="52" t="str">
        <f>VLOOKUP($A630,'Выгр Кат'!$A:$R,E$1,0)</f>
        <v>1</v>
      </c>
      <c r="F630" s="52" t="str">
        <f>VLOOKUP($A630,'Выгр Кат'!$A:$R,F$1,0)</f>
        <v>21900840406700</v>
      </c>
      <c r="G630" s="52" t="str">
        <f>IF(VLOOKUP($A630,'Выгр Кат'!$A:$R,G$1,0)=0,"",VLOOKUP($A630,'Выгр Кат'!$A:$R,G$1,0))</f>
        <v/>
      </c>
      <c r="H630" s="52"/>
      <c r="I630" s="52"/>
      <c r="J630" s="54">
        <f t="shared" si="152"/>
        <v>976</v>
      </c>
      <c r="K630" s="55">
        <f>VLOOKUP(J630,Наценка!$A$1:$B$8,2,1)</f>
        <v>1.55</v>
      </c>
      <c r="L630" s="56">
        <f t="shared" si="153"/>
        <v>1512.8</v>
      </c>
      <c r="M630" s="57">
        <f t="shared" si="154"/>
        <v>1590</v>
      </c>
      <c r="N630" s="52">
        <f>VLOOKUP($A630,'Выгр Кат'!$A:$R,N$1,0)</f>
        <v>976</v>
      </c>
      <c r="O630" s="52">
        <f>VLOOKUP($A630,'Выгр Кат'!$A:$R,O$1,0)</f>
        <v>1590</v>
      </c>
      <c r="P630" s="47">
        <f t="shared" si="155"/>
        <v>0</v>
      </c>
      <c r="Q630" s="47">
        <f t="shared" si="156"/>
        <v>0</v>
      </c>
      <c r="R630" s="58">
        <f t="shared" si="157"/>
        <v>1590</v>
      </c>
      <c r="S630" s="59">
        <f t="shared" si="158"/>
        <v>0.62909836065573765</v>
      </c>
      <c r="T630" s="59" t="str">
        <f t="shared" si="159"/>
        <v/>
      </c>
      <c r="U630" s="59" t="str">
        <f t="shared" si="160"/>
        <v/>
      </c>
      <c r="V630" s="60"/>
      <c r="W630" s="69" t="str">
        <f>IFERROR((VLOOKUP($A630,'Из ГУГЛа'!$B:$Z,W$1,0)+Y630)*X630,VLOOKUP($A630,'Из ГУГЛа'!$B:$Z,W$1,0))</f>
        <v/>
      </c>
      <c r="X630" s="61">
        <v>1</v>
      </c>
      <c r="Y630" s="61">
        <v>0</v>
      </c>
      <c r="Z630" s="60" t="s">
        <v>4170</v>
      </c>
      <c r="AA630" s="60"/>
    </row>
    <row r="631" spans="1:27" ht="45" x14ac:dyDescent="0.25">
      <c r="A631" s="52">
        <v>214061</v>
      </c>
      <c r="B631" s="52">
        <f>VLOOKUP($A631,'Выгр Кат'!$A:$R,B$1,0)</f>
        <v>50240</v>
      </c>
      <c r="C631" s="53" t="str">
        <f>VLOOKUP($A631,'Выгр Кат'!$A:$R,C$1,0)</f>
        <v>Соединитель крыла и пола "АвтоВАЗ" задний правый (катафорез) для Лада Гранта, Гранта FL</v>
      </c>
      <c r="D631" s="52" t="str">
        <f>VLOOKUP($A631,'Выгр Кат'!$A:$R,D$1,0)</f>
        <v>Y</v>
      </c>
      <c r="E631" s="52" t="str">
        <f>VLOOKUP($A631,'Выгр Кат'!$A:$R,E$1,0)</f>
        <v>1</v>
      </c>
      <c r="F631" s="52" t="str">
        <f>VLOOKUP($A631,'Выгр Кат'!$A:$R,F$1,0)</f>
        <v>21910840406670</v>
      </c>
      <c r="G631" s="52" t="str">
        <f>IF(VLOOKUP($A631,'Выгр Кат'!$A:$R,G$1,0)=0,"",VLOOKUP($A631,'Выгр Кат'!$A:$R,G$1,0))</f>
        <v/>
      </c>
      <c r="H631" s="52"/>
      <c r="I631" s="52"/>
      <c r="J631" s="54">
        <f t="shared" si="152"/>
        <v>1121</v>
      </c>
      <c r="K631" s="55">
        <f>VLOOKUP(J631,Наценка!$A$1:$B$8,2,1)</f>
        <v>1.5</v>
      </c>
      <c r="L631" s="56">
        <f t="shared" si="153"/>
        <v>1681.5</v>
      </c>
      <c r="M631" s="57">
        <f t="shared" si="154"/>
        <v>1690</v>
      </c>
      <c r="N631" s="52">
        <f>VLOOKUP($A631,'Выгр Кат'!$A:$R,N$1,0)</f>
        <v>1121</v>
      </c>
      <c r="O631" s="52">
        <f>VLOOKUP($A631,'Выгр Кат'!$A:$R,O$1,0)</f>
        <v>1690</v>
      </c>
      <c r="P631" s="47">
        <f t="shared" si="155"/>
        <v>0</v>
      </c>
      <c r="Q631" s="47">
        <f t="shared" si="156"/>
        <v>0</v>
      </c>
      <c r="R631" s="58">
        <f t="shared" si="157"/>
        <v>1690</v>
      </c>
      <c r="S631" s="59">
        <f t="shared" si="158"/>
        <v>0.5075825156110616</v>
      </c>
      <c r="T631" s="59" t="str">
        <f t="shared" si="159"/>
        <v/>
      </c>
      <c r="U631" s="59" t="str">
        <f t="shared" si="160"/>
        <v/>
      </c>
      <c r="V631" s="60"/>
      <c r="W631" s="69" t="str">
        <f>IFERROR((VLOOKUP($A631,'Из ГУГЛа'!$B:$Z,W$1,0)+Y631)*X631,VLOOKUP($A631,'Из ГУГЛа'!$B:$Z,W$1,0))</f>
        <v/>
      </c>
      <c r="X631" s="61">
        <v>1</v>
      </c>
      <c r="Y631" s="61">
        <v>0</v>
      </c>
      <c r="Z631" s="60" t="s">
        <v>4170</v>
      </c>
      <c r="AA631" s="60"/>
    </row>
    <row r="632" spans="1:27" ht="45" x14ac:dyDescent="0.25">
      <c r="A632" s="52">
        <v>214062</v>
      </c>
      <c r="B632" s="52">
        <f>VLOOKUP($A632,'Выгр Кат'!$A:$R,B$1,0)</f>
        <v>31239</v>
      </c>
      <c r="C632" s="53" t="str">
        <f>VLOOKUP($A632,'Выгр Кат'!$A:$R,C$1,0)</f>
        <v>Соединитель крыши внутренний задний "АвтоВАЗ" левый для Лада Нива 4x4</v>
      </c>
      <c r="D632" s="52" t="str">
        <f>VLOOKUP($A632,'Выгр Кат'!$A:$R,D$1,0)</f>
        <v>Y</v>
      </c>
      <c r="E632" s="52" t="str">
        <f>VLOOKUP($A632,'Выгр Кат'!$A:$R,E$1,0)</f>
        <v>1</v>
      </c>
      <c r="F632" s="52" t="str">
        <f>VLOOKUP($A632,'Выгр Кат'!$A:$R,F$1,0)</f>
        <v>21310540175500</v>
      </c>
      <c r="G632" s="52" t="str">
        <f>IF(VLOOKUP($A632,'Выгр Кат'!$A:$R,G$1,0)=0,"",VLOOKUP($A632,'Выгр Кат'!$A:$R,G$1,0))</f>
        <v/>
      </c>
      <c r="H632" s="52"/>
      <c r="I632" s="52"/>
      <c r="J632" s="54">
        <f t="shared" ref="J632:J695" si="169">N632</f>
        <v>179</v>
      </c>
      <c r="K632" s="55">
        <f>VLOOKUP(J632,Наценка!$A$1:$B$8,2,1)</f>
        <v>1.8</v>
      </c>
      <c r="L632" s="56">
        <f t="shared" ref="L632:L695" si="170">J632*K632</f>
        <v>322.2</v>
      </c>
      <c r="M632" s="57">
        <f t="shared" ref="M632:M695" si="171">IF(L632&lt;=1000,(ROUNDUP(L632,-1)-1),(ROUNDUP(L632,-2)-10))</f>
        <v>329</v>
      </c>
      <c r="N632" s="52">
        <f>VLOOKUP($A632,'Выгр Кат'!$A:$R,N$1,0)</f>
        <v>179</v>
      </c>
      <c r="O632" s="52">
        <f>VLOOKUP($A632,'Выгр Кат'!$A:$R,O$1,0)</f>
        <v>329</v>
      </c>
      <c r="P632" s="47">
        <f t="shared" ref="P632:P695" si="172">N632-J632</f>
        <v>0</v>
      </c>
      <c r="Q632" s="47">
        <f t="shared" ref="Q632:Q695" si="173">O632-M632</f>
        <v>0</v>
      </c>
      <c r="R632" s="58">
        <f t="shared" ref="R632:R695" si="174">IFERROR(ROUND(M632*(1-$R$2),),"")</f>
        <v>329</v>
      </c>
      <c r="S632" s="59">
        <f t="shared" ref="S632:S695" si="175">IFERROR(R632/J632-1,"")</f>
        <v>0.83798882681564235</v>
      </c>
      <c r="T632" s="59" t="str">
        <f t="shared" ref="T632:T695" si="176">IFERROR((V632-R632)/V632,"")</f>
        <v/>
      </c>
      <c r="U632" s="59" t="str">
        <f t="shared" ref="U632:U695" si="177">IFERROR(IF(V632="","",V632/J632-1),"")</f>
        <v/>
      </c>
      <c r="V632" s="60"/>
      <c r="W632" s="69" t="str">
        <f>IFERROR((VLOOKUP($A632,'Из ГУГЛа'!$B:$Z,W$1,0)+Y632)*X632,VLOOKUP($A632,'Из ГУГЛа'!$B:$Z,W$1,0))</f>
        <v/>
      </c>
      <c r="X632" s="61">
        <v>1</v>
      </c>
      <c r="Y632" s="61">
        <v>0</v>
      </c>
      <c r="Z632" s="60" t="s">
        <v>4170</v>
      </c>
      <c r="AA632" s="60"/>
    </row>
    <row r="633" spans="1:27" ht="45" x14ac:dyDescent="0.25">
      <c r="A633" s="52">
        <v>214063</v>
      </c>
      <c r="B633" s="52">
        <f>VLOOKUP($A633,'Выгр Кат'!$A:$R,B$1,0)</f>
        <v>31240</v>
      </c>
      <c r="C633" s="53" t="str">
        <f>VLOOKUP($A633,'Выгр Кат'!$A:$R,C$1,0)</f>
        <v>Соединитель крыши внутренний задний "АвтоВАЗ" правый для Лада Нива 4x4</v>
      </c>
      <c r="D633" s="52" t="str">
        <f>VLOOKUP($A633,'Выгр Кат'!$A:$R,D$1,0)</f>
        <v>Y</v>
      </c>
      <c r="E633" s="52" t="str">
        <f>VLOOKUP($A633,'Выгр Кат'!$A:$R,E$1,0)</f>
        <v>1</v>
      </c>
      <c r="F633" s="52" t="str">
        <f>VLOOKUP($A633,'Выгр Кат'!$A:$R,F$1,0)</f>
        <v>21310540175400</v>
      </c>
      <c r="G633" s="52" t="str">
        <f>IF(VLOOKUP($A633,'Выгр Кат'!$A:$R,G$1,0)=0,"",VLOOKUP($A633,'Выгр Кат'!$A:$R,G$1,0))</f>
        <v/>
      </c>
      <c r="H633" s="52"/>
      <c r="I633" s="52"/>
      <c r="J633" s="54">
        <f t="shared" si="169"/>
        <v>91</v>
      </c>
      <c r="K633" s="55">
        <f>VLOOKUP(J633,Наценка!$A$1:$B$8,2,1)</f>
        <v>2</v>
      </c>
      <c r="L633" s="56">
        <f t="shared" si="170"/>
        <v>182</v>
      </c>
      <c r="M633" s="57">
        <f t="shared" si="171"/>
        <v>189</v>
      </c>
      <c r="N633" s="52">
        <f>VLOOKUP($A633,'Выгр Кат'!$A:$R,N$1,0)</f>
        <v>91</v>
      </c>
      <c r="O633" s="52">
        <f>VLOOKUP($A633,'Выгр Кат'!$A:$R,O$1,0)</f>
        <v>189</v>
      </c>
      <c r="P633" s="47">
        <f t="shared" si="172"/>
        <v>0</v>
      </c>
      <c r="Q633" s="47">
        <f t="shared" si="173"/>
        <v>0</v>
      </c>
      <c r="R633" s="58">
        <f t="shared" si="174"/>
        <v>189</v>
      </c>
      <c r="S633" s="59">
        <f t="shared" si="175"/>
        <v>1.0769230769230771</v>
      </c>
      <c r="T633" s="59" t="str">
        <f t="shared" si="176"/>
        <v/>
      </c>
      <c r="U633" s="59" t="str">
        <f t="shared" si="177"/>
        <v/>
      </c>
      <c r="V633" s="60"/>
      <c r="W633" s="69" t="str">
        <f>IFERROR((VLOOKUP($A633,'Из ГУГЛа'!$B:$Z,W$1,0)+Y633)*X633,VLOOKUP($A633,'Из ГУГЛа'!$B:$Z,W$1,0))</f>
        <v/>
      </c>
      <c r="X633" s="61">
        <v>1</v>
      </c>
      <c r="Y633" s="61">
        <v>0</v>
      </c>
      <c r="Z633" s="60" t="s">
        <v>4170</v>
      </c>
      <c r="AA633" s="60"/>
    </row>
    <row r="634" spans="1:27" ht="45" x14ac:dyDescent="0.25">
      <c r="A634" s="52">
        <v>214064</v>
      </c>
      <c r="B634" s="52">
        <f>VLOOKUP($A634,'Выгр Кат'!$A:$R,B$1,0)</f>
        <v>31241</v>
      </c>
      <c r="C634" s="53" t="str">
        <f>VLOOKUP($A634,'Выгр Кат'!$A:$R,C$1,0)</f>
        <v>Соединитель крыши внутренний средний в сборе "АвтоВАЗ" правый для Лада Нива 4x4</v>
      </c>
      <c r="D634" s="52" t="str">
        <f>VLOOKUP($A634,'Выгр Кат'!$A:$R,D$1,0)</f>
        <v>Y</v>
      </c>
      <c r="E634" s="52" t="str">
        <f>VLOOKUP($A634,'Выгр Кат'!$A:$R,E$1,0)</f>
        <v>1</v>
      </c>
      <c r="F634" s="52" t="str">
        <f>VLOOKUP($A634,'Выгр Кат'!$A:$R,F$1,0)</f>
        <v>21310540174800</v>
      </c>
      <c r="G634" s="52" t="str">
        <f>IF(VLOOKUP($A634,'Выгр Кат'!$A:$R,G$1,0)=0,"",VLOOKUP($A634,'Выгр Кат'!$A:$R,G$1,0))</f>
        <v/>
      </c>
      <c r="H634" s="52"/>
      <c r="I634" s="52"/>
      <c r="J634" s="54">
        <f t="shared" si="169"/>
        <v>659</v>
      </c>
      <c r="K634" s="55">
        <f>VLOOKUP(J634,Наценка!$A$1:$B$8,2,1)</f>
        <v>1.55</v>
      </c>
      <c r="L634" s="56">
        <f t="shared" si="170"/>
        <v>1021.45</v>
      </c>
      <c r="M634" s="57">
        <f t="shared" si="171"/>
        <v>1090</v>
      </c>
      <c r="N634" s="52">
        <f>VLOOKUP($A634,'Выгр Кат'!$A:$R,N$1,0)</f>
        <v>659</v>
      </c>
      <c r="O634" s="52">
        <f>VLOOKUP($A634,'Выгр Кат'!$A:$R,O$1,0)</f>
        <v>1090</v>
      </c>
      <c r="P634" s="47">
        <f t="shared" si="172"/>
        <v>0</v>
      </c>
      <c r="Q634" s="47">
        <f t="shared" si="173"/>
        <v>0</v>
      </c>
      <c r="R634" s="58">
        <f t="shared" si="174"/>
        <v>1090</v>
      </c>
      <c r="S634" s="59">
        <f t="shared" si="175"/>
        <v>0.65402124430955988</v>
      </c>
      <c r="T634" s="59" t="str">
        <f t="shared" si="176"/>
        <v/>
      </c>
      <c r="U634" s="59" t="str">
        <f t="shared" si="177"/>
        <v/>
      </c>
      <c r="V634" s="60"/>
      <c r="W634" s="69" t="str">
        <f>IFERROR((VLOOKUP($A634,'Из ГУГЛа'!$B:$Z,W$1,0)+Y634)*X634,VLOOKUP($A634,'Из ГУГЛа'!$B:$Z,W$1,0))</f>
        <v/>
      </c>
      <c r="X634" s="61">
        <v>1</v>
      </c>
      <c r="Y634" s="61">
        <v>0</v>
      </c>
      <c r="Z634" s="60" t="s">
        <v>4170</v>
      </c>
      <c r="AA634" s="60"/>
    </row>
    <row r="635" spans="1:27" ht="30" x14ac:dyDescent="0.25">
      <c r="A635" s="52">
        <v>214065</v>
      </c>
      <c r="B635" s="52">
        <f>VLOOKUP($A635,'Выгр Кат'!$A:$R,B$1,0)</f>
        <v>31248</v>
      </c>
      <c r="C635" s="53" t="str">
        <f>VLOOKUP($A635,'Выгр Кат'!$A:$R,C$1,0)</f>
        <v>Соединитель лонжерона (катафорез) "АвтоВАЗ" левый для Шевроле Нива</v>
      </c>
      <c r="D635" s="52" t="str">
        <f>VLOOKUP($A635,'Выгр Кат'!$A:$R,D$1,0)</f>
        <v>Y</v>
      </c>
      <c r="E635" s="52" t="str">
        <f>VLOOKUP($A635,'Выгр Кат'!$A:$R,E$1,0)</f>
        <v>1</v>
      </c>
      <c r="F635" s="52" t="str">
        <f>VLOOKUP($A635,'Выгр Кат'!$A:$R,F$1,0)</f>
        <v>21230840109970</v>
      </c>
      <c r="G635" s="52" t="str">
        <f>IF(VLOOKUP($A635,'Выгр Кат'!$A:$R,G$1,0)=0,"",VLOOKUP($A635,'Выгр Кат'!$A:$R,G$1,0))</f>
        <v>https://motorring.ru/product/2546-soedinitely-longherona-nighney-poperechinoy-levyy-kataforez</v>
      </c>
      <c r="H635" s="52"/>
      <c r="I635" s="52"/>
      <c r="J635" s="54">
        <f t="shared" si="169"/>
        <v>1826</v>
      </c>
      <c r="K635" s="55">
        <f>VLOOKUP(J635,Наценка!$A$1:$B$8,2,1)</f>
        <v>1.5</v>
      </c>
      <c r="L635" s="56">
        <f t="shared" si="170"/>
        <v>2739</v>
      </c>
      <c r="M635" s="57">
        <f t="shared" si="171"/>
        <v>2790</v>
      </c>
      <c r="N635" s="52">
        <f>VLOOKUP($A635,'Выгр Кат'!$A:$R,N$1,0)</f>
        <v>1826</v>
      </c>
      <c r="O635" s="52">
        <f>VLOOKUP($A635,'Выгр Кат'!$A:$R,O$1,0)</f>
        <v>2790</v>
      </c>
      <c r="P635" s="47">
        <f t="shared" si="172"/>
        <v>0</v>
      </c>
      <c r="Q635" s="47">
        <f t="shared" si="173"/>
        <v>0</v>
      </c>
      <c r="R635" s="58">
        <f t="shared" si="174"/>
        <v>2790</v>
      </c>
      <c r="S635" s="59">
        <f t="shared" si="175"/>
        <v>0.52792990142387741</v>
      </c>
      <c r="T635" s="59">
        <f t="shared" si="176"/>
        <v>-3.717472118959108E-2</v>
      </c>
      <c r="U635" s="59">
        <f t="shared" si="177"/>
        <v>0.47316538882803938</v>
      </c>
      <c r="V635" s="42">
        <f t="shared" ref="V635:V639" si="178">Z635</f>
        <v>2690</v>
      </c>
      <c r="W635" s="69">
        <f>IFERROR((VLOOKUP($A635,'Из ГУГЛа'!$B:$Z,W$1,0)+Y635)*X635,VLOOKUP($A635,'Из ГУГЛа'!$B:$Z,W$1,0))</f>
        <v>2690</v>
      </c>
      <c r="X635" s="61">
        <v>1</v>
      </c>
      <c r="Y635" s="61">
        <v>0</v>
      </c>
      <c r="Z635" s="70">
        <v>2690</v>
      </c>
      <c r="AA635" s="60" t="s">
        <v>1667</v>
      </c>
    </row>
    <row r="636" spans="1:27" ht="30" x14ac:dyDescent="0.25">
      <c r="A636" s="52">
        <v>214066</v>
      </c>
      <c r="B636" s="52">
        <f>VLOOKUP($A636,'Выгр Кат'!$A:$R,B$1,0)</f>
        <v>32675</v>
      </c>
      <c r="C636" s="53" t="str">
        <f>VLOOKUP($A636,'Выгр Кат'!$A:$R,C$1,0)</f>
        <v>Соединитель лонжерона (катафорез) "АвтоВАЗ" правый для Шевроле Нива</v>
      </c>
      <c r="D636" s="52" t="str">
        <f>VLOOKUP($A636,'Выгр Кат'!$A:$R,D$1,0)</f>
        <v>Y</v>
      </c>
      <c r="E636" s="52" t="str">
        <f>VLOOKUP($A636,'Выгр Кат'!$A:$R,E$1,0)</f>
        <v>1</v>
      </c>
      <c r="F636" s="52" t="str">
        <f>VLOOKUP($A636,'Выгр Кат'!$A:$R,F$1,0)</f>
        <v>21230840109870</v>
      </c>
      <c r="G636" s="52" t="str">
        <f>IF(VLOOKUP($A636,'Выгр Кат'!$A:$R,G$1,0)=0,"",VLOOKUP($A636,'Выгр Кат'!$A:$R,G$1,0))</f>
        <v>https://motorring.ru/product/7262-soedinitely-longherona-nighney-poperechinoy-pravyy</v>
      </c>
      <c r="H636" s="52"/>
      <c r="I636" s="52"/>
      <c r="J636" s="54">
        <f t="shared" si="169"/>
        <v>1729</v>
      </c>
      <c r="K636" s="55">
        <f>VLOOKUP(J636,Наценка!$A$1:$B$8,2,1)</f>
        <v>1.5</v>
      </c>
      <c r="L636" s="56">
        <f t="shared" si="170"/>
        <v>2593.5</v>
      </c>
      <c r="M636" s="57">
        <f t="shared" si="171"/>
        <v>2590</v>
      </c>
      <c r="N636" s="52">
        <f>VLOOKUP($A636,'Выгр Кат'!$A:$R,N$1,0)</f>
        <v>1729</v>
      </c>
      <c r="O636" s="52">
        <f>VLOOKUP($A636,'Выгр Кат'!$A:$R,O$1,0)</f>
        <v>2590</v>
      </c>
      <c r="P636" s="47">
        <f t="shared" si="172"/>
        <v>0</v>
      </c>
      <c r="Q636" s="47">
        <f t="shared" si="173"/>
        <v>0</v>
      </c>
      <c r="R636" s="58">
        <f t="shared" si="174"/>
        <v>2590</v>
      </c>
      <c r="S636" s="59">
        <f t="shared" si="175"/>
        <v>0.49797570850202422</v>
      </c>
      <c r="T636" s="59">
        <f t="shared" si="176"/>
        <v>-0.13100436681222707</v>
      </c>
      <c r="U636" s="59">
        <f t="shared" si="177"/>
        <v>0.32446500867553496</v>
      </c>
      <c r="V636" s="42">
        <f t="shared" si="178"/>
        <v>2290</v>
      </c>
      <c r="W636" s="69">
        <f>IFERROR((VLOOKUP($A636,'Из ГУГЛа'!$B:$Z,W$1,0)+Y636)*X636,VLOOKUP($A636,'Из ГУГЛа'!$B:$Z,W$1,0))</f>
        <v>2290</v>
      </c>
      <c r="X636" s="61">
        <v>1</v>
      </c>
      <c r="Y636" s="61">
        <v>0</v>
      </c>
      <c r="Z636" s="70">
        <v>2290</v>
      </c>
      <c r="AA636" s="60" t="s">
        <v>1670</v>
      </c>
    </row>
    <row r="637" spans="1:27" ht="45" x14ac:dyDescent="0.25">
      <c r="A637" s="52">
        <v>214067</v>
      </c>
      <c r="B637" s="52">
        <f>VLOOKUP($A637,'Выгр Кат'!$A:$R,B$1,0)</f>
        <v>50834</v>
      </c>
      <c r="C637" s="53" t="str">
        <f>VLOOKUP($A637,'Выгр Кат'!$A:$R,C$1,0)</f>
        <v>Соединитель лонжерона и брызговика "АвтоВАЗ" левый в сборе для Лада Веста</v>
      </c>
      <c r="D637" s="52" t="str">
        <f>VLOOKUP($A637,'Выгр Кат'!$A:$R,D$1,0)</f>
        <v>Y</v>
      </c>
      <c r="E637" s="52" t="str">
        <f>VLOOKUP($A637,'Выгр Кат'!$A:$R,E$1,0)</f>
        <v>1</v>
      </c>
      <c r="F637" s="52" t="str">
        <f>VLOOKUP($A637,'Выгр Кат'!$A:$R,F$1,0)</f>
        <v>8460008778</v>
      </c>
      <c r="G637" s="52" t="str">
        <f>IF(VLOOKUP($A637,'Выгр Кат'!$A:$R,G$1,0)=0,"",VLOOKUP($A637,'Выгр Кат'!$A:$R,G$1,0))</f>
        <v>https://motorring.ru/product/36820-soedinitely-longherona-bryzgovika-levyy-sbore-lada-vesta</v>
      </c>
      <c r="H637" s="52"/>
      <c r="I637" s="52"/>
      <c r="J637" s="54">
        <f t="shared" si="169"/>
        <v>530</v>
      </c>
      <c r="K637" s="55">
        <f>VLOOKUP(J637,Наценка!$A$1:$B$8,2,1)</f>
        <v>1.55</v>
      </c>
      <c r="L637" s="56">
        <f t="shared" si="170"/>
        <v>821.5</v>
      </c>
      <c r="M637" s="57">
        <f t="shared" si="171"/>
        <v>829</v>
      </c>
      <c r="N637" s="52">
        <f>VLOOKUP($A637,'Выгр Кат'!$A:$R,N$1,0)</f>
        <v>530</v>
      </c>
      <c r="O637" s="52">
        <f>VLOOKUP($A637,'Выгр Кат'!$A:$R,O$1,0)</f>
        <v>829</v>
      </c>
      <c r="P637" s="47">
        <f t="shared" si="172"/>
        <v>0</v>
      </c>
      <c r="Q637" s="47">
        <f t="shared" si="173"/>
        <v>0</v>
      </c>
      <c r="R637" s="58">
        <f t="shared" si="174"/>
        <v>829</v>
      </c>
      <c r="S637" s="59">
        <f t="shared" si="175"/>
        <v>0.5641509433962264</v>
      </c>
      <c r="T637" s="59">
        <f t="shared" si="176"/>
        <v>0.14447884416924664</v>
      </c>
      <c r="U637" s="59">
        <f t="shared" si="177"/>
        <v>0.82830188679245276</v>
      </c>
      <c r="V637" s="42">
        <f t="shared" si="178"/>
        <v>969</v>
      </c>
      <c r="W637" s="69">
        <f>IFERROR((VLOOKUP($A637,'Из ГУГЛа'!$B:$Z,W$1,0)+Y637)*X637,VLOOKUP($A637,'Из ГУГЛа'!$B:$Z,W$1,0))</f>
        <v>969</v>
      </c>
      <c r="X637" s="61">
        <v>1</v>
      </c>
      <c r="Y637" s="61">
        <v>0</v>
      </c>
      <c r="Z637" s="70">
        <v>969</v>
      </c>
      <c r="AA637" s="60" t="s">
        <v>1674</v>
      </c>
    </row>
    <row r="638" spans="1:27" ht="45" x14ac:dyDescent="0.25">
      <c r="A638" s="52">
        <v>214068</v>
      </c>
      <c r="B638" s="52">
        <f>VLOOKUP($A638,'Выгр Кат'!$A:$R,B$1,0)</f>
        <v>32723</v>
      </c>
      <c r="C638" s="53" t="str">
        <f>VLOOKUP($A638,'Выгр Кат'!$A:$R,C$1,0)</f>
        <v>Соединитель лонжерона и брызговика (катафорез) "АвтоВАЗ" правый в сборе для Лада Веста</v>
      </c>
      <c r="D638" s="52" t="str">
        <f>VLOOKUP($A638,'Выгр Кат'!$A:$R,D$1,0)</f>
        <v>Y</v>
      </c>
      <c r="E638" s="52" t="str">
        <f>VLOOKUP($A638,'Выгр Кат'!$A:$R,E$1,0)</f>
        <v>1</v>
      </c>
      <c r="F638" s="52" t="str">
        <f>VLOOKUP($A638,'Выгр Кат'!$A:$R,F$1,0)</f>
        <v>8450039287</v>
      </c>
      <c r="G638" s="52" t="str">
        <f>IF(VLOOKUP($A638,'Выгр Кат'!$A:$R,G$1,0)=0,"",VLOOKUP($A638,'Выгр Кат'!$A:$R,G$1,0))</f>
        <v>https://motorring.ru/product/36837-soedinitely-longherona-bryzgovika-pravyy-sbore-lada-vesta</v>
      </c>
      <c r="H638" s="52"/>
      <c r="I638" s="52"/>
      <c r="J638" s="54">
        <f t="shared" si="169"/>
        <v>485</v>
      </c>
      <c r="K638" s="55">
        <f>VLOOKUP(J638,Наценка!$A$1:$B$8,2,1)</f>
        <v>1.6</v>
      </c>
      <c r="L638" s="56">
        <f t="shared" si="170"/>
        <v>776</v>
      </c>
      <c r="M638" s="57">
        <f t="shared" si="171"/>
        <v>779</v>
      </c>
      <c r="N638" s="52">
        <f>VLOOKUP($A638,'Выгр Кат'!$A:$R,N$1,0)</f>
        <v>485</v>
      </c>
      <c r="O638" s="52">
        <f>VLOOKUP($A638,'Выгр Кат'!$A:$R,O$1,0)</f>
        <v>779</v>
      </c>
      <c r="P638" s="47">
        <f t="shared" si="172"/>
        <v>0</v>
      </c>
      <c r="Q638" s="47">
        <f t="shared" si="173"/>
        <v>0</v>
      </c>
      <c r="R638" s="58">
        <f t="shared" si="174"/>
        <v>779</v>
      </c>
      <c r="S638" s="59">
        <f t="shared" si="175"/>
        <v>0.60618556701030935</v>
      </c>
      <c r="T638" s="59">
        <f t="shared" si="176"/>
        <v>0.12471910112359551</v>
      </c>
      <c r="U638" s="59">
        <f t="shared" si="177"/>
        <v>0.8350515463917525</v>
      </c>
      <c r="V638" s="42">
        <f t="shared" si="178"/>
        <v>890</v>
      </c>
      <c r="W638" s="69">
        <f>IFERROR((VLOOKUP($A638,'Из ГУГЛа'!$B:$Z,W$1,0)+Y638)*X638,VLOOKUP($A638,'Из ГУГЛа'!$B:$Z,W$1,0))</f>
        <v>890</v>
      </c>
      <c r="X638" s="61">
        <v>1</v>
      </c>
      <c r="Y638" s="61">
        <v>0</v>
      </c>
      <c r="Z638" s="70">
        <v>890</v>
      </c>
      <c r="AA638" s="60" t="s">
        <v>1677</v>
      </c>
    </row>
    <row r="639" spans="1:27" ht="60" x14ac:dyDescent="0.25">
      <c r="A639" s="52">
        <v>214069</v>
      </c>
      <c r="B639" s="52">
        <f>VLOOKUP($A639,'Выгр Кат'!$A:$R,B$1,0)</f>
        <v>31475</v>
      </c>
      <c r="C639" s="53" t="str">
        <f>VLOOKUP($A639,'Выгр Кат'!$A:$R,C$1,0)</f>
        <v>Соединитель лонжерона и поперечины "АвтоВАЗ" правый для Лада Калина, Калина 2, Гранта, Гранта FL</v>
      </c>
      <c r="D639" s="52" t="str">
        <f>VLOOKUP($A639,'Выгр Кат'!$A:$R,D$1,0)</f>
        <v>Y</v>
      </c>
      <c r="E639" s="52" t="str">
        <f>VLOOKUP($A639,'Выгр Кат'!$A:$R,E$1,0)</f>
        <v>1</v>
      </c>
      <c r="F639" s="52" t="str">
        <f>VLOOKUP($A639,'Выгр Кат'!$A:$R,F$1,0)</f>
        <v>11180510128800</v>
      </c>
      <c r="G639" s="52" t="str">
        <f>IF(VLOOKUP($A639,'Выгр Кат'!$A:$R,G$1,0)=0,"",VLOOKUP($A639,'Выгр Кат'!$A:$R,G$1,0))</f>
        <v>https://motorring.ru/product/16589-soedinitely-longherona-poperechiny-pravyy-dlya-lada-kalina</v>
      </c>
      <c r="H639" s="52"/>
      <c r="I639" s="52"/>
      <c r="J639" s="54">
        <f t="shared" si="169"/>
        <v>233</v>
      </c>
      <c r="K639" s="55">
        <f>VLOOKUP(J639,Наценка!$A$1:$B$8,2,1)</f>
        <v>1.8</v>
      </c>
      <c r="L639" s="56">
        <f t="shared" si="170"/>
        <v>419.40000000000003</v>
      </c>
      <c r="M639" s="57">
        <f t="shared" si="171"/>
        <v>419</v>
      </c>
      <c r="N639" s="52">
        <f>VLOOKUP($A639,'Выгр Кат'!$A:$R,N$1,0)</f>
        <v>233</v>
      </c>
      <c r="O639" s="52">
        <f>VLOOKUP($A639,'Выгр Кат'!$A:$R,O$1,0)</f>
        <v>429</v>
      </c>
      <c r="P639" s="47">
        <f t="shared" si="172"/>
        <v>0</v>
      </c>
      <c r="Q639" s="47">
        <f t="shared" si="173"/>
        <v>10</v>
      </c>
      <c r="R639" s="58">
        <f t="shared" si="174"/>
        <v>419</v>
      </c>
      <c r="S639" s="59">
        <f t="shared" si="175"/>
        <v>0.79828326180257503</v>
      </c>
      <c r="T639" s="59">
        <f t="shared" si="176"/>
        <v>-1.2052631578947368</v>
      </c>
      <c r="U639" s="59">
        <f t="shared" si="177"/>
        <v>-0.18454935622317592</v>
      </c>
      <c r="V639" s="42">
        <f t="shared" si="178"/>
        <v>190</v>
      </c>
      <c r="W639" s="69">
        <f>IFERROR((VLOOKUP($A639,'Из ГУГЛа'!$B:$Z,W$1,0)+Y639)*X639,VLOOKUP($A639,'Из ГУГЛа'!$B:$Z,W$1,0))</f>
        <v>190</v>
      </c>
      <c r="X639" s="61">
        <v>1</v>
      </c>
      <c r="Y639" s="61">
        <v>0</v>
      </c>
      <c r="Z639" s="70">
        <v>190</v>
      </c>
      <c r="AA639" s="60" t="s">
        <v>1680</v>
      </c>
    </row>
    <row r="640" spans="1:27" ht="60" x14ac:dyDescent="0.25">
      <c r="A640" s="52">
        <v>214070</v>
      </c>
      <c r="B640" s="52">
        <f>VLOOKUP($A640,'Выгр Кат'!$A:$R,B$1,0)</f>
        <v>31167</v>
      </c>
      <c r="C640" s="53" t="str">
        <f>VLOOKUP($A640,'Выгр Кат'!$A:$R,C$1,0)</f>
        <v>Соединитель лонжерона и средней поперечины левый в сборе (катафорез) "АвтоВАЗ" для Лада Веста седан</v>
      </c>
      <c r="D640" s="52" t="str">
        <f>VLOOKUP($A640,'Выгр Кат'!$A:$R,D$1,0)</f>
        <v>Y</v>
      </c>
      <c r="E640" s="52" t="str">
        <f>VLOOKUP($A640,'Выгр Кат'!$A:$R,E$1,0)</f>
        <v>1</v>
      </c>
      <c r="F640" s="52" t="str">
        <f>VLOOKUP($A640,'Выгр Кат'!$A:$R,F$1,0)</f>
        <v>8450039298</v>
      </c>
      <c r="G640" s="52" t="str">
        <f>IF(VLOOKUP($A640,'Выгр Кат'!$A:$R,G$1,0)=0,"",VLOOKUP($A640,'Выгр Кат'!$A:$R,G$1,0))</f>
        <v/>
      </c>
      <c r="H640" s="52"/>
      <c r="I640" s="52"/>
      <c r="J640" s="54">
        <f t="shared" si="169"/>
        <v>779</v>
      </c>
      <c r="K640" s="55">
        <f>VLOOKUP(J640,Наценка!$A$1:$B$8,2,1)</f>
        <v>1.55</v>
      </c>
      <c r="L640" s="56">
        <f t="shared" si="170"/>
        <v>1207.45</v>
      </c>
      <c r="M640" s="57">
        <f t="shared" si="171"/>
        <v>1290</v>
      </c>
      <c r="N640" s="52">
        <f>VLOOKUP($A640,'Выгр Кат'!$A:$R,N$1,0)</f>
        <v>779</v>
      </c>
      <c r="O640" s="52">
        <f>VLOOKUP($A640,'Выгр Кат'!$A:$R,O$1,0)</f>
        <v>1290</v>
      </c>
      <c r="P640" s="47">
        <f t="shared" si="172"/>
        <v>0</v>
      </c>
      <c r="Q640" s="47">
        <f t="shared" si="173"/>
        <v>0</v>
      </c>
      <c r="R640" s="58">
        <f t="shared" si="174"/>
        <v>1290</v>
      </c>
      <c r="S640" s="59">
        <f t="shared" si="175"/>
        <v>0.65596919127086006</v>
      </c>
      <c r="T640" s="59" t="str">
        <f t="shared" si="176"/>
        <v/>
      </c>
      <c r="U640" s="59" t="str">
        <f t="shared" si="177"/>
        <v/>
      </c>
      <c r="V640" s="60"/>
      <c r="W640" s="69" t="str">
        <f>IFERROR((VLOOKUP($A640,'Из ГУГЛа'!$B:$Z,W$1,0)+Y640)*X640,VLOOKUP($A640,'Из ГУГЛа'!$B:$Z,W$1,0))</f>
        <v/>
      </c>
      <c r="X640" s="61">
        <v>1</v>
      </c>
      <c r="Y640" s="61">
        <v>0</v>
      </c>
      <c r="Z640" s="60" t="s">
        <v>4170</v>
      </c>
      <c r="AA640" s="60"/>
    </row>
    <row r="641" spans="1:27" ht="60" x14ac:dyDescent="0.25">
      <c r="A641" s="52">
        <v>214071</v>
      </c>
      <c r="B641" s="52">
        <f>VLOOKUP($A641,'Выгр Кат'!$A:$R,B$1,0)</f>
        <v>31168</v>
      </c>
      <c r="C641" s="53" t="str">
        <f>VLOOKUP($A641,'Выгр Кат'!$A:$R,C$1,0)</f>
        <v>Соединитель лонжерона и средней поперечины правый в сборе (катафорез) "АвтоВАЗ" для Лада Веста седан</v>
      </c>
      <c r="D641" s="52" t="str">
        <f>VLOOKUP($A641,'Выгр Кат'!$A:$R,D$1,0)</f>
        <v>Y</v>
      </c>
      <c r="E641" s="52" t="str">
        <f>VLOOKUP($A641,'Выгр Кат'!$A:$R,E$1,0)</f>
        <v>1</v>
      </c>
      <c r="F641" s="52" t="str">
        <f>VLOOKUP($A641,'Выгр Кат'!$A:$R,F$1,0)</f>
        <v>8450039297</v>
      </c>
      <c r="G641" s="52" t="str">
        <f>IF(VLOOKUP($A641,'Выгр Кат'!$A:$R,G$1,0)=0,"",VLOOKUP($A641,'Выгр Кат'!$A:$R,G$1,0))</f>
        <v/>
      </c>
      <c r="H641" s="52"/>
      <c r="I641" s="52"/>
      <c r="J641" s="54">
        <f t="shared" si="169"/>
        <v>474</v>
      </c>
      <c r="K641" s="55">
        <f>VLOOKUP(J641,Наценка!$A$1:$B$8,2,1)</f>
        <v>1.6</v>
      </c>
      <c r="L641" s="56">
        <f t="shared" si="170"/>
        <v>758.40000000000009</v>
      </c>
      <c r="M641" s="57">
        <f t="shared" si="171"/>
        <v>759</v>
      </c>
      <c r="N641" s="52">
        <f>VLOOKUP($A641,'Выгр Кат'!$A:$R,N$1,0)</f>
        <v>474</v>
      </c>
      <c r="O641" s="52">
        <f>VLOOKUP($A641,'Выгр Кат'!$A:$R,O$1,0)</f>
        <v>759</v>
      </c>
      <c r="P641" s="47">
        <f t="shared" si="172"/>
        <v>0</v>
      </c>
      <c r="Q641" s="47">
        <f t="shared" si="173"/>
        <v>0</v>
      </c>
      <c r="R641" s="58">
        <f t="shared" si="174"/>
        <v>759</v>
      </c>
      <c r="S641" s="59">
        <f t="shared" si="175"/>
        <v>0.60126582278481022</v>
      </c>
      <c r="T641" s="59" t="str">
        <f t="shared" si="176"/>
        <v/>
      </c>
      <c r="U641" s="59" t="str">
        <f t="shared" si="177"/>
        <v/>
      </c>
      <c r="V641" s="60"/>
      <c r="W641" s="69" t="str">
        <f>IFERROR((VLOOKUP($A641,'Из ГУГЛа'!$B:$Z,W$1,0)+Y641)*X641,VLOOKUP($A641,'Из ГУГЛа'!$B:$Z,W$1,0))</f>
        <v/>
      </c>
      <c r="X641" s="61">
        <v>1</v>
      </c>
      <c r="Y641" s="61">
        <v>0</v>
      </c>
      <c r="Z641" s="60" t="s">
        <v>4170</v>
      </c>
      <c r="AA641" s="60"/>
    </row>
    <row r="642" spans="1:27" ht="45" x14ac:dyDescent="0.25">
      <c r="A642" s="52">
        <v>214072</v>
      </c>
      <c r="B642" s="52">
        <f>VLOOKUP($A642,'Выгр Кат'!$A:$R,B$1,0)</f>
        <v>32551</v>
      </c>
      <c r="C642" s="53" t="str">
        <f>VLOOKUP($A642,'Выгр Кат'!$A:$R,C$1,0)</f>
        <v>Соединитель переднего лонжерона с полом "АвтоВАЗ" левый для ВАЗ 2110-2112, Лада Приора седан</v>
      </c>
      <c r="D642" s="52" t="str">
        <f>VLOOKUP($A642,'Выгр Кат'!$A:$R,D$1,0)</f>
        <v>Y</v>
      </c>
      <c r="E642" s="52" t="str">
        <f>VLOOKUP($A642,'Выгр Кат'!$A:$R,E$1,0)</f>
        <v>1</v>
      </c>
      <c r="F642" s="52" t="str">
        <f>VLOOKUP($A642,'Выгр Кат'!$A:$R,F$1,0)</f>
        <v>21100840329500</v>
      </c>
      <c r="G642" s="52" t="str">
        <f>IF(VLOOKUP($A642,'Выгр Кат'!$A:$R,G$1,0)=0,"",VLOOKUP($A642,'Выгр Кат'!$A:$R,G$1,0))</f>
        <v/>
      </c>
      <c r="H642" s="52"/>
      <c r="I642" s="52"/>
      <c r="J642" s="54">
        <f t="shared" si="169"/>
        <v>1139</v>
      </c>
      <c r="K642" s="55">
        <f>VLOOKUP(J642,Наценка!$A$1:$B$8,2,1)</f>
        <v>1.5</v>
      </c>
      <c r="L642" s="56">
        <f t="shared" si="170"/>
        <v>1708.5</v>
      </c>
      <c r="M642" s="57">
        <f t="shared" si="171"/>
        <v>1790</v>
      </c>
      <c r="N642" s="52">
        <f>VLOOKUP($A642,'Выгр Кат'!$A:$R,N$1,0)</f>
        <v>1139</v>
      </c>
      <c r="O642" s="52">
        <f>VLOOKUP($A642,'Выгр Кат'!$A:$R,O$1,0)</f>
        <v>1790</v>
      </c>
      <c r="P642" s="47">
        <f t="shared" si="172"/>
        <v>0</v>
      </c>
      <c r="Q642" s="47">
        <f t="shared" si="173"/>
        <v>0</v>
      </c>
      <c r="R642" s="58">
        <f t="shared" si="174"/>
        <v>1790</v>
      </c>
      <c r="S642" s="59">
        <f t="shared" si="175"/>
        <v>0.57155399473222124</v>
      </c>
      <c r="T642" s="59" t="str">
        <f t="shared" si="176"/>
        <v/>
      </c>
      <c r="U642" s="59" t="str">
        <f t="shared" si="177"/>
        <v/>
      </c>
      <c r="V642" s="60"/>
      <c r="W642" s="69" t="str">
        <f>IFERROR((VLOOKUP($A642,'Из ГУГЛа'!$B:$Z,W$1,0)+Y642)*X642,VLOOKUP($A642,'Из ГУГЛа'!$B:$Z,W$1,0))</f>
        <v/>
      </c>
      <c r="X642" s="61">
        <v>1</v>
      </c>
      <c r="Y642" s="61">
        <v>0</v>
      </c>
      <c r="Z642" s="60" t="s">
        <v>4240</v>
      </c>
      <c r="AA642" s="60" t="s">
        <v>1693</v>
      </c>
    </row>
    <row r="643" spans="1:27" ht="45" x14ac:dyDescent="0.25">
      <c r="A643" s="52">
        <v>214073</v>
      </c>
      <c r="B643" s="52">
        <f>VLOOKUP($A643,'Выгр Кат'!$A:$R,B$1,0)</f>
        <v>32680</v>
      </c>
      <c r="C643" s="53" t="str">
        <f>VLOOKUP($A643,'Выгр Кат'!$A:$R,C$1,0)</f>
        <v>Соединитель переднего лонжерона с полом "АвтоВАЗ" левый для Шевроле Нива</v>
      </c>
      <c r="D643" s="52" t="str">
        <f>VLOOKUP($A643,'Выгр Кат'!$A:$R,D$1,0)</f>
        <v>Y</v>
      </c>
      <c r="E643" s="52" t="str">
        <f>VLOOKUP($A643,'Выгр Кат'!$A:$R,E$1,0)</f>
        <v>0</v>
      </c>
      <c r="F643" s="52" t="str">
        <f>VLOOKUP($A643,'Выгр Кат'!$A:$R,F$1,0)</f>
        <v>21230840329500</v>
      </c>
      <c r="G643" s="52" t="str">
        <f>IF(VLOOKUP($A643,'Выгр Кат'!$A:$R,G$1,0)=0,"",VLOOKUP($A643,'Выгр Кат'!$A:$R,G$1,0))</f>
        <v/>
      </c>
      <c r="H643" s="52"/>
      <c r="I643" s="52"/>
      <c r="J643" s="54">
        <f t="shared" si="169"/>
        <v>992</v>
      </c>
      <c r="K643" s="55">
        <f>VLOOKUP(J643,Наценка!$A$1:$B$8,2,1)</f>
        <v>1.55</v>
      </c>
      <c r="L643" s="56">
        <f t="shared" si="170"/>
        <v>1537.6000000000001</v>
      </c>
      <c r="M643" s="57">
        <f t="shared" si="171"/>
        <v>1590</v>
      </c>
      <c r="N643" s="52">
        <f>VLOOKUP($A643,'Выгр Кат'!$A:$R,N$1,0)</f>
        <v>992</v>
      </c>
      <c r="O643" s="52">
        <f>VLOOKUP($A643,'Выгр Кат'!$A:$R,O$1,0)</f>
        <v>1590</v>
      </c>
      <c r="P643" s="47">
        <f t="shared" si="172"/>
        <v>0</v>
      </c>
      <c r="Q643" s="47">
        <f t="shared" si="173"/>
        <v>0</v>
      </c>
      <c r="R643" s="58">
        <f t="shared" si="174"/>
        <v>1590</v>
      </c>
      <c r="S643" s="59">
        <f t="shared" si="175"/>
        <v>0.60282258064516125</v>
      </c>
      <c r="T643" s="59" t="str">
        <f t="shared" si="176"/>
        <v/>
      </c>
      <c r="U643" s="59" t="str">
        <f t="shared" si="177"/>
        <v/>
      </c>
      <c r="V643" s="60"/>
      <c r="W643" s="69" t="str">
        <f>IFERROR((VLOOKUP($A643,'Из ГУГЛа'!$B:$Z,W$1,0)+Y643)*X643,VLOOKUP($A643,'Из ГУГЛа'!$B:$Z,W$1,0))</f>
        <v/>
      </c>
      <c r="X643" s="61">
        <v>1</v>
      </c>
      <c r="Y643" s="61">
        <v>0</v>
      </c>
      <c r="Z643" s="76" t="s">
        <v>4285</v>
      </c>
      <c r="AA643" s="60"/>
    </row>
    <row r="644" spans="1:27" ht="45" x14ac:dyDescent="0.25">
      <c r="A644" s="52">
        <v>214074</v>
      </c>
      <c r="B644" s="52">
        <f>VLOOKUP($A644,'Выгр Кат'!$A:$R,B$1,0)</f>
        <v>32679</v>
      </c>
      <c r="C644" s="53" t="str">
        <f>VLOOKUP($A644,'Выгр Кат'!$A:$R,C$1,0)</f>
        <v>Соединитель переднего лонжерона с полом "АвтоВАЗ" правый для Шевроле Нива</v>
      </c>
      <c r="D644" s="52" t="str">
        <f>VLOOKUP($A644,'Выгр Кат'!$A:$R,D$1,0)</f>
        <v>Y</v>
      </c>
      <c r="E644" s="52" t="str">
        <f>VLOOKUP($A644,'Выгр Кат'!$A:$R,E$1,0)</f>
        <v>1</v>
      </c>
      <c r="F644" s="52" t="str">
        <f>VLOOKUP($A644,'Выгр Кат'!$A:$R,F$1,0)</f>
        <v>21230840329400</v>
      </c>
      <c r="G644" s="52" t="str">
        <f>IF(VLOOKUP($A644,'Выгр Кат'!$A:$R,G$1,0)=0,"",VLOOKUP($A644,'Выгр Кат'!$A:$R,G$1,0))</f>
        <v/>
      </c>
      <c r="H644" s="52"/>
      <c r="I644" s="52"/>
      <c r="J644" s="54">
        <f t="shared" si="169"/>
        <v>1002</v>
      </c>
      <c r="K644" s="55">
        <f>VLOOKUP(J644,Наценка!$A$1:$B$8,2,1)</f>
        <v>1.5</v>
      </c>
      <c r="L644" s="56">
        <f t="shared" si="170"/>
        <v>1503</v>
      </c>
      <c r="M644" s="57">
        <f t="shared" si="171"/>
        <v>1590</v>
      </c>
      <c r="N644" s="52">
        <f>VLOOKUP($A644,'Выгр Кат'!$A:$R,N$1,0)</f>
        <v>1002</v>
      </c>
      <c r="O644" s="52">
        <f>VLOOKUP($A644,'Выгр Кат'!$A:$R,O$1,0)</f>
        <v>1590</v>
      </c>
      <c r="P644" s="47">
        <f t="shared" si="172"/>
        <v>0</v>
      </c>
      <c r="Q644" s="47">
        <f t="shared" si="173"/>
        <v>0</v>
      </c>
      <c r="R644" s="58">
        <f t="shared" si="174"/>
        <v>1590</v>
      </c>
      <c r="S644" s="59">
        <f t="shared" si="175"/>
        <v>0.58682634730538918</v>
      </c>
      <c r="T644" s="59" t="str">
        <f t="shared" si="176"/>
        <v/>
      </c>
      <c r="U644" s="59" t="str">
        <f t="shared" si="177"/>
        <v/>
      </c>
      <c r="V644" s="60"/>
      <c r="W644" s="69" t="str">
        <f>IFERROR((VLOOKUP($A644,'Из ГУГЛа'!$B:$Z,W$1,0)+Y644)*X644,VLOOKUP($A644,'Из ГУГЛа'!$B:$Z,W$1,0))</f>
        <v/>
      </c>
      <c r="X644" s="61">
        <v>1</v>
      </c>
      <c r="Y644" s="61">
        <v>0</v>
      </c>
      <c r="Z644" s="60" t="s">
        <v>4170</v>
      </c>
      <c r="AA644" s="60"/>
    </row>
    <row r="645" spans="1:27" ht="45" x14ac:dyDescent="0.25">
      <c r="A645" s="52">
        <v>214075</v>
      </c>
      <c r="B645" s="52">
        <f>VLOOKUP($A645,'Выгр Кат'!$A:$R,B$1,0)</f>
        <v>31397</v>
      </c>
      <c r="C645" s="53" t="str">
        <f>VLOOKUP($A645,'Выгр Кат'!$A:$R,C$1,0)</f>
        <v>Соединитель переднего лонжерона с полом (катафорез) "АвтоВАЗ" левый для ВАЗ 2110-2112, Лада Приора седан</v>
      </c>
      <c r="D645" s="52" t="str">
        <f>VLOOKUP($A645,'Выгр Кат'!$A:$R,D$1,0)</f>
        <v>Y</v>
      </c>
      <c r="E645" s="52" t="str">
        <f>VLOOKUP($A645,'Выгр Кат'!$A:$R,E$1,0)</f>
        <v>1ск1</v>
      </c>
      <c r="F645" s="52" t="str">
        <f>VLOOKUP($A645,'Выгр Кат'!$A:$R,F$1,0)</f>
        <v>21100840329510</v>
      </c>
      <c r="G645" s="52" t="str">
        <f>IF(VLOOKUP($A645,'Выгр Кат'!$A:$R,G$1,0)=0,"",VLOOKUP($A645,'Выгр Кат'!$A:$R,G$1,0))</f>
        <v>https://motorring.ru/product/791-soedinitely-perednego-longherona-polom-levyy-kataforeznoe</v>
      </c>
      <c r="H645" s="52"/>
      <c r="I645" s="52"/>
      <c r="J645" s="54">
        <f t="shared" si="169"/>
        <v>1052</v>
      </c>
      <c r="K645" s="55">
        <f>VLOOKUP(J645,Наценка!$A$1:$B$8,2,1)</f>
        <v>1.5</v>
      </c>
      <c r="L645" s="56">
        <f t="shared" si="170"/>
        <v>1578</v>
      </c>
      <c r="M645" s="57">
        <f t="shared" si="171"/>
        <v>1590</v>
      </c>
      <c r="N645" s="52">
        <f>VLOOKUP($A645,'Выгр Кат'!$A:$R,N$1,0)</f>
        <v>1052</v>
      </c>
      <c r="O645" s="52">
        <f>VLOOKUP($A645,'Выгр Кат'!$A:$R,O$1,0)</f>
        <v>1590</v>
      </c>
      <c r="P645" s="47">
        <f t="shared" si="172"/>
        <v>0</v>
      </c>
      <c r="Q645" s="47">
        <f t="shared" si="173"/>
        <v>0</v>
      </c>
      <c r="R645" s="58">
        <f t="shared" si="174"/>
        <v>1590</v>
      </c>
      <c r="S645" s="59">
        <f t="shared" si="175"/>
        <v>0.51140684410646386</v>
      </c>
      <c r="T645" s="59">
        <f t="shared" si="176"/>
        <v>-6.7114093959731544E-2</v>
      </c>
      <c r="U645" s="59">
        <f t="shared" si="177"/>
        <v>0.41634980988593151</v>
      </c>
      <c r="V645" s="42">
        <f t="shared" ref="V645:V646" si="179">Z645</f>
        <v>1490</v>
      </c>
      <c r="W645" s="69">
        <f>IFERROR((VLOOKUP($A645,'Из ГУГЛа'!$B:$Z,W$1,0)+Y645)*X645,VLOOKUP($A645,'Из ГУГЛа'!$B:$Z,W$1,0))</f>
        <v>1490</v>
      </c>
      <c r="X645" s="61">
        <v>1</v>
      </c>
      <c r="Y645" s="61">
        <v>0</v>
      </c>
      <c r="Z645" s="70">
        <v>1490</v>
      </c>
      <c r="AA645" s="60" t="s">
        <v>1693</v>
      </c>
    </row>
    <row r="646" spans="1:27" ht="30" x14ac:dyDescent="0.25">
      <c r="A646" s="52">
        <v>214076</v>
      </c>
      <c r="B646" s="52">
        <f>VLOOKUP($A646,'Выгр Кат'!$A:$R,B$1,0)</f>
        <v>31291</v>
      </c>
      <c r="C646" s="53" t="str">
        <f>VLOOKUP($A646,'Выгр Кат'!$A:$R,C$1,0)</f>
        <v>Соединитель передний (катафорез) "АвтоВАЗ" правый для Шевроле Нива</v>
      </c>
      <c r="D646" s="52" t="str">
        <f>VLOOKUP($A646,'Выгр Кат'!$A:$R,D$1,0)</f>
        <v>Y</v>
      </c>
      <c r="E646" s="52" t="str">
        <f>VLOOKUP($A646,'Выгр Кат'!$A:$R,E$1,0)</f>
        <v>1</v>
      </c>
      <c r="F646" s="52" t="str">
        <f>VLOOKUP($A646,'Выгр Кат'!$A:$R,F$1,0)</f>
        <v>21230510105470</v>
      </c>
      <c r="G646" s="52" t="str">
        <f>IF(VLOOKUP($A646,'Выгр Кат'!$A:$R,G$1,0)=0,"",VLOOKUP($A646,'Выгр Кат'!$A:$R,G$1,0))</f>
        <v>https://motorring.ru/product/228-soedinitely-peredniy-pravyy-kataforeznym-pokrytiem-2123</v>
      </c>
      <c r="H646" s="52"/>
      <c r="I646" s="52"/>
      <c r="J646" s="54">
        <f t="shared" si="169"/>
        <v>1868</v>
      </c>
      <c r="K646" s="55">
        <f>VLOOKUP(J646,Наценка!$A$1:$B$8,2,1)</f>
        <v>1.5</v>
      </c>
      <c r="L646" s="56">
        <f t="shared" si="170"/>
        <v>2802</v>
      </c>
      <c r="M646" s="57">
        <f t="shared" si="171"/>
        <v>2890</v>
      </c>
      <c r="N646" s="52">
        <f>VLOOKUP($A646,'Выгр Кат'!$A:$R,N$1,0)</f>
        <v>1868</v>
      </c>
      <c r="O646" s="52">
        <f>VLOOKUP($A646,'Выгр Кат'!$A:$R,O$1,0)</f>
        <v>2890</v>
      </c>
      <c r="P646" s="47">
        <f t="shared" si="172"/>
        <v>0</v>
      </c>
      <c r="Q646" s="47">
        <f t="shared" si="173"/>
        <v>0</v>
      </c>
      <c r="R646" s="58">
        <f t="shared" si="174"/>
        <v>2890</v>
      </c>
      <c r="S646" s="59">
        <f t="shared" si="175"/>
        <v>0.54710920770877935</v>
      </c>
      <c r="T646" s="59">
        <f t="shared" si="176"/>
        <v>3.3444816053511704E-2</v>
      </c>
      <c r="U646" s="59">
        <f t="shared" si="177"/>
        <v>0.600642398286938</v>
      </c>
      <c r="V646" s="42">
        <f t="shared" si="179"/>
        <v>2990</v>
      </c>
      <c r="W646" s="69">
        <f>IFERROR((VLOOKUP($A646,'Из ГУГЛа'!$B:$Z,W$1,0)+Y646)*X646,VLOOKUP($A646,'Из ГУГЛа'!$B:$Z,W$1,0))</f>
        <v>2990</v>
      </c>
      <c r="X646" s="61">
        <v>1</v>
      </c>
      <c r="Y646" s="61">
        <v>0</v>
      </c>
      <c r="Z646" s="70">
        <v>2990</v>
      </c>
      <c r="AA646" s="60" t="s">
        <v>1696</v>
      </c>
    </row>
    <row r="647" spans="1:27" ht="30" x14ac:dyDescent="0.25">
      <c r="A647" s="52">
        <v>214077</v>
      </c>
      <c r="B647" s="52">
        <f>VLOOKUP($A647,'Выгр Кат'!$A:$R,B$1,0)</f>
        <v>50407</v>
      </c>
      <c r="C647" s="53" t="str">
        <f>VLOOKUP($A647,'Выгр Кат'!$A:$R,C$1,0)</f>
        <v>Соединитель порога "ЭКРИС" для ВАЗ 2108-21099, 2113-2115</v>
      </c>
      <c r="D647" s="52" t="str">
        <f>VLOOKUP($A647,'Выгр Кат'!$A:$R,D$1,0)</f>
        <v>Y</v>
      </c>
      <c r="E647" s="52" t="str">
        <f>VLOOKUP($A647,'Выгр Кат'!$A:$R,E$1,0)</f>
        <v>1ск1</v>
      </c>
      <c r="F647" s="52" t="str">
        <f>VLOOKUP($A647,'Выгр Кат'!$A:$R,F$1,0)</f>
        <v>210805101066</v>
      </c>
      <c r="G647" s="52" t="str">
        <f>IF(VLOOKUP($A647,'Выгр Кат'!$A:$R,G$1,0)=0,"",VLOOKUP($A647,'Выгр Кат'!$A:$R,G$1,0))</f>
        <v/>
      </c>
      <c r="H647" s="52"/>
      <c r="I647" s="52"/>
      <c r="J647" s="54">
        <f t="shared" si="169"/>
        <v>182</v>
      </c>
      <c r="K647" s="55">
        <f>VLOOKUP(J647,Наценка!$A$1:$B$8,2,1)</f>
        <v>1.8</v>
      </c>
      <c r="L647" s="56">
        <f t="shared" si="170"/>
        <v>327.60000000000002</v>
      </c>
      <c r="M647" s="57">
        <f t="shared" si="171"/>
        <v>329</v>
      </c>
      <c r="N647" s="52">
        <f>VLOOKUP($A647,'Выгр Кат'!$A:$R,N$1,0)</f>
        <v>182</v>
      </c>
      <c r="O647" s="52">
        <f>VLOOKUP($A647,'Выгр Кат'!$A:$R,O$1,0)</f>
        <v>329</v>
      </c>
      <c r="P647" s="47">
        <f t="shared" si="172"/>
        <v>0</v>
      </c>
      <c r="Q647" s="47">
        <f t="shared" si="173"/>
        <v>0</v>
      </c>
      <c r="R647" s="58">
        <f t="shared" si="174"/>
        <v>329</v>
      </c>
      <c r="S647" s="59">
        <f t="shared" si="175"/>
        <v>0.80769230769230771</v>
      </c>
      <c r="T647" s="59" t="str">
        <f t="shared" si="176"/>
        <v/>
      </c>
      <c r="U647" s="59" t="str">
        <f t="shared" si="177"/>
        <v/>
      </c>
      <c r="V647" s="60"/>
      <c r="W647" s="69">
        <f>IFERROR((VLOOKUP($A647,'Из ГУГЛа'!$B:$Z,W$1,0)+Y647)*X647,VLOOKUP($A647,'Из ГУГЛа'!$B:$Z,W$1,0))</f>
        <v>199</v>
      </c>
      <c r="X647" s="61">
        <v>1</v>
      </c>
      <c r="Y647" s="61">
        <v>0</v>
      </c>
      <c r="Z647" s="60" t="s">
        <v>4228</v>
      </c>
      <c r="AA647" s="60" t="s">
        <v>1555</v>
      </c>
    </row>
    <row r="648" spans="1:27" ht="45" x14ac:dyDescent="0.25">
      <c r="A648" s="52">
        <v>214078</v>
      </c>
      <c r="B648" s="52">
        <f>VLOOKUP($A648,'Выгр Кат'!$A:$R,B$1,0)</f>
        <v>32644</v>
      </c>
      <c r="C648" s="53" t="str">
        <f>VLOOKUP($A648,'Выгр Кат'!$A:$R,C$1,0)</f>
        <v>Соединитель порога и лонжерона "АвтоВАЗ" задний левый в сборе для Лада Нива 4x4</v>
      </c>
      <c r="D648" s="52" t="str">
        <f>VLOOKUP($A648,'Выгр Кат'!$A:$R,D$1,0)</f>
        <v>Y</v>
      </c>
      <c r="E648" s="52" t="str">
        <f>VLOOKUP($A648,'Выгр Кат'!$A:$R,E$1,0)</f>
        <v>1</v>
      </c>
      <c r="F648" s="52" t="str">
        <f>VLOOKUP($A648,'Выгр Кат'!$A:$R,F$1,0)</f>
        <v>21214510137100</v>
      </c>
      <c r="G648" s="52" t="str">
        <f>IF(VLOOKUP($A648,'Выгр Кат'!$A:$R,G$1,0)=0,"",VLOOKUP($A648,'Выгр Кат'!$A:$R,G$1,0))</f>
        <v/>
      </c>
      <c r="H648" s="52"/>
      <c r="I648" s="52"/>
      <c r="J648" s="54">
        <f t="shared" si="169"/>
        <v>431</v>
      </c>
      <c r="K648" s="55">
        <f>VLOOKUP(J648,Наценка!$A$1:$B$8,2,1)</f>
        <v>1.6</v>
      </c>
      <c r="L648" s="56">
        <f t="shared" si="170"/>
        <v>689.6</v>
      </c>
      <c r="M648" s="57">
        <f t="shared" si="171"/>
        <v>689</v>
      </c>
      <c r="N648" s="52">
        <f>VLOOKUP($A648,'Выгр Кат'!$A:$R,N$1,0)</f>
        <v>431</v>
      </c>
      <c r="O648" s="52">
        <f>VLOOKUP($A648,'Выгр Кат'!$A:$R,O$1,0)</f>
        <v>689</v>
      </c>
      <c r="P648" s="47">
        <f t="shared" si="172"/>
        <v>0</v>
      </c>
      <c r="Q648" s="47">
        <f t="shared" si="173"/>
        <v>0</v>
      </c>
      <c r="R648" s="58">
        <f t="shared" si="174"/>
        <v>689</v>
      </c>
      <c r="S648" s="59">
        <f t="shared" si="175"/>
        <v>0.59860788863109038</v>
      </c>
      <c r="T648" s="59" t="str">
        <f t="shared" si="176"/>
        <v/>
      </c>
      <c r="U648" s="59" t="str">
        <f t="shared" si="177"/>
        <v/>
      </c>
      <c r="V648" s="60"/>
      <c r="W648" s="69" t="str">
        <f>IFERROR((VLOOKUP($A648,'Из ГУГЛа'!$B:$Z,W$1,0)+Y648)*X648,VLOOKUP($A648,'Из ГУГЛа'!$B:$Z,W$1,0))</f>
        <v/>
      </c>
      <c r="X648" s="61">
        <v>1</v>
      </c>
      <c r="Y648" s="61">
        <v>0</v>
      </c>
      <c r="Z648" s="62" t="s">
        <v>4170</v>
      </c>
      <c r="AA648" s="60"/>
    </row>
    <row r="649" spans="1:27" ht="45" x14ac:dyDescent="0.25">
      <c r="A649" s="52">
        <v>214080</v>
      </c>
      <c r="B649" s="52">
        <f>VLOOKUP($A649,'Выгр Кат'!$A:$R,B$1,0)</f>
        <v>32641</v>
      </c>
      <c r="C649" s="53" t="str">
        <f>VLOOKUP($A649,'Выгр Кат'!$A:$R,C$1,0)</f>
        <v>Соединитель порога и лонжерона "АвтоВАЗ" задний правый в сборе для Лада Нива 4x4</v>
      </c>
      <c r="D649" s="52" t="str">
        <f>VLOOKUP($A649,'Выгр Кат'!$A:$R,D$1,0)</f>
        <v>Y</v>
      </c>
      <c r="E649" s="52" t="str">
        <f>VLOOKUP($A649,'Выгр Кат'!$A:$R,E$1,0)</f>
        <v>1</v>
      </c>
      <c r="F649" s="52" t="str">
        <f>VLOOKUP($A649,'Выгр Кат'!$A:$R,F$1,0)</f>
        <v>21214510137000</v>
      </c>
      <c r="G649" s="52" t="str">
        <f>IF(VLOOKUP($A649,'Выгр Кат'!$A:$R,G$1,0)=0,"",VLOOKUP($A649,'Выгр Кат'!$A:$R,G$1,0))</f>
        <v/>
      </c>
      <c r="H649" s="52"/>
      <c r="I649" s="52"/>
      <c r="J649" s="54">
        <f t="shared" si="169"/>
        <v>387</v>
      </c>
      <c r="K649" s="55">
        <f>VLOOKUP(J649,Наценка!$A$1:$B$8,2,1)</f>
        <v>1.6</v>
      </c>
      <c r="L649" s="56">
        <f t="shared" si="170"/>
        <v>619.20000000000005</v>
      </c>
      <c r="M649" s="57">
        <f t="shared" si="171"/>
        <v>619</v>
      </c>
      <c r="N649" s="52">
        <f>VLOOKUP($A649,'Выгр Кат'!$A:$R,N$1,0)</f>
        <v>387</v>
      </c>
      <c r="O649" s="52">
        <f>VLOOKUP($A649,'Выгр Кат'!$A:$R,O$1,0)</f>
        <v>619</v>
      </c>
      <c r="P649" s="47">
        <f t="shared" si="172"/>
        <v>0</v>
      </c>
      <c r="Q649" s="47">
        <f t="shared" si="173"/>
        <v>0</v>
      </c>
      <c r="R649" s="58">
        <f t="shared" si="174"/>
        <v>619</v>
      </c>
      <c r="S649" s="59">
        <f t="shared" si="175"/>
        <v>0.59948320413436695</v>
      </c>
      <c r="T649" s="59" t="str">
        <f t="shared" si="176"/>
        <v/>
      </c>
      <c r="U649" s="59" t="str">
        <f t="shared" si="177"/>
        <v/>
      </c>
      <c r="V649" s="60"/>
      <c r="W649" s="69" t="str">
        <f>IFERROR((VLOOKUP($A649,'Из ГУГЛа'!$B:$Z,W$1,0)+Y649)*X649,VLOOKUP($A649,'Из ГУГЛа'!$B:$Z,W$1,0))</f>
        <v/>
      </c>
      <c r="X649" s="61">
        <v>1</v>
      </c>
      <c r="Y649" s="61">
        <v>0</v>
      </c>
      <c r="Z649" s="62" t="s">
        <v>4170</v>
      </c>
      <c r="AA649" s="60"/>
    </row>
    <row r="650" spans="1:27" ht="45" x14ac:dyDescent="0.25">
      <c r="A650" s="52">
        <v>214081</v>
      </c>
      <c r="B650" s="52">
        <f>VLOOKUP($A650,'Выгр Кат'!$A:$R,B$1,0)</f>
        <v>32655</v>
      </c>
      <c r="C650" s="53" t="str">
        <f>VLOOKUP($A650,'Выгр Кат'!$A:$R,C$1,0)</f>
        <v>Соединитель порога и лонжерона передний "АвтоВАЗ" левый в сборе для Шевроле Нива</v>
      </c>
      <c r="D650" s="52" t="str">
        <f>VLOOKUP($A650,'Выгр Кат'!$A:$R,D$1,0)</f>
        <v>Y</v>
      </c>
      <c r="E650" s="52" t="str">
        <f>VLOOKUP($A650,'Выгр Кат'!$A:$R,E$1,0)</f>
        <v>1</v>
      </c>
      <c r="F650" s="52" t="str">
        <f>VLOOKUP($A650,'Выгр Кат'!$A:$R,F$1,0)</f>
        <v>21230510134170</v>
      </c>
      <c r="G650" s="52" t="str">
        <f>IF(VLOOKUP($A650,'Выгр Кат'!$A:$R,G$1,0)=0,"",VLOOKUP($A650,'Выгр Кат'!$A:$R,G$1,0))</f>
        <v/>
      </c>
      <c r="H650" s="52"/>
      <c r="I650" s="52"/>
      <c r="J650" s="54">
        <f t="shared" si="169"/>
        <v>841</v>
      </c>
      <c r="K650" s="55">
        <f>VLOOKUP(J650,Наценка!$A$1:$B$8,2,1)</f>
        <v>1.55</v>
      </c>
      <c r="L650" s="56">
        <f t="shared" si="170"/>
        <v>1303.55</v>
      </c>
      <c r="M650" s="57">
        <f t="shared" si="171"/>
        <v>1390</v>
      </c>
      <c r="N650" s="52">
        <f>VLOOKUP($A650,'Выгр Кат'!$A:$R,N$1,0)</f>
        <v>841</v>
      </c>
      <c r="O650" s="52">
        <f>VLOOKUP($A650,'Выгр Кат'!$A:$R,O$1,0)</f>
        <v>1390</v>
      </c>
      <c r="P650" s="47">
        <f t="shared" si="172"/>
        <v>0</v>
      </c>
      <c r="Q650" s="47">
        <f t="shared" si="173"/>
        <v>0</v>
      </c>
      <c r="R650" s="58">
        <f t="shared" si="174"/>
        <v>1390</v>
      </c>
      <c r="S650" s="59">
        <f t="shared" si="175"/>
        <v>0.65279429250891785</v>
      </c>
      <c r="T650" s="59">
        <f t="shared" si="176"/>
        <v>-0.40404040404040403</v>
      </c>
      <c r="U650" s="59">
        <f t="shared" si="177"/>
        <v>0.17717003567181933</v>
      </c>
      <c r="V650" s="42">
        <f t="shared" ref="V650:V656" si="180">Z650</f>
        <v>990</v>
      </c>
      <c r="W650" s="69">
        <f>IFERROR((VLOOKUP($A650,'Из ГУГЛа'!$B:$Z,W$1,0)+Y650)*X650,VLOOKUP($A650,'Из ГУГЛа'!$B:$Z,W$1,0))</f>
        <v>990</v>
      </c>
      <c r="X650" s="61">
        <v>1</v>
      </c>
      <c r="Y650" s="61">
        <v>0</v>
      </c>
      <c r="Z650" s="60">
        <v>990</v>
      </c>
      <c r="AA650" s="60" t="s">
        <v>4233</v>
      </c>
    </row>
    <row r="651" spans="1:27" ht="45" x14ac:dyDescent="0.25">
      <c r="A651" s="52">
        <v>214082</v>
      </c>
      <c r="B651" s="52">
        <f>VLOOKUP($A651,'Выгр Кат'!$A:$R,B$1,0)</f>
        <v>32654</v>
      </c>
      <c r="C651" s="53" t="str">
        <f>VLOOKUP($A651,'Выгр Кат'!$A:$R,C$1,0)</f>
        <v>Соединитель порога и лонжерона передний (катафорез) "АвтоВАЗ" правый для Шевроле Нива</v>
      </c>
      <c r="D651" s="52" t="str">
        <f>VLOOKUP($A651,'Выгр Кат'!$A:$R,D$1,0)</f>
        <v>Y</v>
      </c>
      <c r="E651" s="52" t="str">
        <f>VLOOKUP($A651,'Выгр Кат'!$A:$R,E$1,0)</f>
        <v>1</v>
      </c>
      <c r="F651" s="52" t="str">
        <f>VLOOKUP($A651,'Выгр Кат'!$A:$R,F$1,0)</f>
        <v>21230510134070</v>
      </c>
      <c r="G651" s="52" t="str">
        <f>IF(VLOOKUP($A651,'Выгр Кат'!$A:$R,G$1,0)=0,"",VLOOKUP($A651,'Выгр Кат'!$A:$R,G$1,0))</f>
        <v/>
      </c>
      <c r="H651" s="52"/>
      <c r="I651" s="52"/>
      <c r="J651" s="54">
        <f t="shared" si="169"/>
        <v>1089.33</v>
      </c>
      <c r="K651" s="55">
        <f>VLOOKUP(J651,Наценка!$A$1:$B$8,2,1)</f>
        <v>1.5</v>
      </c>
      <c r="L651" s="56">
        <f t="shared" si="170"/>
        <v>1633.9949999999999</v>
      </c>
      <c r="M651" s="57">
        <f t="shared" si="171"/>
        <v>1690</v>
      </c>
      <c r="N651" s="52">
        <f>VLOOKUP($A651,'Выгр Кат'!$A:$R,N$1,0)</f>
        <v>1089.33</v>
      </c>
      <c r="O651" s="52">
        <f>VLOOKUP($A651,'Выгр Кат'!$A:$R,O$1,0)</f>
        <v>1690</v>
      </c>
      <c r="P651" s="47">
        <f t="shared" si="172"/>
        <v>0</v>
      </c>
      <c r="Q651" s="47">
        <f t="shared" si="173"/>
        <v>0</v>
      </c>
      <c r="R651" s="58">
        <f t="shared" si="174"/>
        <v>1690</v>
      </c>
      <c r="S651" s="59">
        <f t="shared" si="175"/>
        <v>0.55141233602306006</v>
      </c>
      <c r="T651" s="59">
        <f t="shared" si="176"/>
        <v>-0.70707070707070707</v>
      </c>
      <c r="U651" s="59">
        <f t="shared" si="177"/>
        <v>-9.1184489548621572E-2</v>
      </c>
      <c r="V651" s="42">
        <f t="shared" si="180"/>
        <v>990</v>
      </c>
      <c r="W651" s="69">
        <f>IFERROR((VLOOKUP($A651,'Из ГУГЛа'!$B:$Z,W$1,0)+Y651)*X651,VLOOKUP($A651,'Из ГУГЛа'!$B:$Z,W$1,0))</f>
        <v>990</v>
      </c>
      <c r="X651" s="61">
        <v>1</v>
      </c>
      <c r="Y651" s="61">
        <v>0</v>
      </c>
      <c r="Z651" s="60">
        <v>990</v>
      </c>
      <c r="AA651" s="60" t="s">
        <v>4234</v>
      </c>
    </row>
    <row r="652" spans="1:27" ht="30" x14ac:dyDescent="0.25">
      <c r="A652" s="52">
        <v>214083</v>
      </c>
      <c r="B652" s="52">
        <f>VLOOKUP($A652,'Выгр Кат'!$A:$R,B$1,0)</f>
        <v>18739</v>
      </c>
      <c r="C652" s="53" t="str">
        <f>VLOOKUP($A652,'Выгр Кат'!$A:$R,C$1,0)</f>
        <v>Соединитель порога левый "АвтоВАЗ" для Лада Нива 4х4, Нива 4х4 Урбан</v>
      </c>
      <c r="D652" s="52" t="str">
        <f>VLOOKUP($A652,'Выгр Кат'!$A:$R,D$1,0)</f>
        <v>Y</v>
      </c>
      <c r="E652" s="52" t="str">
        <f>VLOOKUP($A652,'Выгр Кат'!$A:$R,E$1,0)</f>
        <v>1</v>
      </c>
      <c r="F652" s="52" t="str">
        <f>VLOOKUP($A652,'Выгр Кат'!$A:$R,F$1,0)</f>
        <v>21210510134110</v>
      </c>
      <c r="G652" s="52" t="str">
        <f>IF(VLOOKUP($A652,'Выгр Кат'!$A:$R,G$1,0)=0,"",VLOOKUP($A652,'Выгр Кат'!$A:$R,G$1,0))</f>
        <v/>
      </c>
      <c r="H652" s="52"/>
      <c r="I652" s="52"/>
      <c r="J652" s="54">
        <f t="shared" si="169"/>
        <v>352</v>
      </c>
      <c r="K652" s="55">
        <f>VLOOKUP(J652,Наценка!$A$1:$B$8,2,1)</f>
        <v>1.6</v>
      </c>
      <c r="L652" s="56">
        <f t="shared" si="170"/>
        <v>563.20000000000005</v>
      </c>
      <c r="M652" s="57">
        <f t="shared" si="171"/>
        <v>569</v>
      </c>
      <c r="N652" s="52">
        <f>VLOOKUP($A652,'Выгр Кат'!$A:$R,N$1,0)</f>
        <v>352</v>
      </c>
      <c r="O652" s="52">
        <f>VLOOKUP($A652,'Выгр Кат'!$A:$R,O$1,0)</f>
        <v>569</v>
      </c>
      <c r="P652" s="47">
        <f t="shared" si="172"/>
        <v>0</v>
      </c>
      <c r="Q652" s="47">
        <f t="shared" si="173"/>
        <v>0</v>
      </c>
      <c r="R652" s="58">
        <f t="shared" si="174"/>
        <v>569</v>
      </c>
      <c r="S652" s="59">
        <f t="shared" si="175"/>
        <v>0.61647727272727271</v>
      </c>
      <c r="T652" s="59">
        <f t="shared" si="176"/>
        <v>-0.96885813148788924</v>
      </c>
      <c r="U652" s="59">
        <f t="shared" si="177"/>
        <v>-0.17897727272727271</v>
      </c>
      <c r="V652" s="42">
        <f t="shared" si="180"/>
        <v>289</v>
      </c>
      <c r="W652" s="69">
        <f>IFERROR((VLOOKUP($A652,'Из ГУГЛа'!$B:$Z,W$1,0)+Y652)*X652,VLOOKUP($A652,'Из ГУГЛа'!$B:$Z,W$1,0))</f>
        <v>289</v>
      </c>
      <c r="X652" s="61">
        <v>1</v>
      </c>
      <c r="Y652" s="61">
        <v>0</v>
      </c>
      <c r="Z652" s="60">
        <v>289</v>
      </c>
      <c r="AA652" s="60" t="s">
        <v>4235</v>
      </c>
    </row>
    <row r="653" spans="1:27" ht="45" x14ac:dyDescent="0.25">
      <c r="A653" s="52">
        <v>214084</v>
      </c>
      <c r="B653" s="52">
        <f>VLOOKUP($A653,'Выгр Кат'!$A:$R,B$1,0)</f>
        <v>23555</v>
      </c>
      <c r="C653" s="53" t="str">
        <f>VLOOKUP($A653,'Выгр Кат'!$A:$R,C$1,0)</f>
        <v>Соединитель порога пола "АвтоВАЗ" (поддомкратник, передний, левый) для ВАЗ 2110-2112</v>
      </c>
      <c r="D653" s="52" t="str">
        <f>VLOOKUP($A653,'Выгр Кат'!$A:$R,D$1,0)</f>
        <v>Y</v>
      </c>
      <c r="E653" s="52" t="str">
        <f>VLOOKUP($A653,'Выгр Кат'!$A:$R,E$1,0)</f>
        <v>1</v>
      </c>
      <c r="F653" s="52" t="str">
        <f>VLOOKUP($A653,'Выгр Кат'!$A:$R,F$1,0)</f>
        <v>21100510105715</v>
      </c>
      <c r="G653" s="52" t="str">
        <f>IF(VLOOKUP($A653,'Выгр Кат'!$A:$R,G$1,0)=0,"",VLOOKUP($A653,'Выгр Кат'!$A:$R,G$1,0))</f>
        <v/>
      </c>
      <c r="H653" s="52"/>
      <c r="I653" s="52"/>
      <c r="J653" s="54">
        <f t="shared" si="169"/>
        <v>140</v>
      </c>
      <c r="K653" s="55">
        <f>VLOOKUP(J653,Наценка!$A$1:$B$8,2,1)</f>
        <v>1.8</v>
      </c>
      <c r="L653" s="56">
        <f t="shared" si="170"/>
        <v>252</v>
      </c>
      <c r="M653" s="57">
        <f t="shared" si="171"/>
        <v>259</v>
      </c>
      <c r="N653" s="52">
        <f>VLOOKUP($A653,'Выгр Кат'!$A:$R,N$1,0)</f>
        <v>140</v>
      </c>
      <c r="O653" s="52">
        <f>VLOOKUP($A653,'Выгр Кат'!$A:$R,O$1,0)</f>
        <v>259</v>
      </c>
      <c r="P653" s="47">
        <f t="shared" si="172"/>
        <v>0</v>
      </c>
      <c r="Q653" s="47">
        <f t="shared" si="173"/>
        <v>0</v>
      </c>
      <c r="R653" s="58">
        <f t="shared" si="174"/>
        <v>259</v>
      </c>
      <c r="S653" s="59">
        <f t="shared" si="175"/>
        <v>0.85000000000000009</v>
      </c>
      <c r="T653" s="59">
        <f t="shared" si="176"/>
        <v>-0.53254437869822491</v>
      </c>
      <c r="U653" s="59">
        <f t="shared" si="177"/>
        <v>0.20714285714285707</v>
      </c>
      <c r="V653" s="42">
        <f t="shared" si="180"/>
        <v>169</v>
      </c>
      <c r="W653" s="69">
        <f>IFERROR((VLOOKUP($A653,'Из ГУГЛа'!$B:$Z,W$1,0)+Y653)*X653,VLOOKUP($A653,'Из ГУГЛа'!$B:$Z,W$1,0))</f>
        <v>169</v>
      </c>
      <c r="X653" s="61">
        <v>1</v>
      </c>
      <c r="Y653" s="61">
        <v>0</v>
      </c>
      <c r="Z653" s="60">
        <v>169</v>
      </c>
      <c r="AA653" s="60" t="s">
        <v>4229</v>
      </c>
    </row>
    <row r="654" spans="1:27" ht="45" x14ac:dyDescent="0.25">
      <c r="A654" s="52">
        <v>214085</v>
      </c>
      <c r="B654" s="52">
        <f>VLOOKUP($A654,'Выгр Кат'!$A:$R,B$1,0)</f>
        <v>23556</v>
      </c>
      <c r="C654" s="53" t="str">
        <f>VLOOKUP($A654,'Выгр Кат'!$A:$R,C$1,0)</f>
        <v>(дубль) Соединитель порога пола "АвтоВАЗ" (передний, правый) для ВАЗ 2110-2112, Лада Приора</v>
      </c>
      <c r="D654" s="52" t="str">
        <f>VLOOKUP($A654,'Выгр Кат'!$A:$R,D$1,0)</f>
        <v>N</v>
      </c>
      <c r="E654" s="52" t="str">
        <f>VLOOKUP($A654,'Выгр Кат'!$A:$R,E$1,0)</f>
        <v>1</v>
      </c>
      <c r="F654" s="52" t="str">
        <f>VLOOKUP($A654,'Выгр Кат'!$A:$R,F$1,0)</f>
        <v>21100510105600</v>
      </c>
      <c r="G654" s="52" t="str">
        <f>IF(VLOOKUP($A654,'Выгр Кат'!$A:$R,G$1,0)=0,"",VLOOKUP($A654,'Выгр Кат'!$A:$R,G$1,0))</f>
        <v/>
      </c>
      <c r="H654" s="52"/>
      <c r="I654" s="52"/>
      <c r="J654" s="54">
        <f t="shared" si="169"/>
        <v>212</v>
      </c>
      <c r="K654" s="55">
        <f>VLOOKUP(J654,Наценка!$A$1:$B$8,2,1)</f>
        <v>1.8</v>
      </c>
      <c r="L654" s="56">
        <f t="shared" si="170"/>
        <v>381.6</v>
      </c>
      <c r="M654" s="57">
        <f t="shared" si="171"/>
        <v>389</v>
      </c>
      <c r="N654" s="52">
        <f>VLOOKUP($A654,'Выгр Кат'!$A:$R,N$1,0)</f>
        <v>212</v>
      </c>
      <c r="O654" s="52">
        <f>VLOOKUP($A654,'Выгр Кат'!$A:$R,O$1,0)</f>
        <v>389</v>
      </c>
      <c r="P654" s="47">
        <f t="shared" si="172"/>
        <v>0</v>
      </c>
      <c r="Q654" s="47">
        <f t="shared" si="173"/>
        <v>0</v>
      </c>
      <c r="R654" s="58">
        <f t="shared" si="174"/>
        <v>389</v>
      </c>
      <c r="S654" s="59">
        <f t="shared" si="175"/>
        <v>0.83490566037735858</v>
      </c>
      <c r="T654" s="59">
        <f t="shared" si="176"/>
        <v>-0.56224899598393574</v>
      </c>
      <c r="U654" s="59">
        <f t="shared" si="177"/>
        <v>0.17452830188679247</v>
      </c>
      <c r="V654" s="42">
        <f t="shared" si="180"/>
        <v>249</v>
      </c>
      <c r="W654" s="69">
        <f>IFERROR((VLOOKUP($A654,'Из ГУГЛа'!$B:$Z,W$1,0)+Y654)*X654,VLOOKUP($A654,'Из ГУГЛа'!$B:$Z,W$1,0))</f>
        <v>249</v>
      </c>
      <c r="X654" s="61">
        <v>1</v>
      </c>
      <c r="Y654" s="61">
        <v>0</v>
      </c>
      <c r="Z654" s="60">
        <v>249</v>
      </c>
      <c r="AA654" s="60" t="s">
        <v>4230</v>
      </c>
    </row>
    <row r="655" spans="1:27" ht="45" x14ac:dyDescent="0.25">
      <c r="A655" s="52">
        <v>214086</v>
      </c>
      <c r="B655" s="52">
        <f>VLOOKUP($A655,'Выгр Кат'!$A:$R,B$1,0)</f>
        <v>23543</v>
      </c>
      <c r="C655" s="53" t="str">
        <f>VLOOKUP($A655,'Выгр Кат'!$A:$R,C$1,0)</f>
        <v>(дубль) Соединитель порога пола "АвтоВАЗ" (поддомкратник, передний, левый) для ВАЗ 2110-2112</v>
      </c>
      <c r="D655" s="52" t="str">
        <f>VLOOKUP($A655,'Выгр Кат'!$A:$R,D$1,0)</f>
        <v>N</v>
      </c>
      <c r="E655" s="52" t="str">
        <f>VLOOKUP($A655,'Выгр Кат'!$A:$R,E$1,0)</f>
        <v>1</v>
      </c>
      <c r="F655" s="52" t="str">
        <f>VLOOKUP($A655,'Выгр Кат'!$A:$R,F$1,0)</f>
        <v>21100510105763</v>
      </c>
      <c r="G655" s="52" t="str">
        <f>IF(VLOOKUP($A655,'Выгр Кат'!$A:$R,G$1,0)=0,"",VLOOKUP($A655,'Выгр Кат'!$A:$R,G$1,0))</f>
        <v/>
      </c>
      <c r="H655" s="52"/>
      <c r="I655" s="52"/>
      <c r="J655" s="54">
        <f t="shared" si="169"/>
        <v>70</v>
      </c>
      <c r="K655" s="55">
        <f>VLOOKUP(J655,Наценка!$A$1:$B$8,2,1)</f>
        <v>2</v>
      </c>
      <c r="L655" s="56">
        <f t="shared" si="170"/>
        <v>140</v>
      </c>
      <c r="M655" s="57">
        <f t="shared" si="171"/>
        <v>139</v>
      </c>
      <c r="N655" s="52">
        <f>VLOOKUP($A655,'Выгр Кат'!$A:$R,N$1,0)</f>
        <v>70</v>
      </c>
      <c r="O655" s="52">
        <f>VLOOKUP($A655,'Выгр Кат'!$A:$R,O$1,0)</f>
        <v>139</v>
      </c>
      <c r="P655" s="47">
        <f t="shared" si="172"/>
        <v>0</v>
      </c>
      <c r="Q655" s="47">
        <f t="shared" si="173"/>
        <v>0</v>
      </c>
      <c r="R655" s="58">
        <f t="shared" si="174"/>
        <v>139</v>
      </c>
      <c r="S655" s="59">
        <f t="shared" si="175"/>
        <v>0.98571428571428577</v>
      </c>
      <c r="T655" s="59">
        <f t="shared" si="176"/>
        <v>0.17751479289940827</v>
      </c>
      <c r="U655" s="59">
        <f t="shared" si="177"/>
        <v>1.4142857142857141</v>
      </c>
      <c r="V655" s="42">
        <f t="shared" si="180"/>
        <v>169</v>
      </c>
      <c r="W655" s="69">
        <f>IFERROR((VLOOKUP($A655,'Из ГУГЛа'!$B:$Z,W$1,0)+Y655)*X655,VLOOKUP($A655,'Из ГУГЛа'!$B:$Z,W$1,0))</f>
        <v>169</v>
      </c>
      <c r="X655" s="61">
        <v>1</v>
      </c>
      <c r="Y655" s="61">
        <v>0</v>
      </c>
      <c r="Z655" s="60">
        <v>169</v>
      </c>
      <c r="AA655" s="60" t="s">
        <v>4229</v>
      </c>
    </row>
    <row r="656" spans="1:27" ht="45" x14ac:dyDescent="0.25">
      <c r="A656" s="52">
        <v>214087</v>
      </c>
      <c r="B656" s="52">
        <f>VLOOKUP($A656,'Выгр Кат'!$A:$R,B$1,0)</f>
        <v>23542</v>
      </c>
      <c r="C656" s="53" t="str">
        <f>VLOOKUP($A656,'Выгр Кат'!$A:$R,C$1,0)</f>
        <v>Соединитель порога пола "АвтоВАЗ" (поддомкратник, передний, правый) для ВАЗ 2110-2112</v>
      </c>
      <c r="D656" s="52" t="str">
        <f>VLOOKUP($A656,'Выгр Кат'!$A:$R,D$1,0)</f>
        <v>Y</v>
      </c>
      <c r="E656" s="52" t="str">
        <f>VLOOKUP($A656,'Выгр Кат'!$A:$R,E$1,0)</f>
        <v>1ск1</v>
      </c>
      <c r="F656" s="52" t="str">
        <f>VLOOKUP($A656,'Выгр Кат'!$A:$R,F$1,0)</f>
        <v>21100510105600</v>
      </c>
      <c r="G656" s="52" t="str">
        <f>IF(VLOOKUP($A656,'Выгр Кат'!$A:$R,G$1,0)=0,"",VLOOKUP($A656,'Выгр Кат'!$A:$R,G$1,0))</f>
        <v/>
      </c>
      <c r="H656" s="52"/>
      <c r="I656" s="52"/>
      <c r="J656" s="54">
        <f t="shared" si="169"/>
        <v>70</v>
      </c>
      <c r="K656" s="55">
        <f>VLOOKUP(J656,Наценка!$A$1:$B$8,2,1)</f>
        <v>2</v>
      </c>
      <c r="L656" s="56">
        <f t="shared" si="170"/>
        <v>140</v>
      </c>
      <c r="M656" s="57">
        <f t="shared" si="171"/>
        <v>139</v>
      </c>
      <c r="N656" s="52">
        <f>VLOOKUP($A656,'Выгр Кат'!$A:$R,N$1,0)</f>
        <v>70</v>
      </c>
      <c r="O656" s="52">
        <f>VLOOKUP($A656,'Выгр Кат'!$A:$R,O$1,0)</f>
        <v>139</v>
      </c>
      <c r="P656" s="47">
        <f t="shared" si="172"/>
        <v>0</v>
      </c>
      <c r="Q656" s="47">
        <f t="shared" si="173"/>
        <v>0</v>
      </c>
      <c r="R656" s="58">
        <f t="shared" si="174"/>
        <v>139</v>
      </c>
      <c r="S656" s="59">
        <f t="shared" si="175"/>
        <v>0.98571428571428577</v>
      </c>
      <c r="T656" s="59">
        <f t="shared" si="176"/>
        <v>0.44176706827309237</v>
      </c>
      <c r="U656" s="59">
        <f t="shared" si="177"/>
        <v>2.5571428571428569</v>
      </c>
      <c r="V656" s="42">
        <f t="shared" si="180"/>
        <v>249</v>
      </c>
      <c r="W656" s="69">
        <f>IFERROR((VLOOKUP($A656,'Из ГУГЛа'!$B:$Z,W$1,0)+Y656)*X656,VLOOKUP($A656,'Из ГУГЛа'!$B:$Z,W$1,0))</f>
        <v>249</v>
      </c>
      <c r="X656" s="61">
        <v>1</v>
      </c>
      <c r="Y656" s="61">
        <v>0</v>
      </c>
      <c r="Z656" s="60">
        <v>249</v>
      </c>
      <c r="AA656" s="60" t="s">
        <v>4230</v>
      </c>
    </row>
    <row r="657" spans="1:27" ht="30" x14ac:dyDescent="0.25">
      <c r="A657" s="52">
        <v>214089</v>
      </c>
      <c r="B657" s="52">
        <f>VLOOKUP($A657,'Выгр Кат'!$A:$R,B$1,0)</f>
        <v>31480</v>
      </c>
      <c r="C657" s="53" t="str">
        <f>VLOOKUP($A657,'Выгр Кат'!$A:$R,C$1,0)</f>
        <v>Соединитель порога пола (катафорез) "АвтоВАЗ" левый для Лада Калина</v>
      </c>
      <c r="D657" s="52" t="str">
        <f>VLOOKUP($A657,'Выгр Кат'!$A:$R,D$1,0)</f>
        <v>Y</v>
      </c>
      <c r="E657" s="52" t="str">
        <f>VLOOKUP($A657,'Выгр Кат'!$A:$R,E$1,0)</f>
        <v>1</v>
      </c>
      <c r="F657" s="52" t="str">
        <f>VLOOKUP($A657,'Выгр Кат'!$A:$R,F$1,0)</f>
        <v>11180510106970</v>
      </c>
      <c r="G657" s="52" t="str">
        <f>IF(VLOOKUP($A657,'Выгр Кат'!$A:$R,G$1,0)=0,"",VLOOKUP($A657,'Выгр Кат'!$A:$R,G$1,0))</f>
        <v>https://motorring.ru/product/18190-soedinitely-poroga-pola-levyy-kataforeznoe-pokrytie-lada</v>
      </c>
      <c r="H657" s="52"/>
      <c r="I657" s="52"/>
      <c r="J657" s="54">
        <f t="shared" si="169"/>
        <v>1734</v>
      </c>
      <c r="K657" s="55">
        <f>VLOOKUP(J657,Наценка!$A$1:$B$8,2,1)</f>
        <v>1.5</v>
      </c>
      <c r="L657" s="56">
        <f t="shared" si="170"/>
        <v>2601</v>
      </c>
      <c r="M657" s="57">
        <f t="shared" si="171"/>
        <v>2690</v>
      </c>
      <c r="N657" s="52">
        <f>VLOOKUP($A657,'Выгр Кат'!$A:$R,N$1,0)</f>
        <v>1734</v>
      </c>
      <c r="O657" s="52">
        <f>VLOOKUP($A657,'Выгр Кат'!$A:$R,O$1,0)</f>
        <v>2690</v>
      </c>
      <c r="P657" s="47">
        <f t="shared" si="172"/>
        <v>0</v>
      </c>
      <c r="Q657" s="47">
        <f t="shared" si="173"/>
        <v>0</v>
      </c>
      <c r="R657" s="58">
        <f t="shared" si="174"/>
        <v>2690</v>
      </c>
      <c r="S657" s="59">
        <f t="shared" si="175"/>
        <v>0.55132641291810836</v>
      </c>
      <c r="T657" s="59">
        <f t="shared" si="176"/>
        <v>-0.12552301255230125</v>
      </c>
      <c r="U657" s="59">
        <f t="shared" si="177"/>
        <v>0.378316032295271</v>
      </c>
      <c r="V657" s="42">
        <f t="shared" ref="V657:V662" si="181">Z657</f>
        <v>2390</v>
      </c>
      <c r="W657" s="69">
        <f>IFERROR((VLOOKUP($A657,'Из ГУГЛа'!$B:$Z,W$1,0)+Y657)*X657,VLOOKUP($A657,'Из ГУГЛа'!$B:$Z,W$1,0))</f>
        <v>2390</v>
      </c>
      <c r="X657" s="61">
        <v>1</v>
      </c>
      <c r="Y657" s="61">
        <v>0</v>
      </c>
      <c r="Z657" s="70">
        <v>2390</v>
      </c>
      <c r="AA657" s="60" t="s">
        <v>1718</v>
      </c>
    </row>
    <row r="658" spans="1:27" ht="45" x14ac:dyDescent="0.25">
      <c r="A658" s="52">
        <v>214090</v>
      </c>
      <c r="B658" s="52">
        <f>VLOOKUP($A658,'Выгр Кат'!$A:$R,B$1,0)</f>
        <v>32651</v>
      </c>
      <c r="C658" s="53" t="str">
        <f>VLOOKUP($A658,'Выгр Кат'!$A:$R,C$1,0)</f>
        <v>Соединитель порога пола (катафорез) "АвтоВАЗ" передний левый для Шевроле Нива</v>
      </c>
      <c r="D658" s="52" t="str">
        <f>VLOOKUP($A658,'Выгр Кат'!$A:$R,D$1,0)</f>
        <v>Y</v>
      </c>
      <c r="E658" s="52" t="str">
        <f>VLOOKUP($A658,'Выгр Кат'!$A:$R,E$1,0)</f>
        <v>1</v>
      </c>
      <c r="F658" s="52" t="str">
        <f>VLOOKUP($A658,'Выгр Кат'!$A:$R,F$1,0)</f>
        <v>21230510105570</v>
      </c>
      <c r="G658" s="52" t="str">
        <f>IF(VLOOKUP($A658,'Выгр Кат'!$A:$R,G$1,0)=0,"",VLOOKUP($A658,'Выгр Кат'!$A:$R,G$1,0))</f>
        <v>https://motorring.ru/product/229-soedinitely-poroga-pola-peredniy-levyy-kataforeznoe</v>
      </c>
      <c r="H658" s="52"/>
      <c r="I658" s="52"/>
      <c r="J658" s="54">
        <f t="shared" si="169"/>
        <v>2181</v>
      </c>
      <c r="K658" s="55">
        <f>VLOOKUP(J658,Наценка!$A$1:$B$8,2,1)</f>
        <v>1.4</v>
      </c>
      <c r="L658" s="56">
        <f t="shared" si="170"/>
        <v>3053.3999999999996</v>
      </c>
      <c r="M658" s="57">
        <f t="shared" si="171"/>
        <v>3090</v>
      </c>
      <c r="N658" s="52">
        <f>VLOOKUP($A658,'Выгр Кат'!$A:$R,N$1,0)</f>
        <v>2181</v>
      </c>
      <c r="O658" s="52">
        <f>VLOOKUP($A658,'Выгр Кат'!$A:$R,O$1,0)</f>
        <v>3090</v>
      </c>
      <c r="P658" s="47">
        <f t="shared" si="172"/>
        <v>0</v>
      </c>
      <c r="Q658" s="47">
        <f t="shared" si="173"/>
        <v>0</v>
      </c>
      <c r="R658" s="58">
        <f t="shared" si="174"/>
        <v>3090</v>
      </c>
      <c r="S658" s="59">
        <f t="shared" si="175"/>
        <v>0.41678129298486932</v>
      </c>
      <c r="T658" s="59">
        <f t="shared" si="176"/>
        <v>6.0790273556231005E-2</v>
      </c>
      <c r="U658" s="59">
        <f t="shared" si="177"/>
        <v>0.50848234754699684</v>
      </c>
      <c r="V658" s="42">
        <f t="shared" si="181"/>
        <v>3290</v>
      </c>
      <c r="W658" s="69">
        <f>IFERROR((VLOOKUP($A658,'Из ГУГЛа'!$B:$Z,W$1,0)+Y658)*X658,VLOOKUP($A658,'Из ГУГЛа'!$B:$Z,W$1,0))</f>
        <v>3290</v>
      </c>
      <c r="X658" s="61">
        <v>1</v>
      </c>
      <c r="Y658" s="61">
        <v>0</v>
      </c>
      <c r="Z658" s="70">
        <v>3290</v>
      </c>
      <c r="AA658" s="60" t="s">
        <v>1721</v>
      </c>
    </row>
    <row r="659" spans="1:27" ht="30" x14ac:dyDescent="0.25">
      <c r="A659" s="52">
        <v>214091</v>
      </c>
      <c r="B659" s="52">
        <f>VLOOKUP($A659,'Выгр Кат'!$A:$R,B$1,0)</f>
        <v>31481</v>
      </c>
      <c r="C659" s="53" t="str">
        <f>VLOOKUP($A659,'Выгр Кат'!$A:$R,C$1,0)</f>
        <v>Соединитель порога пола (катафорез) "АвтоВАЗ" правый для Лада Калина</v>
      </c>
      <c r="D659" s="52" t="str">
        <f>VLOOKUP($A659,'Выгр Кат'!$A:$R,D$1,0)</f>
        <v>Y</v>
      </c>
      <c r="E659" s="52" t="str">
        <f>VLOOKUP($A659,'Выгр Кат'!$A:$R,E$1,0)</f>
        <v>1</v>
      </c>
      <c r="F659" s="52" t="str">
        <f>VLOOKUP($A659,'Выгр Кат'!$A:$R,F$1,0)</f>
        <v>11180510106870</v>
      </c>
      <c r="G659" s="52" t="str">
        <f>IF(VLOOKUP($A659,'Выгр Кат'!$A:$R,G$1,0)=0,"",VLOOKUP($A659,'Выгр Кат'!$A:$R,G$1,0))</f>
        <v>https://motorring.ru/product/18189-soedinitely-poroga-pola-pravyy-kataforeznoe-pokrytie-lada</v>
      </c>
      <c r="H659" s="52"/>
      <c r="I659" s="52"/>
      <c r="J659" s="54">
        <f t="shared" si="169"/>
        <v>1433</v>
      </c>
      <c r="K659" s="55">
        <f>VLOOKUP(J659,Наценка!$A$1:$B$8,2,1)</f>
        <v>1.5</v>
      </c>
      <c r="L659" s="56">
        <f t="shared" si="170"/>
        <v>2149.5</v>
      </c>
      <c r="M659" s="57">
        <f t="shared" si="171"/>
        <v>2190</v>
      </c>
      <c r="N659" s="52">
        <f>VLOOKUP($A659,'Выгр Кат'!$A:$R,N$1,0)</f>
        <v>1433</v>
      </c>
      <c r="O659" s="52">
        <f>VLOOKUP($A659,'Выгр Кат'!$A:$R,O$1,0)</f>
        <v>2190</v>
      </c>
      <c r="P659" s="47">
        <f t="shared" si="172"/>
        <v>0</v>
      </c>
      <c r="Q659" s="47">
        <f t="shared" si="173"/>
        <v>0</v>
      </c>
      <c r="R659" s="58">
        <f t="shared" si="174"/>
        <v>2190</v>
      </c>
      <c r="S659" s="59">
        <f t="shared" si="175"/>
        <v>0.52826238660153524</v>
      </c>
      <c r="T659" s="59">
        <f t="shared" si="176"/>
        <v>-0.10050251256281408</v>
      </c>
      <c r="U659" s="59">
        <f t="shared" si="177"/>
        <v>0.38869504535938582</v>
      </c>
      <c r="V659" s="42">
        <f t="shared" si="181"/>
        <v>1990</v>
      </c>
      <c r="W659" s="69">
        <f>IFERROR((VLOOKUP($A659,'Из ГУГЛа'!$B:$Z,W$1,0)+Y659)*X659,VLOOKUP($A659,'Из ГУГЛа'!$B:$Z,W$1,0))</f>
        <v>1990</v>
      </c>
      <c r="X659" s="61">
        <v>1</v>
      </c>
      <c r="Y659" s="61">
        <v>0</v>
      </c>
      <c r="Z659" s="70">
        <v>1990</v>
      </c>
      <c r="AA659" s="60" t="s">
        <v>1724</v>
      </c>
    </row>
    <row r="660" spans="1:27" ht="45" x14ac:dyDescent="0.25">
      <c r="A660" s="52">
        <v>214092</v>
      </c>
      <c r="B660" s="52">
        <f>VLOOKUP($A660,'Выгр Кат'!$A:$R,B$1,0)</f>
        <v>31156</v>
      </c>
      <c r="C660" s="53" t="str">
        <f>VLOOKUP($A660,'Выгр Кат'!$A:$R,C$1,0)</f>
        <v>Соединитель порога пола левый в сборе (катафорез) "АвтоВАЗ" для Лада Веста</v>
      </c>
      <c r="D660" s="52" t="str">
        <f>VLOOKUP($A660,'Выгр Кат'!$A:$R,D$1,0)</f>
        <v>Y</v>
      </c>
      <c r="E660" s="52" t="str">
        <f>VLOOKUP($A660,'Выгр Кат'!$A:$R,E$1,0)</f>
        <v>1</v>
      </c>
      <c r="F660" s="52" t="str">
        <f>VLOOKUP($A660,'Выгр Кат'!$A:$R,F$1,0)</f>
        <v>8460013995 / 8450039315</v>
      </c>
      <c r="G660" s="52" t="str">
        <f>IF(VLOOKUP($A660,'Выгр Кат'!$A:$R,G$1,0)=0,"",VLOOKUP($A660,'Выгр Кат'!$A:$R,G$1,0))</f>
        <v/>
      </c>
      <c r="H660" s="52"/>
      <c r="I660" s="52"/>
      <c r="J660" s="54">
        <f t="shared" si="169"/>
        <v>1739</v>
      </c>
      <c r="K660" s="55">
        <f>VLOOKUP(J660,Наценка!$A$1:$B$8,2,1)</f>
        <v>1.5</v>
      </c>
      <c r="L660" s="56">
        <f t="shared" si="170"/>
        <v>2608.5</v>
      </c>
      <c r="M660" s="57">
        <f t="shared" si="171"/>
        <v>2690</v>
      </c>
      <c r="N660" s="52">
        <f>VLOOKUP($A660,'Выгр Кат'!$A:$R,N$1,0)</f>
        <v>1739</v>
      </c>
      <c r="O660" s="52">
        <f>VLOOKUP($A660,'Выгр Кат'!$A:$R,O$1,0)</f>
        <v>2690</v>
      </c>
      <c r="P660" s="47">
        <f t="shared" si="172"/>
        <v>0</v>
      </c>
      <c r="Q660" s="47">
        <f t="shared" si="173"/>
        <v>0</v>
      </c>
      <c r="R660" s="58">
        <f t="shared" si="174"/>
        <v>2690</v>
      </c>
      <c r="S660" s="59">
        <f t="shared" si="175"/>
        <v>0.5468660149511213</v>
      </c>
      <c r="T660" s="59">
        <f t="shared" si="176"/>
        <v>0.18237082066869301</v>
      </c>
      <c r="U660" s="59">
        <f t="shared" si="177"/>
        <v>0.89189189189189189</v>
      </c>
      <c r="V660" s="42">
        <f t="shared" si="181"/>
        <v>3290</v>
      </c>
      <c r="W660" s="69">
        <f>IFERROR((VLOOKUP($A660,'Из ГУГЛа'!$B:$Z,W$1,0)+Y660)*X660,VLOOKUP($A660,'Из ГУГЛа'!$B:$Z,W$1,0))</f>
        <v>3290</v>
      </c>
      <c r="X660" s="61">
        <v>1</v>
      </c>
      <c r="Y660" s="61">
        <v>0</v>
      </c>
      <c r="Z660" s="60">
        <v>3290</v>
      </c>
      <c r="AA660" s="60" t="s">
        <v>4237</v>
      </c>
    </row>
    <row r="661" spans="1:27" ht="45" x14ac:dyDescent="0.25">
      <c r="A661" s="52">
        <v>214093</v>
      </c>
      <c r="B661" s="52">
        <f>VLOOKUP($A661,'Выгр Кат'!$A:$R,B$1,0)</f>
        <v>31155</v>
      </c>
      <c r="C661" s="53" t="str">
        <f>VLOOKUP($A661,'Выгр Кат'!$A:$R,C$1,0)</f>
        <v>Соединитель порога пола правый в сборе (катафорез) "АвтоВАЗ" для Лада Веста</v>
      </c>
      <c r="D661" s="52" t="str">
        <f>VLOOKUP($A661,'Выгр Кат'!$A:$R,D$1,0)</f>
        <v>Y</v>
      </c>
      <c r="E661" s="52" t="str">
        <f>VLOOKUP($A661,'Выгр Кат'!$A:$R,E$1,0)</f>
        <v>1</v>
      </c>
      <c r="F661" s="52" t="str">
        <f>VLOOKUP($A661,'Выгр Кат'!$A:$R,F$1,0)</f>
        <v>8460013996 / 8450039316</v>
      </c>
      <c r="G661" s="52" t="str">
        <f>IF(VLOOKUP($A661,'Выгр Кат'!$A:$R,G$1,0)=0,"",VLOOKUP($A661,'Выгр Кат'!$A:$R,G$1,0))</f>
        <v/>
      </c>
      <c r="H661" s="52"/>
      <c r="I661" s="52"/>
      <c r="J661" s="54">
        <f t="shared" si="169"/>
        <v>1739</v>
      </c>
      <c r="K661" s="55">
        <f>VLOOKUP(J661,Наценка!$A$1:$B$8,2,1)</f>
        <v>1.5</v>
      </c>
      <c r="L661" s="56">
        <f t="shared" si="170"/>
        <v>2608.5</v>
      </c>
      <c r="M661" s="57">
        <f t="shared" si="171"/>
        <v>2690</v>
      </c>
      <c r="N661" s="52">
        <f>VLOOKUP($A661,'Выгр Кат'!$A:$R,N$1,0)</f>
        <v>1739</v>
      </c>
      <c r="O661" s="52">
        <f>VLOOKUP($A661,'Выгр Кат'!$A:$R,O$1,0)</f>
        <v>2690</v>
      </c>
      <c r="P661" s="47">
        <f t="shared" si="172"/>
        <v>0</v>
      </c>
      <c r="Q661" s="47">
        <f t="shared" si="173"/>
        <v>0</v>
      </c>
      <c r="R661" s="58">
        <f t="shared" si="174"/>
        <v>2690</v>
      </c>
      <c r="S661" s="59">
        <f t="shared" si="175"/>
        <v>0.5468660149511213</v>
      </c>
      <c r="T661" s="59">
        <f t="shared" si="176"/>
        <v>-0.12552301255230125</v>
      </c>
      <c r="U661" s="59">
        <f t="shared" si="177"/>
        <v>0.37435307648073612</v>
      </c>
      <c r="V661" s="42">
        <f t="shared" si="181"/>
        <v>2390</v>
      </c>
      <c r="W661" s="69">
        <f>IFERROR((VLOOKUP($A661,'Из ГУГЛа'!$B:$Z,W$1,0)+Y661)*X661,VLOOKUP($A661,'Из ГУГЛа'!$B:$Z,W$1,0))</f>
        <v>2390</v>
      </c>
      <c r="X661" s="61">
        <v>1</v>
      </c>
      <c r="Y661" s="61">
        <v>0</v>
      </c>
      <c r="Z661" s="60">
        <v>2390</v>
      </c>
      <c r="AA661" s="60" t="s">
        <v>4238</v>
      </c>
    </row>
    <row r="662" spans="1:27" ht="45" x14ac:dyDescent="0.25">
      <c r="A662" s="52">
        <v>214094</v>
      </c>
      <c r="B662" s="52">
        <f>VLOOKUP($A662,'Выгр Кат'!$A:$R,B$1,0)</f>
        <v>18744</v>
      </c>
      <c r="C662" s="53" t="str">
        <f>VLOOKUP($A662,'Выгр Кат'!$A:$R,C$1,0)</f>
        <v>Соединитель порога правый "АвтоВАЗ" для Лада Нива 4х4, Нива 4х4 Урбан</v>
      </c>
      <c r="D662" s="52" t="str">
        <f>VLOOKUP($A662,'Выгр Кат'!$A:$R,D$1,0)</f>
        <v>Y</v>
      </c>
      <c r="E662" s="52" t="str">
        <f>VLOOKUP($A662,'Выгр Кат'!$A:$R,E$1,0)</f>
        <v>1</v>
      </c>
      <c r="F662" s="52" t="str">
        <f>VLOOKUP($A662,'Выгр Кат'!$A:$R,F$1,0)</f>
        <v>21210510134010</v>
      </c>
      <c r="G662" s="52" t="str">
        <f>IF(VLOOKUP($A662,'Выгр Кат'!$A:$R,G$1,0)=0,"",VLOOKUP($A662,'Выгр Кат'!$A:$R,G$1,0))</f>
        <v/>
      </c>
      <c r="H662" s="52"/>
      <c r="I662" s="52"/>
      <c r="J662" s="54">
        <f t="shared" si="169"/>
        <v>360</v>
      </c>
      <c r="K662" s="55">
        <f>VLOOKUP(J662,Наценка!$A$1:$B$8,2,1)</f>
        <v>1.6</v>
      </c>
      <c r="L662" s="56">
        <f t="shared" si="170"/>
        <v>576</v>
      </c>
      <c r="M662" s="57">
        <f t="shared" si="171"/>
        <v>579</v>
      </c>
      <c r="N662" s="52">
        <f>VLOOKUP($A662,'Выгр Кат'!$A:$R,N$1,0)</f>
        <v>360</v>
      </c>
      <c r="O662" s="52">
        <f>VLOOKUP($A662,'Выгр Кат'!$A:$R,O$1,0)</f>
        <v>579</v>
      </c>
      <c r="P662" s="47">
        <f t="shared" si="172"/>
        <v>0</v>
      </c>
      <c r="Q662" s="47">
        <f t="shared" si="173"/>
        <v>0</v>
      </c>
      <c r="R662" s="58">
        <f t="shared" si="174"/>
        <v>579</v>
      </c>
      <c r="S662" s="59">
        <f t="shared" si="175"/>
        <v>0.60833333333333339</v>
      </c>
      <c r="T662" s="59">
        <f t="shared" si="176"/>
        <v>-0.99655172413793103</v>
      </c>
      <c r="U662" s="59">
        <f t="shared" si="177"/>
        <v>-0.19444444444444442</v>
      </c>
      <c r="V662" s="42">
        <f t="shared" si="181"/>
        <v>290</v>
      </c>
      <c r="W662" s="69">
        <f>IFERROR((VLOOKUP($A662,'Из ГУГЛа'!$B:$Z,W$1,0)+Y662)*X662,VLOOKUP($A662,'Из ГУГЛа'!$B:$Z,W$1,0))</f>
        <v>290</v>
      </c>
      <c r="X662" s="61">
        <v>1</v>
      </c>
      <c r="Y662" s="61">
        <v>0</v>
      </c>
      <c r="Z662" s="60">
        <v>290</v>
      </c>
      <c r="AA662" s="60" t="s">
        <v>4236</v>
      </c>
    </row>
    <row r="663" spans="1:27" ht="30" x14ac:dyDescent="0.25">
      <c r="A663" s="52">
        <v>214095</v>
      </c>
      <c r="B663" s="52">
        <f>VLOOKUP($A663,'Выгр Кат'!$A:$R,B$1,0)</f>
        <v>37237</v>
      </c>
      <c r="C663" s="53" t="str">
        <f>VLOOKUP($A663,'Выгр Кат'!$A:$R,C$1,0)</f>
        <v>Соединитель порога широкий для ВАЗ 2108</v>
      </c>
      <c r="D663" s="52" t="str">
        <f>VLOOKUP($A663,'Выгр Кат'!$A:$R,D$1,0)</f>
        <v>Y</v>
      </c>
      <c r="E663" s="52" t="str">
        <f>VLOOKUP($A663,'Выгр Кат'!$A:$R,E$1,0)</f>
        <v>1</v>
      </c>
      <c r="F663" s="52" t="str">
        <f>VLOOKUP($A663,'Выгр Кат'!$A:$R,F$1,0)</f>
        <v>210805101066</v>
      </c>
      <c r="G663" s="52" t="str">
        <f>IF(VLOOKUP($A663,'Выгр Кат'!$A:$R,G$1,0)=0,"",VLOOKUP($A663,'Выгр Кат'!$A:$R,G$1,0))</f>
        <v/>
      </c>
      <c r="H663" s="52"/>
      <c r="I663" s="52"/>
      <c r="J663" s="54">
        <f t="shared" si="169"/>
        <v>300</v>
      </c>
      <c r="K663" s="55">
        <f>VLOOKUP(J663,Наценка!$A$1:$B$8,2,1)</f>
        <v>1.6</v>
      </c>
      <c r="L663" s="56">
        <f t="shared" si="170"/>
        <v>480</v>
      </c>
      <c r="M663" s="57">
        <f t="shared" si="171"/>
        <v>479</v>
      </c>
      <c r="N663" s="52">
        <f>VLOOKUP($A663,'Выгр Кат'!$A:$R,N$1,0)</f>
        <v>300</v>
      </c>
      <c r="O663" s="52">
        <f>VLOOKUP($A663,'Выгр Кат'!$A:$R,O$1,0)</f>
        <v>479</v>
      </c>
      <c r="P663" s="47">
        <f t="shared" si="172"/>
        <v>0</v>
      </c>
      <c r="Q663" s="47">
        <f t="shared" si="173"/>
        <v>0</v>
      </c>
      <c r="R663" s="58">
        <f t="shared" si="174"/>
        <v>479</v>
      </c>
      <c r="S663" s="59">
        <f t="shared" si="175"/>
        <v>0.59666666666666668</v>
      </c>
      <c r="T663" s="59" t="str">
        <f t="shared" si="176"/>
        <v/>
      </c>
      <c r="U663" s="59" t="str">
        <f t="shared" si="177"/>
        <v/>
      </c>
      <c r="V663" s="60"/>
      <c r="W663" s="69" t="str">
        <f>IFERROR((VLOOKUP($A663,'Из ГУГЛа'!$B:$Z,W$1,0)+Y663)*X663,VLOOKUP($A663,'Из ГУГЛа'!$B:$Z,W$1,0))</f>
        <v/>
      </c>
      <c r="X663" s="61">
        <v>1</v>
      </c>
      <c r="Y663" s="61">
        <v>0</v>
      </c>
      <c r="Z663" s="62" t="s">
        <v>4170</v>
      </c>
      <c r="AA663" s="60"/>
    </row>
    <row r="664" spans="1:27" ht="45" x14ac:dyDescent="0.25">
      <c r="A664" s="52">
        <v>214096</v>
      </c>
      <c r="B664" s="52">
        <f>VLOOKUP($A664,'Выгр Кат'!$A:$R,B$1,0)</f>
        <v>31113</v>
      </c>
      <c r="C664" s="53" t="str">
        <f>VLOOKUP($A664,'Выгр Кат'!$A:$R,C$1,0)</f>
        <v>Соединитель стойки заднего окна и полки задка "АвтоВАЗ" левый, в сборе для Лада Веста SW универсал</v>
      </c>
      <c r="D664" s="52" t="str">
        <f>VLOOKUP($A664,'Выгр Кат'!$A:$R,D$1,0)</f>
        <v>Y</v>
      </c>
      <c r="E664" s="52" t="str">
        <f>VLOOKUP($A664,'Выгр Кат'!$A:$R,E$1,0)</f>
        <v>1</v>
      </c>
      <c r="F664" s="52" t="str">
        <f>VLOOKUP($A664,'Выгр Кат'!$A:$R,F$1,0)</f>
        <v>8450102339</v>
      </c>
      <c r="G664" s="52" t="str">
        <f>IF(VLOOKUP($A664,'Выгр Кат'!$A:$R,G$1,0)=0,"",VLOOKUP($A664,'Выгр Кат'!$A:$R,G$1,0))</f>
        <v/>
      </c>
      <c r="H664" s="52"/>
      <c r="I664" s="52"/>
      <c r="J664" s="54">
        <f t="shared" si="169"/>
        <v>687</v>
      </c>
      <c r="K664" s="55">
        <f>VLOOKUP(J664,Наценка!$A$1:$B$8,2,1)</f>
        <v>1.55</v>
      </c>
      <c r="L664" s="56">
        <f t="shared" si="170"/>
        <v>1064.8500000000001</v>
      </c>
      <c r="M664" s="57">
        <f t="shared" si="171"/>
        <v>1090</v>
      </c>
      <c r="N664" s="52">
        <f>VLOOKUP($A664,'Выгр Кат'!$A:$R,N$1,0)</f>
        <v>687</v>
      </c>
      <c r="O664" s="52">
        <f>VLOOKUP($A664,'Выгр Кат'!$A:$R,O$1,0)</f>
        <v>1090</v>
      </c>
      <c r="P664" s="47">
        <f t="shared" si="172"/>
        <v>0</v>
      </c>
      <c r="Q664" s="47">
        <f t="shared" si="173"/>
        <v>0</v>
      </c>
      <c r="R664" s="58">
        <f t="shared" si="174"/>
        <v>1090</v>
      </c>
      <c r="S664" s="59">
        <f t="shared" si="175"/>
        <v>0.58660844250363908</v>
      </c>
      <c r="T664" s="59" t="str">
        <f t="shared" si="176"/>
        <v/>
      </c>
      <c r="U664" s="59" t="str">
        <f t="shared" si="177"/>
        <v/>
      </c>
      <c r="V664" s="60"/>
      <c r="W664" s="69" t="str">
        <f>IFERROR((VLOOKUP($A664,'Из ГУГЛа'!$B:$Z,W$1,0)+Y664)*X664,VLOOKUP($A664,'Из ГУГЛа'!$B:$Z,W$1,0))</f>
        <v/>
      </c>
      <c r="X664" s="61">
        <v>1</v>
      </c>
      <c r="Y664" s="61">
        <v>0</v>
      </c>
      <c r="Z664" s="60" t="s">
        <v>4170</v>
      </c>
      <c r="AA664" s="60"/>
    </row>
    <row r="665" spans="1:27" ht="45" x14ac:dyDescent="0.25">
      <c r="A665" s="52">
        <v>214100</v>
      </c>
      <c r="B665" s="52">
        <f>VLOOKUP($A665,'Выгр Кат'!$A:$R,B$1,0)</f>
        <v>32690</v>
      </c>
      <c r="C665" s="53" t="str">
        <f>VLOOKUP($A665,'Выгр Кат'!$A:$R,C$1,0)</f>
        <v>Соединитель угловой панели и арки заднего крыла "АвтоВАЗ" левый для Лада Приора, Приора 2 седан</v>
      </c>
      <c r="D665" s="52" t="str">
        <f>VLOOKUP($A665,'Выгр Кат'!$A:$R,D$1,0)</f>
        <v>Y</v>
      </c>
      <c r="E665" s="52" t="str">
        <f>VLOOKUP($A665,'Выгр Кат'!$A:$R,E$1,0)</f>
        <v>1</v>
      </c>
      <c r="F665" s="52" t="str">
        <f>VLOOKUP($A665,'Выгр Кат'!$A:$R,F$1,0)</f>
        <v>21700540137900</v>
      </c>
      <c r="G665" s="52" t="str">
        <f>IF(VLOOKUP($A665,'Выгр Кат'!$A:$R,G$1,0)=0,"",VLOOKUP($A665,'Выгр Кат'!$A:$R,G$1,0))</f>
        <v>https://motorring.ru/product/5308</v>
      </c>
      <c r="H665" s="52"/>
      <c r="I665" s="52"/>
      <c r="J665" s="54">
        <f t="shared" si="169"/>
        <v>83</v>
      </c>
      <c r="K665" s="55">
        <f>VLOOKUP(J665,Наценка!$A$1:$B$8,2,1)</f>
        <v>2</v>
      </c>
      <c r="L665" s="56">
        <f t="shared" si="170"/>
        <v>166</v>
      </c>
      <c r="M665" s="57">
        <f t="shared" si="171"/>
        <v>169</v>
      </c>
      <c r="N665" s="52">
        <f>VLOOKUP($A665,'Выгр Кат'!$A:$R,N$1,0)</f>
        <v>83</v>
      </c>
      <c r="O665" s="52">
        <f>VLOOKUP($A665,'Выгр Кат'!$A:$R,O$1,0)</f>
        <v>169</v>
      </c>
      <c r="P665" s="47">
        <f t="shared" si="172"/>
        <v>0</v>
      </c>
      <c r="Q665" s="47">
        <f t="shared" si="173"/>
        <v>0</v>
      </c>
      <c r="R665" s="58">
        <f t="shared" si="174"/>
        <v>169</v>
      </c>
      <c r="S665" s="59">
        <f t="shared" si="175"/>
        <v>1.036144578313253</v>
      </c>
      <c r="T665" s="59">
        <f t="shared" si="176"/>
        <v>0.11052631578947368</v>
      </c>
      <c r="U665" s="59">
        <f t="shared" si="177"/>
        <v>1.2891566265060241</v>
      </c>
      <c r="V665" s="42">
        <f t="shared" ref="V665:V666" si="182">Z665</f>
        <v>190</v>
      </c>
      <c r="W665" s="69">
        <f>IFERROR((VLOOKUP($A665,'Из ГУГЛа'!$B:$Z,W$1,0)+Y665)*X665,VLOOKUP($A665,'Из ГУГЛа'!$B:$Z,W$1,0))</f>
        <v>190</v>
      </c>
      <c r="X665" s="61">
        <v>1</v>
      </c>
      <c r="Y665" s="61">
        <v>0</v>
      </c>
      <c r="Z665" s="70">
        <v>190</v>
      </c>
      <c r="AA665" s="60" t="s">
        <v>1734</v>
      </c>
    </row>
    <row r="666" spans="1:27" ht="45" x14ac:dyDescent="0.25">
      <c r="A666" s="52">
        <v>214101</v>
      </c>
      <c r="B666" s="52">
        <f>VLOOKUP($A666,'Выгр Кат'!$A:$R,B$1,0)</f>
        <v>31232</v>
      </c>
      <c r="C666" s="53" t="str">
        <f>VLOOKUP($A666,'Выгр Кат'!$A:$R,C$1,0)</f>
        <v>Соединитель угловой панели и арки заднего крыла "АвтоВАЗ" правый для Лада Приора, Приора 2 седан</v>
      </c>
      <c r="D666" s="52" t="str">
        <f>VLOOKUP($A666,'Выгр Кат'!$A:$R,D$1,0)</f>
        <v>Y</v>
      </c>
      <c r="E666" s="52" t="str">
        <f>VLOOKUP($A666,'Выгр Кат'!$A:$R,E$1,0)</f>
        <v>1</v>
      </c>
      <c r="F666" s="52" t="str">
        <f>VLOOKUP($A666,'Выгр Кат'!$A:$R,F$1,0)</f>
        <v>21700540137800</v>
      </c>
      <c r="G666" s="52" t="str">
        <f>IF(VLOOKUP($A666,'Выгр Кат'!$A:$R,G$1,0)=0,"",VLOOKUP($A666,'Выгр Кат'!$A:$R,G$1,0))</f>
        <v>https://motorring.ru/product/15509</v>
      </c>
      <c r="H666" s="52"/>
      <c r="I666" s="52"/>
      <c r="J666" s="54">
        <f t="shared" si="169"/>
        <v>137</v>
      </c>
      <c r="K666" s="55">
        <f>VLOOKUP(J666,Наценка!$A$1:$B$8,2,1)</f>
        <v>1.8</v>
      </c>
      <c r="L666" s="56">
        <f t="shared" si="170"/>
        <v>246.6</v>
      </c>
      <c r="M666" s="57">
        <f t="shared" si="171"/>
        <v>249</v>
      </c>
      <c r="N666" s="52">
        <f>VLOOKUP($A666,'Выгр Кат'!$A:$R,N$1,0)</f>
        <v>137</v>
      </c>
      <c r="O666" s="52">
        <f>VLOOKUP($A666,'Выгр Кат'!$A:$R,O$1,0)</f>
        <v>249</v>
      </c>
      <c r="P666" s="47">
        <f t="shared" si="172"/>
        <v>0</v>
      </c>
      <c r="Q666" s="47">
        <f t="shared" si="173"/>
        <v>0</v>
      </c>
      <c r="R666" s="58">
        <f t="shared" si="174"/>
        <v>249</v>
      </c>
      <c r="S666" s="59">
        <f t="shared" si="175"/>
        <v>0.81751824817518237</v>
      </c>
      <c r="T666" s="59">
        <f t="shared" si="176"/>
        <v>-0.31052631578947371</v>
      </c>
      <c r="U666" s="59">
        <f t="shared" si="177"/>
        <v>0.38686131386861322</v>
      </c>
      <c r="V666" s="42">
        <f t="shared" si="182"/>
        <v>190</v>
      </c>
      <c r="W666" s="69">
        <f>IFERROR((VLOOKUP($A666,'Из ГУГЛа'!$B:$Z,W$1,0)+Y666)*X666,VLOOKUP($A666,'Из ГУГЛа'!$B:$Z,W$1,0))</f>
        <v>190</v>
      </c>
      <c r="X666" s="61">
        <v>1</v>
      </c>
      <c r="Y666" s="61">
        <v>0</v>
      </c>
      <c r="Z666" s="70">
        <v>190</v>
      </c>
      <c r="AA666" s="60" t="s">
        <v>1737</v>
      </c>
    </row>
    <row r="667" spans="1:27" ht="45" x14ac:dyDescent="0.25">
      <c r="A667" s="52">
        <v>214102</v>
      </c>
      <c r="B667" s="52">
        <f>VLOOKUP($A667,'Выгр Кат'!$A:$R,B$1,0)</f>
        <v>32731</v>
      </c>
      <c r="C667" s="53" t="str">
        <f>VLOOKUP($A667,'Выгр Кат'!$A:$R,C$1,0)</f>
        <v>Соединитель щитка передка и пола (катафорез) "АвтоВАЗ" левый в сборе для Лада Веста</v>
      </c>
      <c r="D667" s="52" t="str">
        <f>VLOOKUP($A667,'Выгр Кат'!$A:$R,D$1,0)</f>
        <v>Y</v>
      </c>
      <c r="E667" s="52" t="str">
        <f>VLOOKUP($A667,'Выгр Кат'!$A:$R,E$1,0)</f>
        <v>1</v>
      </c>
      <c r="F667" s="52" t="str">
        <f>VLOOKUP($A667,'Выгр Кат'!$A:$R,F$1,0)</f>
        <v>8450039451</v>
      </c>
      <c r="G667" s="52" t="str">
        <f>IF(VLOOKUP($A667,'Выгр Кат'!$A:$R,G$1,0)=0,"",VLOOKUP($A667,'Выгр Кат'!$A:$R,G$1,0))</f>
        <v/>
      </c>
      <c r="H667" s="52"/>
      <c r="I667" s="52"/>
      <c r="J667" s="54">
        <f t="shared" si="169"/>
        <v>1752</v>
      </c>
      <c r="K667" s="55">
        <f>VLOOKUP(J667,Наценка!$A$1:$B$8,2,1)</f>
        <v>1.5</v>
      </c>
      <c r="L667" s="56">
        <f t="shared" si="170"/>
        <v>2628</v>
      </c>
      <c r="M667" s="57">
        <f t="shared" si="171"/>
        <v>2690</v>
      </c>
      <c r="N667" s="52">
        <f>VLOOKUP($A667,'Выгр Кат'!$A:$R,N$1,0)</f>
        <v>1752</v>
      </c>
      <c r="O667" s="52">
        <f>VLOOKUP($A667,'Выгр Кат'!$A:$R,O$1,0)</f>
        <v>2690</v>
      </c>
      <c r="P667" s="47">
        <f t="shared" si="172"/>
        <v>0</v>
      </c>
      <c r="Q667" s="47">
        <f t="shared" si="173"/>
        <v>0</v>
      </c>
      <c r="R667" s="58">
        <f t="shared" si="174"/>
        <v>2690</v>
      </c>
      <c r="S667" s="59">
        <f t="shared" si="175"/>
        <v>0.53538812785388123</v>
      </c>
      <c r="T667" s="59" t="str">
        <f t="shared" si="176"/>
        <v/>
      </c>
      <c r="U667" s="59" t="str">
        <f t="shared" si="177"/>
        <v/>
      </c>
      <c r="V667" s="60"/>
      <c r="W667" s="69" t="str">
        <f>IFERROR((VLOOKUP($A667,'Из ГУГЛа'!$B:$Z,W$1,0)+Y667)*X667,VLOOKUP($A667,'Из ГУГЛа'!$B:$Z,W$1,0))</f>
        <v/>
      </c>
      <c r="X667" s="61">
        <v>1</v>
      </c>
      <c r="Y667" s="61">
        <v>0</v>
      </c>
      <c r="Z667" s="60" t="s">
        <v>4170</v>
      </c>
      <c r="AA667" s="60"/>
    </row>
    <row r="668" spans="1:27" ht="45" x14ac:dyDescent="0.25">
      <c r="A668" s="52">
        <v>217684</v>
      </c>
      <c r="B668" s="52">
        <f>VLOOKUP($A668,'Выгр Кат'!$A:$R,B$1,0)</f>
        <v>31163</v>
      </c>
      <c r="C668" s="53" t="str">
        <f>VLOOKUP($A668,'Выгр Кат'!$A:$R,C$1,0)</f>
        <v>Стойка (стакан) передней подвески с опорой левая в сборе (катафорез) "АвтоВАЗ" для Лада Веста</v>
      </c>
      <c r="D668" s="52" t="str">
        <f>VLOOKUP($A668,'Выгр Кат'!$A:$R,D$1,0)</f>
        <v>Y</v>
      </c>
      <c r="E668" s="52" t="str">
        <f>VLOOKUP($A668,'Выгр Кат'!$A:$R,E$1,0)</f>
        <v>1</v>
      </c>
      <c r="F668" s="52" t="str">
        <f>VLOOKUP($A668,'Выгр Кат'!$A:$R,F$1,0)</f>
        <v>8450039305</v>
      </c>
      <c r="G668" s="52" t="str">
        <f>IF(VLOOKUP($A668,'Выгр Кат'!$A:$R,G$1,0)=0,"",VLOOKUP($A668,'Выгр Кат'!$A:$R,G$1,0))</f>
        <v/>
      </c>
      <c r="H668" s="52"/>
      <c r="I668" s="52"/>
      <c r="J668" s="54">
        <f t="shared" si="169"/>
        <v>2382</v>
      </c>
      <c r="K668" s="55">
        <f>VLOOKUP(J668,Наценка!$A$1:$B$8,2,1)</f>
        <v>1.4</v>
      </c>
      <c r="L668" s="56">
        <f t="shared" si="170"/>
        <v>3334.7999999999997</v>
      </c>
      <c r="M668" s="57">
        <f t="shared" si="171"/>
        <v>3390</v>
      </c>
      <c r="N668" s="52">
        <f>VLOOKUP($A668,'Выгр Кат'!$A:$R,N$1,0)</f>
        <v>2382</v>
      </c>
      <c r="O668" s="52">
        <f>VLOOKUP($A668,'Выгр Кат'!$A:$R,O$1,0)</f>
        <v>3390</v>
      </c>
      <c r="P668" s="47">
        <f t="shared" si="172"/>
        <v>0</v>
      </c>
      <c r="Q668" s="47">
        <f t="shared" si="173"/>
        <v>0</v>
      </c>
      <c r="R668" s="58">
        <f t="shared" si="174"/>
        <v>3390</v>
      </c>
      <c r="S668" s="59">
        <f t="shared" si="175"/>
        <v>0.42317380352644829</v>
      </c>
      <c r="T668" s="59" t="str">
        <f t="shared" si="176"/>
        <v/>
      </c>
      <c r="U668" s="59" t="str">
        <f t="shared" si="177"/>
        <v/>
      </c>
      <c r="V668" s="60"/>
      <c r="W668" s="69" t="str">
        <f>IFERROR((VLOOKUP($A668,'Из ГУГЛа'!$B:$Z,W$1,0)+Y668)*X668,VLOOKUP($A668,'Из ГУГЛа'!$B:$Z,W$1,0))</f>
        <v/>
      </c>
      <c r="X668" s="61">
        <v>1</v>
      </c>
      <c r="Y668" s="61">
        <v>0</v>
      </c>
      <c r="Z668" s="60" t="s">
        <v>4170</v>
      </c>
      <c r="AA668" s="60"/>
    </row>
    <row r="669" spans="1:27" ht="45" x14ac:dyDescent="0.25">
      <c r="A669" s="52">
        <v>217685</v>
      </c>
      <c r="B669" s="52">
        <f>VLOOKUP($A669,'Выгр Кат'!$A:$R,B$1,0)</f>
        <v>31164</v>
      </c>
      <c r="C669" s="53" t="str">
        <f>VLOOKUP($A669,'Выгр Кат'!$A:$R,C$1,0)</f>
        <v>Стойка (стакан) передней подвески с опорой правая в сборе (катафорез) "АвтоВАЗ" для Лада Веста</v>
      </c>
      <c r="D669" s="52" t="str">
        <f>VLOOKUP($A669,'Выгр Кат'!$A:$R,D$1,0)</f>
        <v>Y</v>
      </c>
      <c r="E669" s="52" t="str">
        <f>VLOOKUP($A669,'Выгр Кат'!$A:$R,E$1,0)</f>
        <v>1</v>
      </c>
      <c r="F669" s="52" t="str">
        <f>VLOOKUP($A669,'Выгр Кат'!$A:$R,F$1,0)</f>
        <v>8450039304</v>
      </c>
      <c r="G669" s="52" t="str">
        <f>IF(VLOOKUP($A669,'Выгр Кат'!$A:$R,G$1,0)=0,"",VLOOKUP($A669,'Выгр Кат'!$A:$R,G$1,0))</f>
        <v/>
      </c>
      <c r="H669" s="52"/>
      <c r="I669" s="52"/>
      <c r="J669" s="54">
        <f t="shared" si="169"/>
        <v>2370</v>
      </c>
      <c r="K669" s="55">
        <f>VLOOKUP(J669,Наценка!$A$1:$B$8,2,1)</f>
        <v>1.4</v>
      </c>
      <c r="L669" s="56">
        <f t="shared" si="170"/>
        <v>3318</v>
      </c>
      <c r="M669" s="57">
        <f t="shared" si="171"/>
        <v>3390</v>
      </c>
      <c r="N669" s="52">
        <f>VLOOKUP($A669,'Выгр Кат'!$A:$R,N$1,0)</f>
        <v>2370</v>
      </c>
      <c r="O669" s="52">
        <f>VLOOKUP($A669,'Выгр Кат'!$A:$R,O$1,0)</f>
        <v>3390</v>
      </c>
      <c r="P669" s="47">
        <f t="shared" si="172"/>
        <v>0</v>
      </c>
      <c r="Q669" s="47">
        <f t="shared" si="173"/>
        <v>0</v>
      </c>
      <c r="R669" s="58">
        <f t="shared" si="174"/>
        <v>3390</v>
      </c>
      <c r="S669" s="59">
        <f t="shared" si="175"/>
        <v>0.43037974683544311</v>
      </c>
      <c r="T669" s="59" t="str">
        <f t="shared" si="176"/>
        <v/>
      </c>
      <c r="U669" s="59" t="str">
        <f t="shared" si="177"/>
        <v/>
      </c>
      <c r="V669" s="60"/>
      <c r="W669" s="69" t="str">
        <f>IFERROR((VLOOKUP($A669,'Из ГУГЛа'!$B:$Z,W$1,0)+Y669)*X669,VLOOKUP($A669,'Из ГУГЛа'!$B:$Z,W$1,0))</f>
        <v/>
      </c>
      <c r="X669" s="61">
        <v>1</v>
      </c>
      <c r="Y669" s="61">
        <v>0</v>
      </c>
      <c r="Z669" s="60" t="s">
        <v>4170</v>
      </c>
      <c r="AA669" s="60"/>
    </row>
    <row r="670" spans="1:27" ht="60" x14ac:dyDescent="0.25">
      <c r="A670" s="52">
        <v>217702</v>
      </c>
      <c r="B670" s="52">
        <f>VLOOKUP($A670,'Выгр Кат'!$A:$R,B$1,0)</f>
        <v>23611</v>
      </c>
      <c r="C670" s="53" t="str">
        <f>VLOOKUP($A670,'Выгр Кат'!$A:$R,C$1,0)</f>
        <v>Стойка боковая центральная "АвтоВАЗ" (левая катафорезное покрытие) для ВАЗ 2110-2112, Лада Приора</v>
      </c>
      <c r="D670" s="52" t="str">
        <f>VLOOKUP($A670,'Выгр Кат'!$A:$R,D$1,0)</f>
        <v>Y</v>
      </c>
      <c r="E670" s="52" t="str">
        <f>VLOOKUP($A670,'Выгр Кат'!$A:$R,E$1,0)</f>
        <v>1</v>
      </c>
      <c r="F670" s="52" t="str">
        <f>VLOOKUP($A670,'Выгр Кат'!$A:$R,F$1,0)</f>
        <v>21100540113110</v>
      </c>
      <c r="G670" s="52" t="str">
        <f>IF(VLOOKUP($A670,'Выгр Кат'!$A:$R,G$1,0)=0,"",VLOOKUP($A670,'Выгр Кат'!$A:$R,G$1,0))</f>
        <v>https://motorring.ru/product/35959-stoyka-bokoviny-centralynaya-levaya-kataforez-2110</v>
      </c>
      <c r="H670" s="52"/>
      <c r="I670" s="52"/>
      <c r="J670" s="54">
        <f t="shared" si="169"/>
        <v>2513</v>
      </c>
      <c r="K670" s="55">
        <f>VLOOKUP(J670,Наценка!$A$1:$B$8,2,1)</f>
        <v>1.4</v>
      </c>
      <c r="L670" s="56">
        <f t="shared" si="170"/>
        <v>3518.2</v>
      </c>
      <c r="M670" s="57">
        <f t="shared" si="171"/>
        <v>3590</v>
      </c>
      <c r="N670" s="52">
        <f>VLOOKUP($A670,'Выгр Кат'!$A:$R,N$1,0)</f>
        <v>2513</v>
      </c>
      <c r="O670" s="52">
        <f>VLOOKUP($A670,'Выгр Кат'!$A:$R,O$1,0)</f>
        <v>3590</v>
      </c>
      <c r="P670" s="47">
        <f t="shared" si="172"/>
        <v>0</v>
      </c>
      <c r="Q670" s="47">
        <f t="shared" si="173"/>
        <v>0</v>
      </c>
      <c r="R670" s="58">
        <f t="shared" si="174"/>
        <v>3590</v>
      </c>
      <c r="S670" s="59">
        <f t="shared" si="175"/>
        <v>0.4285714285714286</v>
      </c>
      <c r="T670" s="59">
        <f t="shared" si="176"/>
        <v>-5.8997050147492625E-2</v>
      </c>
      <c r="U670" s="59">
        <f t="shared" si="177"/>
        <v>0.34898527656187817</v>
      </c>
      <c r="V670" s="42">
        <f t="shared" ref="V670:V671" si="183">Z670</f>
        <v>3390</v>
      </c>
      <c r="W670" s="69">
        <f>IFERROR((VLOOKUP($A670,'Из ГУГЛа'!$B:$Z,W$1,0)+Y670)*X670,VLOOKUP($A670,'Из ГУГЛа'!$B:$Z,W$1,0))</f>
        <v>3390</v>
      </c>
      <c r="X670" s="61">
        <v>1</v>
      </c>
      <c r="Y670" s="61">
        <v>0</v>
      </c>
      <c r="Z670" s="70">
        <v>3390</v>
      </c>
      <c r="AA670" s="60" t="s">
        <v>1746</v>
      </c>
    </row>
    <row r="671" spans="1:27" ht="60" x14ac:dyDescent="0.25">
      <c r="A671" s="52">
        <v>217703</v>
      </c>
      <c r="B671" s="52">
        <f>VLOOKUP($A671,'Выгр Кат'!$A:$R,B$1,0)</f>
        <v>23553</v>
      </c>
      <c r="C671" s="53" t="str">
        <f>VLOOKUP($A671,'Выгр Кат'!$A:$R,C$1,0)</f>
        <v>Стойка боковая центральная "АвтоВАЗ" (правая, катафорезное покрытие) для ВАЗ 2110-2112, Лада Приора</v>
      </c>
      <c r="D671" s="52" t="str">
        <f>VLOOKUP($A671,'Выгр Кат'!$A:$R,D$1,0)</f>
        <v>Y</v>
      </c>
      <c r="E671" s="52" t="str">
        <f>VLOOKUP($A671,'Выгр Кат'!$A:$R,E$1,0)</f>
        <v>1</v>
      </c>
      <c r="F671" s="52" t="str">
        <f>VLOOKUP($A671,'Выгр Кат'!$A:$R,F$1,0)</f>
        <v>21100540113010</v>
      </c>
      <c r="G671" s="52" t="str">
        <f>IF(VLOOKUP($A671,'Выгр Кат'!$A:$R,G$1,0)=0,"",VLOOKUP($A671,'Выгр Кат'!$A:$R,G$1,0))</f>
        <v>https://motorring.ru/product/18155-stoyka-bokovaya-centralynaya-pravaya-kataforeznoe-pokrytie</v>
      </c>
      <c r="H671" s="52"/>
      <c r="I671" s="52"/>
      <c r="J671" s="54">
        <f t="shared" si="169"/>
        <v>2225</v>
      </c>
      <c r="K671" s="55">
        <f>VLOOKUP(J671,Наценка!$A$1:$B$8,2,1)</f>
        <v>1.4</v>
      </c>
      <c r="L671" s="56">
        <f t="shared" si="170"/>
        <v>3115</v>
      </c>
      <c r="M671" s="57">
        <f t="shared" si="171"/>
        <v>3190</v>
      </c>
      <c r="N671" s="52">
        <f>VLOOKUP($A671,'Выгр Кат'!$A:$R,N$1,0)</f>
        <v>2225</v>
      </c>
      <c r="O671" s="52">
        <f>VLOOKUP($A671,'Выгр Кат'!$A:$R,O$1,0)</f>
        <v>3190</v>
      </c>
      <c r="P671" s="47">
        <f t="shared" si="172"/>
        <v>0</v>
      </c>
      <c r="Q671" s="47">
        <f t="shared" si="173"/>
        <v>0</v>
      </c>
      <c r="R671" s="58">
        <f t="shared" si="174"/>
        <v>3190</v>
      </c>
      <c r="S671" s="59">
        <f t="shared" si="175"/>
        <v>0.43370786516853932</v>
      </c>
      <c r="T671" s="59">
        <f t="shared" si="176"/>
        <v>5.8997050147492625E-2</v>
      </c>
      <c r="U671" s="59">
        <f t="shared" si="177"/>
        <v>0.52359550561797752</v>
      </c>
      <c r="V671" s="42">
        <f t="shared" si="183"/>
        <v>3390</v>
      </c>
      <c r="W671" s="69">
        <f>IFERROR((VLOOKUP($A671,'Из ГУГЛа'!$B:$Z,W$1,0)+Y671)*X671,VLOOKUP($A671,'Из ГУГЛа'!$B:$Z,W$1,0))</f>
        <v>3390</v>
      </c>
      <c r="X671" s="61">
        <v>1</v>
      </c>
      <c r="Y671" s="61">
        <v>0</v>
      </c>
      <c r="Z671" s="70">
        <v>3390</v>
      </c>
      <c r="AA671" s="60" t="s">
        <v>1749</v>
      </c>
    </row>
    <row r="672" spans="1:27" ht="30" x14ac:dyDescent="0.25">
      <c r="A672" s="52">
        <v>217704</v>
      </c>
      <c r="B672" s="52">
        <f>VLOOKUP($A672,'Выгр Кат'!$A:$R,B$1,0)</f>
        <v>53003</v>
      </c>
      <c r="C672" s="53" t="str">
        <f>VLOOKUP($A672,'Выгр Кат'!$A:$R,C$1,0)</f>
        <v>Стойка боковины "АвтоВАЗ" задняя левая в сборе для Лада Ларгус</v>
      </c>
      <c r="D672" s="52" t="str">
        <f>VLOOKUP($A672,'Выгр Кат'!$A:$R,D$1,0)</f>
        <v>Y</v>
      </c>
      <c r="E672" s="52" t="str">
        <f>VLOOKUP($A672,'Выгр Кат'!$A:$R,E$1,0)</f>
        <v>1</v>
      </c>
      <c r="F672" s="52" t="str">
        <f>VLOOKUP($A672,'Выгр Кат'!$A:$R,F$1,0)</f>
        <v>8450106945</v>
      </c>
      <c r="G672" s="52" t="str">
        <f>IF(VLOOKUP($A672,'Выгр Кат'!$A:$R,G$1,0)=0,"",VLOOKUP($A672,'Выгр Кат'!$A:$R,G$1,0))</f>
        <v/>
      </c>
      <c r="H672" s="52"/>
      <c r="I672" s="52"/>
      <c r="J672" s="54">
        <f t="shared" si="169"/>
        <v>2416</v>
      </c>
      <c r="K672" s="55">
        <f>VLOOKUP(J672,Наценка!$A$1:$B$8,2,1)</f>
        <v>1.4</v>
      </c>
      <c r="L672" s="56">
        <f t="shared" si="170"/>
        <v>3382.3999999999996</v>
      </c>
      <c r="M672" s="57">
        <f t="shared" si="171"/>
        <v>3390</v>
      </c>
      <c r="N672" s="52">
        <f>VLOOKUP($A672,'Выгр Кат'!$A:$R,N$1,0)</f>
        <v>2416</v>
      </c>
      <c r="O672" s="52">
        <f>VLOOKUP($A672,'Выгр Кат'!$A:$R,O$1,0)</f>
        <v>3390</v>
      </c>
      <c r="P672" s="47">
        <f t="shared" si="172"/>
        <v>0</v>
      </c>
      <c r="Q672" s="47">
        <f t="shared" si="173"/>
        <v>0</v>
      </c>
      <c r="R672" s="58">
        <f t="shared" si="174"/>
        <v>3390</v>
      </c>
      <c r="S672" s="59">
        <f t="shared" si="175"/>
        <v>0.4031456953642385</v>
      </c>
      <c r="T672" s="59" t="str">
        <f t="shared" si="176"/>
        <v/>
      </c>
      <c r="U672" s="59" t="str">
        <f t="shared" si="177"/>
        <v/>
      </c>
      <c r="V672" s="60"/>
      <c r="W672" s="69" t="str">
        <f>IFERROR((VLOOKUP($A672,'Из ГУГЛа'!$B:$Z,W$1,0)+Y672)*X672,VLOOKUP($A672,'Из ГУГЛа'!$B:$Z,W$1,0))</f>
        <v/>
      </c>
      <c r="X672" s="61">
        <v>1</v>
      </c>
      <c r="Y672" s="61">
        <v>0</v>
      </c>
      <c r="Z672" s="60" t="s">
        <v>4170</v>
      </c>
      <c r="AA672" s="60"/>
    </row>
    <row r="673" spans="1:27" ht="30" x14ac:dyDescent="0.25">
      <c r="A673" s="52">
        <v>217705</v>
      </c>
      <c r="B673" s="52">
        <f>VLOOKUP($A673,'Выгр Кат'!$A:$R,B$1,0)</f>
        <v>31089</v>
      </c>
      <c r="C673" s="53" t="str">
        <f>VLOOKUP($A673,'Выгр Кат'!$A:$R,C$1,0)</f>
        <v>Стойка боковины "АвтоВАЗ" задняя левая для Лада XRAY</v>
      </c>
      <c r="D673" s="52" t="str">
        <f>VLOOKUP($A673,'Выгр Кат'!$A:$R,D$1,0)</f>
        <v>Y</v>
      </c>
      <c r="E673" s="52" t="str">
        <f>VLOOKUP($A673,'Выгр Кат'!$A:$R,E$1,0)</f>
        <v>1</v>
      </c>
      <c r="F673" s="52" t="str">
        <f>VLOOKUP($A673,'Выгр Кат'!$A:$R,F$1,0)</f>
        <v>781418304R</v>
      </c>
      <c r="G673" s="52" t="str">
        <f>IF(VLOOKUP($A673,'Выгр Кат'!$A:$R,G$1,0)=0,"",VLOOKUP($A673,'Выгр Кат'!$A:$R,G$1,0))</f>
        <v>https://motorring.ru/product/36803-ghelobok-zadnego-kryla-levyy-dlya-lada-iks-rey</v>
      </c>
      <c r="H673" s="52"/>
      <c r="I673" s="52"/>
      <c r="J673" s="54">
        <f t="shared" si="169"/>
        <v>3344</v>
      </c>
      <c r="K673" s="55">
        <f>VLOOKUP(J673,Наценка!$A$1:$B$8,2,1)</f>
        <v>1.4</v>
      </c>
      <c r="L673" s="56">
        <f t="shared" si="170"/>
        <v>4681.5999999999995</v>
      </c>
      <c r="M673" s="57">
        <f t="shared" si="171"/>
        <v>4690</v>
      </c>
      <c r="N673" s="52">
        <f>VLOOKUP($A673,'Выгр Кат'!$A:$R,N$1,0)</f>
        <v>3344</v>
      </c>
      <c r="O673" s="52">
        <f>VLOOKUP($A673,'Выгр Кат'!$A:$R,O$1,0)</f>
        <v>4690</v>
      </c>
      <c r="P673" s="47">
        <f t="shared" si="172"/>
        <v>0</v>
      </c>
      <c r="Q673" s="47">
        <f t="shared" si="173"/>
        <v>0</v>
      </c>
      <c r="R673" s="58">
        <f t="shared" si="174"/>
        <v>4690</v>
      </c>
      <c r="S673" s="59">
        <f t="shared" si="175"/>
        <v>0.40251196172248793</v>
      </c>
      <c r="T673" s="59">
        <f t="shared" si="176"/>
        <v>0</v>
      </c>
      <c r="U673" s="59">
        <f t="shared" si="177"/>
        <v>0.40251196172248793</v>
      </c>
      <c r="V673" s="42">
        <f>Z673</f>
        <v>4690</v>
      </c>
      <c r="W673" s="69">
        <f>IFERROR((VLOOKUP($A673,'Из ГУГЛа'!$B:$Z,W$1,0)+Y673)*X673,VLOOKUP($A673,'Из ГУГЛа'!$B:$Z,W$1,0))</f>
        <v>4690</v>
      </c>
      <c r="X673" s="61">
        <v>1</v>
      </c>
      <c r="Y673" s="61">
        <v>0</v>
      </c>
      <c r="Z673" s="70">
        <v>4690</v>
      </c>
      <c r="AA673" s="60" t="s">
        <v>1755</v>
      </c>
    </row>
    <row r="674" spans="1:27" ht="30" x14ac:dyDescent="0.25">
      <c r="A674" s="52">
        <v>217706</v>
      </c>
      <c r="B674" s="52">
        <f>VLOOKUP($A674,'Выгр Кат'!$A:$R,B$1,0)</f>
        <v>53038</v>
      </c>
      <c r="C674" s="53" t="str">
        <f>VLOOKUP($A674,'Выгр Кат'!$A:$R,C$1,0)</f>
        <v>Стойка боковины "АвтоВАЗ" задняя правая в сборе для Лада Ларгус</v>
      </c>
      <c r="D674" s="52" t="str">
        <f>VLOOKUP($A674,'Выгр Кат'!$A:$R,D$1,0)</f>
        <v>Y</v>
      </c>
      <c r="E674" s="52" t="str">
        <f>VLOOKUP($A674,'Выгр Кат'!$A:$R,E$1,0)</f>
        <v>1</v>
      </c>
      <c r="F674" s="52" t="str">
        <f>VLOOKUP($A674,'Выгр Кат'!$A:$R,F$1,0)</f>
        <v>8450106946</v>
      </c>
      <c r="G674" s="52" t="str">
        <f>IF(VLOOKUP($A674,'Выгр Кат'!$A:$R,G$1,0)=0,"",VLOOKUP($A674,'Выгр Кат'!$A:$R,G$1,0))</f>
        <v/>
      </c>
      <c r="H674" s="52"/>
      <c r="I674" s="52"/>
      <c r="J674" s="54">
        <f t="shared" si="169"/>
        <v>1906</v>
      </c>
      <c r="K674" s="55">
        <f>VLOOKUP(J674,Наценка!$A$1:$B$8,2,1)</f>
        <v>1.5</v>
      </c>
      <c r="L674" s="56">
        <f t="shared" si="170"/>
        <v>2859</v>
      </c>
      <c r="M674" s="57">
        <f t="shared" si="171"/>
        <v>2890</v>
      </c>
      <c r="N674" s="52">
        <f>VLOOKUP($A674,'Выгр Кат'!$A:$R,N$1,0)</f>
        <v>1906</v>
      </c>
      <c r="O674" s="52">
        <f>VLOOKUP($A674,'Выгр Кат'!$A:$R,O$1,0)</f>
        <v>2890</v>
      </c>
      <c r="P674" s="47">
        <f t="shared" si="172"/>
        <v>0</v>
      </c>
      <c r="Q674" s="47">
        <f t="shared" si="173"/>
        <v>0</v>
      </c>
      <c r="R674" s="58">
        <f t="shared" si="174"/>
        <v>2890</v>
      </c>
      <c r="S674" s="59">
        <f t="shared" si="175"/>
        <v>0.5162644281217208</v>
      </c>
      <c r="T674" s="59" t="str">
        <f t="shared" si="176"/>
        <v/>
      </c>
      <c r="U674" s="59" t="str">
        <f t="shared" si="177"/>
        <v/>
      </c>
      <c r="V674" s="60"/>
      <c r="W674" s="69" t="str">
        <f>IFERROR((VLOOKUP($A674,'Из ГУГЛа'!$B:$Z,W$1,0)+Y674)*X674,VLOOKUP($A674,'Из ГУГЛа'!$B:$Z,W$1,0))</f>
        <v/>
      </c>
      <c r="X674" s="61">
        <v>1</v>
      </c>
      <c r="Y674" s="61">
        <v>0</v>
      </c>
      <c r="Z674" s="60" t="s">
        <v>4170</v>
      </c>
      <c r="AA674" s="60"/>
    </row>
    <row r="675" spans="1:27" ht="30" x14ac:dyDescent="0.25">
      <c r="A675" s="52">
        <v>217707</v>
      </c>
      <c r="B675" s="52">
        <f>VLOOKUP($A675,'Выгр Кат'!$A:$R,B$1,0)</f>
        <v>31090</v>
      </c>
      <c r="C675" s="53" t="str">
        <f>VLOOKUP($A675,'Выгр Кат'!$A:$R,C$1,0)</f>
        <v>Стойка боковины "АвтоВАЗ" задняя правая для Лада XRAY</v>
      </c>
      <c r="D675" s="52" t="str">
        <f>VLOOKUP($A675,'Выгр Кат'!$A:$R,D$1,0)</f>
        <v>Y</v>
      </c>
      <c r="E675" s="52" t="str">
        <f>VLOOKUP($A675,'Выгр Кат'!$A:$R,E$1,0)</f>
        <v>1</v>
      </c>
      <c r="F675" s="52" t="str">
        <f>VLOOKUP($A675,'Выгр Кат'!$A:$R,F$1,0)</f>
        <v>781408575R</v>
      </c>
      <c r="G675" s="52" t="str">
        <f>IF(VLOOKUP($A675,'Выгр Кат'!$A:$R,G$1,0)=0,"",VLOOKUP($A675,'Выгр Кат'!$A:$R,G$1,0))</f>
        <v>https://motorring.ru/product/36804-ghelobok-zadnego-kryla-pravyy-dlya-lada-iks-rey</v>
      </c>
      <c r="H675" s="52"/>
      <c r="I675" s="52"/>
      <c r="J675" s="54">
        <f t="shared" si="169"/>
        <v>7133</v>
      </c>
      <c r="K675" s="55">
        <f>VLOOKUP(J675,Наценка!$A$1:$B$8,2,1)</f>
        <v>1.35</v>
      </c>
      <c r="L675" s="56">
        <f t="shared" si="170"/>
        <v>9629.5500000000011</v>
      </c>
      <c r="M675" s="57">
        <f t="shared" si="171"/>
        <v>9690</v>
      </c>
      <c r="N675" s="52">
        <f>VLOOKUP($A675,'Выгр Кат'!$A:$R,N$1,0)</f>
        <v>7133</v>
      </c>
      <c r="O675" s="52">
        <f>VLOOKUP($A675,'Выгр Кат'!$A:$R,O$1,0)</f>
        <v>9690</v>
      </c>
      <c r="P675" s="47">
        <f t="shared" si="172"/>
        <v>0</v>
      </c>
      <c r="Q675" s="47">
        <f t="shared" si="173"/>
        <v>0</v>
      </c>
      <c r="R675" s="58">
        <f t="shared" si="174"/>
        <v>9690</v>
      </c>
      <c r="S675" s="59">
        <f t="shared" si="175"/>
        <v>0.35847469507920926</v>
      </c>
      <c r="T675" s="59">
        <f t="shared" si="176"/>
        <v>-8.9988751406074236E-2</v>
      </c>
      <c r="U675" s="59">
        <f t="shared" si="177"/>
        <v>0.24631992149165849</v>
      </c>
      <c r="V675" s="42">
        <f>Z675</f>
        <v>8890</v>
      </c>
      <c r="W675" s="69">
        <f>IFERROR((VLOOKUP($A675,'Из ГУГЛа'!$B:$Z,W$1,0)+Y675)*X675,VLOOKUP($A675,'Из ГУГЛа'!$B:$Z,W$1,0))</f>
        <v>8890</v>
      </c>
      <c r="X675" s="61">
        <v>1</v>
      </c>
      <c r="Y675" s="61">
        <v>0</v>
      </c>
      <c r="Z675" s="70">
        <v>8890</v>
      </c>
      <c r="AA675" s="60" t="s">
        <v>1761</v>
      </c>
    </row>
    <row r="676" spans="1:27" ht="30" x14ac:dyDescent="0.25">
      <c r="A676" s="52">
        <v>217708</v>
      </c>
      <c r="B676" s="52">
        <f>VLOOKUP($A676,'Выгр Кат'!$A:$R,B$1,0)</f>
        <v>31041</v>
      </c>
      <c r="C676" s="53" t="str">
        <f>VLOOKUP($A676,'Выгр Кат'!$A:$R,C$1,0)</f>
        <v>Стойка боковины средняя в сборе "Renault" левая для Лада Ларгус</v>
      </c>
      <c r="D676" s="52" t="str">
        <f>VLOOKUP($A676,'Выгр Кат'!$A:$R,D$1,0)</f>
        <v>Y</v>
      </c>
      <c r="E676" s="52" t="str">
        <f>VLOOKUP($A676,'Выгр Кат'!$A:$R,E$1,0)</f>
        <v>1</v>
      </c>
      <c r="F676" s="52" t="str">
        <f>VLOOKUP($A676,'Выгр Кат'!$A:$R,F$1,0)</f>
        <v>6001548854</v>
      </c>
      <c r="G676" s="52" t="str">
        <f>IF(VLOOKUP($A676,'Выгр Кат'!$A:$R,G$1,0)=0,"",VLOOKUP($A676,'Выгр Кат'!$A:$R,G$1,0))</f>
        <v/>
      </c>
      <c r="H676" s="52"/>
      <c r="I676" s="52"/>
      <c r="J676" s="54">
        <f t="shared" si="169"/>
        <v>10467</v>
      </c>
      <c r="K676" s="55">
        <f>VLOOKUP(J676,Наценка!$A$1:$B$8,2,1)</f>
        <v>1.3</v>
      </c>
      <c r="L676" s="56">
        <f t="shared" si="170"/>
        <v>13607.1</v>
      </c>
      <c r="M676" s="57">
        <f t="shared" si="171"/>
        <v>13690</v>
      </c>
      <c r="N676" s="52">
        <f>VLOOKUP($A676,'Выгр Кат'!$A:$R,N$1,0)</f>
        <v>10467</v>
      </c>
      <c r="O676" s="52">
        <f>VLOOKUP($A676,'Выгр Кат'!$A:$R,O$1,0)</f>
        <v>14690</v>
      </c>
      <c r="P676" s="47">
        <f t="shared" si="172"/>
        <v>0</v>
      </c>
      <c r="Q676" s="47">
        <f t="shared" si="173"/>
        <v>1000</v>
      </c>
      <c r="R676" s="58">
        <f t="shared" si="174"/>
        <v>13690</v>
      </c>
      <c r="S676" s="59">
        <f t="shared" si="175"/>
        <v>0.30792012993216766</v>
      </c>
      <c r="T676" s="59" t="str">
        <f t="shared" si="176"/>
        <v/>
      </c>
      <c r="U676" s="59" t="str">
        <f t="shared" si="177"/>
        <v/>
      </c>
      <c r="V676" s="60"/>
      <c r="W676" s="69" t="str">
        <f>IFERROR((VLOOKUP($A676,'Из ГУГЛа'!$B:$Z,W$1,0)+Y676)*X676,VLOOKUP($A676,'Из ГУГЛа'!$B:$Z,W$1,0))</f>
        <v/>
      </c>
      <c r="X676" s="61">
        <v>1</v>
      </c>
      <c r="Y676" s="61">
        <v>0</v>
      </c>
      <c r="Z676" s="60" t="s">
        <v>4170</v>
      </c>
      <c r="AA676" s="60"/>
    </row>
    <row r="677" spans="1:27" ht="30" x14ac:dyDescent="0.25">
      <c r="A677" s="52">
        <v>217709</v>
      </c>
      <c r="B677" s="52">
        <f>VLOOKUP($A677,'Выгр Кат'!$A:$R,B$1,0)</f>
        <v>31040</v>
      </c>
      <c r="C677" s="53" t="str">
        <f>VLOOKUP($A677,'Выгр Кат'!$A:$R,C$1,0)</f>
        <v>Стойка боковины средняя в сборе "Renault" правая для Лада Ларгус</v>
      </c>
      <c r="D677" s="52" t="str">
        <f>VLOOKUP($A677,'Выгр Кат'!$A:$R,D$1,0)</f>
        <v>Y</v>
      </c>
      <c r="E677" s="52" t="str">
        <f>VLOOKUP($A677,'Выгр Кат'!$A:$R,E$1,0)</f>
        <v>1</v>
      </c>
      <c r="F677" s="52" t="str">
        <f>VLOOKUP($A677,'Выгр Кат'!$A:$R,F$1,0)</f>
        <v>6001548855</v>
      </c>
      <c r="G677" s="52" t="str">
        <f>IF(VLOOKUP($A677,'Выгр Кат'!$A:$R,G$1,0)=0,"",VLOOKUP($A677,'Выгр Кат'!$A:$R,G$1,0))</f>
        <v/>
      </c>
      <c r="H677" s="52"/>
      <c r="I677" s="52"/>
      <c r="J677" s="54">
        <f t="shared" si="169"/>
        <v>11892</v>
      </c>
      <c r="K677" s="55">
        <f>VLOOKUP(J677,Наценка!$A$1:$B$8,2,1)</f>
        <v>1.3</v>
      </c>
      <c r="L677" s="56">
        <f t="shared" si="170"/>
        <v>15459.6</v>
      </c>
      <c r="M677" s="57">
        <f t="shared" si="171"/>
        <v>15490</v>
      </c>
      <c r="N677" s="52">
        <f>VLOOKUP($A677,'Выгр Кат'!$A:$R,N$1,0)</f>
        <v>11892</v>
      </c>
      <c r="O677" s="52">
        <f>VLOOKUP($A677,'Выгр Кат'!$A:$R,O$1,0)</f>
        <v>16690</v>
      </c>
      <c r="P677" s="47">
        <f t="shared" si="172"/>
        <v>0</v>
      </c>
      <c r="Q677" s="47">
        <f t="shared" si="173"/>
        <v>1200</v>
      </c>
      <c r="R677" s="58">
        <f t="shared" si="174"/>
        <v>15490</v>
      </c>
      <c r="S677" s="59">
        <f t="shared" si="175"/>
        <v>0.30255634039690538</v>
      </c>
      <c r="T677" s="59" t="str">
        <f t="shared" si="176"/>
        <v/>
      </c>
      <c r="U677" s="59" t="str">
        <f t="shared" si="177"/>
        <v/>
      </c>
      <c r="V677" s="60"/>
      <c r="W677" s="69" t="str">
        <f>IFERROR((VLOOKUP($A677,'Из ГУГЛа'!$B:$Z,W$1,0)+Y677)*X677,VLOOKUP($A677,'Из ГУГЛа'!$B:$Z,W$1,0))</f>
        <v/>
      </c>
      <c r="X677" s="61">
        <v>1</v>
      </c>
      <c r="Y677" s="61">
        <v>0</v>
      </c>
      <c r="Z677" s="60" t="s">
        <v>4170</v>
      </c>
      <c r="AA677" s="60"/>
    </row>
    <row r="678" spans="1:27" ht="30" x14ac:dyDescent="0.25">
      <c r="A678" s="52">
        <v>217710</v>
      </c>
      <c r="B678" s="52">
        <f>VLOOKUP($A678,'Выгр Кат'!$A:$R,B$1,0)</f>
        <v>53212</v>
      </c>
      <c r="C678" s="53" t="str">
        <f>VLOOKUP($A678,'Выгр Кат'!$A:$R,C$1,0)</f>
        <v>Стойка брызговика "АвтоВАЗ" левая в сборе для ВАЗ 2101-2107</v>
      </c>
      <c r="D678" s="52" t="str">
        <f>VLOOKUP($A678,'Выгр Кат'!$A:$R,D$1,0)</f>
        <v>Y</v>
      </c>
      <c r="E678" s="52" t="str">
        <f>VLOOKUP($A678,'Выгр Кат'!$A:$R,E$1,0)</f>
        <v>1</v>
      </c>
      <c r="F678" s="52" t="str">
        <f>VLOOKUP($A678,'Выгр Кат'!$A:$R,F$1,0)</f>
        <v>21030530106501</v>
      </c>
      <c r="G678" s="52" t="str">
        <f>IF(VLOOKUP($A678,'Выгр Кат'!$A:$R,G$1,0)=0,"",VLOOKUP($A678,'Выгр Кат'!$A:$R,G$1,0))</f>
        <v/>
      </c>
      <c r="H678" s="52"/>
      <c r="I678" s="52"/>
      <c r="J678" s="54">
        <f t="shared" si="169"/>
        <v>0</v>
      </c>
      <c r="K678" s="55" t="e">
        <f>VLOOKUP(J678,Наценка!$A$1:$B$8,2,1)</f>
        <v>#N/A</v>
      </c>
      <c r="L678" s="56" t="e">
        <f t="shared" si="170"/>
        <v>#N/A</v>
      </c>
      <c r="M678" s="57" t="e">
        <f t="shared" si="171"/>
        <v>#N/A</v>
      </c>
      <c r="N678" s="52">
        <f>VLOOKUP($A678,'Выгр Кат'!$A:$R,N$1,0)</f>
        <v>0</v>
      </c>
      <c r="O678" s="52">
        <f>VLOOKUP($A678,'Выгр Кат'!$A:$R,O$1,0)</f>
        <v>2790</v>
      </c>
      <c r="P678" s="47">
        <f t="shared" si="172"/>
        <v>0</v>
      </c>
      <c r="Q678" s="47" t="e">
        <f t="shared" si="173"/>
        <v>#N/A</v>
      </c>
      <c r="R678" s="58" t="str">
        <f t="shared" si="174"/>
        <v/>
      </c>
      <c r="S678" s="59" t="str">
        <f t="shared" si="175"/>
        <v/>
      </c>
      <c r="T678" s="59" t="str">
        <f t="shared" si="176"/>
        <v/>
      </c>
      <c r="U678" s="59" t="str">
        <f t="shared" si="177"/>
        <v/>
      </c>
      <c r="V678" s="60"/>
      <c r="W678" s="69" t="str">
        <f>IFERROR((VLOOKUP($A678,'Из ГУГЛа'!$B:$Z,W$1,0)+Y678)*X678,VLOOKUP($A678,'Из ГУГЛа'!$B:$Z,W$1,0))</f>
        <v/>
      </c>
      <c r="X678" s="61">
        <v>1</v>
      </c>
      <c r="Y678" s="61">
        <v>0</v>
      </c>
      <c r="Z678" s="60" t="s">
        <v>4170</v>
      </c>
      <c r="AA678" s="60"/>
    </row>
    <row r="679" spans="1:27" ht="30" x14ac:dyDescent="0.25">
      <c r="A679" s="52">
        <v>217711</v>
      </c>
      <c r="B679" s="52">
        <f>VLOOKUP($A679,'Выгр Кат'!$A:$R,B$1,0)</f>
        <v>45503</v>
      </c>
      <c r="C679" s="53" t="str">
        <f>VLOOKUP($A679,'Выгр Кат'!$A:$R,C$1,0)</f>
        <v>Стойка брызговика "АвтоВАЗ" левая для ВАЗ 2106</v>
      </c>
      <c r="D679" s="52" t="str">
        <f>VLOOKUP($A679,'Выгр Кат'!$A:$R,D$1,0)</f>
        <v>Y</v>
      </c>
      <c r="E679" s="52" t="str">
        <f>VLOOKUP($A679,'Выгр Кат'!$A:$R,E$1,0)</f>
        <v>1</v>
      </c>
      <c r="F679" s="52" t="str">
        <f>VLOOKUP($A679,'Выгр Кат'!$A:$R,F$1,0)</f>
        <v>21030530106500</v>
      </c>
      <c r="G679" s="52" t="str">
        <f>IF(VLOOKUP($A679,'Выгр Кат'!$A:$R,G$1,0)=0,"",VLOOKUP($A679,'Выгр Кат'!$A:$R,G$1,0))</f>
        <v/>
      </c>
      <c r="H679" s="52"/>
      <c r="I679" s="52"/>
      <c r="J679" s="54">
        <f t="shared" si="169"/>
        <v>78.040000000000006</v>
      </c>
      <c r="K679" s="55">
        <f>VLOOKUP(J679,Наценка!$A$1:$B$8,2,1)</f>
        <v>2</v>
      </c>
      <c r="L679" s="56">
        <f t="shared" si="170"/>
        <v>156.08000000000001</v>
      </c>
      <c r="M679" s="57">
        <f t="shared" si="171"/>
        <v>159</v>
      </c>
      <c r="N679" s="52">
        <f>VLOOKUP($A679,'Выгр Кат'!$A:$R,N$1,0)</f>
        <v>78.040000000000006</v>
      </c>
      <c r="O679" s="52">
        <f>VLOOKUP($A679,'Выгр Кат'!$A:$R,O$1,0)</f>
        <v>159</v>
      </c>
      <c r="P679" s="47">
        <f t="shared" si="172"/>
        <v>0</v>
      </c>
      <c r="Q679" s="47">
        <f t="shared" si="173"/>
        <v>0</v>
      </c>
      <c r="R679" s="58">
        <f t="shared" si="174"/>
        <v>159</v>
      </c>
      <c r="S679" s="59">
        <f t="shared" si="175"/>
        <v>1.037416709379805</v>
      </c>
      <c r="T679" s="59" t="str">
        <f t="shared" si="176"/>
        <v/>
      </c>
      <c r="U679" s="59" t="str">
        <f t="shared" si="177"/>
        <v/>
      </c>
      <c r="V679" s="60"/>
      <c r="W679" s="69" t="str">
        <f>IFERROR((VLOOKUP($A679,'Из ГУГЛа'!$B:$Z,W$1,0)+Y679)*X679,VLOOKUP($A679,'Из ГУГЛа'!$B:$Z,W$1,0))</f>
        <v/>
      </c>
      <c r="X679" s="61">
        <v>1</v>
      </c>
      <c r="Y679" s="61">
        <v>0</v>
      </c>
      <c r="Z679" s="60" t="s">
        <v>4170</v>
      </c>
      <c r="AA679" s="60"/>
    </row>
    <row r="680" spans="1:27" ht="30" x14ac:dyDescent="0.25">
      <c r="A680" s="52">
        <v>217712</v>
      </c>
      <c r="B680" s="52">
        <f>VLOOKUP($A680,'Выгр Кат'!$A:$R,B$1,0)</f>
        <v>53213</v>
      </c>
      <c r="C680" s="53" t="str">
        <f>VLOOKUP($A680,'Выгр Кат'!$A:$R,C$1,0)</f>
        <v>Стойка брызговика "АвтоВАЗ" правая в сборе для ВАЗ 2101-2107</v>
      </c>
      <c r="D680" s="52" t="str">
        <f>VLOOKUP($A680,'Выгр Кат'!$A:$R,D$1,0)</f>
        <v>Y</v>
      </c>
      <c r="E680" s="52" t="str">
        <f>VLOOKUP($A680,'Выгр Кат'!$A:$R,E$1,0)</f>
        <v>0</v>
      </c>
      <c r="F680" s="52">
        <f>VLOOKUP($A680,'Выгр Кат'!$A:$R,F$1,0)</f>
        <v>0</v>
      </c>
      <c r="G680" s="52" t="str">
        <f>IF(VLOOKUP($A680,'Выгр Кат'!$A:$R,G$1,0)=0,"",VLOOKUP($A680,'Выгр Кат'!$A:$R,G$1,0))</f>
        <v>https://motorring.ru/product/993-stoyka-bryzgovika-pravaya-stolbik-vaz-2101-2103</v>
      </c>
      <c r="H680" s="52"/>
      <c r="I680" s="52"/>
      <c r="J680" s="54">
        <f t="shared" si="169"/>
        <v>0</v>
      </c>
      <c r="K680" s="55" t="e">
        <f>VLOOKUP(J680,Наценка!$A$1:$B$8,2,1)</f>
        <v>#N/A</v>
      </c>
      <c r="L680" s="56" t="e">
        <f t="shared" si="170"/>
        <v>#N/A</v>
      </c>
      <c r="M680" s="57" t="e">
        <f t="shared" si="171"/>
        <v>#N/A</v>
      </c>
      <c r="N680" s="52">
        <f>VLOOKUP($A680,'Выгр Кат'!$A:$R,N$1,0)</f>
        <v>0</v>
      </c>
      <c r="O680" s="52">
        <f>VLOOKUP($A680,'Выгр Кат'!$A:$R,O$1,0)</f>
        <v>0</v>
      </c>
      <c r="P680" s="47">
        <f t="shared" si="172"/>
        <v>0</v>
      </c>
      <c r="Q680" s="47" t="e">
        <f t="shared" si="173"/>
        <v>#N/A</v>
      </c>
      <c r="R680" s="58" t="str">
        <f t="shared" si="174"/>
        <v/>
      </c>
      <c r="S680" s="59" t="str">
        <f t="shared" si="175"/>
        <v/>
      </c>
      <c r="T680" s="59" t="str">
        <f t="shared" si="176"/>
        <v/>
      </c>
      <c r="U680" s="59" t="str">
        <f t="shared" si="177"/>
        <v/>
      </c>
      <c r="V680" s="42">
        <f t="shared" ref="V680:V682" si="184">Z680</f>
        <v>1790</v>
      </c>
      <c r="W680" s="69">
        <f>IFERROR((VLOOKUP($A680,'Из ГУГЛа'!$B:$Z,W$1,0)+Y680)*X680,VLOOKUP($A680,'Из ГУГЛа'!$B:$Z,W$1,0))</f>
        <v>1790</v>
      </c>
      <c r="X680" s="61">
        <v>1</v>
      </c>
      <c r="Y680" s="61">
        <v>0</v>
      </c>
      <c r="Z680" s="70">
        <v>1790</v>
      </c>
      <c r="AA680" s="60" t="s">
        <v>1772</v>
      </c>
    </row>
    <row r="681" spans="1:27" ht="30" x14ac:dyDescent="0.25">
      <c r="A681" s="52">
        <v>217713</v>
      </c>
      <c r="B681" s="52">
        <f>VLOOKUP($A681,'Выгр Кат'!$A:$R,B$1,0)</f>
        <v>31281</v>
      </c>
      <c r="C681" s="53" t="str">
        <f>VLOOKUP($A681,'Выгр Кат'!$A:$R,C$1,0)</f>
        <v>Стойка ветрового окна внутренняя "АвтоВАЗ" левая для Шевроле Нива</v>
      </c>
      <c r="D681" s="52" t="str">
        <f>VLOOKUP($A681,'Выгр Кат'!$A:$R,D$1,0)</f>
        <v>Y</v>
      </c>
      <c r="E681" s="52" t="str">
        <f>VLOOKUP($A681,'Выгр Кат'!$A:$R,E$1,0)</f>
        <v>1</v>
      </c>
      <c r="F681" s="52" t="str">
        <f>VLOOKUP($A681,'Выгр Кат'!$A:$R,F$1,0)</f>
        <v>21230520102755</v>
      </c>
      <c r="G681" s="52" t="str">
        <f>IF(VLOOKUP($A681,'Выгр Кат'!$A:$R,G$1,0)=0,"",VLOOKUP($A681,'Выгр Кат'!$A:$R,G$1,0))</f>
        <v>https://motorring.ru/product/6543-stoyka-vetrovogo-okna-vnutrennyaya-levaya-dlya-shevrole</v>
      </c>
      <c r="H681" s="52"/>
      <c r="I681" s="52"/>
      <c r="J681" s="54">
        <f t="shared" si="169"/>
        <v>550</v>
      </c>
      <c r="K681" s="55">
        <f>VLOOKUP(J681,Наценка!$A$1:$B$8,2,1)</f>
        <v>1.55</v>
      </c>
      <c r="L681" s="56">
        <f t="shared" si="170"/>
        <v>852.5</v>
      </c>
      <c r="M681" s="57">
        <f t="shared" si="171"/>
        <v>859</v>
      </c>
      <c r="N681" s="52">
        <f>VLOOKUP($A681,'Выгр Кат'!$A:$R,N$1,0)</f>
        <v>550</v>
      </c>
      <c r="O681" s="52">
        <f>VLOOKUP($A681,'Выгр Кат'!$A:$R,O$1,0)</f>
        <v>859</v>
      </c>
      <c r="P681" s="47">
        <f t="shared" si="172"/>
        <v>0</v>
      </c>
      <c r="Q681" s="47">
        <f t="shared" si="173"/>
        <v>0</v>
      </c>
      <c r="R681" s="58">
        <f t="shared" si="174"/>
        <v>859</v>
      </c>
      <c r="S681" s="59">
        <f t="shared" si="175"/>
        <v>0.56181818181818177</v>
      </c>
      <c r="T681" s="59">
        <f t="shared" si="176"/>
        <v>-0.11703511053315994</v>
      </c>
      <c r="U681" s="59">
        <f t="shared" si="177"/>
        <v>0.39818181818181819</v>
      </c>
      <c r="V681" s="42">
        <f t="shared" si="184"/>
        <v>769</v>
      </c>
      <c r="W681" s="69">
        <f>IFERROR((VLOOKUP($A681,'Из ГУГЛа'!$B:$Z,W$1,0)+Y681)*X681,VLOOKUP($A681,'Из ГУГЛа'!$B:$Z,W$1,0))</f>
        <v>769</v>
      </c>
      <c r="X681" s="61">
        <v>1</v>
      </c>
      <c r="Y681" s="61">
        <v>0</v>
      </c>
      <c r="Z681" s="70">
        <v>769</v>
      </c>
      <c r="AA681" s="60" t="s">
        <v>1775</v>
      </c>
    </row>
    <row r="682" spans="1:27" ht="30" x14ac:dyDescent="0.25">
      <c r="A682" s="52">
        <v>217714</v>
      </c>
      <c r="B682" s="52">
        <f>VLOOKUP($A682,'Выгр Кат'!$A:$R,B$1,0)</f>
        <v>31282</v>
      </c>
      <c r="C682" s="53" t="str">
        <f>VLOOKUP($A682,'Выгр Кат'!$A:$R,C$1,0)</f>
        <v>Стойка ветрового окна внутренняя "АвтоВАЗ" правая для Шевроле Нива</v>
      </c>
      <c r="D682" s="52" t="str">
        <f>VLOOKUP($A682,'Выгр Кат'!$A:$R,D$1,0)</f>
        <v>Y</v>
      </c>
      <c r="E682" s="52" t="str">
        <f>VLOOKUP($A682,'Выгр Кат'!$A:$R,E$1,0)</f>
        <v>1</v>
      </c>
      <c r="F682" s="52" t="str">
        <f>VLOOKUP($A682,'Выгр Кат'!$A:$R,F$1,0)</f>
        <v>21230520102655</v>
      </c>
      <c r="G682" s="52" t="str">
        <f>IF(VLOOKUP($A682,'Выгр Кат'!$A:$R,G$1,0)=0,"",VLOOKUP($A682,'Выгр Кат'!$A:$R,G$1,0))</f>
        <v>https://motorring.ru/product/6542-stoyka-vetrovogo-okna-vnutrennyaya-pravaya-shevrole-niva</v>
      </c>
      <c r="H682" s="52"/>
      <c r="I682" s="52"/>
      <c r="J682" s="54">
        <f t="shared" si="169"/>
        <v>438</v>
      </c>
      <c r="K682" s="55">
        <f>VLOOKUP(J682,Наценка!$A$1:$B$8,2,1)</f>
        <v>1.6</v>
      </c>
      <c r="L682" s="56">
        <f t="shared" si="170"/>
        <v>700.80000000000007</v>
      </c>
      <c r="M682" s="57">
        <f t="shared" si="171"/>
        <v>709</v>
      </c>
      <c r="N682" s="52">
        <f>VLOOKUP($A682,'Выгр Кат'!$A:$R,N$1,0)</f>
        <v>438</v>
      </c>
      <c r="O682" s="52">
        <f>VLOOKUP($A682,'Выгр Кат'!$A:$R,O$1,0)</f>
        <v>709</v>
      </c>
      <c r="P682" s="47">
        <f t="shared" si="172"/>
        <v>0</v>
      </c>
      <c r="Q682" s="47">
        <f t="shared" si="173"/>
        <v>0</v>
      </c>
      <c r="R682" s="58">
        <f t="shared" si="174"/>
        <v>709</v>
      </c>
      <c r="S682" s="59">
        <f t="shared" si="175"/>
        <v>0.61872146118721472</v>
      </c>
      <c r="T682" s="59">
        <f t="shared" si="176"/>
        <v>7.8023407022106639E-2</v>
      </c>
      <c r="U682" s="59">
        <f t="shared" si="177"/>
        <v>0.75570776255707761</v>
      </c>
      <c r="V682" s="42">
        <f t="shared" si="184"/>
        <v>769</v>
      </c>
      <c r="W682" s="69">
        <f>IFERROR((VLOOKUP($A682,'Из ГУГЛа'!$B:$Z,W$1,0)+Y682)*X682,VLOOKUP($A682,'Из ГУГЛа'!$B:$Z,W$1,0))</f>
        <v>769</v>
      </c>
      <c r="X682" s="61">
        <v>1</v>
      </c>
      <c r="Y682" s="61">
        <v>0</v>
      </c>
      <c r="Z682" s="70">
        <v>769</v>
      </c>
      <c r="AA682" s="60" t="s">
        <v>1778</v>
      </c>
    </row>
    <row r="683" spans="1:27" ht="30" x14ac:dyDescent="0.25">
      <c r="A683" s="52">
        <v>217715</v>
      </c>
      <c r="B683" s="52">
        <f>VLOOKUP($A683,'Выгр Кат'!$A:$R,B$1,0)</f>
        <v>32526</v>
      </c>
      <c r="C683" s="53" t="str">
        <f>VLOOKUP($A683,'Выгр Кат'!$A:$R,C$1,0)</f>
        <v>Стойка заднего крыла "АвтоВАЗ" левая для Лада Калина хэтчбек</v>
      </c>
      <c r="D683" s="52" t="str">
        <f>VLOOKUP($A683,'Выгр Кат'!$A:$R,D$1,0)</f>
        <v>Y</v>
      </c>
      <c r="E683" s="52" t="str">
        <f>VLOOKUP($A683,'Выгр Кат'!$A:$R,E$1,0)</f>
        <v>1</v>
      </c>
      <c r="F683" s="52" t="str">
        <f>VLOOKUP($A683,'Выгр Кат'!$A:$R,F$1,0)</f>
        <v>11190840438900</v>
      </c>
      <c r="G683" s="52" t="str">
        <f>IF(VLOOKUP($A683,'Выгр Кат'!$A:$R,G$1,0)=0,"",VLOOKUP($A683,'Выгр Кат'!$A:$R,G$1,0))</f>
        <v/>
      </c>
      <c r="H683" s="52"/>
      <c r="I683" s="52"/>
      <c r="J683" s="54">
        <f t="shared" si="169"/>
        <v>43</v>
      </c>
      <c r="K683" s="55">
        <f>VLOOKUP(J683,Наценка!$A$1:$B$8,2,1)</f>
        <v>2</v>
      </c>
      <c r="L683" s="56">
        <f t="shared" si="170"/>
        <v>86</v>
      </c>
      <c r="M683" s="57">
        <f t="shared" si="171"/>
        <v>89</v>
      </c>
      <c r="N683" s="52">
        <f>VLOOKUP($A683,'Выгр Кат'!$A:$R,N$1,0)</f>
        <v>43</v>
      </c>
      <c r="O683" s="52">
        <f>VLOOKUP($A683,'Выгр Кат'!$A:$R,O$1,0)</f>
        <v>89</v>
      </c>
      <c r="P683" s="47">
        <f t="shared" si="172"/>
        <v>0</v>
      </c>
      <c r="Q683" s="47">
        <f t="shared" si="173"/>
        <v>0</v>
      </c>
      <c r="R683" s="58">
        <f t="shared" si="174"/>
        <v>89</v>
      </c>
      <c r="S683" s="59">
        <f t="shared" si="175"/>
        <v>1.0697674418604652</v>
      </c>
      <c r="T683" s="59" t="str">
        <f t="shared" si="176"/>
        <v/>
      </c>
      <c r="U683" s="59" t="str">
        <f t="shared" si="177"/>
        <v/>
      </c>
      <c r="V683" s="60"/>
      <c r="W683" s="69" t="str">
        <f>IFERROR((VLOOKUP($A683,'Из ГУГЛа'!$B:$Z,W$1,0)+Y683)*X683,VLOOKUP($A683,'Из ГУГЛа'!$B:$Z,W$1,0))</f>
        <v/>
      </c>
      <c r="X683" s="61">
        <v>1</v>
      </c>
      <c r="Y683" s="61">
        <v>0</v>
      </c>
      <c r="Z683" s="60" t="s">
        <v>4170</v>
      </c>
      <c r="AA683" s="60"/>
    </row>
    <row r="684" spans="1:27" ht="30" x14ac:dyDescent="0.25">
      <c r="A684" s="52">
        <v>217716</v>
      </c>
      <c r="B684" s="52">
        <f>VLOOKUP($A684,'Выгр Кат'!$A:$R,B$1,0)</f>
        <v>32525</v>
      </c>
      <c r="C684" s="53" t="str">
        <f>VLOOKUP($A684,'Выгр Кат'!$A:$R,C$1,0)</f>
        <v>Стойка заднего крыла "АвтоВАЗ" правая для Лада Калина хэтчбек</v>
      </c>
      <c r="D684" s="52" t="str">
        <f>VLOOKUP($A684,'Выгр Кат'!$A:$R,D$1,0)</f>
        <v>Y</v>
      </c>
      <c r="E684" s="52" t="str">
        <f>VLOOKUP($A684,'Выгр Кат'!$A:$R,E$1,0)</f>
        <v>1</v>
      </c>
      <c r="F684" s="52" t="str">
        <f>VLOOKUP($A684,'Выгр Кат'!$A:$R,F$1,0)</f>
        <v>11190840438800</v>
      </c>
      <c r="G684" s="52" t="str">
        <f>IF(VLOOKUP($A684,'Выгр Кат'!$A:$R,G$1,0)=0,"",VLOOKUP($A684,'Выгр Кат'!$A:$R,G$1,0))</f>
        <v/>
      </c>
      <c r="H684" s="52"/>
      <c r="I684" s="52"/>
      <c r="J684" s="54">
        <f t="shared" si="169"/>
        <v>43</v>
      </c>
      <c r="K684" s="55">
        <f>VLOOKUP(J684,Наценка!$A$1:$B$8,2,1)</f>
        <v>2</v>
      </c>
      <c r="L684" s="56">
        <f t="shared" si="170"/>
        <v>86</v>
      </c>
      <c r="M684" s="57">
        <f t="shared" si="171"/>
        <v>89</v>
      </c>
      <c r="N684" s="52">
        <f>VLOOKUP($A684,'Выгр Кат'!$A:$R,N$1,0)</f>
        <v>43</v>
      </c>
      <c r="O684" s="52">
        <f>VLOOKUP($A684,'Выгр Кат'!$A:$R,O$1,0)</f>
        <v>89</v>
      </c>
      <c r="P684" s="47">
        <f t="shared" si="172"/>
        <v>0</v>
      </c>
      <c r="Q684" s="47">
        <f t="shared" si="173"/>
        <v>0</v>
      </c>
      <c r="R684" s="58">
        <f t="shared" si="174"/>
        <v>89</v>
      </c>
      <c r="S684" s="59">
        <f t="shared" si="175"/>
        <v>1.0697674418604652</v>
      </c>
      <c r="T684" s="59" t="str">
        <f t="shared" si="176"/>
        <v/>
      </c>
      <c r="U684" s="59" t="str">
        <f t="shared" si="177"/>
        <v/>
      </c>
      <c r="V684" s="60"/>
      <c r="W684" s="69" t="str">
        <f>IFERROR((VLOOKUP($A684,'Из ГУГЛа'!$B:$Z,W$1,0)+Y684)*X684,VLOOKUP($A684,'Из ГУГЛа'!$B:$Z,W$1,0))</f>
        <v/>
      </c>
      <c r="X684" s="61">
        <v>1</v>
      </c>
      <c r="Y684" s="61">
        <v>0</v>
      </c>
      <c r="Z684" s="60" t="s">
        <v>4170</v>
      </c>
      <c r="AA684" s="60"/>
    </row>
    <row r="685" spans="1:27" ht="30" x14ac:dyDescent="0.25">
      <c r="A685" s="52">
        <v>217717</v>
      </c>
      <c r="B685" s="52">
        <f>VLOOKUP($A685,'Выгр Кат'!$A:$R,B$1,0)</f>
        <v>31048</v>
      </c>
      <c r="C685" s="53" t="str">
        <f>VLOOKUP($A685,'Выгр Кат'!$A:$R,C$1,0)</f>
        <v>Стойка задняя внутреняя "Renault" нижняя левая для Лада Ларгус</v>
      </c>
      <c r="D685" s="52" t="str">
        <f>VLOOKUP($A685,'Выгр Кат'!$A:$R,D$1,0)</f>
        <v>Y</v>
      </c>
      <c r="E685" s="52" t="str">
        <f>VLOOKUP($A685,'Выгр Кат'!$A:$R,E$1,0)</f>
        <v>1</v>
      </c>
      <c r="F685" s="52" t="str">
        <f>VLOOKUP($A685,'Выгр Кат'!$A:$R,F$1,0)</f>
        <v>6001548819</v>
      </c>
      <c r="G685" s="52" t="str">
        <f>IF(VLOOKUP($A685,'Выгр Кат'!$A:$R,G$1,0)=0,"",VLOOKUP($A685,'Выгр Кат'!$A:$R,G$1,0))</f>
        <v/>
      </c>
      <c r="H685" s="52"/>
      <c r="I685" s="52"/>
      <c r="J685" s="54">
        <f t="shared" si="169"/>
        <v>1379</v>
      </c>
      <c r="K685" s="55">
        <f>VLOOKUP(J685,Наценка!$A$1:$B$8,2,1)</f>
        <v>1.5</v>
      </c>
      <c r="L685" s="56">
        <f t="shared" si="170"/>
        <v>2068.5</v>
      </c>
      <c r="M685" s="57">
        <f t="shared" si="171"/>
        <v>2090</v>
      </c>
      <c r="N685" s="52">
        <f>VLOOKUP($A685,'Выгр Кат'!$A:$R,N$1,0)</f>
        <v>1379</v>
      </c>
      <c r="O685" s="52">
        <f>VLOOKUP($A685,'Выгр Кат'!$A:$R,O$1,0)</f>
        <v>2090</v>
      </c>
      <c r="P685" s="47">
        <f t="shared" si="172"/>
        <v>0</v>
      </c>
      <c r="Q685" s="47">
        <f t="shared" si="173"/>
        <v>0</v>
      </c>
      <c r="R685" s="58">
        <f t="shared" si="174"/>
        <v>2090</v>
      </c>
      <c r="S685" s="59">
        <f t="shared" si="175"/>
        <v>0.51559100797679469</v>
      </c>
      <c r="T685" s="59" t="str">
        <f t="shared" si="176"/>
        <v/>
      </c>
      <c r="U685" s="59" t="str">
        <f t="shared" si="177"/>
        <v/>
      </c>
      <c r="V685" s="60"/>
      <c r="W685" s="69" t="str">
        <f>IFERROR((VLOOKUP($A685,'Из ГУГЛа'!$B:$Z,W$1,0)+Y685)*X685,VLOOKUP($A685,'Из ГУГЛа'!$B:$Z,W$1,0))</f>
        <v/>
      </c>
      <c r="X685" s="61">
        <v>1</v>
      </c>
      <c r="Y685" s="61">
        <v>0</v>
      </c>
      <c r="Z685" s="60" t="s">
        <v>4170</v>
      </c>
      <c r="AA685" s="60"/>
    </row>
    <row r="686" spans="1:27" ht="45" x14ac:dyDescent="0.25">
      <c r="A686" s="52">
        <v>217718</v>
      </c>
      <c r="B686" s="52">
        <f>VLOOKUP($A686,'Выгр Кат'!$A:$R,B$1,0)</f>
        <v>51781</v>
      </c>
      <c r="C686" s="53" t="str">
        <f>VLOOKUP($A686,'Выгр Кат'!$A:$R,C$1,0)</f>
        <v>Стойка крепления подрамника "АвтоВАЗ" передняя левая для Лада Ларгус, Ларгус FL</v>
      </c>
      <c r="D686" s="52" t="str">
        <f>VLOOKUP($A686,'Выгр Кат'!$A:$R,D$1,0)</f>
        <v>Y</v>
      </c>
      <c r="E686" s="52" t="str">
        <f>VLOOKUP($A686,'Выгр Кат'!$A:$R,E$1,0)</f>
        <v>1</v>
      </c>
      <c r="F686" s="52" t="str">
        <f>VLOOKUP($A686,'Выгр Кат'!$A:$R,F$1,0)</f>
        <v>8450013095</v>
      </c>
      <c r="G686" s="52" t="str">
        <f>IF(VLOOKUP($A686,'Выгр Кат'!$A:$R,G$1,0)=0,"",VLOOKUP($A686,'Выгр Кат'!$A:$R,G$1,0))</f>
        <v/>
      </c>
      <c r="H686" s="52"/>
      <c r="I686" s="52"/>
      <c r="J686" s="54">
        <f t="shared" si="169"/>
        <v>420</v>
      </c>
      <c r="K686" s="55">
        <f>VLOOKUP(J686,Наценка!$A$1:$B$8,2,1)</f>
        <v>1.6</v>
      </c>
      <c r="L686" s="56">
        <f t="shared" si="170"/>
        <v>672</v>
      </c>
      <c r="M686" s="57">
        <f t="shared" si="171"/>
        <v>679</v>
      </c>
      <c r="N686" s="52">
        <f>VLOOKUP($A686,'Выгр Кат'!$A:$R,N$1,0)</f>
        <v>420</v>
      </c>
      <c r="O686" s="52">
        <f>VLOOKUP($A686,'Выгр Кат'!$A:$R,O$1,0)</f>
        <v>679</v>
      </c>
      <c r="P686" s="47">
        <f t="shared" si="172"/>
        <v>0</v>
      </c>
      <c r="Q686" s="47">
        <f t="shared" si="173"/>
        <v>0</v>
      </c>
      <c r="R686" s="58">
        <f t="shared" si="174"/>
        <v>679</v>
      </c>
      <c r="S686" s="59">
        <f t="shared" si="175"/>
        <v>0.6166666666666667</v>
      </c>
      <c r="T686" s="59" t="str">
        <f t="shared" si="176"/>
        <v/>
      </c>
      <c r="U686" s="59" t="str">
        <f t="shared" si="177"/>
        <v/>
      </c>
      <c r="V686" s="60"/>
      <c r="W686" s="69" t="str">
        <f>IFERROR((VLOOKUP($A686,'Из ГУГЛа'!$B:$Z,W$1,0)+Y686)*X686,VLOOKUP($A686,'Из ГУГЛа'!$B:$Z,W$1,0))</f>
        <v/>
      </c>
      <c r="X686" s="61">
        <v>1</v>
      </c>
      <c r="Y686" s="61">
        <v>0</v>
      </c>
      <c r="Z686" s="60" t="s">
        <v>4170</v>
      </c>
      <c r="AA686" s="60"/>
    </row>
    <row r="687" spans="1:27" ht="30" x14ac:dyDescent="0.25">
      <c r="A687" s="52">
        <v>217719</v>
      </c>
      <c r="B687" s="52">
        <f>VLOOKUP($A687,'Выгр Кат'!$A:$R,B$1,0)</f>
        <v>31205</v>
      </c>
      <c r="C687" s="53" t="str">
        <f>VLOOKUP($A687,'Выгр Кат'!$A:$R,C$1,0)</f>
        <v>Стойка крыла заднего "АвтоВАЗ" правая для Лада Калина 2 хэтчбек</v>
      </c>
      <c r="D687" s="52" t="str">
        <f>VLOOKUP($A687,'Выгр Кат'!$A:$R,D$1,0)</f>
        <v>Y</v>
      </c>
      <c r="E687" s="52" t="str">
        <f>VLOOKUP($A687,'Выгр Кат'!$A:$R,E$1,0)</f>
        <v>1</v>
      </c>
      <c r="F687" s="52" t="str">
        <f>VLOOKUP($A687,'Выгр Кат'!$A:$R,F$1,0)</f>
        <v>21920840438000</v>
      </c>
      <c r="G687" s="52" t="str">
        <f>IF(VLOOKUP($A687,'Выгр Кат'!$A:$R,G$1,0)=0,"",VLOOKUP($A687,'Выгр Кат'!$A:$R,G$1,0))</f>
        <v>https://motorring.ru/product/15181</v>
      </c>
      <c r="H687" s="52"/>
      <c r="I687" s="52"/>
      <c r="J687" s="54">
        <f t="shared" si="169"/>
        <v>2778</v>
      </c>
      <c r="K687" s="55">
        <f>VLOOKUP(J687,Наценка!$A$1:$B$8,2,1)</f>
        <v>1.4</v>
      </c>
      <c r="L687" s="56">
        <f t="shared" si="170"/>
        <v>3889.2</v>
      </c>
      <c r="M687" s="57">
        <f t="shared" si="171"/>
        <v>3890</v>
      </c>
      <c r="N687" s="52">
        <f>VLOOKUP($A687,'Выгр Кат'!$A:$R,N$1,0)</f>
        <v>2778</v>
      </c>
      <c r="O687" s="52">
        <f>VLOOKUP($A687,'Выгр Кат'!$A:$R,O$1,0)</f>
        <v>3890</v>
      </c>
      <c r="P687" s="47">
        <f t="shared" si="172"/>
        <v>0</v>
      </c>
      <c r="Q687" s="47">
        <f t="shared" si="173"/>
        <v>0</v>
      </c>
      <c r="R687" s="58">
        <f t="shared" si="174"/>
        <v>3890</v>
      </c>
      <c r="S687" s="59">
        <f t="shared" si="175"/>
        <v>0.40028797696184304</v>
      </c>
      <c r="T687" s="59">
        <f t="shared" si="176"/>
        <v>-0.11461318051575932</v>
      </c>
      <c r="U687" s="59">
        <f t="shared" si="177"/>
        <v>0.25629949604031688</v>
      </c>
      <c r="V687" s="42">
        <f>Z687</f>
        <v>3490</v>
      </c>
      <c r="W687" s="69">
        <f>IFERROR((VLOOKUP($A687,'Из ГУГЛа'!$B:$Z,W$1,0)+Y687)*X687,VLOOKUP($A687,'Из ГУГЛа'!$B:$Z,W$1,0))</f>
        <v>3490</v>
      </c>
      <c r="X687" s="61">
        <v>1</v>
      </c>
      <c r="Y687" s="61">
        <v>0</v>
      </c>
      <c r="Z687" s="70">
        <v>3490</v>
      </c>
      <c r="AA687" s="60" t="s">
        <v>1790</v>
      </c>
    </row>
    <row r="688" spans="1:27" ht="30" x14ac:dyDescent="0.25">
      <c r="A688" s="52">
        <v>217720</v>
      </c>
      <c r="B688" s="52">
        <f>VLOOKUP($A688,'Выгр Кат'!$A:$R,B$1,0)</f>
        <v>51792</v>
      </c>
      <c r="C688" s="53" t="str">
        <f>VLOOKUP($A688,'Выгр Кат'!$A:$R,C$1,0)</f>
        <v>Стойка кузова "АвтоВАЗ" задняя нижняя для Лада Ларгус</v>
      </c>
      <c r="D688" s="52" t="str">
        <f>VLOOKUP($A688,'Выгр Кат'!$A:$R,D$1,0)</f>
        <v>Y</v>
      </c>
      <c r="E688" s="52" t="str">
        <f>VLOOKUP($A688,'Выгр Кат'!$A:$R,E$1,0)</f>
        <v>1</v>
      </c>
      <c r="F688" s="52" t="str">
        <f>VLOOKUP($A688,'Выгр Кат'!$A:$R,F$1,0)</f>
        <v>8450013860</v>
      </c>
      <c r="G688" s="52" t="str">
        <f>IF(VLOOKUP($A688,'Выгр Кат'!$A:$R,G$1,0)=0,"",VLOOKUP($A688,'Выгр Кат'!$A:$R,G$1,0))</f>
        <v/>
      </c>
      <c r="H688" s="52"/>
      <c r="I688" s="52"/>
      <c r="J688" s="54">
        <f t="shared" si="169"/>
        <v>1723</v>
      </c>
      <c r="K688" s="55">
        <f>VLOOKUP(J688,Наценка!$A$1:$B$8,2,1)</f>
        <v>1.5</v>
      </c>
      <c r="L688" s="56">
        <f t="shared" si="170"/>
        <v>2584.5</v>
      </c>
      <c r="M688" s="57">
        <f t="shared" si="171"/>
        <v>2590</v>
      </c>
      <c r="N688" s="52">
        <f>VLOOKUP($A688,'Выгр Кат'!$A:$R,N$1,0)</f>
        <v>1723</v>
      </c>
      <c r="O688" s="52">
        <f>VLOOKUP($A688,'Выгр Кат'!$A:$R,O$1,0)</f>
        <v>2590</v>
      </c>
      <c r="P688" s="47">
        <f t="shared" si="172"/>
        <v>0</v>
      </c>
      <c r="Q688" s="47">
        <f t="shared" si="173"/>
        <v>0</v>
      </c>
      <c r="R688" s="58">
        <f t="shared" si="174"/>
        <v>2590</v>
      </c>
      <c r="S688" s="59">
        <f t="shared" si="175"/>
        <v>0.50319210679048165</v>
      </c>
      <c r="T688" s="59" t="str">
        <f t="shared" si="176"/>
        <v/>
      </c>
      <c r="U688" s="59" t="str">
        <f t="shared" si="177"/>
        <v/>
      </c>
      <c r="V688" s="60"/>
      <c r="W688" s="69" t="str">
        <f>IFERROR((VLOOKUP($A688,'Из ГУГЛа'!$B:$Z,W$1,0)+Y688)*X688,VLOOKUP($A688,'Из ГУГЛа'!$B:$Z,W$1,0))</f>
        <v/>
      </c>
      <c r="X688" s="61">
        <v>1</v>
      </c>
      <c r="Y688" s="61">
        <v>0</v>
      </c>
      <c r="Z688" s="60" t="s">
        <v>4170</v>
      </c>
      <c r="AA688" s="60"/>
    </row>
    <row r="689" spans="1:27" ht="30" x14ac:dyDescent="0.25">
      <c r="A689" s="52">
        <v>217721</v>
      </c>
      <c r="B689" s="52">
        <f>VLOOKUP($A689,'Выгр Кат'!$A:$R,B$1,0)</f>
        <v>32776</v>
      </c>
      <c r="C689" s="53" t="str">
        <f>VLOOKUP($A689,'Выгр Кат'!$A:$R,C$1,0)</f>
        <v>Стойка кузова центральная "АвтоВАЗ" левая для Лада Приора купе</v>
      </c>
      <c r="D689" s="52" t="str">
        <f>VLOOKUP($A689,'Выгр Кат'!$A:$R,D$1,0)</f>
        <v>Y</v>
      </c>
      <c r="E689" s="52" t="str">
        <f>VLOOKUP($A689,'Выгр Кат'!$A:$R,E$1,0)</f>
        <v>1</v>
      </c>
      <c r="F689" s="52" t="str">
        <f>VLOOKUP($A689,'Выгр Кат'!$A:$R,F$1,0)</f>
        <v>21728540113100</v>
      </c>
      <c r="G689" s="52" t="str">
        <f>IF(VLOOKUP($A689,'Выгр Кат'!$A:$R,G$1,0)=0,"",VLOOKUP($A689,'Выгр Кат'!$A:$R,G$1,0))</f>
        <v/>
      </c>
      <c r="H689" s="52"/>
      <c r="I689" s="52"/>
      <c r="J689" s="54">
        <f t="shared" si="169"/>
        <v>1066</v>
      </c>
      <c r="K689" s="55">
        <f>VLOOKUP(J689,Наценка!$A$1:$B$8,2,1)</f>
        <v>1.5</v>
      </c>
      <c r="L689" s="56">
        <f t="shared" si="170"/>
        <v>1599</v>
      </c>
      <c r="M689" s="57">
        <f t="shared" si="171"/>
        <v>1590</v>
      </c>
      <c r="N689" s="52">
        <f>VLOOKUP($A689,'Выгр Кат'!$A:$R,N$1,0)</f>
        <v>1066</v>
      </c>
      <c r="O689" s="52">
        <f>VLOOKUP($A689,'Выгр Кат'!$A:$R,O$1,0)</f>
        <v>1590</v>
      </c>
      <c r="P689" s="47">
        <f t="shared" si="172"/>
        <v>0</v>
      </c>
      <c r="Q689" s="47">
        <f t="shared" si="173"/>
        <v>0</v>
      </c>
      <c r="R689" s="58">
        <f t="shared" si="174"/>
        <v>1590</v>
      </c>
      <c r="S689" s="59">
        <f t="shared" si="175"/>
        <v>0.49155722326454043</v>
      </c>
      <c r="T689" s="59" t="str">
        <f t="shared" si="176"/>
        <v/>
      </c>
      <c r="U689" s="59" t="str">
        <f t="shared" si="177"/>
        <v/>
      </c>
      <c r="V689" s="60"/>
      <c r="W689" s="69" t="str">
        <f>IFERROR((VLOOKUP($A689,'Из ГУГЛа'!$B:$Z,W$1,0)+Y689)*X689,VLOOKUP($A689,'Из ГУГЛа'!$B:$Z,W$1,0))</f>
        <v/>
      </c>
      <c r="X689" s="61">
        <v>1</v>
      </c>
      <c r="Y689" s="61">
        <v>0</v>
      </c>
      <c r="Z689" s="60" t="s">
        <v>4170</v>
      </c>
      <c r="AA689" s="60"/>
    </row>
    <row r="690" spans="1:27" ht="30" x14ac:dyDescent="0.25">
      <c r="A690" s="52">
        <v>217722</v>
      </c>
      <c r="B690" s="52">
        <f>VLOOKUP($A690,'Выгр Кат'!$A:$R,B$1,0)</f>
        <v>32775</v>
      </c>
      <c r="C690" s="53" t="str">
        <f>VLOOKUP($A690,'Выгр Кат'!$A:$R,C$1,0)</f>
        <v>Стойка кузова центральная "АвтоВАЗ" правая для Лада Приора купе</v>
      </c>
      <c r="D690" s="52" t="str">
        <f>VLOOKUP($A690,'Выгр Кат'!$A:$R,D$1,0)</f>
        <v>Y</v>
      </c>
      <c r="E690" s="52" t="str">
        <f>VLOOKUP($A690,'Выгр Кат'!$A:$R,E$1,0)</f>
        <v>1</v>
      </c>
      <c r="F690" s="52" t="str">
        <f>VLOOKUP($A690,'Выгр Кат'!$A:$R,F$1,0)</f>
        <v>21728540113000</v>
      </c>
      <c r="G690" s="52" t="str">
        <f>IF(VLOOKUP($A690,'Выгр Кат'!$A:$R,G$1,0)=0,"",VLOOKUP($A690,'Выгр Кат'!$A:$R,G$1,0))</f>
        <v/>
      </c>
      <c r="H690" s="52"/>
      <c r="I690" s="52"/>
      <c r="J690" s="54">
        <f t="shared" si="169"/>
        <v>1386</v>
      </c>
      <c r="K690" s="55">
        <f>VLOOKUP(J690,Наценка!$A$1:$B$8,2,1)</f>
        <v>1.5</v>
      </c>
      <c r="L690" s="56">
        <f t="shared" si="170"/>
        <v>2079</v>
      </c>
      <c r="M690" s="57">
        <f t="shared" si="171"/>
        <v>2090</v>
      </c>
      <c r="N690" s="52">
        <f>VLOOKUP($A690,'Выгр Кат'!$A:$R,N$1,0)</f>
        <v>1386</v>
      </c>
      <c r="O690" s="52">
        <f>VLOOKUP($A690,'Выгр Кат'!$A:$R,O$1,0)</f>
        <v>2090</v>
      </c>
      <c r="P690" s="47">
        <f t="shared" si="172"/>
        <v>0</v>
      </c>
      <c r="Q690" s="47">
        <f t="shared" si="173"/>
        <v>0</v>
      </c>
      <c r="R690" s="58">
        <f t="shared" si="174"/>
        <v>2090</v>
      </c>
      <c r="S690" s="59">
        <f t="shared" si="175"/>
        <v>0.50793650793650791</v>
      </c>
      <c r="T690" s="59" t="str">
        <f t="shared" si="176"/>
        <v/>
      </c>
      <c r="U690" s="59" t="str">
        <f t="shared" si="177"/>
        <v/>
      </c>
      <c r="V690" s="60"/>
      <c r="W690" s="69" t="str">
        <f>IFERROR((VLOOKUP($A690,'Из ГУГЛа'!$B:$Z,W$1,0)+Y690)*X690,VLOOKUP($A690,'Из ГУГЛа'!$B:$Z,W$1,0))</f>
        <v/>
      </c>
      <c r="X690" s="61">
        <v>1</v>
      </c>
      <c r="Y690" s="61">
        <v>0</v>
      </c>
      <c r="Z690" s="60" t="s">
        <v>4170</v>
      </c>
      <c r="AA690" s="60"/>
    </row>
    <row r="691" spans="1:27" ht="30" x14ac:dyDescent="0.25">
      <c r="A691" s="52">
        <v>217857</v>
      </c>
      <c r="B691" s="52">
        <f>VLOOKUP($A691,'Выгр Кат'!$A:$R,B$1,0)</f>
        <v>31310</v>
      </c>
      <c r="C691" s="53" t="str">
        <f>VLOOKUP($A691,'Выгр Кат'!$A:$R,C$1,0)</f>
        <v>Стойка проема задка двери "АвтоВАЗ" левая в сборе для Лада Нива 4x4</v>
      </c>
      <c r="D691" s="52" t="str">
        <f>VLOOKUP($A691,'Выгр Кат'!$A:$R,D$1,0)</f>
        <v>Y</v>
      </c>
      <c r="E691" s="52" t="str">
        <f>VLOOKUP($A691,'Выгр Кат'!$A:$R,E$1,0)</f>
        <v>1</v>
      </c>
      <c r="F691" s="52" t="str">
        <f>VLOOKUP($A691,'Выгр Кат'!$A:$R,F$1,0)</f>
        <v>21213560110910</v>
      </c>
      <c r="G691" s="52" t="str">
        <f>IF(VLOOKUP($A691,'Выгр Кат'!$A:$R,G$1,0)=0,"",VLOOKUP($A691,'Выгр Кат'!$A:$R,G$1,0))</f>
        <v>https://motorring.ru/product/38251-usilitely-levogo-zadnego-fonarya-dlya-lada-4h4-niva</v>
      </c>
      <c r="H691" s="52"/>
      <c r="I691" s="52"/>
      <c r="J691" s="54">
        <f t="shared" si="169"/>
        <v>607</v>
      </c>
      <c r="K691" s="55">
        <f>VLOOKUP(J691,Наценка!$A$1:$B$8,2,1)</f>
        <v>1.55</v>
      </c>
      <c r="L691" s="56">
        <f t="shared" si="170"/>
        <v>940.85</v>
      </c>
      <c r="M691" s="57">
        <f t="shared" si="171"/>
        <v>949</v>
      </c>
      <c r="N691" s="52">
        <f>VLOOKUP($A691,'Выгр Кат'!$A:$R,N$1,0)</f>
        <v>607</v>
      </c>
      <c r="O691" s="52">
        <f>VLOOKUP($A691,'Выгр Кат'!$A:$R,O$1,0)</f>
        <v>949</v>
      </c>
      <c r="P691" s="47">
        <f t="shared" si="172"/>
        <v>0</v>
      </c>
      <c r="Q691" s="47">
        <f t="shared" si="173"/>
        <v>0</v>
      </c>
      <c r="R691" s="58">
        <f t="shared" si="174"/>
        <v>949</v>
      </c>
      <c r="S691" s="59">
        <f t="shared" si="175"/>
        <v>0.56342668863261935</v>
      </c>
      <c r="T691" s="59">
        <f t="shared" si="176"/>
        <v>0</v>
      </c>
      <c r="U691" s="59">
        <f t="shared" si="177"/>
        <v>0.56342668863261935</v>
      </c>
      <c r="V691" s="42">
        <f t="shared" ref="V691:V693" si="185">Z691</f>
        <v>949</v>
      </c>
      <c r="W691" s="69">
        <f>IFERROR((VLOOKUP($A691,'Из ГУГЛа'!$B:$Z,W$1,0)+Y691)*X691,VLOOKUP($A691,'Из ГУГЛа'!$B:$Z,W$1,0))</f>
        <v>949</v>
      </c>
      <c r="X691" s="61">
        <v>1</v>
      </c>
      <c r="Y691" s="61">
        <v>0</v>
      </c>
      <c r="Z691" s="70">
        <v>949</v>
      </c>
      <c r="AA691" s="60" t="s">
        <v>1799</v>
      </c>
    </row>
    <row r="692" spans="1:27" ht="30" x14ac:dyDescent="0.25">
      <c r="A692" s="52">
        <v>217858</v>
      </c>
      <c r="B692" s="52">
        <f>VLOOKUP($A692,'Выгр Кат'!$A:$R,B$1,0)</f>
        <v>45905</v>
      </c>
      <c r="C692" s="53" t="str">
        <f>VLOOKUP($A692,'Выгр Кат'!$A:$R,C$1,0)</f>
        <v>Стойка проема задка двери "АвтоВАЗ" правая в сборе для Лада Нива 4x4</v>
      </c>
      <c r="D692" s="52" t="str">
        <f>VLOOKUP($A692,'Выгр Кат'!$A:$R,D$1,0)</f>
        <v>Y</v>
      </c>
      <c r="E692" s="52" t="str">
        <f>VLOOKUP($A692,'Выгр Кат'!$A:$R,E$1,0)</f>
        <v>1</v>
      </c>
      <c r="F692" s="52" t="str">
        <f>VLOOKUP($A692,'Выгр Кат'!$A:$R,F$1,0)</f>
        <v>21213560110810</v>
      </c>
      <c r="G692" s="52" t="str">
        <f>IF(VLOOKUP($A692,'Выгр Кат'!$A:$R,G$1,0)=0,"",VLOOKUP($A692,'Выгр Кат'!$A:$R,G$1,0))</f>
        <v>https://motorring.ru/product/38250-usilitely-pravogo-zadnego-fonarya-dlya-lada-4h4-niva</v>
      </c>
      <c r="H692" s="52"/>
      <c r="I692" s="52"/>
      <c r="J692" s="54">
        <f t="shared" si="169"/>
        <v>566</v>
      </c>
      <c r="K692" s="55">
        <f>VLOOKUP(J692,Наценка!$A$1:$B$8,2,1)</f>
        <v>1.55</v>
      </c>
      <c r="L692" s="56">
        <f t="shared" si="170"/>
        <v>877.30000000000007</v>
      </c>
      <c r="M692" s="57">
        <f t="shared" si="171"/>
        <v>879</v>
      </c>
      <c r="N692" s="52">
        <f>VLOOKUP($A692,'Выгр Кат'!$A:$R,N$1,0)</f>
        <v>566</v>
      </c>
      <c r="O692" s="52">
        <f>VLOOKUP($A692,'Выгр Кат'!$A:$R,O$1,0)</f>
        <v>879</v>
      </c>
      <c r="P692" s="47">
        <f t="shared" si="172"/>
        <v>0</v>
      </c>
      <c r="Q692" s="47">
        <f t="shared" si="173"/>
        <v>0</v>
      </c>
      <c r="R692" s="58">
        <f t="shared" si="174"/>
        <v>879</v>
      </c>
      <c r="S692" s="59">
        <f t="shared" si="175"/>
        <v>0.55300353356890453</v>
      </c>
      <c r="T692" s="59">
        <f t="shared" si="176"/>
        <v>-6.0313630880579013E-2</v>
      </c>
      <c r="U692" s="59">
        <f t="shared" si="177"/>
        <v>0.46466431095406358</v>
      </c>
      <c r="V692" s="42">
        <f t="shared" si="185"/>
        <v>829</v>
      </c>
      <c r="W692" s="69">
        <f>IFERROR((VLOOKUP($A692,'Из ГУГЛа'!$B:$Z,W$1,0)+Y692)*X692,VLOOKUP($A692,'Из ГУГЛа'!$B:$Z,W$1,0))</f>
        <v>829</v>
      </c>
      <c r="X692" s="61">
        <v>1</v>
      </c>
      <c r="Y692" s="61">
        <v>0</v>
      </c>
      <c r="Z692" s="70">
        <v>829</v>
      </c>
      <c r="AA692" s="60" t="s">
        <v>1803</v>
      </c>
    </row>
    <row r="693" spans="1:27" ht="30" x14ac:dyDescent="0.25">
      <c r="A693" s="52">
        <v>217859</v>
      </c>
      <c r="B693" s="52">
        <f>VLOOKUP($A693,'Выгр Кат'!$A:$R,B$1,0)</f>
        <v>51724</v>
      </c>
      <c r="C693" s="53" t="str">
        <f>VLOOKUP($A693,'Выгр Кат'!$A:$R,C$1,0)</f>
        <v>Стойка рамки радиатора "АвтоВАЗ" левая в сборе для Лада Ларгус</v>
      </c>
      <c r="D693" s="52" t="str">
        <f>VLOOKUP($A693,'Выгр Кат'!$A:$R,D$1,0)</f>
        <v>Y</v>
      </c>
      <c r="E693" s="52" t="str">
        <f>VLOOKUP($A693,'Выгр Кат'!$A:$R,E$1,0)</f>
        <v>1</v>
      </c>
      <c r="F693" s="52" t="str">
        <f>VLOOKUP($A693,'Выгр Кат'!$A:$R,F$1,0)</f>
        <v>8450013067</v>
      </c>
      <c r="G693" s="52" t="str">
        <f>IF(VLOOKUP($A693,'Выгр Кат'!$A:$R,G$1,0)=0,"",VLOOKUP($A693,'Выгр Кат'!$A:$R,G$1,0))</f>
        <v>https://motorring.ru/product/36924-levaya-stoyka-ramki-radiatora-dlya-lada-largus-fl</v>
      </c>
      <c r="H693" s="52"/>
      <c r="I693" s="52"/>
      <c r="J693" s="54">
        <f t="shared" si="169"/>
        <v>433</v>
      </c>
      <c r="K693" s="55">
        <f>VLOOKUP(J693,Наценка!$A$1:$B$8,2,1)</f>
        <v>1.6</v>
      </c>
      <c r="L693" s="56">
        <f t="shared" si="170"/>
        <v>692.80000000000007</v>
      </c>
      <c r="M693" s="57">
        <f t="shared" si="171"/>
        <v>699</v>
      </c>
      <c r="N693" s="52">
        <f>VLOOKUP($A693,'Выгр Кат'!$A:$R,N$1,0)</f>
        <v>433</v>
      </c>
      <c r="O693" s="52">
        <f>VLOOKUP($A693,'Выгр Кат'!$A:$R,O$1,0)</f>
        <v>699</v>
      </c>
      <c r="P693" s="47">
        <f t="shared" si="172"/>
        <v>0</v>
      </c>
      <c r="Q693" s="47">
        <f t="shared" si="173"/>
        <v>0</v>
      </c>
      <c r="R693" s="58">
        <f t="shared" si="174"/>
        <v>699</v>
      </c>
      <c r="S693" s="59">
        <f t="shared" si="175"/>
        <v>0.61431870669745958</v>
      </c>
      <c r="T693" s="59">
        <f t="shared" si="176"/>
        <v>0.15681544028950542</v>
      </c>
      <c r="U693" s="59">
        <f t="shared" si="177"/>
        <v>0.91454965357967666</v>
      </c>
      <c r="V693" s="42">
        <f t="shared" si="185"/>
        <v>829</v>
      </c>
      <c r="W693" s="69">
        <f>IFERROR((VLOOKUP($A693,'Из ГУГЛа'!$B:$Z,W$1,0)+Y693)*X693,VLOOKUP($A693,'Из ГУГЛа'!$B:$Z,W$1,0))</f>
        <v>829</v>
      </c>
      <c r="X693" s="61">
        <v>1</v>
      </c>
      <c r="Y693" s="61">
        <v>0</v>
      </c>
      <c r="Z693" s="70">
        <v>829</v>
      </c>
      <c r="AA693" s="60" t="s">
        <v>1807</v>
      </c>
    </row>
    <row r="694" spans="1:27" ht="30" x14ac:dyDescent="0.25">
      <c r="A694" s="52">
        <v>217860</v>
      </c>
      <c r="B694" s="52">
        <f>VLOOKUP($A694,'Выгр Кат'!$A:$R,B$1,0)</f>
        <v>47972</v>
      </c>
      <c r="C694" s="53" t="str">
        <f>VLOOKUP($A694,'Выгр Кат'!$A:$R,C$1,0)</f>
        <v>Стойка рамки радиатора "АвтоВАЗ" левая в сборе для Лада Нива Travel</v>
      </c>
      <c r="D694" s="52" t="str">
        <f>VLOOKUP($A694,'Выгр Кат'!$A:$R,D$1,0)</f>
        <v>Y</v>
      </c>
      <c r="E694" s="52" t="str">
        <f>VLOOKUP($A694,'Выгр Кат'!$A:$R,E$1,0)</f>
        <v>1</v>
      </c>
      <c r="F694" s="52" t="str">
        <f>VLOOKUP($A694,'Выгр Кат'!$A:$R,F$1,0)</f>
        <v>21230840129181</v>
      </c>
      <c r="G694" s="52" t="str">
        <f>IF(VLOOKUP($A694,'Выгр Кат'!$A:$R,G$1,0)=0,"",VLOOKUP($A694,'Выгр Кат'!$A:$R,G$1,0))</f>
        <v/>
      </c>
      <c r="H694" s="52"/>
      <c r="I694" s="52"/>
      <c r="J694" s="54">
        <f t="shared" si="169"/>
        <v>669</v>
      </c>
      <c r="K694" s="55">
        <f>VLOOKUP(J694,Наценка!$A$1:$B$8,2,1)</f>
        <v>1.55</v>
      </c>
      <c r="L694" s="56">
        <f t="shared" si="170"/>
        <v>1036.95</v>
      </c>
      <c r="M694" s="57">
        <f t="shared" si="171"/>
        <v>1090</v>
      </c>
      <c r="N694" s="52">
        <f>VLOOKUP($A694,'Выгр Кат'!$A:$R,N$1,0)</f>
        <v>669</v>
      </c>
      <c r="O694" s="52">
        <f>VLOOKUP($A694,'Выгр Кат'!$A:$R,O$1,0)</f>
        <v>1090</v>
      </c>
      <c r="P694" s="47">
        <f t="shared" si="172"/>
        <v>0</v>
      </c>
      <c r="Q694" s="47">
        <f t="shared" si="173"/>
        <v>0</v>
      </c>
      <c r="R694" s="58">
        <f t="shared" si="174"/>
        <v>1090</v>
      </c>
      <c r="S694" s="59">
        <f t="shared" si="175"/>
        <v>0.62929745889387134</v>
      </c>
      <c r="T694" s="59" t="str">
        <f t="shared" si="176"/>
        <v/>
      </c>
      <c r="U694" s="59" t="str">
        <f t="shared" si="177"/>
        <v/>
      </c>
      <c r="V694" s="60"/>
      <c r="W694" s="69" t="str">
        <f>IFERROR((VLOOKUP($A694,'Из ГУГЛа'!$B:$Z,W$1,0)+Y694)*X694,VLOOKUP($A694,'Из ГУГЛа'!$B:$Z,W$1,0))</f>
        <v/>
      </c>
      <c r="X694" s="61">
        <v>1</v>
      </c>
      <c r="Y694" s="61">
        <v>0</v>
      </c>
      <c r="Z694" s="60" t="s">
        <v>4170</v>
      </c>
      <c r="AA694" s="60"/>
    </row>
    <row r="695" spans="1:27" ht="30" x14ac:dyDescent="0.25">
      <c r="A695" s="52">
        <v>217861</v>
      </c>
      <c r="B695" s="52">
        <f>VLOOKUP($A695,'Выгр Кат'!$A:$R,B$1,0)</f>
        <v>31442</v>
      </c>
      <c r="C695" s="53" t="str">
        <f>VLOOKUP($A695,'Выгр Кат'!$A:$R,C$1,0)</f>
        <v>Стойка рамки радиатора "АвтоВАЗ" левая для ВАЗ 2105, 2107</v>
      </c>
      <c r="D695" s="52" t="str">
        <f>VLOOKUP($A695,'Выгр Кат'!$A:$R,D$1,0)</f>
        <v>Y</v>
      </c>
      <c r="E695" s="52" t="str">
        <f>VLOOKUP($A695,'Выгр Кат'!$A:$R,E$1,0)</f>
        <v>1</v>
      </c>
      <c r="F695" s="52" t="str">
        <f>VLOOKUP($A695,'Выгр Кат'!$A:$R,F$1,0)</f>
        <v>21050840108700</v>
      </c>
      <c r="G695" s="52" t="str">
        <f>IF(VLOOKUP($A695,'Выгр Кат'!$A:$R,G$1,0)=0,"",VLOOKUP($A695,'Выгр Кат'!$A:$R,G$1,0))</f>
        <v/>
      </c>
      <c r="H695" s="52"/>
      <c r="I695" s="52"/>
      <c r="J695" s="54">
        <f t="shared" si="169"/>
        <v>63</v>
      </c>
      <c r="K695" s="55">
        <f>VLOOKUP(J695,Наценка!$A$1:$B$8,2,1)</f>
        <v>2</v>
      </c>
      <c r="L695" s="56">
        <f t="shared" si="170"/>
        <v>126</v>
      </c>
      <c r="M695" s="57">
        <f t="shared" si="171"/>
        <v>129</v>
      </c>
      <c r="N695" s="52">
        <f>VLOOKUP($A695,'Выгр Кат'!$A:$R,N$1,0)</f>
        <v>63</v>
      </c>
      <c r="O695" s="52">
        <f>VLOOKUP($A695,'Выгр Кат'!$A:$R,O$1,0)</f>
        <v>129</v>
      </c>
      <c r="P695" s="47">
        <f t="shared" si="172"/>
        <v>0</v>
      </c>
      <c r="Q695" s="47">
        <f t="shared" si="173"/>
        <v>0</v>
      </c>
      <c r="R695" s="58">
        <f t="shared" si="174"/>
        <v>129</v>
      </c>
      <c r="S695" s="59">
        <f t="shared" si="175"/>
        <v>1.0476190476190474</v>
      </c>
      <c r="T695" s="59" t="str">
        <f t="shared" si="176"/>
        <v/>
      </c>
      <c r="U695" s="59" t="str">
        <f t="shared" si="177"/>
        <v/>
      </c>
      <c r="V695" s="60"/>
      <c r="W695" s="69" t="str">
        <f>IFERROR((VLOOKUP($A695,'Из ГУГЛа'!$B:$Z,W$1,0)+Y695)*X695,VLOOKUP($A695,'Из ГУГЛа'!$B:$Z,W$1,0))</f>
        <v/>
      </c>
      <c r="X695" s="61">
        <v>1</v>
      </c>
      <c r="Y695" s="61">
        <v>0</v>
      </c>
      <c r="Z695" s="60" t="s">
        <v>4170</v>
      </c>
      <c r="AA695" s="60"/>
    </row>
    <row r="696" spans="1:27" ht="30" x14ac:dyDescent="0.25">
      <c r="A696" s="52">
        <v>217862</v>
      </c>
      <c r="B696" s="52">
        <f>VLOOKUP($A696,'Выгр Кат'!$A:$R,B$1,0)</f>
        <v>51695</v>
      </c>
      <c r="C696" s="53" t="str">
        <f>VLOOKUP($A696,'Выгр Кат'!$A:$R,C$1,0)</f>
        <v>Стойка рамки радиатора "АвтоВАЗ" правая в сборе для Лада Ларгус</v>
      </c>
      <c r="D696" s="52" t="str">
        <f>VLOOKUP($A696,'Выгр Кат'!$A:$R,D$1,0)</f>
        <v>Y</v>
      </c>
      <c r="E696" s="52" t="str">
        <f>VLOOKUP($A696,'Выгр Кат'!$A:$R,E$1,0)</f>
        <v>1</v>
      </c>
      <c r="F696" s="52" t="str">
        <f>VLOOKUP($A696,'Выгр Кат'!$A:$R,F$1,0)</f>
        <v>8450013065</v>
      </c>
      <c r="G696" s="52" t="str">
        <f>IF(VLOOKUP($A696,'Выгр Кат'!$A:$R,G$1,0)=0,"",VLOOKUP($A696,'Выгр Кат'!$A:$R,G$1,0))</f>
        <v>https://motorring.ru/product/36925-pravaya-stoyka-ramki-radiatora-dlya-lada-largus-fl</v>
      </c>
      <c r="H696" s="52"/>
      <c r="I696" s="52"/>
      <c r="J696" s="54">
        <f t="shared" ref="J696:J759" si="186">N696</f>
        <v>510</v>
      </c>
      <c r="K696" s="55">
        <f>VLOOKUP(J696,Наценка!$A$1:$B$8,2,1)</f>
        <v>1.55</v>
      </c>
      <c r="L696" s="56">
        <f t="shared" ref="L696:L759" si="187">J696*K696</f>
        <v>790.5</v>
      </c>
      <c r="M696" s="57">
        <f t="shared" ref="M696:M759" si="188">IF(L696&lt;=1000,(ROUNDUP(L696,-1)-1),(ROUNDUP(L696,-2)-10))</f>
        <v>799</v>
      </c>
      <c r="N696" s="52">
        <f>VLOOKUP($A696,'Выгр Кат'!$A:$R,N$1,0)</f>
        <v>510</v>
      </c>
      <c r="O696" s="52">
        <f>VLOOKUP($A696,'Выгр Кат'!$A:$R,O$1,0)</f>
        <v>799</v>
      </c>
      <c r="P696" s="47">
        <f t="shared" ref="P696:P759" si="189">N696-J696</f>
        <v>0</v>
      </c>
      <c r="Q696" s="47">
        <f t="shared" ref="Q696:Q759" si="190">O696-M696</f>
        <v>0</v>
      </c>
      <c r="R696" s="58">
        <f t="shared" ref="R696:R759" si="191">IFERROR(ROUND(M696*(1-$R$2),),"")</f>
        <v>799</v>
      </c>
      <c r="S696" s="59">
        <f t="shared" ref="S696:S759" si="192">IFERROR(R696/J696-1,"")</f>
        <v>0.56666666666666665</v>
      </c>
      <c r="T696" s="59">
        <f t="shared" ref="T696:T759" si="193">IFERROR((V696-R696)/V696,"")</f>
        <v>3.6188178528347409E-2</v>
      </c>
      <c r="U696" s="59">
        <f t="shared" ref="U696:U759" si="194">IFERROR(IF(V696="","",V696/J696-1),"")</f>
        <v>0.62549019607843137</v>
      </c>
      <c r="V696" s="42">
        <f>Z696</f>
        <v>829</v>
      </c>
      <c r="W696" s="69">
        <f>IFERROR((VLOOKUP($A696,'Из ГУГЛа'!$B:$Z,W$1,0)+Y696)*X696,VLOOKUP($A696,'Из ГУГЛа'!$B:$Z,W$1,0))</f>
        <v>829</v>
      </c>
      <c r="X696" s="61">
        <v>1</v>
      </c>
      <c r="Y696" s="61">
        <v>0</v>
      </c>
      <c r="Z696" s="70">
        <v>829</v>
      </c>
      <c r="AA696" s="60" t="s">
        <v>1816</v>
      </c>
    </row>
    <row r="697" spans="1:27" ht="30" x14ac:dyDescent="0.25">
      <c r="A697" s="52">
        <v>217863</v>
      </c>
      <c r="B697" s="52">
        <f>VLOOKUP($A697,'Выгр Кат'!$A:$R,B$1,0)</f>
        <v>47969</v>
      </c>
      <c r="C697" s="53" t="str">
        <f>VLOOKUP($A697,'Выгр Кат'!$A:$R,C$1,0)</f>
        <v>Стойка рамки радиатора "АвтоВАЗ" правая в сборе для Лада Нива Travel</v>
      </c>
      <c r="D697" s="52" t="str">
        <f>VLOOKUP($A697,'Выгр Кат'!$A:$R,D$1,0)</f>
        <v>Y</v>
      </c>
      <c r="E697" s="52" t="str">
        <f>VLOOKUP($A697,'Выгр Кат'!$A:$R,E$1,0)</f>
        <v>1</v>
      </c>
      <c r="F697" s="52" t="str">
        <f>VLOOKUP($A697,'Выгр Кат'!$A:$R,F$1,0)</f>
        <v>21230840129081</v>
      </c>
      <c r="G697" s="52" t="str">
        <f>IF(VLOOKUP($A697,'Выгр Кат'!$A:$R,G$1,0)=0,"",VLOOKUP($A697,'Выгр Кат'!$A:$R,G$1,0))</f>
        <v/>
      </c>
      <c r="H697" s="52"/>
      <c r="I697" s="52"/>
      <c r="J697" s="54">
        <f t="shared" si="186"/>
        <v>669</v>
      </c>
      <c r="K697" s="55">
        <f>VLOOKUP(J697,Наценка!$A$1:$B$8,2,1)</f>
        <v>1.55</v>
      </c>
      <c r="L697" s="56">
        <f t="shared" si="187"/>
        <v>1036.95</v>
      </c>
      <c r="M697" s="57">
        <f t="shared" si="188"/>
        <v>1090</v>
      </c>
      <c r="N697" s="52">
        <f>VLOOKUP($A697,'Выгр Кат'!$A:$R,N$1,0)</f>
        <v>669</v>
      </c>
      <c r="O697" s="52">
        <f>VLOOKUP($A697,'Выгр Кат'!$A:$R,O$1,0)</f>
        <v>1090</v>
      </c>
      <c r="P697" s="47">
        <f t="shared" si="189"/>
        <v>0</v>
      </c>
      <c r="Q697" s="47">
        <f t="shared" si="190"/>
        <v>0</v>
      </c>
      <c r="R697" s="58">
        <f t="shared" si="191"/>
        <v>1090</v>
      </c>
      <c r="S697" s="59">
        <f t="shared" si="192"/>
        <v>0.62929745889387134</v>
      </c>
      <c r="T697" s="59" t="str">
        <f t="shared" si="193"/>
        <v/>
      </c>
      <c r="U697" s="59" t="str">
        <f t="shared" si="194"/>
        <v/>
      </c>
      <c r="V697" s="60"/>
      <c r="W697" s="69" t="str">
        <f>IFERROR((VLOOKUP($A697,'Из ГУГЛа'!$B:$Z,W$1,0)+Y697)*X697,VLOOKUP($A697,'Из ГУГЛа'!$B:$Z,W$1,0))</f>
        <v/>
      </c>
      <c r="X697" s="61">
        <v>1</v>
      </c>
      <c r="Y697" s="61">
        <v>0</v>
      </c>
      <c r="Z697" s="60" t="s">
        <v>4170</v>
      </c>
      <c r="AA697" s="60"/>
    </row>
    <row r="698" spans="1:27" ht="30" x14ac:dyDescent="0.25">
      <c r="A698" s="52">
        <v>217864</v>
      </c>
      <c r="B698" s="52">
        <f>VLOOKUP($A698,'Выгр Кат'!$A:$R,B$1,0)</f>
        <v>31375</v>
      </c>
      <c r="C698" s="53" t="str">
        <f>VLOOKUP($A698,'Выгр Кат'!$A:$R,C$1,0)</f>
        <v>Стойка рамки радиатора "АвтоВАЗ" правая для Лада Нива 4x4</v>
      </c>
      <c r="D698" s="52" t="str">
        <f>VLOOKUP($A698,'Выгр Кат'!$A:$R,D$1,0)</f>
        <v>Y</v>
      </c>
      <c r="E698" s="52" t="str">
        <f>VLOOKUP($A698,'Выгр Кат'!$A:$R,E$1,0)</f>
        <v>1</v>
      </c>
      <c r="F698" s="52" t="str">
        <f>VLOOKUP($A698,'Выгр Кат'!$A:$R,F$1,0)</f>
        <v>21210840144000</v>
      </c>
      <c r="G698" s="52" t="str">
        <f>IF(VLOOKUP($A698,'Выгр Кат'!$A:$R,G$1,0)=0,"",VLOOKUP($A698,'Выгр Кат'!$A:$R,G$1,0))</f>
        <v/>
      </c>
      <c r="H698" s="52"/>
      <c r="I698" s="52"/>
      <c r="J698" s="54">
        <f t="shared" si="186"/>
        <v>68</v>
      </c>
      <c r="K698" s="55">
        <f>VLOOKUP(J698,Наценка!$A$1:$B$8,2,1)</f>
        <v>2</v>
      </c>
      <c r="L698" s="56">
        <f t="shared" si="187"/>
        <v>136</v>
      </c>
      <c r="M698" s="57">
        <f t="shared" si="188"/>
        <v>139</v>
      </c>
      <c r="N698" s="52">
        <f>VLOOKUP($A698,'Выгр Кат'!$A:$R,N$1,0)</f>
        <v>68</v>
      </c>
      <c r="O698" s="52">
        <f>VLOOKUP($A698,'Выгр Кат'!$A:$R,O$1,0)</f>
        <v>139</v>
      </c>
      <c r="P698" s="47">
        <f t="shared" si="189"/>
        <v>0</v>
      </c>
      <c r="Q698" s="47">
        <f t="shared" si="190"/>
        <v>0</v>
      </c>
      <c r="R698" s="58">
        <f t="shared" si="191"/>
        <v>139</v>
      </c>
      <c r="S698" s="59">
        <f t="shared" si="192"/>
        <v>1.0441176470588234</v>
      </c>
      <c r="T698" s="59" t="str">
        <f t="shared" si="193"/>
        <v/>
      </c>
      <c r="U698" s="59" t="str">
        <f t="shared" si="194"/>
        <v/>
      </c>
      <c r="V698" s="60"/>
      <c r="W698" s="69" t="str">
        <f>IFERROR((VLOOKUP($A698,'Из ГУГЛа'!$B:$Z,W$1,0)+Y698)*X698,VLOOKUP($A698,'Из ГУГЛа'!$B:$Z,W$1,0))</f>
        <v/>
      </c>
      <c r="X698" s="61">
        <v>1</v>
      </c>
      <c r="Y698" s="61">
        <v>0</v>
      </c>
      <c r="Z698" s="60" t="s">
        <v>4170</v>
      </c>
      <c r="AA698" s="60"/>
    </row>
    <row r="699" spans="1:27" ht="30" x14ac:dyDescent="0.25">
      <c r="A699" s="52">
        <v>217865</v>
      </c>
      <c r="B699" s="52">
        <f>VLOOKUP($A699,'Выгр Кат'!$A:$R,B$1,0)</f>
        <v>31157</v>
      </c>
      <c r="C699" s="53" t="str">
        <f>VLOOKUP($A699,'Выгр Кат'!$A:$R,C$1,0)</f>
        <v>Стойка рамки радиатора левая в сборе (катафорез) "АвтоВАЗ" для Лада Веста</v>
      </c>
      <c r="D699" s="52" t="str">
        <f>VLOOKUP($A699,'Выгр Кат'!$A:$R,D$1,0)</f>
        <v>Y</v>
      </c>
      <c r="E699" s="52" t="str">
        <f>VLOOKUP($A699,'Выгр Кат'!$A:$R,E$1,0)</f>
        <v>1</v>
      </c>
      <c r="F699" s="52" t="str">
        <f>VLOOKUP($A699,'Выгр Кат'!$A:$R,F$1,0)</f>
        <v>8450039312</v>
      </c>
      <c r="G699" s="52" t="str">
        <f>IF(VLOOKUP($A699,'Выгр Кат'!$A:$R,G$1,0)=0,"",VLOOKUP($A699,'Выгр Кат'!$A:$R,G$1,0))</f>
        <v>https://motorring.ru/product/18847-stoyka-ramki-radiatora-levaya-lada-vesta</v>
      </c>
      <c r="H699" s="52"/>
      <c r="I699" s="52"/>
      <c r="J699" s="54">
        <f t="shared" si="186"/>
        <v>1294</v>
      </c>
      <c r="K699" s="55">
        <f>VLOOKUP(J699,Наценка!$A$1:$B$8,2,1)</f>
        <v>1.5</v>
      </c>
      <c r="L699" s="56">
        <f t="shared" si="187"/>
        <v>1941</v>
      </c>
      <c r="M699" s="57">
        <f t="shared" si="188"/>
        <v>1990</v>
      </c>
      <c r="N699" s="52">
        <f>VLOOKUP($A699,'Выгр Кат'!$A:$R,N$1,0)</f>
        <v>1294</v>
      </c>
      <c r="O699" s="52">
        <f>VLOOKUP($A699,'Выгр Кат'!$A:$R,O$1,0)</f>
        <v>1990</v>
      </c>
      <c r="P699" s="47">
        <f t="shared" si="189"/>
        <v>0</v>
      </c>
      <c r="Q699" s="47">
        <f t="shared" si="190"/>
        <v>0</v>
      </c>
      <c r="R699" s="58">
        <f t="shared" si="191"/>
        <v>1990</v>
      </c>
      <c r="S699" s="59">
        <f t="shared" si="192"/>
        <v>0.53786707882534768</v>
      </c>
      <c r="T699" s="59">
        <f t="shared" si="193"/>
        <v>-0.17751479289940827</v>
      </c>
      <c r="U699" s="59">
        <f t="shared" si="194"/>
        <v>0.30602782071097367</v>
      </c>
      <c r="V699" s="42">
        <f t="shared" ref="V699:V702" si="195">Z699</f>
        <v>1690</v>
      </c>
      <c r="W699" s="69">
        <f>IFERROR((VLOOKUP($A699,'Из ГУГЛа'!$B:$Z,W$1,0)+Y699)*X699,VLOOKUP($A699,'Из ГУГЛа'!$B:$Z,W$1,0))</f>
        <v>1690</v>
      </c>
      <c r="X699" s="61">
        <v>1</v>
      </c>
      <c r="Y699" s="61">
        <v>0</v>
      </c>
      <c r="Z699" s="70">
        <v>1690</v>
      </c>
      <c r="AA699" s="60" t="s">
        <v>1824</v>
      </c>
    </row>
    <row r="700" spans="1:27" ht="45" x14ac:dyDescent="0.25">
      <c r="A700" s="52">
        <v>217866</v>
      </c>
      <c r="B700" s="52">
        <f>VLOOKUP($A700,'Выгр Кат'!$A:$R,B$1,0)</f>
        <v>31159</v>
      </c>
      <c r="C700" s="53" t="str">
        <f>VLOOKUP($A700,'Выгр Кат'!$A:$R,C$1,0)</f>
        <v>Стойка рамки радиатора правая в сборе (катафорез) "АвтоВАЗ" для Лада Веста</v>
      </c>
      <c r="D700" s="52" t="str">
        <f>VLOOKUP($A700,'Выгр Кат'!$A:$R,D$1,0)</f>
        <v>Y</v>
      </c>
      <c r="E700" s="52" t="str">
        <f>VLOOKUP($A700,'Выгр Кат'!$A:$R,E$1,0)</f>
        <v>1</v>
      </c>
      <c r="F700" s="52" t="str">
        <f>VLOOKUP($A700,'Выгр Кат'!$A:$R,F$1,0)</f>
        <v>8450039311</v>
      </c>
      <c r="G700" s="52" t="str">
        <f>IF(VLOOKUP($A700,'Выгр Кат'!$A:$R,G$1,0)=0,"",VLOOKUP($A700,'Выгр Кат'!$A:$R,G$1,0))</f>
        <v>https://motorring.ru/product/18848-stoyka-ramki-radiatora-pravaya-lada-vesta</v>
      </c>
      <c r="H700" s="52"/>
      <c r="I700" s="52"/>
      <c r="J700" s="54">
        <f t="shared" si="186"/>
        <v>1065</v>
      </c>
      <c r="K700" s="55">
        <f>VLOOKUP(J700,Наценка!$A$1:$B$8,2,1)</f>
        <v>1.5</v>
      </c>
      <c r="L700" s="56">
        <f t="shared" si="187"/>
        <v>1597.5</v>
      </c>
      <c r="M700" s="57">
        <f t="shared" si="188"/>
        <v>1590</v>
      </c>
      <c r="N700" s="52">
        <f>VLOOKUP($A700,'Выгр Кат'!$A:$R,N$1,0)</f>
        <v>1065</v>
      </c>
      <c r="O700" s="52">
        <f>VLOOKUP($A700,'Выгр Кат'!$A:$R,O$1,0)</f>
        <v>1590</v>
      </c>
      <c r="P700" s="47">
        <f t="shared" si="189"/>
        <v>0</v>
      </c>
      <c r="Q700" s="47">
        <f t="shared" si="190"/>
        <v>0</v>
      </c>
      <c r="R700" s="58">
        <f t="shared" si="191"/>
        <v>1590</v>
      </c>
      <c r="S700" s="59">
        <f t="shared" si="192"/>
        <v>0.49295774647887325</v>
      </c>
      <c r="T700" s="59">
        <f t="shared" si="193"/>
        <v>-0.14388489208633093</v>
      </c>
      <c r="U700" s="59">
        <f t="shared" si="194"/>
        <v>0.30516431924882625</v>
      </c>
      <c r="V700" s="42">
        <f t="shared" si="195"/>
        <v>1390</v>
      </c>
      <c r="W700" s="69">
        <f>IFERROR((VLOOKUP($A700,'Из ГУГЛа'!$B:$Z,W$1,0)+Y700)*X700,VLOOKUP($A700,'Из ГУГЛа'!$B:$Z,W$1,0))</f>
        <v>1390</v>
      </c>
      <c r="X700" s="61">
        <v>1</v>
      </c>
      <c r="Y700" s="61">
        <v>0</v>
      </c>
      <c r="Z700" s="70">
        <v>1390</v>
      </c>
      <c r="AA700" s="60" t="s">
        <v>1827</v>
      </c>
    </row>
    <row r="701" spans="1:27" ht="45" x14ac:dyDescent="0.25">
      <c r="A701" s="52">
        <v>222945</v>
      </c>
      <c r="B701" s="52">
        <f>VLOOKUP($A701,'Выгр Кат'!$A:$R,B$1,0)</f>
        <v>31270</v>
      </c>
      <c r="C701" s="53" t="str">
        <f>VLOOKUP($A701,'Выгр Кат'!$A:$R,C$1,0)</f>
        <v>Уcилитель цeнтpальной cтoйки (катафорез) "АвтоВАЗ" левый для Шевроле Нива</v>
      </c>
      <c r="D701" s="52" t="str">
        <f>VLOOKUP($A701,'Выгр Кат'!$A:$R,D$1,0)</f>
        <v>Y</v>
      </c>
      <c r="E701" s="52" t="str">
        <f>VLOOKUP($A701,'Выгр Кат'!$A:$R,E$1,0)</f>
        <v>1</v>
      </c>
      <c r="F701" s="52" t="str">
        <f>VLOOKUP($A701,'Выгр Кат'!$A:$R,F$1,0)</f>
        <v>21230540115170</v>
      </c>
      <c r="G701" s="52" t="str">
        <f>IF(VLOOKUP($A701,'Выгр Кат'!$A:$R,G$1,0)=0,"",VLOOKUP($A701,'Выгр Кат'!$A:$R,G$1,0))</f>
        <v>https://motorring.ru/product/982-ucilitely-centpalynoy-ctoyki-levyy-kataforeznoe-pokrytie</v>
      </c>
      <c r="H701" s="52"/>
      <c r="I701" s="52"/>
      <c r="J701" s="54">
        <f t="shared" si="186"/>
        <v>2001</v>
      </c>
      <c r="K701" s="55">
        <f>VLOOKUP(J701,Наценка!$A$1:$B$8,2,1)</f>
        <v>1.4</v>
      </c>
      <c r="L701" s="56">
        <f t="shared" si="187"/>
        <v>2801.3999999999996</v>
      </c>
      <c r="M701" s="57">
        <f t="shared" si="188"/>
        <v>2890</v>
      </c>
      <c r="N701" s="52">
        <f>VLOOKUP($A701,'Выгр Кат'!$A:$R,N$1,0)</f>
        <v>2001</v>
      </c>
      <c r="O701" s="52">
        <f>VLOOKUP($A701,'Выгр Кат'!$A:$R,O$1,0)</f>
        <v>2890</v>
      </c>
      <c r="P701" s="47">
        <f t="shared" si="189"/>
        <v>0</v>
      </c>
      <c r="Q701" s="47">
        <f t="shared" si="190"/>
        <v>0</v>
      </c>
      <c r="R701" s="58">
        <f t="shared" si="191"/>
        <v>2890</v>
      </c>
      <c r="S701" s="59">
        <f t="shared" si="192"/>
        <v>0.44427786106946532</v>
      </c>
      <c r="T701" s="59">
        <f t="shared" si="193"/>
        <v>6.4724919093851127E-2</v>
      </c>
      <c r="U701" s="59">
        <f t="shared" si="194"/>
        <v>0.54422788605697159</v>
      </c>
      <c r="V701" s="42">
        <f t="shared" si="195"/>
        <v>3090</v>
      </c>
      <c r="W701" s="69">
        <f>IFERROR((VLOOKUP($A701,'Из ГУГЛа'!$B:$Z,W$1,0)+Y701)*X701,VLOOKUP($A701,'Из ГУГЛа'!$B:$Z,W$1,0))</f>
        <v>3090</v>
      </c>
      <c r="X701" s="61">
        <v>1</v>
      </c>
      <c r="Y701" s="61">
        <v>0</v>
      </c>
      <c r="Z701" s="70">
        <v>3090</v>
      </c>
      <c r="AA701" s="60" t="s">
        <v>1830</v>
      </c>
    </row>
    <row r="702" spans="1:27" ht="45" x14ac:dyDescent="0.25">
      <c r="A702" s="52">
        <v>223554</v>
      </c>
      <c r="B702" s="52">
        <f>VLOOKUP($A702,'Выгр Кат'!$A:$R,B$1,0)</f>
        <v>46228</v>
      </c>
      <c r="C702" s="53" t="str">
        <f>VLOOKUP($A702,'Выгр Кат'!$A:$R,C$1,0)</f>
        <v>Усилитель "АвтоВАЗ" задней панели (катафорез) для Лада Нива Travel, Шевроле Нива</v>
      </c>
      <c r="D702" s="52" t="str">
        <f>VLOOKUP($A702,'Выгр Кат'!$A:$R,D$1,0)</f>
        <v>Y</v>
      </c>
      <c r="E702" s="52" t="str">
        <f>VLOOKUP($A702,'Выгр Кат'!$A:$R,E$1,0)</f>
        <v>1</v>
      </c>
      <c r="F702" s="52" t="str">
        <f>VLOOKUP($A702,'Выгр Кат'!$A:$R,F$1,0)</f>
        <v>21230510127670</v>
      </c>
      <c r="G702" s="52" t="str">
        <f>IF(VLOOKUP($A702,'Выгр Кат'!$A:$R,G$1,0)=0,"",VLOOKUP($A702,'Выгр Кат'!$A:$R,G$1,0))</f>
        <v>https://motorring.ru/product/37047-usilitely-zadney-paneli-pola-dlya-shevrole-niva</v>
      </c>
      <c r="H702" s="52"/>
      <c r="I702" s="52"/>
      <c r="J702" s="54">
        <f t="shared" si="186"/>
        <v>2304.66</v>
      </c>
      <c r="K702" s="55">
        <f>VLOOKUP(J702,Наценка!$A$1:$B$8,2,1)</f>
        <v>1.4</v>
      </c>
      <c r="L702" s="56">
        <f t="shared" si="187"/>
        <v>3226.5239999999994</v>
      </c>
      <c r="M702" s="57">
        <f t="shared" si="188"/>
        <v>3290</v>
      </c>
      <c r="N702" s="52">
        <f>VLOOKUP($A702,'Выгр Кат'!$A:$R,N$1,0)</f>
        <v>2304.66</v>
      </c>
      <c r="O702" s="52">
        <f>VLOOKUP($A702,'Выгр Кат'!$A:$R,O$1,0)</f>
        <v>3290</v>
      </c>
      <c r="P702" s="47">
        <f t="shared" si="189"/>
        <v>0</v>
      </c>
      <c r="Q702" s="47">
        <f t="shared" si="190"/>
        <v>0</v>
      </c>
      <c r="R702" s="58">
        <f t="shared" si="191"/>
        <v>3290</v>
      </c>
      <c r="S702" s="59">
        <f t="shared" si="192"/>
        <v>0.42754245745576358</v>
      </c>
      <c r="T702" s="59">
        <f t="shared" si="193"/>
        <v>0</v>
      </c>
      <c r="U702" s="59">
        <f t="shared" si="194"/>
        <v>0.42754245745576358</v>
      </c>
      <c r="V702" s="42">
        <f t="shared" si="195"/>
        <v>3290</v>
      </c>
      <c r="W702" s="69">
        <f>IFERROR((VLOOKUP($A702,'Из ГУГЛа'!$B:$Z,W$1,0)+Y702)*X702,VLOOKUP($A702,'Из ГУГЛа'!$B:$Z,W$1,0))</f>
        <v>3290</v>
      </c>
      <c r="X702" s="61">
        <v>1</v>
      </c>
      <c r="Y702" s="61">
        <v>0</v>
      </c>
      <c r="Z702" s="70">
        <v>3290</v>
      </c>
      <c r="AA702" s="60" t="s">
        <v>1834</v>
      </c>
    </row>
    <row r="703" spans="1:27" ht="45" x14ac:dyDescent="0.25">
      <c r="A703" s="52">
        <v>223555</v>
      </c>
      <c r="B703" s="52">
        <f>VLOOKUP($A703,'Выгр Кат'!$A:$R,B$1,0)</f>
        <v>32704</v>
      </c>
      <c r="C703" s="53" t="str">
        <f>VLOOKUP($A703,'Выгр Кат'!$A:$R,C$1,0)</f>
        <v>Усилитель арки заднего колеса "АвтоВАЗ" правый для Лада Гранта лифтбек</v>
      </c>
      <c r="D703" s="52" t="str">
        <f>VLOOKUP($A703,'Выгр Кат'!$A:$R,D$1,0)</f>
        <v>Y</v>
      </c>
      <c r="E703" s="52" t="str">
        <f>VLOOKUP($A703,'Выгр Кат'!$A:$R,E$1,0)</f>
        <v>1</v>
      </c>
      <c r="F703" s="52" t="str">
        <f>VLOOKUP($A703,'Выгр Кат'!$A:$R,F$1,0)</f>
        <v>21910510124600</v>
      </c>
      <c r="G703" s="52" t="str">
        <f>IF(VLOOKUP($A703,'Выгр Кат'!$A:$R,G$1,0)=0,"",VLOOKUP($A703,'Выгр Кат'!$A:$R,G$1,0))</f>
        <v/>
      </c>
      <c r="H703" s="52"/>
      <c r="I703" s="52"/>
      <c r="J703" s="54">
        <f t="shared" si="186"/>
        <v>149</v>
      </c>
      <c r="K703" s="55">
        <f>VLOOKUP(J703,Наценка!$A$1:$B$8,2,1)</f>
        <v>1.8</v>
      </c>
      <c r="L703" s="56">
        <f t="shared" si="187"/>
        <v>268.2</v>
      </c>
      <c r="M703" s="57">
        <f t="shared" si="188"/>
        <v>269</v>
      </c>
      <c r="N703" s="52">
        <f>VLOOKUP($A703,'Выгр Кат'!$A:$R,N$1,0)</f>
        <v>149</v>
      </c>
      <c r="O703" s="52">
        <f>VLOOKUP($A703,'Выгр Кат'!$A:$R,O$1,0)</f>
        <v>269</v>
      </c>
      <c r="P703" s="47">
        <f t="shared" si="189"/>
        <v>0</v>
      </c>
      <c r="Q703" s="47">
        <f t="shared" si="190"/>
        <v>0</v>
      </c>
      <c r="R703" s="58">
        <f t="shared" si="191"/>
        <v>269</v>
      </c>
      <c r="S703" s="59">
        <f t="shared" si="192"/>
        <v>0.80536912751677847</v>
      </c>
      <c r="T703" s="59" t="str">
        <f t="shared" si="193"/>
        <v/>
      </c>
      <c r="U703" s="59" t="str">
        <f t="shared" si="194"/>
        <v/>
      </c>
      <c r="V703" s="60"/>
      <c r="W703" s="69" t="str">
        <f>IFERROR((VLOOKUP($A703,'Из ГУГЛа'!$B:$Z,W$1,0)+Y703)*X703,VLOOKUP($A703,'Из ГУГЛа'!$B:$Z,W$1,0))</f>
        <v/>
      </c>
      <c r="X703" s="61">
        <v>1</v>
      </c>
      <c r="Y703" s="61">
        <v>0</v>
      </c>
      <c r="Z703" s="60" t="s">
        <v>4170</v>
      </c>
      <c r="AA703" s="60"/>
    </row>
    <row r="704" spans="1:27" x14ac:dyDescent="0.25">
      <c r="A704" s="52">
        <v>223559</v>
      </c>
      <c r="B704" s="52">
        <f>VLOOKUP($A704,'Выгр Кат'!$A:$R,B$1,0)</f>
        <v>27066</v>
      </c>
      <c r="C704" s="53" t="str">
        <f>VLOOKUP($A704,'Выгр Кат'!$A:$R,C$1,0)</f>
        <v>Усилитель бампера для ВАЗ 2108-21099</v>
      </c>
      <c r="D704" s="52" t="str">
        <f>VLOOKUP($A704,'Выгр Кат'!$A:$R,D$1,0)</f>
        <v>Y</v>
      </c>
      <c r="E704" s="52" t="str">
        <f>VLOOKUP($A704,'Выгр Кат'!$A:$R,E$1,0)</f>
        <v>1</v>
      </c>
      <c r="F704" s="52" t="str">
        <f>VLOOKUP($A704,'Выгр Кат'!$A:$R,F$1,0)</f>
        <v>21080280313263</v>
      </c>
      <c r="G704" s="52" t="str">
        <f>IF(VLOOKUP($A704,'Выгр Кат'!$A:$R,G$1,0)=0,"",VLOOKUP($A704,'Выгр Кат'!$A:$R,G$1,0))</f>
        <v/>
      </c>
      <c r="H704" s="52"/>
      <c r="I704" s="52"/>
      <c r="J704" s="54">
        <f t="shared" si="186"/>
        <v>350</v>
      </c>
      <c r="K704" s="55">
        <f>VLOOKUP(J704,Наценка!$A$1:$B$8,2,1)</f>
        <v>1.6</v>
      </c>
      <c r="L704" s="56">
        <f t="shared" si="187"/>
        <v>560</v>
      </c>
      <c r="M704" s="57">
        <f t="shared" si="188"/>
        <v>559</v>
      </c>
      <c r="N704" s="52">
        <f>VLOOKUP($A704,'Выгр Кат'!$A:$R,N$1,0)</f>
        <v>350</v>
      </c>
      <c r="O704" s="52">
        <f>VLOOKUP($A704,'Выгр Кат'!$A:$R,O$1,0)</f>
        <v>559</v>
      </c>
      <c r="P704" s="47">
        <f t="shared" si="189"/>
        <v>0</v>
      </c>
      <c r="Q704" s="47">
        <f t="shared" si="190"/>
        <v>0</v>
      </c>
      <c r="R704" s="58">
        <f t="shared" si="191"/>
        <v>559</v>
      </c>
      <c r="S704" s="59">
        <f t="shared" si="192"/>
        <v>0.5971428571428572</v>
      </c>
      <c r="T704" s="59" t="str">
        <f t="shared" si="193"/>
        <v/>
      </c>
      <c r="U704" s="59" t="str">
        <f t="shared" si="194"/>
        <v/>
      </c>
      <c r="V704" s="60"/>
      <c r="W704" s="69" t="str">
        <f>IFERROR((VLOOKUP($A704,'Из ГУГЛа'!$B:$Z,W$1,0)+Y704)*X704,VLOOKUP($A704,'Из ГУГЛа'!$B:$Z,W$1,0))</f>
        <v/>
      </c>
      <c r="X704" s="61">
        <v>1</v>
      </c>
      <c r="Y704" s="61">
        <v>0</v>
      </c>
      <c r="Z704" s="60" t="s">
        <v>4170</v>
      </c>
      <c r="AA704" s="60"/>
    </row>
    <row r="705" spans="1:27" ht="45" x14ac:dyDescent="0.25">
      <c r="A705" s="52">
        <v>223560</v>
      </c>
      <c r="B705" s="52">
        <f>VLOOKUP($A705,'Выгр Кат'!$A:$R,B$1,0)</f>
        <v>31378</v>
      </c>
      <c r="C705" s="53" t="str">
        <f>VLOOKUP($A705,'Выгр Кат'!$A:$R,C$1,0)</f>
        <v>Усилитель боковины "АвтоВАЗ" верхний левый в сборе для Лада Нива 4x4</v>
      </c>
      <c r="D705" s="52" t="str">
        <f>VLOOKUP($A705,'Выгр Кат'!$A:$R,D$1,0)</f>
        <v>Y</v>
      </c>
      <c r="E705" s="52" t="str">
        <f>VLOOKUP($A705,'Выгр Кат'!$A:$R,E$1,0)</f>
        <v>0</v>
      </c>
      <c r="F705" s="52" t="str">
        <f>VLOOKUP($A705,'Выгр Кат'!$A:$R,F$1,0)</f>
        <v>21210540108110</v>
      </c>
      <c r="G705" s="52" t="str">
        <f>IF(VLOOKUP($A705,'Выгр Кат'!$A:$R,G$1,0)=0,"",VLOOKUP($A705,'Выгр Кат'!$A:$R,G$1,0))</f>
        <v/>
      </c>
      <c r="H705" s="52"/>
      <c r="I705" s="52"/>
      <c r="J705" s="54">
        <f t="shared" si="186"/>
        <v>1208</v>
      </c>
      <c r="K705" s="55">
        <f>VLOOKUP(J705,Наценка!$A$1:$B$8,2,1)</f>
        <v>1.5</v>
      </c>
      <c r="L705" s="56">
        <f t="shared" si="187"/>
        <v>1812</v>
      </c>
      <c r="M705" s="57">
        <f t="shared" si="188"/>
        <v>1890</v>
      </c>
      <c r="N705" s="52">
        <f>VLOOKUP($A705,'Выгр Кат'!$A:$R,N$1,0)</f>
        <v>1208</v>
      </c>
      <c r="O705" s="52">
        <f>VLOOKUP($A705,'Выгр Кат'!$A:$R,O$1,0)</f>
        <v>1890</v>
      </c>
      <c r="P705" s="47">
        <f t="shared" si="189"/>
        <v>0</v>
      </c>
      <c r="Q705" s="47">
        <f t="shared" si="190"/>
        <v>0</v>
      </c>
      <c r="R705" s="58">
        <f t="shared" si="191"/>
        <v>1890</v>
      </c>
      <c r="S705" s="59">
        <f t="shared" si="192"/>
        <v>0.564569536423841</v>
      </c>
      <c r="T705" s="59" t="str">
        <f t="shared" si="193"/>
        <v/>
      </c>
      <c r="U705" s="59" t="str">
        <f t="shared" si="194"/>
        <v/>
      </c>
      <c r="V705" s="60"/>
      <c r="W705" s="69" t="str">
        <f>IFERROR((VLOOKUP($A705,'Из ГУГЛа'!$B:$Z,W$1,0)+Y705)*X705,VLOOKUP($A705,'Из ГУГЛа'!$B:$Z,W$1,0))</f>
        <v/>
      </c>
      <c r="X705" s="61">
        <v>1</v>
      </c>
      <c r="Y705" s="61">
        <v>0</v>
      </c>
      <c r="Z705" s="76" t="s">
        <v>4285</v>
      </c>
      <c r="AA705" s="60"/>
    </row>
    <row r="706" spans="1:27" ht="45" x14ac:dyDescent="0.25">
      <c r="A706" s="52">
        <v>223561</v>
      </c>
      <c r="B706" s="52">
        <f>VLOOKUP($A706,'Выгр Кат'!$A:$R,B$1,0)</f>
        <v>46196</v>
      </c>
      <c r="C706" s="53" t="str">
        <f>VLOOKUP($A706,'Выгр Кат'!$A:$R,C$1,0)</f>
        <v>Усилитель боковины "АвтоВАЗ" верхний левый в сборе для Лада Нива 4x4, Нива 4x4 Урбан</v>
      </c>
      <c r="D706" s="52" t="str">
        <f>VLOOKUP($A706,'Выгр Кат'!$A:$R,D$1,0)</f>
        <v>Y</v>
      </c>
      <c r="E706" s="52" t="str">
        <f>VLOOKUP($A706,'Выгр Кат'!$A:$R,E$1,0)</f>
        <v>1</v>
      </c>
      <c r="F706" s="52" t="str">
        <f>VLOOKUP($A706,'Выгр Кат'!$A:$R,F$1,0)</f>
        <v>8450109174</v>
      </c>
      <c r="G706" s="52" t="str">
        <f>IF(VLOOKUP($A706,'Выгр Кат'!$A:$R,G$1,0)=0,"",VLOOKUP($A706,'Выгр Кат'!$A:$R,G$1,0))</f>
        <v/>
      </c>
      <c r="H706" s="52"/>
      <c r="I706" s="52"/>
      <c r="J706" s="54">
        <f t="shared" si="186"/>
        <v>615</v>
      </c>
      <c r="K706" s="55">
        <f>VLOOKUP(J706,Наценка!$A$1:$B$8,2,1)</f>
        <v>1.55</v>
      </c>
      <c r="L706" s="56">
        <f t="shared" si="187"/>
        <v>953.25</v>
      </c>
      <c r="M706" s="57">
        <f t="shared" si="188"/>
        <v>959</v>
      </c>
      <c r="N706" s="52">
        <f>VLOOKUP($A706,'Выгр Кат'!$A:$R,N$1,0)</f>
        <v>615</v>
      </c>
      <c r="O706" s="52">
        <f>VLOOKUP($A706,'Выгр Кат'!$A:$R,O$1,0)</f>
        <v>959</v>
      </c>
      <c r="P706" s="47">
        <f t="shared" si="189"/>
        <v>0</v>
      </c>
      <c r="Q706" s="47">
        <f t="shared" si="190"/>
        <v>0</v>
      </c>
      <c r="R706" s="58">
        <f t="shared" si="191"/>
        <v>959</v>
      </c>
      <c r="S706" s="59">
        <f t="shared" si="192"/>
        <v>0.55934959349593494</v>
      </c>
      <c r="T706" s="59" t="str">
        <f t="shared" si="193"/>
        <v/>
      </c>
      <c r="U706" s="59" t="str">
        <f t="shared" si="194"/>
        <v/>
      </c>
      <c r="V706" s="60"/>
      <c r="W706" s="69" t="str">
        <f>IFERROR((VLOOKUP($A706,'Из ГУГЛа'!$B:$Z,W$1,0)+Y706)*X706,VLOOKUP($A706,'Из ГУГЛа'!$B:$Z,W$1,0))</f>
        <v/>
      </c>
      <c r="X706" s="61">
        <v>1</v>
      </c>
      <c r="Y706" s="61">
        <v>0</v>
      </c>
      <c r="Z706" s="60" t="s">
        <v>4170</v>
      </c>
      <c r="AA706" s="60"/>
    </row>
    <row r="707" spans="1:27" ht="45" x14ac:dyDescent="0.25">
      <c r="A707" s="52">
        <v>223562</v>
      </c>
      <c r="B707" s="52">
        <f>VLOOKUP($A707,'Выгр Кат'!$A:$R,B$1,0)</f>
        <v>31379</v>
      </c>
      <c r="C707" s="53" t="str">
        <f>VLOOKUP($A707,'Выгр Кат'!$A:$R,C$1,0)</f>
        <v>Усилитель боковины "АвтоВАЗ" верхний правый в сборе для Лада Нива 4x4</v>
      </c>
      <c r="D707" s="52" t="str">
        <f>VLOOKUP($A707,'Выгр Кат'!$A:$R,D$1,0)</f>
        <v>Y</v>
      </c>
      <c r="E707" s="52" t="str">
        <f>VLOOKUP($A707,'Выгр Кат'!$A:$R,E$1,0)</f>
        <v>1</v>
      </c>
      <c r="F707" s="52" t="str">
        <f>VLOOKUP($A707,'Выгр Кат'!$A:$R,F$1,0)</f>
        <v>21210540108010</v>
      </c>
      <c r="G707" s="52" t="str">
        <f>IF(VLOOKUP($A707,'Выгр Кат'!$A:$R,G$1,0)=0,"",VLOOKUP($A707,'Выгр Кат'!$A:$R,G$1,0))</f>
        <v/>
      </c>
      <c r="H707" s="52"/>
      <c r="I707" s="52"/>
      <c r="J707" s="54">
        <f t="shared" si="186"/>
        <v>1215.47</v>
      </c>
      <c r="K707" s="55">
        <f>VLOOKUP(J707,Наценка!$A$1:$B$8,2,1)</f>
        <v>1.5</v>
      </c>
      <c r="L707" s="56">
        <f t="shared" si="187"/>
        <v>1823.2049999999999</v>
      </c>
      <c r="M707" s="57">
        <f t="shared" si="188"/>
        <v>1890</v>
      </c>
      <c r="N707" s="52">
        <f>VLOOKUP($A707,'Выгр Кат'!$A:$R,N$1,0)</f>
        <v>1215.47</v>
      </c>
      <c r="O707" s="52">
        <f>VLOOKUP($A707,'Выгр Кат'!$A:$R,O$1,0)</f>
        <v>18890</v>
      </c>
      <c r="P707" s="47">
        <f t="shared" si="189"/>
        <v>0</v>
      </c>
      <c r="Q707" s="47">
        <f t="shared" si="190"/>
        <v>17000</v>
      </c>
      <c r="R707" s="58">
        <f t="shared" si="191"/>
        <v>1890</v>
      </c>
      <c r="S707" s="59">
        <f t="shared" si="192"/>
        <v>0.55495405069643833</v>
      </c>
      <c r="T707" s="59" t="str">
        <f t="shared" si="193"/>
        <v/>
      </c>
      <c r="U707" s="59" t="str">
        <f t="shared" si="194"/>
        <v/>
      </c>
      <c r="V707" s="60"/>
      <c r="W707" s="69" t="str">
        <f>IFERROR((VLOOKUP($A707,'Из ГУГЛа'!$B:$Z,W$1,0)+Y707)*X707,VLOOKUP($A707,'Из ГУГЛа'!$B:$Z,W$1,0))</f>
        <v/>
      </c>
      <c r="X707" s="61">
        <v>1</v>
      </c>
      <c r="Y707" s="61">
        <v>0</v>
      </c>
      <c r="Z707" s="60" t="s">
        <v>4170</v>
      </c>
      <c r="AA707" s="60"/>
    </row>
    <row r="708" spans="1:27" ht="45" x14ac:dyDescent="0.25">
      <c r="A708" s="52">
        <v>223563</v>
      </c>
      <c r="B708" s="52">
        <f>VLOOKUP($A708,'Выгр Кат'!$A:$R,B$1,0)</f>
        <v>46199</v>
      </c>
      <c r="C708" s="53" t="str">
        <f>VLOOKUP($A708,'Выгр Кат'!$A:$R,C$1,0)</f>
        <v>Усилитель боковины "АвтоВАЗ" верхний правый в сборе для Лада Нива 4x4, Нива 4x4 Урбан</v>
      </c>
      <c r="D708" s="52" t="str">
        <f>VLOOKUP($A708,'Выгр Кат'!$A:$R,D$1,0)</f>
        <v>Y</v>
      </c>
      <c r="E708" s="52" t="str">
        <f>VLOOKUP($A708,'Выгр Кат'!$A:$R,E$1,0)</f>
        <v>1</v>
      </c>
      <c r="F708" s="52" t="str">
        <f>VLOOKUP($A708,'Выгр Кат'!$A:$R,F$1,0)</f>
        <v>8450109219</v>
      </c>
      <c r="G708" s="52" t="str">
        <f>IF(VLOOKUP($A708,'Выгр Кат'!$A:$R,G$1,0)=0,"",VLOOKUP($A708,'Выгр Кат'!$A:$R,G$1,0))</f>
        <v/>
      </c>
      <c r="H708" s="52"/>
      <c r="I708" s="52"/>
      <c r="J708" s="54">
        <f t="shared" si="186"/>
        <v>142.5</v>
      </c>
      <c r="K708" s="55">
        <f>VLOOKUP(J708,Наценка!$A$1:$B$8,2,1)</f>
        <v>1.8</v>
      </c>
      <c r="L708" s="56">
        <f t="shared" si="187"/>
        <v>256.5</v>
      </c>
      <c r="M708" s="57">
        <f t="shared" si="188"/>
        <v>259</v>
      </c>
      <c r="N708" s="52">
        <f>VLOOKUP($A708,'Выгр Кат'!$A:$R,N$1,0)</f>
        <v>142.5</v>
      </c>
      <c r="O708" s="52">
        <f>VLOOKUP($A708,'Выгр Кат'!$A:$R,O$1,0)</f>
        <v>259</v>
      </c>
      <c r="P708" s="47">
        <f t="shared" si="189"/>
        <v>0</v>
      </c>
      <c r="Q708" s="47">
        <f t="shared" si="190"/>
        <v>0</v>
      </c>
      <c r="R708" s="58">
        <f t="shared" si="191"/>
        <v>259</v>
      </c>
      <c r="S708" s="59">
        <f t="shared" si="192"/>
        <v>0.81754385964912291</v>
      </c>
      <c r="T708" s="59" t="str">
        <f t="shared" si="193"/>
        <v/>
      </c>
      <c r="U708" s="59" t="str">
        <f t="shared" si="194"/>
        <v/>
      </c>
      <c r="V708" s="60"/>
      <c r="W708" s="69" t="str">
        <f>IFERROR((VLOOKUP($A708,'Из ГУГЛа'!$B:$Z,W$1,0)+Y708)*X708,VLOOKUP($A708,'Из ГУГЛа'!$B:$Z,W$1,0))</f>
        <v/>
      </c>
      <c r="X708" s="61">
        <v>1</v>
      </c>
      <c r="Y708" s="61">
        <v>0</v>
      </c>
      <c r="Z708" s="60" t="s">
        <v>4170</v>
      </c>
      <c r="AA708" s="60"/>
    </row>
    <row r="709" spans="1:27" ht="45" x14ac:dyDescent="0.25">
      <c r="A709" s="52">
        <v>223564</v>
      </c>
      <c r="B709" s="52">
        <f>VLOOKUP($A709,'Выгр Кат'!$A:$R,B$1,0)</f>
        <v>31266</v>
      </c>
      <c r="C709" s="53" t="str">
        <f>VLOOKUP($A709,'Выгр Кат'!$A:$R,C$1,0)</f>
        <v>Усилитель боковины крепления багажника "АвтоВАЗ" для Шевроле Нива</v>
      </c>
      <c r="D709" s="52" t="str">
        <f>VLOOKUP($A709,'Выгр Кат'!$A:$R,D$1,0)</f>
        <v>Y</v>
      </c>
      <c r="E709" s="52" t="str">
        <f>VLOOKUP($A709,'Выгр Кат'!$A:$R,E$1,0)</f>
        <v>1</v>
      </c>
      <c r="F709" s="52" t="str">
        <f>VLOOKUP($A709,'Выгр Кат'!$A:$R,F$1,0)</f>
        <v>21230540148000</v>
      </c>
      <c r="G709" s="52" t="str">
        <f>IF(VLOOKUP($A709,'Выгр Кат'!$A:$R,G$1,0)=0,"",VLOOKUP($A709,'Выгр Кат'!$A:$R,G$1,0))</f>
        <v/>
      </c>
      <c r="H709" s="52"/>
      <c r="I709" s="52"/>
      <c r="J709" s="54">
        <f t="shared" si="186"/>
        <v>47</v>
      </c>
      <c r="K709" s="55">
        <f>VLOOKUP(J709,Наценка!$A$1:$B$8,2,1)</f>
        <v>2</v>
      </c>
      <c r="L709" s="56">
        <f t="shared" si="187"/>
        <v>94</v>
      </c>
      <c r="M709" s="57">
        <f t="shared" si="188"/>
        <v>99</v>
      </c>
      <c r="N709" s="52">
        <f>VLOOKUP($A709,'Выгр Кат'!$A:$R,N$1,0)</f>
        <v>47</v>
      </c>
      <c r="O709" s="52">
        <f>VLOOKUP($A709,'Выгр Кат'!$A:$R,O$1,0)</f>
        <v>99</v>
      </c>
      <c r="P709" s="47">
        <f t="shared" si="189"/>
        <v>0</v>
      </c>
      <c r="Q709" s="47">
        <f t="shared" si="190"/>
        <v>0</v>
      </c>
      <c r="R709" s="58">
        <f t="shared" si="191"/>
        <v>99</v>
      </c>
      <c r="S709" s="59">
        <f t="shared" si="192"/>
        <v>1.1063829787234041</v>
      </c>
      <c r="T709" s="59" t="str">
        <f t="shared" si="193"/>
        <v/>
      </c>
      <c r="U709" s="59" t="str">
        <f t="shared" si="194"/>
        <v/>
      </c>
      <c r="V709" s="60"/>
      <c r="W709" s="69" t="str">
        <f>IFERROR((VLOOKUP($A709,'Из ГУГЛа'!$B:$Z,W$1,0)+Y709)*X709,VLOOKUP($A709,'Из ГУГЛа'!$B:$Z,W$1,0))</f>
        <v/>
      </c>
      <c r="X709" s="61">
        <v>1</v>
      </c>
      <c r="Y709" s="61">
        <v>0</v>
      </c>
      <c r="Z709" s="60" t="s">
        <v>4170</v>
      </c>
      <c r="AA709" s="60"/>
    </row>
    <row r="710" spans="1:27" ht="30" x14ac:dyDescent="0.25">
      <c r="A710" s="52">
        <v>223565</v>
      </c>
      <c r="B710" s="52">
        <f>VLOOKUP($A710,'Выгр Кат'!$A:$R,B$1,0)</f>
        <v>31105</v>
      </c>
      <c r="C710" s="53" t="str">
        <f>VLOOKUP($A710,'Выгр Кат'!$A:$R,C$1,0)</f>
        <v>Усилитель брызговика "Renault" левый верхний для Лада XRAY</v>
      </c>
      <c r="D710" s="52" t="str">
        <f>VLOOKUP($A710,'Выгр Кат'!$A:$R,D$1,0)</f>
        <v>Y</v>
      </c>
      <c r="E710" s="52" t="str">
        <f>VLOOKUP($A710,'Выгр Кат'!$A:$R,E$1,0)</f>
        <v>1</v>
      </c>
      <c r="F710" s="52" t="str">
        <f>VLOOKUP($A710,'Выгр Кат'!$A:$R,F$1,0)</f>
        <v>641976606R</v>
      </c>
      <c r="G710" s="52" t="str">
        <f>IF(VLOOKUP($A710,'Выгр Кат'!$A:$R,G$1,0)=0,"",VLOOKUP($A710,'Выгр Кат'!$A:$R,G$1,0))</f>
        <v/>
      </c>
      <c r="H710" s="52"/>
      <c r="I710" s="52"/>
      <c r="J710" s="54">
        <f t="shared" si="186"/>
        <v>8546.23</v>
      </c>
      <c r="K710" s="55">
        <f>VLOOKUP(J710,Наценка!$A$1:$B$8,2,1)</f>
        <v>1.35</v>
      </c>
      <c r="L710" s="56">
        <f t="shared" si="187"/>
        <v>11537.4105</v>
      </c>
      <c r="M710" s="57">
        <f t="shared" si="188"/>
        <v>11590</v>
      </c>
      <c r="N710" s="52">
        <f>VLOOKUP($A710,'Выгр Кат'!$A:$R,N$1,0)</f>
        <v>8546.23</v>
      </c>
      <c r="O710" s="52">
        <f>VLOOKUP($A710,'Выгр Кат'!$A:$R,O$1,0)</f>
        <v>11590</v>
      </c>
      <c r="P710" s="47">
        <f t="shared" si="189"/>
        <v>0</v>
      </c>
      <c r="Q710" s="47">
        <f t="shared" si="190"/>
        <v>0</v>
      </c>
      <c r="R710" s="58">
        <f t="shared" si="191"/>
        <v>11590</v>
      </c>
      <c r="S710" s="59">
        <f t="shared" si="192"/>
        <v>0.35615353202523226</v>
      </c>
      <c r="T710" s="59" t="str">
        <f t="shared" si="193"/>
        <v/>
      </c>
      <c r="U710" s="59" t="str">
        <f t="shared" si="194"/>
        <v/>
      </c>
      <c r="V710" s="60"/>
      <c r="W710" s="69" t="str">
        <f>IFERROR((VLOOKUP($A710,'Из ГУГЛа'!$B:$Z,W$1,0)+Y710)*X710,VLOOKUP($A710,'Из ГУГЛа'!$B:$Z,W$1,0))</f>
        <v/>
      </c>
      <c r="X710" s="61">
        <v>1</v>
      </c>
      <c r="Y710" s="61">
        <v>0</v>
      </c>
      <c r="Z710" s="62" t="s">
        <v>4170</v>
      </c>
      <c r="AA710" s="60"/>
    </row>
    <row r="711" spans="1:27" ht="45" x14ac:dyDescent="0.25">
      <c r="A711" s="52">
        <v>223566</v>
      </c>
      <c r="B711" s="52">
        <f>VLOOKUP($A711,'Выгр Кат'!$A:$R,B$1,0)</f>
        <v>50569</v>
      </c>
      <c r="C711" s="53" t="str">
        <f>VLOOKUP($A711,'Выгр Кат'!$A:$R,C$1,0)</f>
        <v>Усилитель брызговика "АвтоВАЗ" верхний левый в сборе (катафорез) для Лада Веста</v>
      </c>
      <c r="D711" s="52" t="str">
        <f>VLOOKUP($A711,'Выгр Кат'!$A:$R,D$1,0)</f>
        <v>Y</v>
      </c>
      <c r="E711" s="52" t="str">
        <f>VLOOKUP($A711,'Выгр Кат'!$A:$R,E$1,0)</f>
        <v>1</v>
      </c>
      <c r="F711" s="52" t="str">
        <f>VLOOKUP($A711,'Выгр Кат'!$A:$R,F$1,0)</f>
        <v>8450039217</v>
      </c>
      <c r="G711" s="52" t="str">
        <f>IF(VLOOKUP($A711,'Выгр Кат'!$A:$R,G$1,0)=0,"",VLOOKUP($A711,'Выгр Кат'!$A:$R,G$1,0))</f>
        <v>https://motorring.ru/product/36845-verhniy-levyy-usilitely-bryzgovika-dlya-lada-vesta</v>
      </c>
      <c r="H711" s="52"/>
      <c r="I711" s="52"/>
      <c r="J711" s="54">
        <f t="shared" si="186"/>
        <v>3139</v>
      </c>
      <c r="K711" s="55">
        <f>VLOOKUP(J711,Наценка!$A$1:$B$8,2,1)</f>
        <v>1.4</v>
      </c>
      <c r="L711" s="56">
        <f t="shared" si="187"/>
        <v>4394.5999999999995</v>
      </c>
      <c r="M711" s="57">
        <f t="shared" si="188"/>
        <v>4390</v>
      </c>
      <c r="N711" s="52">
        <f>VLOOKUP($A711,'Выгр Кат'!$A:$R,N$1,0)</f>
        <v>3139</v>
      </c>
      <c r="O711" s="52">
        <f>VLOOKUP($A711,'Выгр Кат'!$A:$R,O$1,0)</f>
        <v>4390</v>
      </c>
      <c r="P711" s="47">
        <f t="shared" si="189"/>
        <v>0</v>
      </c>
      <c r="Q711" s="47">
        <f t="shared" si="190"/>
        <v>0</v>
      </c>
      <c r="R711" s="58">
        <f t="shared" si="191"/>
        <v>4390</v>
      </c>
      <c r="S711" s="59">
        <f t="shared" si="192"/>
        <v>0.39853456514813645</v>
      </c>
      <c r="T711" s="59">
        <f t="shared" si="193"/>
        <v>-1.4525139664804469</v>
      </c>
      <c r="U711" s="59">
        <f t="shared" si="194"/>
        <v>-0.42975469894870977</v>
      </c>
      <c r="V711" s="42">
        <f t="shared" ref="V711:V713" si="196">Z711</f>
        <v>1790</v>
      </c>
      <c r="W711" s="69">
        <f>IFERROR((VLOOKUP($A711,'Из ГУГЛа'!$B:$Z,W$1,0)+Y711)*X711,VLOOKUP($A711,'Из ГУГЛа'!$B:$Z,W$1,0))</f>
        <v>1790</v>
      </c>
      <c r="X711" s="61">
        <v>1</v>
      </c>
      <c r="Y711" s="61">
        <v>0</v>
      </c>
      <c r="Z711" s="70">
        <v>1790</v>
      </c>
      <c r="AA711" s="60" t="s">
        <v>1856</v>
      </c>
    </row>
    <row r="712" spans="1:27" ht="45" x14ac:dyDescent="0.25">
      <c r="A712" s="52">
        <v>223567</v>
      </c>
      <c r="B712" s="52">
        <f>VLOOKUP($A712,'Выгр Кат'!$A:$R,B$1,0)</f>
        <v>48634</v>
      </c>
      <c r="C712" s="53" t="str">
        <f>VLOOKUP($A712,'Выгр Кат'!$A:$R,C$1,0)</f>
        <v>Усилитель брызговика "АвтоВАЗ" верхний левый в сборе (катафорез) для Лада Гранта FL</v>
      </c>
      <c r="D712" s="52" t="str">
        <f>VLOOKUP($A712,'Выгр Кат'!$A:$R,D$1,0)</f>
        <v>Y</v>
      </c>
      <c r="E712" s="52" t="str">
        <f>VLOOKUP($A712,'Выгр Кат'!$A:$R,E$1,0)</f>
        <v>1ск1</v>
      </c>
      <c r="F712" s="52" t="str">
        <f>VLOOKUP($A712,'Выгр Кат'!$A:$R,F$1,0)</f>
        <v>8450104961</v>
      </c>
      <c r="G712" s="52" t="str">
        <f>IF(VLOOKUP($A712,'Выгр Кат'!$A:$R,G$1,0)=0,"",VLOOKUP($A712,'Выгр Кат'!$A:$R,G$1,0))</f>
        <v>https://motorring.ru/product/36965-usilitely-bryzgovika-levyy-verhniy-kataforez-granta-fl</v>
      </c>
      <c r="H712" s="52"/>
      <c r="I712" s="52"/>
      <c r="J712" s="54">
        <f t="shared" si="186"/>
        <v>633</v>
      </c>
      <c r="K712" s="55">
        <f>VLOOKUP(J712,Наценка!$A$1:$B$8,2,1)</f>
        <v>1.55</v>
      </c>
      <c r="L712" s="56">
        <f t="shared" si="187"/>
        <v>981.15</v>
      </c>
      <c r="M712" s="57">
        <f t="shared" si="188"/>
        <v>989</v>
      </c>
      <c r="N712" s="52">
        <f>VLOOKUP($A712,'Выгр Кат'!$A:$R,N$1,0)</f>
        <v>633</v>
      </c>
      <c r="O712" s="52">
        <f>VLOOKUP($A712,'Выгр Кат'!$A:$R,O$1,0)</f>
        <v>989</v>
      </c>
      <c r="P712" s="47">
        <f t="shared" si="189"/>
        <v>0</v>
      </c>
      <c r="Q712" s="47">
        <f t="shared" si="190"/>
        <v>0</v>
      </c>
      <c r="R712" s="58">
        <f t="shared" si="191"/>
        <v>989</v>
      </c>
      <c r="S712" s="59">
        <f t="shared" si="192"/>
        <v>0.56240126382306488</v>
      </c>
      <c r="T712" s="59">
        <f t="shared" si="193"/>
        <v>9.2660550458715601E-2</v>
      </c>
      <c r="U712" s="59">
        <f t="shared" si="194"/>
        <v>0.72195892575039489</v>
      </c>
      <c r="V712" s="42">
        <f t="shared" si="196"/>
        <v>1090</v>
      </c>
      <c r="W712" s="69">
        <f>IFERROR((VLOOKUP($A712,'Из ГУГЛа'!$B:$Z,W$1,0)+Y712)*X712,VLOOKUP($A712,'Из ГУГЛа'!$B:$Z,W$1,0))</f>
        <v>1090</v>
      </c>
      <c r="X712" s="61">
        <v>1</v>
      </c>
      <c r="Y712" s="61">
        <v>0</v>
      </c>
      <c r="Z712" s="70">
        <v>1090</v>
      </c>
      <c r="AA712" s="60" t="s">
        <v>1860</v>
      </c>
    </row>
    <row r="713" spans="1:27" ht="45" x14ac:dyDescent="0.25">
      <c r="A713" s="52">
        <v>223568</v>
      </c>
      <c r="B713" s="52">
        <f>VLOOKUP($A713,'Выгр Кат'!$A:$R,B$1,0)</f>
        <v>48630</v>
      </c>
      <c r="C713" s="53" t="str">
        <f>VLOOKUP($A713,'Выгр Кат'!$A:$R,C$1,0)</f>
        <v>Усилитель брызговика "АвтоВАЗ" верхний правый в сборе (катафорез) для Лада Гранта FL</v>
      </c>
      <c r="D713" s="52" t="str">
        <f>VLOOKUP($A713,'Выгр Кат'!$A:$R,D$1,0)</f>
        <v>Y</v>
      </c>
      <c r="E713" s="52" t="str">
        <f>VLOOKUP($A713,'Выгр Кат'!$A:$R,E$1,0)</f>
        <v>1</v>
      </c>
      <c r="F713" s="52" t="str">
        <f>VLOOKUP($A713,'Выгр Кат'!$A:$R,F$1,0)</f>
        <v>8450104960</v>
      </c>
      <c r="G713" s="52" t="str">
        <f>IF(VLOOKUP($A713,'Выгр Кат'!$A:$R,G$1,0)=0,"",VLOOKUP($A713,'Выгр Кат'!$A:$R,G$1,0))</f>
        <v>https://motorring.ru/product/17592-usilitely-bryzgovika-pravyy-verhniy-kataforez-granta-fl</v>
      </c>
      <c r="H713" s="52"/>
      <c r="I713" s="52"/>
      <c r="J713" s="54">
        <f t="shared" si="186"/>
        <v>639</v>
      </c>
      <c r="K713" s="55">
        <f>VLOOKUP(J713,Наценка!$A$1:$B$8,2,1)</f>
        <v>1.55</v>
      </c>
      <c r="L713" s="56">
        <f t="shared" si="187"/>
        <v>990.45</v>
      </c>
      <c r="M713" s="57">
        <f t="shared" si="188"/>
        <v>999</v>
      </c>
      <c r="N713" s="52">
        <f>VLOOKUP($A713,'Выгр Кат'!$A:$R,N$1,0)</f>
        <v>639</v>
      </c>
      <c r="O713" s="52">
        <f>VLOOKUP($A713,'Выгр Кат'!$A:$R,O$1,0)</f>
        <v>999</v>
      </c>
      <c r="P713" s="47">
        <f t="shared" si="189"/>
        <v>0</v>
      </c>
      <c r="Q713" s="47">
        <f t="shared" si="190"/>
        <v>0</v>
      </c>
      <c r="R713" s="58">
        <f t="shared" si="191"/>
        <v>999</v>
      </c>
      <c r="S713" s="59">
        <f t="shared" si="192"/>
        <v>0.56338028169014076</v>
      </c>
      <c r="T713" s="59">
        <f t="shared" si="193"/>
        <v>0.16050420168067228</v>
      </c>
      <c r="U713" s="59">
        <f t="shared" si="194"/>
        <v>0.86228482003129892</v>
      </c>
      <c r="V713" s="42">
        <f t="shared" si="196"/>
        <v>1190</v>
      </c>
      <c r="W713" s="69">
        <f>IFERROR((VLOOKUP($A713,'Из ГУГЛа'!$B:$Z,W$1,0)+Y713)*X713,VLOOKUP($A713,'Из ГУГЛа'!$B:$Z,W$1,0))</f>
        <v>1190</v>
      </c>
      <c r="X713" s="61">
        <v>1</v>
      </c>
      <c r="Y713" s="61">
        <v>0</v>
      </c>
      <c r="Z713" s="70">
        <v>1190</v>
      </c>
      <c r="AA713" s="60" t="s">
        <v>1864</v>
      </c>
    </row>
    <row r="714" spans="1:27" ht="30" x14ac:dyDescent="0.25">
      <c r="A714" s="52">
        <v>223569</v>
      </c>
      <c r="B714" s="52">
        <f>VLOOKUP($A714,'Выгр Кат'!$A:$R,B$1,0)</f>
        <v>31106</v>
      </c>
      <c r="C714" s="53" t="str">
        <f>VLOOKUP($A714,'Выгр Кат'!$A:$R,C$1,0)</f>
        <v>Усилитель брызговика "АвтоВАЗ" передний правый для Лада XRAY</v>
      </c>
      <c r="D714" s="52" t="str">
        <f>VLOOKUP($A714,'Выгр Кат'!$A:$R,D$1,0)</f>
        <v>Y</v>
      </c>
      <c r="E714" s="52" t="str">
        <f>VLOOKUP($A714,'Выгр Кат'!$A:$R,E$1,0)</f>
        <v>1</v>
      </c>
      <c r="F714" s="52" t="str">
        <f>VLOOKUP($A714,'Выгр Кат'!$A:$R,F$1,0)</f>
        <v>641963214R</v>
      </c>
      <c r="G714" s="52" t="str">
        <f>IF(VLOOKUP($A714,'Выгр Кат'!$A:$R,G$1,0)=0,"",VLOOKUP($A714,'Выгр Кат'!$A:$R,G$1,0))</f>
        <v/>
      </c>
      <c r="H714" s="52"/>
      <c r="I714" s="52"/>
      <c r="J714" s="54">
        <f t="shared" si="186"/>
        <v>2130</v>
      </c>
      <c r="K714" s="55">
        <f>VLOOKUP(J714,Наценка!$A$1:$B$8,2,1)</f>
        <v>1.4</v>
      </c>
      <c r="L714" s="56">
        <f t="shared" si="187"/>
        <v>2982</v>
      </c>
      <c r="M714" s="57">
        <f t="shared" si="188"/>
        <v>2990</v>
      </c>
      <c r="N714" s="52">
        <f>VLOOKUP($A714,'Выгр Кат'!$A:$R,N$1,0)</f>
        <v>2130</v>
      </c>
      <c r="O714" s="52">
        <f>VLOOKUP($A714,'Выгр Кат'!$A:$R,O$1,0)</f>
        <v>2990</v>
      </c>
      <c r="P714" s="47">
        <f t="shared" si="189"/>
        <v>0</v>
      </c>
      <c r="Q714" s="47">
        <f t="shared" si="190"/>
        <v>0</v>
      </c>
      <c r="R714" s="58">
        <f t="shared" si="191"/>
        <v>2990</v>
      </c>
      <c r="S714" s="59">
        <f t="shared" si="192"/>
        <v>0.40375586854460099</v>
      </c>
      <c r="T714" s="59" t="str">
        <f t="shared" si="193"/>
        <v/>
      </c>
      <c r="U714" s="59" t="str">
        <f t="shared" si="194"/>
        <v/>
      </c>
      <c r="V714" s="60"/>
      <c r="W714" s="69" t="str">
        <f>IFERROR((VLOOKUP($A714,'Из ГУГЛа'!$B:$Z,W$1,0)+Y714)*X714,VLOOKUP($A714,'Из ГУГЛа'!$B:$Z,W$1,0))</f>
        <v/>
      </c>
      <c r="X714" s="61">
        <v>1</v>
      </c>
      <c r="Y714" s="61">
        <v>0</v>
      </c>
      <c r="Z714" s="62" t="s">
        <v>4170</v>
      </c>
      <c r="AA714" s="60"/>
    </row>
    <row r="715" spans="1:27" ht="60" x14ac:dyDescent="0.25">
      <c r="A715" s="52">
        <v>223570</v>
      </c>
      <c r="B715" s="52">
        <f>VLOOKUP($A715,'Выгр Кат'!$A:$R,B$1,0)</f>
        <v>23548</v>
      </c>
      <c r="C715" s="53" t="str">
        <f>VLOOKUP($A715,'Выгр Кат'!$A:$R,C$1,0)</f>
        <v>Усилитель брызговика (стрела) "АвтоВАЗ" (верхний, левый, старого образца) для ВАЗ 2110-2112, Лада Приора</v>
      </c>
      <c r="D715" s="52" t="str">
        <f>VLOOKUP($A715,'Выгр Кат'!$A:$R,D$1,0)</f>
        <v>Y</v>
      </c>
      <c r="E715" s="52" t="str">
        <f>VLOOKUP($A715,'Выгр Кат'!$A:$R,E$1,0)</f>
        <v>1</v>
      </c>
      <c r="F715" s="52" t="str">
        <f>VLOOKUP($A715,'Выгр Кат'!$A:$R,F$1,0)</f>
        <v>21100840339382</v>
      </c>
      <c r="G715" s="52" t="str">
        <f>IF(VLOOKUP($A715,'Выгр Кат'!$A:$R,G$1,0)=0,"",VLOOKUP($A715,'Выгр Кат'!$A:$R,G$1,0))</f>
        <v>https://motorring.ru/product/16904-usilitely-bryzgovika-verhniy-levyy-strela-starogo-obrazca</v>
      </c>
      <c r="H715" s="52"/>
      <c r="I715" s="52"/>
      <c r="J715" s="54">
        <f t="shared" si="186"/>
        <v>550</v>
      </c>
      <c r="K715" s="55">
        <f>VLOOKUP(J715,Наценка!$A$1:$B$8,2,1)</f>
        <v>1.55</v>
      </c>
      <c r="L715" s="56">
        <f t="shared" si="187"/>
        <v>852.5</v>
      </c>
      <c r="M715" s="57">
        <f t="shared" si="188"/>
        <v>859</v>
      </c>
      <c r="N715" s="52">
        <f>VLOOKUP($A715,'Выгр Кат'!$A:$R,N$1,0)</f>
        <v>550</v>
      </c>
      <c r="O715" s="52">
        <f>VLOOKUP($A715,'Выгр Кат'!$A:$R,O$1,0)</f>
        <v>859</v>
      </c>
      <c r="P715" s="47">
        <f t="shared" si="189"/>
        <v>0</v>
      </c>
      <c r="Q715" s="47">
        <f t="shared" si="190"/>
        <v>0</v>
      </c>
      <c r="R715" s="58">
        <f t="shared" si="191"/>
        <v>859</v>
      </c>
      <c r="S715" s="59">
        <f t="shared" si="192"/>
        <v>0.56181818181818177</v>
      </c>
      <c r="T715" s="59">
        <f t="shared" si="193"/>
        <v>3.4831460674157301E-2</v>
      </c>
      <c r="U715" s="59">
        <f t="shared" si="194"/>
        <v>0.61818181818181817</v>
      </c>
      <c r="V715" s="42">
        <f t="shared" ref="V715:V719" si="197">Z715</f>
        <v>890</v>
      </c>
      <c r="W715" s="69">
        <f>IFERROR((VLOOKUP($A715,'Из ГУГЛа'!$B:$Z,W$1,0)+Y715)*X715,VLOOKUP($A715,'Из ГУГЛа'!$B:$Z,W$1,0))</f>
        <v>890</v>
      </c>
      <c r="X715" s="61">
        <v>1</v>
      </c>
      <c r="Y715" s="61">
        <v>0</v>
      </c>
      <c r="Z715" s="70">
        <v>890</v>
      </c>
      <c r="AA715" s="60" t="s">
        <v>1869</v>
      </c>
    </row>
    <row r="716" spans="1:27" ht="60" x14ac:dyDescent="0.25">
      <c r="A716" s="52">
        <v>223571</v>
      </c>
      <c r="B716" s="52">
        <f>VLOOKUP($A716,'Выгр Кат'!$A:$R,B$1,0)</f>
        <v>23547</v>
      </c>
      <c r="C716" s="53" t="str">
        <f>VLOOKUP($A716,'Выгр Кат'!$A:$R,C$1,0)</f>
        <v>Усилитель брызговика (стрела) "АвтоВАЗ" (верхний, правый, старого образца) для ВАЗ 2110-2112, Лада Приора</v>
      </c>
      <c r="D716" s="52" t="str">
        <f>VLOOKUP($A716,'Выгр Кат'!$A:$R,D$1,0)</f>
        <v>Y</v>
      </c>
      <c r="E716" s="52" t="str">
        <f>VLOOKUP($A716,'Выгр Кат'!$A:$R,E$1,0)</f>
        <v>1ск1</v>
      </c>
      <c r="F716" s="52" t="str">
        <f>VLOOKUP($A716,'Выгр Кат'!$A:$R,F$1,0)</f>
        <v>21100840339282</v>
      </c>
      <c r="G716" s="52" t="str">
        <f>IF(VLOOKUP($A716,'Выгр Кат'!$A:$R,G$1,0)=0,"",VLOOKUP($A716,'Выгр Кат'!$A:$R,G$1,0))</f>
        <v>https://motorring.ru/product/16903-usilitely-bryzgovika-verhniy-pravyy-strela-starogo-obrazca</v>
      </c>
      <c r="H716" s="52"/>
      <c r="I716" s="52"/>
      <c r="J716" s="54">
        <f t="shared" si="186"/>
        <v>550</v>
      </c>
      <c r="K716" s="55">
        <f>VLOOKUP(J716,Наценка!$A$1:$B$8,2,1)</f>
        <v>1.55</v>
      </c>
      <c r="L716" s="56">
        <f t="shared" si="187"/>
        <v>852.5</v>
      </c>
      <c r="M716" s="57">
        <f t="shared" si="188"/>
        <v>859</v>
      </c>
      <c r="N716" s="52">
        <f>VLOOKUP($A716,'Выгр Кат'!$A:$R,N$1,0)</f>
        <v>550</v>
      </c>
      <c r="O716" s="52">
        <f>VLOOKUP($A716,'Выгр Кат'!$A:$R,O$1,0)</f>
        <v>859</v>
      </c>
      <c r="P716" s="47">
        <f t="shared" si="189"/>
        <v>0</v>
      </c>
      <c r="Q716" s="47">
        <f t="shared" si="190"/>
        <v>0</v>
      </c>
      <c r="R716" s="58">
        <f t="shared" si="191"/>
        <v>859</v>
      </c>
      <c r="S716" s="59">
        <f t="shared" si="192"/>
        <v>0.56181818181818177</v>
      </c>
      <c r="T716" s="59">
        <f t="shared" si="193"/>
        <v>3.4831460674157301E-2</v>
      </c>
      <c r="U716" s="59">
        <f t="shared" si="194"/>
        <v>0.61818181818181817</v>
      </c>
      <c r="V716" s="42">
        <f t="shared" si="197"/>
        <v>890</v>
      </c>
      <c r="W716" s="69">
        <f>IFERROR((VLOOKUP($A716,'Из ГУГЛа'!$B:$Z,W$1,0)+Y716)*X716,VLOOKUP($A716,'Из ГУГЛа'!$B:$Z,W$1,0))</f>
        <v>890</v>
      </c>
      <c r="X716" s="61">
        <v>1</v>
      </c>
      <c r="Y716" s="61">
        <v>0</v>
      </c>
      <c r="Z716" s="70">
        <v>890</v>
      </c>
      <c r="AA716" s="60" t="s">
        <v>1872</v>
      </c>
    </row>
    <row r="717" spans="1:27" ht="45" x14ac:dyDescent="0.25">
      <c r="A717" s="52">
        <v>223572</v>
      </c>
      <c r="B717" s="52">
        <f>VLOOKUP($A717,'Выгр Кат'!$A:$R,B$1,0)</f>
        <v>31244</v>
      </c>
      <c r="C717" s="53" t="str">
        <f>VLOOKUP($A717,'Выгр Кат'!$A:$R,C$1,0)</f>
        <v>Усилитель брызговика верхний (катафорез) "АвтоВАЗ" левый для Шевроле Нива</v>
      </c>
      <c r="D717" s="52" t="str">
        <f>VLOOKUP($A717,'Выгр Кат'!$A:$R,D$1,0)</f>
        <v>Y</v>
      </c>
      <c r="E717" s="52" t="str">
        <f>VLOOKUP($A717,'Выгр Кат'!$A:$R,E$1,0)</f>
        <v>1</v>
      </c>
      <c r="F717" s="52" t="str">
        <f>VLOOKUP($A717,'Выгр Кат'!$A:$R,F$1,0)</f>
        <v>21230840339370</v>
      </c>
      <c r="G717" s="52" t="str">
        <f>IF(VLOOKUP($A717,'Выгр Кат'!$A:$R,G$1,0)=0,"",VLOOKUP($A717,'Выгр Кат'!$A:$R,G$1,0))</f>
        <v>https://motorring.ru/product/38193-usilitely-bryzgovika-strela-levyy-dlya-shevrole-niva</v>
      </c>
      <c r="H717" s="52"/>
      <c r="I717" s="52"/>
      <c r="J717" s="54">
        <f t="shared" si="186"/>
        <v>821</v>
      </c>
      <c r="K717" s="55">
        <f>VLOOKUP(J717,Наценка!$A$1:$B$8,2,1)</f>
        <v>1.55</v>
      </c>
      <c r="L717" s="56">
        <f t="shared" si="187"/>
        <v>1272.55</v>
      </c>
      <c r="M717" s="57">
        <f t="shared" si="188"/>
        <v>1290</v>
      </c>
      <c r="N717" s="52">
        <f>VLOOKUP($A717,'Выгр Кат'!$A:$R,N$1,0)</f>
        <v>821</v>
      </c>
      <c r="O717" s="52">
        <f>VLOOKUP($A717,'Выгр Кат'!$A:$R,O$1,0)</f>
        <v>1290</v>
      </c>
      <c r="P717" s="47">
        <f t="shared" si="189"/>
        <v>0</v>
      </c>
      <c r="Q717" s="47">
        <f t="shared" si="190"/>
        <v>0</v>
      </c>
      <c r="R717" s="58">
        <f t="shared" si="191"/>
        <v>1290</v>
      </c>
      <c r="S717" s="59">
        <f t="shared" si="192"/>
        <v>0.57125456760048721</v>
      </c>
      <c r="T717" s="59">
        <f t="shared" si="193"/>
        <v>7.1942446043165464E-2</v>
      </c>
      <c r="U717" s="59">
        <f t="shared" si="194"/>
        <v>0.69305724725943962</v>
      </c>
      <c r="V717" s="42">
        <f t="shared" si="197"/>
        <v>1390</v>
      </c>
      <c r="W717" s="69">
        <f>IFERROR((VLOOKUP($A717,'Из ГУГЛа'!$B:$Z,W$1,0)+Y717)*X717,VLOOKUP($A717,'Из ГУГЛа'!$B:$Z,W$1,0))</f>
        <v>1390</v>
      </c>
      <c r="X717" s="61">
        <v>1</v>
      </c>
      <c r="Y717" s="61">
        <v>0</v>
      </c>
      <c r="Z717" s="70">
        <v>1390</v>
      </c>
      <c r="AA717" s="60" t="s">
        <v>1875</v>
      </c>
    </row>
    <row r="718" spans="1:27" ht="45" x14ac:dyDescent="0.25">
      <c r="A718" s="52">
        <v>223573</v>
      </c>
      <c r="B718" s="52">
        <f>VLOOKUP($A718,'Выгр Кат'!$A:$R,B$1,0)</f>
        <v>31245</v>
      </c>
      <c r="C718" s="53" t="str">
        <f>VLOOKUP($A718,'Выгр Кат'!$A:$R,C$1,0)</f>
        <v>Усилитель брызговика верхний (катафорез) "АвтоВАЗ" правый для Шевроле Нива</v>
      </c>
      <c r="D718" s="52" t="str">
        <f>VLOOKUP($A718,'Выгр Кат'!$A:$R,D$1,0)</f>
        <v>Y</v>
      </c>
      <c r="E718" s="52" t="str">
        <f>VLOOKUP($A718,'Выгр Кат'!$A:$R,E$1,0)</f>
        <v>1</v>
      </c>
      <c r="F718" s="52" t="str">
        <f>VLOOKUP($A718,'Выгр Кат'!$A:$R,F$1,0)</f>
        <v>21230840339270</v>
      </c>
      <c r="G718" s="52" t="str">
        <f>IF(VLOOKUP($A718,'Выгр Кат'!$A:$R,G$1,0)=0,"",VLOOKUP($A718,'Выгр Кат'!$A:$R,G$1,0))</f>
        <v>https://motorring.ru/product/38177-usilitely-bryzgovika-strela-pravyy-dlya-shevrole-niva</v>
      </c>
      <c r="H718" s="52"/>
      <c r="I718" s="52"/>
      <c r="J718" s="54">
        <f t="shared" si="186"/>
        <v>714.37</v>
      </c>
      <c r="K718" s="55">
        <f>VLOOKUP(J718,Наценка!$A$1:$B$8,2,1)</f>
        <v>1.55</v>
      </c>
      <c r="L718" s="56">
        <f t="shared" si="187"/>
        <v>1107.2735</v>
      </c>
      <c r="M718" s="57">
        <f t="shared" si="188"/>
        <v>1190</v>
      </c>
      <c r="N718" s="52">
        <f>VLOOKUP($A718,'Выгр Кат'!$A:$R,N$1,0)</f>
        <v>714.37</v>
      </c>
      <c r="O718" s="52">
        <f>VLOOKUP($A718,'Выгр Кат'!$A:$R,O$1,0)</f>
        <v>1190</v>
      </c>
      <c r="P718" s="47">
        <f t="shared" si="189"/>
        <v>0</v>
      </c>
      <c r="Q718" s="47">
        <f t="shared" si="190"/>
        <v>0</v>
      </c>
      <c r="R718" s="58">
        <f t="shared" si="191"/>
        <v>1190</v>
      </c>
      <c r="S718" s="59">
        <f t="shared" si="192"/>
        <v>0.66580343519464713</v>
      </c>
      <c r="T718" s="59">
        <f t="shared" si="193"/>
        <v>7.7519379844961239E-2</v>
      </c>
      <c r="U718" s="59">
        <f t="shared" si="194"/>
        <v>0.80578691714377704</v>
      </c>
      <c r="V718" s="42">
        <f t="shared" si="197"/>
        <v>1290</v>
      </c>
      <c r="W718" s="69">
        <f>IFERROR((VLOOKUP($A718,'Из ГУГЛа'!$B:$Z,W$1,0)+Y718)*X718,VLOOKUP($A718,'Из ГУГЛа'!$B:$Z,W$1,0))</f>
        <v>1290</v>
      </c>
      <c r="X718" s="61">
        <v>1</v>
      </c>
      <c r="Y718" s="61">
        <v>0</v>
      </c>
      <c r="Z718" s="70">
        <v>1290</v>
      </c>
      <c r="AA718" s="60" t="s">
        <v>1878</v>
      </c>
    </row>
    <row r="719" spans="1:27" ht="45" x14ac:dyDescent="0.25">
      <c r="A719" s="52">
        <v>223574</v>
      </c>
      <c r="B719" s="52">
        <f>VLOOKUP($A719,'Выгр Кат'!$A:$R,B$1,0)</f>
        <v>31185</v>
      </c>
      <c r="C719" s="53" t="str">
        <f>VLOOKUP($A719,'Выгр Кат'!$A:$R,C$1,0)</f>
        <v>Усилитель брызговика верхний правый в сборе (катафорез) "АвтоВАЗ" для Лада Веста</v>
      </c>
      <c r="D719" s="52" t="str">
        <f>VLOOKUP($A719,'Выгр Кат'!$A:$R,D$1,0)</f>
        <v>Y</v>
      </c>
      <c r="E719" s="52" t="str">
        <f>VLOOKUP($A719,'Выгр Кат'!$A:$R,E$1,0)</f>
        <v>1</v>
      </c>
      <c r="F719" s="52" t="str">
        <f>VLOOKUP($A719,'Выгр Кат'!$A:$R,F$1,0)</f>
        <v>8450039218</v>
      </c>
      <c r="G719" s="52" t="str">
        <f>IF(VLOOKUP($A719,'Выгр Кат'!$A:$R,G$1,0)=0,"",VLOOKUP($A719,'Выгр Кат'!$A:$R,G$1,0))</f>
        <v>https://motorring.ru/product/36844-verhniy-pravyy-usilitely-bryzgovika-dlya-lada-vesta</v>
      </c>
      <c r="H719" s="52"/>
      <c r="I719" s="52"/>
      <c r="J719" s="54">
        <f t="shared" si="186"/>
        <v>1240</v>
      </c>
      <c r="K719" s="55">
        <f>VLOOKUP(J719,Наценка!$A$1:$B$8,2,1)</f>
        <v>1.5</v>
      </c>
      <c r="L719" s="56">
        <f t="shared" si="187"/>
        <v>1860</v>
      </c>
      <c r="M719" s="57">
        <f t="shared" si="188"/>
        <v>1890</v>
      </c>
      <c r="N719" s="52">
        <f>VLOOKUP($A719,'Выгр Кат'!$A:$R,N$1,0)</f>
        <v>1240</v>
      </c>
      <c r="O719" s="52">
        <f>VLOOKUP($A719,'Выгр Кат'!$A:$R,O$1,0)</f>
        <v>1890</v>
      </c>
      <c r="P719" s="47">
        <f t="shared" si="189"/>
        <v>0</v>
      </c>
      <c r="Q719" s="47">
        <f t="shared" si="190"/>
        <v>0</v>
      </c>
      <c r="R719" s="58">
        <f t="shared" si="191"/>
        <v>1890</v>
      </c>
      <c r="S719" s="59">
        <f t="shared" si="192"/>
        <v>0.52419354838709675</v>
      </c>
      <c r="T719" s="59">
        <f t="shared" si="193"/>
        <v>0</v>
      </c>
      <c r="U719" s="59">
        <f t="shared" si="194"/>
        <v>0.52419354838709675</v>
      </c>
      <c r="V719" s="42">
        <f t="shared" si="197"/>
        <v>1890</v>
      </c>
      <c r="W719" s="69">
        <f>IFERROR((VLOOKUP($A719,'Из ГУГЛа'!$B:$Z,W$1,0)+Y719)*X719,VLOOKUP($A719,'Из ГУГЛа'!$B:$Z,W$1,0))</f>
        <v>1890</v>
      </c>
      <c r="X719" s="61">
        <v>1</v>
      </c>
      <c r="Y719" s="61">
        <v>0</v>
      </c>
      <c r="Z719" s="70">
        <v>1890</v>
      </c>
      <c r="AA719" s="60" t="s">
        <v>1881</v>
      </c>
    </row>
    <row r="720" spans="1:27" ht="45" x14ac:dyDescent="0.25">
      <c r="A720" s="52">
        <v>223581</v>
      </c>
      <c r="B720" s="52">
        <f>VLOOKUP($A720,'Выгр Кат'!$A:$R,B$1,0)</f>
        <v>50900</v>
      </c>
      <c r="C720" s="53" t="str">
        <f>VLOOKUP($A720,'Выгр Кат'!$A:$R,C$1,0)</f>
        <v>Усилитель ветровой стойки "АвтоВАЗ" внутренний левый в сборе для Лада XRAY</v>
      </c>
      <c r="D720" s="52" t="str">
        <f>VLOOKUP($A720,'Выгр Кат'!$A:$R,D$1,0)</f>
        <v>Y</v>
      </c>
      <c r="E720" s="52" t="str">
        <f>VLOOKUP($A720,'Выгр Кат'!$A:$R,E$1,0)</f>
        <v>1</v>
      </c>
      <c r="F720" s="52" t="str">
        <f>VLOOKUP($A720,'Выгр Кат'!$A:$R,F$1,0)</f>
        <v>762317410R</v>
      </c>
      <c r="G720" s="52" t="str">
        <f>IF(VLOOKUP($A720,'Выгр Кат'!$A:$R,G$1,0)=0,"",VLOOKUP($A720,'Выгр Кат'!$A:$R,G$1,0))</f>
        <v/>
      </c>
      <c r="H720" s="52"/>
      <c r="I720" s="52"/>
      <c r="J720" s="54">
        <f t="shared" si="186"/>
        <v>1856</v>
      </c>
      <c r="K720" s="55">
        <f>VLOOKUP(J720,Наценка!$A$1:$B$8,2,1)</f>
        <v>1.5</v>
      </c>
      <c r="L720" s="56">
        <f t="shared" si="187"/>
        <v>2784</v>
      </c>
      <c r="M720" s="57">
        <f t="shared" si="188"/>
        <v>2790</v>
      </c>
      <c r="N720" s="52">
        <f>VLOOKUP($A720,'Выгр Кат'!$A:$R,N$1,0)</f>
        <v>1856</v>
      </c>
      <c r="O720" s="52">
        <f>VLOOKUP($A720,'Выгр Кат'!$A:$R,O$1,0)</f>
        <v>2790</v>
      </c>
      <c r="P720" s="47">
        <f t="shared" si="189"/>
        <v>0</v>
      </c>
      <c r="Q720" s="47">
        <f t="shared" si="190"/>
        <v>0</v>
      </c>
      <c r="R720" s="58">
        <f t="shared" si="191"/>
        <v>2790</v>
      </c>
      <c r="S720" s="59">
        <f t="shared" si="192"/>
        <v>0.50323275862068972</v>
      </c>
      <c r="T720" s="59" t="str">
        <f t="shared" si="193"/>
        <v/>
      </c>
      <c r="U720" s="59" t="str">
        <f t="shared" si="194"/>
        <v/>
      </c>
      <c r="V720" s="60"/>
      <c r="W720" s="69" t="str">
        <f>IFERROR((VLOOKUP($A720,'Из ГУГЛа'!$B:$Z,W$1,0)+Y720)*X720,VLOOKUP($A720,'Из ГУГЛа'!$B:$Z,W$1,0))</f>
        <v/>
      </c>
      <c r="X720" s="61">
        <v>1</v>
      </c>
      <c r="Y720" s="61">
        <v>0</v>
      </c>
      <c r="Z720" s="62" t="s">
        <v>4170</v>
      </c>
      <c r="AA720" s="60"/>
    </row>
    <row r="721" spans="1:27" ht="30" x14ac:dyDescent="0.25">
      <c r="A721" s="52">
        <v>223582</v>
      </c>
      <c r="B721" s="52">
        <f>VLOOKUP($A721,'Выгр Кат'!$A:$R,B$1,0)</f>
        <v>31268</v>
      </c>
      <c r="C721" s="53" t="str">
        <f>VLOOKUP($A721,'Выгр Кат'!$A:$R,C$1,0)</f>
        <v>Усилитель ветровой стойки "АвтоВАЗ" внутренний правый для Шевроле Нива</v>
      </c>
      <c r="D721" s="52" t="str">
        <f>VLOOKUP($A721,'Выгр Кат'!$A:$R,D$1,0)</f>
        <v>Y</v>
      </c>
      <c r="E721" s="52" t="str">
        <f>VLOOKUP($A721,'Выгр Кат'!$A:$R,E$1,0)</f>
        <v>1</v>
      </c>
      <c r="F721" s="52" t="str">
        <f>VLOOKUP($A721,'Выгр Кат'!$A:$R,F$1,0)</f>
        <v>21230540133200</v>
      </c>
      <c r="G721" s="52" t="str">
        <f>IF(VLOOKUP($A721,'Выгр Кат'!$A:$R,G$1,0)=0,"",VLOOKUP($A721,'Выгр Кат'!$A:$R,G$1,0))</f>
        <v>https://motorring.ru/product/6551-usilitely-vetrovoy-stoyki-vnutrenniy-pravyy-dlya-shevrole</v>
      </c>
      <c r="H721" s="52"/>
      <c r="I721" s="52"/>
      <c r="J721" s="54">
        <f t="shared" si="186"/>
        <v>1050</v>
      </c>
      <c r="K721" s="55">
        <f>VLOOKUP(J721,Наценка!$A$1:$B$8,2,1)</f>
        <v>1.5</v>
      </c>
      <c r="L721" s="56">
        <f t="shared" si="187"/>
        <v>1575</v>
      </c>
      <c r="M721" s="57">
        <f t="shared" si="188"/>
        <v>1590</v>
      </c>
      <c r="N721" s="52">
        <f>VLOOKUP($A721,'Выгр Кат'!$A:$R,N$1,0)</f>
        <v>1050</v>
      </c>
      <c r="O721" s="52">
        <f>VLOOKUP($A721,'Выгр Кат'!$A:$R,O$1,0)</f>
        <v>1590</v>
      </c>
      <c r="P721" s="47">
        <f t="shared" si="189"/>
        <v>0</v>
      </c>
      <c r="Q721" s="47">
        <f t="shared" si="190"/>
        <v>0</v>
      </c>
      <c r="R721" s="58">
        <f t="shared" si="191"/>
        <v>1590</v>
      </c>
      <c r="S721" s="59">
        <f t="shared" si="192"/>
        <v>0.51428571428571423</v>
      </c>
      <c r="T721" s="59">
        <f t="shared" si="193"/>
        <v>-6.7114093959731544E-2</v>
      </c>
      <c r="U721" s="59">
        <f t="shared" si="194"/>
        <v>0.41904761904761911</v>
      </c>
      <c r="V721" s="42">
        <f>Z721</f>
        <v>1490</v>
      </c>
      <c r="W721" s="69">
        <f>IFERROR((VLOOKUP($A721,'Из ГУГЛа'!$B:$Z,W$1,0)+Y721)*X721,VLOOKUP($A721,'Из ГУГЛа'!$B:$Z,W$1,0))</f>
        <v>1490</v>
      </c>
      <c r="X721" s="61">
        <v>1</v>
      </c>
      <c r="Y721" s="61">
        <v>0</v>
      </c>
      <c r="Z721" s="70">
        <v>1490</v>
      </c>
      <c r="AA721" s="60" t="s">
        <v>1887</v>
      </c>
    </row>
    <row r="722" spans="1:27" ht="45" x14ac:dyDescent="0.25">
      <c r="A722" s="52">
        <v>223583</v>
      </c>
      <c r="B722" s="52">
        <f>VLOOKUP($A722,'Выгр Кат'!$A:$R,B$1,0)</f>
        <v>50750</v>
      </c>
      <c r="C722" s="53" t="str">
        <f>VLOOKUP($A722,'Выгр Кат'!$A:$R,C$1,0)</f>
        <v>Усилитель желоба "АвтоВАЗ" заднего крыла левый для Лада Веста SW, SW Cross</v>
      </c>
      <c r="D722" s="52" t="str">
        <f>VLOOKUP($A722,'Выгр Кат'!$A:$R,D$1,0)</f>
        <v>Y</v>
      </c>
      <c r="E722" s="52" t="str">
        <f>VLOOKUP($A722,'Выгр Кат'!$A:$R,E$1,0)</f>
        <v>1</v>
      </c>
      <c r="F722" s="52" t="str">
        <f>VLOOKUP($A722,'Выгр Кат'!$A:$R,F$1,0)</f>
        <v>8450103591</v>
      </c>
      <c r="G722" s="52" t="str">
        <f>IF(VLOOKUP($A722,'Выгр Кат'!$A:$R,G$1,0)=0,"",VLOOKUP($A722,'Выгр Кат'!$A:$R,G$1,0))</f>
        <v/>
      </c>
      <c r="H722" s="52"/>
      <c r="I722" s="52"/>
      <c r="J722" s="54">
        <f t="shared" si="186"/>
        <v>5444</v>
      </c>
      <c r="K722" s="55">
        <f>VLOOKUP(J722,Наценка!$A$1:$B$8,2,1)</f>
        <v>1.35</v>
      </c>
      <c r="L722" s="56">
        <f t="shared" si="187"/>
        <v>7349.4000000000005</v>
      </c>
      <c r="M722" s="57">
        <f t="shared" si="188"/>
        <v>7390</v>
      </c>
      <c r="N722" s="52">
        <f>VLOOKUP($A722,'Выгр Кат'!$A:$R,N$1,0)</f>
        <v>5444</v>
      </c>
      <c r="O722" s="52">
        <f>VLOOKUP($A722,'Выгр Кат'!$A:$R,O$1,0)</f>
        <v>7390</v>
      </c>
      <c r="P722" s="47">
        <f t="shared" si="189"/>
        <v>0</v>
      </c>
      <c r="Q722" s="47">
        <f t="shared" si="190"/>
        <v>0</v>
      </c>
      <c r="R722" s="58">
        <f t="shared" si="191"/>
        <v>7390</v>
      </c>
      <c r="S722" s="59">
        <f t="shared" si="192"/>
        <v>0.35745775165319627</v>
      </c>
      <c r="T722" s="59" t="str">
        <f t="shared" si="193"/>
        <v/>
      </c>
      <c r="U722" s="59" t="str">
        <f t="shared" si="194"/>
        <v/>
      </c>
      <c r="V722" s="60"/>
      <c r="W722" s="69" t="str">
        <f>IFERROR((VLOOKUP($A722,'Из ГУГЛа'!$B:$Z,W$1,0)+Y722)*X722,VLOOKUP($A722,'Из ГУГЛа'!$B:$Z,W$1,0))</f>
        <v/>
      </c>
      <c r="X722" s="61">
        <v>1</v>
      </c>
      <c r="Y722" s="61">
        <v>0</v>
      </c>
      <c r="Z722" s="60" t="s">
        <v>4170</v>
      </c>
      <c r="AA722" s="60"/>
    </row>
    <row r="723" spans="1:27" ht="30" x14ac:dyDescent="0.25">
      <c r="A723" s="52">
        <v>223593</v>
      </c>
      <c r="B723" s="52">
        <f>VLOOKUP($A723,'Выгр Кат'!$A:$R,B$1,0)</f>
        <v>31441</v>
      </c>
      <c r="C723" s="53" t="str">
        <f>VLOOKUP($A723,'Выгр Кат'!$A:$R,C$1,0)</f>
        <v>Усилитель заднего крыла "АвтоВАЗ" левый для ВАЗ 2105, 2107</v>
      </c>
      <c r="D723" s="52" t="str">
        <f>VLOOKUP($A723,'Выгр Кат'!$A:$R,D$1,0)</f>
        <v>Y</v>
      </c>
      <c r="E723" s="52" t="str">
        <f>VLOOKUP($A723,'Выгр Кат'!$A:$R,E$1,0)</f>
        <v>1ск1</v>
      </c>
      <c r="F723" s="52" t="str">
        <f>VLOOKUP($A723,'Выгр Кат'!$A:$R,F$1,0)</f>
        <v>21050840403100</v>
      </c>
      <c r="G723" s="52" t="str">
        <f>IF(VLOOKUP($A723,'Выгр Кат'!$A:$R,G$1,0)=0,"",VLOOKUP($A723,'Выгр Кат'!$A:$R,G$1,0))</f>
        <v/>
      </c>
      <c r="H723" s="52"/>
      <c r="I723" s="52"/>
      <c r="J723" s="54">
        <f t="shared" si="186"/>
        <v>45</v>
      </c>
      <c r="K723" s="55">
        <f>VLOOKUP(J723,Наценка!$A$1:$B$8,2,1)</f>
        <v>2</v>
      </c>
      <c r="L723" s="56">
        <f t="shared" si="187"/>
        <v>90</v>
      </c>
      <c r="M723" s="57">
        <f t="shared" si="188"/>
        <v>89</v>
      </c>
      <c r="N723" s="52">
        <f>VLOOKUP($A723,'Выгр Кат'!$A:$R,N$1,0)</f>
        <v>45</v>
      </c>
      <c r="O723" s="52">
        <f>VLOOKUP($A723,'Выгр Кат'!$A:$R,O$1,0)</f>
        <v>89</v>
      </c>
      <c r="P723" s="47">
        <f t="shared" si="189"/>
        <v>0</v>
      </c>
      <c r="Q723" s="47">
        <f t="shared" si="190"/>
        <v>0</v>
      </c>
      <c r="R723" s="58">
        <f t="shared" si="191"/>
        <v>89</v>
      </c>
      <c r="S723" s="59">
        <f t="shared" si="192"/>
        <v>0.97777777777777786</v>
      </c>
      <c r="T723" s="59" t="str">
        <f t="shared" si="193"/>
        <v/>
      </c>
      <c r="U723" s="59" t="str">
        <f t="shared" si="194"/>
        <v/>
      </c>
      <c r="V723" s="60"/>
      <c r="W723" s="69" t="str">
        <f>IFERROR((VLOOKUP($A723,'Из ГУГЛа'!$B:$Z,W$1,0)+Y723)*X723,VLOOKUP($A723,'Из ГУГЛа'!$B:$Z,W$1,0))</f>
        <v/>
      </c>
      <c r="X723" s="61">
        <v>1</v>
      </c>
      <c r="Y723" s="61">
        <v>0</v>
      </c>
      <c r="Z723" s="60" t="s">
        <v>4170</v>
      </c>
      <c r="AA723" s="60"/>
    </row>
    <row r="724" spans="1:27" ht="45" x14ac:dyDescent="0.25">
      <c r="A724" s="52">
        <v>223594</v>
      </c>
      <c r="B724" s="52">
        <f>VLOOKUP($A724,'Выгр Кат'!$A:$R,B$1,0)</f>
        <v>31206</v>
      </c>
      <c r="C724" s="53" t="str">
        <f>VLOOKUP($A724,'Выгр Кат'!$A:$R,C$1,0)</f>
        <v>Усилитель заднего крыла "АвтоВАЗ" левый для Лада Гранта, Гранта FL лифтбек</v>
      </c>
      <c r="D724" s="52" t="str">
        <f>VLOOKUP($A724,'Выгр Кат'!$A:$R,D$1,0)</f>
        <v>Y</v>
      </c>
      <c r="E724" s="52" t="str">
        <f>VLOOKUP($A724,'Выгр Кат'!$A:$R,E$1,0)</f>
        <v>1</v>
      </c>
      <c r="F724" s="52" t="str">
        <f>VLOOKUP($A724,'Выгр Кат'!$A:$R,F$1,0)</f>
        <v>21910840407500</v>
      </c>
      <c r="G724" s="52" t="str">
        <f>IF(VLOOKUP($A724,'Выгр Кат'!$A:$R,G$1,0)=0,"",VLOOKUP($A724,'Выгр Кат'!$A:$R,G$1,0))</f>
        <v>https://motorring.ru/product/5169-usilitely-zadnego-kryla-levyy-kataforez-granta-liftback</v>
      </c>
      <c r="H724" s="52"/>
      <c r="I724" s="52"/>
      <c r="J724" s="54">
        <f t="shared" si="186"/>
        <v>35</v>
      </c>
      <c r="K724" s="55">
        <f>VLOOKUP(J724,Наценка!$A$1:$B$8,2,1)</f>
        <v>2</v>
      </c>
      <c r="L724" s="56">
        <f t="shared" si="187"/>
        <v>70</v>
      </c>
      <c r="M724" s="57">
        <f t="shared" si="188"/>
        <v>69</v>
      </c>
      <c r="N724" s="52">
        <f>VLOOKUP($A724,'Выгр Кат'!$A:$R,N$1,0)</f>
        <v>35</v>
      </c>
      <c r="O724" s="52">
        <f>VLOOKUP($A724,'Выгр Кат'!$A:$R,O$1,0)</f>
        <v>69</v>
      </c>
      <c r="P724" s="47">
        <f t="shared" si="189"/>
        <v>0</v>
      </c>
      <c r="Q724" s="47">
        <f t="shared" si="190"/>
        <v>0</v>
      </c>
      <c r="R724" s="58">
        <f t="shared" si="191"/>
        <v>69</v>
      </c>
      <c r="S724" s="59">
        <f t="shared" si="192"/>
        <v>0.97142857142857153</v>
      </c>
      <c r="T724" s="59">
        <f t="shared" si="193"/>
        <v>0.65326633165829151</v>
      </c>
      <c r="U724" s="59">
        <f t="shared" si="194"/>
        <v>4.6857142857142859</v>
      </c>
      <c r="V724" s="42">
        <f>Z724</f>
        <v>199</v>
      </c>
      <c r="W724" s="69">
        <f>IFERROR((VLOOKUP($A724,'Из ГУГЛа'!$B:$Z,W$1,0)+Y724)*X724,VLOOKUP($A724,'Из ГУГЛа'!$B:$Z,W$1,0))</f>
        <v>199</v>
      </c>
      <c r="X724" s="61">
        <v>1</v>
      </c>
      <c r="Y724" s="61">
        <v>0</v>
      </c>
      <c r="Z724" s="70">
        <v>199</v>
      </c>
      <c r="AA724" s="60" t="s">
        <v>1895</v>
      </c>
    </row>
    <row r="725" spans="1:27" ht="45" x14ac:dyDescent="0.25">
      <c r="A725" s="52">
        <v>223595</v>
      </c>
      <c r="B725" s="52">
        <f>VLOOKUP($A725,'Выгр Кат'!$A:$R,B$1,0)</f>
        <v>30990</v>
      </c>
      <c r="C725" s="53" t="str">
        <f>VLOOKUP($A725,'Выгр Кат'!$A:$R,C$1,0)</f>
        <v>Усилитель заднего крыла "АвтоВАЗ" левый для Лада Калина, Калина 2, Гранта FL универсал</v>
      </c>
      <c r="D725" s="52" t="str">
        <f>VLOOKUP($A725,'Выгр Кат'!$A:$R,D$1,0)</f>
        <v>Y</v>
      </c>
      <c r="E725" s="52" t="str">
        <f>VLOOKUP($A725,'Выгр Кат'!$A:$R,E$1,0)</f>
        <v>1</v>
      </c>
      <c r="F725" s="52" t="str">
        <f>VLOOKUP($A725,'Выгр Кат'!$A:$R,F$1,0)</f>
        <v>11170840407500</v>
      </c>
      <c r="G725" s="52" t="str">
        <f>IF(VLOOKUP($A725,'Выгр Кат'!$A:$R,G$1,0)=0,"",VLOOKUP($A725,'Выгр Кат'!$A:$R,G$1,0))</f>
        <v/>
      </c>
      <c r="H725" s="52"/>
      <c r="I725" s="52"/>
      <c r="J725" s="54">
        <f t="shared" si="186"/>
        <v>446</v>
      </c>
      <c r="K725" s="55">
        <f>VLOOKUP(J725,Наценка!$A$1:$B$8,2,1)</f>
        <v>1.6</v>
      </c>
      <c r="L725" s="56">
        <f t="shared" si="187"/>
        <v>713.6</v>
      </c>
      <c r="M725" s="57">
        <f t="shared" si="188"/>
        <v>719</v>
      </c>
      <c r="N725" s="52">
        <f>VLOOKUP($A725,'Выгр Кат'!$A:$R,N$1,0)</f>
        <v>446</v>
      </c>
      <c r="O725" s="52">
        <f>VLOOKUP($A725,'Выгр Кат'!$A:$R,O$1,0)</f>
        <v>719</v>
      </c>
      <c r="P725" s="47">
        <f t="shared" si="189"/>
        <v>0</v>
      </c>
      <c r="Q725" s="47">
        <f t="shared" si="190"/>
        <v>0</v>
      </c>
      <c r="R725" s="58">
        <f t="shared" si="191"/>
        <v>719</v>
      </c>
      <c r="S725" s="59">
        <f t="shared" si="192"/>
        <v>0.61210762331838575</v>
      </c>
      <c r="T725" s="59" t="str">
        <f t="shared" si="193"/>
        <v/>
      </c>
      <c r="U725" s="59" t="str">
        <f t="shared" si="194"/>
        <v/>
      </c>
      <c r="V725" s="60"/>
      <c r="W725" s="69" t="str">
        <f>IFERROR((VLOOKUP($A725,'Из ГУГЛа'!$B:$Z,W$1,0)+Y725)*X725,VLOOKUP($A725,'Из ГУГЛа'!$B:$Z,W$1,0))</f>
        <v/>
      </c>
      <c r="X725" s="61">
        <v>1</v>
      </c>
      <c r="Y725" s="61">
        <v>0</v>
      </c>
      <c r="Z725" s="60" t="s">
        <v>4170</v>
      </c>
      <c r="AA725" s="60"/>
    </row>
    <row r="726" spans="1:27" ht="45" x14ac:dyDescent="0.25">
      <c r="A726" s="52">
        <v>223596</v>
      </c>
      <c r="B726" s="52">
        <f>VLOOKUP($A726,'Выгр Кат'!$A:$R,B$1,0)</f>
        <v>31207</v>
      </c>
      <c r="C726" s="53" t="str">
        <f>VLOOKUP($A726,'Выгр Кат'!$A:$R,C$1,0)</f>
        <v>Усилитель заднего крыла "АвтоВАЗ" правый для Лада Гранта, Гранта FL лифтбек</v>
      </c>
      <c r="D726" s="52" t="str">
        <f>VLOOKUP($A726,'Выгр Кат'!$A:$R,D$1,0)</f>
        <v>Y</v>
      </c>
      <c r="E726" s="52" t="str">
        <f>VLOOKUP($A726,'Выгр Кат'!$A:$R,E$1,0)</f>
        <v>1</v>
      </c>
      <c r="F726" s="52" t="str">
        <f>VLOOKUP($A726,'Выгр Кат'!$A:$R,F$1,0)</f>
        <v>21910840407400</v>
      </c>
      <c r="G726" s="52" t="str">
        <f>IF(VLOOKUP($A726,'Выгр Кат'!$A:$R,G$1,0)=0,"",VLOOKUP($A726,'Выгр Кат'!$A:$R,G$1,0))</f>
        <v>https://motorring.ru/product/40831-usilitely-zadnego-kryla-pravyy-kataforez-granta-liftback</v>
      </c>
      <c r="H726" s="52"/>
      <c r="I726" s="52"/>
      <c r="J726" s="54">
        <f t="shared" si="186"/>
        <v>316</v>
      </c>
      <c r="K726" s="55">
        <f>VLOOKUP(J726,Наценка!$A$1:$B$8,2,1)</f>
        <v>1.6</v>
      </c>
      <c r="L726" s="56">
        <f t="shared" si="187"/>
        <v>505.6</v>
      </c>
      <c r="M726" s="57">
        <f t="shared" si="188"/>
        <v>509</v>
      </c>
      <c r="N726" s="52">
        <f>VLOOKUP($A726,'Выгр Кат'!$A:$R,N$1,0)</f>
        <v>316</v>
      </c>
      <c r="O726" s="52">
        <f>VLOOKUP($A726,'Выгр Кат'!$A:$R,O$1,0)</f>
        <v>509</v>
      </c>
      <c r="P726" s="47">
        <f t="shared" si="189"/>
        <v>0</v>
      </c>
      <c r="Q726" s="47">
        <f t="shared" si="190"/>
        <v>0</v>
      </c>
      <c r="R726" s="58">
        <f t="shared" si="191"/>
        <v>509</v>
      </c>
      <c r="S726" s="59">
        <f t="shared" si="192"/>
        <v>0.610759493670886</v>
      </c>
      <c r="T726" s="59">
        <f t="shared" si="193"/>
        <v>-1.5577889447236182</v>
      </c>
      <c r="U726" s="59">
        <f t="shared" si="194"/>
        <v>-0.370253164556962</v>
      </c>
      <c r="V726" s="42">
        <f>Z726</f>
        <v>199</v>
      </c>
      <c r="W726" s="69">
        <f>IFERROR((VLOOKUP($A726,'Из ГУГЛа'!$B:$Z,W$1,0)+Y726)*X726,VLOOKUP($A726,'Из ГУГЛа'!$B:$Z,W$1,0))</f>
        <v>199</v>
      </c>
      <c r="X726" s="61">
        <v>1</v>
      </c>
      <c r="Y726" s="61">
        <v>0</v>
      </c>
      <c r="Z726" s="70">
        <v>199</v>
      </c>
      <c r="AA726" s="60" t="s">
        <v>1900</v>
      </c>
    </row>
    <row r="727" spans="1:27" ht="30" x14ac:dyDescent="0.25">
      <c r="A727" s="52">
        <v>223597</v>
      </c>
      <c r="B727" s="52">
        <f>VLOOKUP($A727,'Выгр Кат'!$A:$R,B$1,0)</f>
        <v>31235</v>
      </c>
      <c r="C727" s="53" t="str">
        <f>VLOOKUP($A727,'Выгр Кат'!$A:$R,C$1,0)</f>
        <v>Усилитель задней стойки в сборе "АвтоВАЗ" правый для Лада Нива 4x4</v>
      </c>
      <c r="D727" s="52" t="str">
        <f>VLOOKUP($A727,'Выгр Кат'!$A:$R,D$1,0)</f>
        <v>Y</v>
      </c>
      <c r="E727" s="52" t="str">
        <f>VLOOKUP($A727,'Выгр Кат'!$A:$R,E$1,0)</f>
        <v>1</v>
      </c>
      <c r="F727" s="52" t="str">
        <f>VLOOKUP($A727,'Выгр Кат'!$A:$R,F$1,0)</f>
        <v>21310540178010</v>
      </c>
      <c r="G727" s="52" t="str">
        <f>IF(VLOOKUP($A727,'Выгр Кат'!$A:$R,G$1,0)=0,"",VLOOKUP($A727,'Выгр Кат'!$A:$R,G$1,0))</f>
        <v/>
      </c>
      <c r="H727" s="52"/>
      <c r="I727" s="52"/>
      <c r="J727" s="54">
        <f t="shared" si="186"/>
        <v>734</v>
      </c>
      <c r="K727" s="55">
        <f>VLOOKUP(J727,Наценка!$A$1:$B$8,2,1)</f>
        <v>1.55</v>
      </c>
      <c r="L727" s="56">
        <f t="shared" si="187"/>
        <v>1137.7</v>
      </c>
      <c r="M727" s="57">
        <f t="shared" si="188"/>
        <v>1190</v>
      </c>
      <c r="N727" s="52">
        <f>VLOOKUP($A727,'Выгр Кат'!$A:$R,N$1,0)</f>
        <v>734</v>
      </c>
      <c r="O727" s="52">
        <f>VLOOKUP($A727,'Выгр Кат'!$A:$R,O$1,0)</f>
        <v>1190</v>
      </c>
      <c r="P727" s="47">
        <f t="shared" si="189"/>
        <v>0</v>
      </c>
      <c r="Q727" s="47">
        <f t="shared" si="190"/>
        <v>0</v>
      </c>
      <c r="R727" s="58">
        <f t="shared" si="191"/>
        <v>1190</v>
      </c>
      <c r="S727" s="59">
        <f t="shared" si="192"/>
        <v>0.62125340599455048</v>
      </c>
      <c r="T727" s="59" t="str">
        <f t="shared" si="193"/>
        <v/>
      </c>
      <c r="U727" s="59" t="str">
        <f t="shared" si="194"/>
        <v/>
      </c>
      <c r="V727" s="60"/>
      <c r="W727" s="69" t="str">
        <f>IFERROR((VLOOKUP($A727,'Из ГУГЛа'!$B:$Z,W$1,0)+Y727)*X727,VLOOKUP($A727,'Из ГУГЛа'!$B:$Z,W$1,0))</f>
        <v/>
      </c>
      <c r="X727" s="61">
        <v>1</v>
      </c>
      <c r="Y727" s="61">
        <v>0</v>
      </c>
      <c r="Z727" s="60" t="s">
        <v>4170</v>
      </c>
      <c r="AA727" s="60"/>
    </row>
    <row r="728" spans="1:27" ht="30" x14ac:dyDescent="0.25">
      <c r="A728" s="52">
        <v>223598</v>
      </c>
      <c r="B728" s="52">
        <f>VLOOKUP($A728,'Выгр Кат'!$A:$R,B$1,0)</f>
        <v>31042</v>
      </c>
      <c r="C728" s="53" t="str">
        <f>VLOOKUP($A728,'Выгр Кат'!$A:$R,C$1,0)</f>
        <v>Усилитель задней стойки нижний "Renault" для Лада Ларгус</v>
      </c>
      <c r="D728" s="52" t="str">
        <f>VLOOKUP($A728,'Выгр Кат'!$A:$R,D$1,0)</f>
        <v>Y</v>
      </c>
      <c r="E728" s="52" t="str">
        <f>VLOOKUP($A728,'Выгр Кат'!$A:$R,E$1,0)</f>
        <v>1</v>
      </c>
      <c r="F728" s="52" t="str">
        <f>VLOOKUP($A728,'Выгр Кат'!$A:$R,F$1,0)</f>
        <v>6001548853</v>
      </c>
      <c r="G728" s="52" t="str">
        <f>IF(VLOOKUP($A728,'Выгр Кат'!$A:$R,G$1,0)=0,"",VLOOKUP($A728,'Выгр Кат'!$A:$R,G$1,0))</f>
        <v/>
      </c>
      <c r="H728" s="52"/>
      <c r="I728" s="52"/>
      <c r="J728" s="54">
        <f t="shared" si="186"/>
        <v>2709</v>
      </c>
      <c r="K728" s="55">
        <f>VLOOKUP(J728,Наценка!$A$1:$B$8,2,1)</f>
        <v>1.4</v>
      </c>
      <c r="L728" s="56">
        <f t="shared" si="187"/>
        <v>3792.6</v>
      </c>
      <c r="M728" s="57">
        <f t="shared" si="188"/>
        <v>3790</v>
      </c>
      <c r="N728" s="52">
        <f>VLOOKUP($A728,'Выгр Кат'!$A:$R,N$1,0)</f>
        <v>2709</v>
      </c>
      <c r="O728" s="52">
        <f>VLOOKUP($A728,'Выгр Кат'!$A:$R,O$1,0)</f>
        <v>3790</v>
      </c>
      <c r="P728" s="47">
        <f t="shared" si="189"/>
        <v>0</v>
      </c>
      <c r="Q728" s="47">
        <f t="shared" si="190"/>
        <v>0</v>
      </c>
      <c r="R728" s="58">
        <f t="shared" si="191"/>
        <v>3790</v>
      </c>
      <c r="S728" s="59">
        <f t="shared" si="192"/>
        <v>0.39904023624953866</v>
      </c>
      <c r="T728" s="59" t="str">
        <f t="shared" si="193"/>
        <v/>
      </c>
      <c r="U728" s="59" t="str">
        <f t="shared" si="194"/>
        <v/>
      </c>
      <c r="V728" s="60"/>
      <c r="W728" s="69" t="str">
        <f>IFERROR((VLOOKUP($A728,'Из ГУГЛа'!$B:$Z,W$1,0)+Y728)*X728,VLOOKUP($A728,'Из ГУГЛа'!$B:$Z,W$1,0))</f>
        <v/>
      </c>
      <c r="X728" s="61">
        <v>1</v>
      </c>
      <c r="Y728" s="61">
        <v>0</v>
      </c>
      <c r="Z728" s="60" t="s">
        <v>4170</v>
      </c>
      <c r="AA728" s="60"/>
    </row>
    <row r="729" spans="1:27" ht="30" x14ac:dyDescent="0.25">
      <c r="A729" s="52">
        <v>223599</v>
      </c>
      <c r="B729" s="52">
        <f>VLOOKUP($A729,'Выгр Кат'!$A:$R,B$1,0)</f>
        <v>31047</v>
      </c>
      <c r="C729" s="53" t="str">
        <f>VLOOKUP($A729,'Выгр Кат'!$A:$R,C$1,0)</f>
        <v>Усилитель крепления 3-го ряда сидений "Renault" для Лада Ларгус</v>
      </c>
      <c r="D729" s="52" t="str">
        <f>VLOOKUP($A729,'Выгр Кат'!$A:$R,D$1,0)</f>
        <v>Y</v>
      </c>
      <c r="E729" s="52" t="str">
        <f>VLOOKUP($A729,'Выгр Кат'!$A:$R,E$1,0)</f>
        <v>1</v>
      </c>
      <c r="F729" s="52" t="str">
        <f>VLOOKUP($A729,'Выгр Кат'!$A:$R,F$1,0)</f>
        <v>6001548825</v>
      </c>
      <c r="G729" s="52" t="str">
        <f>IF(VLOOKUP($A729,'Выгр Кат'!$A:$R,G$1,0)=0,"",VLOOKUP($A729,'Выгр Кат'!$A:$R,G$1,0))</f>
        <v/>
      </c>
      <c r="H729" s="52"/>
      <c r="I729" s="52"/>
      <c r="J729" s="54">
        <f t="shared" si="186"/>
        <v>783</v>
      </c>
      <c r="K729" s="55">
        <f>VLOOKUP(J729,Наценка!$A$1:$B$8,2,1)</f>
        <v>1.55</v>
      </c>
      <c r="L729" s="56">
        <f t="shared" si="187"/>
        <v>1213.6500000000001</v>
      </c>
      <c r="M729" s="57">
        <f t="shared" si="188"/>
        <v>1290</v>
      </c>
      <c r="N729" s="52">
        <f>VLOOKUP($A729,'Выгр Кат'!$A:$R,N$1,0)</f>
        <v>783</v>
      </c>
      <c r="O729" s="52">
        <f>VLOOKUP($A729,'Выгр Кат'!$A:$R,O$1,0)</f>
        <v>1290</v>
      </c>
      <c r="P729" s="47">
        <f t="shared" si="189"/>
        <v>0</v>
      </c>
      <c r="Q729" s="47">
        <f t="shared" si="190"/>
        <v>0</v>
      </c>
      <c r="R729" s="58">
        <f t="shared" si="191"/>
        <v>1290</v>
      </c>
      <c r="S729" s="59">
        <f t="shared" si="192"/>
        <v>0.64750957854406122</v>
      </c>
      <c r="T729" s="59" t="str">
        <f t="shared" si="193"/>
        <v/>
      </c>
      <c r="U729" s="59" t="str">
        <f t="shared" si="194"/>
        <v/>
      </c>
      <c r="V729" s="60"/>
      <c r="W729" s="69" t="str">
        <f>IFERROR((VLOOKUP($A729,'Из ГУГЛа'!$B:$Z,W$1,0)+Y729)*X729,VLOOKUP($A729,'Из ГУГЛа'!$B:$Z,W$1,0))</f>
        <v/>
      </c>
      <c r="X729" s="61">
        <v>1</v>
      </c>
      <c r="Y729" s="61">
        <v>0</v>
      </c>
      <c r="Z729" s="60" t="s">
        <v>4170</v>
      </c>
      <c r="AA729" s="60"/>
    </row>
    <row r="730" spans="1:27" ht="30" x14ac:dyDescent="0.25">
      <c r="A730" s="52">
        <v>223601</v>
      </c>
      <c r="B730" s="52">
        <f>VLOOKUP($A730,'Выгр Кат'!$A:$R,B$1,0)</f>
        <v>31414</v>
      </c>
      <c r="C730" s="53" t="str">
        <f>VLOOKUP($A730,'Выгр Кат'!$A:$R,C$1,0)</f>
        <v>Усилитель крыши "АвтоВАЗ" для ВАЗ 21099</v>
      </c>
      <c r="D730" s="52" t="str">
        <f>VLOOKUP($A730,'Выгр Кат'!$A:$R,D$1,0)</f>
        <v>Y</v>
      </c>
      <c r="E730" s="52" t="str">
        <f>VLOOKUP($A730,'Выгр Кат'!$A:$R,E$1,0)</f>
        <v>1</v>
      </c>
      <c r="F730" s="52" t="str">
        <f>VLOOKUP($A730,'Выгр Кат'!$A:$R,F$1,0)</f>
        <v>21099570110200</v>
      </c>
      <c r="G730" s="52" t="str">
        <f>IF(VLOOKUP($A730,'Выгр Кат'!$A:$R,G$1,0)=0,"",VLOOKUP($A730,'Выгр Кат'!$A:$R,G$1,0))</f>
        <v>https://motorring.ru/product/747-usilitely-kryshi-vaz-21099</v>
      </c>
      <c r="H730" s="52"/>
      <c r="I730" s="52"/>
      <c r="J730" s="54">
        <f t="shared" si="186"/>
        <v>151</v>
      </c>
      <c r="K730" s="55">
        <f>VLOOKUP(J730,Наценка!$A$1:$B$8,2,1)</f>
        <v>1.8</v>
      </c>
      <c r="L730" s="56">
        <f t="shared" si="187"/>
        <v>271.8</v>
      </c>
      <c r="M730" s="57">
        <f t="shared" si="188"/>
        <v>279</v>
      </c>
      <c r="N730" s="52">
        <f>VLOOKUP($A730,'Выгр Кат'!$A:$R,N$1,0)</f>
        <v>151</v>
      </c>
      <c r="O730" s="52">
        <f>VLOOKUP($A730,'Выгр Кат'!$A:$R,O$1,0)</f>
        <v>279</v>
      </c>
      <c r="P730" s="47">
        <f t="shared" si="189"/>
        <v>0</v>
      </c>
      <c r="Q730" s="47">
        <f t="shared" si="190"/>
        <v>0</v>
      </c>
      <c r="R730" s="58">
        <f t="shared" si="191"/>
        <v>279</v>
      </c>
      <c r="S730" s="59">
        <f t="shared" si="192"/>
        <v>0.84768211920529812</v>
      </c>
      <c r="T730" s="59">
        <f t="shared" si="193"/>
        <v>-0.2183406113537118</v>
      </c>
      <c r="U730" s="59">
        <f t="shared" si="194"/>
        <v>0.51655629139072845</v>
      </c>
      <c r="V730" s="42">
        <f>Z730</f>
        <v>229</v>
      </c>
      <c r="W730" s="69">
        <f>IFERROR((VLOOKUP($A730,'Из ГУГЛа'!$B:$Z,W$1,0)+Y730)*X730,VLOOKUP($A730,'Из ГУГЛа'!$B:$Z,W$1,0))</f>
        <v>229</v>
      </c>
      <c r="X730" s="61">
        <v>1</v>
      </c>
      <c r="Y730" s="61">
        <v>0</v>
      </c>
      <c r="Z730" s="70">
        <v>229</v>
      </c>
      <c r="AA730" s="60" t="s">
        <v>1909</v>
      </c>
    </row>
    <row r="731" spans="1:27" ht="30" x14ac:dyDescent="0.25">
      <c r="A731" s="52">
        <v>223602</v>
      </c>
      <c r="B731" s="52">
        <f>VLOOKUP($A731,'Выгр Кат'!$A:$R,B$1,0)</f>
        <v>31111</v>
      </c>
      <c r="C731" s="53" t="str">
        <f>VLOOKUP($A731,'Выгр Кат'!$A:$R,C$1,0)</f>
        <v>Усилитель крыши "АвтоВАЗ" для Лада Веста</v>
      </c>
      <c r="D731" s="52" t="str">
        <f>VLOOKUP($A731,'Выгр Кат'!$A:$R,D$1,0)</f>
        <v>Y</v>
      </c>
      <c r="E731" s="52" t="str">
        <f>VLOOKUP($A731,'Выгр Кат'!$A:$R,E$1,0)</f>
        <v>1</v>
      </c>
      <c r="F731" s="52" t="str">
        <f>VLOOKUP($A731,'Выгр Кат'!$A:$R,F$1,0)</f>
        <v>8450109077</v>
      </c>
      <c r="G731" s="52" t="str">
        <f>IF(VLOOKUP($A731,'Выгр Кат'!$A:$R,G$1,0)=0,"",VLOOKUP($A731,'Выгр Кат'!$A:$R,G$1,0))</f>
        <v/>
      </c>
      <c r="H731" s="52"/>
      <c r="I731" s="52"/>
      <c r="J731" s="54">
        <f t="shared" si="186"/>
        <v>707</v>
      </c>
      <c r="K731" s="55">
        <f>VLOOKUP(J731,Наценка!$A$1:$B$8,2,1)</f>
        <v>1.55</v>
      </c>
      <c r="L731" s="56">
        <f t="shared" si="187"/>
        <v>1095.8500000000001</v>
      </c>
      <c r="M731" s="57">
        <f t="shared" si="188"/>
        <v>1090</v>
      </c>
      <c r="N731" s="52">
        <f>VLOOKUP($A731,'Выгр Кат'!$A:$R,N$1,0)</f>
        <v>707</v>
      </c>
      <c r="O731" s="52">
        <f>VLOOKUP($A731,'Выгр Кат'!$A:$R,O$1,0)</f>
        <v>1090</v>
      </c>
      <c r="P731" s="47">
        <f t="shared" si="189"/>
        <v>0</v>
      </c>
      <c r="Q731" s="47">
        <f t="shared" si="190"/>
        <v>0</v>
      </c>
      <c r="R731" s="58">
        <f t="shared" si="191"/>
        <v>1090</v>
      </c>
      <c r="S731" s="59">
        <f t="shared" si="192"/>
        <v>0.54172560113154167</v>
      </c>
      <c r="T731" s="59" t="str">
        <f t="shared" si="193"/>
        <v/>
      </c>
      <c r="U731" s="59" t="str">
        <f t="shared" si="194"/>
        <v/>
      </c>
      <c r="V731" s="60"/>
      <c r="W731" s="69" t="str">
        <f>IFERROR((VLOOKUP($A731,'Из ГУГЛа'!$B:$Z,W$1,0)+Y731)*X731,VLOOKUP($A731,'Из ГУГЛа'!$B:$Z,W$1,0))</f>
        <v/>
      </c>
      <c r="X731" s="61">
        <v>1</v>
      </c>
      <c r="Y731" s="61">
        <v>0</v>
      </c>
      <c r="Z731" s="60" t="s">
        <v>4170</v>
      </c>
      <c r="AA731" s="60"/>
    </row>
    <row r="732" spans="1:27" ht="30" x14ac:dyDescent="0.25">
      <c r="A732" s="52">
        <v>223603</v>
      </c>
      <c r="B732" s="52">
        <f>VLOOKUP($A732,'Выгр Кат'!$A:$R,B$1,0)</f>
        <v>50181</v>
      </c>
      <c r="C732" s="53" t="str">
        <f>VLOOKUP($A732,'Выгр Кат'!$A:$R,C$1,0)</f>
        <v>Усилитель крыши "АвтоВАЗ" для Лада Гранта, Гранта FL</v>
      </c>
      <c r="D732" s="52" t="str">
        <f>VLOOKUP($A732,'Выгр Кат'!$A:$R,D$1,0)</f>
        <v>Y</v>
      </c>
      <c r="E732" s="52" t="str">
        <f>VLOOKUP($A732,'Выгр Кат'!$A:$R,E$1,0)</f>
        <v>1ск1</v>
      </c>
      <c r="F732" s="52" t="str">
        <f>VLOOKUP($A732,'Выгр Кат'!$A:$R,F$1,0)</f>
        <v>21910570110000</v>
      </c>
      <c r="G732" s="52" t="str">
        <f>IF(VLOOKUP($A732,'Выгр Кат'!$A:$R,G$1,0)=0,"",VLOOKUP($A732,'Выгр Кат'!$A:$R,G$1,0))</f>
        <v/>
      </c>
      <c r="H732" s="52"/>
      <c r="I732" s="52"/>
      <c r="J732" s="54">
        <f t="shared" si="186"/>
        <v>668</v>
      </c>
      <c r="K732" s="55">
        <f>VLOOKUP(J732,Наценка!$A$1:$B$8,2,1)</f>
        <v>1.55</v>
      </c>
      <c r="L732" s="56">
        <f t="shared" si="187"/>
        <v>1035.4000000000001</v>
      </c>
      <c r="M732" s="57">
        <f t="shared" si="188"/>
        <v>1090</v>
      </c>
      <c r="N732" s="52">
        <f>VLOOKUP($A732,'Выгр Кат'!$A:$R,N$1,0)</f>
        <v>668</v>
      </c>
      <c r="O732" s="52">
        <f>VLOOKUP($A732,'Выгр Кат'!$A:$R,O$1,0)</f>
        <v>1090</v>
      </c>
      <c r="P732" s="47">
        <f t="shared" si="189"/>
        <v>0</v>
      </c>
      <c r="Q732" s="47">
        <f t="shared" si="190"/>
        <v>0</v>
      </c>
      <c r="R732" s="58">
        <f t="shared" si="191"/>
        <v>1090</v>
      </c>
      <c r="S732" s="59">
        <f t="shared" si="192"/>
        <v>0.63173652694610771</v>
      </c>
      <c r="T732" s="59" t="str">
        <f t="shared" si="193"/>
        <v/>
      </c>
      <c r="U732" s="59" t="str">
        <f t="shared" si="194"/>
        <v/>
      </c>
      <c r="V732" s="60"/>
      <c r="W732" s="69" t="str">
        <f>IFERROR((VLOOKUP($A732,'Из ГУГЛа'!$B:$Z,W$1,0)+Y732)*X732,VLOOKUP($A732,'Из ГУГЛа'!$B:$Z,W$1,0))</f>
        <v/>
      </c>
      <c r="X732" s="61">
        <v>1</v>
      </c>
      <c r="Y732" s="61">
        <v>0</v>
      </c>
      <c r="Z732" s="60" t="s">
        <v>4170</v>
      </c>
      <c r="AA732" s="60"/>
    </row>
    <row r="733" spans="1:27" ht="30" x14ac:dyDescent="0.25">
      <c r="A733" s="52">
        <v>223604</v>
      </c>
      <c r="B733" s="52">
        <f>VLOOKUP($A733,'Выгр Кат'!$A:$R,B$1,0)</f>
        <v>44899</v>
      </c>
      <c r="C733" s="53" t="str">
        <f>VLOOKUP($A733,'Выгр Кат'!$A:$R,C$1,0)</f>
        <v>Усилитель крыши "АвтоВАЗ" для Лада Калина, Гранта</v>
      </c>
      <c r="D733" s="52" t="str">
        <f>VLOOKUP($A733,'Выгр Кат'!$A:$R,D$1,0)</f>
        <v>Y</v>
      </c>
      <c r="E733" s="52" t="str">
        <f>VLOOKUP($A733,'Выгр Кат'!$A:$R,E$1,0)</f>
        <v>1</v>
      </c>
      <c r="F733" s="52" t="str">
        <f>VLOOKUP($A733,'Выгр Кат'!$A:$R,F$1,0)</f>
        <v>11180570110099</v>
      </c>
      <c r="G733" s="52" t="str">
        <f>IF(VLOOKUP($A733,'Выгр Кат'!$A:$R,G$1,0)=0,"",VLOOKUP($A733,'Выгр Кат'!$A:$R,G$1,0))</f>
        <v>https://motorring.ru/product/16494</v>
      </c>
      <c r="H733" s="52"/>
      <c r="I733" s="52"/>
      <c r="J733" s="54">
        <f t="shared" si="186"/>
        <v>570</v>
      </c>
      <c r="K733" s="55">
        <f>VLOOKUP(J733,Наценка!$A$1:$B$8,2,1)</f>
        <v>1.55</v>
      </c>
      <c r="L733" s="56">
        <f t="shared" si="187"/>
        <v>883.5</v>
      </c>
      <c r="M733" s="57">
        <f t="shared" si="188"/>
        <v>889</v>
      </c>
      <c r="N733" s="52">
        <f>VLOOKUP($A733,'Выгр Кат'!$A:$R,N$1,0)</f>
        <v>570</v>
      </c>
      <c r="O733" s="52">
        <f>VLOOKUP($A733,'Выгр Кат'!$A:$R,O$1,0)</f>
        <v>889</v>
      </c>
      <c r="P733" s="47">
        <f t="shared" si="189"/>
        <v>0</v>
      </c>
      <c r="Q733" s="47">
        <f t="shared" si="190"/>
        <v>0</v>
      </c>
      <c r="R733" s="58">
        <f t="shared" si="191"/>
        <v>889</v>
      </c>
      <c r="S733" s="59">
        <f t="shared" si="192"/>
        <v>0.55964912280701751</v>
      </c>
      <c r="T733" s="59">
        <f t="shared" si="193"/>
        <v>-4.7114252061248529E-2</v>
      </c>
      <c r="U733" s="59">
        <f t="shared" si="194"/>
        <v>0.48947368421052628</v>
      </c>
      <c r="V733" s="42">
        <f t="shared" ref="V733:V736" si="198">Z733</f>
        <v>849</v>
      </c>
      <c r="W733" s="69">
        <f>IFERROR((VLOOKUP($A733,'Из ГУГЛа'!$B:$Z,W$1,0)+Y733)*X733,VLOOKUP($A733,'Из ГУГЛа'!$B:$Z,W$1,0))</f>
        <v>849</v>
      </c>
      <c r="X733" s="61">
        <v>1</v>
      </c>
      <c r="Y733" s="61">
        <v>0</v>
      </c>
      <c r="Z733" s="70">
        <v>849</v>
      </c>
      <c r="AA733" s="60" t="s">
        <v>1918</v>
      </c>
    </row>
    <row r="734" spans="1:27" ht="30" x14ac:dyDescent="0.25">
      <c r="A734" s="52">
        <v>223605</v>
      </c>
      <c r="B734" s="52">
        <f>VLOOKUP($A734,'Выгр Кат'!$A:$R,B$1,0)</f>
        <v>31254</v>
      </c>
      <c r="C734" s="53" t="str">
        <f>VLOOKUP($A734,'Выгр Кат'!$A:$R,C$1,0)</f>
        <v>Усилитель крыши "АвтоВАЗ" задний для Шевроле Нива</v>
      </c>
      <c r="D734" s="52" t="str">
        <f>VLOOKUP($A734,'Выгр Кат'!$A:$R,D$1,0)</f>
        <v>Y</v>
      </c>
      <c r="E734" s="52" t="str">
        <f>VLOOKUP($A734,'Выгр Кат'!$A:$R,E$1,0)</f>
        <v>1</v>
      </c>
      <c r="F734" s="52" t="str">
        <f>VLOOKUP($A734,'Выгр Кат'!$A:$R,F$1,0)</f>
        <v>21230570113000</v>
      </c>
      <c r="G734" s="52" t="str">
        <f>IF(VLOOKUP($A734,'Выгр Кат'!$A:$R,G$1,0)=0,"",VLOOKUP($A734,'Выгр Кат'!$A:$R,G$1,0))</f>
        <v>https://motorring.ru/product/38095-zadniy-usilitely-kryshi-dlya-shevrole-niva-lada-niva-trevel</v>
      </c>
      <c r="H734" s="52"/>
      <c r="I734" s="52"/>
      <c r="J734" s="54">
        <f t="shared" si="186"/>
        <v>208.59</v>
      </c>
      <c r="K734" s="55">
        <f>VLOOKUP(J734,Наценка!$A$1:$B$8,2,1)</f>
        <v>1.8</v>
      </c>
      <c r="L734" s="56">
        <f t="shared" si="187"/>
        <v>375.46199999999999</v>
      </c>
      <c r="M734" s="57">
        <f t="shared" si="188"/>
        <v>379</v>
      </c>
      <c r="N734" s="52">
        <f>VLOOKUP($A734,'Выгр Кат'!$A:$R,N$1,0)</f>
        <v>208.59</v>
      </c>
      <c r="O734" s="52">
        <f>VLOOKUP($A734,'Выгр Кат'!$A:$R,O$1,0)</f>
        <v>379</v>
      </c>
      <c r="P734" s="47">
        <f t="shared" si="189"/>
        <v>0</v>
      </c>
      <c r="Q734" s="47">
        <f t="shared" si="190"/>
        <v>0</v>
      </c>
      <c r="R734" s="58">
        <f t="shared" si="191"/>
        <v>379</v>
      </c>
      <c r="S734" s="59">
        <f t="shared" si="192"/>
        <v>0.81696150342777685</v>
      </c>
      <c r="T734" s="59">
        <f t="shared" si="193"/>
        <v>-0.90452261306532666</v>
      </c>
      <c r="U734" s="59">
        <f t="shared" si="194"/>
        <v>-4.5975358358502305E-2</v>
      </c>
      <c r="V734" s="42">
        <f t="shared" si="198"/>
        <v>199</v>
      </c>
      <c r="W734" s="69">
        <f>IFERROR((VLOOKUP($A734,'Из ГУГЛа'!$B:$Z,W$1,0)+Y734)*X734,VLOOKUP($A734,'Из ГУГЛа'!$B:$Z,W$1,0))</f>
        <v>199</v>
      </c>
      <c r="X734" s="61">
        <v>1</v>
      </c>
      <c r="Y734" s="61">
        <v>0</v>
      </c>
      <c r="Z734" s="70">
        <v>199</v>
      </c>
      <c r="AA734" s="60" t="s">
        <v>1921</v>
      </c>
    </row>
    <row r="735" spans="1:27" ht="30" x14ac:dyDescent="0.25">
      <c r="A735" s="52">
        <v>223606</v>
      </c>
      <c r="B735" s="52">
        <f>VLOOKUP($A735,'Выгр Кат'!$A:$R,B$1,0)</f>
        <v>31267</v>
      </c>
      <c r="C735" s="53" t="str">
        <f>VLOOKUP($A735,'Выгр Кат'!$A:$R,C$1,0)</f>
        <v>Усилитель крыши "АвтоВАЗ" пpaвый в cборе для Шевроле Нива</v>
      </c>
      <c r="D735" s="52" t="str">
        <f>VLOOKUP($A735,'Выгр Кат'!$A:$R,D$1,0)</f>
        <v>Y</v>
      </c>
      <c r="E735" s="52" t="str">
        <f>VLOOKUP($A735,'Выгр Кат'!$A:$R,E$1,0)</f>
        <v>1</v>
      </c>
      <c r="F735" s="52" t="str">
        <f>VLOOKUP($A735,'Выгр Кат'!$A:$R,F$1,0)</f>
        <v>21230540137000</v>
      </c>
      <c r="G735" s="52" t="str">
        <f>IF(VLOOKUP($A735,'Выгр Кат'!$A:$R,G$1,0)=0,"",VLOOKUP($A735,'Выгр Кат'!$A:$R,G$1,0))</f>
        <v>https://motorring.ru/product/37053-usilitely-verhnego-brusa-bokoviny-sredniy-pravyy-2123</v>
      </c>
      <c r="H735" s="52"/>
      <c r="I735" s="52"/>
      <c r="J735" s="54">
        <f t="shared" si="186"/>
        <v>210</v>
      </c>
      <c r="K735" s="55">
        <f>VLOOKUP(J735,Наценка!$A$1:$B$8,2,1)</f>
        <v>1.8</v>
      </c>
      <c r="L735" s="56">
        <f t="shared" si="187"/>
        <v>378</v>
      </c>
      <c r="M735" s="57">
        <f t="shared" si="188"/>
        <v>379</v>
      </c>
      <c r="N735" s="52">
        <f>VLOOKUP($A735,'Выгр Кат'!$A:$R,N$1,0)</f>
        <v>210</v>
      </c>
      <c r="O735" s="52">
        <f>VLOOKUP($A735,'Выгр Кат'!$A:$R,O$1,0)</f>
        <v>379</v>
      </c>
      <c r="P735" s="47">
        <f t="shared" si="189"/>
        <v>0</v>
      </c>
      <c r="Q735" s="47">
        <f t="shared" si="190"/>
        <v>0</v>
      </c>
      <c r="R735" s="58">
        <f t="shared" si="191"/>
        <v>379</v>
      </c>
      <c r="S735" s="59">
        <f t="shared" si="192"/>
        <v>0.80476190476190479</v>
      </c>
      <c r="T735" s="59">
        <f t="shared" si="193"/>
        <v>0.11655011655011654</v>
      </c>
      <c r="U735" s="59">
        <f t="shared" si="194"/>
        <v>1.0428571428571427</v>
      </c>
      <c r="V735" s="42">
        <f t="shared" si="198"/>
        <v>429</v>
      </c>
      <c r="W735" s="69">
        <f>IFERROR((VLOOKUP($A735,'Из ГУГЛа'!$B:$Z,W$1,0)+Y735)*X735,VLOOKUP($A735,'Из ГУГЛа'!$B:$Z,W$1,0))</f>
        <v>429</v>
      </c>
      <c r="X735" s="61">
        <v>1</v>
      </c>
      <c r="Y735" s="61">
        <v>0</v>
      </c>
      <c r="Z735" s="70">
        <v>429</v>
      </c>
      <c r="AA735" s="60" t="s">
        <v>1924</v>
      </c>
    </row>
    <row r="736" spans="1:27" ht="30" x14ac:dyDescent="0.25">
      <c r="A736" s="52">
        <v>223607</v>
      </c>
      <c r="B736" s="52">
        <f>VLOOKUP($A736,'Выгр Кат'!$A:$R,B$1,0)</f>
        <v>31262</v>
      </c>
      <c r="C736" s="53" t="str">
        <f>VLOOKUP($A736,'Выгр Кат'!$A:$R,C$1,0)</f>
        <v>Усилитель крыши "АвтоВАЗ" передний в сборе для Шевроле Нива</v>
      </c>
      <c r="D736" s="52" t="str">
        <f>VLOOKUP($A736,'Выгр Кат'!$A:$R,D$1,0)</f>
        <v>Y</v>
      </c>
      <c r="E736" s="52" t="str">
        <f>VLOOKUP($A736,'Выгр Кат'!$A:$R,E$1,0)</f>
        <v>1</v>
      </c>
      <c r="F736" s="52" t="str">
        <f>VLOOKUP($A736,'Выгр Кат'!$A:$R,F$1,0)</f>
        <v>21230570111055</v>
      </c>
      <c r="G736" s="52" t="str">
        <f>IF(VLOOKUP($A736,'Выгр Кат'!$A:$R,G$1,0)=0,"",VLOOKUP($A736,'Выгр Кат'!$A:$R,G$1,0))</f>
        <v>https://motorring.ru/product/38247-usilitely-vdoly-kryshi-dlya-shevrole-niva</v>
      </c>
      <c r="H736" s="52"/>
      <c r="I736" s="52"/>
      <c r="J736" s="54">
        <f t="shared" si="186"/>
        <v>231</v>
      </c>
      <c r="K736" s="55">
        <f>VLOOKUP(J736,Наценка!$A$1:$B$8,2,1)</f>
        <v>1.8</v>
      </c>
      <c r="L736" s="56">
        <f t="shared" si="187"/>
        <v>415.8</v>
      </c>
      <c r="M736" s="57">
        <f t="shared" si="188"/>
        <v>419</v>
      </c>
      <c r="N736" s="52">
        <f>VLOOKUP($A736,'Выгр Кат'!$A:$R,N$1,0)</f>
        <v>231</v>
      </c>
      <c r="O736" s="52">
        <f>VLOOKUP($A736,'Выгр Кат'!$A:$R,O$1,0)</f>
        <v>419</v>
      </c>
      <c r="P736" s="47">
        <f t="shared" si="189"/>
        <v>0</v>
      </c>
      <c r="Q736" s="47">
        <f t="shared" si="190"/>
        <v>0</v>
      </c>
      <c r="R736" s="58">
        <f t="shared" si="191"/>
        <v>419</v>
      </c>
      <c r="S736" s="59">
        <f t="shared" si="192"/>
        <v>0.81385281385281383</v>
      </c>
      <c r="T736" s="59">
        <f t="shared" si="193"/>
        <v>6.6815144766147E-2</v>
      </c>
      <c r="U736" s="59">
        <f t="shared" si="194"/>
        <v>0.94372294372294374</v>
      </c>
      <c r="V736" s="42">
        <f t="shared" si="198"/>
        <v>449</v>
      </c>
      <c r="W736" s="69">
        <f>IFERROR((VLOOKUP($A736,'Из ГУГЛа'!$B:$Z,W$1,0)+Y736)*X736,VLOOKUP($A736,'Из ГУГЛа'!$B:$Z,W$1,0))</f>
        <v>449</v>
      </c>
      <c r="X736" s="61">
        <v>1</v>
      </c>
      <c r="Y736" s="61">
        <v>0</v>
      </c>
      <c r="Z736" s="70">
        <v>449</v>
      </c>
      <c r="AA736" s="60" t="s">
        <v>1927</v>
      </c>
    </row>
    <row r="737" spans="1:27" ht="30" x14ac:dyDescent="0.25">
      <c r="A737" s="52">
        <v>223608</v>
      </c>
      <c r="B737" s="52">
        <f>VLOOKUP($A737,'Выгр Кат'!$A:$R,B$1,0)</f>
        <v>32666</v>
      </c>
      <c r="C737" s="53" t="str">
        <f>VLOOKUP($A737,'Выгр Кат'!$A:$R,C$1,0)</f>
        <v>Усилитель крыши "АвтоВАЗ" средний для Шевроле Нива</v>
      </c>
      <c r="D737" s="52" t="str">
        <f>VLOOKUP($A737,'Выгр Кат'!$A:$R,D$1,0)</f>
        <v>Y</v>
      </c>
      <c r="E737" s="52" t="str">
        <f>VLOOKUP($A737,'Выгр Кат'!$A:$R,E$1,0)</f>
        <v>1</v>
      </c>
      <c r="F737" s="52" t="str">
        <f>VLOOKUP($A737,'Выгр Кат'!$A:$R,F$1,0)</f>
        <v>21230570110000</v>
      </c>
      <c r="G737" s="52" t="str">
        <f>IF(VLOOKUP($A737,'Выгр Кат'!$A:$R,G$1,0)=0,"",VLOOKUP($A737,'Выгр Кат'!$A:$R,G$1,0))</f>
        <v/>
      </c>
      <c r="H737" s="52"/>
      <c r="I737" s="52"/>
      <c r="J737" s="54">
        <f t="shared" si="186"/>
        <v>352</v>
      </c>
      <c r="K737" s="55">
        <f>VLOOKUP(J737,Наценка!$A$1:$B$8,2,1)</f>
        <v>1.6</v>
      </c>
      <c r="L737" s="56">
        <f t="shared" si="187"/>
        <v>563.20000000000005</v>
      </c>
      <c r="M737" s="57">
        <f t="shared" si="188"/>
        <v>569</v>
      </c>
      <c r="N737" s="52">
        <f>VLOOKUP($A737,'Выгр Кат'!$A:$R,N$1,0)</f>
        <v>352</v>
      </c>
      <c r="O737" s="52">
        <f>VLOOKUP($A737,'Выгр Кат'!$A:$R,O$1,0)</f>
        <v>569</v>
      </c>
      <c r="P737" s="47">
        <f t="shared" si="189"/>
        <v>0</v>
      </c>
      <c r="Q737" s="47">
        <f t="shared" si="190"/>
        <v>0</v>
      </c>
      <c r="R737" s="58">
        <f t="shared" si="191"/>
        <v>569</v>
      </c>
      <c r="S737" s="59">
        <f t="shared" si="192"/>
        <v>0.61647727272727271</v>
      </c>
      <c r="T737" s="59" t="str">
        <f t="shared" si="193"/>
        <v/>
      </c>
      <c r="U737" s="59" t="str">
        <f t="shared" si="194"/>
        <v/>
      </c>
      <c r="V737" s="60"/>
      <c r="W737" s="69" t="str">
        <f>IFERROR((VLOOKUP($A737,'Из ГУГЛа'!$B:$Z,W$1,0)+Y737)*X737,VLOOKUP($A737,'Из ГУГЛа'!$B:$Z,W$1,0))</f>
        <v/>
      </c>
      <c r="X737" s="61">
        <v>1</v>
      </c>
      <c r="Y737" s="61">
        <v>0</v>
      </c>
      <c r="Z737" s="60" t="s">
        <v>4170</v>
      </c>
      <c r="AA737" s="60"/>
    </row>
    <row r="738" spans="1:27" ht="60" x14ac:dyDescent="0.25">
      <c r="A738" s="52">
        <v>223624</v>
      </c>
      <c r="B738" s="52">
        <f>VLOOKUP($A738,'Выгр Кат'!$A:$R,B$1,0)</f>
        <v>23538</v>
      </c>
      <c r="C738" s="53" t="str">
        <f>VLOOKUP($A738,'Выгр Кат'!$A:$R,C$1,0)</f>
        <v>Усилитель лонжерона "АвтоВАЗ" (внутренний, левый, катафорезное покрытие) для ВАЗ 2110-2112, Лада Приора</v>
      </c>
      <c r="D738" s="52" t="str">
        <f>VLOOKUP($A738,'Выгр Кат'!$A:$R,D$1,0)</f>
        <v>Y</v>
      </c>
      <c r="E738" s="52" t="str">
        <f>VLOOKUP($A738,'Выгр Кат'!$A:$R,E$1,0)</f>
        <v>0</v>
      </c>
      <c r="F738" s="52" t="str">
        <f>VLOOKUP($A738,'Выгр Кат'!$A:$R,F$1,0)</f>
        <v>21100840334310</v>
      </c>
      <c r="G738" s="52" t="str">
        <f>IF(VLOOKUP($A738,'Выгр Кат'!$A:$R,G$1,0)=0,"",VLOOKUP($A738,'Выгр Кат'!$A:$R,G$1,0))</f>
        <v/>
      </c>
      <c r="H738" s="52"/>
      <c r="I738" s="52"/>
      <c r="J738" s="54">
        <f t="shared" si="186"/>
        <v>749</v>
      </c>
      <c r="K738" s="55">
        <f>VLOOKUP(J738,Наценка!$A$1:$B$8,2,1)</f>
        <v>1.55</v>
      </c>
      <c r="L738" s="56">
        <f t="shared" si="187"/>
        <v>1160.95</v>
      </c>
      <c r="M738" s="57">
        <f t="shared" si="188"/>
        <v>1190</v>
      </c>
      <c r="N738" s="52">
        <f>VLOOKUP($A738,'Выгр Кат'!$A:$R,N$1,0)</f>
        <v>749</v>
      </c>
      <c r="O738" s="52">
        <f>VLOOKUP($A738,'Выгр Кат'!$A:$R,O$1,0)</f>
        <v>1190</v>
      </c>
      <c r="P738" s="47">
        <f t="shared" si="189"/>
        <v>0</v>
      </c>
      <c r="Q738" s="47">
        <f t="shared" si="190"/>
        <v>0</v>
      </c>
      <c r="R738" s="58">
        <f t="shared" si="191"/>
        <v>1190</v>
      </c>
      <c r="S738" s="59">
        <f t="shared" si="192"/>
        <v>0.58878504672897192</v>
      </c>
      <c r="T738" s="59" t="str">
        <f t="shared" si="193"/>
        <v/>
      </c>
      <c r="U738" s="59" t="str">
        <f t="shared" si="194"/>
        <v/>
      </c>
      <c r="V738" s="60"/>
      <c r="W738" s="69" t="str">
        <f>IFERROR((VLOOKUP($A738,'Из ГУГЛа'!$B:$Z,W$1,0)+Y738)*X738,VLOOKUP($A738,'Из ГУГЛа'!$B:$Z,W$1,0))</f>
        <v/>
      </c>
      <c r="X738" s="61">
        <v>1</v>
      </c>
      <c r="Y738" s="61">
        <v>0</v>
      </c>
      <c r="Z738" s="76" t="s">
        <v>4285</v>
      </c>
      <c r="AA738" s="60"/>
    </row>
    <row r="739" spans="1:27" ht="60" x14ac:dyDescent="0.25">
      <c r="A739" s="52">
        <v>223625</v>
      </c>
      <c r="B739" s="52">
        <f>VLOOKUP($A739,'Выгр Кат'!$A:$R,B$1,0)</f>
        <v>23537</v>
      </c>
      <c r="C739" s="53" t="str">
        <f>VLOOKUP($A739,'Выгр Кат'!$A:$R,C$1,0)</f>
        <v>Усилитель лонжерона "АвтоВАЗ" (внутренний, правый, катафорезное покрытие) для ВАЗ 2110-2112, Лада Приора</v>
      </c>
      <c r="D739" s="52" t="str">
        <f>VLOOKUP($A739,'Выгр Кат'!$A:$R,D$1,0)</f>
        <v>Y</v>
      </c>
      <c r="E739" s="52" t="str">
        <f>VLOOKUP($A739,'Выгр Кат'!$A:$R,E$1,0)</f>
        <v>0</v>
      </c>
      <c r="F739" s="52" t="str">
        <f>VLOOKUP($A739,'Выгр Кат'!$A:$R,F$1,0)</f>
        <v>21100840334210</v>
      </c>
      <c r="G739" s="52" t="str">
        <f>IF(VLOOKUP($A739,'Выгр Кат'!$A:$R,G$1,0)=0,"",VLOOKUP($A739,'Выгр Кат'!$A:$R,G$1,0))</f>
        <v/>
      </c>
      <c r="H739" s="52"/>
      <c r="I739" s="52"/>
      <c r="J739" s="54">
        <f t="shared" si="186"/>
        <v>1110</v>
      </c>
      <c r="K739" s="55">
        <f>VLOOKUP(J739,Наценка!$A$1:$B$8,2,1)</f>
        <v>1.5</v>
      </c>
      <c r="L739" s="56">
        <f t="shared" si="187"/>
        <v>1665</v>
      </c>
      <c r="M739" s="57">
        <f t="shared" si="188"/>
        <v>1690</v>
      </c>
      <c r="N739" s="52">
        <f>VLOOKUP($A739,'Выгр Кат'!$A:$R,N$1,0)</f>
        <v>1110</v>
      </c>
      <c r="O739" s="52">
        <f>VLOOKUP($A739,'Выгр Кат'!$A:$R,O$1,0)</f>
        <v>1690</v>
      </c>
      <c r="P739" s="47">
        <f t="shared" si="189"/>
        <v>0</v>
      </c>
      <c r="Q739" s="47">
        <f t="shared" si="190"/>
        <v>0</v>
      </c>
      <c r="R739" s="58">
        <f t="shared" si="191"/>
        <v>1690</v>
      </c>
      <c r="S739" s="59">
        <f t="shared" si="192"/>
        <v>0.52252252252252251</v>
      </c>
      <c r="T739" s="59" t="str">
        <f t="shared" si="193"/>
        <v/>
      </c>
      <c r="U739" s="59" t="str">
        <f t="shared" si="194"/>
        <v/>
      </c>
      <c r="V739" s="60"/>
      <c r="W739" s="69" t="str">
        <f>IFERROR((VLOOKUP($A739,'Из ГУГЛа'!$B:$Z,W$1,0)+Y739)*X739,VLOOKUP($A739,'Из ГУГЛа'!$B:$Z,W$1,0))</f>
        <v/>
      </c>
      <c r="X739" s="61">
        <v>1</v>
      </c>
      <c r="Y739" s="61">
        <v>0</v>
      </c>
      <c r="Z739" s="76" t="s">
        <v>4285</v>
      </c>
      <c r="AA739" s="60"/>
    </row>
    <row r="740" spans="1:27" ht="30" x14ac:dyDescent="0.25">
      <c r="A740" s="52">
        <v>223626</v>
      </c>
      <c r="B740" s="52">
        <f>VLOOKUP($A740,'Выгр Кат'!$A:$R,B$1,0)</f>
        <v>32743</v>
      </c>
      <c r="C740" s="53" t="str">
        <f>VLOOKUP($A740,'Выгр Кат'!$A:$R,C$1,0)</f>
        <v>Усилитель лонжерона "АвтоВАЗ" левый в сборе для Лада Веста</v>
      </c>
      <c r="D740" s="52" t="str">
        <f>VLOOKUP($A740,'Выгр Кат'!$A:$R,D$1,0)</f>
        <v>Y</v>
      </c>
      <c r="E740" s="52" t="str">
        <f>VLOOKUP($A740,'Выгр Кат'!$A:$R,E$1,0)</f>
        <v>1</v>
      </c>
      <c r="F740" s="52" t="str">
        <f>VLOOKUP($A740,'Выгр Кат'!$A:$R,F$1,0)</f>
        <v>8460008777</v>
      </c>
      <c r="G740" s="52" t="str">
        <f>IF(VLOOKUP($A740,'Выгр Кат'!$A:$R,G$1,0)=0,"",VLOOKUP($A740,'Выгр Кат'!$A:$R,G$1,0))</f>
        <v>https://motorring.ru/product/38282-levyy-peredniy-usilitely-longherona-dlya-lada-vesta</v>
      </c>
      <c r="H740" s="52"/>
      <c r="I740" s="52"/>
      <c r="J740" s="54">
        <f t="shared" si="186"/>
        <v>2406</v>
      </c>
      <c r="K740" s="55">
        <f>VLOOKUP(J740,Наценка!$A$1:$B$8,2,1)</f>
        <v>1.4</v>
      </c>
      <c r="L740" s="56">
        <f t="shared" si="187"/>
        <v>3368.3999999999996</v>
      </c>
      <c r="M740" s="57">
        <f t="shared" si="188"/>
        <v>3390</v>
      </c>
      <c r="N740" s="52">
        <f>VLOOKUP($A740,'Выгр Кат'!$A:$R,N$1,0)</f>
        <v>2406</v>
      </c>
      <c r="O740" s="52">
        <f>VLOOKUP($A740,'Выгр Кат'!$A:$R,O$1,0)</f>
        <v>3390</v>
      </c>
      <c r="P740" s="47">
        <f t="shared" si="189"/>
        <v>0</v>
      </c>
      <c r="Q740" s="47">
        <f t="shared" si="190"/>
        <v>0</v>
      </c>
      <c r="R740" s="58">
        <f t="shared" si="191"/>
        <v>3390</v>
      </c>
      <c r="S740" s="59">
        <f t="shared" si="192"/>
        <v>0.40897755610972575</v>
      </c>
      <c r="T740" s="59">
        <f t="shared" si="193"/>
        <v>0</v>
      </c>
      <c r="U740" s="59">
        <f t="shared" si="194"/>
        <v>0.40897755610972575</v>
      </c>
      <c r="V740" s="42">
        <f>Z740</f>
        <v>3390</v>
      </c>
      <c r="W740" s="69">
        <f>IFERROR((VLOOKUP($A740,'Из ГУГЛа'!$B:$Z,W$1,0)+Y740)*X740,VLOOKUP($A740,'Из ГУГЛа'!$B:$Z,W$1,0))</f>
        <v>3390</v>
      </c>
      <c r="X740" s="61">
        <v>1</v>
      </c>
      <c r="Y740" s="61">
        <v>0</v>
      </c>
      <c r="Z740" s="70">
        <v>3390</v>
      </c>
      <c r="AA740" s="60" t="s">
        <v>1936</v>
      </c>
    </row>
    <row r="741" spans="1:27" ht="30" x14ac:dyDescent="0.25">
      <c r="A741" s="52">
        <v>223627</v>
      </c>
      <c r="B741" s="52">
        <f>VLOOKUP($A741,'Выгр Кат'!$A:$R,B$1,0)</f>
        <v>31431</v>
      </c>
      <c r="C741" s="53" t="str">
        <f>VLOOKUP($A741,'Выгр Кат'!$A:$R,C$1,0)</f>
        <v>Усилитель лонжерона "АвтоВАЗ" левый для ВАЗ 2108-21099, 2113-2115</v>
      </c>
      <c r="D741" s="52" t="str">
        <f>VLOOKUP($A741,'Выгр Кат'!$A:$R,D$1,0)</f>
        <v>Y</v>
      </c>
      <c r="E741" s="52" t="str">
        <f>VLOOKUP($A741,'Выгр Кат'!$A:$R,E$1,0)</f>
        <v>1</v>
      </c>
      <c r="F741" s="52" t="str">
        <f>VLOOKUP($A741,'Выгр Кат'!$A:$R,F$1,0)</f>
        <v>21080510137700</v>
      </c>
      <c r="G741" s="52" t="str">
        <f>IF(VLOOKUP($A741,'Выгр Кат'!$A:$R,G$1,0)=0,"",VLOOKUP($A741,'Выгр Кат'!$A:$R,G$1,0))</f>
        <v/>
      </c>
      <c r="H741" s="52"/>
      <c r="I741" s="52"/>
      <c r="J741" s="54">
        <f t="shared" si="186"/>
        <v>114</v>
      </c>
      <c r="K741" s="55">
        <f>VLOOKUP(J741,Наценка!$A$1:$B$8,2,1)</f>
        <v>1.8</v>
      </c>
      <c r="L741" s="56">
        <f t="shared" si="187"/>
        <v>205.20000000000002</v>
      </c>
      <c r="M741" s="57">
        <f t="shared" si="188"/>
        <v>209</v>
      </c>
      <c r="N741" s="52">
        <f>VLOOKUP($A741,'Выгр Кат'!$A:$R,N$1,0)</f>
        <v>114</v>
      </c>
      <c r="O741" s="52">
        <f>VLOOKUP($A741,'Выгр Кат'!$A:$R,O$1,0)</f>
        <v>209</v>
      </c>
      <c r="P741" s="47">
        <f t="shared" si="189"/>
        <v>0</v>
      </c>
      <c r="Q741" s="47">
        <f t="shared" si="190"/>
        <v>0</v>
      </c>
      <c r="R741" s="58">
        <f t="shared" si="191"/>
        <v>209</v>
      </c>
      <c r="S741" s="59">
        <f t="shared" si="192"/>
        <v>0.83333333333333326</v>
      </c>
      <c r="T741" s="59" t="str">
        <f t="shared" si="193"/>
        <v/>
      </c>
      <c r="U741" s="59" t="str">
        <f t="shared" si="194"/>
        <v/>
      </c>
      <c r="V741" s="60"/>
      <c r="W741" s="69" t="str">
        <f>IFERROR((VLOOKUP($A741,'Из ГУГЛа'!$B:$Z,W$1,0)+Y741)*X741,VLOOKUP($A741,'Из ГУГЛа'!$B:$Z,W$1,0))</f>
        <v/>
      </c>
      <c r="X741" s="61">
        <v>1</v>
      </c>
      <c r="Y741" s="61">
        <v>0</v>
      </c>
      <c r="Z741" s="60" t="s">
        <v>4170</v>
      </c>
      <c r="AA741" s="60"/>
    </row>
    <row r="742" spans="1:27" ht="45" x14ac:dyDescent="0.25">
      <c r="A742" s="52">
        <v>223628</v>
      </c>
      <c r="B742" s="52">
        <f>VLOOKUP($A742,'Выгр Кат'!$A:$R,B$1,0)</f>
        <v>50882</v>
      </c>
      <c r="C742" s="53" t="str">
        <f>VLOOKUP($A742,'Выгр Кат'!$A:$R,C$1,0)</f>
        <v>Усилитель лонжерона "АвтоВАЗ" переднего левого (катафорез) для Лада XRAY</v>
      </c>
      <c r="D742" s="52" t="str">
        <f>VLOOKUP($A742,'Выгр Кат'!$A:$R,D$1,0)</f>
        <v>Y</v>
      </c>
      <c r="E742" s="52" t="str">
        <f>VLOOKUP($A742,'Выгр Кат'!$A:$R,E$1,0)</f>
        <v>1</v>
      </c>
      <c r="F742" s="52" t="str">
        <f>VLOOKUP($A742,'Выгр Кат'!$A:$R,F$1,0)</f>
        <v>751270580R</v>
      </c>
      <c r="G742" s="52" t="str">
        <f>IF(VLOOKUP($A742,'Выгр Кат'!$A:$R,G$1,0)=0,"",VLOOKUP($A742,'Выгр Кат'!$A:$R,G$1,0))</f>
        <v/>
      </c>
      <c r="H742" s="52"/>
      <c r="I742" s="52"/>
      <c r="J742" s="54">
        <f t="shared" si="186"/>
        <v>4549</v>
      </c>
      <c r="K742" s="55">
        <f>VLOOKUP(J742,Наценка!$A$1:$B$8,2,1)</f>
        <v>1.4</v>
      </c>
      <c r="L742" s="56">
        <f t="shared" si="187"/>
        <v>6368.5999999999995</v>
      </c>
      <c r="M742" s="57">
        <f t="shared" si="188"/>
        <v>6390</v>
      </c>
      <c r="N742" s="52">
        <f>VLOOKUP($A742,'Выгр Кат'!$A:$R,N$1,0)</f>
        <v>4549</v>
      </c>
      <c r="O742" s="52">
        <f>VLOOKUP($A742,'Выгр Кат'!$A:$R,O$1,0)</f>
        <v>6390</v>
      </c>
      <c r="P742" s="47">
        <f t="shared" si="189"/>
        <v>0</v>
      </c>
      <c r="Q742" s="47">
        <f t="shared" si="190"/>
        <v>0</v>
      </c>
      <c r="R742" s="58">
        <f t="shared" si="191"/>
        <v>6390</v>
      </c>
      <c r="S742" s="59">
        <f t="shared" si="192"/>
        <v>0.40470433062211475</v>
      </c>
      <c r="T742" s="59" t="str">
        <f t="shared" si="193"/>
        <v/>
      </c>
      <c r="U742" s="59" t="str">
        <f t="shared" si="194"/>
        <v/>
      </c>
      <c r="V742" s="60"/>
      <c r="W742" s="69" t="str">
        <f>IFERROR((VLOOKUP($A742,'Из ГУГЛа'!$B:$Z,W$1,0)+Y742)*X742,VLOOKUP($A742,'Из ГУГЛа'!$B:$Z,W$1,0))</f>
        <v/>
      </c>
      <c r="X742" s="61">
        <v>1</v>
      </c>
      <c r="Y742" s="61">
        <v>0</v>
      </c>
      <c r="Z742" s="62" t="s">
        <v>4170</v>
      </c>
      <c r="AA742" s="60"/>
    </row>
    <row r="743" spans="1:27" ht="45" x14ac:dyDescent="0.25">
      <c r="A743" s="52">
        <v>223629</v>
      </c>
      <c r="B743" s="52">
        <f>VLOOKUP($A743,'Выгр Кат'!$A:$R,B$1,0)</f>
        <v>31470</v>
      </c>
      <c r="C743" s="53" t="str">
        <f>VLOOKUP($A743,'Выгр Кат'!$A:$R,C$1,0)</f>
        <v>Усилитель лонжерона "АвтоВАЗ" передний левый в сборе для Лада Калина седан, хэтчбек</v>
      </c>
      <c r="D743" s="52" t="str">
        <f>VLOOKUP($A743,'Выгр Кат'!$A:$R,D$1,0)</f>
        <v>Y</v>
      </c>
      <c r="E743" s="52" t="str">
        <f>VLOOKUP($A743,'Выгр Кат'!$A:$R,E$1,0)</f>
        <v>1</v>
      </c>
      <c r="F743" s="52" t="str">
        <f>VLOOKUP($A743,'Выгр Кат'!$A:$R,F$1,0)</f>
        <v>11180510138700</v>
      </c>
      <c r="G743" s="52" t="str">
        <f>IF(VLOOKUP($A743,'Выгр Кат'!$A:$R,G$1,0)=0,"",VLOOKUP($A743,'Выгр Кат'!$A:$R,G$1,0))</f>
        <v/>
      </c>
      <c r="H743" s="52"/>
      <c r="I743" s="52"/>
      <c r="J743" s="54">
        <f t="shared" si="186"/>
        <v>30</v>
      </c>
      <c r="K743" s="55">
        <f>VLOOKUP(J743,Наценка!$A$1:$B$8,2,1)</f>
        <v>2</v>
      </c>
      <c r="L743" s="56">
        <f t="shared" si="187"/>
        <v>60</v>
      </c>
      <c r="M743" s="57">
        <f t="shared" si="188"/>
        <v>59</v>
      </c>
      <c r="N743" s="52">
        <f>VLOOKUP($A743,'Выгр Кат'!$A:$R,N$1,0)</f>
        <v>30</v>
      </c>
      <c r="O743" s="52">
        <f>VLOOKUP($A743,'Выгр Кат'!$A:$R,O$1,0)</f>
        <v>59</v>
      </c>
      <c r="P743" s="47">
        <f t="shared" si="189"/>
        <v>0</v>
      </c>
      <c r="Q743" s="47">
        <f t="shared" si="190"/>
        <v>0</v>
      </c>
      <c r="R743" s="58">
        <f t="shared" si="191"/>
        <v>59</v>
      </c>
      <c r="S743" s="59">
        <f t="shared" si="192"/>
        <v>0.96666666666666656</v>
      </c>
      <c r="T743" s="59" t="str">
        <f t="shared" si="193"/>
        <v/>
      </c>
      <c r="U743" s="59" t="str">
        <f t="shared" si="194"/>
        <v/>
      </c>
      <c r="V743" s="60"/>
      <c r="W743" s="69" t="str">
        <f>IFERROR((VLOOKUP($A743,'Из ГУГЛа'!$B:$Z,W$1,0)+Y743)*X743,VLOOKUP($A743,'Из ГУГЛа'!$B:$Z,W$1,0))</f>
        <v/>
      </c>
      <c r="X743" s="61">
        <v>1</v>
      </c>
      <c r="Y743" s="61">
        <v>0</v>
      </c>
      <c r="Z743" s="60" t="s">
        <v>4170</v>
      </c>
      <c r="AA743" s="60"/>
    </row>
    <row r="744" spans="1:27" ht="30" x14ac:dyDescent="0.25">
      <c r="A744" s="52">
        <v>223630</v>
      </c>
      <c r="B744" s="52">
        <f>VLOOKUP($A744,'Выгр Кат'!$A:$R,B$1,0)</f>
        <v>31432</v>
      </c>
      <c r="C744" s="53" t="str">
        <f>VLOOKUP($A744,'Выгр Кат'!$A:$R,C$1,0)</f>
        <v>Усилитель лонжерона "АвтоВАЗ" правый для ВАЗ 2108-21099, 2113-2115</v>
      </c>
      <c r="D744" s="52" t="str">
        <f>VLOOKUP($A744,'Выгр Кат'!$A:$R,D$1,0)</f>
        <v>Y</v>
      </c>
      <c r="E744" s="52" t="str">
        <f>VLOOKUP($A744,'Выгр Кат'!$A:$R,E$1,0)</f>
        <v>1</v>
      </c>
      <c r="F744" s="52" t="str">
        <f>VLOOKUP($A744,'Выгр Кат'!$A:$R,F$1,0)</f>
        <v>21080510137600</v>
      </c>
      <c r="G744" s="52" t="str">
        <f>IF(VLOOKUP($A744,'Выгр Кат'!$A:$R,G$1,0)=0,"",VLOOKUP($A744,'Выгр Кат'!$A:$R,G$1,0))</f>
        <v/>
      </c>
      <c r="H744" s="52"/>
      <c r="I744" s="52"/>
      <c r="J744" s="54">
        <f t="shared" si="186"/>
        <v>600</v>
      </c>
      <c r="K744" s="55">
        <f>VLOOKUP(J744,Наценка!$A$1:$B$8,2,1)</f>
        <v>1.55</v>
      </c>
      <c r="L744" s="56">
        <f t="shared" si="187"/>
        <v>930</v>
      </c>
      <c r="M744" s="57">
        <f t="shared" si="188"/>
        <v>929</v>
      </c>
      <c r="N744" s="52">
        <f>VLOOKUP($A744,'Выгр Кат'!$A:$R,N$1,0)</f>
        <v>600</v>
      </c>
      <c r="O744" s="52">
        <f>VLOOKUP($A744,'Выгр Кат'!$A:$R,O$1,0)</f>
        <v>929</v>
      </c>
      <c r="P744" s="47">
        <f t="shared" si="189"/>
        <v>0</v>
      </c>
      <c r="Q744" s="47">
        <f t="shared" si="190"/>
        <v>0</v>
      </c>
      <c r="R744" s="58">
        <f t="shared" si="191"/>
        <v>929</v>
      </c>
      <c r="S744" s="59">
        <f t="shared" si="192"/>
        <v>0.54833333333333334</v>
      </c>
      <c r="T744" s="59" t="str">
        <f t="shared" si="193"/>
        <v/>
      </c>
      <c r="U744" s="59" t="str">
        <f t="shared" si="194"/>
        <v/>
      </c>
      <c r="V744" s="60"/>
      <c r="W744" s="69" t="str">
        <f>IFERROR((VLOOKUP($A744,'Из ГУГЛа'!$B:$Z,W$1,0)+Y744)*X744,VLOOKUP($A744,'Из ГУГЛа'!$B:$Z,W$1,0))</f>
        <v/>
      </c>
      <c r="X744" s="61">
        <v>1</v>
      </c>
      <c r="Y744" s="61">
        <v>0</v>
      </c>
      <c r="Z744" s="60" t="s">
        <v>4170</v>
      </c>
      <c r="AA744" s="60"/>
    </row>
    <row r="745" spans="1:27" ht="30" x14ac:dyDescent="0.25">
      <c r="A745" s="52">
        <v>223631</v>
      </c>
      <c r="B745" s="52">
        <f>VLOOKUP($A745,'Выгр Кат'!$A:$R,B$1,0)</f>
        <v>31012</v>
      </c>
      <c r="C745" s="53" t="str">
        <f>VLOOKUP($A745,'Выгр Кат'!$A:$R,C$1,0)</f>
        <v>Усилитель лонжерона правый "Renault" в сборе для Лада Ларгус</v>
      </c>
      <c r="D745" s="52" t="str">
        <f>VLOOKUP($A745,'Выгр Кат'!$A:$R,D$1,0)</f>
        <v>Y</v>
      </c>
      <c r="E745" s="52" t="str">
        <f>VLOOKUP($A745,'Выгр Кат'!$A:$R,E$1,0)</f>
        <v>1</v>
      </c>
      <c r="F745" s="52" t="str">
        <f>VLOOKUP($A745,'Выгр Кат'!$A:$R,F$1,0)</f>
        <v>751321765R</v>
      </c>
      <c r="G745" s="52" t="str">
        <f>IF(VLOOKUP($A745,'Выгр Кат'!$A:$R,G$1,0)=0,"",VLOOKUP($A745,'Выгр Кат'!$A:$R,G$1,0))</f>
        <v/>
      </c>
      <c r="H745" s="52"/>
      <c r="I745" s="52"/>
      <c r="J745" s="54">
        <f t="shared" si="186"/>
        <v>4670</v>
      </c>
      <c r="K745" s="55">
        <f>VLOOKUP(J745,Наценка!$A$1:$B$8,2,1)</f>
        <v>1.4</v>
      </c>
      <c r="L745" s="56">
        <f t="shared" si="187"/>
        <v>6538</v>
      </c>
      <c r="M745" s="57">
        <f t="shared" si="188"/>
        <v>6590</v>
      </c>
      <c r="N745" s="52">
        <f>VLOOKUP($A745,'Выгр Кат'!$A:$R,N$1,0)</f>
        <v>4670</v>
      </c>
      <c r="O745" s="52">
        <f>VLOOKUP($A745,'Выгр Кат'!$A:$R,O$1,0)</f>
        <v>6590</v>
      </c>
      <c r="P745" s="47">
        <f t="shared" si="189"/>
        <v>0</v>
      </c>
      <c r="Q745" s="47">
        <f t="shared" si="190"/>
        <v>0</v>
      </c>
      <c r="R745" s="58">
        <f t="shared" si="191"/>
        <v>6590</v>
      </c>
      <c r="S745" s="59">
        <f t="shared" si="192"/>
        <v>0.41113490364025695</v>
      </c>
      <c r="T745" s="59" t="str">
        <f t="shared" si="193"/>
        <v/>
      </c>
      <c r="U745" s="59" t="str">
        <f t="shared" si="194"/>
        <v/>
      </c>
      <c r="V745" s="60"/>
      <c r="W745" s="69" t="str">
        <f>IFERROR((VLOOKUP($A745,'Из ГУГЛа'!$B:$Z,W$1,0)+Y745)*X745,VLOOKUP($A745,'Из ГУГЛа'!$B:$Z,W$1,0))</f>
        <v/>
      </c>
      <c r="X745" s="61">
        <v>1</v>
      </c>
      <c r="Y745" s="61">
        <v>0</v>
      </c>
      <c r="Z745" s="60" t="s">
        <v>4170</v>
      </c>
      <c r="AA745" s="60"/>
    </row>
    <row r="746" spans="1:27" ht="30" x14ac:dyDescent="0.25">
      <c r="A746" s="52">
        <v>223632</v>
      </c>
      <c r="B746" s="52">
        <f>VLOOKUP($A746,'Выгр Кат'!$A:$R,B$1,0)</f>
        <v>31017</v>
      </c>
      <c r="C746" s="53" t="str">
        <f>VLOOKUP($A746,'Выгр Кат'!$A:$R,C$1,0)</f>
        <v>Усилитель панели брызговика левый "Renault" в сборе для Лада Ларгус</v>
      </c>
      <c r="D746" s="52" t="str">
        <f>VLOOKUP($A746,'Выгр Кат'!$A:$R,D$1,0)</f>
        <v>Y</v>
      </c>
      <c r="E746" s="52" t="str">
        <f>VLOOKUP($A746,'Выгр Кат'!$A:$R,E$1,0)</f>
        <v>1</v>
      </c>
      <c r="F746" s="52" t="str">
        <f>VLOOKUP($A746,'Выгр Кат'!$A:$R,F$1,0)</f>
        <v>6001549860</v>
      </c>
      <c r="G746" s="52" t="str">
        <f>IF(VLOOKUP($A746,'Выгр Кат'!$A:$R,G$1,0)=0,"",VLOOKUP($A746,'Выгр Кат'!$A:$R,G$1,0))</f>
        <v/>
      </c>
      <c r="H746" s="52"/>
      <c r="I746" s="52"/>
      <c r="J746" s="54">
        <f t="shared" si="186"/>
        <v>6468</v>
      </c>
      <c r="K746" s="55">
        <f>VLOOKUP(J746,Наценка!$A$1:$B$8,2,1)</f>
        <v>1.35</v>
      </c>
      <c r="L746" s="56">
        <f t="shared" si="187"/>
        <v>8731.8000000000011</v>
      </c>
      <c r="M746" s="57">
        <f t="shared" si="188"/>
        <v>8790</v>
      </c>
      <c r="N746" s="52">
        <f>VLOOKUP($A746,'Выгр Кат'!$A:$R,N$1,0)</f>
        <v>6468</v>
      </c>
      <c r="O746" s="52">
        <f>VLOOKUP($A746,'Выгр Кат'!$A:$R,O$1,0)</f>
        <v>8790</v>
      </c>
      <c r="P746" s="47">
        <f t="shared" si="189"/>
        <v>0</v>
      </c>
      <c r="Q746" s="47">
        <f t="shared" si="190"/>
        <v>0</v>
      </c>
      <c r="R746" s="58">
        <f t="shared" si="191"/>
        <v>8790</v>
      </c>
      <c r="S746" s="59">
        <f t="shared" si="192"/>
        <v>0.35899814471243041</v>
      </c>
      <c r="T746" s="59" t="str">
        <f t="shared" si="193"/>
        <v/>
      </c>
      <c r="U746" s="59" t="str">
        <f t="shared" si="194"/>
        <v/>
      </c>
      <c r="V746" s="60"/>
      <c r="W746" s="69" t="str">
        <f>IFERROR((VLOOKUP($A746,'Из ГУГЛа'!$B:$Z,W$1,0)+Y746)*X746,VLOOKUP($A746,'Из ГУГЛа'!$B:$Z,W$1,0))</f>
        <v/>
      </c>
      <c r="X746" s="61">
        <v>1</v>
      </c>
      <c r="Y746" s="61">
        <v>0</v>
      </c>
      <c r="Z746" s="60" t="s">
        <v>4170</v>
      </c>
      <c r="AA746" s="60"/>
    </row>
    <row r="747" spans="1:27" ht="45" x14ac:dyDescent="0.25">
      <c r="A747" s="52">
        <v>223633</v>
      </c>
      <c r="B747" s="52">
        <f>VLOOKUP($A747,'Выгр Кат'!$A:$R,B$1,0)</f>
        <v>50708</v>
      </c>
      <c r="C747" s="53" t="str">
        <f>VLOOKUP($A747,'Выгр Кат'!$A:$R,C$1,0)</f>
        <v>Усилитель панели рамки радиатора "АвтоВАЗ" левый для Лада Веста, Веста Кросс, Веста Спорт</v>
      </c>
      <c r="D747" s="52" t="str">
        <f>VLOOKUP($A747,'Выгр Кат'!$A:$R,D$1,0)</f>
        <v>Y</v>
      </c>
      <c r="E747" s="52" t="str">
        <f>VLOOKUP($A747,'Выгр Кат'!$A:$R,E$1,0)</f>
        <v>1</v>
      </c>
      <c r="F747" s="52" t="str">
        <f>VLOOKUP($A747,'Выгр Кат'!$A:$R,F$1,0)</f>
        <v>8450039445</v>
      </c>
      <c r="G747" s="52" t="str">
        <f>IF(VLOOKUP($A747,'Выгр Кат'!$A:$R,G$1,0)=0,"",VLOOKUP($A747,'Выгр Кат'!$A:$R,G$1,0))</f>
        <v/>
      </c>
      <c r="H747" s="52"/>
      <c r="I747" s="52"/>
      <c r="J747" s="54">
        <f t="shared" si="186"/>
        <v>204</v>
      </c>
      <c r="K747" s="55">
        <f>VLOOKUP(J747,Наценка!$A$1:$B$8,2,1)</f>
        <v>1.8</v>
      </c>
      <c r="L747" s="56">
        <f t="shared" si="187"/>
        <v>367.2</v>
      </c>
      <c r="M747" s="57">
        <f t="shared" si="188"/>
        <v>369</v>
      </c>
      <c r="N747" s="52">
        <f>VLOOKUP($A747,'Выгр Кат'!$A:$R,N$1,0)</f>
        <v>204</v>
      </c>
      <c r="O747" s="52">
        <f>VLOOKUP($A747,'Выгр Кат'!$A:$R,O$1,0)</f>
        <v>289</v>
      </c>
      <c r="P747" s="47">
        <f t="shared" si="189"/>
        <v>0</v>
      </c>
      <c r="Q747" s="47">
        <f t="shared" si="190"/>
        <v>-80</v>
      </c>
      <c r="R747" s="58">
        <f t="shared" si="191"/>
        <v>369</v>
      </c>
      <c r="S747" s="59">
        <f t="shared" si="192"/>
        <v>0.80882352941176472</v>
      </c>
      <c r="T747" s="59" t="str">
        <f t="shared" si="193"/>
        <v/>
      </c>
      <c r="U747" s="59" t="str">
        <f t="shared" si="194"/>
        <v/>
      </c>
      <c r="V747" s="60"/>
      <c r="W747" s="69" t="str">
        <f>IFERROR((VLOOKUP($A747,'Из ГУГЛа'!$B:$Z,W$1,0)+Y747)*X747,VLOOKUP($A747,'Из ГУГЛа'!$B:$Z,W$1,0))</f>
        <v/>
      </c>
      <c r="X747" s="61">
        <v>1</v>
      </c>
      <c r="Y747" s="61">
        <v>0</v>
      </c>
      <c r="Z747" s="60" t="s">
        <v>4170</v>
      </c>
      <c r="AA747" s="60"/>
    </row>
    <row r="748" spans="1:27" ht="30" x14ac:dyDescent="0.25">
      <c r="A748" s="52">
        <v>223641</v>
      </c>
      <c r="B748" s="52">
        <f>VLOOKUP($A748,'Выгр Кат'!$A:$R,B$1,0)</f>
        <v>8338</v>
      </c>
      <c r="C748" s="53" t="str">
        <f>VLOOKUP($A748,'Выгр Кат'!$A:$R,C$1,0)</f>
        <v>Усилитель переднего бампера "АвтоВАЗ" для Лада Калина 2</v>
      </c>
      <c r="D748" s="52" t="str">
        <f>VLOOKUP($A748,'Выгр Кат'!$A:$R,D$1,0)</f>
        <v>Y</v>
      </c>
      <c r="E748" s="52" t="str">
        <f>VLOOKUP($A748,'Выгр Кат'!$A:$R,E$1,0)</f>
        <v>1</v>
      </c>
      <c r="F748" s="52" t="str">
        <f>VLOOKUP($A748,'Выгр Кат'!$A:$R,F$1,0)</f>
        <v>2190280313100</v>
      </c>
      <c r="G748" s="52" t="str">
        <f>IF(VLOOKUP($A748,'Выгр Кат'!$A:$R,G$1,0)=0,"",VLOOKUP($A748,'Выгр Кат'!$A:$R,G$1,0))</f>
        <v/>
      </c>
      <c r="H748" s="52"/>
      <c r="I748" s="52"/>
      <c r="J748" s="54">
        <f t="shared" si="186"/>
        <v>600</v>
      </c>
      <c r="K748" s="55">
        <f>VLOOKUP(J748,Наценка!$A$1:$B$8,2,1)</f>
        <v>1.55</v>
      </c>
      <c r="L748" s="56">
        <f t="shared" si="187"/>
        <v>930</v>
      </c>
      <c r="M748" s="57">
        <f t="shared" si="188"/>
        <v>929</v>
      </c>
      <c r="N748" s="52">
        <f>VLOOKUP($A748,'Выгр Кат'!$A:$R,N$1,0)</f>
        <v>600</v>
      </c>
      <c r="O748" s="52">
        <f>VLOOKUP($A748,'Выгр Кат'!$A:$R,O$1,0)</f>
        <v>929</v>
      </c>
      <c r="P748" s="47">
        <f t="shared" si="189"/>
        <v>0</v>
      </c>
      <c r="Q748" s="47">
        <f t="shared" si="190"/>
        <v>0</v>
      </c>
      <c r="R748" s="58">
        <f t="shared" si="191"/>
        <v>929</v>
      </c>
      <c r="S748" s="59">
        <f t="shared" si="192"/>
        <v>0.54833333333333334</v>
      </c>
      <c r="T748" s="59" t="str">
        <f t="shared" si="193"/>
        <v/>
      </c>
      <c r="U748" s="59" t="str">
        <f t="shared" si="194"/>
        <v/>
      </c>
      <c r="V748" s="60"/>
      <c r="W748" s="69" t="str">
        <f>IFERROR((VLOOKUP($A748,'Из ГУГЛа'!$B:$Z,W$1,0)+Y748)*X748,VLOOKUP($A748,'Из ГУГЛа'!$B:$Z,W$1,0))</f>
        <v/>
      </c>
      <c r="X748" s="61">
        <v>1</v>
      </c>
      <c r="Y748" s="61">
        <v>0</v>
      </c>
      <c r="Z748" s="60" t="s">
        <v>4170</v>
      </c>
      <c r="AA748" s="60"/>
    </row>
    <row r="749" spans="1:27" ht="45" x14ac:dyDescent="0.25">
      <c r="A749" s="52">
        <v>223645</v>
      </c>
      <c r="B749" s="52">
        <f>VLOOKUP($A749,'Выгр Кат'!$A:$R,B$1,0)</f>
        <v>31154</v>
      </c>
      <c r="C749" s="53" t="str">
        <f>VLOOKUP($A749,'Выгр Кат'!$A:$R,C$1,0)</f>
        <v>Усилитель переднего пола левый в сборе (катафорез) "АвтоВАЗ" для Лада Веста седан</v>
      </c>
      <c r="D749" s="52" t="str">
        <f>VLOOKUP($A749,'Выгр Кат'!$A:$R,D$1,0)</f>
        <v>Y</v>
      </c>
      <c r="E749" s="52" t="str">
        <f>VLOOKUP($A749,'Выгр Кат'!$A:$R,E$1,0)</f>
        <v>1</v>
      </c>
      <c r="F749" s="52" t="str">
        <f>VLOOKUP($A749,'Выгр Кат'!$A:$R,F$1,0)</f>
        <v>8450039339</v>
      </c>
      <c r="G749" s="52" t="str">
        <f>IF(VLOOKUP($A749,'Выгр Кат'!$A:$R,G$1,0)=0,"",VLOOKUP($A749,'Выгр Кат'!$A:$R,G$1,0))</f>
        <v/>
      </c>
      <c r="H749" s="52"/>
      <c r="I749" s="52"/>
      <c r="J749" s="54">
        <f t="shared" si="186"/>
        <v>964</v>
      </c>
      <c r="K749" s="55">
        <f>VLOOKUP(J749,Наценка!$A$1:$B$8,2,1)</f>
        <v>1.55</v>
      </c>
      <c r="L749" s="56">
        <f t="shared" si="187"/>
        <v>1494.2</v>
      </c>
      <c r="M749" s="57">
        <f t="shared" si="188"/>
        <v>1490</v>
      </c>
      <c r="N749" s="52">
        <f>VLOOKUP($A749,'Выгр Кат'!$A:$R,N$1,0)</f>
        <v>964</v>
      </c>
      <c r="O749" s="52">
        <f>VLOOKUP($A749,'Выгр Кат'!$A:$R,O$1,0)</f>
        <v>1490</v>
      </c>
      <c r="P749" s="47">
        <f t="shared" si="189"/>
        <v>0</v>
      </c>
      <c r="Q749" s="47">
        <f t="shared" si="190"/>
        <v>0</v>
      </c>
      <c r="R749" s="58">
        <f t="shared" si="191"/>
        <v>1490</v>
      </c>
      <c r="S749" s="59">
        <f t="shared" si="192"/>
        <v>0.54564315352697101</v>
      </c>
      <c r="T749" s="59" t="str">
        <f t="shared" si="193"/>
        <v/>
      </c>
      <c r="U749" s="59" t="str">
        <f t="shared" si="194"/>
        <v/>
      </c>
      <c r="V749" s="60"/>
      <c r="W749" s="69" t="str">
        <f>IFERROR((VLOOKUP($A749,'Из ГУГЛа'!$B:$Z,W$1,0)+Y749)*X749,VLOOKUP($A749,'Из ГУГЛа'!$B:$Z,W$1,0))</f>
        <v/>
      </c>
      <c r="X749" s="61">
        <v>1</v>
      </c>
      <c r="Y749" s="61">
        <v>0</v>
      </c>
      <c r="Z749" s="60" t="s">
        <v>4170</v>
      </c>
      <c r="AA749" s="60"/>
    </row>
    <row r="750" spans="1:27" ht="45" x14ac:dyDescent="0.25">
      <c r="A750" s="52">
        <v>223646</v>
      </c>
      <c r="B750" s="52">
        <f>VLOOKUP($A750,'Выгр Кат'!$A:$R,B$1,0)</f>
        <v>31143</v>
      </c>
      <c r="C750" s="53" t="str">
        <f>VLOOKUP($A750,'Выгр Кат'!$A:$R,C$1,0)</f>
        <v>Усилитель переднего пола правый в сборе (катафорез) "АвтоВАЗ" для Лада Веста</v>
      </c>
      <c r="D750" s="52" t="str">
        <f>VLOOKUP($A750,'Выгр Кат'!$A:$R,D$1,0)</f>
        <v>Y</v>
      </c>
      <c r="E750" s="52" t="str">
        <f>VLOOKUP($A750,'Выгр Кат'!$A:$R,E$1,0)</f>
        <v>1</v>
      </c>
      <c r="F750" s="52" t="str">
        <f>VLOOKUP($A750,'Выгр Кат'!$A:$R,F$1,0)</f>
        <v>8450039453</v>
      </c>
      <c r="G750" s="52" t="str">
        <f>IF(VLOOKUP($A750,'Выгр Кат'!$A:$R,G$1,0)=0,"",VLOOKUP($A750,'Выгр Кат'!$A:$R,G$1,0))</f>
        <v/>
      </c>
      <c r="H750" s="52"/>
      <c r="I750" s="52"/>
      <c r="J750" s="54">
        <f t="shared" si="186"/>
        <v>1715</v>
      </c>
      <c r="K750" s="55">
        <f>VLOOKUP(J750,Наценка!$A$1:$B$8,2,1)</f>
        <v>1.5</v>
      </c>
      <c r="L750" s="56">
        <f t="shared" si="187"/>
        <v>2572.5</v>
      </c>
      <c r="M750" s="57">
        <f t="shared" si="188"/>
        <v>2590</v>
      </c>
      <c r="N750" s="52">
        <f>VLOOKUP($A750,'Выгр Кат'!$A:$R,N$1,0)</f>
        <v>1715</v>
      </c>
      <c r="O750" s="52">
        <f>VLOOKUP($A750,'Выгр Кат'!$A:$R,O$1,0)</f>
        <v>2590</v>
      </c>
      <c r="P750" s="47">
        <f t="shared" si="189"/>
        <v>0</v>
      </c>
      <c r="Q750" s="47">
        <f t="shared" si="190"/>
        <v>0</v>
      </c>
      <c r="R750" s="58">
        <f t="shared" si="191"/>
        <v>2590</v>
      </c>
      <c r="S750" s="59">
        <f t="shared" si="192"/>
        <v>0.51020408163265296</v>
      </c>
      <c r="T750" s="59" t="str">
        <f t="shared" si="193"/>
        <v/>
      </c>
      <c r="U750" s="59" t="str">
        <f t="shared" si="194"/>
        <v/>
      </c>
      <c r="V750" s="60"/>
      <c r="W750" s="69" t="str">
        <f>IFERROR((VLOOKUP($A750,'Из ГУГЛа'!$B:$Z,W$1,0)+Y750)*X750,VLOOKUP($A750,'Из ГУГЛа'!$B:$Z,W$1,0))</f>
        <v/>
      </c>
      <c r="X750" s="61">
        <v>1</v>
      </c>
      <c r="Y750" s="61">
        <v>0</v>
      </c>
      <c r="Z750" s="60" t="s">
        <v>4170</v>
      </c>
      <c r="AA750" s="60"/>
    </row>
    <row r="751" spans="1:27" ht="45" x14ac:dyDescent="0.25">
      <c r="A751" s="52">
        <v>223648</v>
      </c>
      <c r="B751" s="52">
        <f>VLOOKUP($A751,'Выгр Кат'!$A:$R,B$1,0)</f>
        <v>23520</v>
      </c>
      <c r="C751" s="53" t="str">
        <f>VLOOKUP($A751,'Выгр Кат'!$A:$R,C$1,0)</f>
        <v>Усилитель передней стойки "АвтоВАЗ" (правый, с катафорезным покрытием) для ВАЗ 2110-2112</v>
      </c>
      <c r="D751" s="52" t="str">
        <f>VLOOKUP($A751,'Выгр Кат'!$A:$R,D$1,0)</f>
        <v>Y</v>
      </c>
      <c r="E751" s="52" t="str">
        <f>VLOOKUP($A751,'Выгр Кат'!$A:$R,E$1,0)</f>
        <v>1ск1</v>
      </c>
      <c r="F751" s="52" t="str">
        <f>VLOOKUP($A751,'Выгр Кат'!$A:$R,F$1,0)</f>
        <v>21100540112010</v>
      </c>
      <c r="G751" s="52" t="str">
        <f>IF(VLOOKUP($A751,'Выгр Кат'!$A:$R,G$1,0)=0,"",VLOOKUP($A751,'Выгр Кат'!$A:$R,G$1,0))</f>
        <v>https://motorring.ru/product/769-usilitely-peredney-stoyki-pravyy-kataforez-2110</v>
      </c>
      <c r="H751" s="52"/>
      <c r="I751" s="52"/>
      <c r="J751" s="54">
        <f t="shared" si="186"/>
        <v>867</v>
      </c>
      <c r="K751" s="55">
        <f>VLOOKUP(J751,Наценка!$A$1:$B$8,2,1)</f>
        <v>1.55</v>
      </c>
      <c r="L751" s="56">
        <f t="shared" si="187"/>
        <v>1343.8500000000001</v>
      </c>
      <c r="M751" s="57">
        <f t="shared" si="188"/>
        <v>1390</v>
      </c>
      <c r="N751" s="52">
        <f>VLOOKUP($A751,'Выгр Кат'!$A:$R,N$1,0)</f>
        <v>867</v>
      </c>
      <c r="O751" s="52">
        <f>VLOOKUP($A751,'Выгр Кат'!$A:$R,O$1,0)</f>
        <v>1390</v>
      </c>
      <c r="P751" s="47">
        <f t="shared" si="189"/>
        <v>0</v>
      </c>
      <c r="Q751" s="47">
        <f t="shared" si="190"/>
        <v>0</v>
      </c>
      <c r="R751" s="58">
        <f t="shared" si="191"/>
        <v>1390</v>
      </c>
      <c r="S751" s="59">
        <f t="shared" si="192"/>
        <v>0.6032295271049597</v>
      </c>
      <c r="T751" s="59">
        <f t="shared" si="193"/>
        <v>0</v>
      </c>
      <c r="U751" s="59">
        <f t="shared" si="194"/>
        <v>0.6032295271049597</v>
      </c>
      <c r="V751" s="42">
        <f t="shared" ref="V751:V752" si="199">Z751</f>
        <v>1390</v>
      </c>
      <c r="W751" s="69">
        <f>IFERROR((VLOOKUP($A751,'Из ГУГЛа'!$B:$Z,W$1,0)+Y751)*X751,VLOOKUP($A751,'Из ГУГЛа'!$B:$Z,W$1,0))</f>
        <v>1390</v>
      </c>
      <c r="X751" s="61">
        <v>1</v>
      </c>
      <c r="Y751" s="61">
        <v>0</v>
      </c>
      <c r="Z751" s="70">
        <v>1390</v>
      </c>
      <c r="AA751" s="60" t="s">
        <v>1959</v>
      </c>
    </row>
    <row r="752" spans="1:27" ht="30" x14ac:dyDescent="0.25">
      <c r="A752" s="52">
        <v>223649</v>
      </c>
      <c r="B752" s="52">
        <f>VLOOKUP($A752,'Выгр Кат'!$A:$R,B$1,0)</f>
        <v>47883</v>
      </c>
      <c r="C752" s="53" t="str">
        <f>VLOOKUP($A752,'Выгр Кат'!$A:$R,C$1,0)</f>
        <v>Усилитель передней стойки "АвтоВАЗ" правый (катафорез) для Шевроле Нива</v>
      </c>
      <c r="D752" s="52" t="str">
        <f>VLOOKUP($A752,'Выгр Кат'!$A:$R,D$1,0)</f>
        <v>Y</v>
      </c>
      <c r="E752" s="52" t="str">
        <f>VLOOKUP($A752,'Выгр Кат'!$A:$R,E$1,0)</f>
        <v>1</v>
      </c>
      <c r="F752" s="52" t="str">
        <f>VLOOKUP($A752,'Выгр Кат'!$A:$R,F$1,0)</f>
        <v>21230540112070 / 8450101947</v>
      </c>
      <c r="G752" s="52" t="str">
        <f>IF(VLOOKUP($A752,'Выгр Кат'!$A:$R,G$1,0)=0,"",VLOOKUP($A752,'Выгр Кат'!$A:$R,G$1,0))</f>
        <v>https://motorring.ru/product/38186-usilitely-peredney-stoyki-pravyy-dlya-shevrole-niva</v>
      </c>
      <c r="H752" s="52"/>
      <c r="I752" s="52"/>
      <c r="J752" s="54">
        <f t="shared" si="186"/>
        <v>816</v>
      </c>
      <c r="K752" s="55">
        <f>VLOOKUP(J752,Наценка!$A$1:$B$8,2,1)</f>
        <v>1.55</v>
      </c>
      <c r="L752" s="56">
        <f t="shared" si="187"/>
        <v>1264.8</v>
      </c>
      <c r="M752" s="57">
        <f t="shared" si="188"/>
        <v>1290</v>
      </c>
      <c r="N752" s="52">
        <f>VLOOKUP($A752,'Выгр Кат'!$A:$R,N$1,0)</f>
        <v>816</v>
      </c>
      <c r="O752" s="52">
        <f>VLOOKUP($A752,'Выгр Кат'!$A:$R,O$1,0)</f>
        <v>1290</v>
      </c>
      <c r="P752" s="47">
        <f t="shared" si="189"/>
        <v>0</v>
      </c>
      <c r="Q752" s="47">
        <f t="shared" si="190"/>
        <v>0</v>
      </c>
      <c r="R752" s="58">
        <f t="shared" si="191"/>
        <v>1290</v>
      </c>
      <c r="S752" s="59">
        <f t="shared" si="192"/>
        <v>0.58088235294117641</v>
      </c>
      <c r="T752" s="59">
        <f t="shared" si="193"/>
        <v>0.13422818791946309</v>
      </c>
      <c r="U752" s="59">
        <f t="shared" si="194"/>
        <v>0.8259803921568627</v>
      </c>
      <c r="V752" s="42">
        <f t="shared" si="199"/>
        <v>1490</v>
      </c>
      <c r="W752" s="69">
        <f>IFERROR((VLOOKUP($A752,'Из ГУГЛа'!$B:$Z,W$1,0)+Y752)*X752,VLOOKUP($A752,'Из ГУГЛа'!$B:$Z,W$1,0))</f>
        <v>1490</v>
      </c>
      <c r="X752" s="61">
        <v>1</v>
      </c>
      <c r="Y752" s="61">
        <v>0</v>
      </c>
      <c r="Z752" s="70">
        <v>1490</v>
      </c>
      <c r="AA752" s="60" t="s">
        <v>1963</v>
      </c>
    </row>
    <row r="753" spans="1:27" ht="45" x14ac:dyDescent="0.25">
      <c r="A753" s="52">
        <v>223650</v>
      </c>
      <c r="B753" s="52">
        <f>VLOOKUP($A753,'Выгр Кат'!$A:$R,B$1,0)</f>
        <v>32634</v>
      </c>
      <c r="C753" s="53" t="str">
        <f>VLOOKUP($A753,'Выгр Кат'!$A:$R,C$1,0)</f>
        <v>Усилитель передней стойки "АвтоВАЗ" правый (нового образца) для Лада Нива 4x4</v>
      </c>
      <c r="D753" s="52" t="str">
        <f>VLOOKUP($A753,'Выгр Кат'!$A:$R,D$1,0)</f>
        <v>Y</v>
      </c>
      <c r="E753" s="52" t="str">
        <f>VLOOKUP($A753,'Выгр Кат'!$A:$R,E$1,0)</f>
        <v>1ск1</v>
      </c>
      <c r="F753" s="52" t="str">
        <f>VLOOKUP($A753,'Выгр Кат'!$A:$R,F$1,0)</f>
        <v>21210540112010</v>
      </c>
      <c r="G753" s="52" t="str">
        <f>IF(VLOOKUP($A753,'Выгр Кат'!$A:$R,G$1,0)=0,"",VLOOKUP($A753,'Выгр Кат'!$A:$R,G$1,0))</f>
        <v/>
      </c>
      <c r="H753" s="52"/>
      <c r="I753" s="52"/>
      <c r="J753" s="54">
        <f t="shared" si="186"/>
        <v>787</v>
      </c>
      <c r="K753" s="55">
        <f>VLOOKUP(J753,Наценка!$A$1:$B$8,2,1)</f>
        <v>1.55</v>
      </c>
      <c r="L753" s="56">
        <f t="shared" si="187"/>
        <v>1219.8500000000001</v>
      </c>
      <c r="M753" s="57">
        <f t="shared" si="188"/>
        <v>1290</v>
      </c>
      <c r="N753" s="52">
        <f>VLOOKUP($A753,'Выгр Кат'!$A:$R,N$1,0)</f>
        <v>787</v>
      </c>
      <c r="O753" s="52">
        <f>VLOOKUP($A753,'Выгр Кат'!$A:$R,O$1,0)</f>
        <v>1290</v>
      </c>
      <c r="P753" s="47">
        <f t="shared" si="189"/>
        <v>0</v>
      </c>
      <c r="Q753" s="47">
        <f t="shared" si="190"/>
        <v>0</v>
      </c>
      <c r="R753" s="58">
        <f t="shared" si="191"/>
        <v>1290</v>
      </c>
      <c r="S753" s="59">
        <f t="shared" si="192"/>
        <v>0.63913595933926293</v>
      </c>
      <c r="T753" s="59" t="str">
        <f t="shared" si="193"/>
        <v/>
      </c>
      <c r="U753" s="59" t="str">
        <f t="shared" si="194"/>
        <v/>
      </c>
      <c r="V753" s="60"/>
      <c r="W753" s="69" t="str">
        <f>IFERROR((VLOOKUP($A753,'Из ГУГЛа'!$B:$Z,W$1,0)+Y753)*X753,VLOOKUP($A753,'Из ГУГЛа'!$B:$Z,W$1,0))</f>
        <v/>
      </c>
      <c r="X753" s="61">
        <v>1</v>
      </c>
      <c r="Y753" s="61">
        <v>0</v>
      </c>
      <c r="Z753" s="60">
        <v>590</v>
      </c>
      <c r="AA753" s="60" t="s">
        <v>1968</v>
      </c>
    </row>
    <row r="754" spans="1:27" ht="45" x14ac:dyDescent="0.25">
      <c r="A754" s="52">
        <v>223651</v>
      </c>
      <c r="B754" s="52">
        <f>VLOOKUP($A754,'Выгр Кат'!$A:$R,B$1,0)</f>
        <v>31376</v>
      </c>
      <c r="C754" s="53" t="str">
        <f>VLOOKUP($A754,'Выгр Кат'!$A:$R,C$1,0)</f>
        <v>Усилитель передней стойки "АвтоВАЗ" правый (старого образца) для Лада Нива 4x4</v>
      </c>
      <c r="D754" s="52" t="str">
        <f>VLOOKUP($A754,'Выгр Кат'!$A:$R,D$1,0)</f>
        <v>Y</v>
      </c>
      <c r="E754" s="52" t="str">
        <f>VLOOKUP($A754,'Выгр Кат'!$A:$R,E$1,0)</f>
        <v>1</v>
      </c>
      <c r="F754" s="52" t="str">
        <f>VLOOKUP($A754,'Выгр Кат'!$A:$R,F$1,0)</f>
        <v>21210540112000</v>
      </c>
      <c r="G754" s="52" t="str">
        <f>IF(VLOOKUP($A754,'Выгр Кат'!$A:$R,G$1,0)=0,"",VLOOKUP($A754,'Выгр Кат'!$A:$R,G$1,0))</f>
        <v>https://motorring.ru/product/38156-usilitely-stoyki-peredney-dveri-pravyy-dlya-lada-4h4-niva</v>
      </c>
      <c r="H754" s="52"/>
      <c r="I754" s="52"/>
      <c r="J754" s="54">
        <f t="shared" si="186"/>
        <v>900</v>
      </c>
      <c r="K754" s="55">
        <f>VLOOKUP(J754,Наценка!$A$1:$B$8,2,1)</f>
        <v>1.55</v>
      </c>
      <c r="L754" s="56">
        <f t="shared" si="187"/>
        <v>1395</v>
      </c>
      <c r="M754" s="57">
        <f t="shared" si="188"/>
        <v>1390</v>
      </c>
      <c r="N754" s="52">
        <f>VLOOKUP($A754,'Выгр Кат'!$A:$R,N$1,0)</f>
        <v>900</v>
      </c>
      <c r="O754" s="52">
        <f>VLOOKUP($A754,'Выгр Кат'!$A:$R,O$1,0)</f>
        <v>1390</v>
      </c>
      <c r="P754" s="47">
        <f t="shared" si="189"/>
        <v>0</v>
      </c>
      <c r="Q754" s="47">
        <f t="shared" si="190"/>
        <v>0</v>
      </c>
      <c r="R754" s="58">
        <f t="shared" si="191"/>
        <v>1390</v>
      </c>
      <c r="S754" s="59">
        <f t="shared" si="192"/>
        <v>0.54444444444444451</v>
      </c>
      <c r="T754" s="59">
        <f t="shared" si="193"/>
        <v>-1.3559322033898304</v>
      </c>
      <c r="U754" s="59">
        <f t="shared" si="194"/>
        <v>-0.34444444444444444</v>
      </c>
      <c r="V754" s="42">
        <f t="shared" ref="V754:V757" si="200">Z754</f>
        <v>590</v>
      </c>
      <c r="W754" s="69">
        <f>IFERROR((VLOOKUP($A754,'Из ГУГЛа'!$B:$Z,W$1,0)+Y754)*X754,VLOOKUP($A754,'Из ГУГЛа'!$B:$Z,W$1,0))</f>
        <v>590</v>
      </c>
      <c r="X754" s="61">
        <v>1</v>
      </c>
      <c r="Y754" s="61">
        <v>0</v>
      </c>
      <c r="Z754" s="70">
        <v>590</v>
      </c>
      <c r="AA754" s="60" t="s">
        <v>1968</v>
      </c>
    </row>
    <row r="755" spans="1:27" ht="45" x14ac:dyDescent="0.25">
      <c r="A755" s="52">
        <v>223652</v>
      </c>
      <c r="B755" s="52">
        <f>VLOOKUP($A755,'Выгр Кат'!$A:$R,B$1,0)</f>
        <v>31407</v>
      </c>
      <c r="C755" s="53" t="str">
        <f>VLOOKUP($A755,'Выгр Кат'!$A:$R,C$1,0)</f>
        <v>Усилитель передней стойки (катафорез) "АвтоВАЗ" левый для ВАЗ 2110-2112, Лада Приора</v>
      </c>
      <c r="D755" s="52" t="str">
        <f>VLOOKUP($A755,'Выгр Кат'!$A:$R,D$1,0)</f>
        <v>Y</v>
      </c>
      <c r="E755" s="52" t="str">
        <f>VLOOKUP($A755,'Выгр Кат'!$A:$R,E$1,0)</f>
        <v>1ск1</v>
      </c>
      <c r="F755" s="52" t="str">
        <f>VLOOKUP($A755,'Выгр Кат'!$A:$R,F$1,0)</f>
        <v>21100540112110</v>
      </c>
      <c r="G755" s="52" t="str">
        <f>IF(VLOOKUP($A755,'Выгр Кат'!$A:$R,G$1,0)=0,"",VLOOKUP($A755,'Выгр Кат'!$A:$R,G$1,0))</f>
        <v>https://motorring.ru/product/37027-usilitely-peredney-stoyki-levyy-kataforeznym-pokrytiem-2110</v>
      </c>
      <c r="H755" s="52"/>
      <c r="I755" s="52"/>
      <c r="J755" s="54">
        <f t="shared" si="186"/>
        <v>1130</v>
      </c>
      <c r="K755" s="55">
        <f>VLOOKUP(J755,Наценка!$A$1:$B$8,2,1)</f>
        <v>1.5</v>
      </c>
      <c r="L755" s="56">
        <f t="shared" si="187"/>
        <v>1695</v>
      </c>
      <c r="M755" s="57">
        <f t="shared" si="188"/>
        <v>1690</v>
      </c>
      <c r="N755" s="52">
        <f>VLOOKUP($A755,'Выгр Кат'!$A:$R,N$1,0)</f>
        <v>1130</v>
      </c>
      <c r="O755" s="52">
        <f>VLOOKUP($A755,'Выгр Кат'!$A:$R,O$1,0)</f>
        <v>1690</v>
      </c>
      <c r="P755" s="47">
        <f t="shared" si="189"/>
        <v>0</v>
      </c>
      <c r="Q755" s="47">
        <f t="shared" si="190"/>
        <v>0</v>
      </c>
      <c r="R755" s="58">
        <f t="shared" si="191"/>
        <v>1690</v>
      </c>
      <c r="S755" s="59">
        <f t="shared" si="192"/>
        <v>0.49557522123893816</v>
      </c>
      <c r="T755" s="59">
        <f t="shared" si="193"/>
        <v>-0.13422818791946309</v>
      </c>
      <c r="U755" s="59">
        <f t="shared" si="194"/>
        <v>0.31858407079646023</v>
      </c>
      <c r="V755" s="42">
        <f t="shared" si="200"/>
        <v>1490</v>
      </c>
      <c r="W755" s="69">
        <f>IFERROR((VLOOKUP($A755,'Из ГУГЛа'!$B:$Z,W$1,0)+Y755)*X755,VLOOKUP($A755,'Из ГУГЛа'!$B:$Z,W$1,0))</f>
        <v>1490</v>
      </c>
      <c r="X755" s="61">
        <v>1</v>
      </c>
      <c r="Y755" s="61">
        <v>0</v>
      </c>
      <c r="Z755" s="70">
        <v>1490</v>
      </c>
      <c r="AA755" s="60" t="s">
        <v>1971</v>
      </c>
    </row>
    <row r="756" spans="1:27" ht="45" x14ac:dyDescent="0.25">
      <c r="A756" s="52">
        <v>223653</v>
      </c>
      <c r="B756" s="52">
        <f>VLOOKUP($A756,'Выгр Кат'!$A:$R,B$1,0)</f>
        <v>31464</v>
      </c>
      <c r="C756" s="53" t="str">
        <f>VLOOKUP($A756,'Выгр Кат'!$A:$R,C$1,0)</f>
        <v>Усилитель передней стойки (катафорез) "АвтоВАЗ" левый для Лада Калина</v>
      </c>
      <c r="D756" s="52" t="str">
        <f>VLOOKUP($A756,'Выгр Кат'!$A:$R,D$1,0)</f>
        <v>Y</v>
      </c>
      <c r="E756" s="52" t="str">
        <f>VLOOKUP($A756,'Выгр Кат'!$A:$R,E$1,0)</f>
        <v>1</v>
      </c>
      <c r="F756" s="52" t="str">
        <f>VLOOKUP($A756,'Выгр Кат'!$A:$R,F$1,0)</f>
        <v>11180540112170</v>
      </c>
      <c r="G756" s="52" t="str">
        <f>IF(VLOOKUP($A756,'Выгр Кат'!$A:$R,G$1,0)=0,"",VLOOKUP($A756,'Выгр Кат'!$A:$R,G$1,0))</f>
        <v>https://motorring.ru/product/38266-levaya-stoyka-peredney-dveri-dlya-lada-kalina-granta</v>
      </c>
      <c r="H756" s="52"/>
      <c r="I756" s="52"/>
      <c r="J756" s="54">
        <f t="shared" si="186"/>
        <v>1437</v>
      </c>
      <c r="K756" s="55">
        <f>VLOOKUP(J756,Наценка!$A$1:$B$8,2,1)</f>
        <v>1.5</v>
      </c>
      <c r="L756" s="56">
        <f t="shared" si="187"/>
        <v>2155.5</v>
      </c>
      <c r="M756" s="57">
        <f t="shared" si="188"/>
        <v>2190</v>
      </c>
      <c r="N756" s="52">
        <f>VLOOKUP($A756,'Выгр Кат'!$A:$R,N$1,0)</f>
        <v>1437</v>
      </c>
      <c r="O756" s="52">
        <f>VLOOKUP($A756,'Выгр Кат'!$A:$R,O$1,0)</f>
        <v>2190</v>
      </c>
      <c r="P756" s="47">
        <f t="shared" si="189"/>
        <v>0</v>
      </c>
      <c r="Q756" s="47">
        <f t="shared" si="190"/>
        <v>0</v>
      </c>
      <c r="R756" s="58">
        <f t="shared" si="191"/>
        <v>2190</v>
      </c>
      <c r="S756" s="59">
        <f t="shared" si="192"/>
        <v>0.52400835073068897</v>
      </c>
      <c r="T756" s="59">
        <f t="shared" si="193"/>
        <v>-0.10050251256281408</v>
      </c>
      <c r="U756" s="59">
        <f t="shared" si="194"/>
        <v>0.38482950591510101</v>
      </c>
      <c r="V756" s="42">
        <f t="shared" si="200"/>
        <v>1990</v>
      </c>
      <c r="W756" s="69">
        <f>IFERROR((VLOOKUP($A756,'Из ГУГЛа'!$B:$Z,W$1,0)+Y756)*X756,VLOOKUP($A756,'Из ГУГЛа'!$B:$Z,W$1,0))</f>
        <v>1990</v>
      </c>
      <c r="X756" s="61">
        <v>1</v>
      </c>
      <c r="Y756" s="61">
        <v>0</v>
      </c>
      <c r="Z756" s="70">
        <v>1990</v>
      </c>
      <c r="AA756" s="60" t="s">
        <v>1974</v>
      </c>
    </row>
    <row r="757" spans="1:27" ht="45" x14ac:dyDescent="0.25">
      <c r="A757" s="52">
        <v>223654</v>
      </c>
      <c r="B757" s="52">
        <f>VLOOKUP($A757,'Выгр Кат'!$A:$R,B$1,0)</f>
        <v>31465</v>
      </c>
      <c r="C757" s="53" t="str">
        <f>VLOOKUP($A757,'Выгр Кат'!$A:$R,C$1,0)</f>
        <v>Усилитель передней стойки (катафорез) "АвтоВАЗ" правый для Лада Калина</v>
      </c>
      <c r="D757" s="52" t="str">
        <f>VLOOKUP($A757,'Выгр Кат'!$A:$R,D$1,0)</f>
        <v>Y</v>
      </c>
      <c r="E757" s="52" t="str">
        <f>VLOOKUP($A757,'Выгр Кат'!$A:$R,E$1,0)</f>
        <v>1</v>
      </c>
      <c r="F757" s="52" t="str">
        <f>VLOOKUP($A757,'Выгр Кат'!$A:$R,F$1,0)</f>
        <v>11180540112070</v>
      </c>
      <c r="G757" s="52" t="str">
        <f>IF(VLOOKUP($A757,'Выгр Кат'!$A:$R,G$1,0)=0,"",VLOOKUP($A757,'Выгр Кат'!$A:$R,G$1,0))</f>
        <v>https://motorring.ru/product/38265-pravaya-stoyka-peredney-dveri-dlya-lada-kalina-granta</v>
      </c>
      <c r="H757" s="52"/>
      <c r="I757" s="52"/>
      <c r="J757" s="54">
        <f t="shared" si="186"/>
        <v>1511</v>
      </c>
      <c r="K757" s="55">
        <f>VLOOKUP(J757,Наценка!$A$1:$B$8,2,1)</f>
        <v>1.5</v>
      </c>
      <c r="L757" s="56">
        <f t="shared" si="187"/>
        <v>2266.5</v>
      </c>
      <c r="M757" s="57">
        <f t="shared" si="188"/>
        <v>2290</v>
      </c>
      <c r="N757" s="52">
        <f>VLOOKUP($A757,'Выгр Кат'!$A:$R,N$1,0)</f>
        <v>1511</v>
      </c>
      <c r="O757" s="52">
        <f>VLOOKUP($A757,'Выгр Кат'!$A:$R,O$1,0)</f>
        <v>2290</v>
      </c>
      <c r="P757" s="47">
        <f t="shared" si="189"/>
        <v>0</v>
      </c>
      <c r="Q757" s="47">
        <f t="shared" si="190"/>
        <v>0</v>
      </c>
      <c r="R757" s="58">
        <f t="shared" si="191"/>
        <v>2290</v>
      </c>
      <c r="S757" s="59">
        <f t="shared" si="192"/>
        <v>0.51555261416280618</v>
      </c>
      <c r="T757" s="59">
        <f t="shared" si="193"/>
        <v>-4.5662100456621002E-2</v>
      </c>
      <c r="U757" s="59">
        <f t="shared" si="194"/>
        <v>0.44937127729980153</v>
      </c>
      <c r="V757" s="42">
        <f t="shared" si="200"/>
        <v>2190</v>
      </c>
      <c r="W757" s="69">
        <f>IFERROR((VLOOKUP($A757,'Из ГУГЛа'!$B:$Z,W$1,0)+Y757)*X757,VLOOKUP($A757,'Из ГУГЛа'!$B:$Z,W$1,0))</f>
        <v>2190</v>
      </c>
      <c r="X757" s="61">
        <v>1</v>
      </c>
      <c r="Y757" s="61">
        <v>0</v>
      </c>
      <c r="Z757" s="70">
        <v>2190</v>
      </c>
      <c r="AA757" s="60" t="s">
        <v>1977</v>
      </c>
    </row>
    <row r="758" spans="1:27" ht="30" x14ac:dyDescent="0.25">
      <c r="A758" s="52">
        <v>223655</v>
      </c>
      <c r="B758" s="52">
        <f>VLOOKUP($A758,'Выгр Кат'!$A:$R,B$1,0)</f>
        <v>50961</v>
      </c>
      <c r="C758" s="53" t="str">
        <f>VLOOKUP($A758,'Выгр Кат'!$A:$R,C$1,0)</f>
        <v>Усилитель передней стойки боковины "АвтоВАЗ" левый для Лада XRAY</v>
      </c>
      <c r="D758" s="52" t="str">
        <f>VLOOKUP($A758,'Выгр Кат'!$A:$R,D$1,0)</f>
        <v>Y</v>
      </c>
      <c r="E758" s="52" t="str">
        <f>VLOOKUP($A758,'Выгр Кат'!$A:$R,E$1,0)</f>
        <v>1</v>
      </c>
      <c r="F758" s="52" t="str">
        <f>VLOOKUP($A758,'Выгр Кат'!$A:$R,F$1,0)</f>
        <v>762473234R</v>
      </c>
      <c r="G758" s="52" t="str">
        <f>IF(VLOOKUP($A758,'Выгр Кат'!$A:$R,G$1,0)=0,"",VLOOKUP($A758,'Выгр Кат'!$A:$R,G$1,0))</f>
        <v/>
      </c>
      <c r="H758" s="52"/>
      <c r="I758" s="52"/>
      <c r="J758" s="54">
        <f t="shared" si="186"/>
        <v>10935</v>
      </c>
      <c r="K758" s="55">
        <f>VLOOKUP(J758,Наценка!$A$1:$B$8,2,1)</f>
        <v>1.3</v>
      </c>
      <c r="L758" s="56">
        <f t="shared" si="187"/>
        <v>14215.5</v>
      </c>
      <c r="M758" s="57">
        <f t="shared" si="188"/>
        <v>14290</v>
      </c>
      <c r="N758" s="52">
        <f>VLOOKUP($A758,'Выгр Кат'!$A:$R,N$1,0)</f>
        <v>10935</v>
      </c>
      <c r="O758" s="52">
        <f>VLOOKUP($A758,'Выгр Кат'!$A:$R,O$1,0)</f>
        <v>14290</v>
      </c>
      <c r="P758" s="47">
        <f t="shared" si="189"/>
        <v>0</v>
      </c>
      <c r="Q758" s="47">
        <f t="shared" si="190"/>
        <v>0</v>
      </c>
      <c r="R758" s="58">
        <f t="shared" si="191"/>
        <v>14290</v>
      </c>
      <c r="S758" s="59">
        <f t="shared" si="192"/>
        <v>0.30681298582533145</v>
      </c>
      <c r="T758" s="59" t="str">
        <f t="shared" si="193"/>
        <v/>
      </c>
      <c r="U758" s="59" t="str">
        <f t="shared" si="194"/>
        <v/>
      </c>
      <c r="V758" s="60"/>
      <c r="W758" s="69" t="str">
        <f>IFERROR((VLOOKUP($A758,'Из ГУГЛа'!$B:$Z,W$1,0)+Y758)*X758,VLOOKUP($A758,'Из ГУГЛа'!$B:$Z,W$1,0))</f>
        <v/>
      </c>
      <c r="X758" s="61">
        <v>1</v>
      </c>
      <c r="Y758" s="61">
        <v>0</v>
      </c>
      <c r="Z758" s="62" t="s">
        <v>4170</v>
      </c>
      <c r="AA758" s="60"/>
    </row>
    <row r="759" spans="1:27" ht="45" x14ac:dyDescent="0.25">
      <c r="A759" s="52">
        <v>223656</v>
      </c>
      <c r="B759" s="52">
        <f>VLOOKUP($A759,'Выгр Кат'!$A:$R,B$1,0)</f>
        <v>31184</v>
      </c>
      <c r="C759" s="53" t="str">
        <f>VLOOKUP($A759,'Выгр Кат'!$A:$R,C$1,0)</f>
        <v>Усилитель передней стойки боковины правый в сборе (катафорез) "АвтоВАЗ" для Лада Веста</v>
      </c>
      <c r="D759" s="52" t="str">
        <f>VLOOKUP($A759,'Выгр Кат'!$A:$R,D$1,0)</f>
        <v>Y</v>
      </c>
      <c r="E759" s="52" t="str">
        <f>VLOOKUP($A759,'Выгр Кат'!$A:$R,E$1,0)</f>
        <v>1</v>
      </c>
      <c r="F759" s="52" t="str">
        <f>VLOOKUP($A759,'Выгр Кат'!$A:$R,F$1,0)</f>
        <v>8450039225</v>
      </c>
      <c r="G759" s="52" t="str">
        <f>IF(VLOOKUP($A759,'Выгр Кат'!$A:$R,G$1,0)=0,"",VLOOKUP($A759,'Выгр Кат'!$A:$R,G$1,0))</f>
        <v/>
      </c>
      <c r="H759" s="52"/>
      <c r="I759" s="52"/>
      <c r="J759" s="54">
        <f t="shared" si="186"/>
        <v>4457.58</v>
      </c>
      <c r="K759" s="55">
        <f>VLOOKUP(J759,Наценка!$A$1:$B$8,2,1)</f>
        <v>1.4</v>
      </c>
      <c r="L759" s="56">
        <f t="shared" si="187"/>
        <v>6240.6119999999992</v>
      </c>
      <c r="M759" s="57">
        <f t="shared" si="188"/>
        <v>6290</v>
      </c>
      <c r="N759" s="52">
        <f>VLOOKUP($A759,'Выгр Кат'!$A:$R,N$1,0)</f>
        <v>4457.58</v>
      </c>
      <c r="O759" s="52">
        <f>VLOOKUP($A759,'Выгр Кат'!$A:$R,O$1,0)</f>
        <v>6290</v>
      </c>
      <c r="P759" s="47">
        <f t="shared" si="189"/>
        <v>0</v>
      </c>
      <c r="Q759" s="47">
        <f t="shared" si="190"/>
        <v>0</v>
      </c>
      <c r="R759" s="58">
        <f t="shared" si="191"/>
        <v>6290</v>
      </c>
      <c r="S759" s="59">
        <f t="shared" si="192"/>
        <v>0.41107955437703869</v>
      </c>
      <c r="T759" s="59" t="str">
        <f t="shared" si="193"/>
        <v/>
      </c>
      <c r="U759" s="59" t="str">
        <f t="shared" si="194"/>
        <v/>
      </c>
      <c r="V759" s="60"/>
      <c r="W759" s="69" t="str">
        <f>IFERROR((VLOOKUP($A759,'Из ГУГЛа'!$B:$Z,W$1,0)+Y759)*X759,VLOOKUP($A759,'Из ГУГЛа'!$B:$Z,W$1,0))</f>
        <v/>
      </c>
      <c r="X759" s="61">
        <v>1</v>
      </c>
      <c r="Y759" s="61">
        <v>0</v>
      </c>
      <c r="Z759" s="60" t="s">
        <v>4170</v>
      </c>
      <c r="AA759" s="60"/>
    </row>
    <row r="760" spans="1:27" ht="30" x14ac:dyDescent="0.25">
      <c r="A760" s="52">
        <v>223657</v>
      </c>
      <c r="B760" s="52">
        <f>VLOOKUP($A760,'Выгр Кат'!$A:$R,B$1,0)</f>
        <v>31436</v>
      </c>
      <c r="C760" s="53" t="str">
        <f>VLOOKUP($A760,'Выгр Кат'!$A:$R,C$1,0)</f>
        <v>Усилитель пола "АвтоВАЗ" в сборе для ВАЗ 2108-21099</v>
      </c>
      <c r="D760" s="52" t="str">
        <f>VLOOKUP($A760,'Выгр Кат'!$A:$R,D$1,0)</f>
        <v>Y</v>
      </c>
      <c r="E760" s="52" t="str">
        <f>VLOOKUP($A760,'Выгр Кат'!$A:$R,E$1,0)</f>
        <v>1</v>
      </c>
      <c r="F760" s="52" t="str">
        <f>VLOOKUP($A760,'Выгр Кат'!$A:$R,F$1,0)</f>
        <v>21080510106400</v>
      </c>
      <c r="G760" s="52" t="str">
        <f>IF(VLOOKUP($A760,'Выгр Кат'!$A:$R,G$1,0)=0,"",VLOOKUP($A760,'Выгр Кат'!$A:$R,G$1,0))</f>
        <v>https://motorring.ru/product/718</v>
      </c>
      <c r="H760" s="52"/>
      <c r="I760" s="52"/>
      <c r="J760" s="54">
        <f t="shared" ref="J760:J803" si="201">N760</f>
        <v>157</v>
      </c>
      <c r="K760" s="55">
        <f>VLOOKUP(J760,Наценка!$A$1:$B$8,2,1)</f>
        <v>1.8</v>
      </c>
      <c r="L760" s="56">
        <f t="shared" ref="L760:L803" si="202">J760*K760</f>
        <v>282.60000000000002</v>
      </c>
      <c r="M760" s="57">
        <f t="shared" ref="M760:M803" si="203">IF(L760&lt;=1000,(ROUNDUP(L760,-1)-1),(ROUNDUP(L760,-2)-10))</f>
        <v>289</v>
      </c>
      <c r="N760" s="52">
        <f>VLOOKUP($A760,'Выгр Кат'!$A:$R,N$1,0)</f>
        <v>157</v>
      </c>
      <c r="O760" s="52">
        <f>VLOOKUP($A760,'Выгр Кат'!$A:$R,O$1,0)</f>
        <v>289</v>
      </c>
      <c r="P760" s="47">
        <f t="shared" ref="P760:P803" si="204">N760-J760</f>
        <v>0</v>
      </c>
      <c r="Q760" s="47">
        <f t="shared" ref="Q760:Q803" si="205">O760-M760</f>
        <v>0</v>
      </c>
      <c r="R760" s="58">
        <f t="shared" ref="R760:R803" si="206">IFERROR(ROUND(M760*(1-$R$2),),"")</f>
        <v>289</v>
      </c>
      <c r="S760" s="59">
        <f t="shared" ref="S760:S803" si="207">IFERROR(R760/J760-1,"")</f>
        <v>0.84076433121019112</v>
      </c>
      <c r="T760" s="59">
        <f t="shared" ref="T760:T803" si="208">IFERROR((V760-R760)/V760,"")</f>
        <v>3.4482758620689655E-3</v>
      </c>
      <c r="U760" s="59">
        <f t="shared" ref="U760:U803" si="209">IFERROR(IF(V760="","",V760/J760-1),"")</f>
        <v>0.84713375796178347</v>
      </c>
      <c r="V760" s="42">
        <f t="shared" ref="V760:V761" si="210">Z760</f>
        <v>290</v>
      </c>
      <c r="W760" s="69">
        <f>IFERROR((VLOOKUP($A760,'Из ГУГЛа'!$B:$Z,W$1,0)+Y760)*X760,VLOOKUP($A760,'Из ГУГЛа'!$B:$Z,W$1,0))</f>
        <v>290</v>
      </c>
      <c r="X760" s="61">
        <v>1</v>
      </c>
      <c r="Y760" s="61">
        <v>0</v>
      </c>
      <c r="Z760" s="70">
        <v>290</v>
      </c>
      <c r="AA760" s="60" t="s">
        <v>1985</v>
      </c>
    </row>
    <row r="761" spans="1:27" ht="45" x14ac:dyDescent="0.25">
      <c r="A761" s="52">
        <v>223658</v>
      </c>
      <c r="B761" s="52">
        <f>VLOOKUP($A761,'Выгр Кат'!$A:$R,B$1,0)</f>
        <v>30993</v>
      </c>
      <c r="C761" s="53" t="str">
        <f>VLOOKUP($A761,'Выгр Кат'!$A:$R,C$1,0)</f>
        <v>Усилитель пола под рычаг КПП "АвтоВАЗ" левый для Лада Калина, Калина 2, Гранта, Гранта FL</v>
      </c>
      <c r="D761" s="52" t="str">
        <f>VLOOKUP($A761,'Выгр Кат'!$A:$R,D$1,0)</f>
        <v>Y</v>
      </c>
      <c r="E761" s="52" t="str">
        <f>VLOOKUP($A761,'Выгр Кат'!$A:$R,E$1,0)</f>
        <v>1</v>
      </c>
      <c r="F761" s="52" t="str">
        <f>VLOOKUP($A761,'Выгр Кат'!$A:$R,F$1,0)</f>
        <v>11180170333200</v>
      </c>
      <c r="G761" s="52" t="str">
        <f>IF(VLOOKUP($A761,'Выгр Кат'!$A:$R,G$1,0)=0,"",VLOOKUP($A761,'Выгр Кат'!$A:$R,G$1,0))</f>
        <v>https://motorring.ru/product/16626</v>
      </c>
      <c r="H761" s="52"/>
      <c r="I761" s="52"/>
      <c r="J761" s="54">
        <f t="shared" si="201"/>
        <v>60</v>
      </c>
      <c r="K761" s="55">
        <f>VLOOKUP(J761,Наценка!$A$1:$B$8,2,1)</f>
        <v>2</v>
      </c>
      <c r="L761" s="56">
        <f t="shared" si="202"/>
        <v>120</v>
      </c>
      <c r="M761" s="57">
        <f t="shared" si="203"/>
        <v>119</v>
      </c>
      <c r="N761" s="52">
        <f>VLOOKUP($A761,'Выгр Кат'!$A:$R,N$1,0)</f>
        <v>60</v>
      </c>
      <c r="O761" s="52">
        <f>VLOOKUP($A761,'Выгр Кат'!$A:$R,O$1,0)</f>
        <v>119</v>
      </c>
      <c r="P761" s="47">
        <f t="shared" si="204"/>
        <v>0</v>
      </c>
      <c r="Q761" s="47">
        <f t="shared" si="205"/>
        <v>0</v>
      </c>
      <c r="R761" s="58">
        <f t="shared" si="206"/>
        <v>119</v>
      </c>
      <c r="S761" s="59">
        <f t="shared" si="207"/>
        <v>0.98333333333333339</v>
      </c>
      <c r="T761" s="59">
        <f t="shared" si="208"/>
        <v>0.29585798816568049</v>
      </c>
      <c r="U761" s="59">
        <f t="shared" si="209"/>
        <v>1.8166666666666669</v>
      </c>
      <c r="V761" s="42">
        <f t="shared" si="210"/>
        <v>169</v>
      </c>
      <c r="W761" s="69">
        <f>IFERROR((VLOOKUP($A761,'Из ГУГЛа'!$B:$Z,W$1,0)+Y761)*X761,VLOOKUP($A761,'Из ГУГЛа'!$B:$Z,W$1,0))</f>
        <v>169</v>
      </c>
      <c r="X761" s="61">
        <v>1</v>
      </c>
      <c r="Y761" s="61">
        <v>0</v>
      </c>
      <c r="Z761" s="70">
        <v>169</v>
      </c>
      <c r="AA761" s="60" t="s">
        <v>1988</v>
      </c>
    </row>
    <row r="762" spans="1:27" ht="45" x14ac:dyDescent="0.25">
      <c r="A762" s="52">
        <v>223660</v>
      </c>
      <c r="B762" s="52">
        <f>VLOOKUP($A762,'Выгр Кат'!$A:$R,B$1,0)</f>
        <v>31023</v>
      </c>
      <c r="C762" s="53" t="str">
        <f>VLOOKUP($A762,'Выгр Кат'!$A:$R,C$1,0)</f>
        <v>Усилитель поперечины рамки радиатора верхний "Renault" для Лада Ларгус</v>
      </c>
      <c r="D762" s="52" t="str">
        <f>VLOOKUP($A762,'Выгр Кат'!$A:$R,D$1,0)</f>
        <v>Y</v>
      </c>
      <c r="E762" s="52" t="str">
        <f>VLOOKUP($A762,'Выгр Кат'!$A:$R,E$1,0)</f>
        <v>1</v>
      </c>
      <c r="F762" s="52" t="str">
        <f>VLOOKUP($A762,'Выгр Кат'!$A:$R,F$1,0)</f>
        <v>6001548956</v>
      </c>
      <c r="G762" s="52" t="str">
        <f>IF(VLOOKUP($A762,'Выгр Кат'!$A:$R,G$1,0)=0,"",VLOOKUP($A762,'Выгр Кат'!$A:$R,G$1,0))</f>
        <v/>
      </c>
      <c r="H762" s="52"/>
      <c r="I762" s="52"/>
      <c r="J762" s="54">
        <f t="shared" si="201"/>
        <v>6045</v>
      </c>
      <c r="K762" s="55">
        <f>VLOOKUP(J762,Наценка!$A$1:$B$8,2,1)</f>
        <v>1.35</v>
      </c>
      <c r="L762" s="56">
        <f t="shared" si="202"/>
        <v>8160.7500000000009</v>
      </c>
      <c r="M762" s="57">
        <f t="shared" si="203"/>
        <v>8190</v>
      </c>
      <c r="N762" s="52">
        <f>VLOOKUP($A762,'Выгр Кат'!$A:$R,N$1,0)</f>
        <v>6045</v>
      </c>
      <c r="O762" s="52">
        <f>VLOOKUP($A762,'Выгр Кат'!$A:$R,O$1,0)</f>
        <v>8190</v>
      </c>
      <c r="P762" s="47">
        <f t="shared" si="204"/>
        <v>0</v>
      </c>
      <c r="Q762" s="47">
        <f t="shared" si="205"/>
        <v>0</v>
      </c>
      <c r="R762" s="58">
        <f t="shared" si="206"/>
        <v>8190</v>
      </c>
      <c r="S762" s="59">
        <f t="shared" si="207"/>
        <v>0.35483870967741926</v>
      </c>
      <c r="T762" s="59" t="str">
        <f t="shared" si="208"/>
        <v/>
      </c>
      <c r="U762" s="59" t="str">
        <f t="shared" si="209"/>
        <v/>
      </c>
      <c r="V762" s="60"/>
      <c r="W762" s="69" t="str">
        <f>IFERROR((VLOOKUP($A762,'Из ГУГЛа'!$B:$Z,W$1,0)+Y762)*X762,VLOOKUP($A762,'Из ГУГЛа'!$B:$Z,W$1,0))</f>
        <v/>
      </c>
      <c r="X762" s="61">
        <v>1</v>
      </c>
      <c r="Y762" s="61">
        <v>0</v>
      </c>
      <c r="Z762" s="60" t="s">
        <v>4170</v>
      </c>
      <c r="AA762" s="60"/>
    </row>
    <row r="763" spans="1:27" ht="30" x14ac:dyDescent="0.25">
      <c r="A763" s="52">
        <v>223661</v>
      </c>
      <c r="B763" s="52">
        <f>VLOOKUP($A763,'Выгр Кат'!$A:$R,B$1,0)</f>
        <v>23544</v>
      </c>
      <c r="C763" s="53" t="str">
        <f>VLOOKUP($A763,'Выгр Кат'!$A:$R,C$1,0)</f>
        <v>Усилитель порога "АвтоВАЗ" (длинный) для ВАЗ 2110-2112</v>
      </c>
      <c r="D763" s="52" t="str">
        <f>VLOOKUP($A763,'Выгр Кат'!$A:$R,D$1,0)</f>
        <v>Y</v>
      </c>
      <c r="E763" s="52" t="str">
        <f>VLOOKUP($A763,'Выгр Кат'!$A:$R,E$1,0)</f>
        <v>1</v>
      </c>
      <c r="F763" s="52" t="str">
        <f>VLOOKUP($A763,'Выгр Кат'!$A:$R,F$1,0)</f>
        <v>21100540110001</v>
      </c>
      <c r="G763" s="52" t="str">
        <f>IF(VLOOKUP($A763,'Выгр Кат'!$A:$R,G$1,0)=0,"",VLOOKUP($A763,'Выгр Кат'!$A:$R,G$1,0))</f>
        <v>https://motorring.ru/product/16900-usilitely-poroga-dlinnyy-vaz-2110-2112</v>
      </c>
      <c r="H763" s="52"/>
      <c r="I763" s="52"/>
      <c r="J763" s="54">
        <f t="shared" si="201"/>
        <v>65</v>
      </c>
      <c r="K763" s="55">
        <f>VLOOKUP(J763,Наценка!$A$1:$B$8,2,1)</f>
        <v>2</v>
      </c>
      <c r="L763" s="56">
        <f t="shared" si="202"/>
        <v>130</v>
      </c>
      <c r="M763" s="57">
        <f t="shared" si="203"/>
        <v>129</v>
      </c>
      <c r="N763" s="52">
        <f>VLOOKUP($A763,'Выгр Кат'!$A:$R,N$1,0)</f>
        <v>65</v>
      </c>
      <c r="O763" s="52">
        <f>VLOOKUP($A763,'Выгр Кат'!$A:$R,O$1,0)</f>
        <v>379</v>
      </c>
      <c r="P763" s="47">
        <f t="shared" si="204"/>
        <v>0</v>
      </c>
      <c r="Q763" s="47">
        <f t="shared" si="205"/>
        <v>250</v>
      </c>
      <c r="R763" s="58">
        <f t="shared" si="206"/>
        <v>129</v>
      </c>
      <c r="S763" s="59">
        <f t="shared" si="207"/>
        <v>0.98461538461538467</v>
      </c>
      <c r="T763" s="59">
        <f t="shared" si="208"/>
        <v>0.35175879396984927</v>
      </c>
      <c r="U763" s="59">
        <f t="shared" si="209"/>
        <v>2.0615384615384613</v>
      </c>
      <c r="V763" s="42">
        <f t="shared" ref="V763:V764" si="211">Z763</f>
        <v>199</v>
      </c>
      <c r="W763" s="69">
        <f>IFERROR((VLOOKUP($A763,'Из ГУГЛа'!$B:$Z,W$1,0)+Y763)*X763,VLOOKUP($A763,'Из ГУГЛа'!$B:$Z,W$1,0))</f>
        <v>199</v>
      </c>
      <c r="X763" s="61">
        <v>1</v>
      </c>
      <c r="Y763" s="61">
        <v>0</v>
      </c>
      <c r="Z763" s="70">
        <v>199</v>
      </c>
      <c r="AA763" s="60" t="s">
        <v>1993</v>
      </c>
    </row>
    <row r="764" spans="1:27" ht="30" x14ac:dyDescent="0.25">
      <c r="A764" s="52">
        <v>223662</v>
      </c>
      <c r="B764" s="52">
        <f>VLOOKUP($A764,'Выгр Кат'!$A:$R,B$1,0)</f>
        <v>23545</v>
      </c>
      <c r="C764" s="53" t="str">
        <f>VLOOKUP($A764,'Выгр Кат'!$A:$R,C$1,0)</f>
        <v>Усилитель порога "АвтоВАЗ" (короткий) для ВАЗ 2110-2112</v>
      </c>
      <c r="D764" s="52" t="str">
        <f>VLOOKUP($A764,'Выгр Кат'!$A:$R,D$1,0)</f>
        <v>Y</v>
      </c>
      <c r="E764" s="52" t="str">
        <f>VLOOKUP($A764,'Выгр Кат'!$A:$R,E$1,0)</f>
        <v>1</v>
      </c>
      <c r="F764" s="52" t="str">
        <f>VLOOKUP($A764,'Выгр Кат'!$A:$R,F$1,0)</f>
        <v>21100540110002</v>
      </c>
      <c r="G764" s="52" t="str">
        <f>IF(VLOOKUP($A764,'Выгр Кат'!$A:$R,G$1,0)=0,"",VLOOKUP($A764,'Выгр Кат'!$A:$R,G$1,0))</f>
        <v>https://motorring.ru/product/16901</v>
      </c>
      <c r="H764" s="52"/>
      <c r="I764" s="52"/>
      <c r="J764" s="54">
        <f t="shared" si="201"/>
        <v>59</v>
      </c>
      <c r="K764" s="55">
        <f>VLOOKUP(J764,Наценка!$A$1:$B$8,2,1)</f>
        <v>2</v>
      </c>
      <c r="L764" s="56">
        <f t="shared" si="202"/>
        <v>118</v>
      </c>
      <c r="M764" s="57">
        <f t="shared" si="203"/>
        <v>119</v>
      </c>
      <c r="N764" s="52">
        <f>VLOOKUP($A764,'Выгр Кат'!$A:$R,N$1,0)</f>
        <v>59</v>
      </c>
      <c r="O764" s="52">
        <f>VLOOKUP($A764,'Выгр Кат'!$A:$R,O$1,0)</f>
        <v>119</v>
      </c>
      <c r="P764" s="47">
        <f t="shared" si="204"/>
        <v>0</v>
      </c>
      <c r="Q764" s="47">
        <f t="shared" si="205"/>
        <v>0</v>
      </c>
      <c r="R764" s="58">
        <f t="shared" si="206"/>
        <v>119</v>
      </c>
      <c r="S764" s="59">
        <f t="shared" si="207"/>
        <v>1.0169491525423728</v>
      </c>
      <c r="T764" s="59">
        <f t="shared" si="208"/>
        <v>0.29585798816568049</v>
      </c>
      <c r="U764" s="59">
        <f t="shared" si="209"/>
        <v>1.8644067796610169</v>
      </c>
      <c r="V764" s="42">
        <f t="shared" si="211"/>
        <v>169</v>
      </c>
      <c r="W764" s="69">
        <f>IFERROR((VLOOKUP($A764,'Из ГУГЛа'!$B:$Z,W$1,0)+Y764)*X764,VLOOKUP($A764,'Из ГУГЛа'!$B:$Z,W$1,0))</f>
        <v>169</v>
      </c>
      <c r="X764" s="61">
        <v>1</v>
      </c>
      <c r="Y764" s="61">
        <v>0</v>
      </c>
      <c r="Z764" s="70">
        <v>169</v>
      </c>
      <c r="AA764" s="60" t="s">
        <v>1996</v>
      </c>
    </row>
    <row r="765" spans="1:27" ht="30" x14ac:dyDescent="0.25">
      <c r="A765" s="52">
        <v>223663</v>
      </c>
      <c r="B765" s="52">
        <f>VLOOKUP($A765,'Выгр Кат'!$A:$R,B$1,0)</f>
        <v>23518</v>
      </c>
      <c r="C765" s="53" t="str">
        <f>VLOOKUP($A765,'Выгр Кат'!$A:$R,C$1,0)</f>
        <v>Усилитель порога "АвтоВАЗ" (левый) для ВАЗ 2110-2112</v>
      </c>
      <c r="D765" s="52" t="str">
        <f>VLOOKUP($A765,'Выгр Кат'!$A:$R,D$1,0)</f>
        <v>Y</v>
      </c>
      <c r="E765" s="52" t="str">
        <f>VLOOKUP($A765,'Выгр Кат'!$A:$R,E$1,0)</f>
        <v>1</v>
      </c>
      <c r="F765" s="52" t="str">
        <f>VLOOKUP($A765,'Выгр Кат'!$A:$R,F$1,0)</f>
        <v>21100540110320</v>
      </c>
      <c r="G765" s="52" t="str">
        <f>IF(VLOOKUP($A765,'Выгр Кат'!$A:$R,G$1,0)=0,"",VLOOKUP($A765,'Выгр Кат'!$A:$R,G$1,0))</f>
        <v/>
      </c>
      <c r="H765" s="52"/>
      <c r="I765" s="52"/>
      <c r="J765" s="54">
        <f t="shared" si="201"/>
        <v>1375</v>
      </c>
      <c r="K765" s="55">
        <f>VLOOKUP(J765,Наценка!$A$1:$B$8,2,1)</f>
        <v>1.5</v>
      </c>
      <c r="L765" s="56">
        <f t="shared" si="202"/>
        <v>2062.5</v>
      </c>
      <c r="M765" s="57">
        <f t="shared" si="203"/>
        <v>2090</v>
      </c>
      <c r="N765" s="52">
        <f>VLOOKUP($A765,'Выгр Кат'!$A:$R,N$1,0)</f>
        <v>1375</v>
      </c>
      <c r="O765" s="52">
        <f>VLOOKUP($A765,'Выгр Кат'!$A:$R,O$1,0)</f>
        <v>1990</v>
      </c>
      <c r="P765" s="47">
        <f t="shared" si="204"/>
        <v>0</v>
      </c>
      <c r="Q765" s="47">
        <f t="shared" si="205"/>
        <v>-100</v>
      </c>
      <c r="R765" s="58">
        <f t="shared" si="206"/>
        <v>2090</v>
      </c>
      <c r="S765" s="59">
        <f t="shared" si="207"/>
        <v>0.52</v>
      </c>
      <c r="T765" s="59" t="str">
        <f t="shared" si="208"/>
        <v/>
      </c>
      <c r="U765" s="59" t="str">
        <f t="shared" si="209"/>
        <v/>
      </c>
      <c r="V765" s="60"/>
      <c r="W765" s="69">
        <f>IFERROR((VLOOKUP($A765,'Из ГУГЛа'!$B:$Z,W$1,0)+Y765)*X765,VLOOKUP($A765,'Из ГУГЛа'!$B:$Z,W$1,0))</f>
        <v>1490</v>
      </c>
      <c r="X765" s="61">
        <v>1</v>
      </c>
      <c r="Y765" s="61">
        <v>0</v>
      </c>
      <c r="Z765" s="60" t="s">
        <v>4240</v>
      </c>
      <c r="AA765" s="60" t="s">
        <v>4239</v>
      </c>
    </row>
    <row r="766" spans="1:27" ht="30" x14ac:dyDescent="0.25">
      <c r="A766" s="52">
        <v>223664</v>
      </c>
      <c r="B766" s="52">
        <f>VLOOKUP($A766,'Выгр Кат'!$A:$R,B$1,0)</f>
        <v>23623</v>
      </c>
      <c r="C766" s="53" t="str">
        <f>VLOOKUP($A766,'Выгр Кат'!$A:$R,C$1,0)</f>
        <v>Усилитель порога "АвтоВАЗ" (правый) для ВАЗ 2110-2112</v>
      </c>
      <c r="D766" s="52" t="str">
        <f>VLOOKUP($A766,'Выгр Кат'!$A:$R,D$1,0)</f>
        <v>Y</v>
      </c>
      <c r="E766" s="52" t="str">
        <f>VLOOKUP($A766,'Выгр Кат'!$A:$R,E$1,0)</f>
        <v>1</v>
      </c>
      <c r="F766" s="52" t="str">
        <f>VLOOKUP($A766,'Выгр Кат'!$A:$R,F$1,0)</f>
        <v>21100540110220</v>
      </c>
      <c r="G766" s="52" t="str">
        <f>IF(VLOOKUP($A766,'Выгр Кат'!$A:$R,G$1,0)=0,"",VLOOKUP($A766,'Выгр Кат'!$A:$R,G$1,0))</f>
        <v/>
      </c>
      <c r="H766" s="52"/>
      <c r="I766" s="52"/>
      <c r="J766" s="54">
        <f t="shared" si="201"/>
        <v>1374.66</v>
      </c>
      <c r="K766" s="55">
        <f>VLOOKUP(J766,Наценка!$A$1:$B$8,2,1)</f>
        <v>1.5</v>
      </c>
      <c r="L766" s="56">
        <f t="shared" si="202"/>
        <v>2061.9900000000002</v>
      </c>
      <c r="M766" s="57">
        <f t="shared" si="203"/>
        <v>2090</v>
      </c>
      <c r="N766" s="52">
        <f>VLOOKUP($A766,'Выгр Кат'!$A:$R,N$1,0)</f>
        <v>1374.66</v>
      </c>
      <c r="O766" s="52">
        <f>VLOOKUP($A766,'Выгр Кат'!$A:$R,O$1,0)</f>
        <v>2090</v>
      </c>
      <c r="P766" s="47">
        <f t="shared" si="204"/>
        <v>0</v>
      </c>
      <c r="Q766" s="47">
        <f t="shared" si="205"/>
        <v>0</v>
      </c>
      <c r="R766" s="58">
        <f t="shared" si="206"/>
        <v>2090</v>
      </c>
      <c r="S766" s="59">
        <f t="shared" si="207"/>
        <v>0.52037594750701976</v>
      </c>
      <c r="T766" s="59">
        <f t="shared" si="208"/>
        <v>-0.40268456375838924</v>
      </c>
      <c r="U766" s="59">
        <f t="shared" si="209"/>
        <v>8.3904383629406443E-2</v>
      </c>
      <c r="V766" s="42">
        <f t="shared" ref="V766" si="212">Z766</f>
        <v>1490</v>
      </c>
      <c r="W766" s="69">
        <f>IFERROR((VLOOKUP($A766,'Из ГУГЛа'!$B:$Z,W$1,0)+Y766)*X766,VLOOKUP($A766,'Из ГУГЛа'!$B:$Z,W$1,0))</f>
        <v>1490</v>
      </c>
      <c r="X766" s="61">
        <v>1</v>
      </c>
      <c r="Y766" s="61">
        <v>0</v>
      </c>
      <c r="Z766" s="60">
        <v>1490</v>
      </c>
      <c r="AA766" s="60" t="s">
        <v>4241</v>
      </c>
    </row>
    <row r="767" spans="1:27" ht="30" x14ac:dyDescent="0.25">
      <c r="A767" s="52">
        <v>223665</v>
      </c>
      <c r="B767" s="52">
        <f>VLOOKUP($A767,'Выгр Кат'!$A:$R,B$1,0)</f>
        <v>31377</v>
      </c>
      <c r="C767" s="53" t="str">
        <f>VLOOKUP($A767,'Выгр Кат'!$A:$R,C$1,0)</f>
        <v>Усилитель порога (катафорез) "АвтоВАЗ" для Лада Нива 4x4</v>
      </c>
      <c r="D767" s="52" t="str">
        <f>VLOOKUP($A767,'Выгр Кат'!$A:$R,D$1,0)</f>
        <v>Y</v>
      </c>
      <c r="E767" s="52" t="str">
        <f>VLOOKUP($A767,'Выгр Кат'!$A:$R,E$1,0)</f>
        <v>1</v>
      </c>
      <c r="F767" s="52" t="str">
        <f>VLOOKUP($A767,'Выгр Кат'!$A:$R,F$1,0)</f>
        <v>21210540110210</v>
      </c>
      <c r="G767" s="52" t="str">
        <f>IF(VLOOKUP($A767,'Выгр Кат'!$A:$R,G$1,0)=0,"",VLOOKUP($A767,'Выгр Кат'!$A:$R,G$1,0))</f>
        <v/>
      </c>
      <c r="H767" s="52"/>
      <c r="I767" s="52"/>
      <c r="J767" s="54">
        <f t="shared" si="201"/>
        <v>602</v>
      </c>
      <c r="K767" s="55">
        <f>VLOOKUP(J767,Наценка!$A$1:$B$8,2,1)</f>
        <v>1.55</v>
      </c>
      <c r="L767" s="56">
        <f t="shared" si="202"/>
        <v>933.1</v>
      </c>
      <c r="M767" s="57">
        <f t="shared" si="203"/>
        <v>939</v>
      </c>
      <c r="N767" s="52">
        <f>VLOOKUP($A767,'Выгр Кат'!$A:$R,N$1,0)</f>
        <v>602</v>
      </c>
      <c r="O767" s="52">
        <f>VLOOKUP($A767,'Выгр Кат'!$A:$R,O$1,0)</f>
        <v>939</v>
      </c>
      <c r="P767" s="47">
        <f t="shared" si="204"/>
        <v>0</v>
      </c>
      <c r="Q767" s="47">
        <f t="shared" si="205"/>
        <v>0</v>
      </c>
      <c r="R767" s="58">
        <f t="shared" si="206"/>
        <v>939</v>
      </c>
      <c r="S767" s="59">
        <f t="shared" si="207"/>
        <v>0.55980066445182719</v>
      </c>
      <c r="T767" s="59" t="str">
        <f t="shared" si="208"/>
        <v/>
      </c>
      <c r="U767" s="59" t="str">
        <f t="shared" si="209"/>
        <v/>
      </c>
      <c r="V767" s="60"/>
      <c r="W767" s="69" t="str">
        <f>IFERROR((VLOOKUP($A767,'Из ГУГЛа'!$B:$Z,W$1,0)+Y767)*X767,VLOOKUP($A767,'Из ГУГЛа'!$B:$Z,W$1,0))</f>
        <v/>
      </c>
      <c r="X767" s="61">
        <v>1</v>
      </c>
      <c r="Y767" s="61">
        <v>0</v>
      </c>
      <c r="Z767" s="62" t="s">
        <v>4170</v>
      </c>
      <c r="AA767" s="60"/>
    </row>
    <row r="768" spans="1:27" ht="30" x14ac:dyDescent="0.25">
      <c r="A768" s="52">
        <v>223666</v>
      </c>
      <c r="B768" s="52">
        <f>VLOOKUP($A768,'Выгр Кат'!$A:$R,B$1,0)</f>
        <v>15448</v>
      </c>
      <c r="C768" s="53" t="str">
        <f>VLOOKUP($A768,'Выгр Кат'!$A:$R,C$1,0)</f>
        <v>Усилитель порога короткий для ВАЗ 2108-21099, 2113-2115</v>
      </c>
      <c r="D768" s="52" t="str">
        <f>VLOOKUP($A768,'Выгр Кат'!$A:$R,D$1,0)</f>
        <v>Y</v>
      </c>
      <c r="E768" s="52" t="str">
        <f>VLOOKUP($A768,'Выгр Кат'!$A:$R,E$1,0)</f>
        <v>1</v>
      </c>
      <c r="F768" s="52" t="str">
        <f>VLOOKUP($A768,'Выгр Кат'!$A:$R,F$1,0)</f>
        <v>21090540110463</v>
      </c>
      <c r="G768" s="52" t="str">
        <f>IF(VLOOKUP($A768,'Выгр Кат'!$A:$R,G$1,0)=0,"",VLOOKUP($A768,'Выгр Кат'!$A:$R,G$1,0))</f>
        <v>https://motorring.ru/product/16893-usilitely-poroga-korotkiy-vaz-2108-21099-2113-2115</v>
      </c>
      <c r="H768" s="52"/>
      <c r="I768" s="52"/>
      <c r="J768" s="54">
        <f t="shared" si="201"/>
        <v>55</v>
      </c>
      <c r="K768" s="55">
        <f>VLOOKUP(J768,Наценка!$A$1:$B$8,2,1)</f>
        <v>2</v>
      </c>
      <c r="L768" s="56">
        <f t="shared" si="202"/>
        <v>110</v>
      </c>
      <c r="M768" s="57">
        <f t="shared" si="203"/>
        <v>109</v>
      </c>
      <c r="N768" s="52">
        <f>VLOOKUP($A768,'Выгр Кат'!$A:$R,N$1,0)</f>
        <v>55</v>
      </c>
      <c r="O768" s="52">
        <f>VLOOKUP($A768,'Выгр Кат'!$A:$R,O$1,0)</f>
        <v>109</v>
      </c>
      <c r="P768" s="47">
        <f t="shared" si="204"/>
        <v>0</v>
      </c>
      <c r="Q768" s="47">
        <f t="shared" si="205"/>
        <v>0</v>
      </c>
      <c r="R768" s="58">
        <f t="shared" si="206"/>
        <v>109</v>
      </c>
      <c r="S768" s="59">
        <f t="shared" si="207"/>
        <v>0.98181818181818192</v>
      </c>
      <c r="T768" s="59">
        <f t="shared" si="208"/>
        <v>0.35502958579881655</v>
      </c>
      <c r="U768" s="59">
        <f t="shared" si="209"/>
        <v>2.0727272727272728</v>
      </c>
      <c r="V768" s="42">
        <f>Z768</f>
        <v>169</v>
      </c>
      <c r="W768" s="69">
        <f>IFERROR((VLOOKUP($A768,'Из ГУГЛа'!$B:$Z,W$1,0)+Y768)*X768,VLOOKUP($A768,'Из ГУГЛа'!$B:$Z,W$1,0))</f>
        <v>169</v>
      </c>
      <c r="X768" s="61">
        <v>1</v>
      </c>
      <c r="Y768" s="61">
        <v>0</v>
      </c>
      <c r="Z768" s="70">
        <v>169</v>
      </c>
      <c r="AA768" s="60" t="s">
        <v>2005</v>
      </c>
    </row>
    <row r="769" spans="1:27" ht="30" x14ac:dyDescent="0.25">
      <c r="A769" s="52">
        <v>223667</v>
      </c>
      <c r="B769" s="52">
        <f>VLOOKUP($A769,'Выгр Кат'!$A:$R,B$1,0)</f>
        <v>18741</v>
      </c>
      <c r="C769" s="53" t="str">
        <f>VLOOKUP($A769,'Выгр Кат'!$A:$R,C$1,0)</f>
        <v>Усилитель порога левый "АвтоВАЗ" для Лада Нива 4х4</v>
      </c>
      <c r="D769" s="52" t="str">
        <f>VLOOKUP($A769,'Выгр Кат'!$A:$R,D$1,0)</f>
        <v>Y</v>
      </c>
      <c r="E769" s="52" t="str">
        <f>VLOOKUP($A769,'Выгр Кат'!$A:$R,E$1,0)</f>
        <v>1</v>
      </c>
      <c r="F769" s="52" t="str">
        <f>VLOOKUP($A769,'Выгр Кат'!$A:$R,F$1,0)</f>
        <v>21210510125310</v>
      </c>
      <c r="G769" s="52" t="str">
        <f>IF(VLOOKUP($A769,'Выгр Кат'!$A:$R,G$1,0)=0,"",VLOOKUP($A769,'Выгр Кат'!$A:$R,G$1,0))</f>
        <v/>
      </c>
      <c r="H769" s="52"/>
      <c r="I769" s="52"/>
      <c r="J769" s="54">
        <f t="shared" si="201"/>
        <v>983</v>
      </c>
      <c r="K769" s="55">
        <f>VLOOKUP(J769,Наценка!$A$1:$B$8,2,1)</f>
        <v>1.55</v>
      </c>
      <c r="L769" s="56">
        <f t="shared" si="202"/>
        <v>1523.65</v>
      </c>
      <c r="M769" s="57">
        <f t="shared" si="203"/>
        <v>1590</v>
      </c>
      <c r="N769" s="52">
        <f>VLOOKUP($A769,'Выгр Кат'!$A:$R,N$1,0)</f>
        <v>983</v>
      </c>
      <c r="O769" s="52">
        <f>VLOOKUP($A769,'Выгр Кат'!$A:$R,O$1,0)</f>
        <v>1590</v>
      </c>
      <c r="P769" s="47">
        <f t="shared" si="204"/>
        <v>0</v>
      </c>
      <c r="Q769" s="47">
        <f t="shared" si="205"/>
        <v>0</v>
      </c>
      <c r="R769" s="58">
        <f t="shared" si="206"/>
        <v>1590</v>
      </c>
      <c r="S769" s="59">
        <f t="shared" si="207"/>
        <v>0.61749745676500511</v>
      </c>
      <c r="T769" s="59" t="str">
        <f t="shared" si="208"/>
        <v/>
      </c>
      <c r="U769" s="59" t="str">
        <f t="shared" si="209"/>
        <v/>
      </c>
      <c r="V769" s="60"/>
      <c r="W769" s="69" t="str">
        <f>IFERROR((VLOOKUP($A769,'Из ГУГЛа'!$B:$Z,W$1,0)+Y769)*X769,VLOOKUP($A769,'Из ГУГЛа'!$B:$Z,W$1,0))</f>
        <v/>
      </c>
      <c r="X769" s="61">
        <v>1</v>
      </c>
      <c r="Y769" s="61">
        <v>0</v>
      </c>
      <c r="Z769" s="62" t="s">
        <v>4170</v>
      </c>
      <c r="AA769" s="60"/>
    </row>
    <row r="770" spans="1:27" ht="30" x14ac:dyDescent="0.25">
      <c r="A770" s="52">
        <v>223668</v>
      </c>
      <c r="B770" s="52">
        <f>VLOOKUP($A770,'Выгр Кат'!$A:$R,B$1,0)</f>
        <v>31471</v>
      </c>
      <c r="C770" s="53" t="str">
        <f>VLOOKUP($A770,'Выгр Кат'!$A:$R,C$1,0)</f>
        <v>Усилитель порога пола (катафорез) "АвтоВАЗ" левый для Лада Калина</v>
      </c>
      <c r="D770" s="52" t="str">
        <f>VLOOKUP($A770,'Выгр Кат'!$A:$R,D$1,0)</f>
        <v>Y</v>
      </c>
      <c r="E770" s="52" t="str">
        <f>VLOOKUP($A770,'Выгр Кат'!$A:$R,E$1,0)</f>
        <v>1</v>
      </c>
      <c r="F770" s="52" t="str">
        <f>VLOOKUP($A770,'Выгр Кат'!$A:$R,F$1,0)</f>
        <v>11180510134570</v>
      </c>
      <c r="G770" s="52" t="str">
        <f>IF(VLOOKUP($A770,'Выгр Кат'!$A:$R,G$1,0)=0,"",VLOOKUP($A770,'Выгр Кат'!$A:$R,G$1,0))</f>
        <v/>
      </c>
      <c r="H770" s="52"/>
      <c r="I770" s="52"/>
      <c r="J770" s="54">
        <f t="shared" si="201"/>
        <v>2461</v>
      </c>
      <c r="K770" s="55">
        <f>VLOOKUP(J770,Наценка!$A$1:$B$8,2,1)</f>
        <v>1.4</v>
      </c>
      <c r="L770" s="56">
        <f t="shared" si="202"/>
        <v>3445.3999999999996</v>
      </c>
      <c r="M770" s="57">
        <f t="shared" si="203"/>
        <v>3490</v>
      </c>
      <c r="N770" s="52">
        <f>VLOOKUP($A770,'Выгр Кат'!$A:$R,N$1,0)</f>
        <v>2461</v>
      </c>
      <c r="O770" s="52">
        <f>VLOOKUP($A770,'Выгр Кат'!$A:$R,O$1,0)</f>
        <v>3490</v>
      </c>
      <c r="P770" s="47">
        <f t="shared" si="204"/>
        <v>0</v>
      </c>
      <c r="Q770" s="47">
        <f t="shared" si="205"/>
        <v>0</v>
      </c>
      <c r="R770" s="58">
        <f t="shared" si="206"/>
        <v>3490</v>
      </c>
      <c r="S770" s="59">
        <f t="shared" si="207"/>
        <v>0.41812271434376269</v>
      </c>
      <c r="T770" s="59">
        <f t="shared" si="208"/>
        <v>-0.59360730593607303</v>
      </c>
      <c r="U770" s="59">
        <f t="shared" si="209"/>
        <v>-0.11011783827712307</v>
      </c>
      <c r="V770" s="42">
        <f t="shared" ref="V770:V771" si="213">Z770</f>
        <v>2190</v>
      </c>
      <c r="W770" s="69">
        <f>IFERROR((VLOOKUP($A770,'Из ГУГЛа'!$B:$Z,W$1,0)+Y770)*X770,VLOOKUP($A770,'Из ГУГЛа'!$B:$Z,W$1,0))</f>
        <v>2190</v>
      </c>
      <c r="X770" s="61">
        <v>1</v>
      </c>
      <c r="Y770" s="61">
        <v>0</v>
      </c>
      <c r="Z770" s="60">
        <v>2190</v>
      </c>
      <c r="AA770" s="60" t="s">
        <v>4242</v>
      </c>
    </row>
    <row r="771" spans="1:27" ht="30" x14ac:dyDescent="0.25">
      <c r="A771" s="52">
        <v>223669</v>
      </c>
      <c r="B771" s="52">
        <f>VLOOKUP($A771,'Выгр Кат'!$A:$R,B$1,0)</f>
        <v>31472</v>
      </c>
      <c r="C771" s="53" t="str">
        <f>VLOOKUP($A771,'Выгр Кат'!$A:$R,C$1,0)</f>
        <v>Усилитель порога пола (катафорез) "АвтоВАЗ" правый для Лада Калина</v>
      </c>
      <c r="D771" s="52" t="str">
        <f>VLOOKUP($A771,'Выгр Кат'!$A:$R,D$1,0)</f>
        <v>Y</v>
      </c>
      <c r="E771" s="52" t="str">
        <f>VLOOKUP($A771,'Выгр Кат'!$A:$R,E$1,0)</f>
        <v>1</v>
      </c>
      <c r="F771" s="52" t="str">
        <f>VLOOKUP($A771,'Выгр Кат'!$A:$R,F$1,0)</f>
        <v>11180510134470</v>
      </c>
      <c r="G771" s="52" t="str">
        <f>IF(VLOOKUP($A771,'Выгр Кат'!$A:$R,G$1,0)=0,"",VLOOKUP($A771,'Выгр Кат'!$A:$R,G$1,0))</f>
        <v/>
      </c>
      <c r="H771" s="52"/>
      <c r="I771" s="52"/>
      <c r="J771" s="54">
        <f t="shared" si="201"/>
        <v>2279</v>
      </c>
      <c r="K771" s="55">
        <f>VLOOKUP(J771,Наценка!$A$1:$B$8,2,1)</f>
        <v>1.4</v>
      </c>
      <c r="L771" s="56">
        <f t="shared" si="202"/>
        <v>3190.6</v>
      </c>
      <c r="M771" s="57">
        <f t="shared" si="203"/>
        <v>3190</v>
      </c>
      <c r="N771" s="52">
        <f>VLOOKUP($A771,'Выгр Кат'!$A:$R,N$1,0)</f>
        <v>2279</v>
      </c>
      <c r="O771" s="52">
        <f>VLOOKUP($A771,'Выгр Кат'!$A:$R,O$1,0)</f>
        <v>3190</v>
      </c>
      <c r="P771" s="47">
        <f t="shared" si="204"/>
        <v>0</v>
      </c>
      <c r="Q771" s="47">
        <f t="shared" si="205"/>
        <v>0</v>
      </c>
      <c r="R771" s="58">
        <f t="shared" si="206"/>
        <v>3190</v>
      </c>
      <c r="S771" s="59">
        <f t="shared" si="207"/>
        <v>0.39973672663448889</v>
      </c>
      <c r="T771" s="59">
        <f t="shared" si="208"/>
        <v>-0.45662100456621002</v>
      </c>
      <c r="U771" s="59">
        <f t="shared" si="209"/>
        <v>-3.9052215884159747E-2</v>
      </c>
      <c r="V771" s="42">
        <f t="shared" si="213"/>
        <v>2190</v>
      </c>
      <c r="W771" s="69">
        <f>IFERROR((VLOOKUP($A771,'Из ГУГЛа'!$B:$Z,W$1,0)+Y771)*X771,VLOOKUP($A771,'Из ГУГЛа'!$B:$Z,W$1,0))</f>
        <v>2190</v>
      </c>
      <c r="X771" s="61">
        <v>1</v>
      </c>
      <c r="Y771" s="61">
        <v>0</v>
      </c>
      <c r="Z771" s="60">
        <v>2190</v>
      </c>
      <c r="AA771" s="60" t="s">
        <v>4243</v>
      </c>
    </row>
    <row r="772" spans="1:27" ht="30" x14ac:dyDescent="0.25">
      <c r="A772" s="52">
        <v>223670</v>
      </c>
      <c r="B772" s="52">
        <f>VLOOKUP($A772,'Выгр Кат'!$A:$R,B$1,0)</f>
        <v>31384</v>
      </c>
      <c r="C772" s="53" t="str">
        <f>VLOOKUP($A772,'Выгр Кат'!$A:$R,C$1,0)</f>
        <v>Усилитель порога пола (катафорез) "АвтоВАЗ" правый для Лада Нива 4x4</v>
      </c>
      <c r="D772" s="52" t="str">
        <f>VLOOKUP($A772,'Выгр Кат'!$A:$R,D$1,0)</f>
        <v>Y</v>
      </c>
      <c r="E772" s="52" t="str">
        <f>VLOOKUP($A772,'Выгр Кат'!$A:$R,E$1,0)</f>
        <v>1</v>
      </c>
      <c r="F772" s="52" t="str">
        <f>VLOOKUP($A772,'Выгр Кат'!$A:$R,F$1,0)</f>
        <v>21210510125210</v>
      </c>
      <c r="G772" s="52" t="str">
        <f>IF(VLOOKUP($A772,'Выгр Кат'!$A:$R,G$1,0)=0,"",VLOOKUP($A772,'Выгр Кат'!$A:$R,G$1,0))</f>
        <v/>
      </c>
      <c r="H772" s="52"/>
      <c r="I772" s="52"/>
      <c r="J772" s="54">
        <f t="shared" si="201"/>
        <v>496</v>
      </c>
      <c r="K772" s="55">
        <f>VLOOKUP(J772,Наценка!$A$1:$B$8,2,1)</f>
        <v>1.6</v>
      </c>
      <c r="L772" s="56">
        <f t="shared" si="202"/>
        <v>793.6</v>
      </c>
      <c r="M772" s="57">
        <f t="shared" si="203"/>
        <v>799</v>
      </c>
      <c r="N772" s="52">
        <f>VLOOKUP($A772,'Выгр Кат'!$A:$R,N$1,0)</f>
        <v>496</v>
      </c>
      <c r="O772" s="52">
        <f>VLOOKUP($A772,'Выгр Кат'!$A:$R,O$1,0)</f>
        <v>799</v>
      </c>
      <c r="P772" s="47">
        <f t="shared" si="204"/>
        <v>0</v>
      </c>
      <c r="Q772" s="47">
        <f t="shared" si="205"/>
        <v>0</v>
      </c>
      <c r="R772" s="58">
        <f t="shared" si="206"/>
        <v>799</v>
      </c>
      <c r="S772" s="59">
        <f t="shared" si="207"/>
        <v>0.61088709677419351</v>
      </c>
      <c r="T772" s="59" t="str">
        <f t="shared" si="208"/>
        <v/>
      </c>
      <c r="U772" s="59" t="str">
        <f t="shared" si="209"/>
        <v/>
      </c>
      <c r="V772" s="60"/>
      <c r="W772" s="69" t="str">
        <f>IFERROR((VLOOKUP($A772,'Из ГУГЛа'!$B:$Z,W$1,0)+Y772)*X772,VLOOKUP($A772,'Из ГУГЛа'!$B:$Z,W$1,0))</f>
        <v/>
      </c>
      <c r="X772" s="61">
        <v>1</v>
      </c>
      <c r="Y772" s="61">
        <v>0</v>
      </c>
      <c r="Z772" s="62" t="s">
        <v>4170</v>
      </c>
      <c r="AA772" s="60"/>
    </row>
    <row r="773" spans="1:27" ht="30" x14ac:dyDescent="0.25">
      <c r="A773" s="52">
        <v>223673</v>
      </c>
      <c r="B773" s="52">
        <f>VLOOKUP($A773,'Выгр Кат'!$A:$R,B$1,0)</f>
        <v>31380</v>
      </c>
      <c r="C773" s="53" t="str">
        <f>VLOOKUP($A773,'Выгр Кат'!$A:$R,C$1,0)</f>
        <v>Усилитель рамы ветрового окна "АвтоВАЗ" левый для Лада Нива 4x4</v>
      </c>
      <c r="D773" s="52" t="str">
        <f>VLOOKUP($A773,'Выгр Кат'!$A:$R,D$1,0)</f>
        <v>Y</v>
      </c>
      <c r="E773" s="52" t="str">
        <f>VLOOKUP($A773,'Выгр Кат'!$A:$R,E$1,0)</f>
        <v>1ск1</v>
      </c>
      <c r="F773" s="52" t="str">
        <f>VLOOKUP($A773,'Выгр Кат'!$A:$R,F$1,0)</f>
        <v>21210520102900</v>
      </c>
      <c r="G773" s="52" t="str">
        <f>IF(VLOOKUP($A773,'Выгр Кат'!$A:$R,G$1,0)=0,"",VLOOKUP($A773,'Выгр Кат'!$A:$R,G$1,0))</f>
        <v>https://motorring.ru/product/15409-usilitely-ramy-vetrovogo-okna-levyy-dlya-lada-niva-4h4</v>
      </c>
      <c r="H773" s="52"/>
      <c r="I773" s="52"/>
      <c r="J773" s="54">
        <f t="shared" si="201"/>
        <v>182</v>
      </c>
      <c r="K773" s="55">
        <f>VLOOKUP(J773,Наценка!$A$1:$B$8,2,1)</f>
        <v>1.8</v>
      </c>
      <c r="L773" s="56">
        <f t="shared" si="202"/>
        <v>327.60000000000002</v>
      </c>
      <c r="M773" s="57">
        <f t="shared" si="203"/>
        <v>329</v>
      </c>
      <c r="N773" s="52">
        <f>VLOOKUP($A773,'Выгр Кат'!$A:$R,N$1,0)</f>
        <v>182</v>
      </c>
      <c r="O773" s="52">
        <f>VLOOKUP($A773,'Выгр Кат'!$A:$R,O$1,0)</f>
        <v>329</v>
      </c>
      <c r="P773" s="47">
        <f t="shared" si="204"/>
        <v>0</v>
      </c>
      <c r="Q773" s="47">
        <f t="shared" si="205"/>
        <v>0</v>
      </c>
      <c r="R773" s="58">
        <f t="shared" si="206"/>
        <v>329</v>
      </c>
      <c r="S773" s="59">
        <f t="shared" si="207"/>
        <v>0.80769230769230771</v>
      </c>
      <c r="T773" s="59">
        <f t="shared" si="208"/>
        <v>-0.32128514056224899</v>
      </c>
      <c r="U773" s="59">
        <f t="shared" si="209"/>
        <v>0.36813186813186816</v>
      </c>
      <c r="V773" s="42">
        <f t="shared" ref="V773:V775" si="214">Z773</f>
        <v>249</v>
      </c>
      <c r="W773" s="69">
        <f>IFERROR((VLOOKUP($A773,'Из ГУГЛа'!$B:$Z,W$1,0)+Y773)*X773,VLOOKUP($A773,'Из ГУГЛа'!$B:$Z,W$1,0))</f>
        <v>249</v>
      </c>
      <c r="X773" s="61">
        <v>1</v>
      </c>
      <c r="Y773" s="61">
        <v>0</v>
      </c>
      <c r="Z773" s="70">
        <v>249</v>
      </c>
      <c r="AA773" s="60" t="s">
        <v>2016</v>
      </c>
    </row>
    <row r="774" spans="1:27" ht="45" x14ac:dyDescent="0.25">
      <c r="A774" s="52">
        <v>223678</v>
      </c>
      <c r="B774" s="52">
        <f>VLOOKUP($A774,'Выгр Кат'!$A:$R,B$1,0)</f>
        <v>31479</v>
      </c>
      <c r="C774" s="53" t="str">
        <f>VLOOKUP($A774,'Выгр Кат'!$A:$R,C$1,0)</f>
        <v>Усилитель рычага ручного тормоза (катафорез) "АвтоВАЗ" для Лада Калина, Калина 2, Гранта</v>
      </c>
      <c r="D774" s="52" t="str">
        <f>VLOOKUP($A774,'Выгр Кат'!$A:$R,D$1,0)</f>
        <v>Y</v>
      </c>
      <c r="E774" s="52" t="str">
        <f>VLOOKUP($A774,'Выгр Кат'!$A:$R,E$1,0)</f>
        <v>1</v>
      </c>
      <c r="F774" s="52" t="str">
        <f>VLOOKUP($A774,'Выгр Кат'!$A:$R,F$1,0)</f>
        <v>11180510110870</v>
      </c>
      <c r="G774" s="52" t="str">
        <f>IF(VLOOKUP($A774,'Выгр Кат'!$A:$R,G$1,0)=0,"",VLOOKUP($A774,'Выгр Кат'!$A:$R,G$1,0))</f>
        <v>https://motorring.ru/product/32777-usilitely-rychaga-ruchnogo-tormoza-kataforeznym-pokrytiem</v>
      </c>
      <c r="H774" s="52"/>
      <c r="I774" s="52"/>
      <c r="J774" s="54">
        <f t="shared" si="201"/>
        <v>1250</v>
      </c>
      <c r="K774" s="55">
        <f>VLOOKUP(J774,Наценка!$A$1:$B$8,2,1)</f>
        <v>1.5</v>
      </c>
      <c r="L774" s="56">
        <f t="shared" si="202"/>
        <v>1875</v>
      </c>
      <c r="M774" s="57">
        <f t="shared" si="203"/>
        <v>1890</v>
      </c>
      <c r="N774" s="52">
        <f>VLOOKUP($A774,'Выгр Кат'!$A:$R,N$1,0)</f>
        <v>1250</v>
      </c>
      <c r="O774" s="52">
        <f>VLOOKUP($A774,'Выгр Кат'!$A:$R,O$1,0)</f>
        <v>1890</v>
      </c>
      <c r="P774" s="47">
        <f t="shared" si="204"/>
        <v>0</v>
      </c>
      <c r="Q774" s="47">
        <f t="shared" si="205"/>
        <v>0</v>
      </c>
      <c r="R774" s="58">
        <f t="shared" si="206"/>
        <v>1890</v>
      </c>
      <c r="S774" s="59">
        <f t="shared" si="207"/>
        <v>0.51200000000000001</v>
      </c>
      <c r="T774" s="59">
        <f t="shared" si="208"/>
        <v>-5.5865921787709494E-2</v>
      </c>
      <c r="U774" s="59">
        <f t="shared" si="209"/>
        <v>0.43199999999999994</v>
      </c>
      <c r="V774" s="42">
        <f t="shared" si="214"/>
        <v>1790</v>
      </c>
      <c r="W774" s="69">
        <f>IFERROR((VLOOKUP($A774,'Из ГУГЛа'!$B:$Z,W$1,0)+Y774)*X774,VLOOKUP($A774,'Из ГУГЛа'!$B:$Z,W$1,0))</f>
        <v>1790</v>
      </c>
      <c r="X774" s="61">
        <v>1</v>
      </c>
      <c r="Y774" s="61">
        <v>0</v>
      </c>
      <c r="Z774" s="70">
        <v>1790</v>
      </c>
      <c r="AA774" s="60" t="s">
        <v>2019</v>
      </c>
    </row>
    <row r="775" spans="1:27" ht="60" x14ac:dyDescent="0.25">
      <c r="A775" s="52">
        <v>223679</v>
      </c>
      <c r="B775" s="52">
        <f>VLOOKUP($A775,'Выгр Кат'!$A:$R,B$1,0)</f>
        <v>44833</v>
      </c>
      <c r="C775" s="53" t="str">
        <f>VLOOKUP($A775,'Выгр Кат'!$A:$R,C$1,0)</f>
        <v>Усилитель стойки ветрового окна "АвтоВАЗ" левый в сборе (катафорез) для Лада Калина, Калина 2, Гранта, Гранта FL</v>
      </c>
      <c r="D775" s="52" t="str">
        <f>VLOOKUP($A775,'Выгр Кат'!$A:$R,D$1,0)</f>
        <v>Y</v>
      </c>
      <c r="E775" s="52" t="str">
        <f>VLOOKUP($A775,'Выгр Кат'!$A:$R,E$1,0)</f>
        <v>1</v>
      </c>
      <c r="F775" s="52" t="str">
        <f>VLOOKUP($A775,'Выгр Кат'!$A:$R,F$1,0)</f>
        <v>11180540133170</v>
      </c>
      <c r="G775" s="52" t="str">
        <f>IF(VLOOKUP($A775,'Выгр Кат'!$A:$R,G$1,0)=0,"",VLOOKUP($A775,'Выгр Кат'!$A:$R,G$1,0))</f>
        <v>https://motorring.ru/product/38262-levaya-stoyka-ramy-vetrovogo-okna-narughnaya-kalina</v>
      </c>
      <c r="H775" s="52"/>
      <c r="I775" s="52"/>
      <c r="J775" s="54">
        <f t="shared" si="201"/>
        <v>1141</v>
      </c>
      <c r="K775" s="55">
        <f>VLOOKUP(J775,Наценка!$A$1:$B$8,2,1)</f>
        <v>1.5</v>
      </c>
      <c r="L775" s="56">
        <f t="shared" si="202"/>
        <v>1711.5</v>
      </c>
      <c r="M775" s="57">
        <f t="shared" si="203"/>
        <v>1790</v>
      </c>
      <c r="N775" s="52">
        <f>VLOOKUP($A775,'Выгр Кат'!$A:$R,N$1,0)</f>
        <v>1141</v>
      </c>
      <c r="O775" s="52">
        <f>VLOOKUP($A775,'Выгр Кат'!$A:$R,O$1,0)</f>
        <v>1790</v>
      </c>
      <c r="P775" s="47">
        <f t="shared" si="204"/>
        <v>0</v>
      </c>
      <c r="Q775" s="47">
        <f t="shared" si="205"/>
        <v>0</v>
      </c>
      <c r="R775" s="58">
        <f t="shared" si="206"/>
        <v>1790</v>
      </c>
      <c r="S775" s="59">
        <f t="shared" si="207"/>
        <v>0.56879929886064851</v>
      </c>
      <c r="T775" s="59">
        <f t="shared" si="208"/>
        <v>-5.9171597633136092E-2</v>
      </c>
      <c r="U775" s="59">
        <f t="shared" si="209"/>
        <v>0.48115687992988598</v>
      </c>
      <c r="V775" s="42">
        <f t="shared" si="214"/>
        <v>1690</v>
      </c>
      <c r="W775" s="69">
        <f>IFERROR((VLOOKUP($A775,'Из ГУГЛа'!$B:$Z,W$1,0)+Y775)*X775,VLOOKUP($A775,'Из ГУГЛа'!$B:$Z,W$1,0))</f>
        <v>1690</v>
      </c>
      <c r="X775" s="61">
        <v>1</v>
      </c>
      <c r="Y775" s="61">
        <v>0</v>
      </c>
      <c r="Z775" s="70">
        <v>1690</v>
      </c>
      <c r="AA775" s="60" t="s">
        <v>2023</v>
      </c>
    </row>
    <row r="776" spans="1:27" ht="30" x14ac:dyDescent="0.25">
      <c r="A776" s="52">
        <v>223680</v>
      </c>
      <c r="B776" s="52">
        <f>VLOOKUP($A776,'Выгр Кат'!$A:$R,B$1,0)</f>
        <v>32519</v>
      </c>
      <c r="C776" s="53" t="str">
        <f>VLOOKUP($A776,'Выгр Кат'!$A:$R,C$1,0)</f>
        <v>Усилитель стойки ветрового окна "АвтоВАЗ" левый для Лада Калина</v>
      </c>
      <c r="D776" s="52" t="str">
        <f>VLOOKUP($A776,'Выгр Кат'!$A:$R,D$1,0)</f>
        <v>Y</v>
      </c>
      <c r="E776" s="52" t="str">
        <f>VLOOKUP($A776,'Выгр Кат'!$A:$R,E$1,0)</f>
        <v>1</v>
      </c>
      <c r="F776" s="52" t="str">
        <f>VLOOKUP($A776,'Выгр Кат'!$A:$R,F$1,0)</f>
        <v>11180540133100</v>
      </c>
      <c r="G776" s="52" t="str">
        <f>IF(VLOOKUP($A776,'Выгр Кат'!$A:$R,G$1,0)=0,"",VLOOKUP($A776,'Выгр Кат'!$A:$R,G$1,0))</f>
        <v/>
      </c>
      <c r="H776" s="52"/>
      <c r="I776" s="52"/>
      <c r="J776" s="54">
        <f t="shared" si="201"/>
        <v>451</v>
      </c>
      <c r="K776" s="55">
        <f>VLOOKUP(J776,Наценка!$A$1:$B$8,2,1)</f>
        <v>1.6</v>
      </c>
      <c r="L776" s="56">
        <f t="shared" si="202"/>
        <v>721.6</v>
      </c>
      <c r="M776" s="57">
        <f t="shared" si="203"/>
        <v>729</v>
      </c>
      <c r="N776" s="52">
        <f>VLOOKUP($A776,'Выгр Кат'!$A:$R,N$1,0)</f>
        <v>451</v>
      </c>
      <c r="O776" s="52">
        <f>VLOOKUP($A776,'Выгр Кат'!$A:$R,O$1,0)</f>
        <v>729</v>
      </c>
      <c r="P776" s="47">
        <f t="shared" si="204"/>
        <v>0</v>
      </c>
      <c r="Q776" s="47">
        <f t="shared" si="205"/>
        <v>0</v>
      </c>
      <c r="R776" s="58">
        <f t="shared" si="206"/>
        <v>729</v>
      </c>
      <c r="S776" s="59">
        <f t="shared" si="207"/>
        <v>0.61640798226164084</v>
      </c>
      <c r="T776" s="59" t="str">
        <f t="shared" si="208"/>
        <v/>
      </c>
      <c r="U776" s="59" t="str">
        <f t="shared" si="209"/>
        <v/>
      </c>
      <c r="V776" s="60"/>
      <c r="W776" s="69" t="str">
        <f>IFERROR((VLOOKUP($A776,'Из ГУГЛа'!$B:$Z,W$1,0)+Y776)*X776,VLOOKUP($A776,'Из ГУГЛа'!$B:$Z,W$1,0))</f>
        <v/>
      </c>
      <c r="X776" s="61">
        <v>1</v>
      </c>
      <c r="Y776" s="61">
        <v>0</v>
      </c>
      <c r="Z776" s="60" t="s">
        <v>4170</v>
      </c>
      <c r="AA776" s="60"/>
    </row>
    <row r="777" spans="1:27" ht="45" x14ac:dyDescent="0.25">
      <c r="A777" s="52">
        <v>223681</v>
      </c>
      <c r="B777" s="52">
        <f>VLOOKUP($A777,'Выгр Кат'!$A:$R,B$1,0)</f>
        <v>31462</v>
      </c>
      <c r="C777" s="53" t="str">
        <f>VLOOKUP($A777,'Выгр Кат'!$A:$R,C$1,0)</f>
        <v>Усилитель стойки центральной (катафорез) "АвтоВАЗ" левый для Лада Калина</v>
      </c>
      <c r="D777" s="52" t="str">
        <f>VLOOKUP($A777,'Выгр Кат'!$A:$R,D$1,0)</f>
        <v>Y</v>
      </c>
      <c r="E777" s="52" t="str">
        <f>VLOOKUP($A777,'Выгр Кат'!$A:$R,E$1,0)</f>
        <v>1</v>
      </c>
      <c r="F777" s="52" t="str">
        <f>VLOOKUP($A777,'Выгр Кат'!$A:$R,F$1,0)</f>
        <v>11180540115170</v>
      </c>
      <c r="G777" s="52" t="str">
        <f>IF(VLOOKUP($A777,'Выгр Кат'!$A:$R,G$1,0)=0,"",VLOOKUP($A777,'Выгр Кат'!$A:$R,G$1,0))</f>
        <v>https://motorring.ru/product/36174-centralynaya-levaya-stoyka-dlya-lada-granta</v>
      </c>
      <c r="H777" s="52"/>
      <c r="I777" s="52"/>
      <c r="J777" s="54">
        <f t="shared" si="201"/>
        <v>3724</v>
      </c>
      <c r="K777" s="55">
        <f>VLOOKUP(J777,Наценка!$A$1:$B$8,2,1)</f>
        <v>1.4</v>
      </c>
      <c r="L777" s="56">
        <f t="shared" si="202"/>
        <v>5213.5999999999995</v>
      </c>
      <c r="M777" s="57">
        <f t="shared" si="203"/>
        <v>5290</v>
      </c>
      <c r="N777" s="52">
        <f>VLOOKUP($A777,'Выгр Кат'!$A:$R,N$1,0)</f>
        <v>3724</v>
      </c>
      <c r="O777" s="52">
        <f>VLOOKUP($A777,'Выгр Кат'!$A:$R,O$1,0)</f>
        <v>5290</v>
      </c>
      <c r="P777" s="47">
        <f t="shared" si="204"/>
        <v>0</v>
      </c>
      <c r="Q777" s="47">
        <f t="shared" si="205"/>
        <v>0</v>
      </c>
      <c r="R777" s="58">
        <f t="shared" si="206"/>
        <v>5290</v>
      </c>
      <c r="S777" s="59">
        <f t="shared" si="207"/>
        <v>0.42051557465091305</v>
      </c>
      <c r="T777" s="59">
        <f t="shared" si="208"/>
        <v>-3.9292730844793712E-2</v>
      </c>
      <c r="U777" s="59">
        <f t="shared" si="209"/>
        <v>0.36680988184747587</v>
      </c>
      <c r="V777" s="42">
        <f t="shared" ref="V777:V778" si="215">Z777</f>
        <v>5090</v>
      </c>
      <c r="W777" s="69">
        <f>IFERROR((VLOOKUP($A777,'Из ГУГЛа'!$B:$Z,W$1,0)+Y777)*X777,VLOOKUP($A777,'Из ГУГЛа'!$B:$Z,W$1,0))</f>
        <v>5090</v>
      </c>
      <c r="X777" s="61">
        <v>1</v>
      </c>
      <c r="Y777" s="61">
        <v>0</v>
      </c>
      <c r="Z777" s="70">
        <v>5090</v>
      </c>
      <c r="AA777" s="60" t="s">
        <v>2028</v>
      </c>
    </row>
    <row r="778" spans="1:27" ht="45" x14ac:dyDescent="0.25">
      <c r="A778" s="52">
        <v>223682</v>
      </c>
      <c r="B778" s="52">
        <f>VLOOKUP($A778,'Выгр Кат'!$A:$R,B$1,0)</f>
        <v>31463</v>
      </c>
      <c r="C778" s="53" t="str">
        <f>VLOOKUP($A778,'Выгр Кат'!$A:$R,C$1,0)</f>
        <v>Усилитель стойки центральной (катафорез) "АвтоВАЗ" правый для Лада Калина</v>
      </c>
      <c r="D778" s="52" t="str">
        <f>VLOOKUP($A778,'Выгр Кат'!$A:$R,D$1,0)</f>
        <v>Y</v>
      </c>
      <c r="E778" s="52" t="str">
        <f>VLOOKUP($A778,'Выгр Кат'!$A:$R,E$1,0)</f>
        <v>1</v>
      </c>
      <c r="F778" s="52" t="str">
        <f>VLOOKUP($A778,'Выгр Кат'!$A:$R,F$1,0)</f>
        <v>11180540115070</v>
      </c>
      <c r="G778" s="52" t="str">
        <f>IF(VLOOKUP($A778,'Выгр Кат'!$A:$R,G$1,0)=0,"",VLOOKUP($A778,'Выгр Кат'!$A:$R,G$1,0))</f>
        <v>https://motorring.ru/product/36173-centralynaya-pravaya-stoyka-dlya-lada-granta</v>
      </c>
      <c r="H778" s="52"/>
      <c r="I778" s="52"/>
      <c r="J778" s="54">
        <f t="shared" si="201"/>
        <v>4100</v>
      </c>
      <c r="K778" s="55">
        <f>VLOOKUP(J778,Наценка!$A$1:$B$8,2,1)</f>
        <v>1.4</v>
      </c>
      <c r="L778" s="56">
        <f t="shared" si="202"/>
        <v>5740</v>
      </c>
      <c r="M778" s="57">
        <f t="shared" si="203"/>
        <v>5790</v>
      </c>
      <c r="N778" s="52">
        <f>VLOOKUP($A778,'Выгр Кат'!$A:$R,N$1,0)</f>
        <v>4100</v>
      </c>
      <c r="O778" s="52">
        <f>VLOOKUP($A778,'Выгр Кат'!$A:$R,O$1,0)</f>
        <v>5790</v>
      </c>
      <c r="P778" s="47">
        <f t="shared" si="204"/>
        <v>0</v>
      </c>
      <c r="Q778" s="47">
        <f t="shared" si="205"/>
        <v>0</v>
      </c>
      <c r="R778" s="58">
        <f t="shared" si="206"/>
        <v>5790</v>
      </c>
      <c r="S778" s="59">
        <f t="shared" si="207"/>
        <v>0.41219512195121943</v>
      </c>
      <c r="T778" s="59">
        <f t="shared" si="208"/>
        <v>-0.20876826722338204</v>
      </c>
      <c r="U778" s="59">
        <f t="shared" si="209"/>
        <v>0.1682926829268292</v>
      </c>
      <c r="V778" s="42">
        <f t="shared" si="215"/>
        <v>4790</v>
      </c>
      <c r="W778" s="69">
        <f>IFERROR((VLOOKUP($A778,'Из ГУГЛа'!$B:$Z,W$1,0)+Y778)*X778,VLOOKUP($A778,'Из ГУГЛа'!$B:$Z,W$1,0))</f>
        <v>4790</v>
      </c>
      <c r="X778" s="61">
        <v>1</v>
      </c>
      <c r="Y778" s="61">
        <v>0</v>
      </c>
      <c r="Z778" s="70">
        <v>4790</v>
      </c>
      <c r="AA778" s="60" t="s">
        <v>2031</v>
      </c>
    </row>
    <row r="779" spans="1:27" ht="45" x14ac:dyDescent="0.25">
      <c r="A779" s="52">
        <v>223683</v>
      </c>
      <c r="B779" s="52">
        <f>VLOOKUP($A779,'Выгр Кат'!$A:$R,B$1,0)</f>
        <v>50533</v>
      </c>
      <c r="C779" s="53" t="str">
        <f>VLOOKUP($A779,'Выгр Кат'!$A:$R,C$1,0)</f>
        <v>Усилитель центральной стойки "АвтоВАЗ" левый в сборе (катафорез) для Лада Веста</v>
      </c>
      <c r="D779" s="52" t="str">
        <f>VLOOKUP($A779,'Выгр Кат'!$A:$R,D$1,0)</f>
        <v>Y</v>
      </c>
      <c r="E779" s="52" t="str">
        <f>VLOOKUP($A779,'Выгр Кат'!$A:$R,E$1,0)</f>
        <v>1</v>
      </c>
      <c r="F779" s="52" t="str">
        <f>VLOOKUP($A779,'Выгр Кат'!$A:$R,F$1,0)</f>
        <v>8450039195</v>
      </c>
      <c r="G779" s="52" t="str">
        <f>IF(VLOOKUP($A779,'Выгр Кат'!$A:$R,G$1,0)=0,"",VLOOKUP($A779,'Выгр Кат'!$A:$R,G$1,0))</f>
        <v/>
      </c>
      <c r="H779" s="52"/>
      <c r="I779" s="52"/>
      <c r="J779" s="54">
        <f t="shared" si="201"/>
        <v>6926</v>
      </c>
      <c r="K779" s="55">
        <f>VLOOKUP(J779,Наценка!$A$1:$B$8,2,1)</f>
        <v>1.35</v>
      </c>
      <c r="L779" s="56">
        <f t="shared" si="202"/>
        <v>9350.1</v>
      </c>
      <c r="M779" s="57">
        <f t="shared" si="203"/>
        <v>9390</v>
      </c>
      <c r="N779" s="52">
        <f>VLOOKUP($A779,'Выгр Кат'!$A:$R,N$1,0)</f>
        <v>6926</v>
      </c>
      <c r="O779" s="52">
        <f>VLOOKUP($A779,'Выгр Кат'!$A:$R,O$1,0)</f>
        <v>9390</v>
      </c>
      <c r="P779" s="47">
        <f t="shared" si="204"/>
        <v>0</v>
      </c>
      <c r="Q779" s="47">
        <f t="shared" si="205"/>
        <v>0</v>
      </c>
      <c r="R779" s="58">
        <f t="shared" si="206"/>
        <v>9390</v>
      </c>
      <c r="S779" s="59">
        <f t="shared" si="207"/>
        <v>0.355760900952931</v>
      </c>
      <c r="T779" s="59" t="str">
        <f t="shared" si="208"/>
        <v/>
      </c>
      <c r="U779" s="59" t="str">
        <f t="shared" si="209"/>
        <v/>
      </c>
      <c r="V779" s="60"/>
      <c r="W779" s="69" t="str">
        <f>IFERROR((VLOOKUP($A779,'Из ГУГЛа'!$B:$Z,W$1,0)+Y779)*X779,VLOOKUP($A779,'Из ГУГЛа'!$B:$Z,W$1,0))</f>
        <v/>
      </c>
      <c r="X779" s="61">
        <v>1</v>
      </c>
      <c r="Y779" s="61">
        <v>0</v>
      </c>
      <c r="Z779" s="60" t="s">
        <v>4170</v>
      </c>
      <c r="AA779" s="60"/>
    </row>
    <row r="780" spans="1:27" ht="45" x14ac:dyDescent="0.25">
      <c r="A780" s="52">
        <v>223684</v>
      </c>
      <c r="B780" s="52">
        <f>VLOOKUP($A780,'Выгр Кат'!$A:$R,B$1,0)</f>
        <v>31418</v>
      </c>
      <c r="C780" s="53" t="str">
        <f>VLOOKUP($A780,'Выгр Кат'!$A:$R,C$1,0)</f>
        <v>Усилитель центральной стойки "АвтоВАЗ" левый для ВАЗ 2109, 21099, 2114, 2115</v>
      </c>
      <c r="D780" s="52" t="str">
        <f>VLOOKUP($A780,'Выгр Кат'!$A:$R,D$1,0)</f>
        <v>Y</v>
      </c>
      <c r="E780" s="52" t="str">
        <f>VLOOKUP($A780,'Выгр Кат'!$A:$R,E$1,0)</f>
        <v>1</v>
      </c>
      <c r="F780" s="52" t="str">
        <f>VLOOKUP($A780,'Выгр Кат'!$A:$R,F$1,0)</f>
        <v>21090540115100</v>
      </c>
      <c r="G780" s="52" t="str">
        <f>IF(VLOOKUP($A780,'Выгр Кат'!$A:$R,G$1,0)=0,"",VLOOKUP($A780,'Выгр Кат'!$A:$R,G$1,0))</f>
        <v/>
      </c>
      <c r="H780" s="52"/>
      <c r="I780" s="52"/>
      <c r="J780" s="54">
        <f t="shared" si="201"/>
        <v>1100</v>
      </c>
      <c r="K780" s="55">
        <f>VLOOKUP(J780,Наценка!$A$1:$B$8,2,1)</f>
        <v>1.5</v>
      </c>
      <c r="L780" s="56">
        <f t="shared" si="202"/>
        <v>1650</v>
      </c>
      <c r="M780" s="57">
        <f t="shared" si="203"/>
        <v>1690</v>
      </c>
      <c r="N780" s="52">
        <f>VLOOKUP($A780,'Выгр Кат'!$A:$R,N$1,0)</f>
        <v>1100</v>
      </c>
      <c r="O780" s="52">
        <f>VLOOKUP($A780,'Выгр Кат'!$A:$R,O$1,0)</f>
        <v>1690</v>
      </c>
      <c r="P780" s="47">
        <f t="shared" si="204"/>
        <v>0</v>
      </c>
      <c r="Q780" s="47">
        <f t="shared" si="205"/>
        <v>0</v>
      </c>
      <c r="R780" s="58">
        <f t="shared" si="206"/>
        <v>1690</v>
      </c>
      <c r="S780" s="59">
        <f t="shared" si="207"/>
        <v>0.53636363636363638</v>
      </c>
      <c r="T780" s="59" t="str">
        <f t="shared" si="208"/>
        <v/>
      </c>
      <c r="U780" s="59" t="str">
        <f t="shared" si="209"/>
        <v/>
      </c>
      <c r="V780" s="60"/>
      <c r="W780" s="69" t="str">
        <f>IFERROR((VLOOKUP($A780,'Из ГУГЛа'!$B:$Z,W$1,0)+Y780)*X780,VLOOKUP($A780,'Из ГУГЛа'!$B:$Z,W$1,0))</f>
        <v/>
      </c>
      <c r="X780" s="61">
        <v>1</v>
      </c>
      <c r="Y780" s="61">
        <v>0</v>
      </c>
      <c r="Z780" s="60" t="s">
        <v>4170</v>
      </c>
      <c r="AA780" s="60"/>
    </row>
    <row r="781" spans="1:27" ht="45" x14ac:dyDescent="0.25">
      <c r="A781" s="52">
        <v>223685</v>
      </c>
      <c r="B781" s="52">
        <f>VLOOKUP($A781,'Выгр Кат'!$A:$R,B$1,0)</f>
        <v>50965</v>
      </c>
      <c r="C781" s="53" t="str">
        <f>VLOOKUP($A781,'Выгр Кат'!$A:$R,C$1,0)</f>
        <v>Усилитель центральной стойки "АвтоВАЗ" правой боковины в сборе для Лада XRAY</v>
      </c>
      <c r="D781" s="52" t="str">
        <f>VLOOKUP($A781,'Выгр Кат'!$A:$R,D$1,0)</f>
        <v>Y</v>
      </c>
      <c r="E781" s="52" t="str">
        <f>VLOOKUP($A781,'Выгр Кат'!$A:$R,E$1,0)</f>
        <v>1</v>
      </c>
      <c r="F781" s="52" t="str">
        <f>VLOOKUP($A781,'Выгр Кат'!$A:$R,F$1,0)</f>
        <v>765161783R</v>
      </c>
      <c r="G781" s="52" t="str">
        <f>IF(VLOOKUP($A781,'Выгр Кат'!$A:$R,G$1,0)=0,"",VLOOKUP($A781,'Выгр Кат'!$A:$R,G$1,0))</f>
        <v/>
      </c>
      <c r="H781" s="52"/>
      <c r="I781" s="52"/>
      <c r="J781" s="54">
        <f t="shared" si="201"/>
        <v>6073</v>
      </c>
      <c r="K781" s="55">
        <f>VLOOKUP(J781,Наценка!$A$1:$B$8,2,1)</f>
        <v>1.35</v>
      </c>
      <c r="L781" s="56">
        <f t="shared" si="202"/>
        <v>8198.5500000000011</v>
      </c>
      <c r="M781" s="57">
        <f t="shared" si="203"/>
        <v>8190</v>
      </c>
      <c r="N781" s="52">
        <f>VLOOKUP($A781,'Выгр Кат'!$A:$R,N$1,0)</f>
        <v>6073</v>
      </c>
      <c r="O781" s="52">
        <f>VLOOKUP($A781,'Выгр Кат'!$A:$R,O$1,0)</f>
        <v>8190</v>
      </c>
      <c r="P781" s="47">
        <f t="shared" si="204"/>
        <v>0</v>
      </c>
      <c r="Q781" s="47">
        <f t="shared" si="205"/>
        <v>0</v>
      </c>
      <c r="R781" s="58">
        <f t="shared" si="206"/>
        <v>8190</v>
      </c>
      <c r="S781" s="59">
        <f t="shared" si="207"/>
        <v>0.34859212909599879</v>
      </c>
      <c r="T781" s="59" t="str">
        <f t="shared" si="208"/>
        <v/>
      </c>
      <c r="U781" s="59" t="str">
        <f t="shared" si="209"/>
        <v/>
      </c>
      <c r="V781" s="60"/>
      <c r="W781" s="69" t="str">
        <f>IFERROR((VLOOKUP($A781,'Из ГУГЛа'!$B:$Z,W$1,0)+Y781)*X781,VLOOKUP($A781,'Из ГУГЛа'!$B:$Z,W$1,0))</f>
        <v/>
      </c>
      <c r="X781" s="61">
        <v>1</v>
      </c>
      <c r="Y781" s="61">
        <v>0</v>
      </c>
      <c r="Z781" s="62" t="s">
        <v>4170</v>
      </c>
      <c r="AA781" s="60"/>
    </row>
    <row r="782" spans="1:27" ht="45" x14ac:dyDescent="0.25">
      <c r="A782" s="52">
        <v>223686</v>
      </c>
      <c r="B782" s="52">
        <f>VLOOKUP($A782,'Выгр Кат'!$A:$R,B$1,0)</f>
        <v>47890</v>
      </c>
      <c r="C782" s="53" t="str">
        <f>VLOOKUP($A782,'Выгр Кат'!$A:$R,C$1,0)</f>
        <v>Усилитель центральной стойки "АвтоВАЗ" правый (катафорез) для Шевроле Нива</v>
      </c>
      <c r="D782" s="52" t="str">
        <f>VLOOKUP($A782,'Выгр Кат'!$A:$R,D$1,0)</f>
        <v>Y</v>
      </c>
      <c r="E782" s="52" t="str">
        <f>VLOOKUP($A782,'Выгр Кат'!$A:$R,E$1,0)</f>
        <v>1</v>
      </c>
      <c r="F782" s="52" t="str">
        <f>VLOOKUP($A782,'Выгр Кат'!$A:$R,F$1,0)</f>
        <v>21230540115070</v>
      </c>
      <c r="G782" s="52" t="str">
        <f>IF(VLOOKUP($A782,'Выгр Кат'!$A:$R,G$1,0)=0,"",VLOOKUP($A782,'Выгр Кат'!$A:$R,G$1,0))</f>
        <v>https://motorring.ru/product/976-ucilitely-centpalynoy-ctoyki-pravyy-kataforeznoe-pokrytie</v>
      </c>
      <c r="H782" s="52"/>
      <c r="I782" s="52"/>
      <c r="J782" s="54">
        <f t="shared" si="201"/>
        <v>2021</v>
      </c>
      <c r="K782" s="55">
        <f>VLOOKUP(J782,Наценка!$A$1:$B$8,2,1)</f>
        <v>1.4</v>
      </c>
      <c r="L782" s="56">
        <f t="shared" si="202"/>
        <v>2829.3999999999996</v>
      </c>
      <c r="M782" s="57">
        <f t="shared" si="203"/>
        <v>2890</v>
      </c>
      <c r="N782" s="52">
        <f>VLOOKUP($A782,'Выгр Кат'!$A:$R,N$1,0)</f>
        <v>2021</v>
      </c>
      <c r="O782" s="52">
        <f>VLOOKUP($A782,'Выгр Кат'!$A:$R,O$1,0)</f>
        <v>2890</v>
      </c>
      <c r="P782" s="47">
        <f t="shared" si="204"/>
        <v>0</v>
      </c>
      <c r="Q782" s="47">
        <f t="shared" si="205"/>
        <v>0</v>
      </c>
      <c r="R782" s="58">
        <f t="shared" si="206"/>
        <v>2890</v>
      </c>
      <c r="S782" s="59">
        <f t="shared" si="207"/>
        <v>0.429985155863434</v>
      </c>
      <c r="T782" s="59">
        <f t="shared" si="208"/>
        <v>6.4724919093851127E-2</v>
      </c>
      <c r="U782" s="59">
        <f t="shared" si="209"/>
        <v>0.52894606630380991</v>
      </c>
      <c r="V782" s="42">
        <f t="shared" ref="V782:V783" si="216">Z782</f>
        <v>3090</v>
      </c>
      <c r="W782" s="69">
        <f>IFERROR((VLOOKUP($A782,'Из ГУГЛа'!$B:$Z,W$1,0)+Y782)*X782,VLOOKUP($A782,'Из ГУГЛа'!$B:$Z,W$1,0))</f>
        <v>3090</v>
      </c>
      <c r="X782" s="61">
        <v>1</v>
      </c>
      <c r="Y782" s="61">
        <v>0</v>
      </c>
      <c r="Z782" s="70">
        <v>3090</v>
      </c>
      <c r="AA782" s="60" t="s">
        <v>2043</v>
      </c>
    </row>
    <row r="783" spans="1:27" ht="45" x14ac:dyDescent="0.25">
      <c r="A783" s="52">
        <v>223687</v>
      </c>
      <c r="B783" s="52">
        <f>VLOOKUP($A783,'Выгр Кат'!$A:$R,B$1,0)</f>
        <v>50534</v>
      </c>
      <c r="C783" s="53" t="str">
        <f>VLOOKUP($A783,'Выгр Кат'!$A:$R,C$1,0)</f>
        <v>Усилитель центральной стойки "АвтоВАЗ" правый в сборе (катафорез) для Лада Веста</v>
      </c>
      <c r="D783" s="52" t="str">
        <f>VLOOKUP($A783,'Выгр Кат'!$A:$R,D$1,0)</f>
        <v>Y</v>
      </c>
      <c r="E783" s="52" t="str">
        <f>VLOOKUP($A783,'Выгр Кат'!$A:$R,E$1,0)</f>
        <v>1</v>
      </c>
      <c r="F783" s="52" t="str">
        <f>VLOOKUP($A783,'Выгр Кат'!$A:$R,F$1,0)</f>
        <v>8450039199</v>
      </c>
      <c r="G783" s="52" t="str">
        <f>IF(VLOOKUP($A783,'Выгр Кат'!$A:$R,G$1,0)=0,"",VLOOKUP($A783,'Выгр Кат'!$A:$R,G$1,0))</f>
        <v>https://motorring.ru/product/38295-usilitely-pravoy-centralynoy-stoyki-dlya-lada-vesta</v>
      </c>
      <c r="H783" s="52"/>
      <c r="I783" s="52"/>
      <c r="J783" s="54">
        <f t="shared" si="201"/>
        <v>5651</v>
      </c>
      <c r="K783" s="55">
        <f>VLOOKUP(J783,Наценка!$A$1:$B$8,2,1)</f>
        <v>1.35</v>
      </c>
      <c r="L783" s="56">
        <f t="shared" si="202"/>
        <v>7628.85</v>
      </c>
      <c r="M783" s="57">
        <f t="shared" si="203"/>
        <v>7690</v>
      </c>
      <c r="N783" s="52">
        <f>VLOOKUP($A783,'Выгр Кат'!$A:$R,N$1,0)</f>
        <v>5651</v>
      </c>
      <c r="O783" s="52">
        <f>VLOOKUP($A783,'Выгр Кат'!$A:$R,O$1,0)</f>
        <v>7690</v>
      </c>
      <c r="P783" s="47">
        <f t="shared" si="204"/>
        <v>0</v>
      </c>
      <c r="Q783" s="47">
        <f t="shared" si="205"/>
        <v>0</v>
      </c>
      <c r="R783" s="58">
        <f t="shared" si="206"/>
        <v>7690</v>
      </c>
      <c r="S783" s="59">
        <f t="shared" si="207"/>
        <v>0.36082109361175019</v>
      </c>
      <c r="T783" s="59">
        <f t="shared" si="208"/>
        <v>1.4102564102564103E-2</v>
      </c>
      <c r="U783" s="59">
        <f t="shared" si="209"/>
        <v>0.38028667492479218</v>
      </c>
      <c r="V783" s="42">
        <f t="shared" si="216"/>
        <v>7800</v>
      </c>
      <c r="W783" s="69">
        <f>IFERROR((VLOOKUP($A783,'Из ГУГЛа'!$B:$Z,W$1,0)+Y783)*X783,VLOOKUP($A783,'Из ГУГЛа'!$B:$Z,W$1,0))</f>
        <v>7800</v>
      </c>
      <c r="X783" s="61">
        <v>1</v>
      </c>
      <c r="Y783" s="61">
        <v>0</v>
      </c>
      <c r="Z783" s="70">
        <v>7800</v>
      </c>
      <c r="AA783" s="60" t="s">
        <v>2047</v>
      </c>
    </row>
    <row r="784" spans="1:27" ht="45" x14ac:dyDescent="0.25">
      <c r="A784" s="52">
        <v>223690</v>
      </c>
      <c r="B784" s="52">
        <f>VLOOKUP($A784,'Выгр Кат'!$A:$R,B$1,0)</f>
        <v>31419</v>
      </c>
      <c r="C784" s="53" t="str">
        <f>VLOOKUP($A784,'Выгр Кат'!$A:$R,C$1,0)</f>
        <v>Усилитель центральной стойки "АвтоВАЗ" правый для ВАЗ 2109, 21099, 2114, 2115</v>
      </c>
      <c r="D784" s="52" t="str">
        <f>VLOOKUP($A784,'Выгр Кат'!$A:$R,D$1,0)</f>
        <v>Y</v>
      </c>
      <c r="E784" s="52" t="str">
        <f>VLOOKUP($A784,'Выгр Кат'!$A:$R,E$1,0)</f>
        <v>1</v>
      </c>
      <c r="F784" s="52" t="str">
        <f>VLOOKUP($A784,'Выгр Кат'!$A:$R,F$1,0)</f>
        <v>21090540115010</v>
      </c>
      <c r="G784" s="52" t="str">
        <f>IF(VLOOKUP($A784,'Выгр Кат'!$A:$R,G$1,0)=0,"",VLOOKUP($A784,'Выгр Кат'!$A:$R,G$1,0))</f>
        <v/>
      </c>
      <c r="H784" s="52"/>
      <c r="I784" s="52"/>
      <c r="J784" s="54">
        <f t="shared" si="201"/>
        <v>773</v>
      </c>
      <c r="K784" s="55">
        <f>VLOOKUP(J784,Наценка!$A$1:$B$8,2,1)</f>
        <v>1.55</v>
      </c>
      <c r="L784" s="56">
        <f t="shared" si="202"/>
        <v>1198.1500000000001</v>
      </c>
      <c r="M784" s="57">
        <f t="shared" si="203"/>
        <v>1190</v>
      </c>
      <c r="N784" s="52">
        <f>VLOOKUP($A784,'Выгр Кат'!$A:$R,N$1,0)</f>
        <v>773</v>
      </c>
      <c r="O784" s="52">
        <f>VLOOKUP($A784,'Выгр Кат'!$A:$R,O$1,0)</f>
        <v>1190</v>
      </c>
      <c r="P784" s="47">
        <f t="shared" si="204"/>
        <v>0</v>
      </c>
      <c r="Q784" s="47">
        <f t="shared" si="205"/>
        <v>0</v>
      </c>
      <c r="R784" s="58">
        <f t="shared" si="206"/>
        <v>1190</v>
      </c>
      <c r="S784" s="59">
        <f t="shared" si="207"/>
        <v>0.53945666235446321</v>
      </c>
      <c r="T784" s="59" t="str">
        <f t="shared" si="208"/>
        <v/>
      </c>
      <c r="U784" s="59" t="str">
        <f t="shared" si="209"/>
        <v/>
      </c>
      <c r="V784" s="60"/>
      <c r="W784" s="69" t="str">
        <f>IFERROR((VLOOKUP($A784,'Из ГУГЛа'!$B:$Z,W$1,0)+Y784)*X784,VLOOKUP($A784,'Из ГУГЛа'!$B:$Z,W$1,0))</f>
        <v/>
      </c>
      <c r="X784" s="61">
        <v>1</v>
      </c>
      <c r="Y784" s="61">
        <v>0</v>
      </c>
      <c r="Z784" s="60" t="s">
        <v>4170</v>
      </c>
      <c r="AA784" s="60"/>
    </row>
    <row r="785" spans="1:29" ht="30" x14ac:dyDescent="0.25">
      <c r="A785" s="52">
        <v>223688</v>
      </c>
      <c r="B785" s="52">
        <f>VLOOKUP($A785,'Выгр Кат'!$A:$R,B$1,0)</f>
        <v>32763</v>
      </c>
      <c r="C785" s="53" t="str">
        <f>VLOOKUP($A785,'Выгр Кат'!$A:$R,C$1,0)</f>
        <v>Усилитель центральной стойки "АвтоВАЗ" правый для Лада Ларгус</v>
      </c>
      <c r="D785" s="52" t="str">
        <f>VLOOKUP($A785,'Выгр Кат'!$A:$R,D$1,0)</f>
        <v>Y</v>
      </c>
      <c r="E785" s="52" t="str">
        <f>VLOOKUP($A785,'Выгр Кат'!$A:$R,E$1,0)</f>
        <v>1</v>
      </c>
      <c r="F785" s="52" t="str">
        <f>VLOOKUP($A785,'Выгр Кат'!$A:$R,F$1,0)</f>
        <v>765162909R</v>
      </c>
      <c r="G785" s="52" t="str">
        <f>IF(VLOOKUP($A785,'Выгр Кат'!$A:$R,G$1,0)=0,"",VLOOKUP($A785,'Выгр Кат'!$A:$R,G$1,0))</f>
        <v/>
      </c>
      <c r="H785" s="52"/>
      <c r="I785" s="52"/>
      <c r="J785" s="54">
        <f t="shared" si="201"/>
        <v>7679</v>
      </c>
      <c r="K785" s="55">
        <f>VLOOKUP(J785,Наценка!$A$1:$B$8,2,1)</f>
        <v>1.35</v>
      </c>
      <c r="L785" s="56">
        <f t="shared" si="202"/>
        <v>10366.650000000001</v>
      </c>
      <c r="M785" s="57">
        <f t="shared" si="203"/>
        <v>10390</v>
      </c>
      <c r="N785" s="52">
        <f>VLOOKUP($A785,'Выгр Кат'!$A:$R,N$1,0)</f>
        <v>7679</v>
      </c>
      <c r="O785" s="52">
        <f>VLOOKUP($A785,'Выгр Кат'!$A:$R,O$1,0)</f>
        <v>10790</v>
      </c>
      <c r="P785" s="47">
        <f t="shared" si="204"/>
        <v>0</v>
      </c>
      <c r="Q785" s="47">
        <f t="shared" si="205"/>
        <v>400</v>
      </c>
      <c r="R785" s="58">
        <f t="shared" si="206"/>
        <v>10390</v>
      </c>
      <c r="S785" s="59">
        <f t="shared" si="207"/>
        <v>0.35304076051569222</v>
      </c>
      <c r="T785" s="59" t="str">
        <f t="shared" si="208"/>
        <v/>
      </c>
      <c r="U785" s="59" t="str">
        <f t="shared" si="209"/>
        <v/>
      </c>
      <c r="V785" s="60"/>
      <c r="W785" s="69" t="str">
        <f>IFERROR((VLOOKUP($A785,'Из ГУГЛа'!$B:$Z,W$1,0)+Y785)*X785,VLOOKUP($A785,'Из ГУГЛа'!$B:$Z,W$1,0))</f>
        <v/>
      </c>
      <c r="X785" s="61">
        <v>1</v>
      </c>
      <c r="Y785" s="61">
        <v>0</v>
      </c>
      <c r="Z785" s="60" t="s">
        <v>4170</v>
      </c>
      <c r="AA785" s="60"/>
    </row>
    <row r="786" spans="1:29" ht="30" x14ac:dyDescent="0.25">
      <c r="A786" s="52">
        <v>223689</v>
      </c>
      <c r="B786" s="52">
        <f>VLOOKUP($A786,'Выгр Кат'!$A:$R,B$1,0)</f>
        <v>31236</v>
      </c>
      <c r="C786" s="53" t="str">
        <f>VLOOKUP($A786,'Выгр Кат'!$A:$R,C$1,0)</f>
        <v>Усилитель центральной стойки "АвтоВАЗ" правый для Лада Нива 4x4</v>
      </c>
      <c r="D786" s="52" t="str">
        <f>VLOOKUP($A786,'Выгр Кат'!$A:$R,D$1,0)</f>
        <v>Y</v>
      </c>
      <c r="E786" s="52" t="str">
        <f>VLOOKUP($A786,'Выгр Кат'!$A:$R,E$1,0)</f>
        <v>1</v>
      </c>
      <c r="F786" s="52" t="str">
        <f>VLOOKUP($A786,'Выгр Кат'!$A:$R,F$1,0)</f>
        <v>21310540177000</v>
      </c>
      <c r="G786" s="52" t="str">
        <f>IF(VLOOKUP($A786,'Выгр Кат'!$A:$R,G$1,0)=0,"",VLOOKUP($A786,'Выгр Кат'!$A:$R,G$1,0))</f>
        <v/>
      </c>
      <c r="H786" s="52"/>
      <c r="I786" s="52"/>
      <c r="J786" s="54">
        <f t="shared" si="201"/>
        <v>359</v>
      </c>
      <c r="K786" s="55">
        <f>VLOOKUP(J786,Наценка!$A$1:$B$8,2,1)</f>
        <v>1.6</v>
      </c>
      <c r="L786" s="56">
        <f t="shared" si="202"/>
        <v>574.4</v>
      </c>
      <c r="M786" s="57">
        <f t="shared" si="203"/>
        <v>579</v>
      </c>
      <c r="N786" s="52">
        <f>VLOOKUP($A786,'Выгр Кат'!$A:$R,N$1,0)</f>
        <v>359</v>
      </c>
      <c r="O786" s="52">
        <f>VLOOKUP($A786,'Выгр Кат'!$A:$R,O$1,0)</f>
        <v>579</v>
      </c>
      <c r="P786" s="47">
        <f t="shared" si="204"/>
        <v>0</v>
      </c>
      <c r="Q786" s="47">
        <f t="shared" si="205"/>
        <v>0</v>
      </c>
      <c r="R786" s="58">
        <f t="shared" si="206"/>
        <v>579</v>
      </c>
      <c r="S786" s="59">
        <f t="shared" si="207"/>
        <v>0.61281337047353768</v>
      </c>
      <c r="T786" s="59" t="str">
        <f t="shared" si="208"/>
        <v/>
      </c>
      <c r="U786" s="59" t="str">
        <f t="shared" si="209"/>
        <v/>
      </c>
      <c r="V786" s="60"/>
      <c r="W786" s="69" t="str">
        <f>IFERROR((VLOOKUP($A786,'Из ГУГЛа'!$B:$Z,W$1,0)+Y786)*X786,VLOOKUP($A786,'Из ГУГЛа'!$B:$Z,W$1,0))</f>
        <v/>
      </c>
      <c r="X786" s="61">
        <v>1</v>
      </c>
      <c r="Y786" s="61">
        <v>0</v>
      </c>
      <c r="Z786" s="60" t="s">
        <v>4170</v>
      </c>
      <c r="AA786" s="60"/>
    </row>
    <row r="787" spans="1:29" ht="45" x14ac:dyDescent="0.25">
      <c r="A787" s="52">
        <v>223691</v>
      </c>
      <c r="B787" s="52">
        <f>VLOOKUP($A787,'Выгр Кат'!$A:$R,B$1,0)</f>
        <v>32635</v>
      </c>
      <c r="C787" s="53" t="str">
        <f>VLOOKUP($A787,'Выгр Кат'!$A:$R,C$1,0)</f>
        <v>Усилитель центральной стойки (катафорез) "АвтоВАЗ" правый для Лада Нива 4x4</v>
      </c>
      <c r="D787" s="52" t="str">
        <f>VLOOKUP($A787,'Выгр Кат'!$A:$R,D$1,0)</f>
        <v>Y</v>
      </c>
      <c r="E787" s="52" t="str">
        <f>VLOOKUP($A787,'Выгр Кат'!$A:$R,E$1,0)</f>
        <v>1</v>
      </c>
      <c r="F787" s="52" t="str">
        <f>VLOOKUP($A787,'Выгр Кат'!$A:$R,F$1,0)</f>
        <v>21210540115010</v>
      </c>
      <c r="G787" s="52" t="str">
        <f>IF(VLOOKUP($A787,'Выгр Кат'!$A:$R,G$1,0)=0,"",VLOOKUP($A787,'Выгр Кат'!$A:$R,G$1,0))</f>
        <v/>
      </c>
      <c r="H787" s="52"/>
      <c r="I787" s="52"/>
      <c r="J787" s="54">
        <f t="shared" si="201"/>
        <v>825</v>
      </c>
      <c r="K787" s="55">
        <f>VLOOKUP(J787,Наценка!$A$1:$B$8,2,1)</f>
        <v>1.55</v>
      </c>
      <c r="L787" s="56">
        <f t="shared" si="202"/>
        <v>1278.75</v>
      </c>
      <c r="M787" s="57">
        <f t="shared" si="203"/>
        <v>1290</v>
      </c>
      <c r="N787" s="52">
        <f>VLOOKUP($A787,'Выгр Кат'!$A:$R,N$1,0)</f>
        <v>825</v>
      </c>
      <c r="O787" s="52">
        <f>VLOOKUP($A787,'Выгр Кат'!$A:$R,O$1,0)</f>
        <v>1290</v>
      </c>
      <c r="P787" s="47">
        <f t="shared" si="204"/>
        <v>0</v>
      </c>
      <c r="Q787" s="47">
        <f t="shared" si="205"/>
        <v>0</v>
      </c>
      <c r="R787" s="58">
        <f t="shared" si="206"/>
        <v>1290</v>
      </c>
      <c r="S787" s="59">
        <f t="shared" si="207"/>
        <v>0.56363636363636371</v>
      </c>
      <c r="T787" s="59" t="str">
        <f t="shared" si="208"/>
        <v/>
      </c>
      <c r="U787" s="59" t="str">
        <f t="shared" si="209"/>
        <v/>
      </c>
      <c r="V787" s="60"/>
      <c r="W787" s="69" t="str">
        <f>IFERROR((VLOOKUP($A787,'Из ГУГЛа'!$B:$Z,W$1,0)+Y787)*X787,VLOOKUP($A787,'Из ГУГЛа'!$B:$Z,W$1,0))</f>
        <v/>
      </c>
      <c r="X787" s="61">
        <v>1</v>
      </c>
      <c r="Y787" s="61">
        <v>0</v>
      </c>
      <c r="Z787" s="60" t="s">
        <v>4170</v>
      </c>
      <c r="AA787" s="60"/>
    </row>
    <row r="788" spans="1:29" ht="45" x14ac:dyDescent="0.25">
      <c r="A788" s="52">
        <v>223692</v>
      </c>
      <c r="B788" s="52">
        <f>VLOOKUP($A788,'Выгр Кат'!$A:$R,B$1,0)</f>
        <v>32684</v>
      </c>
      <c r="C788" s="53" t="str">
        <f>VLOOKUP($A788,'Выгр Кат'!$A:$R,C$1,0)</f>
        <v>Усилитель центральной стойки (катафорез) "АвтоВАЗ" правый для Лада Нива 4x4 (5-ти дверная)</v>
      </c>
      <c r="D788" s="52" t="str">
        <f>VLOOKUP($A788,'Выгр Кат'!$A:$R,D$1,0)</f>
        <v>Y</v>
      </c>
      <c r="E788" s="52" t="str">
        <f>VLOOKUP($A788,'Выгр Кат'!$A:$R,E$1,0)</f>
        <v>1</v>
      </c>
      <c r="F788" s="52" t="str">
        <f>VLOOKUP($A788,'Выгр Кат'!$A:$R,F$1,0)</f>
        <v>21310540177110</v>
      </c>
      <c r="G788" s="52" t="str">
        <f>IF(VLOOKUP($A788,'Выгр Кат'!$A:$R,G$1,0)=0,"",VLOOKUP($A788,'Выгр Кат'!$A:$R,G$1,0))</f>
        <v>https://motorring.ru/product/36014-usilitely-centralynoy-stoyki-levyy-kataforez-vaz-2131</v>
      </c>
      <c r="H788" s="52"/>
      <c r="I788" s="52"/>
      <c r="J788" s="54">
        <f t="shared" si="201"/>
        <v>2375</v>
      </c>
      <c r="K788" s="55">
        <f>VLOOKUP(J788,Наценка!$A$1:$B$8,2,1)</f>
        <v>1.4</v>
      </c>
      <c r="L788" s="56">
        <f t="shared" si="202"/>
        <v>3325</v>
      </c>
      <c r="M788" s="57">
        <f t="shared" si="203"/>
        <v>3390</v>
      </c>
      <c r="N788" s="52">
        <f>VLOOKUP($A788,'Выгр Кат'!$A:$R,N$1,0)</f>
        <v>2375</v>
      </c>
      <c r="O788" s="52">
        <f>VLOOKUP($A788,'Выгр Кат'!$A:$R,O$1,0)</f>
        <v>3390</v>
      </c>
      <c r="P788" s="47">
        <f t="shared" si="204"/>
        <v>0</v>
      </c>
      <c r="Q788" s="47">
        <f t="shared" si="205"/>
        <v>0</v>
      </c>
      <c r="R788" s="58">
        <f t="shared" si="206"/>
        <v>3390</v>
      </c>
      <c r="S788" s="59">
        <f t="shared" si="207"/>
        <v>0.42736842105263162</v>
      </c>
      <c r="T788" s="59">
        <f t="shared" si="208"/>
        <v>-3.0395136778115502E-2</v>
      </c>
      <c r="U788" s="59">
        <f t="shared" si="209"/>
        <v>0.38526315789473675</v>
      </c>
      <c r="V788" s="42">
        <f t="shared" ref="V788:V790" si="217">Z788</f>
        <v>3290</v>
      </c>
      <c r="W788" s="69">
        <f>IFERROR((VLOOKUP($A788,'Из ГУГЛа'!$B:$Z,W$1,0)+Y788)*X788,VLOOKUP($A788,'Из ГУГЛа'!$B:$Z,W$1,0))</f>
        <v>3290</v>
      </c>
      <c r="X788" s="61">
        <v>1</v>
      </c>
      <c r="Y788" s="61">
        <v>0</v>
      </c>
      <c r="Z788" s="70">
        <v>3290</v>
      </c>
      <c r="AA788" s="60" t="s">
        <v>2058</v>
      </c>
    </row>
    <row r="789" spans="1:29" ht="30" x14ac:dyDescent="0.25">
      <c r="A789" s="52">
        <v>223695</v>
      </c>
      <c r="B789" s="52">
        <f>VLOOKUP($A789,'Выгр Кат'!$A:$R,B$1,0)</f>
        <v>31071</v>
      </c>
      <c r="C789" s="53" t="str">
        <f>VLOOKUP($A789,'Выгр Кат'!$A:$R,C$1,0)</f>
        <v>Усилитель щитка передка "Renault" левый, в сборе для Лада Ларгус</v>
      </c>
      <c r="D789" s="52" t="str">
        <f>VLOOKUP($A789,'Выгр Кат'!$A:$R,D$1,0)</f>
        <v>Y</v>
      </c>
      <c r="E789" s="52" t="str">
        <f>VLOOKUP($A789,'Выгр Кат'!$A:$R,E$1,0)</f>
        <v>1</v>
      </c>
      <c r="F789" s="52" t="str">
        <f>VLOOKUP($A789,'Выгр Кат'!$A:$R,F$1,0)</f>
        <v>6001546756</v>
      </c>
      <c r="G789" s="52" t="str">
        <f>IF(VLOOKUP($A789,'Выгр Кат'!$A:$R,G$1,0)=0,"",VLOOKUP($A789,'Выгр Кат'!$A:$R,G$1,0))</f>
        <v>https://motorring.ru/product/18223-usilitely-schitka-peredka-levyy-sbore-lada-largus</v>
      </c>
      <c r="H789" s="52"/>
      <c r="I789" s="52"/>
      <c r="J789" s="54">
        <f t="shared" si="201"/>
        <v>1757</v>
      </c>
      <c r="K789" s="55">
        <f>VLOOKUP(J789,Наценка!$A$1:$B$8,2,1)</f>
        <v>1.5</v>
      </c>
      <c r="L789" s="56">
        <f t="shared" si="202"/>
        <v>2635.5</v>
      </c>
      <c r="M789" s="57">
        <f t="shared" si="203"/>
        <v>2690</v>
      </c>
      <c r="N789" s="52">
        <f>VLOOKUP($A789,'Выгр Кат'!$A:$R,N$1,0)</f>
        <v>1757</v>
      </c>
      <c r="O789" s="52">
        <f>VLOOKUP($A789,'Выгр Кат'!$A:$R,O$1,0)</f>
        <v>2690</v>
      </c>
      <c r="P789" s="47">
        <f t="shared" si="204"/>
        <v>0</v>
      </c>
      <c r="Q789" s="47">
        <f t="shared" si="205"/>
        <v>0</v>
      </c>
      <c r="R789" s="58">
        <f t="shared" si="206"/>
        <v>2690</v>
      </c>
      <c r="S789" s="59">
        <f t="shared" si="207"/>
        <v>0.53101878201479802</v>
      </c>
      <c r="T789" s="59">
        <f t="shared" si="208"/>
        <v>-0.7593198168737737</v>
      </c>
      <c r="U789" s="59">
        <f t="shared" si="209"/>
        <v>-0.12976664769493451</v>
      </c>
      <c r="V789" s="42">
        <f t="shared" si="217"/>
        <v>1529</v>
      </c>
      <c r="W789" s="69">
        <f>IFERROR((VLOOKUP($A789,'Из ГУГЛа'!$B:$Z,W$1,0)+Y789)*X789,VLOOKUP($A789,'Из ГУГЛа'!$B:$Z,W$1,0))</f>
        <v>1529</v>
      </c>
      <c r="X789" s="61">
        <v>1</v>
      </c>
      <c r="Y789" s="61">
        <v>0</v>
      </c>
      <c r="Z789" s="70">
        <v>1529</v>
      </c>
      <c r="AA789" s="60" t="s">
        <v>2061</v>
      </c>
    </row>
    <row r="790" spans="1:29" ht="45" x14ac:dyDescent="0.25">
      <c r="A790" s="52">
        <v>223696</v>
      </c>
      <c r="B790" s="52">
        <f>VLOOKUP($A790,'Выгр Кат'!$A:$R,B$1,0)</f>
        <v>23540</v>
      </c>
      <c r="C790" s="53" t="str">
        <f>VLOOKUP($A790,'Выгр Кат'!$A:$R,C$1,0)</f>
        <v>Усилитель щитка передка "ВАЗИнтерСервис" (пластина) для ВАЗ 2110-2112</v>
      </c>
      <c r="D790" s="52" t="str">
        <f>VLOOKUP($A790,'Выгр Кат'!$A:$R,D$1,0)</f>
        <v>Y</v>
      </c>
      <c r="E790" s="52" t="str">
        <f>VLOOKUP($A790,'Выгр Кат'!$A:$R,E$1,0)</f>
        <v>1</v>
      </c>
      <c r="F790" s="52" t="str">
        <f>VLOOKUP($A790,'Выгр Кат'!$A:$R,F$1,0)</f>
        <v>21100160231250</v>
      </c>
      <c r="G790" s="52" t="str">
        <f>IF(VLOOKUP($A790,'Выгр Кат'!$A:$R,G$1,0)=0,"",VLOOKUP($A790,'Выгр Кат'!$A:$R,G$1,0))</f>
        <v>https://motorring.ru/product/16817-usilitely-schitka-peredka-plastina-vaz-2110-2112</v>
      </c>
      <c r="H790" s="52"/>
      <c r="I790" s="52"/>
      <c r="J790" s="54">
        <f t="shared" si="201"/>
        <v>38</v>
      </c>
      <c r="K790" s="55">
        <f>VLOOKUP(J790,Наценка!$A$1:$B$8,2,1)</f>
        <v>2</v>
      </c>
      <c r="L790" s="56">
        <f t="shared" si="202"/>
        <v>76</v>
      </c>
      <c r="M790" s="57">
        <f t="shared" si="203"/>
        <v>79</v>
      </c>
      <c r="N790" s="52">
        <f>VLOOKUP($A790,'Выгр Кат'!$A:$R,N$1,0)</f>
        <v>38</v>
      </c>
      <c r="O790" s="52">
        <f>VLOOKUP($A790,'Выгр Кат'!$A:$R,O$1,0)</f>
        <v>79</v>
      </c>
      <c r="P790" s="47">
        <f t="shared" si="204"/>
        <v>0</v>
      </c>
      <c r="Q790" s="47">
        <f t="shared" si="205"/>
        <v>0</v>
      </c>
      <c r="R790" s="58">
        <f t="shared" si="206"/>
        <v>79</v>
      </c>
      <c r="S790" s="59">
        <f t="shared" si="207"/>
        <v>1.0789473684210527</v>
      </c>
      <c r="T790" s="59">
        <f t="shared" si="208"/>
        <v>0.79743589743589749</v>
      </c>
      <c r="U790" s="59">
        <f t="shared" si="209"/>
        <v>9.2631578947368425</v>
      </c>
      <c r="V790" s="42">
        <f t="shared" si="217"/>
        <v>390</v>
      </c>
      <c r="W790" s="69">
        <f>IFERROR((VLOOKUP($A790,'Из ГУГЛа'!$B:$Z,W$1,0)+Y790)*X790,VLOOKUP($A790,'Из ГУГЛа'!$B:$Z,W$1,0))</f>
        <v>390</v>
      </c>
      <c r="X790" s="61">
        <v>1</v>
      </c>
      <c r="Y790" s="61">
        <v>0</v>
      </c>
      <c r="Z790" s="70">
        <v>390</v>
      </c>
      <c r="AA790" s="60" t="s">
        <v>2064</v>
      </c>
    </row>
    <row r="791" spans="1:29" ht="45" x14ac:dyDescent="0.25">
      <c r="A791" s="52">
        <v>223700</v>
      </c>
      <c r="B791" s="52">
        <f>VLOOKUP($A791,'Выгр Кат'!$A:$R,B$1,0)</f>
        <v>32702</v>
      </c>
      <c r="C791" s="53" t="str">
        <f>VLOOKUP($A791,'Выгр Кат'!$A:$R,C$1,0)</f>
        <v>Усилитель щитка передка верхний (катафорез) "АвтоВАЗ" в сборе для Лада Гранта FL</v>
      </c>
      <c r="D791" s="52" t="str">
        <f>VLOOKUP($A791,'Выгр Кат'!$A:$R,D$1,0)</f>
        <v>Y</v>
      </c>
      <c r="E791" s="52" t="str">
        <f>VLOOKUP($A791,'Выгр Кат'!$A:$R,E$1,0)</f>
        <v>1</v>
      </c>
      <c r="F791" s="52" t="str">
        <f>VLOOKUP($A791,'Выгр Кат'!$A:$R,F$1,0)</f>
        <v>8450104972</v>
      </c>
      <c r="G791" s="52" t="str">
        <f>IF(VLOOKUP($A791,'Выгр Кат'!$A:$R,G$1,0)=0,"",VLOOKUP($A791,'Выгр Кат'!$A:$R,G$1,0))</f>
        <v/>
      </c>
      <c r="H791" s="52"/>
      <c r="I791" s="52"/>
      <c r="J791" s="54">
        <f t="shared" si="201"/>
        <v>3842.7</v>
      </c>
      <c r="K791" s="55">
        <f>VLOOKUP(J791,Наценка!$A$1:$B$8,2,1)</f>
        <v>1.4</v>
      </c>
      <c r="L791" s="56">
        <f t="shared" si="202"/>
        <v>5379.78</v>
      </c>
      <c r="M791" s="57">
        <f t="shared" si="203"/>
        <v>5390</v>
      </c>
      <c r="N791" s="52">
        <f>VLOOKUP($A791,'Выгр Кат'!$A:$R,N$1,0)</f>
        <v>3842.7</v>
      </c>
      <c r="O791" s="52">
        <f>VLOOKUP($A791,'Выгр Кат'!$A:$R,O$1,0)</f>
        <v>5390</v>
      </c>
      <c r="P791" s="47">
        <f t="shared" si="204"/>
        <v>0</v>
      </c>
      <c r="Q791" s="47">
        <f t="shared" si="205"/>
        <v>0</v>
      </c>
      <c r="R791" s="58">
        <f t="shared" si="206"/>
        <v>5390</v>
      </c>
      <c r="S791" s="59">
        <f t="shared" si="207"/>
        <v>0.4026595883103028</v>
      </c>
      <c r="T791" s="59" t="str">
        <f t="shared" si="208"/>
        <v/>
      </c>
      <c r="U791" s="59" t="str">
        <f t="shared" si="209"/>
        <v/>
      </c>
      <c r="V791" s="60"/>
      <c r="W791" s="69" t="str">
        <f>IFERROR((VLOOKUP($A791,'Из ГУГЛа'!$B:$Z,W$1,0)+Y791)*X791,VLOOKUP($A791,'Из ГУГЛа'!$B:$Z,W$1,0))</f>
        <v/>
      </c>
      <c r="X791" s="61">
        <v>1</v>
      </c>
      <c r="Y791" s="61">
        <v>0</v>
      </c>
      <c r="Z791" s="60" t="s">
        <v>4170</v>
      </c>
      <c r="AA791" s="60"/>
    </row>
    <row r="792" spans="1:29" ht="30" x14ac:dyDescent="0.25">
      <c r="A792" s="52">
        <v>223701</v>
      </c>
      <c r="B792" s="52">
        <f>VLOOKUP($A792,'Выгр Кат'!$A:$R,B$1,0)</f>
        <v>32637</v>
      </c>
      <c r="C792" s="53" t="str">
        <f>VLOOKUP($A792,'Выгр Кат'!$A:$R,C$1,0)</f>
        <v>Усилитель щитка передка верхний в сборе "АвтоВАЗ" для Лада Нива 4x4</v>
      </c>
      <c r="D792" s="52" t="str">
        <f>VLOOKUP($A792,'Выгр Кат'!$A:$R,D$1,0)</f>
        <v>Y</v>
      </c>
      <c r="E792" s="52" t="str">
        <f>VLOOKUP($A792,'Выгр Кат'!$A:$R,E$1,0)</f>
        <v>1</v>
      </c>
      <c r="F792" s="52" t="str">
        <f>VLOOKUP($A792,'Выгр Кат'!$A:$R,F$1,0)</f>
        <v>21213530109000</v>
      </c>
      <c r="G792" s="52" t="str">
        <f>IF(VLOOKUP($A792,'Выгр Кат'!$A:$R,G$1,0)=0,"",VLOOKUP($A792,'Выгр Кат'!$A:$R,G$1,0))</f>
        <v/>
      </c>
      <c r="H792" s="52"/>
      <c r="I792" s="52"/>
      <c r="J792" s="54">
        <f t="shared" si="201"/>
        <v>1296.6099999999999</v>
      </c>
      <c r="K792" s="55">
        <f>VLOOKUP(J792,Наценка!$A$1:$B$8,2,1)</f>
        <v>1.5</v>
      </c>
      <c r="L792" s="56">
        <f t="shared" si="202"/>
        <v>1944.915</v>
      </c>
      <c r="M792" s="57">
        <f t="shared" si="203"/>
        <v>1990</v>
      </c>
      <c r="N792" s="52">
        <f>VLOOKUP($A792,'Выгр Кат'!$A:$R,N$1,0)</f>
        <v>1296.6099999999999</v>
      </c>
      <c r="O792" s="52">
        <f>VLOOKUP($A792,'Выгр Кат'!$A:$R,O$1,0)</f>
        <v>1990</v>
      </c>
      <c r="P792" s="47">
        <f t="shared" si="204"/>
        <v>0</v>
      </c>
      <c r="Q792" s="47">
        <f t="shared" si="205"/>
        <v>0</v>
      </c>
      <c r="R792" s="58">
        <f t="shared" si="206"/>
        <v>1990</v>
      </c>
      <c r="S792" s="59">
        <f t="shared" si="207"/>
        <v>0.5347714424537835</v>
      </c>
      <c r="T792" s="59" t="str">
        <f t="shared" si="208"/>
        <v/>
      </c>
      <c r="U792" s="59" t="str">
        <f t="shared" si="209"/>
        <v/>
      </c>
      <c r="V792" s="60"/>
      <c r="W792" s="69" t="str">
        <f>IFERROR((VLOOKUP($A792,'Из ГУГЛа'!$B:$Z,W$1,0)+Y792)*X792,VLOOKUP($A792,'Из ГУГЛа'!$B:$Z,W$1,0))</f>
        <v/>
      </c>
      <c r="X792" s="61">
        <v>1</v>
      </c>
      <c r="Y792" s="61">
        <v>0</v>
      </c>
      <c r="Z792" s="60" t="s">
        <v>4170</v>
      </c>
      <c r="AA792" s="60"/>
    </row>
    <row r="793" spans="1:29" ht="30" x14ac:dyDescent="0.25">
      <c r="A793" s="52">
        <v>223702</v>
      </c>
      <c r="B793" s="52">
        <f>VLOOKUP($A793,'Выгр Кат'!$A:$R,B$1,0)</f>
        <v>31145</v>
      </c>
      <c r="C793" s="53" t="str">
        <f>VLOOKUP($A793,'Выгр Кат'!$A:$R,C$1,0)</f>
        <v>Усилитель щитка передка левый (катафорез) "АвтоВАЗ" для Лада Веста</v>
      </c>
      <c r="D793" s="52" t="str">
        <f>VLOOKUP($A793,'Выгр Кат'!$A:$R,D$1,0)</f>
        <v>Y</v>
      </c>
      <c r="E793" s="52" t="str">
        <f>VLOOKUP($A793,'Выгр Кат'!$A:$R,E$1,0)</f>
        <v>1</v>
      </c>
      <c r="F793" s="52" t="str">
        <f>VLOOKUP($A793,'Выгр Кат'!$A:$R,F$1,0)</f>
        <v>8450039449</v>
      </c>
      <c r="G793" s="52" t="str">
        <f>IF(VLOOKUP($A793,'Выгр Кат'!$A:$R,G$1,0)=0,"",VLOOKUP($A793,'Выгр Кат'!$A:$R,G$1,0))</f>
        <v/>
      </c>
      <c r="H793" s="52"/>
      <c r="I793" s="52"/>
      <c r="J793" s="54">
        <f t="shared" si="201"/>
        <v>451</v>
      </c>
      <c r="K793" s="55">
        <f>VLOOKUP(J793,Наценка!$A$1:$B$8,2,1)</f>
        <v>1.6</v>
      </c>
      <c r="L793" s="56">
        <f t="shared" si="202"/>
        <v>721.6</v>
      </c>
      <c r="M793" s="57">
        <f t="shared" si="203"/>
        <v>729</v>
      </c>
      <c r="N793" s="52">
        <f>VLOOKUP($A793,'Выгр Кат'!$A:$R,N$1,0)</f>
        <v>451</v>
      </c>
      <c r="O793" s="52">
        <f>VLOOKUP($A793,'Выгр Кат'!$A:$R,O$1,0)</f>
        <v>729</v>
      </c>
      <c r="P793" s="47">
        <f t="shared" si="204"/>
        <v>0</v>
      </c>
      <c r="Q793" s="47">
        <f t="shared" si="205"/>
        <v>0</v>
      </c>
      <c r="R793" s="58">
        <f t="shared" si="206"/>
        <v>729</v>
      </c>
      <c r="S793" s="59">
        <f t="shared" si="207"/>
        <v>0.61640798226164084</v>
      </c>
      <c r="T793" s="59" t="str">
        <f t="shared" si="208"/>
        <v/>
      </c>
      <c r="U793" s="59" t="str">
        <f t="shared" si="209"/>
        <v/>
      </c>
      <c r="V793" s="60"/>
      <c r="W793" s="69" t="str">
        <f>IFERROR((VLOOKUP($A793,'Из ГУГЛа'!$B:$Z,W$1,0)+Y793)*X793,VLOOKUP($A793,'Из ГУГЛа'!$B:$Z,W$1,0))</f>
        <v/>
      </c>
      <c r="X793" s="61">
        <v>1</v>
      </c>
      <c r="Y793" s="61">
        <v>0</v>
      </c>
      <c r="Z793" s="60" t="s">
        <v>4170</v>
      </c>
      <c r="AA793" s="60"/>
    </row>
    <row r="794" spans="1:29" ht="30" x14ac:dyDescent="0.25">
      <c r="A794" s="52">
        <v>223703</v>
      </c>
      <c r="B794" s="52">
        <f>VLOOKUP($A794,'Выгр Кат'!$A:$R,B$1,0)</f>
        <v>31144</v>
      </c>
      <c r="C794" s="53" t="str">
        <f>VLOOKUP($A794,'Выгр Кат'!$A:$R,C$1,0)</f>
        <v>Усилитель щитка передка правый (катафорез) "АвтоВАЗ" для Лада Веста</v>
      </c>
      <c r="D794" s="52" t="str">
        <f>VLOOKUP($A794,'Выгр Кат'!$A:$R,D$1,0)</f>
        <v>Y</v>
      </c>
      <c r="E794" s="52" t="str">
        <f>VLOOKUP($A794,'Выгр Кат'!$A:$R,E$1,0)</f>
        <v>1</v>
      </c>
      <c r="F794" s="52" t="str">
        <f>VLOOKUP($A794,'Выгр Кат'!$A:$R,F$1,0)</f>
        <v>8450039450</v>
      </c>
      <c r="G794" s="52" t="str">
        <f>IF(VLOOKUP($A794,'Выгр Кат'!$A:$R,G$1,0)=0,"",VLOOKUP($A794,'Выгр Кат'!$A:$R,G$1,0))</f>
        <v/>
      </c>
      <c r="H794" s="52"/>
      <c r="I794" s="52"/>
      <c r="J794" s="54">
        <f t="shared" si="201"/>
        <v>477</v>
      </c>
      <c r="K794" s="55">
        <f>VLOOKUP(J794,Наценка!$A$1:$B$8,2,1)</f>
        <v>1.6</v>
      </c>
      <c r="L794" s="56">
        <f t="shared" si="202"/>
        <v>763.2</v>
      </c>
      <c r="M794" s="57">
        <f t="shared" si="203"/>
        <v>769</v>
      </c>
      <c r="N794" s="52">
        <f>VLOOKUP($A794,'Выгр Кат'!$A:$R,N$1,0)</f>
        <v>477</v>
      </c>
      <c r="O794" s="52">
        <f>VLOOKUP($A794,'Выгр Кат'!$A:$R,O$1,0)</f>
        <v>769</v>
      </c>
      <c r="P794" s="47">
        <f t="shared" si="204"/>
        <v>0</v>
      </c>
      <c r="Q794" s="47">
        <f t="shared" si="205"/>
        <v>0</v>
      </c>
      <c r="R794" s="58">
        <f t="shared" si="206"/>
        <v>769</v>
      </c>
      <c r="S794" s="59">
        <f t="shared" si="207"/>
        <v>0.61215932914046123</v>
      </c>
      <c r="T794" s="59" t="str">
        <f t="shared" si="208"/>
        <v/>
      </c>
      <c r="U794" s="59" t="str">
        <f t="shared" si="209"/>
        <v/>
      </c>
      <c r="V794" s="60"/>
      <c r="W794" s="69" t="str">
        <f>IFERROR((VLOOKUP($A794,'Из ГУГЛа'!$B:$Z,W$1,0)+Y794)*X794,VLOOKUP($A794,'Из ГУГЛа'!$B:$Z,W$1,0))</f>
        <v/>
      </c>
      <c r="X794" s="61">
        <v>1</v>
      </c>
      <c r="Y794" s="61">
        <v>0</v>
      </c>
      <c r="Z794" s="60" t="s">
        <v>4170</v>
      </c>
      <c r="AA794" s="60"/>
    </row>
    <row r="795" spans="1:29" ht="30" x14ac:dyDescent="0.25">
      <c r="A795" s="52">
        <v>224140</v>
      </c>
      <c r="B795" s="52">
        <f>VLOOKUP($A795,'Выгр Кат'!$A:$R,B$1,0)</f>
        <v>31055</v>
      </c>
      <c r="C795" s="53" t="str">
        <f>VLOOKUP($A795,'Выгр Кат'!$A:$R,C$1,0)</f>
        <v>Фланец пола "Renault" правый для Лада Ларгус</v>
      </c>
      <c r="D795" s="52" t="str">
        <f>VLOOKUP($A795,'Выгр Кат'!$A:$R,D$1,0)</f>
        <v>Y</v>
      </c>
      <c r="E795" s="52" t="str">
        <f>VLOOKUP($A795,'Выгр Кат'!$A:$R,E$1,0)</f>
        <v>1</v>
      </c>
      <c r="F795" s="52" t="str">
        <f>VLOOKUP($A795,'Выгр Кат'!$A:$R,F$1,0)</f>
        <v>6001548798</v>
      </c>
      <c r="G795" s="52" t="str">
        <f>IF(VLOOKUP($A795,'Выгр Кат'!$A:$R,G$1,0)=0,"",VLOOKUP($A795,'Выгр Кат'!$A:$R,G$1,0))</f>
        <v/>
      </c>
      <c r="H795" s="52"/>
      <c r="I795" s="52"/>
      <c r="J795" s="54">
        <f t="shared" si="201"/>
        <v>3594</v>
      </c>
      <c r="K795" s="55">
        <f>VLOOKUP(J795,Наценка!$A$1:$B$8,2,1)</f>
        <v>1.4</v>
      </c>
      <c r="L795" s="56">
        <f t="shared" si="202"/>
        <v>5031.5999999999995</v>
      </c>
      <c r="M795" s="57">
        <f t="shared" si="203"/>
        <v>5090</v>
      </c>
      <c r="N795" s="52">
        <f>VLOOKUP($A795,'Выгр Кат'!$A:$R,N$1,0)</f>
        <v>3594</v>
      </c>
      <c r="O795" s="52">
        <f>VLOOKUP($A795,'Выгр Кат'!$A:$R,O$1,0)</f>
        <v>5090</v>
      </c>
      <c r="P795" s="47">
        <f t="shared" si="204"/>
        <v>0</v>
      </c>
      <c r="Q795" s="47">
        <f t="shared" si="205"/>
        <v>0</v>
      </c>
      <c r="R795" s="58">
        <f t="shared" si="206"/>
        <v>5090</v>
      </c>
      <c r="S795" s="59">
        <f t="shared" si="207"/>
        <v>0.41624930439621588</v>
      </c>
      <c r="T795" s="59" t="str">
        <f t="shared" si="208"/>
        <v/>
      </c>
      <c r="U795" s="59" t="str">
        <f t="shared" si="209"/>
        <v/>
      </c>
      <c r="V795" s="60"/>
      <c r="W795" s="69" t="str">
        <f>IFERROR((VLOOKUP($A795,'Из ГУГЛа'!$B:$Z,W$1,0)+Y795)*X795,VLOOKUP($A795,'Из ГУГЛа'!$B:$Z,W$1,0))</f>
        <v/>
      </c>
      <c r="X795" s="61">
        <v>1</v>
      </c>
      <c r="Y795" s="61">
        <v>0</v>
      </c>
      <c r="Z795" s="60" t="s">
        <v>4170</v>
      </c>
      <c r="AA795" s="60"/>
    </row>
    <row r="796" spans="1:29" ht="30" x14ac:dyDescent="0.25">
      <c r="A796" s="52">
        <v>226774</v>
      </c>
      <c r="B796" s="52">
        <f>VLOOKUP($A796,'Выгр Кат'!$A:$R,B$1,0)</f>
        <v>31015</v>
      </c>
      <c r="C796" s="53" t="str">
        <f>VLOOKUP($A796,'Выгр Кат'!$A:$R,C$1,0)</f>
        <v>Щиток (локер) передней правой арки колеса "Renault" для Лада Ларгус</v>
      </c>
      <c r="D796" s="52" t="str">
        <f>VLOOKUP($A796,'Выгр Кат'!$A:$R,D$1,0)</f>
        <v>Y</v>
      </c>
      <c r="E796" s="52" t="str">
        <f>VLOOKUP($A796,'Выгр Кат'!$A:$R,E$1,0)</f>
        <v>1</v>
      </c>
      <c r="F796" s="52" t="str">
        <f>VLOOKUP($A796,'Выгр Кат'!$A:$R,F$1,0)</f>
        <v>638402115R</v>
      </c>
      <c r="G796" s="52" t="str">
        <f>IF(VLOOKUP($A796,'Выгр Кат'!$A:$R,G$1,0)=0,"",VLOOKUP($A796,'Выгр Кат'!$A:$R,G$1,0))</f>
        <v/>
      </c>
      <c r="H796" s="52"/>
      <c r="I796" s="52"/>
      <c r="J796" s="54">
        <f t="shared" si="201"/>
        <v>3236</v>
      </c>
      <c r="K796" s="55">
        <f>VLOOKUP(J796,Наценка!$A$1:$B$8,2,1)</f>
        <v>1.4</v>
      </c>
      <c r="L796" s="56">
        <f t="shared" si="202"/>
        <v>4530.3999999999996</v>
      </c>
      <c r="M796" s="57">
        <f t="shared" si="203"/>
        <v>4590</v>
      </c>
      <c r="N796" s="52">
        <f>VLOOKUP($A796,'Выгр Кат'!$A:$R,N$1,0)</f>
        <v>3236</v>
      </c>
      <c r="O796" s="52">
        <f>VLOOKUP($A796,'Выгр Кат'!$A:$R,O$1,0)</f>
        <v>4590</v>
      </c>
      <c r="P796" s="47">
        <f t="shared" si="204"/>
        <v>0</v>
      </c>
      <c r="Q796" s="47">
        <f t="shared" si="205"/>
        <v>0</v>
      </c>
      <c r="R796" s="58">
        <f t="shared" si="206"/>
        <v>4590</v>
      </c>
      <c r="S796" s="59">
        <f t="shared" si="207"/>
        <v>0.41841779975278115</v>
      </c>
      <c r="T796" s="59" t="str">
        <f t="shared" si="208"/>
        <v/>
      </c>
      <c r="U796" s="59" t="str">
        <f t="shared" si="209"/>
        <v/>
      </c>
      <c r="V796" s="60"/>
      <c r="W796" s="69" t="str">
        <f>IFERROR((VLOOKUP($A796,'Из ГУГЛа'!$B:$Z,W$1,0)+Y796)*X796,VLOOKUP($A796,'Из ГУГЛа'!$B:$Z,W$1,0))</f>
        <v/>
      </c>
      <c r="X796" s="61">
        <v>1</v>
      </c>
      <c r="Y796" s="61">
        <v>0</v>
      </c>
      <c r="Z796" s="60" t="s">
        <v>4170</v>
      </c>
      <c r="AA796" s="60"/>
    </row>
    <row r="797" spans="1:29" ht="45" x14ac:dyDescent="0.25">
      <c r="A797" s="52">
        <v>226776</v>
      </c>
      <c r="B797" s="52">
        <f>VLOOKUP($A797,'Выгр Кат'!$A:$R,B$1,0)</f>
        <v>31019</v>
      </c>
      <c r="C797" s="53" t="str">
        <f>VLOOKUP($A797,'Выгр Кат'!$A:$R,C$1,0)</f>
        <v>Щиток арки переднего колеса правый внутрений (защита) "Renault" для Лада Ларгус</v>
      </c>
      <c r="D797" s="52" t="str">
        <f>VLOOKUP($A797,'Выгр Кат'!$A:$R,D$1,0)</f>
        <v>Y</v>
      </c>
      <c r="E797" s="52" t="str">
        <f>VLOOKUP($A797,'Выгр Кат'!$A:$R,E$1,0)</f>
        <v>1</v>
      </c>
      <c r="F797" s="52" t="str">
        <f>VLOOKUP($A797,'Выгр Кат'!$A:$R,F$1,0)</f>
        <v>6001549272</v>
      </c>
      <c r="G797" s="52" t="str">
        <f>IF(VLOOKUP($A797,'Выгр Кат'!$A:$R,G$1,0)=0,"",VLOOKUP($A797,'Выгр Кат'!$A:$R,G$1,0))</f>
        <v/>
      </c>
      <c r="H797" s="52"/>
      <c r="I797" s="52"/>
      <c r="J797" s="54">
        <f t="shared" si="201"/>
        <v>1807</v>
      </c>
      <c r="K797" s="55">
        <f>VLOOKUP(J797,Наценка!$A$1:$B$8,2,1)</f>
        <v>1.5</v>
      </c>
      <c r="L797" s="56">
        <f t="shared" si="202"/>
        <v>2710.5</v>
      </c>
      <c r="M797" s="57">
        <f t="shared" si="203"/>
        <v>2790</v>
      </c>
      <c r="N797" s="52">
        <f>VLOOKUP($A797,'Выгр Кат'!$A:$R,N$1,0)</f>
        <v>1807</v>
      </c>
      <c r="O797" s="52">
        <f>VLOOKUP($A797,'Выгр Кат'!$A:$R,O$1,0)</f>
        <v>2790</v>
      </c>
      <c r="P797" s="47">
        <f t="shared" si="204"/>
        <v>0</v>
      </c>
      <c r="Q797" s="47">
        <f t="shared" si="205"/>
        <v>0</v>
      </c>
      <c r="R797" s="58">
        <f t="shared" si="206"/>
        <v>2790</v>
      </c>
      <c r="S797" s="59">
        <f t="shared" si="207"/>
        <v>0.54399557277255117</v>
      </c>
      <c r="T797" s="59" t="str">
        <f t="shared" si="208"/>
        <v/>
      </c>
      <c r="U797" s="59" t="str">
        <f t="shared" si="209"/>
        <v/>
      </c>
      <c r="V797" s="60"/>
      <c r="W797" s="69" t="str">
        <f>IFERROR((VLOOKUP($A797,'Из ГУГЛа'!$B:$Z,W$1,0)+Y797)*X797,VLOOKUP($A797,'Из ГУГЛа'!$B:$Z,W$1,0))</f>
        <v/>
      </c>
      <c r="X797" s="61">
        <v>1</v>
      </c>
      <c r="Y797" s="61">
        <v>0</v>
      </c>
      <c r="Z797" s="60" t="s">
        <v>4170</v>
      </c>
      <c r="AA797" s="60"/>
      <c r="AB797" s="37">
        <v>4460</v>
      </c>
      <c r="AC797" s="37" t="s">
        <v>4246</v>
      </c>
    </row>
    <row r="798" spans="1:29" ht="30" x14ac:dyDescent="0.25">
      <c r="A798" s="52">
        <v>226802</v>
      </c>
      <c r="B798" s="52">
        <f>VLOOKUP($A798,'Выгр Кат'!$A:$R,B$1,0)</f>
        <v>32538</v>
      </c>
      <c r="C798" s="53" t="str">
        <f>VLOOKUP($A798,'Выгр Кат'!$A:$R,C$1,0)</f>
        <v>Щиток передка "АвтоВАЗ" в сборе (нового образца) для ВАЗ 2110-2112</v>
      </c>
      <c r="D798" s="52" t="str">
        <f>VLOOKUP($A798,'Выгр Кат'!$A:$R,D$1,0)</f>
        <v>Y</v>
      </c>
      <c r="E798" s="52" t="str">
        <f>VLOOKUP($A798,'Выгр Кат'!$A:$R,E$1,0)</f>
        <v>0</v>
      </c>
      <c r="F798" s="52" t="str">
        <f>VLOOKUP($A798,'Выгр Кат'!$A:$R,F$1,0)</f>
        <v>21100530108060</v>
      </c>
      <c r="G798" s="52" t="str">
        <f>IF(VLOOKUP($A798,'Выгр Кат'!$A:$R,G$1,0)=0,"",VLOOKUP($A798,'Выгр Кат'!$A:$R,G$1,0))</f>
        <v/>
      </c>
      <c r="H798" s="52"/>
      <c r="I798" s="52"/>
      <c r="J798" s="54">
        <f t="shared" si="201"/>
        <v>2182</v>
      </c>
      <c r="K798" s="55">
        <f>VLOOKUP(J798,Наценка!$A$1:$B$8,2,1)</f>
        <v>1.4</v>
      </c>
      <c r="L798" s="56">
        <f t="shared" si="202"/>
        <v>3054.7999999999997</v>
      </c>
      <c r="M798" s="57">
        <f t="shared" si="203"/>
        <v>3090</v>
      </c>
      <c r="N798" s="52">
        <f>VLOOKUP($A798,'Выгр Кат'!$A:$R,N$1,0)</f>
        <v>2182</v>
      </c>
      <c r="O798" s="52">
        <f>VLOOKUP($A798,'Выгр Кат'!$A:$R,O$1,0)</f>
        <v>3090</v>
      </c>
      <c r="P798" s="47">
        <f t="shared" si="204"/>
        <v>0</v>
      </c>
      <c r="Q798" s="47">
        <f t="shared" si="205"/>
        <v>0</v>
      </c>
      <c r="R798" s="58">
        <f t="shared" si="206"/>
        <v>3090</v>
      </c>
      <c r="S798" s="59">
        <f t="shared" si="207"/>
        <v>0.41613198900091652</v>
      </c>
      <c r="T798" s="59" t="str">
        <f t="shared" si="208"/>
        <v/>
      </c>
      <c r="U798" s="59" t="str">
        <f t="shared" si="209"/>
        <v/>
      </c>
      <c r="V798" s="60"/>
      <c r="W798" s="69" t="str">
        <f>IFERROR((VLOOKUP($A798,'Из ГУГЛа'!$B:$Z,W$1,0)+Y798)*X798,VLOOKUP($A798,'Из ГУГЛа'!$B:$Z,W$1,0))</f>
        <v/>
      </c>
      <c r="X798" s="61">
        <v>1</v>
      </c>
      <c r="Y798" s="61">
        <v>0</v>
      </c>
      <c r="Z798" s="76" t="s">
        <v>4285</v>
      </c>
      <c r="AA798" s="60"/>
    </row>
    <row r="799" spans="1:29" ht="30" x14ac:dyDescent="0.25">
      <c r="A799" s="52">
        <v>226803</v>
      </c>
      <c r="B799" s="52">
        <f>VLOOKUP($A799,'Выгр Кат'!$A:$R,B$1,0)</f>
        <v>31280</v>
      </c>
      <c r="C799" s="53" t="str">
        <f>VLOOKUP($A799,'Выгр Кат'!$A:$R,C$1,0)</f>
        <v>Щиток передка "АвтоВАЗ" в сборе для Шевроле Нива</v>
      </c>
      <c r="D799" s="52" t="str">
        <f>VLOOKUP($A799,'Выгр Кат'!$A:$R,D$1,0)</f>
        <v>Y</v>
      </c>
      <c r="E799" s="52" t="str">
        <f>VLOOKUP($A799,'Выгр Кат'!$A:$R,E$1,0)</f>
        <v>1</v>
      </c>
      <c r="F799" s="52" t="str">
        <f>VLOOKUP($A799,'Выгр Кат'!$A:$R,F$1,0)</f>
        <v>21230530108065</v>
      </c>
      <c r="G799" s="52" t="str">
        <f>IF(VLOOKUP($A799,'Выгр Кат'!$A:$R,G$1,0)=0,"",VLOOKUP($A799,'Выгр Кат'!$A:$R,G$1,0))</f>
        <v/>
      </c>
      <c r="H799" s="52"/>
      <c r="I799" s="52"/>
      <c r="J799" s="54">
        <f t="shared" si="201"/>
        <v>8807</v>
      </c>
      <c r="K799" s="55">
        <f>VLOOKUP(J799,Наценка!$A$1:$B$8,2,1)</f>
        <v>1.35</v>
      </c>
      <c r="L799" s="56">
        <f t="shared" si="202"/>
        <v>11889.45</v>
      </c>
      <c r="M799" s="57">
        <f t="shared" si="203"/>
        <v>11890</v>
      </c>
      <c r="N799" s="52">
        <f>VLOOKUP($A799,'Выгр Кат'!$A:$R,N$1,0)</f>
        <v>8807</v>
      </c>
      <c r="O799" s="52">
        <f>VLOOKUP($A799,'Выгр Кат'!$A:$R,O$1,0)</f>
        <v>12390</v>
      </c>
      <c r="P799" s="47">
        <f t="shared" si="204"/>
        <v>0</v>
      </c>
      <c r="Q799" s="47">
        <f t="shared" si="205"/>
        <v>500</v>
      </c>
      <c r="R799" s="58">
        <f t="shared" si="206"/>
        <v>11890</v>
      </c>
      <c r="S799" s="59">
        <f t="shared" si="207"/>
        <v>0.35006245032360628</v>
      </c>
      <c r="T799" s="59">
        <f t="shared" si="208"/>
        <v>2.461033634126333E-2</v>
      </c>
      <c r="U799" s="59">
        <f t="shared" si="209"/>
        <v>0.38412626319972754</v>
      </c>
      <c r="V799" s="42">
        <f t="shared" ref="V799" si="218">Z799</f>
        <v>12190</v>
      </c>
      <c r="W799" s="69">
        <f>IFERROR((VLOOKUP($A799,'Из ГУГЛа'!$B:$Z,W$1,0)+Y799)*X799,VLOOKUP($A799,'Из ГУГЛа'!$B:$Z,W$1,0))</f>
        <v>12190</v>
      </c>
      <c r="X799" s="61">
        <v>1</v>
      </c>
      <c r="Y799" s="61">
        <v>0</v>
      </c>
      <c r="Z799" s="60">
        <v>12190</v>
      </c>
      <c r="AA799" s="60" t="s">
        <v>2088</v>
      </c>
    </row>
    <row r="800" spans="1:29" ht="30" x14ac:dyDescent="0.25">
      <c r="A800" s="52">
        <v>226804</v>
      </c>
      <c r="B800" s="52">
        <f>VLOOKUP($A800,'Выгр Кат'!$A:$R,B$1,0)</f>
        <v>46241</v>
      </c>
      <c r="C800" s="53" t="str">
        <f>VLOOKUP($A800,'Выгр Кат'!$A:$R,C$1,0)</f>
        <v>Щиток передка "АвтоВАЗ" для Лада Нива Travel, Шевроле Нива</v>
      </c>
      <c r="D800" s="52" t="str">
        <f>VLOOKUP($A800,'Выгр Кат'!$A:$R,D$1,0)</f>
        <v>Y</v>
      </c>
      <c r="E800" s="52" t="str">
        <f>VLOOKUP($A800,'Выгр Кат'!$A:$R,E$1,0)</f>
        <v>1</v>
      </c>
      <c r="F800" s="52" t="str">
        <f>VLOOKUP($A800,'Выгр Кат'!$A:$R,F$1,0)</f>
        <v>21230530108070</v>
      </c>
      <c r="G800" s="52" t="str">
        <f>IF(VLOOKUP($A800,'Выгр Кат'!$A:$R,G$1,0)=0,"",VLOOKUP($A800,'Выгр Кат'!$A:$R,G$1,0))</f>
        <v/>
      </c>
      <c r="H800" s="52"/>
      <c r="I800" s="52"/>
      <c r="J800" s="54">
        <f t="shared" si="201"/>
        <v>20627.669999999998</v>
      </c>
      <c r="K800" s="55">
        <f>VLOOKUP(J800,Наценка!$A$1:$B$8,2,1)</f>
        <v>1.3</v>
      </c>
      <c r="L800" s="56">
        <f t="shared" si="202"/>
        <v>26815.970999999998</v>
      </c>
      <c r="M800" s="57">
        <f t="shared" si="203"/>
        <v>26890</v>
      </c>
      <c r="N800" s="52">
        <f>VLOOKUP($A800,'Выгр Кат'!$A:$R,N$1,0)</f>
        <v>20627.669999999998</v>
      </c>
      <c r="O800" s="52">
        <f>VLOOKUP($A800,'Выгр Кат'!$A:$R,O$1,0)</f>
        <v>26890</v>
      </c>
      <c r="P800" s="47">
        <f t="shared" si="204"/>
        <v>0</v>
      </c>
      <c r="Q800" s="47">
        <f t="shared" si="205"/>
        <v>0</v>
      </c>
      <c r="R800" s="58">
        <f t="shared" si="206"/>
        <v>26890</v>
      </c>
      <c r="S800" s="59">
        <f t="shared" si="207"/>
        <v>0.30358882025938949</v>
      </c>
      <c r="T800" s="59" t="str">
        <f t="shared" si="208"/>
        <v/>
      </c>
      <c r="U800" s="59" t="str">
        <f t="shared" si="209"/>
        <v/>
      </c>
      <c r="V800" s="60"/>
      <c r="W800" s="69" t="str">
        <f>IFERROR((VLOOKUP($A800,'Из ГУГЛа'!$B:$Z,W$1,0)+Y800)*X800,VLOOKUP($A800,'Из ГУГЛа'!$B:$Z,W$1,0))</f>
        <v/>
      </c>
      <c r="X800" s="61">
        <v>1</v>
      </c>
      <c r="Y800" s="61">
        <v>0</v>
      </c>
      <c r="Z800" s="60" t="s">
        <v>4169</v>
      </c>
      <c r="AA800" s="60"/>
    </row>
    <row r="801" spans="1:27" ht="30" x14ac:dyDescent="0.25">
      <c r="A801" s="52">
        <v>226805</v>
      </c>
      <c r="B801" s="52">
        <f>VLOOKUP($A801,'Выгр Кат'!$A:$R,B$1,0)</f>
        <v>32656</v>
      </c>
      <c r="C801" s="53" t="str">
        <f>VLOOKUP($A801,'Выгр Кат'!$A:$R,C$1,0)</f>
        <v>Щиток передка "АвтоВАЗ" для Шевроле Нива</v>
      </c>
      <c r="D801" s="52" t="str">
        <f>VLOOKUP($A801,'Выгр Кат'!$A:$R,D$1,0)</f>
        <v>Y</v>
      </c>
      <c r="E801" s="52" t="str">
        <f>VLOOKUP($A801,'Выгр Кат'!$A:$R,E$1,0)</f>
        <v>1</v>
      </c>
      <c r="F801" s="52" t="str">
        <f>VLOOKUP($A801,'Выгр Кат'!$A:$R,F$1,0)</f>
        <v>21230530108000</v>
      </c>
      <c r="G801" s="52" t="str">
        <f>IF(VLOOKUP($A801,'Выгр Кат'!$A:$R,G$1,0)=0,"",VLOOKUP($A801,'Выгр Кат'!$A:$R,G$1,0))</f>
        <v>https://motorring.ru/product/6544-schitok-motornogo-otseka-dlya-shevrole-niva</v>
      </c>
      <c r="H801" s="52"/>
      <c r="I801" s="52"/>
      <c r="J801" s="54">
        <f t="shared" si="201"/>
        <v>5019</v>
      </c>
      <c r="K801" s="55">
        <f>VLOOKUP(J801,Наценка!$A$1:$B$8,2,1)</f>
        <v>1.35</v>
      </c>
      <c r="L801" s="56">
        <f t="shared" si="202"/>
        <v>6775.6500000000005</v>
      </c>
      <c r="M801" s="57">
        <f t="shared" si="203"/>
        <v>6790</v>
      </c>
      <c r="N801" s="52">
        <f>VLOOKUP($A801,'Выгр Кат'!$A:$R,N$1,0)</f>
        <v>5019</v>
      </c>
      <c r="O801" s="52">
        <f>VLOOKUP($A801,'Выгр Кат'!$A:$R,O$1,0)</f>
        <v>6790</v>
      </c>
      <c r="P801" s="47">
        <f t="shared" si="204"/>
        <v>0</v>
      </c>
      <c r="Q801" s="47">
        <f t="shared" si="205"/>
        <v>0</v>
      </c>
      <c r="R801" s="58">
        <f t="shared" si="206"/>
        <v>6790</v>
      </c>
      <c r="S801" s="59">
        <f t="shared" si="207"/>
        <v>0.35285913528591362</v>
      </c>
      <c r="T801" s="59">
        <f t="shared" si="208"/>
        <v>0.44298605414273995</v>
      </c>
      <c r="U801" s="59">
        <f t="shared" si="209"/>
        <v>1.4287706714484956</v>
      </c>
      <c r="V801" s="42">
        <f>Z801</f>
        <v>12190</v>
      </c>
      <c r="W801" s="69">
        <f>IFERROR((VLOOKUP($A801,'Из ГУГЛа'!$B:$Z,W$1,0)+Y801)*X801,VLOOKUP($A801,'Из ГУГЛа'!$B:$Z,W$1,0))</f>
        <v>12190</v>
      </c>
      <c r="X801" s="61">
        <v>1</v>
      </c>
      <c r="Y801" s="61">
        <v>0</v>
      </c>
      <c r="Z801" s="70">
        <v>12190</v>
      </c>
      <c r="AA801" s="60" t="s">
        <v>2088</v>
      </c>
    </row>
    <row r="802" spans="1:27" ht="30" x14ac:dyDescent="0.25">
      <c r="A802" s="52">
        <v>226819</v>
      </c>
      <c r="B802" s="52">
        <f>VLOOKUP($A802,'Выгр Кат'!$A:$R,B$1,0)</f>
        <v>31439</v>
      </c>
      <c r="C802" s="53" t="str">
        <f>VLOOKUP($A802,'Выгр Кат'!$A:$R,C$1,0)</f>
        <v>Экран защитный "АвтоВАЗ" для ВАЗ 2108-21099, 2113-2115</v>
      </c>
      <c r="D802" s="52" t="str">
        <f>VLOOKUP($A802,'Выгр Кат'!$A:$R,D$1,0)</f>
        <v>Y</v>
      </c>
      <c r="E802" s="52" t="str">
        <f>VLOOKUP($A802,'Выгр Кат'!$A:$R,E$1,0)</f>
        <v>1</v>
      </c>
      <c r="F802" s="52" t="str">
        <f>VLOOKUP($A802,'Выгр Кат'!$A:$R,F$1,0)</f>
        <v>21080120602010</v>
      </c>
      <c r="G802" s="52" t="str">
        <f>IF(VLOOKUP($A802,'Выгр Кат'!$A:$R,G$1,0)=0,"",VLOOKUP($A802,'Выгр Кат'!$A:$R,G$1,0))</f>
        <v/>
      </c>
      <c r="H802" s="52"/>
      <c r="I802" s="52"/>
      <c r="J802" s="54">
        <f t="shared" si="201"/>
        <v>192</v>
      </c>
      <c r="K802" s="55">
        <f>VLOOKUP(J802,Наценка!$A$1:$B$8,2,1)</f>
        <v>1.8</v>
      </c>
      <c r="L802" s="56">
        <f t="shared" si="202"/>
        <v>345.6</v>
      </c>
      <c r="M802" s="57">
        <f t="shared" si="203"/>
        <v>349</v>
      </c>
      <c r="N802" s="52">
        <f>VLOOKUP($A802,'Выгр Кат'!$A:$R,N$1,0)</f>
        <v>192</v>
      </c>
      <c r="O802" s="52">
        <f>VLOOKUP($A802,'Выгр Кат'!$A:$R,O$1,0)</f>
        <v>269</v>
      </c>
      <c r="P802" s="47">
        <f t="shared" si="204"/>
        <v>0</v>
      </c>
      <c r="Q802" s="47">
        <f t="shared" si="205"/>
        <v>-80</v>
      </c>
      <c r="R802" s="58">
        <f t="shared" si="206"/>
        <v>349</v>
      </c>
      <c r="S802" s="59">
        <f t="shared" si="207"/>
        <v>0.81770833333333326</v>
      </c>
      <c r="T802" s="59" t="str">
        <f t="shared" si="208"/>
        <v/>
      </c>
      <c r="U802" s="59" t="str">
        <f t="shared" si="209"/>
        <v/>
      </c>
      <c r="V802" s="60"/>
      <c r="W802" s="69" t="str">
        <f>IFERROR((VLOOKUP($A802,'Из ГУГЛа'!$B:$Z,W$1,0)+Y802)*X802,VLOOKUP($A802,'Из ГУГЛа'!$B:$Z,W$1,0))</f>
        <v/>
      </c>
      <c r="X802" s="61">
        <v>1</v>
      </c>
      <c r="Y802" s="61">
        <v>0</v>
      </c>
      <c r="Z802" s="60" t="s">
        <v>4170</v>
      </c>
      <c r="AA802" s="60"/>
    </row>
    <row r="803" spans="1:27" ht="30" x14ac:dyDescent="0.25">
      <c r="A803" s="52">
        <v>226820</v>
      </c>
      <c r="B803" s="52">
        <f>VLOOKUP($A803,'Выгр Кат'!$A:$R,B$1,0)</f>
        <v>31308</v>
      </c>
      <c r="C803" s="53" t="str">
        <f>VLOOKUP($A803,'Выгр Кат'!$A:$R,C$1,0)</f>
        <v>Экран защиты пола кузова "АвтоВАЗ" для Лада Нива 4x4</v>
      </c>
      <c r="D803" s="52" t="str">
        <f>VLOOKUP($A803,'Выгр Кат'!$A:$R,D$1,0)</f>
        <v>Y</v>
      </c>
      <c r="E803" s="52" t="str">
        <f>VLOOKUP($A803,'Выгр Кат'!$A:$R,E$1,0)</f>
        <v>1</v>
      </c>
      <c r="F803" s="52" t="str">
        <f>VLOOKUP($A803,'Выгр Кат'!$A:$R,F$1,0)</f>
        <v>21214120601800</v>
      </c>
      <c r="G803" s="52" t="str">
        <f>IF(VLOOKUP($A803,'Выгр Кат'!$A:$R,G$1,0)=0,"",VLOOKUP($A803,'Выгр Кат'!$A:$R,G$1,0))</f>
        <v/>
      </c>
      <c r="H803" s="52"/>
      <c r="I803" s="52"/>
      <c r="J803" s="54">
        <f t="shared" si="201"/>
        <v>471</v>
      </c>
      <c r="K803" s="55">
        <f>VLOOKUP(J803,Наценка!$A$1:$B$8,2,1)</f>
        <v>1.6</v>
      </c>
      <c r="L803" s="56">
        <f t="shared" si="202"/>
        <v>753.6</v>
      </c>
      <c r="M803" s="57">
        <f t="shared" si="203"/>
        <v>759</v>
      </c>
      <c r="N803" s="52">
        <f>VLOOKUP($A803,'Выгр Кат'!$A:$R,N$1,0)</f>
        <v>471</v>
      </c>
      <c r="O803" s="52">
        <f>VLOOKUP($A803,'Выгр Кат'!$A:$R,O$1,0)</f>
        <v>759</v>
      </c>
      <c r="P803" s="47">
        <f t="shared" si="204"/>
        <v>0</v>
      </c>
      <c r="Q803" s="47">
        <f t="shared" si="205"/>
        <v>0</v>
      </c>
      <c r="R803" s="58">
        <f t="shared" si="206"/>
        <v>759</v>
      </c>
      <c r="S803" s="59">
        <f t="shared" si="207"/>
        <v>0.61146496815286633</v>
      </c>
      <c r="T803" s="59" t="str">
        <f t="shared" si="208"/>
        <v/>
      </c>
      <c r="U803" s="59" t="str">
        <f t="shared" si="209"/>
        <v/>
      </c>
      <c r="V803" s="60"/>
      <c r="W803" s="69" t="str">
        <f>IFERROR((VLOOKUP($A803,'Из ГУГЛа'!$B:$Z,W$1,0)+Y803)*X803,VLOOKUP($A803,'Из ГУГЛа'!$B:$Z,W$1,0))</f>
        <v/>
      </c>
      <c r="X803" s="61">
        <v>1</v>
      </c>
      <c r="Y803" s="61">
        <v>0</v>
      </c>
      <c r="Z803" s="60" t="s">
        <v>4170</v>
      </c>
      <c r="AA803" s="60"/>
    </row>
  </sheetData>
  <autoFilter ref="A2:AC2" xr:uid="{B2B4F4DD-6348-4DE0-B677-78B8633D283D}"/>
  <conditionalFormatting sqref="T3:T803">
    <cfRule type="cellIs" dxfId="13" priority="4" operator="lessThan">
      <formula>0%</formula>
    </cfRule>
  </conditionalFormatting>
  <conditionalFormatting sqref="U3:U803 S3:S803">
    <cfRule type="cellIs" dxfId="12" priority="3" operator="lessThan">
      <formula>$R$1</formula>
    </cfRule>
  </conditionalFormatting>
  <conditionalFormatting sqref="C3:C803">
    <cfRule type="expression" dxfId="11" priority="2">
      <formula>OR(D3="N",E3="0")</formula>
    </cfRule>
  </conditionalFormatting>
  <conditionalFormatting sqref="A3:A803">
    <cfRule type="expression" dxfId="10" priority="1">
      <formula>AND(ROUNDDOWN($Q3,0)=0,ROUNDDOWN($P3,0)=0)</formula>
    </cfRule>
  </conditionalFormatting>
  <conditionalFormatting sqref="W3:W803">
    <cfRule type="expression" dxfId="9" priority="5">
      <formula>VALUE(W3)&lt;&gt;Z3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B36E7-1DBB-47F5-9A3C-062F271DAE52}">
  <sheetPr codeName="Лист3"/>
  <dimension ref="A1:AB264"/>
  <sheetViews>
    <sheetView topLeftCell="B1" workbookViewId="0">
      <pane ySplit="2" topLeftCell="A253" activePane="bottomLeft" state="frozen"/>
      <selection activeCell="V2" sqref="V2"/>
      <selection pane="bottomLeft" activeCell="G266" sqref="G266"/>
    </sheetView>
  </sheetViews>
  <sheetFormatPr defaultRowHeight="15" outlineLevelCol="1" x14ac:dyDescent="0.25"/>
  <cols>
    <col min="1" max="1" width="40.140625" style="7" hidden="1" customWidth="1" outlineLevel="1"/>
    <col min="2" max="2" width="7" style="7" bestFit="1" customWidth="1" collapsed="1"/>
    <col min="3" max="3" width="7" style="7" bestFit="1" customWidth="1"/>
    <col min="4" max="4" width="37.5703125" style="6" customWidth="1"/>
    <col min="5" max="6" width="5" style="7" customWidth="1"/>
    <col min="7" max="7" width="15.85546875" style="7" customWidth="1"/>
    <col min="8" max="8" width="13.5703125" style="7" customWidth="1"/>
    <col min="9" max="9" width="10.85546875" style="7" bestFit="1" customWidth="1"/>
    <col min="10" max="10" width="11.5703125" style="7" customWidth="1"/>
    <col min="11" max="11" width="6" style="9" bestFit="1" customWidth="1"/>
    <col min="12" max="12" width="9.140625" style="7"/>
    <col min="13" max="14" width="6" style="9" bestFit="1" customWidth="1"/>
    <col min="15" max="15" width="6.7109375" style="7" bestFit="1" customWidth="1"/>
    <col min="16" max="16" width="6.85546875" style="7" bestFit="1" customWidth="1"/>
    <col min="17" max="17" width="7.42578125" style="9" bestFit="1" customWidth="1"/>
    <col min="18" max="18" width="7.5703125" style="9" bestFit="1" customWidth="1"/>
    <col min="19" max="19" width="5.85546875" style="7" bestFit="1" customWidth="1"/>
    <col min="20" max="20" width="7" style="7" bestFit="1" customWidth="1"/>
    <col min="21" max="23" width="9.140625" style="7"/>
    <col min="24" max="24" width="8" style="7" bestFit="1" customWidth="1"/>
    <col min="25" max="25" width="5" style="7" customWidth="1"/>
    <col min="26" max="26" width="7.5703125" style="7" bestFit="1" customWidth="1"/>
    <col min="27" max="27" width="10.140625" style="7" customWidth="1"/>
    <col min="28" max="16384" width="9.140625" style="7"/>
  </cols>
  <sheetData>
    <row r="1" spans="1:28" x14ac:dyDescent="0.25">
      <c r="C1" s="6">
        <v>2</v>
      </c>
      <c r="D1" s="6">
        <v>3</v>
      </c>
      <c r="E1" s="7">
        <v>4</v>
      </c>
      <c r="F1" s="7">
        <v>15</v>
      </c>
      <c r="G1" s="7">
        <v>6</v>
      </c>
      <c r="H1" s="7">
        <v>11</v>
      </c>
      <c r="I1" s="8">
        <f>COUNT(Кат!$V:$V,Торг!$W:$W)/COUNT(Кат!$A:$A,Торг!$B:$B)</f>
        <v>0.62088428974600185</v>
      </c>
      <c r="J1" s="77">
        <f>COUNTA(Кат!$Z:$Z,Торг!$W:$W)/COUNT(Кат!$A:$A,Торг!$B:$B)</f>
        <v>0.98588899341486358</v>
      </c>
      <c r="K1" s="35">
        <f>O1</f>
        <v>9</v>
      </c>
      <c r="O1" s="7">
        <v>9</v>
      </c>
      <c r="P1" s="7">
        <v>10</v>
      </c>
      <c r="S1" s="10">
        <v>0.2</v>
      </c>
      <c r="T1" s="11" t="str">
        <f>_xlfn.CONCAT(ROUND(MIN(T3:T9000)*100,0),"-",ROUND(MAX(T3:T9000)*100,0),"%")</f>
        <v>30-104%</v>
      </c>
      <c r="U1" s="11" t="str">
        <f>_xlfn.CONCAT(ROUND(SUBTOTAL(5,U3:U9000)*100,0)," - ",ROUND(SUBTOTAL(4,U3:U9000)*100,0),"%")</f>
        <v>-3 - 60%</v>
      </c>
      <c r="V1" s="11" t="str">
        <f>_xlfn.CONCAT(ROUND(SUBTOTAL(5,V3:V90000)*100,0)," - ",ROUND(SUBTOTAL(4,V3:V90000)*100,0),"%")</f>
        <v>-100 - 365%</v>
      </c>
      <c r="W1" s="12"/>
      <c r="X1" s="7">
        <v>6</v>
      </c>
      <c r="Z1" s="13">
        <f>AD1</f>
        <v>0</v>
      </c>
    </row>
    <row r="2" spans="1:28" x14ac:dyDescent="0.25">
      <c r="A2" s="14" t="s">
        <v>4165</v>
      </c>
      <c r="B2" s="14" t="s">
        <v>0</v>
      </c>
      <c r="C2" s="15" t="s">
        <v>1</v>
      </c>
      <c r="D2" s="15" t="s">
        <v>4154</v>
      </c>
      <c r="E2" s="15"/>
      <c r="F2" s="15"/>
      <c r="G2" s="15" t="s">
        <v>4155</v>
      </c>
      <c r="H2" s="15" t="s">
        <v>2103</v>
      </c>
      <c r="I2" s="14" t="s">
        <v>4156</v>
      </c>
      <c r="J2" s="14"/>
      <c r="K2" s="17" t="s">
        <v>4157</v>
      </c>
      <c r="L2" s="14"/>
      <c r="M2" s="16"/>
      <c r="N2" s="17" t="s">
        <v>4158</v>
      </c>
      <c r="O2" s="15"/>
      <c r="P2" s="15"/>
      <c r="Q2" s="18"/>
      <c r="R2" s="18"/>
      <c r="S2" s="19">
        <v>0</v>
      </c>
      <c r="T2" s="20" t="s">
        <v>4159</v>
      </c>
      <c r="U2" s="20" t="s">
        <v>4160</v>
      </c>
      <c r="V2" s="20" t="s">
        <v>4161</v>
      </c>
      <c r="W2" s="21" t="s">
        <v>4166</v>
      </c>
      <c r="X2" s="22" t="s">
        <v>4163</v>
      </c>
      <c r="Y2" s="23"/>
      <c r="Z2" s="23" t="s">
        <v>4164</v>
      </c>
      <c r="AA2" s="21" t="s">
        <v>4162</v>
      </c>
      <c r="AB2" s="21" t="s">
        <v>4162</v>
      </c>
    </row>
    <row r="3" spans="1:28" ht="30" x14ac:dyDescent="0.25">
      <c r="A3" s="25" t="str">
        <f>INDEX('Выгр Торг'!$A:$A,MATCH($B3,'Выгр Торг'!$B:$B,0))</f>
        <v>Бампер "АвтоВАЗ" задний (голый) для Лада Веста Cross</v>
      </c>
      <c r="B3" s="24">
        <v>257274</v>
      </c>
      <c r="C3" s="24">
        <f>VLOOKUP($B3,'Выгр Торг'!$B:$Q,C$1,0)</f>
        <v>206425</v>
      </c>
      <c r="D3" s="25" t="str">
        <f>VLOOKUP($B3,'Выгр Торг'!$B:$Q,D$1,0)</f>
        <v>Бампер "АвтоВАЗ" задний (голый) для Лада Веста Cross (Без покраски)</v>
      </c>
      <c r="E3" s="24" t="str">
        <f>VLOOKUP($B3,'Выгр Торг'!$B:$Q,E$1,0)</f>
        <v>Y</v>
      </c>
      <c r="F3" s="24">
        <f>VLOOKUP($B3,'Выгр Торг'!$B:$Q,F$1,0)</f>
        <v>0</v>
      </c>
      <c r="G3" s="24" t="str">
        <f>VLOOKUP($B3,'Выгр Торг'!$B:$Q,G$1,0)</f>
        <v>8450031032</v>
      </c>
      <c r="H3" s="24" t="str">
        <f>IF(VLOOKUP($B3,'Выгр Торг'!$B:$Q,H$1,0)=0,"",VLOOKUP($B3,'Выгр Торг'!$B:$Q,H$1,0))</f>
        <v>https://motorring.ru/product/34964-zadniy-bamper-golyy-lada-vesta-sw-cross</v>
      </c>
      <c r="I3" s="24"/>
      <c r="J3" s="24"/>
      <c r="K3" s="35">
        <f t="shared" ref="K3:K66" si="0">O3</f>
        <v>6315</v>
      </c>
      <c r="L3" s="26">
        <f>VLOOKUP(K3,Наценка!$A$1:$B$8,2,1)</f>
        <v>1.35</v>
      </c>
      <c r="M3" s="27">
        <f>K3*L3</f>
        <v>8525.25</v>
      </c>
      <c r="N3" s="28">
        <f>IF(M3&lt;=1000,(ROUNDUP(M3,-1)-1),(ROUNDUP(M3,-2)-10))</f>
        <v>8590</v>
      </c>
      <c r="O3" s="24">
        <f>VLOOKUP($B3,'Выгр Торг'!$B:$Q,O$1,0)</f>
        <v>6315</v>
      </c>
      <c r="P3" s="24">
        <f>VLOOKUP($B3,'Выгр Торг'!$B:$Q,P$1,0)</f>
        <v>8290</v>
      </c>
      <c r="Q3" s="18">
        <f>O3-K3</f>
        <v>0</v>
      </c>
      <c r="R3" s="18">
        <f>P3-N3</f>
        <v>-300</v>
      </c>
      <c r="S3" s="29">
        <f>IFERROR(ROUND(N3*(1-$S$2),),"")</f>
        <v>8590</v>
      </c>
      <c r="T3" s="30">
        <f>IFERROR(S3/K3-1,"")</f>
        <v>0.36025336500395877</v>
      </c>
      <c r="U3" s="30" t="str">
        <f>IFERROR((W3-S3)/W3,"")</f>
        <v/>
      </c>
      <c r="V3" s="30">
        <f>IFERROR(IF(W3="","",W3/K3-1),"")</f>
        <v>-1</v>
      </c>
      <c r="W3" s="13">
        <f>AA3</f>
        <v>0</v>
      </c>
      <c r="X3" s="32">
        <f>IFERROR((VLOOKUP($B3,'Из ГУГЛа'!$B:$Z,X$1,0)+Z3)*Y3,VLOOKUP($B3,'Из ГУГЛа'!$B:$Z,X$1,0))</f>
        <v>0</v>
      </c>
      <c r="Y3" s="33">
        <v>1</v>
      </c>
      <c r="Z3" s="33"/>
      <c r="AA3" s="31"/>
      <c r="AB3" s="31" t="s">
        <v>2113</v>
      </c>
    </row>
    <row r="4" spans="1:28" ht="45" x14ac:dyDescent="0.25">
      <c r="A4" s="25" t="str">
        <f>INDEX('Выгр Торг'!$A:$A,MATCH($B4,'Выгр Торг'!$B:$B,0))</f>
        <v>Бампер "АвтоВАЗ" задний без отверстий под парктроники для Лада Веста NG</v>
      </c>
      <c r="B4" s="24">
        <v>257292</v>
      </c>
      <c r="C4" s="24">
        <f>VLOOKUP($B4,'Выгр Торг'!$B:$Q,C$1,0)</f>
        <v>170089</v>
      </c>
      <c r="D4" s="25" t="str">
        <f>VLOOKUP($B4,'Выгр Торг'!$B:$Q,D$1,0)</f>
        <v>Бампер "АвтоВАЗ" задний без отверстий под парктроники для Лада Веста NG (Без покраски)</v>
      </c>
      <c r="E4" s="24" t="str">
        <f>VLOOKUP($B4,'Выгр Торг'!$B:$Q,E$1,0)</f>
        <v>Y</v>
      </c>
      <c r="F4" s="24">
        <f>VLOOKUP($B4,'Выгр Торг'!$B:$Q,F$1,0)</f>
        <v>0</v>
      </c>
      <c r="G4" s="24" t="str">
        <f>VLOOKUP($B4,'Выгр Торг'!$B:$Q,G$1,0)</f>
        <v>8450040066</v>
      </c>
      <c r="H4" s="24" t="str">
        <f>IF(VLOOKUP($B4,'Выгр Торг'!$B:$Q,H$1,0)=0,"",VLOOKUP($B4,'Выгр Торг'!$B:$Q,H$1,0))</f>
        <v>https://motorring.ru/product/36861-bamper-zadniy-bez-otverstiyi-parktronika-vesta-ng</v>
      </c>
      <c r="I4" s="24"/>
      <c r="J4" s="24"/>
      <c r="K4" s="35">
        <f t="shared" si="0"/>
        <v>7400</v>
      </c>
      <c r="L4" s="26">
        <f>VLOOKUP(K4,Наценка!$A$1:$B$8,2,1)</f>
        <v>1.35</v>
      </c>
      <c r="M4" s="27">
        <f t="shared" ref="M4:M67" si="1">K4*L4</f>
        <v>9990</v>
      </c>
      <c r="N4" s="28">
        <f t="shared" ref="N4:N67" si="2">IF(M4&lt;=1000,(ROUNDUP(M4,-1)-1),(ROUNDUP(M4,-2)-10))</f>
        <v>9990</v>
      </c>
      <c r="O4" s="24">
        <f>VLOOKUP($B4,'Выгр Торг'!$B:$Q,O$1,0)</f>
        <v>7400</v>
      </c>
      <c r="P4" s="24">
        <f>VLOOKUP($B4,'Выгр Торг'!$B:$Q,P$1,0)</f>
        <v>9290</v>
      </c>
      <c r="Q4" s="18">
        <f t="shared" ref="Q4:Q67" si="3">O4-K4</f>
        <v>0</v>
      </c>
      <c r="R4" s="18">
        <f t="shared" ref="R4:R67" si="4">P4-N4</f>
        <v>-700</v>
      </c>
      <c r="S4" s="29">
        <f t="shared" ref="S4:S67" si="5">IFERROR(ROUND(N4*(1-$S$2),),"")</f>
        <v>9990</v>
      </c>
      <c r="T4" s="30">
        <f t="shared" ref="T4:T67" si="6">IFERROR(S4/K4-1,"")</f>
        <v>0.35000000000000009</v>
      </c>
      <c r="U4" s="30" t="str">
        <f t="shared" ref="U4:U67" si="7">IFERROR((W4-S4)/W4,"")</f>
        <v/>
      </c>
      <c r="V4" s="30">
        <f t="shared" ref="V4:V67" si="8">IFERROR(IF(W4="","",W4/K4-1),"")</f>
        <v>-1</v>
      </c>
      <c r="W4" s="13">
        <f t="shared" ref="W4" si="9">AA4</f>
        <v>0</v>
      </c>
      <c r="X4" s="32">
        <f>IFERROR((VLOOKUP($B4,'Из ГУГЛа'!$B:$Z,X$1,0)+Z4)*Y4,VLOOKUP($B4,'Из ГУГЛа'!$B:$Z,X$1,0))</f>
        <v>0</v>
      </c>
      <c r="Y4" s="33">
        <v>1</v>
      </c>
      <c r="Z4" s="33"/>
      <c r="AA4" s="31"/>
      <c r="AB4" s="31" t="s">
        <v>2121</v>
      </c>
    </row>
    <row r="5" spans="1:28" ht="60" x14ac:dyDescent="0.25">
      <c r="A5" s="25" t="str">
        <f>INDEX('Выгр Торг'!$A:$A,MATCH($B5,'Выгр Торг'!$B:$B,0))</f>
        <v>Бампер "АвтоВАЗ" задний под парктроник (2 отверстия, кронштейны) для Лада Веста NG</v>
      </c>
      <c r="B5" s="24">
        <v>242806</v>
      </c>
      <c r="C5" s="24">
        <f>VLOOKUP($B5,'Выгр Торг'!$B:$Q,C$1,0)</f>
        <v>172941</v>
      </c>
      <c r="D5" s="25" t="str">
        <f>VLOOKUP($B5,'Выгр Торг'!$B:$Q,D$1,0)</f>
        <v>Бампер "АвтоВАЗ" задний под парктроник (2 отверстия, кронштейны) для Лада Веста NG (Без покраски)</v>
      </c>
      <c r="E5" s="24" t="str">
        <f>VLOOKUP($B5,'Выгр Торг'!$B:$Q,E$1,0)</f>
        <v>Y</v>
      </c>
      <c r="F5" s="24">
        <f>VLOOKUP($B5,'Выгр Торг'!$B:$Q,F$1,0)</f>
        <v>0</v>
      </c>
      <c r="G5" s="24" t="str">
        <f>VLOOKUP($B5,'Выгр Торг'!$B:$Q,G$1,0)</f>
        <v>8460010248</v>
      </c>
      <c r="H5" s="24" t="str">
        <f>IF(VLOOKUP($B5,'Выгр Торг'!$B:$Q,H$1,0)=0,"",VLOOKUP($B5,'Выгр Торг'!$B:$Q,H$1,0))</f>
        <v/>
      </c>
      <c r="I5" s="24"/>
      <c r="J5" s="24"/>
      <c r="K5" s="35">
        <f t="shared" si="0"/>
        <v>6543</v>
      </c>
      <c r="L5" s="26">
        <f>VLOOKUP(K5,Наценка!$A$1:$B$8,2,1)</f>
        <v>1.35</v>
      </c>
      <c r="M5" s="27">
        <f t="shared" si="1"/>
        <v>8833.0500000000011</v>
      </c>
      <c r="N5" s="28">
        <f t="shared" si="2"/>
        <v>8890</v>
      </c>
      <c r="O5" s="24">
        <f>VLOOKUP($B5,'Выгр Торг'!$B:$Q,O$1,0)</f>
        <v>6543</v>
      </c>
      <c r="P5" s="24">
        <f>VLOOKUP($B5,'Выгр Торг'!$B:$Q,P$1,0)</f>
        <v>9090</v>
      </c>
      <c r="Q5" s="18">
        <f t="shared" si="3"/>
        <v>0</v>
      </c>
      <c r="R5" s="18">
        <f t="shared" si="4"/>
        <v>200</v>
      </c>
      <c r="S5" s="29">
        <f t="shared" si="5"/>
        <v>8890</v>
      </c>
      <c r="T5" s="30">
        <f t="shared" si="6"/>
        <v>0.35870395842885516</v>
      </c>
      <c r="U5" s="30" t="str">
        <f t="shared" si="7"/>
        <v/>
      </c>
      <c r="V5" s="30" t="str">
        <f t="shared" si="8"/>
        <v/>
      </c>
      <c r="W5" s="31"/>
      <c r="X5" s="32">
        <f>IFERROR((VLOOKUP($B5,'Из ГУГЛа'!$B:$Z,X$1,0)+Z5)*Y5,VLOOKUP($B5,'Из ГУГЛа'!$B:$Z,X$1,0))</f>
        <v>0</v>
      </c>
      <c r="Y5" s="33">
        <v>1</v>
      </c>
      <c r="Z5" s="33"/>
      <c r="AA5" s="63" t="s">
        <v>4170</v>
      </c>
      <c r="AB5" s="31" t="s">
        <v>4167</v>
      </c>
    </row>
    <row r="6" spans="1:28" ht="60" x14ac:dyDescent="0.25">
      <c r="A6" s="25" t="str">
        <f>INDEX('Выгр Торг'!$A:$A,MATCH($B6,'Выгр Торг'!$B:$B,0))</f>
        <v>Бампер "АвтоВАЗ" задний под парктроник (6 отверстий, кронштейны) для Лада Веста NG</v>
      </c>
      <c r="B6" s="24">
        <v>242813</v>
      </c>
      <c r="C6" s="24">
        <f>VLOOKUP($B6,'Выгр Торг'!$B:$Q,C$1,0)</f>
        <v>172920</v>
      </c>
      <c r="D6" s="25" t="str">
        <f>VLOOKUP($B6,'Выгр Торг'!$B:$Q,D$1,0)</f>
        <v>Бампер "АвтоВАЗ" задний под парктроник (6 отверстий, кронштейны) для Лада Веста NG (Без покраски)</v>
      </c>
      <c r="E6" s="24" t="str">
        <f>VLOOKUP($B6,'Выгр Торг'!$B:$Q,E$1,0)</f>
        <v>Y</v>
      </c>
      <c r="F6" s="24">
        <f>VLOOKUP($B6,'Выгр Торг'!$B:$Q,F$1,0)</f>
        <v>0</v>
      </c>
      <c r="G6" s="24" t="str">
        <f>VLOOKUP($B6,'Выгр Торг'!$B:$Q,G$1,0)</f>
        <v>8460008781</v>
      </c>
      <c r="H6" s="24" t="str">
        <f>IF(VLOOKUP($B6,'Выгр Торг'!$B:$Q,H$1,0)=0,"",VLOOKUP($B6,'Выгр Торг'!$B:$Q,H$1,0))</f>
        <v/>
      </c>
      <c r="I6" s="24"/>
      <c r="J6" s="24"/>
      <c r="K6" s="35">
        <f t="shared" si="0"/>
        <v>7200</v>
      </c>
      <c r="L6" s="26">
        <f>VLOOKUP(K6,Наценка!$A$1:$B$8,2,1)</f>
        <v>1.35</v>
      </c>
      <c r="M6" s="27">
        <f t="shared" si="1"/>
        <v>9720</v>
      </c>
      <c r="N6" s="28">
        <f t="shared" si="2"/>
        <v>9790</v>
      </c>
      <c r="O6" s="24">
        <f>VLOOKUP($B6,'Выгр Торг'!$B:$Q,O$1,0)</f>
        <v>7200</v>
      </c>
      <c r="P6" s="24">
        <f>VLOOKUP($B6,'Выгр Торг'!$B:$Q,P$1,0)</f>
        <v>9990</v>
      </c>
      <c r="Q6" s="18">
        <f t="shared" si="3"/>
        <v>0</v>
      </c>
      <c r="R6" s="18">
        <f t="shared" si="4"/>
        <v>200</v>
      </c>
      <c r="S6" s="29">
        <f t="shared" si="5"/>
        <v>9790</v>
      </c>
      <c r="T6" s="30">
        <f t="shared" si="6"/>
        <v>0.35972222222222228</v>
      </c>
      <c r="U6" s="30" t="str">
        <f t="shared" si="7"/>
        <v/>
      </c>
      <c r="V6" s="30" t="str">
        <f t="shared" si="8"/>
        <v/>
      </c>
      <c r="W6" s="31"/>
      <c r="X6" s="32">
        <f>IFERROR((VLOOKUP($B6,'Из ГУГЛа'!$B:$Z,X$1,0)+Z6)*Y6,VLOOKUP($B6,'Из ГУГЛа'!$B:$Z,X$1,0))</f>
        <v>0</v>
      </c>
      <c r="Y6" s="33">
        <v>1</v>
      </c>
      <c r="Z6" s="33"/>
      <c r="AA6" s="63" t="s">
        <v>4170</v>
      </c>
      <c r="AB6" s="31" t="s">
        <v>4167</v>
      </c>
    </row>
    <row r="7" spans="1:28" ht="30" x14ac:dyDescent="0.25">
      <c r="A7" s="25" t="str">
        <f>INDEX('Выгр Торг'!$A:$A,MATCH($B7,'Выгр Торг'!$B:$B,0))</f>
        <v>Бампер "АвтоВАЗ" передний для Лада Нива Travel</v>
      </c>
      <c r="B7" s="24">
        <v>242826</v>
      </c>
      <c r="C7" s="24">
        <f>VLOOKUP($B7,'Выгр Торг'!$B:$Q,C$1,0)</f>
        <v>170304</v>
      </c>
      <c r="D7" s="25" t="str">
        <f>VLOOKUP($B7,'Выгр Торг'!$B:$Q,D$1,0)</f>
        <v>Бампер "АвтоВАЗ" передний для Лада Нива Travel (Без покраски)</v>
      </c>
      <c r="E7" s="24" t="str">
        <f>VLOOKUP($B7,'Выгр Торг'!$B:$Q,E$1,0)</f>
        <v>Y</v>
      </c>
      <c r="F7" s="24">
        <f>VLOOKUP($B7,'Выгр Торг'!$B:$Q,F$1,0)</f>
        <v>0</v>
      </c>
      <c r="G7" s="24" t="str">
        <f>VLOOKUP($B7,'Выгр Торг'!$B:$Q,G$1,0)</f>
        <v>21230280301580</v>
      </c>
      <c r="H7" s="24" t="str">
        <f>IF(VLOOKUP($B7,'Выгр Торг'!$B:$Q,H$1,0)=0,"",VLOOKUP($B7,'Выгр Торг'!$B:$Q,H$1,0))</f>
        <v>https://motorring.ru/product/35691-bamper-peredniy-neokrashennyy-ppi-dlya-lada-niva-trevel</v>
      </c>
      <c r="I7" s="24"/>
      <c r="J7" s="24"/>
      <c r="K7" s="35">
        <f t="shared" si="0"/>
        <v>9000</v>
      </c>
      <c r="L7" s="26">
        <f>VLOOKUP(K7,Наценка!$A$1:$B$8,2,1)</f>
        <v>1.35</v>
      </c>
      <c r="M7" s="27">
        <f t="shared" si="1"/>
        <v>12150</v>
      </c>
      <c r="N7" s="28">
        <f t="shared" si="2"/>
        <v>12190</v>
      </c>
      <c r="O7" s="24">
        <f>VLOOKUP($B7,'Выгр Торг'!$B:$Q,O$1,0)</f>
        <v>9000</v>
      </c>
      <c r="P7" s="24">
        <f>VLOOKUP($B7,'Выгр Торг'!$B:$Q,P$1,0)</f>
        <v>11290</v>
      </c>
      <c r="Q7" s="18">
        <f t="shared" si="3"/>
        <v>0</v>
      </c>
      <c r="R7" s="18">
        <f t="shared" si="4"/>
        <v>-900</v>
      </c>
      <c r="S7" s="29">
        <f t="shared" si="5"/>
        <v>12190</v>
      </c>
      <c r="T7" s="30">
        <f t="shared" si="6"/>
        <v>0.35444444444444434</v>
      </c>
      <c r="U7" s="30" t="str">
        <f t="shared" si="7"/>
        <v/>
      </c>
      <c r="V7" s="30">
        <f t="shared" si="8"/>
        <v>-1</v>
      </c>
      <c r="W7" s="13">
        <f t="shared" ref="W7:W20" si="10">AA7</f>
        <v>0</v>
      </c>
      <c r="X7" s="32">
        <f>IFERROR((VLOOKUP($B7,'Из ГУГЛа'!$B:$Z,X$1,0)+Z7)*Y7,VLOOKUP($B7,'Из ГУГЛа'!$B:$Z,X$1,0))</f>
        <v>0</v>
      </c>
      <c r="Y7" s="33">
        <v>1</v>
      </c>
      <c r="Z7" s="33"/>
      <c r="AA7" s="31"/>
      <c r="AB7" s="31" t="s">
        <v>2143</v>
      </c>
    </row>
    <row r="8" spans="1:28" ht="30" x14ac:dyDescent="0.25">
      <c r="A8" s="25" t="str">
        <f>INDEX('Выгр Торг'!$A:$A,MATCH($B8,'Выгр Торг'!$B:$B,0))</f>
        <v>Бампер задний "Bertone" с решетками для Шевроле Нива</v>
      </c>
      <c r="B8" s="24">
        <v>242845</v>
      </c>
      <c r="C8" s="24">
        <f>VLOOKUP($B8,'Выгр Торг'!$B:$Q,C$1,0)</f>
        <v>175440</v>
      </c>
      <c r="D8" s="25" t="str">
        <f>VLOOKUP($B8,'Выгр Торг'!$B:$Q,D$1,0)</f>
        <v>Бампер задний "Bertone" с решетками для Шевроле Нива (Без покраски)</v>
      </c>
      <c r="E8" s="24" t="str">
        <f>VLOOKUP($B8,'Выгр Торг'!$B:$Q,E$1,0)</f>
        <v>Y</v>
      </c>
      <c r="F8" s="24">
        <f>VLOOKUP($B8,'Выгр Торг'!$B:$Q,F$1,0)</f>
        <v>0</v>
      </c>
      <c r="G8" s="24" t="str">
        <f>VLOOKUP($B8,'Выгр Торг'!$B:$Q,G$1,0)</f>
        <v>21230280401555</v>
      </c>
      <c r="H8" s="24" t="str">
        <f>IF(VLOOKUP($B8,'Выгр Торг'!$B:$Q,H$1,0)=0,"",VLOOKUP($B8,'Выгр Торг'!$B:$Q,H$1,0))</f>
        <v>https://motorring.ru/product/1570-zadniy-bamper-bertone-restayling-shevrole-niva</v>
      </c>
      <c r="I8" s="24"/>
      <c r="J8" s="24"/>
      <c r="K8" s="35">
        <f t="shared" si="0"/>
        <v>7500</v>
      </c>
      <c r="L8" s="26">
        <f>VLOOKUP(K8,Наценка!$A$1:$B$8,2,1)</f>
        <v>1.35</v>
      </c>
      <c r="M8" s="27">
        <f t="shared" si="1"/>
        <v>10125</v>
      </c>
      <c r="N8" s="28">
        <f t="shared" si="2"/>
        <v>10190</v>
      </c>
      <c r="O8" s="24">
        <f>VLOOKUP($B8,'Выгр Торг'!$B:$Q,O$1,0)</f>
        <v>7500</v>
      </c>
      <c r="P8" s="24">
        <f>VLOOKUP($B8,'Выгр Торг'!$B:$Q,P$1,0)</f>
        <v>10390</v>
      </c>
      <c r="Q8" s="18">
        <f t="shared" si="3"/>
        <v>0</v>
      </c>
      <c r="R8" s="18">
        <f t="shared" si="4"/>
        <v>200</v>
      </c>
      <c r="S8" s="29">
        <f t="shared" si="5"/>
        <v>10190</v>
      </c>
      <c r="T8" s="30">
        <f t="shared" si="6"/>
        <v>0.35866666666666669</v>
      </c>
      <c r="U8" s="30" t="str">
        <f t="shared" si="7"/>
        <v/>
      </c>
      <c r="V8" s="30">
        <f t="shared" si="8"/>
        <v>-1</v>
      </c>
      <c r="W8" s="13">
        <f t="shared" si="10"/>
        <v>0</v>
      </c>
      <c r="X8" s="32">
        <f>IFERROR((VLOOKUP($B8,'Из ГУГЛа'!$B:$Z,X$1,0)+Z8)*Y8,VLOOKUP($B8,'Из ГУГЛа'!$B:$Z,X$1,0))</f>
        <v>0</v>
      </c>
      <c r="Y8" s="33">
        <v>1</v>
      </c>
      <c r="Z8" s="33"/>
      <c r="AA8" s="31"/>
      <c r="AB8" s="31" t="s">
        <v>2151</v>
      </c>
    </row>
    <row r="9" spans="1:28" ht="30" x14ac:dyDescent="0.25">
      <c r="A9" s="25" t="str">
        <f>INDEX('Выгр Торг'!$A:$A,MATCH($B9,'Выгр Торг'!$B:$B,0))</f>
        <v>Бампер задний "АвтоВАЗ" для Лада Приора универсал</v>
      </c>
      <c r="B9" s="24">
        <v>265985</v>
      </c>
      <c r="C9" s="24">
        <f>VLOOKUP($B9,'Выгр Торг'!$B:$Q,C$1,0)</f>
        <v>208798</v>
      </c>
      <c r="D9" s="25" t="str">
        <f>VLOOKUP($B9,'Выгр Торг'!$B:$Q,D$1,0)</f>
        <v>Бампер задний "АвтоВАЗ" для Лада Приора универсал (Без покраски)</v>
      </c>
      <c r="E9" s="24" t="str">
        <f>VLOOKUP($B9,'Выгр Торг'!$B:$Q,E$1,0)</f>
        <v>Y</v>
      </c>
      <c r="F9" s="24">
        <f>VLOOKUP($B9,'Выгр Торг'!$B:$Q,F$1,0)</f>
        <v>0</v>
      </c>
      <c r="G9" s="24" t="str">
        <f>VLOOKUP($B9,'Выгр Торг'!$B:$Q,G$1,0)</f>
        <v>21710280401501</v>
      </c>
      <c r="H9" s="24" t="str">
        <f>IF(VLOOKUP($B9,'Выгр Торг'!$B:$Q,H$1,0)=0,"",VLOOKUP($B9,'Выгр Торг'!$B:$Q,H$1,0))</f>
        <v>https://motorring.ru/product/16096-zadniy-bamper-lada-priora-universal</v>
      </c>
      <c r="I9" s="24"/>
      <c r="J9" s="24"/>
      <c r="K9" s="35">
        <f t="shared" si="0"/>
        <v>2622</v>
      </c>
      <c r="L9" s="26">
        <f>VLOOKUP(K9,Наценка!$A$1:$B$8,2,1)</f>
        <v>1.4</v>
      </c>
      <c r="M9" s="27">
        <f t="shared" si="1"/>
        <v>3670.7999999999997</v>
      </c>
      <c r="N9" s="28">
        <f t="shared" si="2"/>
        <v>3690</v>
      </c>
      <c r="O9" s="24">
        <f>VLOOKUP($B9,'Выгр Торг'!$B:$Q,O$1,0)</f>
        <v>2622</v>
      </c>
      <c r="P9" s="24">
        <f>VLOOKUP($B9,'Выгр Торг'!$B:$Q,P$1,0)</f>
        <v>4190</v>
      </c>
      <c r="Q9" s="18">
        <f t="shared" si="3"/>
        <v>0</v>
      </c>
      <c r="R9" s="18">
        <f t="shared" si="4"/>
        <v>500</v>
      </c>
      <c r="S9" s="29">
        <f t="shared" si="5"/>
        <v>3690</v>
      </c>
      <c r="T9" s="30">
        <f t="shared" si="6"/>
        <v>0.40732265446224258</v>
      </c>
      <c r="U9" s="30" t="str">
        <f t="shared" si="7"/>
        <v/>
      </c>
      <c r="V9" s="30">
        <f t="shared" si="8"/>
        <v>-1</v>
      </c>
      <c r="W9" s="13">
        <f t="shared" si="10"/>
        <v>0</v>
      </c>
      <c r="X9" s="32">
        <f>IFERROR((VLOOKUP($B9,'Из ГУГЛа'!$B:$Z,X$1,0)+Z9)*Y9,VLOOKUP($B9,'Из ГУГЛа'!$B:$Z,X$1,0))</f>
        <v>0</v>
      </c>
      <c r="Y9" s="33">
        <v>1</v>
      </c>
      <c r="Z9" s="33"/>
      <c r="AA9" s="31"/>
      <c r="AB9" s="31" t="s">
        <v>2159</v>
      </c>
    </row>
    <row r="10" spans="1:28" ht="45" x14ac:dyDescent="0.25">
      <c r="A10" s="25" t="str">
        <f>INDEX('Выгр Торг'!$A:$A,MATCH($B10,'Выгр Торг'!$B:$B,0))</f>
        <v>Бампер задний в цвет кузова под металлический усилитель для ВАЗ 2115</v>
      </c>
      <c r="B10" s="24">
        <v>242979</v>
      </c>
      <c r="C10" s="24">
        <f>VLOOKUP($B10,'Выгр Торг'!$B:$Q,C$1,0)</f>
        <v>174717</v>
      </c>
      <c r="D10" s="25" t="str">
        <f>VLOOKUP($B10,'Выгр Торг'!$B:$Q,D$1,0)</f>
        <v>Бампер задний в цвет кузова под металлический усилитель для ВАЗ 2115 (Без покраски)</v>
      </c>
      <c r="E10" s="24" t="str">
        <f>VLOOKUP($B10,'Выгр Торг'!$B:$Q,E$1,0)</f>
        <v>Y</v>
      </c>
      <c r="F10" s="24">
        <f>VLOOKUP($B10,'Выгр Торг'!$B:$Q,F$1,0)</f>
        <v>0</v>
      </c>
      <c r="G10" s="24" t="str">
        <f>VLOOKUP($B10,'Выгр Торг'!$B:$Q,G$1,0)</f>
        <v>21150280401520</v>
      </c>
      <c r="H10" s="24" t="str">
        <f>IF(VLOOKUP($B10,'Выгр Торг'!$B:$Q,H$1,0)=0,"",VLOOKUP($B10,'Выгр Торг'!$B:$Q,H$1,0))</f>
        <v>https://motorring.ru/product/16092-zadniy-bamper-vaz-2115</v>
      </c>
      <c r="I10" s="24"/>
      <c r="J10" s="24"/>
      <c r="K10" s="35">
        <f t="shared" si="0"/>
        <v>1000</v>
      </c>
      <c r="L10" s="26">
        <f>VLOOKUP(K10,Наценка!$A$1:$B$8,2,1)</f>
        <v>1.5</v>
      </c>
      <c r="M10" s="27">
        <f t="shared" si="1"/>
        <v>1500</v>
      </c>
      <c r="N10" s="28">
        <f t="shared" si="2"/>
        <v>1490</v>
      </c>
      <c r="O10" s="24">
        <f>VLOOKUP($B10,'Выгр Торг'!$B:$Q,O$1,0)</f>
        <v>1000</v>
      </c>
      <c r="P10" s="24">
        <f>VLOOKUP($B10,'Выгр Торг'!$B:$Q,P$1,0)</f>
        <v>2090</v>
      </c>
      <c r="Q10" s="18">
        <f t="shared" si="3"/>
        <v>0</v>
      </c>
      <c r="R10" s="18">
        <f t="shared" si="4"/>
        <v>600</v>
      </c>
      <c r="S10" s="29">
        <f t="shared" si="5"/>
        <v>1490</v>
      </c>
      <c r="T10" s="30">
        <f t="shared" si="6"/>
        <v>0.49</v>
      </c>
      <c r="U10" s="30" t="str">
        <f t="shared" si="7"/>
        <v/>
      </c>
      <c r="V10" s="30">
        <f t="shared" si="8"/>
        <v>-1</v>
      </c>
      <c r="W10" s="13">
        <f t="shared" si="10"/>
        <v>0</v>
      </c>
      <c r="X10" s="32">
        <f>IFERROR((VLOOKUP($B10,'Из ГУГЛа'!$B:$Z,X$1,0)+Z10)*Y10,VLOOKUP($B10,'Из ГУГЛа'!$B:$Z,X$1,0))</f>
        <v>0</v>
      </c>
      <c r="Y10" s="33">
        <v>1</v>
      </c>
      <c r="Z10" s="33"/>
      <c r="AA10" s="31"/>
      <c r="AB10" s="31" t="s">
        <v>2167</v>
      </c>
    </row>
    <row r="11" spans="1:28" ht="45" x14ac:dyDescent="0.25">
      <c r="A11" s="25" t="str">
        <f>INDEX('Выгр Торг'!$A:$A,MATCH($B11,'Выгр Торг'!$B:$B,0))</f>
        <v>Бампер задний в цвет кузова под пластиковый усилитель для ВАЗ 2115</v>
      </c>
      <c r="B11" s="24">
        <v>243014</v>
      </c>
      <c r="C11" s="24">
        <f>VLOOKUP($B11,'Выгр Торг'!$B:$Q,C$1,0)</f>
        <v>174755</v>
      </c>
      <c r="D11" s="25" t="str">
        <f>VLOOKUP($B11,'Выгр Торг'!$B:$Q,D$1,0)</f>
        <v>Бампер задний в цвет кузова под пластиковый усилитель для ВАЗ 2115 (Без покраски)</v>
      </c>
      <c r="E11" s="24" t="str">
        <f>VLOOKUP($B11,'Выгр Торг'!$B:$Q,E$1,0)</f>
        <v>Y</v>
      </c>
      <c r="F11" s="24">
        <f>VLOOKUP($B11,'Выгр Торг'!$B:$Q,F$1,0)</f>
        <v>0</v>
      </c>
      <c r="G11" s="24" t="str">
        <f>VLOOKUP($B11,'Выгр Торг'!$B:$Q,G$1,0)</f>
        <v>21150280401532</v>
      </c>
      <c r="H11" s="24" t="str">
        <f>IF(VLOOKUP($B11,'Выгр Торг'!$B:$Q,H$1,0)=0,"",VLOOKUP($B11,'Выгр Торг'!$B:$Q,H$1,0))</f>
        <v>https://motorring.ru/product/16092-zadniy-bamper-vaz-2115</v>
      </c>
      <c r="I11" s="24"/>
      <c r="J11" s="24"/>
      <c r="K11" s="35">
        <f t="shared" si="0"/>
        <v>700</v>
      </c>
      <c r="L11" s="26">
        <f>VLOOKUP(K11,Наценка!$A$1:$B$8,2,1)</f>
        <v>1.55</v>
      </c>
      <c r="M11" s="27">
        <f t="shared" si="1"/>
        <v>1085</v>
      </c>
      <c r="N11" s="28">
        <f t="shared" si="2"/>
        <v>1090</v>
      </c>
      <c r="O11" s="24">
        <f>VLOOKUP($B11,'Выгр Торг'!$B:$Q,O$1,0)</f>
        <v>700</v>
      </c>
      <c r="P11" s="24">
        <f>VLOOKUP($B11,'Выгр Торг'!$B:$Q,P$1,0)</f>
        <v>2090</v>
      </c>
      <c r="Q11" s="18">
        <f t="shared" si="3"/>
        <v>0</v>
      </c>
      <c r="R11" s="18">
        <f t="shared" si="4"/>
        <v>1000</v>
      </c>
      <c r="S11" s="29">
        <f t="shared" si="5"/>
        <v>1090</v>
      </c>
      <c r="T11" s="30">
        <f t="shared" si="6"/>
        <v>0.55714285714285716</v>
      </c>
      <c r="U11" s="30" t="str">
        <f t="shared" si="7"/>
        <v/>
      </c>
      <c r="V11" s="30">
        <f t="shared" si="8"/>
        <v>-1</v>
      </c>
      <c r="W11" s="13">
        <f t="shared" si="10"/>
        <v>0</v>
      </c>
      <c r="X11" s="32">
        <f>IFERROR((VLOOKUP($B11,'Из ГУГЛа'!$B:$Z,X$1,0)+Z11)*Y11,VLOOKUP($B11,'Из ГУГЛа'!$B:$Z,X$1,0))</f>
        <v>0</v>
      </c>
      <c r="Y11" s="33">
        <v>1</v>
      </c>
      <c r="Z11" s="33"/>
      <c r="AA11" s="31"/>
      <c r="AB11" s="31" t="s">
        <v>2167</v>
      </c>
    </row>
    <row r="12" spans="1:28" ht="45" x14ac:dyDescent="0.25">
      <c r="A12" s="25" t="str">
        <f>INDEX('Выгр Торг'!$A:$A,MATCH($B12,'Выгр Торг'!$B:$B,0))</f>
        <v>Бампер задний с серой полосой в цвет кузова (под металлический усилитель) для ВАЗ 2115</v>
      </c>
      <c r="B12" s="24">
        <v>243049</v>
      </c>
      <c r="C12" s="24">
        <f>VLOOKUP($B12,'Выгр Торг'!$B:$Q,C$1,0)</f>
        <v>174427</v>
      </c>
      <c r="D12" s="25" t="str">
        <f>VLOOKUP($B12,'Выгр Торг'!$B:$Q,D$1,0)</f>
        <v>Бампер задний с серой полосой в цвет кузова (под металлический усилитель) для ВАЗ 2115 (Без покраски)</v>
      </c>
      <c r="E12" s="24" t="str">
        <f>VLOOKUP($B12,'Выгр Торг'!$B:$Q,E$1,0)</f>
        <v>Y</v>
      </c>
      <c r="F12" s="24">
        <f>VLOOKUP($B12,'Выгр Торг'!$B:$Q,F$1,0)</f>
        <v>0</v>
      </c>
      <c r="G12" s="24" t="str">
        <f>VLOOKUP($B12,'Выгр Торг'!$B:$Q,G$1,0)</f>
        <v>21150280401520</v>
      </c>
      <c r="H12" s="24" t="str">
        <f>IF(VLOOKUP($B12,'Выгр Торг'!$B:$Q,H$1,0)=0,"",VLOOKUP($B12,'Выгр Торг'!$B:$Q,H$1,0))</f>
        <v>https://motorring.ru/product/16092-zadniy-bamper-vaz-2115</v>
      </c>
      <c r="I12" s="24"/>
      <c r="J12" s="24"/>
      <c r="K12" s="35">
        <f t="shared" si="0"/>
        <v>700</v>
      </c>
      <c r="L12" s="26">
        <f>VLOOKUP(K12,Наценка!$A$1:$B$8,2,1)</f>
        <v>1.55</v>
      </c>
      <c r="M12" s="27">
        <f t="shared" si="1"/>
        <v>1085</v>
      </c>
      <c r="N12" s="28">
        <f t="shared" si="2"/>
        <v>1090</v>
      </c>
      <c r="O12" s="24">
        <f>VLOOKUP($B12,'Выгр Торг'!$B:$Q,O$1,0)</f>
        <v>700</v>
      </c>
      <c r="P12" s="24">
        <f>VLOOKUP($B12,'Выгр Торг'!$B:$Q,P$1,0)</f>
        <v>2090</v>
      </c>
      <c r="Q12" s="18">
        <f t="shared" si="3"/>
        <v>0</v>
      </c>
      <c r="R12" s="18">
        <f t="shared" si="4"/>
        <v>1000</v>
      </c>
      <c r="S12" s="29">
        <f t="shared" si="5"/>
        <v>1090</v>
      </c>
      <c r="T12" s="30">
        <f t="shared" si="6"/>
        <v>0.55714285714285716</v>
      </c>
      <c r="U12" s="30" t="str">
        <f t="shared" si="7"/>
        <v/>
      </c>
      <c r="V12" s="30">
        <f t="shared" si="8"/>
        <v>-1</v>
      </c>
      <c r="W12" s="13">
        <f t="shared" si="10"/>
        <v>0</v>
      </c>
      <c r="X12" s="32">
        <f>IFERROR((VLOOKUP($B12,'Из ГУГЛа'!$B:$Z,X$1,0)+Z12)*Y12,VLOOKUP($B12,'Из ГУГЛа'!$B:$Z,X$1,0))</f>
        <v>0</v>
      </c>
      <c r="Y12" s="33">
        <v>1</v>
      </c>
      <c r="Z12" s="33"/>
      <c r="AA12" s="31"/>
      <c r="AB12" s="31" t="s">
        <v>2167</v>
      </c>
    </row>
    <row r="13" spans="1:28" ht="45" x14ac:dyDescent="0.25">
      <c r="A13" s="25" t="str">
        <f>INDEX('Выгр Торг'!$A:$A,MATCH($B13,'Выгр Торг'!$B:$B,0))</f>
        <v>Бампер задний с серой полосой в цвет кузова (под пластиковый усилитель) для ВАЗ 2115</v>
      </c>
      <c r="B13" s="24">
        <v>243084</v>
      </c>
      <c r="C13" s="24">
        <f>VLOOKUP($B13,'Выгр Торг'!$B:$Q,C$1,0)</f>
        <v>174679</v>
      </c>
      <c r="D13" s="25" t="str">
        <f>VLOOKUP($B13,'Выгр Торг'!$B:$Q,D$1,0)</f>
        <v>Бампер задний с серой полосой в цвет кузова (под пластиковый усилитель) для ВАЗ 2115 (Без покраски)</v>
      </c>
      <c r="E13" s="24" t="str">
        <f>VLOOKUP($B13,'Выгр Торг'!$B:$Q,E$1,0)</f>
        <v>Y</v>
      </c>
      <c r="F13" s="24">
        <f>VLOOKUP($B13,'Выгр Торг'!$B:$Q,F$1,0)</f>
        <v>0</v>
      </c>
      <c r="G13" s="24" t="str">
        <f>VLOOKUP($B13,'Выгр Торг'!$B:$Q,G$1,0)</f>
        <v>21150280401532</v>
      </c>
      <c r="H13" s="24" t="str">
        <f>IF(VLOOKUP($B13,'Выгр Торг'!$B:$Q,H$1,0)=0,"",VLOOKUP($B13,'Выгр Торг'!$B:$Q,H$1,0))</f>
        <v>https://motorring.ru/product/16092-zadniy-bamper-vaz-2115</v>
      </c>
      <c r="I13" s="24"/>
      <c r="J13" s="24"/>
      <c r="K13" s="35">
        <f t="shared" si="0"/>
        <v>700</v>
      </c>
      <c r="L13" s="26">
        <f>VLOOKUP(K13,Наценка!$A$1:$B$8,2,1)</f>
        <v>1.55</v>
      </c>
      <c r="M13" s="27">
        <f t="shared" si="1"/>
        <v>1085</v>
      </c>
      <c r="N13" s="28">
        <f t="shared" si="2"/>
        <v>1090</v>
      </c>
      <c r="O13" s="24">
        <f>VLOOKUP($B13,'Выгр Торг'!$B:$Q,O$1,0)</f>
        <v>700</v>
      </c>
      <c r="P13" s="24">
        <f>VLOOKUP($B13,'Выгр Торг'!$B:$Q,P$1,0)</f>
        <v>2090</v>
      </c>
      <c r="Q13" s="18">
        <f t="shared" si="3"/>
        <v>0</v>
      </c>
      <c r="R13" s="18">
        <f t="shared" si="4"/>
        <v>1000</v>
      </c>
      <c r="S13" s="29">
        <f t="shared" si="5"/>
        <v>1090</v>
      </c>
      <c r="T13" s="30">
        <f t="shared" si="6"/>
        <v>0.55714285714285716</v>
      </c>
      <c r="U13" s="30" t="str">
        <f t="shared" si="7"/>
        <v/>
      </c>
      <c r="V13" s="30">
        <f t="shared" si="8"/>
        <v>-1</v>
      </c>
      <c r="W13" s="13">
        <f t="shared" si="10"/>
        <v>0</v>
      </c>
      <c r="X13" s="32">
        <f>IFERROR((VLOOKUP($B13,'Из ГУГЛа'!$B:$Z,X$1,0)+Z13)*Y13,VLOOKUP($B13,'Из ГУГЛа'!$B:$Z,X$1,0))</f>
        <v>0</v>
      </c>
      <c r="Y13" s="33">
        <v>1</v>
      </c>
      <c r="Z13" s="33"/>
      <c r="AA13" s="31"/>
      <c r="AB13" s="31" t="s">
        <v>2167</v>
      </c>
    </row>
    <row r="14" spans="1:28" ht="30" x14ac:dyDescent="0.25">
      <c r="A14" s="25" t="str">
        <f>INDEX('Выгр Торг'!$A:$A,MATCH($B14,'Выгр Торг'!$B:$B,0))</f>
        <v>Бампер задний старого образца для Шевроле Нива</v>
      </c>
      <c r="B14" s="24">
        <v>243119</v>
      </c>
      <c r="C14" s="24">
        <f>VLOOKUP($B14,'Выгр Торг'!$B:$Q,C$1,0)</f>
        <v>175458</v>
      </c>
      <c r="D14" s="25" t="str">
        <f>VLOOKUP($B14,'Выгр Торг'!$B:$Q,D$1,0)</f>
        <v>Бампер задний старого образца для Шевроле Нива (Без покраски)</v>
      </c>
      <c r="E14" s="24" t="str">
        <f>VLOOKUP($B14,'Выгр Торг'!$B:$Q,E$1,0)</f>
        <v>Y</v>
      </c>
      <c r="F14" s="24">
        <f>VLOOKUP($B14,'Выгр Торг'!$B:$Q,F$1,0)</f>
        <v>0</v>
      </c>
      <c r="G14" s="24" t="str">
        <f>VLOOKUP($B14,'Выгр Торг'!$B:$Q,G$1,0)</f>
        <v>21230280401531</v>
      </c>
      <c r="H14" s="24" t="str">
        <f>IF(VLOOKUP($B14,'Выгр Торг'!$B:$Q,H$1,0)=0,"",VLOOKUP($B14,'Выгр Торг'!$B:$Q,H$1,0))</f>
        <v>https://motorring.ru/product/10493-zadniy-bamper-shevrole-niva</v>
      </c>
      <c r="I14" s="24"/>
      <c r="J14" s="24"/>
      <c r="K14" s="35">
        <f t="shared" si="0"/>
        <v>3082</v>
      </c>
      <c r="L14" s="26">
        <f>VLOOKUP(K14,Наценка!$A$1:$B$8,2,1)</f>
        <v>1.4</v>
      </c>
      <c r="M14" s="27">
        <f t="shared" si="1"/>
        <v>4314.7999999999993</v>
      </c>
      <c r="N14" s="28">
        <f t="shared" si="2"/>
        <v>4390</v>
      </c>
      <c r="O14" s="24">
        <f>VLOOKUP($B14,'Выгр Торг'!$B:$Q,O$1,0)</f>
        <v>3082</v>
      </c>
      <c r="P14" s="24">
        <f>VLOOKUP($B14,'Выгр Торг'!$B:$Q,P$1,0)</f>
        <v>4490</v>
      </c>
      <c r="Q14" s="18">
        <f t="shared" si="3"/>
        <v>0</v>
      </c>
      <c r="R14" s="18">
        <f t="shared" si="4"/>
        <v>100</v>
      </c>
      <c r="S14" s="29">
        <f t="shared" si="5"/>
        <v>4390</v>
      </c>
      <c r="T14" s="30">
        <f t="shared" si="6"/>
        <v>0.42439974042829332</v>
      </c>
      <c r="U14" s="30" t="str">
        <f t="shared" si="7"/>
        <v/>
      </c>
      <c r="V14" s="30">
        <f t="shared" si="8"/>
        <v>-1</v>
      </c>
      <c r="W14" s="13">
        <f t="shared" si="10"/>
        <v>0</v>
      </c>
      <c r="X14" s="32">
        <f>IFERROR((VLOOKUP($B14,'Из ГУГЛа'!$B:$Z,X$1,0)+Z14)*Y14,VLOOKUP($B14,'Из ГУГЛа'!$B:$Z,X$1,0))</f>
        <v>0</v>
      </c>
      <c r="Y14" s="33">
        <v>1</v>
      </c>
      <c r="Z14" s="33"/>
      <c r="AA14" s="31"/>
      <c r="AB14" s="31" t="s">
        <v>2199</v>
      </c>
    </row>
    <row r="15" spans="1:28" ht="45" x14ac:dyDescent="0.25">
      <c r="A15" s="25" t="str">
        <f>INDEX('Выгр Торг'!$A:$A,MATCH($B15,'Выгр Торг'!$B:$B,0))</f>
        <v>Бампер передний "АвтоВАЗ" (без отверстий под парктроник) для Лада Веста NG</v>
      </c>
      <c r="B15" s="24">
        <v>243196</v>
      </c>
      <c r="C15" s="24">
        <f>VLOOKUP($B15,'Выгр Торг'!$B:$Q,C$1,0)</f>
        <v>175849</v>
      </c>
      <c r="D15" s="25" t="str">
        <f>VLOOKUP($B15,'Выгр Торг'!$B:$Q,D$1,0)</f>
        <v>Бампер передний "АвтоВАЗ" (без отверстий под парктроник) для Лада Веста NG (Без покраски)</v>
      </c>
      <c r="E15" s="24" t="str">
        <f>VLOOKUP($B15,'Выгр Торг'!$B:$Q,E$1,0)</f>
        <v>Y</v>
      </c>
      <c r="F15" s="24">
        <f>VLOOKUP($B15,'Выгр Торг'!$B:$Q,F$1,0)</f>
        <v>0</v>
      </c>
      <c r="G15" s="24" t="str">
        <f>VLOOKUP($B15,'Выгр Торг'!$B:$Q,G$1,0)</f>
        <v>8450040054</v>
      </c>
      <c r="H15" s="24" t="str">
        <f>IF(VLOOKUP($B15,'Выгр Торг'!$B:$Q,H$1,0)=0,"",VLOOKUP($B15,'Выгр Торг'!$B:$Q,H$1,0))</f>
        <v>https://motorring.ru/product/36858-bamper-peredniy-bez-otverstiyi-parktronika-vesta-ng</v>
      </c>
      <c r="I15" s="24"/>
      <c r="J15" s="24"/>
      <c r="K15" s="35">
        <f t="shared" si="0"/>
        <v>6532</v>
      </c>
      <c r="L15" s="26">
        <f>VLOOKUP(K15,Наценка!$A$1:$B$8,2,1)</f>
        <v>1.35</v>
      </c>
      <c r="M15" s="27">
        <f t="shared" si="1"/>
        <v>8818.2000000000007</v>
      </c>
      <c r="N15" s="28">
        <f t="shared" si="2"/>
        <v>8890</v>
      </c>
      <c r="O15" s="24">
        <f>VLOOKUP($B15,'Выгр Торг'!$B:$Q,O$1,0)</f>
        <v>6532</v>
      </c>
      <c r="P15" s="24">
        <f>VLOOKUP($B15,'Выгр Торг'!$B:$Q,P$1,0)</f>
        <v>10290</v>
      </c>
      <c r="Q15" s="18">
        <f t="shared" si="3"/>
        <v>0</v>
      </c>
      <c r="R15" s="18">
        <f t="shared" si="4"/>
        <v>1400</v>
      </c>
      <c r="S15" s="29">
        <f t="shared" si="5"/>
        <v>8890</v>
      </c>
      <c r="T15" s="30">
        <f t="shared" si="6"/>
        <v>0.36099203919167167</v>
      </c>
      <c r="U15" s="30" t="str">
        <f t="shared" si="7"/>
        <v/>
      </c>
      <c r="V15" s="30">
        <f t="shared" si="8"/>
        <v>-1</v>
      </c>
      <c r="W15" s="13">
        <f t="shared" si="10"/>
        <v>0</v>
      </c>
      <c r="X15" s="32">
        <f>IFERROR((VLOOKUP($B15,'Из ГУГЛа'!$B:$Z,X$1,0)+Z15)*Y15,VLOOKUP($B15,'Из ГУГЛа'!$B:$Z,X$1,0))</f>
        <v>0</v>
      </c>
      <c r="Y15" s="33">
        <v>1</v>
      </c>
      <c r="Z15" s="33"/>
      <c r="AA15" s="31"/>
      <c r="AB15" s="31" t="s">
        <v>2207</v>
      </c>
    </row>
    <row r="16" spans="1:28" ht="30" x14ac:dyDescent="0.25">
      <c r="A16" s="25" t="str">
        <f>INDEX('Выгр Торг'!$A:$A,MATCH($B16,'Выгр Торг'!$B:$B,0))</f>
        <v>Бампер передний для Лада Ларгус Кросс</v>
      </c>
      <c r="B16" s="24">
        <v>243349</v>
      </c>
      <c r="C16" s="24">
        <f>VLOOKUP($B16,'Выгр Торг'!$B:$Q,C$1,0)</f>
        <v>173404</v>
      </c>
      <c r="D16" s="25" t="str">
        <f>VLOOKUP($B16,'Выгр Торг'!$B:$Q,D$1,0)</f>
        <v>Бампер передний для Лада Ларгус Кросс (Без покраски)</v>
      </c>
      <c r="E16" s="24" t="str">
        <f>VLOOKUP($B16,'Выгр Торг'!$B:$Q,E$1,0)</f>
        <v>Y</v>
      </c>
      <c r="F16" s="24">
        <f>VLOOKUP($B16,'Выгр Торг'!$B:$Q,F$1,0)</f>
        <v>0</v>
      </c>
      <c r="G16" s="24" t="str">
        <f>VLOOKUP($B16,'Выгр Торг'!$B:$Q,G$1,0)</f>
        <v>8450009387</v>
      </c>
      <c r="H16" s="24" t="str">
        <f>IF(VLOOKUP($B16,'Выгр Торг'!$B:$Q,H$1,0)=0,"",VLOOKUP($B16,'Выгр Торг'!$B:$Q,H$1,0))</f>
        <v>https://motorring.ru/product/16532-bamper-peredniy-neokrashennyy-otverstiyami-pod-molding-lada</v>
      </c>
      <c r="I16" s="24"/>
      <c r="J16" s="24"/>
      <c r="K16" s="35">
        <f t="shared" si="0"/>
        <v>5303</v>
      </c>
      <c r="L16" s="26">
        <f>VLOOKUP(K16,Наценка!$A$1:$B$8,2,1)</f>
        <v>1.35</v>
      </c>
      <c r="M16" s="27">
        <f t="shared" si="1"/>
        <v>7159.05</v>
      </c>
      <c r="N16" s="28">
        <f t="shared" si="2"/>
        <v>7190</v>
      </c>
      <c r="O16" s="24">
        <f>VLOOKUP($B16,'Выгр Торг'!$B:$Q,O$1,0)</f>
        <v>5303</v>
      </c>
      <c r="P16" s="24">
        <f>VLOOKUP($B16,'Выгр Торг'!$B:$Q,P$1,0)</f>
        <v>7790</v>
      </c>
      <c r="Q16" s="18">
        <f t="shared" si="3"/>
        <v>0</v>
      </c>
      <c r="R16" s="18">
        <f t="shared" si="4"/>
        <v>600</v>
      </c>
      <c r="S16" s="29">
        <f t="shared" si="5"/>
        <v>7190</v>
      </c>
      <c r="T16" s="30">
        <f t="shared" si="6"/>
        <v>0.35583631906468027</v>
      </c>
      <c r="U16" s="30" t="str">
        <f t="shared" si="7"/>
        <v/>
      </c>
      <c r="V16" s="30">
        <f t="shared" si="8"/>
        <v>-1</v>
      </c>
      <c r="W16" s="13">
        <f t="shared" si="10"/>
        <v>0</v>
      </c>
      <c r="X16" s="32">
        <f>IFERROR((VLOOKUP($B16,'Из ГУГЛа'!$B:$Z,X$1,0)+Z16)*Y16,VLOOKUP($B16,'Из ГУГЛа'!$B:$Z,X$1,0))</f>
        <v>0</v>
      </c>
      <c r="Y16" s="33">
        <v>1</v>
      </c>
      <c r="Z16" s="33"/>
      <c r="AA16" s="31"/>
      <c r="AB16" s="31" t="s">
        <v>2215</v>
      </c>
    </row>
    <row r="17" spans="1:28" ht="30" x14ac:dyDescent="0.25">
      <c r="A17" s="25" t="str">
        <f>INDEX('Выгр Торг'!$A:$A,MATCH($B17,'Выгр Торг'!$B:$B,0))</f>
        <v>Бампер передний старого образца для Шевроле Нива</v>
      </c>
      <c r="B17" s="24">
        <v>243365</v>
      </c>
      <c r="C17" s="24">
        <f>VLOOKUP($B17,'Выгр Торг'!$B:$Q,C$1,0)</f>
        <v>175401</v>
      </c>
      <c r="D17" s="25" t="str">
        <f>VLOOKUP($B17,'Выгр Торг'!$B:$Q,D$1,0)</f>
        <v>Бампер передний старого образца для Шевроле Нива (Без покраски)</v>
      </c>
      <c r="E17" s="24" t="str">
        <f>VLOOKUP($B17,'Выгр Торг'!$B:$Q,E$1,0)</f>
        <v>Y</v>
      </c>
      <c r="F17" s="24">
        <f>VLOOKUP($B17,'Выгр Торг'!$B:$Q,F$1,0)</f>
        <v>0</v>
      </c>
      <c r="G17" s="24" t="str">
        <f>VLOOKUP($B17,'Выгр Торг'!$B:$Q,G$1,0)</f>
        <v>21230280301531</v>
      </c>
      <c r="H17" s="24" t="str">
        <f>IF(VLOOKUP($B17,'Выгр Торг'!$B:$Q,H$1,0)=0,"",VLOOKUP($B17,'Выгр Торг'!$B:$Q,H$1,0))</f>
        <v>https://motorring.ru/product/10493-zadniy-bamper-shevrole-niva</v>
      </c>
      <c r="I17" s="24"/>
      <c r="J17" s="24"/>
      <c r="K17" s="35">
        <f t="shared" si="0"/>
        <v>3583</v>
      </c>
      <c r="L17" s="26">
        <f>VLOOKUP(K17,Наценка!$A$1:$B$8,2,1)</f>
        <v>1.4</v>
      </c>
      <c r="M17" s="27">
        <f t="shared" si="1"/>
        <v>5016.2</v>
      </c>
      <c r="N17" s="28">
        <f t="shared" si="2"/>
        <v>5090</v>
      </c>
      <c r="O17" s="24">
        <f>VLOOKUP($B17,'Выгр Торг'!$B:$Q,O$1,0)</f>
        <v>3583</v>
      </c>
      <c r="P17" s="24">
        <f>VLOOKUP($B17,'Выгр Торг'!$B:$Q,P$1,0)</f>
        <v>5190</v>
      </c>
      <c r="Q17" s="18">
        <f t="shared" si="3"/>
        <v>0</v>
      </c>
      <c r="R17" s="18">
        <f t="shared" si="4"/>
        <v>100</v>
      </c>
      <c r="S17" s="29">
        <f t="shared" si="5"/>
        <v>5090</v>
      </c>
      <c r="T17" s="30">
        <f t="shared" si="6"/>
        <v>0.42059726486184768</v>
      </c>
      <c r="U17" s="30" t="str">
        <f t="shared" si="7"/>
        <v/>
      </c>
      <c r="V17" s="30">
        <f t="shared" si="8"/>
        <v>-1</v>
      </c>
      <c r="W17" s="13">
        <f t="shared" si="10"/>
        <v>0</v>
      </c>
      <c r="X17" s="32">
        <f>IFERROR((VLOOKUP($B17,'Из ГУГЛа'!$B:$Z,X$1,0)+Z17)*Y17,VLOOKUP($B17,'Из ГУГЛа'!$B:$Z,X$1,0))</f>
        <v>0</v>
      </c>
      <c r="Y17" s="33">
        <v>1</v>
      </c>
      <c r="Z17" s="33"/>
      <c r="AA17" s="31"/>
      <c r="AB17" s="31" t="s">
        <v>2199</v>
      </c>
    </row>
    <row r="18" spans="1:28" ht="30" x14ac:dyDescent="0.25">
      <c r="A18" s="25" t="str">
        <f>INDEX('Выгр Торг'!$A:$A,MATCH($B18,'Выгр Торг'!$B:$B,0))</f>
        <v>Дверь "АвтоВАЗ" задняя левая для Лада Нива Travel</v>
      </c>
      <c r="B18" s="24">
        <v>244304</v>
      </c>
      <c r="C18" s="24">
        <f>VLOOKUP($B18,'Выгр Торг'!$B:$Q,C$1,0)</f>
        <v>175830</v>
      </c>
      <c r="D18" s="25" t="str">
        <f>VLOOKUP($B18,'Выгр Торг'!$B:$Q,D$1,0)</f>
        <v>Дверь задняя (левая, оригинал) для Лада Нива Travel (Без покраски)</v>
      </c>
      <c r="E18" s="24" t="str">
        <f>VLOOKUP($B18,'Выгр Торг'!$B:$Q,E$1,0)</f>
        <v>Y</v>
      </c>
      <c r="F18" s="24">
        <f>VLOOKUP($B18,'Выгр Торг'!$B:$Q,F$1,0)</f>
        <v>0</v>
      </c>
      <c r="G18" s="24" t="str">
        <f>VLOOKUP($B18,'Выгр Торг'!$B:$Q,G$1,0)</f>
        <v>21230620002181</v>
      </c>
      <c r="H18" s="24" t="str">
        <f>IF(VLOOKUP($B18,'Выгр Торг'!$B:$Q,H$1,0)=0,"",VLOOKUP($B18,'Выгр Торг'!$B:$Q,H$1,0))</f>
        <v>https://motorring.ru/product/36799-zadnyaya-levaya-dvery-kataforeznym-pokrytiem-trevel</v>
      </c>
      <c r="I18" s="24"/>
      <c r="J18" s="24"/>
      <c r="K18" s="35">
        <f t="shared" si="0"/>
        <v>15173</v>
      </c>
      <c r="L18" s="26">
        <f>VLOOKUP(K18,Наценка!$A$1:$B$8,2,1)</f>
        <v>1.3</v>
      </c>
      <c r="M18" s="27">
        <f t="shared" si="1"/>
        <v>19724.900000000001</v>
      </c>
      <c r="N18" s="28">
        <f t="shared" si="2"/>
        <v>19790</v>
      </c>
      <c r="O18" s="24">
        <f>VLOOKUP($B18,'Выгр Торг'!$B:$Q,O$1,0)</f>
        <v>15173</v>
      </c>
      <c r="P18" s="24">
        <f>VLOOKUP($B18,'Выгр Торг'!$B:$Q,P$1,0)</f>
        <v>21090</v>
      </c>
      <c r="Q18" s="18">
        <f t="shared" si="3"/>
        <v>0</v>
      </c>
      <c r="R18" s="18">
        <f t="shared" si="4"/>
        <v>1300</v>
      </c>
      <c r="S18" s="29">
        <f t="shared" si="5"/>
        <v>19790</v>
      </c>
      <c r="T18" s="30">
        <f t="shared" si="6"/>
        <v>0.30429051604824364</v>
      </c>
      <c r="U18" s="30" t="str">
        <f t="shared" si="7"/>
        <v/>
      </c>
      <c r="V18" s="30">
        <f t="shared" si="8"/>
        <v>-1</v>
      </c>
      <c r="W18" s="13">
        <f t="shared" si="10"/>
        <v>0</v>
      </c>
      <c r="X18" s="32">
        <f>IFERROR((VLOOKUP($B18,'Из ГУГЛа'!$B:$Z,X$1,0)+Z18)*Y18,VLOOKUP($B18,'Из ГУГЛа'!$B:$Z,X$1,0))</f>
        <v>0</v>
      </c>
      <c r="Y18" s="33">
        <v>1</v>
      </c>
      <c r="Z18" s="33"/>
      <c r="AA18" s="31"/>
      <c r="AB18" s="31" t="s">
        <v>2231</v>
      </c>
    </row>
    <row r="19" spans="1:28" ht="30" x14ac:dyDescent="0.25">
      <c r="A19" s="25" t="str">
        <f>INDEX('Выгр Торг'!$A:$A,MATCH($B19,'Выгр Торг'!$B:$B,0))</f>
        <v>Дверь "АвтоВАЗ" задняя правая для Лада Нива Travel</v>
      </c>
      <c r="B19" s="24">
        <v>244316</v>
      </c>
      <c r="C19" s="24">
        <f>VLOOKUP($B19,'Выгр Торг'!$B:$Q,C$1,0)</f>
        <v>175812</v>
      </c>
      <c r="D19" s="25" t="str">
        <f>VLOOKUP($B19,'Выгр Торг'!$B:$Q,D$1,0)</f>
        <v>Дверь задняя (правая, оригинал) для Лада Нива Travel (Без покраски)</v>
      </c>
      <c r="E19" s="24" t="str">
        <f>VLOOKUP($B19,'Выгр Торг'!$B:$Q,E$1,0)</f>
        <v>Y</v>
      </c>
      <c r="F19" s="24">
        <f>VLOOKUP($B19,'Выгр Торг'!$B:$Q,F$1,0)</f>
        <v>0</v>
      </c>
      <c r="G19" s="24" t="str">
        <f>VLOOKUP($B19,'Выгр Торг'!$B:$Q,G$1,0)</f>
        <v>21230620002081</v>
      </c>
      <c r="H19" s="24" t="str">
        <f>IF(VLOOKUP($B19,'Выгр Торг'!$B:$Q,H$1,0)=0,"",VLOOKUP($B19,'Выгр Торг'!$B:$Q,H$1,0))</f>
        <v>https://motorring.ru/product/36798-zadnyaya-pravaya-dvery-kataforeznym-pokrytiem-trevel</v>
      </c>
      <c r="I19" s="24"/>
      <c r="J19" s="24"/>
      <c r="K19" s="35">
        <f t="shared" si="0"/>
        <v>15638</v>
      </c>
      <c r="L19" s="26">
        <f>VLOOKUP(K19,Наценка!$A$1:$B$8,2,1)</f>
        <v>1.3</v>
      </c>
      <c r="M19" s="27">
        <f t="shared" si="1"/>
        <v>20329.400000000001</v>
      </c>
      <c r="N19" s="28">
        <f t="shared" si="2"/>
        <v>20390</v>
      </c>
      <c r="O19" s="24">
        <f>VLOOKUP($B19,'Выгр Торг'!$B:$Q,O$1,0)</f>
        <v>15638</v>
      </c>
      <c r="P19" s="24">
        <f>VLOOKUP($B19,'Выгр Торг'!$B:$Q,P$1,0)</f>
        <v>21090</v>
      </c>
      <c r="Q19" s="18">
        <f t="shared" si="3"/>
        <v>0</v>
      </c>
      <c r="R19" s="18">
        <f t="shared" si="4"/>
        <v>700</v>
      </c>
      <c r="S19" s="29">
        <f t="shared" si="5"/>
        <v>20390</v>
      </c>
      <c r="T19" s="30">
        <f t="shared" si="6"/>
        <v>0.30387517585368973</v>
      </c>
      <c r="U19" s="30" t="str">
        <f t="shared" si="7"/>
        <v/>
      </c>
      <c r="V19" s="30">
        <f t="shared" si="8"/>
        <v>-1</v>
      </c>
      <c r="W19" s="13">
        <f t="shared" si="10"/>
        <v>0</v>
      </c>
      <c r="X19" s="32">
        <f>IFERROR((VLOOKUP($B19,'Из ГУГЛа'!$B:$Z,X$1,0)+Z19)*Y19,VLOOKUP($B19,'Из ГУГЛа'!$B:$Z,X$1,0))</f>
        <v>0</v>
      </c>
      <c r="Y19" s="33">
        <v>1</v>
      </c>
      <c r="Z19" s="33"/>
      <c r="AA19" s="31"/>
      <c r="AB19" s="31" t="s">
        <v>2239</v>
      </c>
    </row>
    <row r="20" spans="1:28" ht="45" x14ac:dyDescent="0.25">
      <c r="A20" s="25" t="str">
        <f>INDEX('Выгр Торг'!$A:$A,MATCH($B20,'Выгр Торг'!$B:$B,0))</f>
        <v>Дверь "АвтоВАЗ" передняя левая в сборе для Лада Веста, Веста NG Cross</v>
      </c>
      <c r="B20" s="24">
        <v>244327</v>
      </c>
      <c r="C20" s="24">
        <f>VLOOKUP($B20,'Выгр Торг'!$B:$Q,C$1,0)</f>
        <v>171103</v>
      </c>
      <c r="D20" s="25" t="str">
        <f>VLOOKUP($B20,'Выгр Торг'!$B:$Q,D$1,0)</f>
        <v>Дверь передняя левая "АвтоВАЗ в сборе для Лада Веста, Веста NG Cross (Без покраски)</v>
      </c>
      <c r="E20" s="24" t="str">
        <f>VLOOKUP($B20,'Выгр Торг'!$B:$Q,E$1,0)</f>
        <v>Y</v>
      </c>
      <c r="F20" s="24">
        <f>VLOOKUP($B20,'Выгр Торг'!$B:$Q,F$1,0)</f>
        <v>0</v>
      </c>
      <c r="G20" s="24" t="str">
        <f>VLOOKUP($B20,'Выгр Торг'!$B:$Q,G$1,0)</f>
        <v>8460013094</v>
      </c>
      <c r="H20" s="24" t="str">
        <f>IF(VLOOKUP($B20,'Выгр Торг'!$B:$Q,H$1,0)=0,"",VLOOKUP($B20,'Выгр Торг'!$B:$Q,H$1,0))</f>
        <v>https://motorring.ru/product/21277-dvery-perednyaya-levaya-cvet-lada-vesta-kross</v>
      </c>
      <c r="I20" s="24"/>
      <c r="J20" s="24"/>
      <c r="K20" s="35">
        <f t="shared" si="0"/>
        <v>26400</v>
      </c>
      <c r="L20" s="26">
        <f>VLOOKUP(K20,Наценка!$A$1:$B$8,2,1)</f>
        <v>1.3</v>
      </c>
      <c r="M20" s="27">
        <f t="shared" si="1"/>
        <v>34320</v>
      </c>
      <c r="N20" s="28">
        <f t="shared" si="2"/>
        <v>34390</v>
      </c>
      <c r="O20" s="24">
        <f>VLOOKUP($B20,'Выгр Торг'!$B:$Q,O$1,0)</f>
        <v>26400</v>
      </c>
      <c r="P20" s="24">
        <f>VLOOKUP($B20,'Выгр Торг'!$B:$Q,P$1,0)</f>
        <v>32990</v>
      </c>
      <c r="Q20" s="18">
        <f t="shared" si="3"/>
        <v>0</v>
      </c>
      <c r="R20" s="18">
        <f t="shared" si="4"/>
        <v>-1400</v>
      </c>
      <c r="S20" s="29">
        <f t="shared" si="5"/>
        <v>34390</v>
      </c>
      <c r="T20" s="30">
        <f t="shared" si="6"/>
        <v>0.30265151515151523</v>
      </c>
      <c r="U20" s="30" t="str">
        <f t="shared" si="7"/>
        <v/>
      </c>
      <c r="V20" s="30">
        <f t="shared" si="8"/>
        <v>-1</v>
      </c>
      <c r="W20" s="13">
        <f t="shared" si="10"/>
        <v>0</v>
      </c>
      <c r="X20" s="32">
        <f>IFERROR((VLOOKUP($B20,'Из ГУГЛа'!$B:$Z,X$1,0)+Z20)*Y20,VLOOKUP($B20,'Из ГУГЛа'!$B:$Z,X$1,0))</f>
        <v>0</v>
      </c>
      <c r="Y20" s="33">
        <v>1</v>
      </c>
      <c r="Z20" s="33"/>
      <c r="AA20" s="31"/>
      <c r="AB20" s="31" t="s">
        <v>2247</v>
      </c>
    </row>
    <row r="21" spans="1:28" ht="30" x14ac:dyDescent="0.25">
      <c r="A21" s="25" t="str">
        <f>INDEX('Выгр Торг'!$A:$A,MATCH($B21,'Выгр Торг'!$B:$B,0))</f>
        <v>Дверь "АвтоВАЗ" передняя левая для ВАЗ 2108</v>
      </c>
      <c r="B21" s="24">
        <v>266099</v>
      </c>
      <c r="C21" s="24">
        <f>VLOOKUP($B21,'Выгр Торг'!$B:$Q,C$1,0)</f>
        <v>217686</v>
      </c>
      <c r="D21" s="25" t="str">
        <f>VLOOKUP($B21,'Выгр Торг'!$B:$Q,D$1,0)</f>
        <v>Дверь "АвтоВАЗ" передняя левая для ВАЗ 2108 (Без покраски)</v>
      </c>
      <c r="E21" s="24" t="str">
        <f>VLOOKUP($B21,'Выгр Торг'!$B:$Q,E$1,0)</f>
        <v>Y</v>
      </c>
      <c r="F21" s="24">
        <f>VLOOKUP($B21,'Выгр Торг'!$B:$Q,F$1,0)</f>
        <v>0</v>
      </c>
      <c r="G21" s="24" t="str">
        <f>VLOOKUP($B21,'Выгр Торг'!$B:$Q,G$1,0)</f>
        <v>21080610001500</v>
      </c>
      <c r="H21" s="24" t="str">
        <f>IF(VLOOKUP($B21,'Выгр Торг'!$B:$Q,H$1,0)=0,"",VLOOKUP($B21,'Выгр Торг'!$B:$Q,H$1,0))</f>
        <v/>
      </c>
      <c r="I21" s="24"/>
      <c r="J21" s="24"/>
      <c r="K21" s="35">
        <f t="shared" si="0"/>
        <v>0</v>
      </c>
      <c r="L21" s="26" t="e">
        <f>VLOOKUP(K21,Наценка!$A$1:$B$8,2,1)</f>
        <v>#N/A</v>
      </c>
      <c r="M21" s="27" t="e">
        <f t="shared" si="1"/>
        <v>#N/A</v>
      </c>
      <c r="N21" s="28" t="e">
        <f t="shared" si="2"/>
        <v>#N/A</v>
      </c>
      <c r="O21" s="24">
        <f>VLOOKUP($B21,'Выгр Торг'!$B:$Q,O$1,0)</f>
        <v>0</v>
      </c>
      <c r="P21" s="24">
        <f>VLOOKUP($B21,'Выгр Торг'!$B:$Q,P$1,0)</f>
        <v>5790</v>
      </c>
      <c r="Q21" s="18">
        <f t="shared" si="3"/>
        <v>0</v>
      </c>
      <c r="R21" s="18" t="e">
        <f t="shared" si="4"/>
        <v>#N/A</v>
      </c>
      <c r="S21" s="29" t="str">
        <f t="shared" si="5"/>
        <v/>
      </c>
      <c r="T21" s="30" t="str">
        <f t="shared" si="6"/>
        <v/>
      </c>
      <c r="U21" s="30" t="str">
        <f t="shared" si="7"/>
        <v/>
      </c>
      <c r="V21" s="30" t="str">
        <f t="shared" si="8"/>
        <v/>
      </c>
      <c r="W21" s="31"/>
      <c r="X21" s="32">
        <f>IFERROR((VLOOKUP($B21,'Из ГУГЛа'!$B:$Z,X$1,0)+Z21)*Y21,VLOOKUP($B21,'Из ГУГЛа'!$B:$Z,X$1,0))</f>
        <v>0</v>
      </c>
      <c r="Y21" s="33">
        <v>1</v>
      </c>
      <c r="Z21" s="33"/>
      <c r="AA21" s="63" t="s">
        <v>4170</v>
      </c>
      <c r="AB21" s="31" t="s">
        <v>4167</v>
      </c>
    </row>
    <row r="22" spans="1:28" ht="30" x14ac:dyDescent="0.25">
      <c r="A22" s="25" t="str">
        <f>INDEX('Выгр Торг'!$A:$A,MATCH($B22,'Выгр Торг'!$B:$B,0))</f>
        <v>Дверь "АвтоВАЗ" передняя левая для ВАЗ 2113</v>
      </c>
      <c r="B22" s="24">
        <v>266125</v>
      </c>
      <c r="C22" s="24">
        <f>VLOOKUP($B22,'Выгр Торг'!$B:$Q,C$1,0)</f>
        <v>217722</v>
      </c>
      <c r="D22" s="25" t="str">
        <f>VLOOKUP($B22,'Выгр Торг'!$B:$Q,D$1,0)</f>
        <v>Дверь "АвтоВАЗ" передняя левая для ВАЗ 2113 (Без покраски)</v>
      </c>
      <c r="E22" s="24" t="str">
        <f>VLOOKUP($B22,'Выгр Торг'!$B:$Q,E$1,0)</f>
        <v>Y</v>
      </c>
      <c r="F22" s="24">
        <f>VLOOKUP($B22,'Выгр Торг'!$B:$Q,F$1,0)</f>
        <v>0</v>
      </c>
      <c r="G22" s="24" t="str">
        <f>VLOOKUP($B22,'Выгр Торг'!$B:$Q,G$1,0)</f>
        <v>21130610001570</v>
      </c>
      <c r="H22" s="24" t="str">
        <f>IF(VLOOKUP($B22,'Выгр Торг'!$B:$Q,H$1,0)=0,"",VLOOKUP($B22,'Выгр Торг'!$B:$Q,H$1,0))</f>
        <v/>
      </c>
      <c r="I22" s="24"/>
      <c r="J22" s="24"/>
      <c r="K22" s="35">
        <f t="shared" si="0"/>
        <v>15008</v>
      </c>
      <c r="L22" s="26">
        <f>VLOOKUP(K22,Наценка!$A$1:$B$8,2,1)</f>
        <v>1.3</v>
      </c>
      <c r="M22" s="27">
        <f t="shared" si="1"/>
        <v>19510.400000000001</v>
      </c>
      <c r="N22" s="28">
        <f t="shared" si="2"/>
        <v>19590</v>
      </c>
      <c r="O22" s="24">
        <f>VLOOKUP($B22,'Выгр Торг'!$B:$Q,O$1,0)</f>
        <v>15008</v>
      </c>
      <c r="P22" s="24">
        <f>VLOOKUP($B22,'Выгр Торг'!$B:$Q,P$1,0)</f>
        <v>19990</v>
      </c>
      <c r="Q22" s="18">
        <f t="shared" si="3"/>
        <v>0</v>
      </c>
      <c r="R22" s="18">
        <f t="shared" si="4"/>
        <v>400</v>
      </c>
      <c r="S22" s="29">
        <f t="shared" si="5"/>
        <v>19590</v>
      </c>
      <c r="T22" s="30">
        <f t="shared" si="6"/>
        <v>0.30530383795309168</v>
      </c>
      <c r="U22" s="30" t="str">
        <f t="shared" si="7"/>
        <v/>
      </c>
      <c r="V22" s="30" t="str">
        <f t="shared" si="8"/>
        <v/>
      </c>
      <c r="W22" s="31"/>
      <c r="X22" s="32">
        <f>IFERROR((VLOOKUP($B22,'Из ГУГЛа'!$B:$Z,X$1,0)+Z22)*Y22,VLOOKUP($B22,'Из ГУГЛа'!$B:$Z,X$1,0))</f>
        <v>0</v>
      </c>
      <c r="Y22" s="33">
        <v>1</v>
      </c>
      <c r="Z22" s="33"/>
      <c r="AA22" s="63" t="s">
        <v>4170</v>
      </c>
      <c r="AB22" s="31" t="s">
        <v>4167</v>
      </c>
    </row>
    <row r="23" spans="1:28" ht="30" x14ac:dyDescent="0.25">
      <c r="A23" s="25" t="str">
        <f>INDEX('Выгр Торг'!$A:$A,MATCH($B23,'Выгр Торг'!$B:$B,0))</f>
        <v>Дверь "АвтоВАЗ" передняя правая для ВАЗ 2108</v>
      </c>
      <c r="B23" s="24">
        <v>266159</v>
      </c>
      <c r="C23" s="24">
        <f>VLOOKUP($B23,'Выгр Торг'!$B:$Q,C$1,0)</f>
        <v>217808</v>
      </c>
      <c r="D23" s="25" t="str">
        <f>VLOOKUP($B23,'Выгр Торг'!$B:$Q,D$1,0)</f>
        <v>Дверь "АвтоВАЗ" передняя правая для ВАЗ 2108 (Без покраски)</v>
      </c>
      <c r="E23" s="24" t="str">
        <f>VLOOKUP($B23,'Выгр Торг'!$B:$Q,E$1,0)</f>
        <v>Y</v>
      </c>
      <c r="F23" s="24">
        <f>VLOOKUP($B23,'Выгр Торг'!$B:$Q,F$1,0)</f>
        <v>0</v>
      </c>
      <c r="G23" s="24" t="str">
        <f>VLOOKUP($B23,'Выгр Торг'!$B:$Q,G$1,0)</f>
        <v>21080610001400</v>
      </c>
      <c r="H23" s="24" t="str">
        <f>IF(VLOOKUP($B23,'Выгр Торг'!$B:$Q,H$1,0)=0,"",VLOOKUP($B23,'Выгр Торг'!$B:$Q,H$1,0))</f>
        <v/>
      </c>
      <c r="I23" s="24"/>
      <c r="J23" s="24"/>
      <c r="K23" s="35">
        <f t="shared" si="0"/>
        <v>0</v>
      </c>
      <c r="L23" s="26" t="e">
        <f>VLOOKUP(K23,Наценка!$A$1:$B$8,2,1)</f>
        <v>#N/A</v>
      </c>
      <c r="M23" s="27" t="e">
        <f t="shared" si="1"/>
        <v>#N/A</v>
      </c>
      <c r="N23" s="28" t="e">
        <f t="shared" si="2"/>
        <v>#N/A</v>
      </c>
      <c r="O23" s="24">
        <f>VLOOKUP($B23,'Выгр Торг'!$B:$Q,O$1,0)</f>
        <v>0</v>
      </c>
      <c r="P23" s="24">
        <f>VLOOKUP($B23,'Выгр Торг'!$B:$Q,P$1,0)</f>
        <v>5790</v>
      </c>
      <c r="Q23" s="18">
        <f t="shared" si="3"/>
        <v>0</v>
      </c>
      <c r="R23" s="18" t="e">
        <f t="shared" si="4"/>
        <v>#N/A</v>
      </c>
      <c r="S23" s="29" t="str">
        <f t="shared" si="5"/>
        <v/>
      </c>
      <c r="T23" s="30" t="str">
        <f t="shared" si="6"/>
        <v/>
      </c>
      <c r="U23" s="30" t="str">
        <f t="shared" si="7"/>
        <v/>
      </c>
      <c r="V23" s="30" t="str">
        <f t="shared" si="8"/>
        <v/>
      </c>
      <c r="W23" s="31"/>
      <c r="X23" s="32">
        <f>IFERROR((VLOOKUP($B23,'Из ГУГЛа'!$B:$Z,X$1,0)+Z23)*Y23,VLOOKUP($B23,'Из ГУГЛа'!$B:$Z,X$1,0))</f>
        <v>0</v>
      </c>
      <c r="Y23" s="33">
        <v>1</v>
      </c>
      <c r="Z23" s="33"/>
      <c r="AA23" s="63" t="s">
        <v>4170</v>
      </c>
      <c r="AB23" s="31" t="s">
        <v>4167</v>
      </c>
    </row>
    <row r="24" spans="1:28" ht="30" x14ac:dyDescent="0.25">
      <c r="A24" s="25" t="str">
        <f>INDEX('Выгр Торг'!$A:$A,MATCH($B24,'Выгр Торг'!$B:$B,0))</f>
        <v>Дверь "АвтоВАЗ" передняя правая для ВАЗ 2113</v>
      </c>
      <c r="B24" s="24">
        <v>266185</v>
      </c>
      <c r="C24" s="24">
        <f>VLOOKUP($B24,'Выгр Торг'!$B:$Q,C$1,0)</f>
        <v>217767</v>
      </c>
      <c r="D24" s="25" t="str">
        <f>VLOOKUP($B24,'Выгр Торг'!$B:$Q,D$1,0)</f>
        <v>Дверь "АвтоВАЗ" передняя правая для ВАЗ 2113 (Без покраски)</v>
      </c>
      <c r="E24" s="24" t="str">
        <f>VLOOKUP($B24,'Выгр Торг'!$B:$Q,E$1,0)</f>
        <v>Y</v>
      </c>
      <c r="F24" s="24">
        <f>VLOOKUP($B24,'Выгр Торг'!$B:$Q,F$1,0)</f>
        <v>0</v>
      </c>
      <c r="G24" s="24" t="str">
        <f>VLOOKUP($B24,'Выгр Торг'!$B:$Q,G$1,0)</f>
        <v>21130610001470</v>
      </c>
      <c r="H24" s="24" t="str">
        <f>IF(VLOOKUP($B24,'Выгр Торг'!$B:$Q,H$1,0)=0,"",VLOOKUP($B24,'Выгр Торг'!$B:$Q,H$1,0))</f>
        <v/>
      </c>
      <c r="I24" s="24"/>
      <c r="J24" s="24"/>
      <c r="K24" s="35">
        <f t="shared" si="0"/>
        <v>14375</v>
      </c>
      <c r="L24" s="26">
        <f>VLOOKUP(K24,Наценка!$A$1:$B$8,2,1)</f>
        <v>1.3</v>
      </c>
      <c r="M24" s="27">
        <f t="shared" si="1"/>
        <v>18687.5</v>
      </c>
      <c r="N24" s="28">
        <f t="shared" si="2"/>
        <v>18690</v>
      </c>
      <c r="O24" s="24">
        <f>VLOOKUP($B24,'Выгр Торг'!$B:$Q,O$1,0)</f>
        <v>14375</v>
      </c>
      <c r="P24" s="24">
        <f>VLOOKUP($B24,'Выгр Торг'!$B:$Q,P$1,0)</f>
        <v>19090</v>
      </c>
      <c r="Q24" s="18">
        <f t="shared" si="3"/>
        <v>0</v>
      </c>
      <c r="R24" s="18">
        <f t="shared" si="4"/>
        <v>400</v>
      </c>
      <c r="S24" s="29">
        <f t="shared" si="5"/>
        <v>18690</v>
      </c>
      <c r="T24" s="30">
        <f t="shared" si="6"/>
        <v>0.30017391304347818</v>
      </c>
      <c r="U24" s="30" t="str">
        <f t="shared" si="7"/>
        <v/>
      </c>
      <c r="V24" s="30" t="str">
        <f t="shared" si="8"/>
        <v/>
      </c>
      <c r="W24" s="31"/>
      <c r="X24" s="32">
        <f>IFERROR((VLOOKUP($B24,'Из ГУГЛа'!$B:$Z,X$1,0)+Z24)*Y24,VLOOKUP($B24,'Из ГУГЛа'!$B:$Z,X$1,0))</f>
        <v>0</v>
      </c>
      <c r="Y24" s="33">
        <v>1</v>
      </c>
      <c r="Z24" s="33"/>
      <c r="AA24" s="63" t="s">
        <v>4170</v>
      </c>
      <c r="AB24" s="31" t="s">
        <v>4167</v>
      </c>
    </row>
    <row r="25" spans="1:28" ht="45" x14ac:dyDescent="0.25">
      <c r="A25" s="25" t="str">
        <f>INDEX('Выгр Торг'!$A:$A,MATCH($B25,'Выгр Торг'!$B:$B,0))</f>
        <v>Дверь задка "АвтоВАЗ" в сборе (катафорез) для Лада XRAY</v>
      </c>
      <c r="B25" s="24">
        <v>265072</v>
      </c>
      <c r="C25" s="24">
        <f>VLOOKUP($B25,'Выгр Торг'!$B:$Q,C$1,0)</f>
        <v>214410</v>
      </c>
      <c r="D25" s="25" t="str">
        <f>VLOOKUP($B25,'Выгр Торг'!$B:$Q,D$1,0)</f>
        <v>Дверь задка "АвтоВАЗ" в сборе (катафорез) для Лада XRAY (Без покраски)</v>
      </c>
      <c r="E25" s="24" t="str">
        <f>VLOOKUP($B25,'Выгр Торг'!$B:$Q,E$1,0)</f>
        <v>Y</v>
      </c>
      <c r="F25" s="24">
        <f>VLOOKUP($B25,'Выгр Торг'!$B:$Q,F$1,0)</f>
        <v>0</v>
      </c>
      <c r="G25" s="24" t="str">
        <f>VLOOKUP($B25,'Выгр Торг'!$B:$Q,G$1,0)</f>
        <v>901001870R</v>
      </c>
      <c r="H25" s="24" t="str">
        <f>IF(VLOOKUP($B25,'Выгр Торг'!$B:$Q,H$1,0)=0,"",VLOOKUP($B25,'Выгр Торг'!$B:$Q,H$1,0))</f>
        <v>https://motorring.ru/product/27675-dvery-bagaghnika-cvet-lada-iks-rey-iks-rey-cross</v>
      </c>
      <c r="I25" s="24"/>
      <c r="J25" s="24"/>
      <c r="K25" s="35">
        <f t="shared" si="0"/>
        <v>53410</v>
      </c>
      <c r="L25" s="26">
        <f>VLOOKUP(K25,Наценка!$A$1:$B$8,2,1)</f>
        <v>1.3</v>
      </c>
      <c r="M25" s="27">
        <f t="shared" si="1"/>
        <v>69433</v>
      </c>
      <c r="N25" s="28">
        <f t="shared" si="2"/>
        <v>69490</v>
      </c>
      <c r="O25" s="24">
        <f>VLOOKUP($B25,'Выгр Торг'!$B:$Q,O$1,0)</f>
        <v>53410</v>
      </c>
      <c r="P25" s="24">
        <f>VLOOKUP($B25,'Выгр Торг'!$B:$Q,P$1,0)</f>
        <v>70890</v>
      </c>
      <c r="Q25" s="18">
        <f t="shared" si="3"/>
        <v>0</v>
      </c>
      <c r="R25" s="18">
        <f t="shared" si="4"/>
        <v>1400</v>
      </c>
      <c r="S25" s="29">
        <f t="shared" si="5"/>
        <v>69490</v>
      </c>
      <c r="T25" s="30">
        <f t="shared" si="6"/>
        <v>0.30106721587717655</v>
      </c>
      <c r="U25" s="30" t="str">
        <f t="shared" si="7"/>
        <v/>
      </c>
      <c r="V25" s="30">
        <f t="shared" si="8"/>
        <v>-1</v>
      </c>
      <c r="W25" s="13">
        <f t="shared" ref="W25:W38" si="11">AA25</f>
        <v>0</v>
      </c>
      <c r="X25" s="32">
        <f>IFERROR((VLOOKUP($B25,'Из ГУГЛа'!$B:$Z,X$1,0)+Z25)*Y25,VLOOKUP($B25,'Из ГУГЛа'!$B:$Z,X$1,0))</f>
        <v>0</v>
      </c>
      <c r="Y25" s="33">
        <v>1</v>
      </c>
      <c r="Z25" s="33"/>
      <c r="AA25" s="31"/>
      <c r="AB25" s="31" t="s">
        <v>2283</v>
      </c>
    </row>
    <row r="26" spans="1:28" ht="45" x14ac:dyDescent="0.25">
      <c r="A26" s="25" t="str">
        <f>INDEX('Выгр Торг'!$A:$A,MATCH($B26,'Выгр Торг'!$B:$B,0))</f>
        <v>Дверь задка "АвтоВАЗ" в сборе (катафорез) для Лада Гранта FL универсал</v>
      </c>
      <c r="B26" s="24">
        <v>265084</v>
      </c>
      <c r="C26" s="24">
        <f>VLOOKUP($B26,'Выгр Торг'!$B:$Q,C$1,0)</f>
        <v>214460</v>
      </c>
      <c r="D26" s="25" t="str">
        <f>VLOOKUP($B26,'Выгр Торг'!$B:$Q,D$1,0)</f>
        <v>Дверь задка "АвтоВАЗ" в сборе (катафорез) для Лада Гранта FL универсал (Без покраски)</v>
      </c>
      <c r="E26" s="24" t="str">
        <f>VLOOKUP($B26,'Выгр Торг'!$B:$Q,E$1,0)</f>
        <v>Y</v>
      </c>
      <c r="F26" s="24">
        <f>VLOOKUP($B26,'Выгр Торг'!$B:$Q,F$1,0)</f>
        <v>0</v>
      </c>
      <c r="G26" s="24" t="str">
        <f>VLOOKUP($B26,'Выгр Торг'!$B:$Q,G$1,0)</f>
        <v>8450104285</v>
      </c>
      <c r="H26" s="24" t="str">
        <f>IF(VLOOKUP($B26,'Выгр Торг'!$B:$Q,H$1,0)=0,"",VLOOKUP($B26,'Выгр Торг'!$B:$Q,H$1,0))</f>
        <v>https://motorring.ru/product/27063-dvery-bagaghnika-cvet-lada-granta-universal</v>
      </c>
      <c r="I26" s="24"/>
      <c r="J26" s="24"/>
      <c r="K26" s="35">
        <f t="shared" si="0"/>
        <v>12321</v>
      </c>
      <c r="L26" s="26">
        <f>VLOOKUP(K26,Наценка!$A$1:$B$8,2,1)</f>
        <v>1.3</v>
      </c>
      <c r="M26" s="27">
        <f t="shared" si="1"/>
        <v>16017.300000000001</v>
      </c>
      <c r="N26" s="28">
        <f t="shared" si="2"/>
        <v>16090</v>
      </c>
      <c r="O26" s="24">
        <f>VLOOKUP($B26,'Выгр Торг'!$B:$Q,O$1,0)</f>
        <v>12321</v>
      </c>
      <c r="P26" s="24">
        <f>VLOOKUP($B26,'Выгр Торг'!$B:$Q,P$1,0)</f>
        <v>15590</v>
      </c>
      <c r="Q26" s="18">
        <f t="shared" si="3"/>
        <v>0</v>
      </c>
      <c r="R26" s="18">
        <f t="shared" si="4"/>
        <v>-500</v>
      </c>
      <c r="S26" s="29">
        <f t="shared" si="5"/>
        <v>16090</v>
      </c>
      <c r="T26" s="30">
        <f t="shared" si="6"/>
        <v>0.3059004950896842</v>
      </c>
      <c r="U26" s="30" t="str">
        <f t="shared" si="7"/>
        <v/>
      </c>
      <c r="V26" s="30">
        <f t="shared" si="8"/>
        <v>-1</v>
      </c>
      <c r="W26" s="13">
        <f t="shared" si="11"/>
        <v>0</v>
      </c>
      <c r="X26" s="32">
        <f>IFERROR((VLOOKUP($B26,'Из ГУГЛа'!$B:$Z,X$1,0)+Z26)*Y26,VLOOKUP($B26,'Из ГУГЛа'!$B:$Z,X$1,0))</f>
        <v>0</v>
      </c>
      <c r="Y26" s="33">
        <v>1</v>
      </c>
      <c r="Z26" s="33"/>
      <c r="AA26" s="31"/>
      <c r="AB26" s="31" t="s">
        <v>2291</v>
      </c>
    </row>
    <row r="27" spans="1:28" ht="45" x14ac:dyDescent="0.25">
      <c r="A27" s="25" t="str">
        <f>INDEX('Выгр Торг'!$A:$A,MATCH($B27,'Выгр Торг'!$B:$B,0))</f>
        <v>Дверь задка "АвтоВАЗ" в сборе (катафорез) для Лада Гранта FL хэтчбек</v>
      </c>
      <c r="B27" s="24">
        <v>265096</v>
      </c>
      <c r="C27" s="24">
        <f>VLOOKUP($B27,'Выгр Торг'!$B:$Q,C$1,0)</f>
        <v>214476</v>
      </c>
      <c r="D27" s="25" t="str">
        <f>VLOOKUP($B27,'Выгр Торг'!$B:$Q,D$1,0)</f>
        <v>Дверь задка "АвтоВАЗ" в сборе (катафорез) для Лада Гранта FL хэтчбек (Без покраски)</v>
      </c>
      <c r="E27" s="24" t="str">
        <f>VLOOKUP($B27,'Выгр Торг'!$B:$Q,E$1,0)</f>
        <v>Y</v>
      </c>
      <c r="F27" s="24">
        <f>VLOOKUP($B27,'Выгр Торг'!$B:$Q,F$1,0)</f>
        <v>0</v>
      </c>
      <c r="G27" s="24" t="str">
        <f>VLOOKUP($B27,'Выгр Торг'!$B:$Q,G$1,0)</f>
        <v>8450104284</v>
      </c>
      <c r="H27" s="24" t="str">
        <f>IF(VLOOKUP($B27,'Выгр Торг'!$B:$Q,H$1,0)=0,"",VLOOKUP($B27,'Выгр Торг'!$B:$Q,H$1,0))</f>
        <v>https://motorring.ru/product/27678-dvery-bagaghnika-cvet-lada-granta-hetchbek</v>
      </c>
      <c r="I27" s="24"/>
      <c r="J27" s="24"/>
      <c r="K27" s="35">
        <f t="shared" si="0"/>
        <v>12434</v>
      </c>
      <c r="L27" s="26">
        <f>VLOOKUP(K27,Наценка!$A$1:$B$8,2,1)</f>
        <v>1.3</v>
      </c>
      <c r="M27" s="27">
        <f t="shared" si="1"/>
        <v>16164.2</v>
      </c>
      <c r="N27" s="28">
        <f t="shared" si="2"/>
        <v>16190</v>
      </c>
      <c r="O27" s="24">
        <f>VLOOKUP($B27,'Выгр Торг'!$B:$Q,O$1,0)</f>
        <v>12434</v>
      </c>
      <c r="P27" s="24">
        <f>VLOOKUP($B27,'Выгр Торг'!$B:$Q,P$1,0)</f>
        <v>15590</v>
      </c>
      <c r="Q27" s="18">
        <f t="shared" si="3"/>
        <v>0</v>
      </c>
      <c r="R27" s="18">
        <f t="shared" si="4"/>
        <v>-600</v>
      </c>
      <c r="S27" s="29">
        <f t="shared" si="5"/>
        <v>16190</v>
      </c>
      <c r="T27" s="30">
        <f t="shared" si="6"/>
        <v>0.30207495576644683</v>
      </c>
      <c r="U27" s="30" t="str">
        <f t="shared" si="7"/>
        <v/>
      </c>
      <c r="V27" s="30">
        <f t="shared" si="8"/>
        <v>-1</v>
      </c>
      <c r="W27" s="13">
        <f t="shared" si="11"/>
        <v>0</v>
      </c>
      <c r="X27" s="32">
        <f>IFERROR((VLOOKUP($B27,'Из ГУГЛа'!$B:$Z,X$1,0)+Z27)*Y27,VLOOKUP($B27,'Из ГУГЛа'!$B:$Z,X$1,0))</f>
        <v>0</v>
      </c>
      <c r="Y27" s="33">
        <v>1</v>
      </c>
      <c r="Z27" s="33"/>
      <c r="AA27" s="31"/>
      <c r="AB27" s="31" t="s">
        <v>2299</v>
      </c>
    </row>
    <row r="28" spans="1:28" ht="45" x14ac:dyDescent="0.25">
      <c r="A28" s="25" t="str">
        <f>INDEX('Выгр Торг'!$A:$A,MATCH($B28,'Выгр Торг'!$B:$B,0))</f>
        <v>Дверь задка "АвтоВАЗ" в сборе (катафорез) для Лада Калина 2</v>
      </c>
      <c r="B28" s="24">
        <v>265108</v>
      </c>
      <c r="C28" s="24">
        <f>VLOOKUP($B28,'Выгр Торг'!$B:$Q,C$1,0)</f>
        <v>214425</v>
      </c>
      <c r="D28" s="25" t="str">
        <f>VLOOKUP($B28,'Выгр Торг'!$B:$Q,D$1,0)</f>
        <v>Дверь задка "АвтоВАЗ" в сборе (катафорез) для Лада Калина 2 (Без покраски)</v>
      </c>
      <c r="E28" s="24" t="str">
        <f>VLOOKUP($B28,'Выгр Торг'!$B:$Q,E$1,0)</f>
        <v>Y</v>
      </c>
      <c r="F28" s="24">
        <f>VLOOKUP($B28,'Выгр Торг'!$B:$Q,F$1,0)</f>
        <v>0</v>
      </c>
      <c r="G28" s="24" t="str">
        <f>VLOOKUP($B28,'Выгр Торг'!$B:$Q,G$1,0)</f>
        <v>8450105046</v>
      </c>
      <c r="H28" s="24" t="str">
        <f>IF(VLOOKUP($B28,'Выгр Торг'!$B:$Q,H$1,0)=0,"",VLOOKUP($B28,'Выгр Торг'!$B:$Q,H$1,0))</f>
        <v>https://motorring.ru/product/27063-dvery-bagaghnika-cvet-lada-granta-universal</v>
      </c>
      <c r="I28" s="24"/>
      <c r="J28" s="24"/>
      <c r="K28" s="35">
        <f t="shared" si="0"/>
        <v>12570</v>
      </c>
      <c r="L28" s="26">
        <f>VLOOKUP(K28,Наценка!$A$1:$B$8,2,1)</f>
        <v>1.3</v>
      </c>
      <c r="M28" s="27">
        <f t="shared" si="1"/>
        <v>16341</v>
      </c>
      <c r="N28" s="28">
        <f t="shared" si="2"/>
        <v>16390</v>
      </c>
      <c r="O28" s="24">
        <f>VLOOKUP($B28,'Выгр Торг'!$B:$Q,O$1,0)</f>
        <v>12570</v>
      </c>
      <c r="P28" s="24">
        <f>VLOOKUP($B28,'Выгр Торг'!$B:$Q,P$1,0)</f>
        <v>15590</v>
      </c>
      <c r="Q28" s="18">
        <f t="shared" si="3"/>
        <v>0</v>
      </c>
      <c r="R28" s="18">
        <f t="shared" si="4"/>
        <v>-800</v>
      </c>
      <c r="S28" s="29">
        <f t="shared" si="5"/>
        <v>16390</v>
      </c>
      <c r="T28" s="30">
        <f t="shared" si="6"/>
        <v>0.30389817024661903</v>
      </c>
      <c r="U28" s="30" t="str">
        <f t="shared" si="7"/>
        <v/>
      </c>
      <c r="V28" s="30">
        <f t="shared" si="8"/>
        <v>-1</v>
      </c>
      <c r="W28" s="13">
        <f t="shared" si="11"/>
        <v>0</v>
      </c>
      <c r="X28" s="32">
        <f>IFERROR((VLOOKUP($B28,'Из ГУГЛа'!$B:$Z,X$1,0)+Z28)*Y28,VLOOKUP($B28,'Из ГУГЛа'!$B:$Z,X$1,0))</f>
        <v>0</v>
      </c>
      <c r="Y28" s="33">
        <v>1</v>
      </c>
      <c r="Z28" s="33"/>
      <c r="AA28" s="31"/>
      <c r="AB28" s="31" t="s">
        <v>2291</v>
      </c>
    </row>
    <row r="29" spans="1:28" ht="45" x14ac:dyDescent="0.25">
      <c r="A29" s="25" t="str">
        <f>INDEX('Выгр Торг'!$A:$A,MATCH($B29,'Выгр Торг'!$B:$B,0))</f>
        <v>Дверь задка "АвтоВАЗ" в сборе (катафорез) для Лада Калина 2 хэтчбек</v>
      </c>
      <c r="B29" s="24">
        <v>265139</v>
      </c>
      <c r="C29" s="24">
        <f>VLOOKUP($B29,'Выгр Торг'!$B:$Q,C$1,0)</f>
        <v>214272</v>
      </c>
      <c r="D29" s="25" t="str">
        <f>VLOOKUP($B29,'Выгр Торг'!$B:$Q,D$1,0)</f>
        <v>Дверь задка "АвтоВАЗ" в сборе (катафорез) для Лада Калина 2 хэтчбек (Без покраски)</v>
      </c>
      <c r="E29" s="24" t="str">
        <f>VLOOKUP($B29,'Выгр Торг'!$B:$Q,E$1,0)</f>
        <v>Y</v>
      </c>
      <c r="F29" s="24">
        <f>VLOOKUP($B29,'Выгр Торг'!$B:$Q,F$1,0)</f>
        <v>0</v>
      </c>
      <c r="G29" s="24" t="str">
        <f>VLOOKUP($B29,'Выгр Торг'!$B:$Q,G$1,0)</f>
        <v>8450105045</v>
      </c>
      <c r="H29" s="24" t="str">
        <f>IF(VLOOKUP($B29,'Выгр Торг'!$B:$Q,H$1,0)=0,"",VLOOKUP($B29,'Выгр Торг'!$B:$Q,H$1,0))</f>
        <v>https://motorring.ru/product/10587-dvery-bagaghnika-cvet-lada-kalina-hetchbek</v>
      </c>
      <c r="I29" s="24"/>
      <c r="J29" s="24"/>
      <c r="K29" s="35">
        <f t="shared" si="0"/>
        <v>12200</v>
      </c>
      <c r="L29" s="26">
        <f>VLOOKUP(K29,Наценка!$A$1:$B$8,2,1)</f>
        <v>1.3</v>
      </c>
      <c r="M29" s="27">
        <f t="shared" si="1"/>
        <v>15860</v>
      </c>
      <c r="N29" s="28">
        <f t="shared" si="2"/>
        <v>15890</v>
      </c>
      <c r="O29" s="24">
        <f>VLOOKUP($B29,'Выгр Торг'!$B:$Q,O$1,0)</f>
        <v>12200</v>
      </c>
      <c r="P29" s="24">
        <f>VLOOKUP($B29,'Выгр Торг'!$B:$Q,P$1,0)</f>
        <v>17890</v>
      </c>
      <c r="Q29" s="18">
        <f t="shared" si="3"/>
        <v>0</v>
      </c>
      <c r="R29" s="18">
        <f t="shared" si="4"/>
        <v>2000</v>
      </c>
      <c r="S29" s="29">
        <f t="shared" si="5"/>
        <v>15890</v>
      </c>
      <c r="T29" s="30">
        <f t="shared" si="6"/>
        <v>0.30245901639344264</v>
      </c>
      <c r="U29" s="30" t="str">
        <f t="shared" si="7"/>
        <v/>
      </c>
      <c r="V29" s="30">
        <f t="shared" si="8"/>
        <v>-1</v>
      </c>
      <c r="W29" s="13">
        <f t="shared" si="11"/>
        <v>0</v>
      </c>
      <c r="X29" s="32">
        <f>IFERROR((VLOOKUP($B29,'Из ГУГЛа'!$B:$Z,X$1,0)+Z29)*Y29,VLOOKUP($B29,'Из ГУГЛа'!$B:$Z,X$1,0))</f>
        <v>0</v>
      </c>
      <c r="Y29" s="33">
        <v>1</v>
      </c>
      <c r="Z29" s="33"/>
      <c r="AA29" s="31"/>
      <c r="AB29" s="31" t="s">
        <v>2315</v>
      </c>
    </row>
    <row r="30" spans="1:28" ht="45" x14ac:dyDescent="0.25">
      <c r="A30" s="25" t="str">
        <f>INDEX('Выгр Торг'!$A:$A,MATCH($B30,'Выгр Торг'!$B:$B,0))</f>
        <v>Дверь задка "АвтоВАЗ" в сборе для Лада Веста SW, SW Cross</v>
      </c>
      <c r="B30" s="24">
        <v>142213</v>
      </c>
      <c r="C30" s="24">
        <f>VLOOKUP($B30,'Выгр Торг'!$B:$Q,C$1,0)</f>
        <v>51584</v>
      </c>
      <c r="D30" s="25" t="str">
        <f>VLOOKUP($B30,'Выгр Торг'!$B:$Q,D$1,0)</f>
        <v>Дверь задка "АвтоВАЗ" в сборе для Лада Веста SW, Веста SW Cross (Без покраски)</v>
      </c>
      <c r="E30" s="24" t="str">
        <f>VLOOKUP($B30,'Выгр Торг'!$B:$Q,E$1,0)</f>
        <v>Y</v>
      </c>
      <c r="F30" s="24">
        <f>VLOOKUP($B30,'Выгр Торг'!$B:$Q,F$1,0)</f>
        <v>0</v>
      </c>
      <c r="G30" s="24" t="str">
        <f>VLOOKUP($B30,'Выгр Торг'!$B:$Q,G$1,0)</f>
        <v>8450102347</v>
      </c>
      <c r="H30" s="24" t="str">
        <f>IF(VLOOKUP($B30,'Выгр Торг'!$B:$Q,H$1,0)=0,"",VLOOKUP($B30,'Выгр Торг'!$B:$Q,H$1,0))</f>
        <v>https://motorring.ru/product/27668-kryshka-bagaghnika-cvet-lada-vesta-sw</v>
      </c>
      <c r="I30" s="24"/>
      <c r="J30" s="24"/>
      <c r="K30" s="35">
        <f t="shared" si="0"/>
        <v>15360</v>
      </c>
      <c r="L30" s="26">
        <f>VLOOKUP(K30,Наценка!$A$1:$B$8,2,1)</f>
        <v>1.3</v>
      </c>
      <c r="M30" s="27">
        <f t="shared" si="1"/>
        <v>19968</v>
      </c>
      <c r="N30" s="28">
        <f t="shared" si="2"/>
        <v>19990</v>
      </c>
      <c r="O30" s="24">
        <f>VLOOKUP($B30,'Выгр Торг'!$B:$Q,O$1,0)</f>
        <v>15360</v>
      </c>
      <c r="P30" s="24">
        <f>VLOOKUP($B30,'Выгр Торг'!$B:$Q,P$1,0)</f>
        <v>20390</v>
      </c>
      <c r="Q30" s="18">
        <f t="shared" si="3"/>
        <v>0</v>
      </c>
      <c r="R30" s="18">
        <f t="shared" si="4"/>
        <v>400</v>
      </c>
      <c r="S30" s="29">
        <f t="shared" si="5"/>
        <v>19990</v>
      </c>
      <c r="T30" s="30">
        <f t="shared" si="6"/>
        <v>0.30143229166666674</v>
      </c>
      <c r="U30" s="30" t="str">
        <f t="shared" si="7"/>
        <v/>
      </c>
      <c r="V30" s="30">
        <f t="shared" si="8"/>
        <v>-1</v>
      </c>
      <c r="W30" s="13">
        <f t="shared" si="11"/>
        <v>0</v>
      </c>
      <c r="X30" s="32">
        <f>IFERROR((VLOOKUP($B30,'Из ГУГЛа'!$B:$Z,X$1,0)+Z30)*Y30,VLOOKUP($B30,'Из ГУГЛа'!$B:$Z,X$1,0))</f>
        <v>0</v>
      </c>
      <c r="Y30" s="33">
        <v>1</v>
      </c>
      <c r="Z30" s="33"/>
      <c r="AA30" s="31"/>
      <c r="AB30" s="31" t="s">
        <v>2323</v>
      </c>
    </row>
    <row r="31" spans="1:28" ht="60" x14ac:dyDescent="0.25">
      <c r="A31" s="25" t="str">
        <f>INDEX('Выгр Торг'!$A:$A,MATCH($B31,'Выгр Торг'!$B:$B,0))</f>
        <v>Дверь задка "АвтоВАЗ" в сборе с отверстием под стеклоочиститель (катафорез) для Лада Гранта FL лифтбек</v>
      </c>
      <c r="B31" s="24">
        <v>265170</v>
      </c>
      <c r="C31" s="24">
        <f>VLOOKUP($B31,'Выгр Торг'!$B:$Q,C$1,0)</f>
        <v>214490</v>
      </c>
      <c r="D31" s="25" t="str">
        <f>VLOOKUP($B31,'Выгр Торг'!$B:$Q,D$1,0)</f>
        <v>Дверь задка "АвтоВАЗ" в сборе с отверстием под стеклоочиститель (катафорез) для Лада Гранта FL лифтбек (Без покраски)</v>
      </c>
      <c r="E31" s="24" t="str">
        <f>VLOOKUP($B31,'Выгр Торг'!$B:$Q,E$1,0)</f>
        <v>Y</v>
      </c>
      <c r="F31" s="24">
        <f>VLOOKUP($B31,'Выгр Торг'!$B:$Q,F$1,0)</f>
        <v>0</v>
      </c>
      <c r="G31" s="24" t="str">
        <f>VLOOKUP($B31,'Выгр Торг'!$B:$Q,G$1,0)</f>
        <v>8450104282</v>
      </c>
      <c r="H31" s="24" t="str">
        <f>IF(VLOOKUP($B31,'Выгр Торг'!$B:$Q,H$1,0)=0,"",VLOOKUP($B31,'Выгр Торг'!$B:$Q,H$1,0))</f>
        <v>https://motorring.ru/product/22748-dvery-bagaghnika-cvet-lada-granta-fl-liftbek</v>
      </c>
      <c r="I31" s="24"/>
      <c r="J31" s="24"/>
      <c r="K31" s="35">
        <f t="shared" si="0"/>
        <v>11656</v>
      </c>
      <c r="L31" s="26">
        <f>VLOOKUP(K31,Наценка!$A$1:$B$8,2,1)</f>
        <v>1.3</v>
      </c>
      <c r="M31" s="27">
        <f t="shared" si="1"/>
        <v>15152.800000000001</v>
      </c>
      <c r="N31" s="28">
        <f t="shared" si="2"/>
        <v>15190</v>
      </c>
      <c r="O31" s="24">
        <f>VLOOKUP($B31,'Выгр Торг'!$B:$Q,O$1,0)</f>
        <v>11656</v>
      </c>
      <c r="P31" s="24">
        <f>VLOOKUP($B31,'Выгр Торг'!$B:$Q,P$1,0)</f>
        <v>15490</v>
      </c>
      <c r="Q31" s="18">
        <f t="shared" si="3"/>
        <v>0</v>
      </c>
      <c r="R31" s="18">
        <f t="shared" si="4"/>
        <v>300</v>
      </c>
      <c r="S31" s="29">
        <f t="shared" si="5"/>
        <v>15190</v>
      </c>
      <c r="T31" s="30">
        <f t="shared" si="6"/>
        <v>0.30319148936170204</v>
      </c>
      <c r="U31" s="30" t="str">
        <f t="shared" si="7"/>
        <v/>
      </c>
      <c r="V31" s="30">
        <f t="shared" si="8"/>
        <v>-1</v>
      </c>
      <c r="W31" s="13">
        <f t="shared" si="11"/>
        <v>0</v>
      </c>
      <c r="X31" s="32">
        <f>IFERROR((VLOOKUP($B31,'Из ГУГЛа'!$B:$Z,X$1,0)+Z31)*Y31,VLOOKUP($B31,'Из ГУГЛа'!$B:$Z,X$1,0))</f>
        <v>0</v>
      </c>
      <c r="Y31" s="33">
        <v>1</v>
      </c>
      <c r="Z31" s="33"/>
      <c r="AA31" s="31"/>
      <c r="AB31" s="31" t="s">
        <v>2331</v>
      </c>
    </row>
    <row r="32" spans="1:28" ht="30" x14ac:dyDescent="0.25">
      <c r="A32" s="25" t="str">
        <f>INDEX('Выгр Торг'!$A:$A,MATCH($B32,'Выгр Торг'!$B:$B,0))</f>
        <v>Дверь задка "АвтоВАЗ" для Лада Веста NG</v>
      </c>
      <c r="B32" s="24">
        <v>244225</v>
      </c>
      <c r="C32" s="24">
        <f>VLOOKUP($B32,'Выгр Торг'!$B:$Q,C$1,0)</f>
        <v>170070</v>
      </c>
      <c r="D32" s="25" t="str">
        <f>VLOOKUP($B32,'Выгр Торг'!$B:$Q,D$1,0)</f>
        <v>Дверь задка "АвтоВАЗ" для Лада Веста NG (Без покраски)</v>
      </c>
      <c r="E32" s="24" t="str">
        <f>VLOOKUP($B32,'Выгр Торг'!$B:$Q,E$1,0)</f>
        <v>Y</v>
      </c>
      <c r="F32" s="24">
        <f>VLOOKUP($B32,'Выгр Торг'!$B:$Q,F$1,0)</f>
        <v>0</v>
      </c>
      <c r="G32" s="24" t="str">
        <f>VLOOKUP($B32,'Выгр Торг'!$B:$Q,G$1,0)</f>
        <v>8450013788</v>
      </c>
      <c r="H32" s="24" t="str">
        <f>IF(VLOOKUP($B32,'Выгр Торг'!$B:$Q,H$1,0)=0,"",VLOOKUP($B32,'Выгр Торг'!$B:$Q,H$1,0))</f>
        <v>https://motorring.ru/product/38245-dvery-bagaghnika-hlopushka-dlya-lada-vesta-sw-ng</v>
      </c>
      <c r="I32" s="24"/>
      <c r="J32" s="24"/>
      <c r="K32" s="35">
        <f t="shared" si="0"/>
        <v>15168</v>
      </c>
      <c r="L32" s="26">
        <f>VLOOKUP(K32,Наценка!$A$1:$B$8,2,1)</f>
        <v>1.3</v>
      </c>
      <c r="M32" s="27">
        <f t="shared" si="1"/>
        <v>19718.400000000001</v>
      </c>
      <c r="N32" s="28">
        <f t="shared" si="2"/>
        <v>19790</v>
      </c>
      <c r="O32" s="24">
        <f>VLOOKUP($B32,'Выгр Торг'!$B:$Q,O$1,0)</f>
        <v>15168</v>
      </c>
      <c r="P32" s="24">
        <f>VLOOKUP($B32,'Выгр Торг'!$B:$Q,P$1,0)</f>
        <v>20290</v>
      </c>
      <c r="Q32" s="18">
        <f t="shared" si="3"/>
        <v>0</v>
      </c>
      <c r="R32" s="18">
        <f t="shared" si="4"/>
        <v>500</v>
      </c>
      <c r="S32" s="29">
        <f t="shared" si="5"/>
        <v>19790</v>
      </c>
      <c r="T32" s="30">
        <f t="shared" si="6"/>
        <v>0.30472046413502119</v>
      </c>
      <c r="U32" s="30" t="str">
        <f t="shared" si="7"/>
        <v/>
      </c>
      <c r="V32" s="30">
        <f t="shared" si="8"/>
        <v>-1</v>
      </c>
      <c r="W32" s="13">
        <f t="shared" si="11"/>
        <v>0</v>
      </c>
      <c r="X32" s="32">
        <f>IFERROR((VLOOKUP($B32,'Из ГУГЛа'!$B:$Z,X$1,0)+Z32)*Y32,VLOOKUP($B32,'Из ГУГЛа'!$B:$Z,X$1,0))</f>
        <v>0</v>
      </c>
      <c r="Y32" s="33">
        <v>1</v>
      </c>
      <c r="Z32" s="33"/>
      <c r="AA32" s="31"/>
      <c r="AB32" s="31" t="s">
        <v>2339</v>
      </c>
    </row>
    <row r="33" spans="1:28" ht="45" x14ac:dyDescent="0.25">
      <c r="A33" s="25" t="str">
        <f>INDEX('Выгр Торг'!$A:$A,MATCH($B33,'Выгр Торг'!$B:$B,0))</f>
        <v>Дверь задняя "АвтоВАЗ" левая в сборе для Лада Веста SW</v>
      </c>
      <c r="B33" s="24">
        <v>244231</v>
      </c>
      <c r="C33" s="24">
        <f>VLOOKUP($B33,'Выгр Торг'!$B:$Q,C$1,0)</f>
        <v>194373</v>
      </c>
      <c r="D33" s="25" t="str">
        <f>VLOOKUP($B33,'Выгр Торг'!$B:$Q,D$1,0)</f>
        <v>Дверь задняя "АвтоВАЗ" левая в сборе для Лада Веста SW (Без отверстий под молдинг, Без покраски)</v>
      </c>
      <c r="E33" s="24" t="str">
        <f>VLOOKUP($B33,'Выгр Торг'!$B:$Q,E$1,0)</f>
        <v>Y</v>
      </c>
      <c r="F33" s="24">
        <f>VLOOKUP($B33,'Выгр Торг'!$B:$Q,F$1,0)</f>
        <v>0</v>
      </c>
      <c r="G33" s="24" t="str">
        <f>VLOOKUP($B33,'Выгр Торг'!$B:$Q,G$1,0)</f>
        <v>8460013101</v>
      </c>
      <c r="H33" s="24" t="str">
        <f>IF(VLOOKUP($B33,'Выгр Торг'!$B:$Q,H$1,0)=0,"",VLOOKUP($B33,'Выгр Торг'!$B:$Q,H$1,0))</f>
        <v>https://motorring.ru/product/27665-dvery-zadnyaya-levaya-cvet-lada-vesta-sw</v>
      </c>
      <c r="I33" s="24"/>
      <c r="J33" s="24"/>
      <c r="K33" s="35">
        <f t="shared" si="0"/>
        <v>25165</v>
      </c>
      <c r="L33" s="26">
        <f>VLOOKUP(K33,Наценка!$A$1:$B$8,2,1)</f>
        <v>1.3</v>
      </c>
      <c r="M33" s="27">
        <f t="shared" si="1"/>
        <v>32714.5</v>
      </c>
      <c r="N33" s="28">
        <f t="shared" si="2"/>
        <v>32790</v>
      </c>
      <c r="O33" s="24">
        <f>VLOOKUP($B33,'Выгр Торг'!$B:$Q,O$1,0)</f>
        <v>25165</v>
      </c>
      <c r="P33" s="24">
        <f>VLOOKUP($B33,'Выгр Торг'!$B:$Q,P$1,0)</f>
        <v>31390</v>
      </c>
      <c r="Q33" s="18">
        <f t="shared" si="3"/>
        <v>0</v>
      </c>
      <c r="R33" s="18">
        <f t="shared" si="4"/>
        <v>-1400</v>
      </c>
      <c r="S33" s="29">
        <f t="shared" si="5"/>
        <v>32790</v>
      </c>
      <c r="T33" s="30">
        <f t="shared" si="6"/>
        <v>0.3030001986886548</v>
      </c>
      <c r="U33" s="30" t="str">
        <f t="shared" si="7"/>
        <v/>
      </c>
      <c r="V33" s="30">
        <f t="shared" si="8"/>
        <v>-1</v>
      </c>
      <c r="W33" s="13">
        <f t="shared" si="11"/>
        <v>0</v>
      </c>
      <c r="X33" s="32">
        <f>IFERROR((VLOOKUP($B33,'Из ГУГЛа'!$B:$Z,X$1,0)+Z33)*Y33,VLOOKUP($B33,'Из ГУГЛа'!$B:$Z,X$1,0))</f>
        <v>0</v>
      </c>
      <c r="Y33" s="33">
        <v>1</v>
      </c>
      <c r="Z33" s="33"/>
      <c r="AA33" s="31"/>
      <c r="AB33" s="31" t="s">
        <v>2347</v>
      </c>
    </row>
    <row r="34" spans="1:28" ht="45" x14ac:dyDescent="0.25">
      <c r="A34" s="25" t="str">
        <f>INDEX('Выгр Торг'!$A:$A,MATCH($B34,'Выгр Торг'!$B:$B,0))</f>
        <v>Дверь задняя "АвтоВАЗ" левая в сборе для Лада Веста SW</v>
      </c>
      <c r="B34" s="24">
        <v>244249</v>
      </c>
      <c r="C34" s="24">
        <f>VLOOKUP($B34,'Выгр Торг'!$B:$Q,C$1,0)</f>
        <v>194374</v>
      </c>
      <c r="D34" s="25" t="str">
        <f>VLOOKUP($B34,'Выгр Торг'!$B:$Q,D$1,0)</f>
        <v>Дверь задняя "АвтоВАЗ" левая в сборе для Лада Веста SW (С отверстиями под молдинг, Без покраски)</v>
      </c>
      <c r="E34" s="24" t="str">
        <f>VLOOKUP($B34,'Выгр Торг'!$B:$Q,E$1,0)</f>
        <v>Y</v>
      </c>
      <c r="F34" s="24">
        <f>VLOOKUP($B34,'Выгр Торг'!$B:$Q,F$1,0)</f>
        <v>0</v>
      </c>
      <c r="G34" s="24" t="str">
        <f>VLOOKUP($B34,'Выгр Торг'!$B:$Q,G$1,0)</f>
        <v>8460013102</v>
      </c>
      <c r="H34" s="24" t="str">
        <f>IF(VLOOKUP($B34,'Выгр Торг'!$B:$Q,H$1,0)=0,"",VLOOKUP($B34,'Выгр Торг'!$B:$Q,H$1,0))</f>
        <v>https://motorring.ru/product/21279-dvery-zadnyaya-levaya-cvet-lada-vesta-sw-kross</v>
      </c>
      <c r="I34" s="24"/>
      <c r="J34" s="24"/>
      <c r="K34" s="35">
        <f t="shared" si="0"/>
        <v>25165</v>
      </c>
      <c r="L34" s="26">
        <f>VLOOKUP(K34,Наценка!$A$1:$B$8,2,1)</f>
        <v>1.3</v>
      </c>
      <c r="M34" s="27">
        <f t="shared" si="1"/>
        <v>32714.5</v>
      </c>
      <c r="N34" s="28">
        <f t="shared" si="2"/>
        <v>32790</v>
      </c>
      <c r="O34" s="24">
        <f>VLOOKUP($B34,'Выгр Торг'!$B:$Q,O$1,0)</f>
        <v>25165</v>
      </c>
      <c r="P34" s="24">
        <f>VLOOKUP($B34,'Выгр Торг'!$B:$Q,P$1,0)</f>
        <v>31490</v>
      </c>
      <c r="Q34" s="18">
        <f t="shared" si="3"/>
        <v>0</v>
      </c>
      <c r="R34" s="18">
        <f t="shared" si="4"/>
        <v>-1300</v>
      </c>
      <c r="S34" s="29">
        <f t="shared" si="5"/>
        <v>32790</v>
      </c>
      <c r="T34" s="30">
        <f t="shared" si="6"/>
        <v>0.3030001986886548</v>
      </c>
      <c r="U34" s="30" t="str">
        <f t="shared" si="7"/>
        <v/>
      </c>
      <c r="V34" s="30">
        <f t="shared" si="8"/>
        <v>-1</v>
      </c>
      <c r="W34" s="13">
        <f t="shared" si="11"/>
        <v>0</v>
      </c>
      <c r="X34" s="32">
        <f>IFERROR((VLOOKUP($B34,'Из ГУГЛа'!$B:$Z,X$1,0)+Z34)*Y34,VLOOKUP($B34,'Из ГУГЛа'!$B:$Z,X$1,0))</f>
        <v>0</v>
      </c>
      <c r="Y34" s="33">
        <v>1</v>
      </c>
      <c r="Z34" s="33"/>
      <c r="AA34" s="31"/>
      <c r="AB34" s="31" t="s">
        <v>2355</v>
      </c>
    </row>
    <row r="35" spans="1:28" ht="45" x14ac:dyDescent="0.25">
      <c r="A35" s="25" t="str">
        <f>INDEX('Выгр Торг'!$A:$A,MATCH($B35,'Выгр Торг'!$B:$B,0))</f>
        <v>Дверь задняя "АвтоВАЗ" правая в сборе для Лада Веста SW</v>
      </c>
      <c r="B35" s="24">
        <v>244267</v>
      </c>
      <c r="C35" s="24">
        <f>VLOOKUP($B35,'Выгр Торг'!$B:$Q,C$1,0)</f>
        <v>194337</v>
      </c>
      <c r="D35" s="25" t="str">
        <f>VLOOKUP($B35,'Выгр Торг'!$B:$Q,D$1,0)</f>
        <v>Дверь задняя "АвтоВАЗ" правая в сборе для Лада Веста SW (Без отверстий под молдинг, Без покраски)</v>
      </c>
      <c r="E35" s="24" t="str">
        <f>VLOOKUP($B35,'Выгр Торг'!$B:$Q,E$1,0)</f>
        <v>Y</v>
      </c>
      <c r="F35" s="24">
        <f>VLOOKUP($B35,'Выгр Торг'!$B:$Q,F$1,0)</f>
        <v>0</v>
      </c>
      <c r="G35" s="24" t="str">
        <f>VLOOKUP($B35,'Выгр Торг'!$B:$Q,G$1,0)</f>
        <v>8460013097</v>
      </c>
      <c r="H35" s="24" t="str">
        <f>IF(VLOOKUP($B35,'Выгр Торг'!$B:$Q,H$1,0)=0,"",VLOOKUP($B35,'Выгр Торг'!$B:$Q,H$1,0))</f>
        <v>https://motorring.ru/product/27664-dvery-zadnyaya-pravaya-cvet-lada-vesta-universal</v>
      </c>
      <c r="I35" s="24"/>
      <c r="J35" s="24"/>
      <c r="K35" s="35">
        <f t="shared" si="0"/>
        <v>25165</v>
      </c>
      <c r="L35" s="26">
        <f>VLOOKUP(K35,Наценка!$A$1:$B$8,2,1)</f>
        <v>1.3</v>
      </c>
      <c r="M35" s="27">
        <f t="shared" si="1"/>
        <v>32714.5</v>
      </c>
      <c r="N35" s="28">
        <f t="shared" si="2"/>
        <v>32790</v>
      </c>
      <c r="O35" s="24">
        <f>VLOOKUP($B35,'Выгр Торг'!$B:$Q,O$1,0)</f>
        <v>25165</v>
      </c>
      <c r="P35" s="24">
        <f>VLOOKUP($B35,'Выгр Торг'!$B:$Q,P$1,0)</f>
        <v>31390</v>
      </c>
      <c r="Q35" s="18">
        <f t="shared" si="3"/>
        <v>0</v>
      </c>
      <c r="R35" s="18">
        <f t="shared" si="4"/>
        <v>-1400</v>
      </c>
      <c r="S35" s="29">
        <f t="shared" si="5"/>
        <v>32790</v>
      </c>
      <c r="T35" s="30">
        <f t="shared" si="6"/>
        <v>0.3030001986886548</v>
      </c>
      <c r="U35" s="30" t="str">
        <f t="shared" si="7"/>
        <v/>
      </c>
      <c r="V35" s="30">
        <f t="shared" si="8"/>
        <v>-1</v>
      </c>
      <c r="W35" s="13">
        <f t="shared" si="11"/>
        <v>0</v>
      </c>
      <c r="X35" s="32">
        <f>IFERROR((VLOOKUP($B35,'Из ГУГЛа'!$B:$Z,X$1,0)+Z35)*Y35,VLOOKUP($B35,'Из ГУГЛа'!$B:$Z,X$1,0))</f>
        <v>0</v>
      </c>
      <c r="Y35" s="33">
        <v>1</v>
      </c>
      <c r="Z35" s="33"/>
      <c r="AA35" s="31"/>
      <c r="AB35" s="31" t="s">
        <v>2363</v>
      </c>
    </row>
    <row r="36" spans="1:28" ht="60" x14ac:dyDescent="0.25">
      <c r="A36" s="25" t="str">
        <f>INDEX('Выгр Торг'!$A:$A,MATCH($B36,'Выгр Торг'!$B:$B,0))</f>
        <v>Дверь задняя "АвтоВАЗ" правая в сборе для Лада Веста SW</v>
      </c>
      <c r="B36" s="24">
        <v>244285</v>
      </c>
      <c r="C36" s="24">
        <f>VLOOKUP($B36,'Выгр Торг'!$B:$Q,C$1,0)</f>
        <v>194338</v>
      </c>
      <c r="D36" s="25" t="str">
        <f>VLOOKUP($B36,'Выгр Торг'!$B:$Q,D$1,0)</f>
        <v>Дверь задняя "АвтоВАЗ" правая в сборе для Лада Веста SW (С отверстиями под молдинг, Без покраски)</v>
      </c>
      <c r="E36" s="24" t="str">
        <f>VLOOKUP($B36,'Выгр Торг'!$B:$Q,E$1,0)</f>
        <v>Y</v>
      </c>
      <c r="F36" s="24">
        <f>VLOOKUP($B36,'Выгр Торг'!$B:$Q,F$1,0)</f>
        <v>0</v>
      </c>
      <c r="G36" s="24" t="str">
        <f>VLOOKUP($B36,'Выгр Торг'!$B:$Q,G$1,0)</f>
        <v>8460013098</v>
      </c>
      <c r="H36" s="24" t="str">
        <f>IF(VLOOKUP($B36,'Выгр Торг'!$B:$Q,H$1,0)=0,"",VLOOKUP($B36,'Выгр Торг'!$B:$Q,H$1,0))</f>
        <v>https://motorring.ru/product/21278-dvery-zadnyaya-pravaya-cvet-lada-vesta-sw-kross</v>
      </c>
      <c r="I36" s="24"/>
      <c r="J36" s="24"/>
      <c r="K36" s="35">
        <f t="shared" si="0"/>
        <v>23919</v>
      </c>
      <c r="L36" s="26">
        <f>VLOOKUP(K36,Наценка!$A$1:$B$8,2,1)</f>
        <v>1.3</v>
      </c>
      <c r="M36" s="27">
        <f t="shared" si="1"/>
        <v>31094.7</v>
      </c>
      <c r="N36" s="28">
        <f t="shared" si="2"/>
        <v>31090</v>
      </c>
      <c r="O36" s="24">
        <f>VLOOKUP($B36,'Выгр Торг'!$B:$Q,O$1,0)</f>
        <v>23919</v>
      </c>
      <c r="P36" s="24">
        <f>VLOOKUP($B36,'Выгр Торг'!$B:$Q,P$1,0)</f>
        <v>34890</v>
      </c>
      <c r="Q36" s="18">
        <f t="shared" si="3"/>
        <v>0</v>
      </c>
      <c r="R36" s="18">
        <f t="shared" si="4"/>
        <v>3800</v>
      </c>
      <c r="S36" s="29">
        <f t="shared" si="5"/>
        <v>31090</v>
      </c>
      <c r="T36" s="30">
        <f t="shared" si="6"/>
        <v>0.29980350349094853</v>
      </c>
      <c r="U36" s="30" t="str">
        <f t="shared" si="7"/>
        <v/>
      </c>
      <c r="V36" s="30">
        <f t="shared" si="8"/>
        <v>-1</v>
      </c>
      <c r="W36" s="13">
        <f t="shared" si="11"/>
        <v>0</v>
      </c>
      <c r="X36" s="32">
        <f>IFERROR((VLOOKUP($B36,'Из ГУГЛа'!$B:$Z,X$1,0)+Z36)*Y36,VLOOKUP($B36,'Из ГУГЛа'!$B:$Z,X$1,0))</f>
        <v>0</v>
      </c>
      <c r="Y36" s="33">
        <v>1</v>
      </c>
      <c r="Z36" s="33"/>
      <c r="AA36" s="31"/>
      <c r="AB36" s="31" t="s">
        <v>2370</v>
      </c>
    </row>
    <row r="37" spans="1:28" ht="45" x14ac:dyDescent="0.25">
      <c r="A37" s="25" t="str">
        <f>INDEX('Выгр Торг'!$A:$A,MATCH($B37,'Выгр Торг'!$B:$B,0))</f>
        <v>Дверь передняя правая "АвтоВАЗ" в сборе для Лада Веста Cross, Веста NG Cross</v>
      </c>
      <c r="B37" s="24">
        <v>244346</v>
      </c>
      <c r="C37" s="24">
        <f>VLOOKUP($B37,'Выгр Торг'!$B:$Q,C$1,0)</f>
        <v>171063</v>
      </c>
      <c r="D37" s="25" t="str">
        <f>VLOOKUP($B37,'Выгр Торг'!$B:$Q,D$1,0)</f>
        <v>Дверь передняя правая "АвтоВАЗ" в сборе для Лада Веста, Веста NG Cross (Без покраски)</v>
      </c>
      <c r="E37" s="24" t="str">
        <f>VLOOKUP($B37,'Выгр Торг'!$B:$Q,E$1,0)</f>
        <v>Y</v>
      </c>
      <c r="F37" s="24">
        <f>VLOOKUP($B37,'Выгр Торг'!$B:$Q,F$1,0)</f>
        <v>0</v>
      </c>
      <c r="G37" s="24" t="str">
        <f>VLOOKUP($B37,'Выгр Торг'!$B:$Q,G$1,0)</f>
        <v>8460013092</v>
      </c>
      <c r="H37" s="24" t="str">
        <f>IF(VLOOKUP($B37,'Выгр Торг'!$B:$Q,H$1,0)=0,"",VLOOKUP($B37,'Выгр Торг'!$B:$Q,H$1,0))</f>
        <v>https://motorring.ru/product/21276-dvery-perednyaya-pravaya-cvet-lada-vesta-kross</v>
      </c>
      <c r="I37" s="24"/>
      <c r="J37" s="24"/>
      <c r="K37" s="35">
        <f t="shared" si="0"/>
        <v>24667</v>
      </c>
      <c r="L37" s="26">
        <f>VLOOKUP(K37,Наценка!$A$1:$B$8,2,1)</f>
        <v>1.3</v>
      </c>
      <c r="M37" s="27">
        <f t="shared" si="1"/>
        <v>32067.100000000002</v>
      </c>
      <c r="N37" s="28">
        <f t="shared" si="2"/>
        <v>32090</v>
      </c>
      <c r="O37" s="24">
        <f>VLOOKUP($B37,'Выгр Торг'!$B:$Q,O$1,0)</f>
        <v>24667</v>
      </c>
      <c r="P37" s="24">
        <f>VLOOKUP($B37,'Выгр Торг'!$B:$Q,P$1,0)</f>
        <v>34890</v>
      </c>
      <c r="Q37" s="18">
        <f t="shared" si="3"/>
        <v>0</v>
      </c>
      <c r="R37" s="18">
        <f t="shared" si="4"/>
        <v>2800</v>
      </c>
      <c r="S37" s="29">
        <f t="shared" si="5"/>
        <v>32090</v>
      </c>
      <c r="T37" s="30">
        <f t="shared" si="6"/>
        <v>0.30092836583289406</v>
      </c>
      <c r="U37" s="30" t="str">
        <f t="shared" si="7"/>
        <v/>
      </c>
      <c r="V37" s="30">
        <f t="shared" si="8"/>
        <v>-1</v>
      </c>
      <c r="W37" s="13">
        <f t="shared" si="11"/>
        <v>0</v>
      </c>
      <c r="X37" s="32">
        <f>IFERROR((VLOOKUP($B37,'Из ГУГЛа'!$B:$Z,X$1,0)+Z37)*Y37,VLOOKUP($B37,'Из ГУГЛа'!$B:$Z,X$1,0))</f>
        <v>0</v>
      </c>
      <c r="Y37" s="33">
        <v>1</v>
      </c>
      <c r="Z37" s="33"/>
      <c r="AA37" s="31"/>
      <c r="AB37" s="31" t="s">
        <v>2378</v>
      </c>
    </row>
    <row r="38" spans="1:28" ht="45" x14ac:dyDescent="0.25">
      <c r="A38" s="25" t="str">
        <f>INDEX('Выгр Торг'!$A:$A,MATCH($B38,'Выгр Торг'!$B:$B,0))</f>
        <v>Заглушка переднего бампера под буксировочный крюк "АвтоВАЗ" для Лада Веста Cross</v>
      </c>
      <c r="B38" s="24">
        <v>258049</v>
      </c>
      <c r="C38" s="24">
        <f>VLOOKUP($B38,'Выгр Торг'!$B:$Q,C$1,0)</f>
        <v>199719</v>
      </c>
      <c r="D38" s="25" t="str">
        <f>VLOOKUP($B38,'Выгр Торг'!$B:$Q,D$1,0)</f>
        <v>Заглушка переднего бампера под буксировочный крюк "АвтоВАЗ" для Лада Веста Cross (Без покраски)</v>
      </c>
      <c r="E38" s="24" t="str">
        <f>VLOOKUP($B38,'Выгр Торг'!$B:$Q,E$1,0)</f>
        <v>Y</v>
      </c>
      <c r="F38" s="24">
        <f>VLOOKUP($B38,'Выгр Торг'!$B:$Q,F$1,0)</f>
        <v>0</v>
      </c>
      <c r="G38" s="24" t="str">
        <f>VLOOKUP($B38,'Выгр Торг'!$B:$Q,G$1,0)</f>
        <v>8450031005</v>
      </c>
      <c r="H38" s="24" t="str">
        <f>IF(VLOOKUP($B38,'Выгр Торг'!$B:$Q,H$1,0)=0,"",VLOOKUP($B38,'Выгр Торг'!$B:$Q,H$1,0))</f>
        <v>https://motorring.ru/product/18608-zaglushka-perednego-bampera-lada-vesta-kross</v>
      </c>
      <c r="I38" s="24"/>
      <c r="J38" s="24"/>
      <c r="K38" s="35">
        <f t="shared" si="0"/>
        <v>218</v>
      </c>
      <c r="L38" s="26">
        <f>VLOOKUP(K38,Наценка!$A$1:$B$8,2,1)</f>
        <v>1.8</v>
      </c>
      <c r="M38" s="27">
        <f t="shared" si="1"/>
        <v>392.40000000000003</v>
      </c>
      <c r="N38" s="28">
        <f t="shared" si="2"/>
        <v>399</v>
      </c>
      <c r="O38" s="24">
        <f>VLOOKUP($B38,'Выгр Торг'!$B:$Q,O$1,0)</f>
        <v>218</v>
      </c>
      <c r="P38" s="24">
        <f>VLOOKUP($B38,'Выгр Торг'!$B:$Q,P$1,0)</f>
        <v>409</v>
      </c>
      <c r="Q38" s="18">
        <f t="shared" si="3"/>
        <v>0</v>
      </c>
      <c r="R38" s="18">
        <f t="shared" si="4"/>
        <v>10</v>
      </c>
      <c r="S38" s="29">
        <f t="shared" si="5"/>
        <v>399</v>
      </c>
      <c r="T38" s="30">
        <f t="shared" si="6"/>
        <v>0.83027522935779818</v>
      </c>
      <c r="U38" s="30" t="str">
        <f t="shared" si="7"/>
        <v/>
      </c>
      <c r="V38" s="30">
        <f t="shared" si="8"/>
        <v>-1</v>
      </c>
      <c r="W38" s="13">
        <f t="shared" si="11"/>
        <v>0</v>
      </c>
      <c r="X38" s="32">
        <f>IFERROR((VLOOKUP($B38,'Из ГУГЛа'!$B:$Z,X$1,0)+Z38)*Y38,VLOOKUP($B38,'Из ГУГЛа'!$B:$Z,X$1,0))</f>
        <v>0</v>
      </c>
      <c r="Y38" s="33">
        <v>1</v>
      </c>
      <c r="Z38" s="33"/>
      <c r="AA38" s="31"/>
      <c r="AB38" s="31" t="s">
        <v>2386</v>
      </c>
    </row>
    <row r="39" spans="1:28" ht="45" x14ac:dyDescent="0.25">
      <c r="A39" s="25" t="str">
        <f>INDEX('Выгр Торг'!$A:$A,MATCH($B39,'Выгр Торг'!$B:$B,0))</f>
        <v>Заглушка переднего бампера под буксировочный крюк "АвтоВАЗ" для Лада Веста NG</v>
      </c>
      <c r="B39" s="24">
        <v>258062</v>
      </c>
      <c r="C39" s="24">
        <f>VLOOKUP($B39,'Выгр Торг'!$B:$Q,C$1,0)</f>
        <v>201441</v>
      </c>
      <c r="D39" s="25" t="str">
        <f>VLOOKUP($B39,'Выгр Торг'!$B:$Q,D$1,0)</f>
        <v>Заглушка переднего бампера под буксировочный крюк "АвтоВАЗ" для Лада Веста NG (Без покраски)</v>
      </c>
      <c r="E39" s="24" t="str">
        <f>VLOOKUP($B39,'Выгр Торг'!$B:$Q,E$1,0)</f>
        <v>Y</v>
      </c>
      <c r="F39" s="24">
        <f>VLOOKUP($B39,'Выгр Торг'!$B:$Q,F$1,0)</f>
        <v>0</v>
      </c>
      <c r="G39" s="24" t="str">
        <f>VLOOKUP($B39,'Выгр Торг'!$B:$Q,G$1,0)</f>
        <v>8450040057</v>
      </c>
      <c r="H39" s="24" t="str">
        <f>IF(VLOOKUP($B39,'Выгр Торг'!$B:$Q,H$1,0)=0,"",VLOOKUP($B39,'Выгр Торг'!$B:$Q,H$1,0))</f>
        <v/>
      </c>
      <c r="I39" s="24"/>
      <c r="J39" s="24"/>
      <c r="K39" s="35">
        <f t="shared" si="0"/>
        <v>24</v>
      </c>
      <c r="L39" s="26">
        <f>VLOOKUP(K39,Наценка!$A$1:$B$8,2,1)</f>
        <v>2</v>
      </c>
      <c r="M39" s="27">
        <f t="shared" si="1"/>
        <v>48</v>
      </c>
      <c r="N39" s="28">
        <f t="shared" si="2"/>
        <v>49</v>
      </c>
      <c r="O39" s="24">
        <f>VLOOKUP($B39,'Выгр Торг'!$B:$Q,O$1,0)</f>
        <v>24</v>
      </c>
      <c r="P39" s="24">
        <f>VLOOKUP($B39,'Выгр Торг'!$B:$Q,P$1,0)</f>
        <v>49</v>
      </c>
      <c r="Q39" s="18">
        <f t="shared" si="3"/>
        <v>0</v>
      </c>
      <c r="R39" s="18">
        <f t="shared" si="4"/>
        <v>0</v>
      </c>
      <c r="S39" s="29">
        <f t="shared" si="5"/>
        <v>49</v>
      </c>
      <c r="T39" s="30">
        <f t="shared" si="6"/>
        <v>1.0416666666666665</v>
      </c>
      <c r="U39" s="30" t="str">
        <f t="shared" si="7"/>
        <v/>
      </c>
      <c r="V39" s="30" t="str">
        <f t="shared" si="8"/>
        <v/>
      </c>
      <c r="W39" s="31"/>
      <c r="X39" s="32">
        <f>IFERROR((VLOOKUP($B39,'Из ГУГЛа'!$B:$Z,X$1,0)+Z39)*Y39,VLOOKUP($B39,'Из ГУГЛа'!$B:$Z,X$1,0))</f>
        <v>0</v>
      </c>
      <c r="Y39" s="33">
        <v>1</v>
      </c>
      <c r="Z39" s="33"/>
      <c r="AA39" s="63" t="s">
        <v>4170</v>
      </c>
      <c r="AB39" s="31" t="s">
        <v>4167</v>
      </c>
    </row>
    <row r="40" spans="1:28" ht="45" x14ac:dyDescent="0.25">
      <c r="A40" s="25" t="str">
        <f>INDEX('Выгр Торг'!$A:$A,MATCH($B40,'Выгр Торг'!$B:$B,0))</f>
        <v>Заглушка переднего бампера под буксировочный крюк "АвтоВАЗ" для Лада Веста Спорт</v>
      </c>
      <c r="B40" s="24">
        <v>258069</v>
      </c>
      <c r="C40" s="24">
        <f>VLOOKUP($B40,'Выгр Торг'!$B:$Q,C$1,0)</f>
        <v>203084</v>
      </c>
      <c r="D40" s="25" t="str">
        <f>VLOOKUP($B40,'Выгр Торг'!$B:$Q,D$1,0)</f>
        <v>Заглушка переднего бампера под буксировочный крюк "АвтоВАЗ" для Лада Веста Спорт (Без покраски)</v>
      </c>
      <c r="E40" s="24" t="str">
        <f>VLOOKUP($B40,'Выгр Торг'!$B:$Q,E$1,0)</f>
        <v>Y</v>
      </c>
      <c r="F40" s="24">
        <f>VLOOKUP($B40,'Выгр Торг'!$B:$Q,F$1,0)</f>
        <v>0</v>
      </c>
      <c r="G40" s="24" t="str">
        <f>VLOOKUP($B40,'Выгр Торг'!$B:$Q,G$1,0)</f>
        <v>8450038550</v>
      </c>
      <c r="H40" s="24" t="str">
        <f>IF(VLOOKUP($B40,'Выгр Торг'!$B:$Q,H$1,0)=0,"",VLOOKUP($B40,'Выгр Торг'!$B:$Q,H$1,0))</f>
        <v/>
      </c>
      <c r="I40" s="24"/>
      <c r="J40" s="24"/>
      <c r="K40" s="35">
        <f t="shared" si="0"/>
        <v>154</v>
      </c>
      <c r="L40" s="26">
        <f>VLOOKUP(K40,Наценка!$A$1:$B$8,2,1)</f>
        <v>1.8</v>
      </c>
      <c r="M40" s="27">
        <f t="shared" si="1"/>
        <v>277.2</v>
      </c>
      <c r="N40" s="28">
        <f t="shared" si="2"/>
        <v>279</v>
      </c>
      <c r="O40" s="24">
        <f>VLOOKUP($B40,'Выгр Торг'!$B:$Q,O$1,0)</f>
        <v>154</v>
      </c>
      <c r="P40" s="24">
        <f>VLOOKUP($B40,'Выгр Торг'!$B:$Q,P$1,0)</f>
        <v>289</v>
      </c>
      <c r="Q40" s="18">
        <f t="shared" si="3"/>
        <v>0</v>
      </c>
      <c r="R40" s="18">
        <f t="shared" si="4"/>
        <v>10</v>
      </c>
      <c r="S40" s="29">
        <f t="shared" si="5"/>
        <v>279</v>
      </c>
      <c r="T40" s="30">
        <f t="shared" si="6"/>
        <v>0.81168831168831179</v>
      </c>
      <c r="U40" s="30" t="str">
        <f t="shared" si="7"/>
        <v/>
      </c>
      <c r="V40" s="30" t="str">
        <f t="shared" si="8"/>
        <v/>
      </c>
      <c r="W40" s="31"/>
      <c r="X40" s="32">
        <f>IFERROR((VLOOKUP($B40,'Из ГУГЛа'!$B:$Z,X$1,0)+Z40)*Y40,VLOOKUP($B40,'Из ГУГЛа'!$B:$Z,X$1,0))</f>
        <v>0</v>
      </c>
      <c r="Y40" s="33">
        <v>1</v>
      </c>
      <c r="Z40" s="33"/>
      <c r="AA40" s="63" t="s">
        <v>4170</v>
      </c>
      <c r="AB40" s="31" t="s">
        <v>4167</v>
      </c>
    </row>
    <row r="41" spans="1:28" ht="45" x14ac:dyDescent="0.25">
      <c r="A41" s="25" t="str">
        <f>INDEX('Выгр Торг'!$A:$A,MATCH($B41,'Выгр Торг'!$B:$B,0))</f>
        <v>Заглушка переднего бампера под буксировочный крюк для Лада Ларгус FL</v>
      </c>
      <c r="B41" s="24">
        <v>244635</v>
      </c>
      <c r="C41" s="24">
        <f>VLOOKUP($B41,'Выгр Торг'!$B:$Q,C$1,0)</f>
        <v>173101</v>
      </c>
      <c r="D41" s="25" t="str">
        <f>VLOOKUP($B41,'Выгр Торг'!$B:$Q,D$1,0)</f>
        <v>Заглушка переднего бампера под буксировочный крюк (без покраски) для Лада Ларгус FL</v>
      </c>
      <c r="E41" s="24" t="str">
        <f>VLOOKUP($B41,'Выгр Торг'!$B:$Q,E$1,0)</f>
        <v>Y</v>
      </c>
      <c r="F41" s="24">
        <f>VLOOKUP($B41,'Выгр Торг'!$B:$Q,F$1,0)</f>
        <v>0</v>
      </c>
      <c r="G41" s="24" t="str">
        <f>VLOOKUP($B41,'Выгр Торг'!$B:$Q,G$1,0)</f>
        <v>8450091013</v>
      </c>
      <c r="H41" s="24" t="str">
        <f>IF(VLOOKUP($B41,'Выгр Торг'!$B:$Q,H$1,0)=0,"",VLOOKUP($B41,'Выгр Торг'!$B:$Q,H$1,0))</f>
        <v/>
      </c>
      <c r="I41" s="24"/>
      <c r="J41" s="24"/>
      <c r="K41" s="35">
        <f t="shared" si="0"/>
        <v>220</v>
      </c>
      <c r="L41" s="26">
        <f>VLOOKUP(K41,Наценка!$A$1:$B$8,2,1)</f>
        <v>1.8</v>
      </c>
      <c r="M41" s="27">
        <f t="shared" si="1"/>
        <v>396</v>
      </c>
      <c r="N41" s="28">
        <f t="shared" si="2"/>
        <v>399</v>
      </c>
      <c r="O41" s="24">
        <f>VLOOKUP($B41,'Выгр Торг'!$B:$Q,O$1,0)</f>
        <v>220</v>
      </c>
      <c r="P41" s="24">
        <f>VLOOKUP($B41,'Выгр Торг'!$B:$Q,P$1,0)</f>
        <v>409</v>
      </c>
      <c r="Q41" s="18">
        <f t="shared" si="3"/>
        <v>0</v>
      </c>
      <c r="R41" s="18">
        <f t="shared" si="4"/>
        <v>10</v>
      </c>
      <c r="S41" s="29">
        <f t="shared" si="5"/>
        <v>399</v>
      </c>
      <c r="T41" s="30">
        <f t="shared" si="6"/>
        <v>0.81363636363636371</v>
      </c>
      <c r="U41" s="30" t="str">
        <f t="shared" si="7"/>
        <v/>
      </c>
      <c r="V41" s="30" t="str">
        <f t="shared" si="8"/>
        <v/>
      </c>
      <c r="W41" s="31"/>
      <c r="X41" s="32">
        <f>IFERROR((VLOOKUP($B41,'Из ГУГЛа'!$B:$Z,X$1,0)+Z41)*Y41,VLOOKUP($B41,'Из ГУГЛа'!$B:$Z,X$1,0))</f>
        <v>0</v>
      </c>
      <c r="Y41" s="33">
        <v>1</v>
      </c>
      <c r="Z41" s="33"/>
      <c r="AA41" s="63" t="s">
        <v>4170</v>
      </c>
      <c r="AB41" s="31" t="s">
        <v>4167</v>
      </c>
    </row>
    <row r="42" spans="1:28" ht="30" x14ac:dyDescent="0.25">
      <c r="A42" s="25" t="str">
        <f>INDEX('Выгр Торг'!$A:$A,MATCH($B42,'Выгр Торг'!$B:$B,0))</f>
        <v>Задний бампер "АвтоВАЗ" для Лада Нива Travel</v>
      </c>
      <c r="B42" s="24">
        <v>244702</v>
      </c>
      <c r="C42" s="24">
        <f>VLOOKUP($B42,'Выгр Торг'!$B:$Q,C$1,0)</f>
        <v>174412</v>
      </c>
      <c r="D42" s="25" t="str">
        <f>VLOOKUP($B42,'Выгр Торг'!$B:$Q,D$1,0)</f>
        <v>Задний бампер "АвтоВАЗ" для Лада Нива Travel (Без покраски)</v>
      </c>
      <c r="E42" s="24" t="str">
        <f>VLOOKUP($B42,'Выгр Торг'!$B:$Q,E$1,0)</f>
        <v>Y</v>
      </c>
      <c r="F42" s="24">
        <f>VLOOKUP($B42,'Выгр Торг'!$B:$Q,F$1,0)</f>
        <v>0</v>
      </c>
      <c r="G42" s="24" t="str">
        <f>VLOOKUP($B42,'Выгр Торг'!$B:$Q,G$1,0)</f>
        <v>8460010159</v>
      </c>
      <c r="H42" s="24" t="str">
        <f>IF(VLOOKUP($B42,'Выгр Торг'!$B:$Q,H$1,0)=0,"",VLOOKUP($B42,'Выгр Торг'!$B:$Q,H$1,0))</f>
        <v>https://motorring.ru/product/35690-bamper-zadniy-neokrashennyy-ppi-dlya-lada-niva-trevel</v>
      </c>
      <c r="I42" s="24"/>
      <c r="J42" s="24"/>
      <c r="K42" s="35">
        <f t="shared" si="0"/>
        <v>8000</v>
      </c>
      <c r="L42" s="26">
        <f>VLOOKUP(K42,Наценка!$A$1:$B$8,2,1)</f>
        <v>1.35</v>
      </c>
      <c r="M42" s="27">
        <f t="shared" si="1"/>
        <v>10800</v>
      </c>
      <c r="N42" s="28">
        <f t="shared" si="2"/>
        <v>10790</v>
      </c>
      <c r="O42" s="24">
        <f>VLOOKUP($B42,'Выгр Торг'!$B:$Q,O$1,0)</f>
        <v>8000</v>
      </c>
      <c r="P42" s="24">
        <f>VLOOKUP($B42,'Выгр Торг'!$B:$Q,P$1,0)</f>
        <v>9990</v>
      </c>
      <c r="Q42" s="18">
        <f t="shared" si="3"/>
        <v>0</v>
      </c>
      <c r="R42" s="18">
        <f t="shared" si="4"/>
        <v>-800</v>
      </c>
      <c r="S42" s="29">
        <f t="shared" si="5"/>
        <v>10790</v>
      </c>
      <c r="T42" s="30">
        <f t="shared" si="6"/>
        <v>0.34874999999999989</v>
      </c>
      <c r="U42" s="30" t="str">
        <f t="shared" si="7"/>
        <v/>
      </c>
      <c r="V42" s="30">
        <f t="shared" si="8"/>
        <v>-1</v>
      </c>
      <c r="W42" s="13">
        <f>AA42</f>
        <v>0</v>
      </c>
      <c r="X42" s="32">
        <f>IFERROR((VLOOKUP($B42,'Из ГУГЛа'!$B:$Z,X$1,0)+Z42)*Y42,VLOOKUP($B42,'Из ГУГЛа'!$B:$Z,X$1,0))</f>
        <v>0</v>
      </c>
      <c r="Y42" s="33">
        <v>1</v>
      </c>
      <c r="Z42" s="33"/>
      <c r="AA42" s="31"/>
      <c r="AB42" s="31" t="s">
        <v>2414</v>
      </c>
    </row>
    <row r="43" spans="1:28" ht="60" x14ac:dyDescent="0.25">
      <c r="A43" s="25" t="str">
        <f>INDEX('Выгр Торг'!$A:$A,MATCH($B43,'Выгр Торг'!$B:$B,0))</f>
        <v>Задний бампер "АвтоВАЗ" с кронштейнами под парктроник (4 отверстия) для Лада Веста NG</v>
      </c>
      <c r="B43" s="24">
        <v>147054</v>
      </c>
      <c r="C43" s="24">
        <f>VLOOKUP($B43,'Выгр Торг'!$B:$Q,C$1,0)</f>
        <v>168197</v>
      </c>
      <c r="D43" s="25" t="str">
        <f>VLOOKUP($B43,'Выгр Торг'!$B:$Q,D$1,0)</f>
        <v>Задний бампер "АвтоВАЗ" с кронштейнами под парктроник (4 отверстия) для Лада Веста NG (Без покраски)</v>
      </c>
      <c r="E43" s="24" t="str">
        <f>VLOOKUP($B43,'Выгр Торг'!$B:$Q,E$1,0)</f>
        <v>Y</v>
      </c>
      <c r="F43" s="24">
        <f>VLOOKUP($B43,'Выгр Торг'!$B:$Q,F$1,0)</f>
        <v>0</v>
      </c>
      <c r="G43" s="24" t="str">
        <f>VLOOKUP($B43,'Выгр Торг'!$B:$Q,G$1,0)</f>
        <v>8460008780</v>
      </c>
      <c r="H43" s="24" t="str">
        <f>IF(VLOOKUP($B43,'Выгр Торг'!$B:$Q,H$1,0)=0,"",VLOOKUP($B43,'Выгр Торг'!$B:$Q,H$1,0))</f>
        <v/>
      </c>
      <c r="I43" s="24"/>
      <c r="J43" s="24"/>
      <c r="K43" s="35">
        <f t="shared" si="0"/>
        <v>6198</v>
      </c>
      <c r="L43" s="26">
        <f>VLOOKUP(K43,Наценка!$A$1:$B$8,2,1)</f>
        <v>1.35</v>
      </c>
      <c r="M43" s="27">
        <f t="shared" si="1"/>
        <v>8367.3000000000011</v>
      </c>
      <c r="N43" s="28">
        <f t="shared" si="2"/>
        <v>8390</v>
      </c>
      <c r="O43" s="24">
        <f>VLOOKUP($B43,'Выгр Торг'!$B:$Q,O$1,0)</f>
        <v>6198</v>
      </c>
      <c r="P43" s="24">
        <f>VLOOKUP($B43,'Выгр Торг'!$B:$Q,P$1,0)</f>
        <v>8590</v>
      </c>
      <c r="Q43" s="18">
        <f t="shared" si="3"/>
        <v>0</v>
      </c>
      <c r="R43" s="18">
        <f t="shared" si="4"/>
        <v>200</v>
      </c>
      <c r="S43" s="29">
        <f t="shared" si="5"/>
        <v>8390</v>
      </c>
      <c r="T43" s="30">
        <f t="shared" si="6"/>
        <v>0.35366247176508558</v>
      </c>
      <c r="U43" s="30" t="str">
        <f t="shared" si="7"/>
        <v/>
      </c>
      <c r="V43" s="30" t="str">
        <f t="shared" si="8"/>
        <v/>
      </c>
      <c r="W43" s="31"/>
      <c r="X43" s="32">
        <f>IFERROR((VLOOKUP($B43,'Из ГУГЛа'!$B:$Z,X$1,0)+Z43)*Y43,VLOOKUP($B43,'Из ГУГЛа'!$B:$Z,X$1,0))</f>
        <v>0</v>
      </c>
      <c r="Y43" s="33">
        <v>1</v>
      </c>
      <c r="Z43" s="33"/>
      <c r="AA43" s="63" t="s">
        <v>4170</v>
      </c>
      <c r="AB43" s="31" t="s">
        <v>4167</v>
      </c>
    </row>
    <row r="44" spans="1:28" ht="45" x14ac:dyDescent="0.25">
      <c r="A44" s="25" t="str">
        <f>INDEX('Выгр Торг'!$A:$A,MATCH($B44,'Выгр Торг'!$B:$B,0))</f>
        <v>Задний бампер в цвет кузова Лада Калина 2 универсал</v>
      </c>
      <c r="B44" s="24">
        <v>266410</v>
      </c>
      <c r="C44" s="24">
        <f>VLOOKUP($B44,'Выгр Торг'!$B:$Q,C$1,0)</f>
        <v>217331</v>
      </c>
      <c r="D44" s="25" t="str">
        <f>VLOOKUP($B44,'Выгр Торг'!$B:$Q,D$1,0)</f>
        <v>Задний бампер в цвет кузова Лада Калина 2 универсал (Без отверстий под парктроники Без покраски)</v>
      </c>
      <c r="E44" s="24" t="str">
        <f>VLOOKUP($B44,'Выгр Торг'!$B:$Q,E$1,0)</f>
        <v>Y</v>
      </c>
      <c r="F44" s="24">
        <f>VLOOKUP($B44,'Выгр Торг'!$B:$Q,F$1,0)</f>
        <v>0</v>
      </c>
      <c r="G44" s="24" t="str">
        <f>VLOOKUP($B44,'Выгр Торг'!$B:$Q,G$1,0)</f>
        <v>21940280401501</v>
      </c>
      <c r="H44" s="24" t="str">
        <f>IF(VLOOKUP($B44,'Выгр Торг'!$B:$Q,H$1,0)=0,"",VLOOKUP($B44,'Выгр Торг'!$B:$Q,H$1,0))</f>
        <v>https://motorring.ru/product/16105-zadniy-bamper-lada-kalina-universal</v>
      </c>
      <c r="I44" s="24"/>
      <c r="J44" s="24"/>
      <c r="K44" s="35">
        <f t="shared" si="0"/>
        <v>3729</v>
      </c>
      <c r="L44" s="26">
        <f>VLOOKUP(K44,Наценка!$A$1:$B$8,2,1)</f>
        <v>1.4</v>
      </c>
      <c r="M44" s="27">
        <f t="shared" si="1"/>
        <v>5220.5999999999995</v>
      </c>
      <c r="N44" s="28">
        <f t="shared" si="2"/>
        <v>5290</v>
      </c>
      <c r="O44" s="24">
        <f>VLOOKUP($B44,'Выгр Торг'!$B:$Q,O$1,0)</f>
        <v>3729</v>
      </c>
      <c r="P44" s="24">
        <f>VLOOKUP($B44,'Выгр Торг'!$B:$Q,P$1,0)</f>
        <v>5790</v>
      </c>
      <c r="Q44" s="18">
        <f t="shared" si="3"/>
        <v>0</v>
      </c>
      <c r="R44" s="18">
        <f t="shared" si="4"/>
        <v>500</v>
      </c>
      <c r="S44" s="29">
        <f t="shared" si="5"/>
        <v>5290</v>
      </c>
      <c r="T44" s="30">
        <f t="shared" si="6"/>
        <v>0.41861088763743637</v>
      </c>
      <c r="U44" s="30" t="str">
        <f t="shared" si="7"/>
        <v/>
      </c>
      <c r="V44" s="30">
        <f t="shared" si="8"/>
        <v>-1</v>
      </c>
      <c r="W44" s="13">
        <f t="shared" ref="W44:W81" si="12">AA44</f>
        <v>0</v>
      </c>
      <c r="X44" s="32">
        <f>IFERROR((VLOOKUP($B44,'Из ГУГЛа'!$B:$Z,X$1,0)+Z44)*Y44,VLOOKUP($B44,'Из ГУГЛа'!$B:$Z,X$1,0))</f>
        <v>0</v>
      </c>
      <c r="Y44" s="33">
        <v>1</v>
      </c>
      <c r="Z44" s="33"/>
      <c r="AA44" s="31"/>
      <c r="AB44" s="31" t="s">
        <v>2429</v>
      </c>
    </row>
    <row r="45" spans="1:28" ht="45" x14ac:dyDescent="0.25">
      <c r="A45" s="25" t="str">
        <f>INDEX('Выгр Торг'!$A:$A,MATCH($B45,'Выгр Торг'!$B:$B,0))</f>
        <v>Задний бампер в цвет кузова Лада Калина 2 универсал</v>
      </c>
      <c r="B45" s="24">
        <v>266442</v>
      </c>
      <c r="C45" s="24">
        <f>VLOOKUP($B45,'Выгр Торг'!$B:$Q,C$1,0)</f>
        <v>173070</v>
      </c>
      <c r="D45" s="25" t="str">
        <f>VLOOKUP($B45,'Выгр Торг'!$B:$Q,D$1,0)</f>
        <v>Задний бампер в цвет кузова Лада Калина 2 универсал (С отверстиями под парктроник, Без покраски)</v>
      </c>
      <c r="E45" s="24" t="str">
        <f>VLOOKUP($B45,'Выгр Торг'!$B:$Q,E$1,0)</f>
        <v>Y</v>
      </c>
      <c r="F45" s="24">
        <f>VLOOKUP($B45,'Выгр Торг'!$B:$Q,F$1,0)</f>
        <v>0</v>
      </c>
      <c r="G45" s="24" t="str">
        <f>VLOOKUP($B45,'Выгр Торг'!$B:$Q,G$1,0)</f>
        <v>21940280401511</v>
      </c>
      <c r="H45" s="24" t="str">
        <f>IF(VLOOKUP($B45,'Выгр Торг'!$B:$Q,H$1,0)=0,"",VLOOKUP($B45,'Выгр Торг'!$B:$Q,H$1,0))</f>
        <v>https://motorring.ru/product/16105-zadniy-bamper-lada-kalina-universal</v>
      </c>
      <c r="I45" s="24"/>
      <c r="J45" s="24"/>
      <c r="K45" s="35">
        <f t="shared" si="0"/>
        <v>3503</v>
      </c>
      <c r="L45" s="26">
        <f>VLOOKUP(K45,Наценка!$A$1:$B$8,2,1)</f>
        <v>1.4</v>
      </c>
      <c r="M45" s="27">
        <f t="shared" si="1"/>
        <v>4904.2</v>
      </c>
      <c r="N45" s="28">
        <f t="shared" si="2"/>
        <v>4990</v>
      </c>
      <c r="O45" s="24">
        <f>VLOOKUP($B45,'Выгр Торг'!$B:$Q,O$1,0)</f>
        <v>3503</v>
      </c>
      <c r="P45" s="24">
        <f>VLOOKUP($B45,'Выгр Торг'!$B:$Q,P$1,0)</f>
        <v>5790</v>
      </c>
      <c r="Q45" s="18">
        <f t="shared" si="3"/>
        <v>0</v>
      </c>
      <c r="R45" s="18">
        <f t="shared" si="4"/>
        <v>800</v>
      </c>
      <c r="S45" s="29">
        <f t="shared" si="5"/>
        <v>4990</v>
      </c>
      <c r="T45" s="30">
        <f t="shared" si="6"/>
        <v>0.42449329146445902</v>
      </c>
      <c r="U45" s="30" t="str">
        <f t="shared" si="7"/>
        <v/>
      </c>
      <c r="V45" s="30">
        <f t="shared" si="8"/>
        <v>-1</v>
      </c>
      <c r="W45" s="13">
        <f t="shared" si="12"/>
        <v>0</v>
      </c>
      <c r="X45" s="32">
        <f>IFERROR((VLOOKUP($B45,'Из ГУГЛа'!$B:$Z,X$1,0)+Z45)*Y45,VLOOKUP($B45,'Из ГУГЛа'!$B:$Z,X$1,0))</f>
        <v>0</v>
      </c>
      <c r="Y45" s="33">
        <v>1</v>
      </c>
      <c r="Z45" s="33"/>
      <c r="AA45" s="31"/>
      <c r="AB45" s="31" t="s">
        <v>2429</v>
      </c>
    </row>
    <row r="46" spans="1:28" ht="30" x14ac:dyDescent="0.25">
      <c r="A46" s="25" t="str">
        <f>INDEX('Выгр Торг'!$A:$A,MATCH($B46,'Выгр Торг'!$B:$B,0))</f>
        <v>Задний бампер для ВАЗ 2110</v>
      </c>
      <c r="B46" s="24">
        <v>244834</v>
      </c>
      <c r="C46" s="24">
        <f>VLOOKUP($B46,'Выгр Торг'!$B:$Q,C$1,0)</f>
        <v>173927</v>
      </c>
      <c r="D46" s="25" t="str">
        <f>VLOOKUP($B46,'Выгр Торг'!$B:$Q,D$1,0)</f>
        <v>Задний бампер для ВАЗ 2110 (Без покраски)</v>
      </c>
      <c r="E46" s="24" t="str">
        <f>VLOOKUP($B46,'Выгр Торг'!$B:$Q,E$1,0)</f>
        <v>Y</v>
      </c>
      <c r="F46" s="24">
        <f>VLOOKUP($B46,'Выгр Торг'!$B:$Q,F$1,0)</f>
        <v>0</v>
      </c>
      <c r="G46" s="24" t="str">
        <f>VLOOKUP($B46,'Выгр Торг'!$B:$Q,G$1,0)</f>
        <v>211002804015</v>
      </c>
      <c r="H46" s="24" t="str">
        <f>IF(VLOOKUP($B46,'Выгр Торг'!$B:$Q,H$1,0)=0,"",VLOOKUP($B46,'Выгр Торг'!$B:$Q,H$1,0))</f>
        <v>https://motorring.ru/product/16085-zadniy-bamper-vaz-2110</v>
      </c>
      <c r="I46" s="24"/>
      <c r="J46" s="24"/>
      <c r="K46" s="35">
        <f t="shared" si="0"/>
        <v>2900</v>
      </c>
      <c r="L46" s="26">
        <f>VLOOKUP(K46,Наценка!$A$1:$B$8,2,1)</f>
        <v>1.4</v>
      </c>
      <c r="M46" s="27">
        <f t="shared" si="1"/>
        <v>4059.9999999999995</v>
      </c>
      <c r="N46" s="28">
        <f t="shared" si="2"/>
        <v>4090</v>
      </c>
      <c r="O46" s="24">
        <f>VLOOKUP($B46,'Выгр Торг'!$B:$Q,O$1,0)</f>
        <v>2900</v>
      </c>
      <c r="P46" s="24">
        <f>VLOOKUP($B46,'Выгр Торг'!$B:$Q,P$1,0)</f>
        <v>4190</v>
      </c>
      <c r="Q46" s="18">
        <f t="shared" si="3"/>
        <v>0</v>
      </c>
      <c r="R46" s="18">
        <f t="shared" si="4"/>
        <v>100</v>
      </c>
      <c r="S46" s="29">
        <f t="shared" si="5"/>
        <v>4090</v>
      </c>
      <c r="T46" s="30">
        <f t="shared" si="6"/>
        <v>0.41034482758620694</v>
      </c>
      <c r="U46" s="30" t="str">
        <f t="shared" si="7"/>
        <v/>
      </c>
      <c r="V46" s="30">
        <f t="shared" si="8"/>
        <v>-1</v>
      </c>
      <c r="W46" s="13">
        <f t="shared" si="12"/>
        <v>0</v>
      </c>
      <c r="X46" s="32">
        <f>IFERROR((VLOOKUP($B46,'Из ГУГЛа'!$B:$Z,X$1,0)+Z46)*Y46,VLOOKUP($B46,'Из ГУГЛа'!$B:$Z,X$1,0))</f>
        <v>0</v>
      </c>
      <c r="Y46" s="33">
        <v>1</v>
      </c>
      <c r="Z46" s="33"/>
      <c r="AA46" s="31"/>
      <c r="AB46" s="31" t="s">
        <v>2445</v>
      </c>
    </row>
    <row r="47" spans="1:28" ht="30" x14ac:dyDescent="0.25">
      <c r="A47" s="25" t="str">
        <f>INDEX('Выгр Торг'!$A:$A,MATCH($B47,'Выгр Торг'!$B:$B,0))</f>
        <v>Задний бампер для ВАЗ 2112</v>
      </c>
      <c r="B47" s="24">
        <v>244861</v>
      </c>
      <c r="C47" s="24">
        <f>VLOOKUP($B47,'Выгр Торг'!$B:$Q,C$1,0)</f>
        <v>173577</v>
      </c>
      <c r="D47" s="25" t="str">
        <f>VLOOKUP($B47,'Выгр Торг'!$B:$Q,D$1,0)</f>
        <v>Задний бампер для ВАЗ 2112 (Без покраски)</v>
      </c>
      <c r="E47" s="24" t="str">
        <f>VLOOKUP($B47,'Выгр Торг'!$B:$Q,E$1,0)</f>
        <v>Y</v>
      </c>
      <c r="F47" s="24">
        <f>VLOOKUP($B47,'Выгр Торг'!$B:$Q,F$1,0)</f>
        <v>0</v>
      </c>
      <c r="G47" s="24" t="str">
        <f>VLOOKUP($B47,'Выгр Торг'!$B:$Q,G$1,0)</f>
        <v>21120280401230</v>
      </c>
      <c r="H47" s="24" t="str">
        <f>IF(VLOOKUP($B47,'Выгр Торг'!$B:$Q,H$1,0)=0,"",VLOOKUP($B47,'Выгр Торг'!$B:$Q,H$1,0))</f>
        <v>https://motorring.ru/product/16086-zadniy-bamper-vaz-2112</v>
      </c>
      <c r="I47" s="24"/>
      <c r="J47" s="24"/>
      <c r="K47" s="35">
        <f t="shared" si="0"/>
        <v>1100</v>
      </c>
      <c r="L47" s="26">
        <f>VLOOKUP(K47,Наценка!$A$1:$B$8,2,1)</f>
        <v>1.5</v>
      </c>
      <c r="M47" s="27">
        <f t="shared" si="1"/>
        <v>1650</v>
      </c>
      <c r="N47" s="28">
        <f t="shared" si="2"/>
        <v>1690</v>
      </c>
      <c r="O47" s="24">
        <f>VLOOKUP($B47,'Выгр Торг'!$B:$Q,O$1,0)</f>
        <v>1100</v>
      </c>
      <c r="P47" s="24">
        <f>VLOOKUP($B47,'Выгр Торг'!$B:$Q,P$1,0)</f>
        <v>2190</v>
      </c>
      <c r="Q47" s="18">
        <f t="shared" si="3"/>
        <v>0</v>
      </c>
      <c r="R47" s="18">
        <f t="shared" si="4"/>
        <v>500</v>
      </c>
      <c r="S47" s="29">
        <f t="shared" si="5"/>
        <v>1690</v>
      </c>
      <c r="T47" s="30">
        <f t="shared" si="6"/>
        <v>0.53636363636363638</v>
      </c>
      <c r="U47" s="30" t="str">
        <f t="shared" si="7"/>
        <v/>
      </c>
      <c r="V47" s="30">
        <f t="shared" si="8"/>
        <v>-1</v>
      </c>
      <c r="W47" s="13">
        <f t="shared" si="12"/>
        <v>0</v>
      </c>
      <c r="X47" s="32">
        <f>IFERROR((VLOOKUP($B47,'Из ГУГЛа'!$B:$Z,X$1,0)+Z47)*Y47,VLOOKUP($B47,'Из ГУГЛа'!$B:$Z,X$1,0))</f>
        <v>0</v>
      </c>
      <c r="Y47" s="33">
        <v>1</v>
      </c>
      <c r="Z47" s="33"/>
      <c r="AA47" s="31"/>
      <c r="AB47" s="31" t="s">
        <v>2453</v>
      </c>
    </row>
    <row r="48" spans="1:28" ht="30" x14ac:dyDescent="0.25">
      <c r="A48" s="25" t="str">
        <f>INDEX('Выгр Торг'!$A:$A,MATCH($B48,'Выгр Торг'!$B:$B,0))</f>
        <v>Задний бампер для ВАЗ 2113, 2114</v>
      </c>
      <c r="B48" s="24">
        <v>149531</v>
      </c>
      <c r="C48" s="24">
        <f>VLOOKUP($B48,'Выгр Торг'!$B:$Q,C$1,0)</f>
        <v>166820</v>
      </c>
      <c r="D48" s="25" t="str">
        <f>VLOOKUP($B48,'Выгр Торг'!$B:$Q,D$1,0)</f>
        <v>Задний бампер для ВАЗ 2113, 2114 (Без покраски)</v>
      </c>
      <c r="E48" s="24" t="str">
        <f>VLOOKUP($B48,'Выгр Торг'!$B:$Q,E$1,0)</f>
        <v>Y</v>
      </c>
      <c r="F48" s="24">
        <f>VLOOKUP($B48,'Выгр Торг'!$B:$Q,F$1,0)</f>
        <v>0</v>
      </c>
      <c r="G48" s="24" t="str">
        <f>VLOOKUP($B48,'Выгр Торг'!$B:$Q,G$1,0)</f>
        <v>21130280401530</v>
      </c>
      <c r="H48" s="24" t="str">
        <f>IF(VLOOKUP($B48,'Выгр Торг'!$B:$Q,H$1,0)=0,"",VLOOKUP($B48,'Выгр Торг'!$B:$Q,H$1,0))</f>
        <v>https://motorring.ru/product/16090-zadniy-bamper-vaz-2113-2114</v>
      </c>
      <c r="I48" s="24"/>
      <c r="J48" s="24"/>
      <c r="K48" s="35">
        <f t="shared" si="0"/>
        <v>950</v>
      </c>
      <c r="L48" s="26">
        <f>VLOOKUP(K48,Наценка!$A$1:$B$8,2,1)</f>
        <v>1.55</v>
      </c>
      <c r="M48" s="27">
        <f t="shared" si="1"/>
        <v>1472.5</v>
      </c>
      <c r="N48" s="28">
        <f t="shared" si="2"/>
        <v>1490</v>
      </c>
      <c r="O48" s="24">
        <f>VLOOKUP($B48,'Выгр Торг'!$B:$Q,O$1,0)</f>
        <v>950</v>
      </c>
      <c r="P48" s="24">
        <f>VLOOKUP($B48,'Выгр Торг'!$B:$Q,P$1,0)</f>
        <v>1890</v>
      </c>
      <c r="Q48" s="18">
        <f t="shared" si="3"/>
        <v>0</v>
      </c>
      <c r="R48" s="18">
        <f t="shared" si="4"/>
        <v>400</v>
      </c>
      <c r="S48" s="29">
        <f t="shared" si="5"/>
        <v>1490</v>
      </c>
      <c r="T48" s="30">
        <f t="shared" si="6"/>
        <v>0.56842105263157894</v>
      </c>
      <c r="U48" s="30" t="str">
        <f t="shared" si="7"/>
        <v/>
      </c>
      <c r="V48" s="30">
        <f t="shared" si="8"/>
        <v>-1</v>
      </c>
      <c r="W48" s="13">
        <f t="shared" si="12"/>
        <v>0</v>
      </c>
      <c r="X48" s="32">
        <f>IFERROR((VLOOKUP($B48,'Из ГУГЛа'!$B:$Z,X$1,0)+Z48)*Y48,VLOOKUP($B48,'Из ГУГЛа'!$B:$Z,X$1,0))</f>
        <v>0</v>
      </c>
      <c r="Y48" s="33">
        <v>1</v>
      </c>
      <c r="Z48" s="33"/>
      <c r="AA48" s="31"/>
      <c r="AB48" s="31" t="s">
        <v>2460</v>
      </c>
    </row>
    <row r="49" spans="1:28" ht="45" x14ac:dyDescent="0.25">
      <c r="A49" s="25" t="str">
        <f>INDEX('Выгр Торг'!$A:$A,MATCH($B49,'Выгр Торг'!$B:$B,0))</f>
        <v>Задний бампер для Лада Калина 2 хэтчбек</v>
      </c>
      <c r="B49" s="24">
        <v>258207</v>
      </c>
      <c r="C49" s="24">
        <f>VLOOKUP($B49,'Выгр Торг'!$B:$Q,C$1,0)</f>
        <v>209383</v>
      </c>
      <c r="D49" s="25" t="str">
        <f>VLOOKUP($B49,'Выгр Торг'!$B:$Q,D$1,0)</f>
        <v>Задний бампер для Лада Калина 2 хэтчбек (Без покраски, С отверстиями под парктроники)</v>
      </c>
      <c r="E49" s="24" t="str">
        <f>VLOOKUP($B49,'Выгр Торг'!$B:$Q,E$1,0)</f>
        <v>Y</v>
      </c>
      <c r="F49" s="24">
        <f>VLOOKUP($B49,'Выгр Торг'!$B:$Q,F$1,0)</f>
        <v>0</v>
      </c>
      <c r="G49" s="24" t="str">
        <f>VLOOKUP($B49,'Выгр Торг'!$B:$Q,G$1,0)</f>
        <v>21920280401511</v>
      </c>
      <c r="H49" s="24" t="str">
        <f>IF(VLOOKUP($B49,'Выгр Торг'!$B:$Q,H$1,0)=0,"",VLOOKUP($B49,'Выгр Торг'!$B:$Q,H$1,0))</f>
        <v>https://motorring.ru/product/16104-zadniy-bamper-lada-kalina-2-hetchbek</v>
      </c>
      <c r="I49" s="24"/>
      <c r="J49" s="24"/>
      <c r="K49" s="35">
        <f t="shared" si="0"/>
        <v>2004</v>
      </c>
      <c r="L49" s="26">
        <f>VLOOKUP(K49,Наценка!$A$1:$B$8,2,1)</f>
        <v>1.4</v>
      </c>
      <c r="M49" s="27">
        <f t="shared" si="1"/>
        <v>2805.6</v>
      </c>
      <c r="N49" s="28">
        <f t="shared" si="2"/>
        <v>2890</v>
      </c>
      <c r="O49" s="24">
        <f>VLOOKUP($B49,'Выгр Торг'!$B:$Q,O$1,0)</f>
        <v>2004</v>
      </c>
      <c r="P49" s="24">
        <f>VLOOKUP($B49,'Выгр Торг'!$B:$Q,P$1,0)</f>
        <v>4890</v>
      </c>
      <c r="Q49" s="18">
        <f t="shared" si="3"/>
        <v>0</v>
      </c>
      <c r="R49" s="18">
        <f t="shared" si="4"/>
        <v>2000</v>
      </c>
      <c r="S49" s="29">
        <f t="shared" si="5"/>
        <v>2890</v>
      </c>
      <c r="T49" s="30">
        <f t="shared" si="6"/>
        <v>0.44211576846307388</v>
      </c>
      <c r="U49" s="30" t="str">
        <f t="shared" si="7"/>
        <v/>
      </c>
      <c r="V49" s="30">
        <f t="shared" si="8"/>
        <v>-1</v>
      </c>
      <c r="W49" s="13">
        <f t="shared" si="12"/>
        <v>0</v>
      </c>
      <c r="X49" s="32">
        <f>IFERROR((VLOOKUP($B49,'Из ГУГЛа'!$B:$Z,X$1,0)+Z49)*Y49,VLOOKUP($B49,'Из ГУГЛа'!$B:$Z,X$1,0))</f>
        <v>0</v>
      </c>
      <c r="Y49" s="33">
        <v>1</v>
      </c>
      <c r="Z49" s="33"/>
      <c r="AA49" s="31"/>
      <c r="AB49" s="31" t="s">
        <v>2468</v>
      </c>
    </row>
    <row r="50" spans="1:28" ht="30" x14ac:dyDescent="0.25">
      <c r="A50" s="25" t="str">
        <f>INDEX('Выгр Торг'!$A:$A,MATCH($B50,'Выгр Торг'!$B:$B,0))</f>
        <v>Задний бампер для Лада Калина 2 хэтчбек</v>
      </c>
      <c r="B50" s="24">
        <v>244889</v>
      </c>
      <c r="C50" s="24">
        <f>VLOOKUP($B50,'Выгр Торг'!$B:$Q,C$1,0)</f>
        <v>173963</v>
      </c>
      <c r="D50" s="25" t="str">
        <f>VLOOKUP($B50,'Выгр Торг'!$B:$Q,D$1,0)</f>
        <v>Задний бампер для Лада Калина 2 хэтчбек (Без покраски)</v>
      </c>
      <c r="E50" s="24" t="str">
        <f>VLOOKUP($B50,'Выгр Торг'!$B:$Q,E$1,0)</f>
        <v>Y</v>
      </c>
      <c r="F50" s="24">
        <f>VLOOKUP($B50,'Выгр Торг'!$B:$Q,F$1,0)</f>
        <v>0</v>
      </c>
      <c r="G50" s="24" t="str">
        <f>VLOOKUP($B50,'Выгр Торг'!$B:$Q,G$1,0)</f>
        <v>21920280401501</v>
      </c>
      <c r="H50" s="24" t="str">
        <f>IF(VLOOKUP($B50,'Выгр Торг'!$B:$Q,H$1,0)=0,"",VLOOKUP($B50,'Выгр Торг'!$B:$Q,H$1,0))</f>
        <v>https://motorring.ru/product/16104-zadniy-bamper-lada-kalina-2-hetchbek</v>
      </c>
      <c r="I50" s="24"/>
      <c r="J50" s="24"/>
      <c r="K50" s="35">
        <f t="shared" si="0"/>
        <v>2705</v>
      </c>
      <c r="L50" s="26">
        <f>VLOOKUP(K50,Наценка!$A$1:$B$8,2,1)</f>
        <v>1.4</v>
      </c>
      <c r="M50" s="27">
        <f t="shared" si="1"/>
        <v>3786.9999999999995</v>
      </c>
      <c r="N50" s="28">
        <f t="shared" si="2"/>
        <v>3790</v>
      </c>
      <c r="O50" s="24">
        <f>VLOOKUP($B50,'Выгр Торг'!$B:$Q,O$1,0)</f>
        <v>2705</v>
      </c>
      <c r="P50" s="24">
        <f>VLOOKUP($B50,'Выгр Торг'!$B:$Q,P$1,0)</f>
        <v>4890</v>
      </c>
      <c r="Q50" s="18">
        <f t="shared" si="3"/>
        <v>0</v>
      </c>
      <c r="R50" s="18">
        <f t="shared" si="4"/>
        <v>1100</v>
      </c>
      <c r="S50" s="29">
        <f t="shared" si="5"/>
        <v>3790</v>
      </c>
      <c r="T50" s="30">
        <f t="shared" si="6"/>
        <v>0.40110905730129387</v>
      </c>
      <c r="U50" s="30" t="str">
        <f t="shared" si="7"/>
        <v/>
      </c>
      <c r="V50" s="30">
        <f t="shared" si="8"/>
        <v>-1</v>
      </c>
      <c r="W50" s="13">
        <f t="shared" si="12"/>
        <v>0</v>
      </c>
      <c r="X50" s="32">
        <f>IFERROR((VLOOKUP($B50,'Из ГУГЛа'!$B:$Z,X$1,0)+Z50)*Y50,VLOOKUP($B50,'Из ГУГЛа'!$B:$Z,X$1,0))</f>
        <v>0</v>
      </c>
      <c r="Y50" s="33">
        <v>1</v>
      </c>
      <c r="Z50" s="33"/>
      <c r="AA50" s="31"/>
      <c r="AB50" s="31" t="s">
        <v>2468</v>
      </c>
    </row>
    <row r="51" spans="1:28" ht="30" x14ac:dyDescent="0.25">
      <c r="A51" s="25" t="str">
        <f>INDEX('Выгр Торг'!$A:$A,MATCH($B51,'Выгр Торг'!$B:$B,0))</f>
        <v>Задний бампер для Лада Калина седан</v>
      </c>
      <c r="B51" s="24">
        <v>244920</v>
      </c>
      <c r="C51" s="24">
        <f>VLOOKUP($B51,'Выгр Торг'!$B:$Q,C$1,0)</f>
        <v>174128</v>
      </c>
      <c r="D51" s="25" t="str">
        <f>VLOOKUP($B51,'Выгр Торг'!$B:$Q,D$1,0)</f>
        <v>Задний бампер для Лада Калина седан (Без покраски)</v>
      </c>
      <c r="E51" s="24" t="str">
        <f>VLOOKUP($B51,'Выгр Торг'!$B:$Q,E$1,0)</f>
        <v>Y</v>
      </c>
      <c r="F51" s="24">
        <f>VLOOKUP($B51,'Выгр Торг'!$B:$Q,F$1,0)</f>
        <v>0</v>
      </c>
      <c r="G51" s="24" t="str">
        <f>VLOOKUP($B51,'Выгр Торг'!$B:$Q,G$1,0)</f>
        <v>11180280401501</v>
      </c>
      <c r="H51" s="24" t="str">
        <f>IF(VLOOKUP($B51,'Выгр Торг'!$B:$Q,H$1,0)=0,"",VLOOKUP($B51,'Выгр Торг'!$B:$Q,H$1,0))</f>
        <v>https://motorring.ru/product/16081-zadniy-bamper-lada-kalina-sedan</v>
      </c>
      <c r="I51" s="24"/>
      <c r="J51" s="24"/>
      <c r="K51" s="35">
        <f t="shared" si="0"/>
        <v>2478</v>
      </c>
      <c r="L51" s="26">
        <f>VLOOKUP(K51,Наценка!$A$1:$B$8,2,1)</f>
        <v>1.4</v>
      </c>
      <c r="M51" s="27">
        <f t="shared" si="1"/>
        <v>3469.2</v>
      </c>
      <c r="N51" s="28">
        <f t="shared" si="2"/>
        <v>3490</v>
      </c>
      <c r="O51" s="24">
        <f>VLOOKUP($B51,'Выгр Торг'!$B:$Q,O$1,0)</f>
        <v>2478</v>
      </c>
      <c r="P51" s="24">
        <f>VLOOKUP($B51,'Выгр Торг'!$B:$Q,P$1,0)</f>
        <v>3590</v>
      </c>
      <c r="Q51" s="18">
        <f t="shared" si="3"/>
        <v>0</v>
      </c>
      <c r="R51" s="18">
        <f t="shared" si="4"/>
        <v>100</v>
      </c>
      <c r="S51" s="29">
        <f t="shared" si="5"/>
        <v>3490</v>
      </c>
      <c r="T51" s="30">
        <f t="shared" si="6"/>
        <v>0.40839386602098471</v>
      </c>
      <c r="U51" s="30" t="str">
        <f t="shared" si="7"/>
        <v/>
      </c>
      <c r="V51" s="30">
        <f t="shared" si="8"/>
        <v>-1</v>
      </c>
      <c r="W51" s="13">
        <f t="shared" si="12"/>
        <v>0</v>
      </c>
      <c r="X51" s="32">
        <f>IFERROR((VLOOKUP($B51,'Из ГУГЛа'!$B:$Z,X$1,0)+Z51)*Y51,VLOOKUP($B51,'Из ГУГЛа'!$B:$Z,X$1,0))</f>
        <v>0</v>
      </c>
      <c r="Y51" s="33">
        <v>1</v>
      </c>
      <c r="Z51" s="33"/>
      <c r="AA51" s="31"/>
      <c r="AB51" s="31" t="s">
        <v>2484</v>
      </c>
    </row>
    <row r="52" spans="1:28" ht="30" x14ac:dyDescent="0.25">
      <c r="A52" s="25" t="str">
        <f>INDEX('Выгр Торг'!$A:$A,MATCH($B52,'Выгр Торг'!$B:$B,0))</f>
        <v>Задний бампер для Лада Калина универсал</v>
      </c>
      <c r="B52" s="24">
        <v>249905</v>
      </c>
      <c r="C52" s="24">
        <f>VLOOKUP($B52,'Выгр Торг'!$B:$Q,C$1,0)</f>
        <v>174937</v>
      </c>
      <c r="D52" s="25" t="str">
        <f>VLOOKUP($B52,'Выгр Торг'!$B:$Q,D$1,0)</f>
        <v>Задний бампер для Лада Калина универсал (Без покраски)</v>
      </c>
      <c r="E52" s="24" t="str">
        <f>VLOOKUP($B52,'Выгр Торг'!$B:$Q,E$1,0)</f>
        <v>Y</v>
      </c>
      <c r="F52" s="24">
        <f>VLOOKUP($B52,'Выгр Торг'!$B:$Q,F$1,0)</f>
        <v>0</v>
      </c>
      <c r="G52" s="24" t="str">
        <f>VLOOKUP($B52,'Выгр Торг'!$B:$Q,G$1,0)</f>
        <v>11170280401563</v>
      </c>
      <c r="H52" s="24" t="str">
        <f>IF(VLOOKUP($B52,'Выгр Торг'!$B:$Q,H$1,0)=0,"",VLOOKUP($B52,'Выгр Торг'!$B:$Q,H$1,0))</f>
        <v>https://motorring.ru/product/16083-zadniy-bamper-lada-kalina-universal</v>
      </c>
      <c r="I52" s="24"/>
      <c r="J52" s="24"/>
      <c r="K52" s="35">
        <f t="shared" si="0"/>
        <v>2950</v>
      </c>
      <c r="L52" s="26">
        <f>VLOOKUP(K52,Наценка!$A$1:$B$8,2,1)</f>
        <v>1.4</v>
      </c>
      <c r="M52" s="27">
        <f t="shared" si="1"/>
        <v>4130</v>
      </c>
      <c r="N52" s="28">
        <f t="shared" si="2"/>
        <v>4190</v>
      </c>
      <c r="O52" s="24">
        <f>VLOOKUP($B52,'Выгр Торг'!$B:$Q,O$1,0)</f>
        <v>2950</v>
      </c>
      <c r="P52" s="24">
        <f>VLOOKUP($B52,'Выгр Торг'!$B:$Q,P$1,0)</f>
        <v>3690</v>
      </c>
      <c r="Q52" s="18">
        <f t="shared" si="3"/>
        <v>0</v>
      </c>
      <c r="R52" s="18">
        <f t="shared" si="4"/>
        <v>-500</v>
      </c>
      <c r="S52" s="29">
        <f t="shared" si="5"/>
        <v>4190</v>
      </c>
      <c r="T52" s="30">
        <f t="shared" si="6"/>
        <v>0.42033898305084749</v>
      </c>
      <c r="U52" s="30" t="str">
        <f t="shared" si="7"/>
        <v/>
      </c>
      <c r="V52" s="30">
        <f t="shared" si="8"/>
        <v>-1</v>
      </c>
      <c r="W52" s="13">
        <f t="shared" si="12"/>
        <v>0</v>
      </c>
      <c r="X52" s="32">
        <f>IFERROR((VLOOKUP($B52,'Из ГУГЛа'!$B:$Z,X$1,0)+Z52)*Y52,VLOOKUP($B52,'Из ГУГЛа'!$B:$Z,X$1,0))</f>
        <v>0</v>
      </c>
      <c r="Y52" s="33">
        <v>1</v>
      </c>
      <c r="Z52" s="33"/>
      <c r="AA52" s="31"/>
      <c r="AB52" s="31" t="s">
        <v>2492</v>
      </c>
    </row>
    <row r="53" spans="1:28" ht="30" x14ac:dyDescent="0.25">
      <c r="A53" s="25" t="str">
        <f>INDEX('Выгр Торг'!$A:$A,MATCH($B53,'Выгр Торг'!$B:$B,0))</f>
        <v>Задний бампер для Лада Калина хэтчбек</v>
      </c>
      <c r="B53" s="24">
        <v>244951</v>
      </c>
      <c r="C53" s="24">
        <f>VLOOKUP($B53,'Выгр Торг'!$B:$Q,C$1,0)</f>
        <v>174091</v>
      </c>
      <c r="D53" s="25" t="str">
        <f>VLOOKUP($B53,'Выгр Торг'!$B:$Q,D$1,0)</f>
        <v>Задний бампер для Лада Калина хэтчбек (Без покраски)</v>
      </c>
      <c r="E53" s="24" t="str">
        <f>VLOOKUP($B53,'Выгр Торг'!$B:$Q,E$1,0)</f>
        <v>Y</v>
      </c>
      <c r="F53" s="24">
        <f>VLOOKUP($B53,'Выгр Торг'!$B:$Q,F$1,0)</f>
        <v>0</v>
      </c>
      <c r="G53" s="24" t="str">
        <f>VLOOKUP($B53,'Выгр Торг'!$B:$Q,G$1,0)</f>
        <v>11190280401501</v>
      </c>
      <c r="H53" s="24" t="str">
        <f>IF(VLOOKUP($B53,'Выгр Торг'!$B:$Q,H$1,0)=0,"",VLOOKUP($B53,'Выгр Торг'!$B:$Q,H$1,0))</f>
        <v>https://motorring.ru/product/16082-zadniy-bamper-lada-kalina-hetchbek</v>
      </c>
      <c r="I53" s="24"/>
      <c r="J53" s="24"/>
      <c r="K53" s="35">
        <f t="shared" si="0"/>
        <v>3182</v>
      </c>
      <c r="L53" s="26">
        <f>VLOOKUP(K53,Наценка!$A$1:$B$8,2,1)</f>
        <v>1.4</v>
      </c>
      <c r="M53" s="27">
        <f t="shared" si="1"/>
        <v>4454.7999999999993</v>
      </c>
      <c r="N53" s="28">
        <f t="shared" si="2"/>
        <v>4490</v>
      </c>
      <c r="O53" s="24">
        <f>VLOOKUP($B53,'Выгр Торг'!$B:$Q,O$1,0)</f>
        <v>3182</v>
      </c>
      <c r="P53" s="24">
        <f>VLOOKUP($B53,'Выгр Торг'!$B:$Q,P$1,0)</f>
        <v>4590</v>
      </c>
      <c r="Q53" s="18">
        <f t="shared" si="3"/>
        <v>0</v>
      </c>
      <c r="R53" s="18">
        <f t="shared" si="4"/>
        <v>100</v>
      </c>
      <c r="S53" s="29">
        <f t="shared" si="5"/>
        <v>4490</v>
      </c>
      <c r="T53" s="30">
        <f t="shared" si="6"/>
        <v>0.41106222501571343</v>
      </c>
      <c r="U53" s="30" t="str">
        <f t="shared" si="7"/>
        <v/>
      </c>
      <c r="V53" s="30">
        <f t="shared" si="8"/>
        <v>-1</v>
      </c>
      <c r="W53" s="13">
        <f t="shared" si="12"/>
        <v>0</v>
      </c>
      <c r="X53" s="32">
        <f>IFERROR((VLOOKUP($B53,'Из ГУГЛа'!$B:$Z,X$1,0)+Z53)*Y53,VLOOKUP($B53,'Из ГУГЛа'!$B:$Z,X$1,0))</f>
        <v>0</v>
      </c>
      <c r="Y53" s="33">
        <v>1</v>
      </c>
      <c r="Z53" s="33"/>
      <c r="AA53" s="31"/>
      <c r="AB53" s="31" t="s">
        <v>2500</v>
      </c>
    </row>
    <row r="54" spans="1:28" ht="30" x14ac:dyDescent="0.25">
      <c r="A54" s="25" t="str">
        <f>INDEX('Выгр Торг'!$A:$A,MATCH($B54,'Выгр Торг'!$B:$B,0))</f>
        <v>Задний бампер для Лада Ларгус</v>
      </c>
      <c r="B54" s="24">
        <v>244982</v>
      </c>
      <c r="C54" s="24">
        <f>VLOOKUP($B54,'Выгр Торг'!$B:$Q,C$1,0)</f>
        <v>171284</v>
      </c>
      <c r="D54" s="25" t="str">
        <f>VLOOKUP($B54,'Выгр Торг'!$B:$Q,D$1,0)</f>
        <v>Задний бампер для Лада Ларгус (Без покраски)</v>
      </c>
      <c r="E54" s="24" t="str">
        <f>VLOOKUP($B54,'Выгр Торг'!$B:$Q,E$1,0)</f>
        <v>Y</v>
      </c>
      <c r="F54" s="24">
        <f>VLOOKUP($B54,'Выгр Торг'!$B:$Q,F$1,0)</f>
        <v>0</v>
      </c>
      <c r="G54" s="24" t="str">
        <f>VLOOKUP($B54,'Выгр Торг'!$B:$Q,G$1,0)</f>
        <v>8450000257</v>
      </c>
      <c r="H54" s="24" t="str">
        <f>IF(VLOOKUP($B54,'Выгр Торг'!$B:$Q,H$1,0)=0,"",VLOOKUP($B54,'Выгр Торг'!$B:$Q,H$1,0))</f>
        <v>https://motorring.ru/product/16107-zadniy-bamper-lada-largus</v>
      </c>
      <c r="I54" s="24"/>
      <c r="J54" s="24"/>
      <c r="K54" s="35">
        <f t="shared" si="0"/>
        <v>3080</v>
      </c>
      <c r="L54" s="26">
        <f>VLOOKUP(K54,Наценка!$A$1:$B$8,2,1)</f>
        <v>1.4</v>
      </c>
      <c r="M54" s="27">
        <f t="shared" si="1"/>
        <v>4312</v>
      </c>
      <c r="N54" s="28">
        <f t="shared" si="2"/>
        <v>4390</v>
      </c>
      <c r="O54" s="24">
        <f>VLOOKUP($B54,'Выгр Торг'!$B:$Q,O$1,0)</f>
        <v>3080</v>
      </c>
      <c r="P54" s="24">
        <f>VLOOKUP($B54,'Выгр Торг'!$B:$Q,P$1,0)</f>
        <v>4390</v>
      </c>
      <c r="Q54" s="18">
        <f t="shared" si="3"/>
        <v>0</v>
      </c>
      <c r="R54" s="18">
        <f t="shared" si="4"/>
        <v>0</v>
      </c>
      <c r="S54" s="29">
        <f t="shared" si="5"/>
        <v>4390</v>
      </c>
      <c r="T54" s="30">
        <f t="shared" si="6"/>
        <v>0.42532467532467533</v>
      </c>
      <c r="U54" s="30" t="str">
        <f t="shared" si="7"/>
        <v/>
      </c>
      <c r="V54" s="30">
        <f t="shared" si="8"/>
        <v>-1</v>
      </c>
      <c r="W54" s="13">
        <f t="shared" si="12"/>
        <v>0</v>
      </c>
      <c r="X54" s="32">
        <f>IFERROR((VLOOKUP($B54,'Из ГУГЛа'!$B:$Z,X$1,0)+Z54)*Y54,VLOOKUP($B54,'Из ГУГЛа'!$B:$Z,X$1,0))</f>
        <v>0</v>
      </c>
      <c r="Y54" s="33">
        <v>1</v>
      </c>
      <c r="Z54" s="33"/>
      <c r="AA54" s="31"/>
      <c r="AB54" s="31" t="s">
        <v>2508</v>
      </c>
    </row>
    <row r="55" spans="1:28" ht="30" x14ac:dyDescent="0.25">
      <c r="A55" s="25" t="str">
        <f>INDEX('Выгр Торг'!$A:$A,MATCH($B55,'Выгр Торг'!$B:$B,0))</f>
        <v>Задний бампер нового образца для Шевроле Нива</v>
      </c>
      <c r="B55" s="24">
        <v>244998</v>
      </c>
      <c r="C55" s="24">
        <f>VLOOKUP($B55,'Выгр Торг'!$B:$Q,C$1,0)</f>
        <v>173456</v>
      </c>
      <c r="D55" s="25" t="str">
        <f>VLOOKUP($B55,'Выгр Торг'!$B:$Q,D$1,0)</f>
        <v>Задний бампер нового образца для Шевроле Нива (Без покраски)</v>
      </c>
      <c r="E55" s="24" t="str">
        <f>VLOOKUP($B55,'Выгр Торг'!$B:$Q,E$1,0)</f>
        <v>Y</v>
      </c>
      <c r="F55" s="24">
        <f>VLOOKUP($B55,'Выгр Торг'!$B:$Q,F$1,0)</f>
        <v>0</v>
      </c>
      <c r="G55" s="24" t="str">
        <f>VLOOKUP($B55,'Выгр Торг'!$B:$Q,G$1,0)</f>
        <v>21230280401555</v>
      </c>
      <c r="H55" s="24" t="str">
        <f>IF(VLOOKUP($B55,'Выгр Торг'!$B:$Q,H$1,0)=0,"",VLOOKUP($B55,'Выгр Торг'!$B:$Q,H$1,0))</f>
        <v>https://motorring.ru/product/1570-zadniy-bamper-bertone-restayling-shevrole-niva</v>
      </c>
      <c r="I55" s="24"/>
      <c r="J55" s="24"/>
      <c r="K55" s="35">
        <f t="shared" si="0"/>
        <v>7500</v>
      </c>
      <c r="L55" s="26">
        <f>VLOOKUP(K55,Наценка!$A$1:$B$8,2,1)</f>
        <v>1.35</v>
      </c>
      <c r="M55" s="27">
        <f t="shared" si="1"/>
        <v>10125</v>
      </c>
      <c r="N55" s="28">
        <f t="shared" si="2"/>
        <v>10190</v>
      </c>
      <c r="O55" s="24">
        <f>VLOOKUP($B55,'Выгр Торг'!$B:$Q,O$1,0)</f>
        <v>7500</v>
      </c>
      <c r="P55" s="24">
        <f>VLOOKUP($B55,'Выгр Торг'!$B:$Q,P$1,0)</f>
        <v>10390</v>
      </c>
      <c r="Q55" s="18">
        <f t="shared" si="3"/>
        <v>0</v>
      </c>
      <c r="R55" s="18">
        <f t="shared" si="4"/>
        <v>200</v>
      </c>
      <c r="S55" s="29">
        <f t="shared" si="5"/>
        <v>10190</v>
      </c>
      <c r="T55" s="30">
        <f t="shared" si="6"/>
        <v>0.35866666666666669</v>
      </c>
      <c r="U55" s="30" t="str">
        <f t="shared" si="7"/>
        <v/>
      </c>
      <c r="V55" s="30">
        <f t="shared" si="8"/>
        <v>-1</v>
      </c>
      <c r="W55" s="13">
        <f t="shared" si="12"/>
        <v>0</v>
      </c>
      <c r="X55" s="32">
        <f>IFERROR((VLOOKUP($B55,'Из ГУГЛа'!$B:$Z,X$1,0)+Z55)*Y55,VLOOKUP($B55,'Из ГУГЛа'!$B:$Z,X$1,0))</f>
        <v>0</v>
      </c>
      <c r="Y55" s="33">
        <v>1</v>
      </c>
      <c r="Z55" s="33"/>
      <c r="AA55" s="31"/>
      <c r="AB55" s="31" t="s">
        <v>2151</v>
      </c>
    </row>
    <row r="56" spans="1:28" ht="30" x14ac:dyDescent="0.25">
      <c r="A56" s="25" t="str">
        <f>INDEX('Выгр Торг'!$A:$A,MATCH($B56,'Выгр Торг'!$B:$B,0))</f>
        <v>Задний бампер с серой полосой для ВАЗ 2113, 2114</v>
      </c>
      <c r="B56" s="24">
        <v>245018</v>
      </c>
      <c r="C56" s="24">
        <f>VLOOKUP($B56,'Выгр Торг'!$B:$Q,C$1,0)</f>
        <v>173176</v>
      </c>
      <c r="D56" s="25" t="str">
        <f>VLOOKUP($B56,'Выгр Торг'!$B:$Q,D$1,0)</f>
        <v>Задний бампер с серой полосой для ВАЗ 2113, 2114 (Без покраски)</v>
      </c>
      <c r="E56" s="24" t="str">
        <f>VLOOKUP($B56,'Выгр Торг'!$B:$Q,E$1,0)</f>
        <v>Y</v>
      </c>
      <c r="F56" s="24">
        <f>VLOOKUP($B56,'Выгр Торг'!$B:$Q,F$1,0)</f>
        <v>0</v>
      </c>
      <c r="G56" s="24" t="str">
        <f>VLOOKUP($B56,'Выгр Торг'!$B:$Q,G$1,0)</f>
        <v>21130280401530</v>
      </c>
      <c r="H56" s="24" t="str">
        <f>IF(VLOOKUP($B56,'Выгр Торг'!$B:$Q,H$1,0)=0,"",VLOOKUP($B56,'Выгр Торг'!$B:$Q,H$1,0))</f>
        <v>https://motorring.ru/product/16090-zadniy-bamper-vaz-2113-2114</v>
      </c>
      <c r="I56" s="24"/>
      <c r="J56" s="24"/>
      <c r="K56" s="35">
        <f t="shared" si="0"/>
        <v>950</v>
      </c>
      <c r="L56" s="26">
        <f>VLOOKUP(K56,Наценка!$A$1:$B$8,2,1)</f>
        <v>1.55</v>
      </c>
      <c r="M56" s="27">
        <f t="shared" si="1"/>
        <v>1472.5</v>
      </c>
      <c r="N56" s="28">
        <f t="shared" si="2"/>
        <v>1490</v>
      </c>
      <c r="O56" s="24">
        <f>VLOOKUP($B56,'Выгр Торг'!$B:$Q,O$1,0)</f>
        <v>950</v>
      </c>
      <c r="P56" s="24">
        <f>VLOOKUP($B56,'Выгр Торг'!$B:$Q,P$1,0)</f>
        <v>1890</v>
      </c>
      <c r="Q56" s="18">
        <f t="shared" si="3"/>
        <v>0</v>
      </c>
      <c r="R56" s="18">
        <f t="shared" si="4"/>
        <v>400</v>
      </c>
      <c r="S56" s="29">
        <f t="shared" si="5"/>
        <v>1490</v>
      </c>
      <c r="T56" s="30">
        <f t="shared" si="6"/>
        <v>0.56842105263157894</v>
      </c>
      <c r="U56" s="30" t="str">
        <f t="shared" si="7"/>
        <v/>
      </c>
      <c r="V56" s="30">
        <f t="shared" si="8"/>
        <v>-1</v>
      </c>
      <c r="W56" s="13">
        <f t="shared" si="12"/>
        <v>0</v>
      </c>
      <c r="X56" s="32">
        <f>IFERROR((VLOOKUP($B56,'Из ГУГЛа'!$B:$Z,X$1,0)+Z56)*Y56,VLOOKUP($B56,'Из ГУГЛа'!$B:$Z,X$1,0))</f>
        <v>0</v>
      </c>
      <c r="Y56" s="33">
        <v>1</v>
      </c>
      <c r="Z56" s="33"/>
      <c r="AA56" s="31"/>
      <c r="AB56" s="31" t="s">
        <v>2460</v>
      </c>
    </row>
    <row r="57" spans="1:28" ht="45" x14ac:dyDescent="0.25">
      <c r="A57" s="25" t="str">
        <f>INDEX('Выгр Торг'!$A:$A,MATCH($B57,'Выгр Торг'!$B:$B,0))</f>
        <v>Задний бампер старого образца для Лада Приора хэтчбек</v>
      </c>
      <c r="B57" s="24">
        <v>266472</v>
      </c>
      <c r="C57" s="24">
        <f>VLOOKUP($B57,'Выгр Торг'!$B:$Q,C$1,0)</f>
        <v>174276</v>
      </c>
      <c r="D57" s="25" t="str">
        <f>VLOOKUP($B57,'Выгр Торг'!$B:$Q,D$1,0)</f>
        <v>Задний бампер старого образца для Лада Приора хэтчбек (Без отверстий под парктроник, Без покраски)</v>
      </c>
      <c r="E57" s="24" t="str">
        <f>VLOOKUP($B57,'Выгр Торг'!$B:$Q,E$1,0)</f>
        <v>Y</v>
      </c>
      <c r="F57" s="24">
        <f>VLOOKUP($B57,'Выгр Торг'!$B:$Q,F$1,0)</f>
        <v>0</v>
      </c>
      <c r="G57" s="24" t="str">
        <f>VLOOKUP($B57,'Выгр Торг'!$B:$Q,G$1,0)</f>
        <v>21720280401501</v>
      </c>
      <c r="H57" s="24" t="str">
        <f>IF(VLOOKUP($B57,'Выгр Торг'!$B:$Q,H$1,0)=0,"",VLOOKUP($B57,'Выгр Торг'!$B:$Q,H$1,0))</f>
        <v>https://motorring.ru/product/16097-zadniy-bamper-lada-priora-hetchbek</v>
      </c>
      <c r="I57" s="24"/>
      <c r="J57" s="24"/>
      <c r="K57" s="35">
        <f t="shared" si="0"/>
        <v>1863</v>
      </c>
      <c r="L57" s="26">
        <f>VLOOKUP(K57,Наценка!$A$1:$B$8,2,1)</f>
        <v>1.5</v>
      </c>
      <c r="M57" s="27">
        <f t="shared" si="1"/>
        <v>2794.5</v>
      </c>
      <c r="N57" s="28">
        <f t="shared" si="2"/>
        <v>2790</v>
      </c>
      <c r="O57" s="24">
        <f>VLOOKUP($B57,'Выгр Торг'!$B:$Q,O$1,0)</f>
        <v>1863</v>
      </c>
      <c r="P57" s="24">
        <f>VLOOKUP($B57,'Выгр Торг'!$B:$Q,P$1,0)</f>
        <v>4290</v>
      </c>
      <c r="Q57" s="18">
        <f t="shared" si="3"/>
        <v>0</v>
      </c>
      <c r="R57" s="18">
        <f t="shared" si="4"/>
        <v>1500</v>
      </c>
      <c r="S57" s="29">
        <f t="shared" si="5"/>
        <v>2790</v>
      </c>
      <c r="T57" s="30">
        <f t="shared" si="6"/>
        <v>0.49758454106280192</v>
      </c>
      <c r="U57" s="30" t="str">
        <f t="shared" si="7"/>
        <v/>
      </c>
      <c r="V57" s="30">
        <f t="shared" si="8"/>
        <v>-1</v>
      </c>
      <c r="W57" s="13">
        <f t="shared" si="12"/>
        <v>0</v>
      </c>
      <c r="X57" s="32">
        <f>IFERROR((VLOOKUP($B57,'Из ГУГЛа'!$B:$Z,X$1,0)+Z57)*Y57,VLOOKUP($B57,'Из ГУГЛа'!$B:$Z,X$1,0))</f>
        <v>0</v>
      </c>
      <c r="Y57" s="33">
        <v>1</v>
      </c>
      <c r="Z57" s="33"/>
      <c r="AA57" s="31"/>
      <c r="AB57" s="31" t="s">
        <v>2532</v>
      </c>
    </row>
    <row r="58" spans="1:28" ht="45" x14ac:dyDescent="0.25">
      <c r="A58" s="25" t="str">
        <f>INDEX('Выгр Торг'!$A:$A,MATCH($B58,'Выгр Торг'!$B:$B,0))</f>
        <v>Задний бампер старого образца для Лада Приора хэтчбек</v>
      </c>
      <c r="B58" s="24">
        <v>266500</v>
      </c>
      <c r="C58" s="24">
        <f>VLOOKUP($B58,'Выгр Торг'!$B:$Q,C$1,0)</f>
        <v>217062</v>
      </c>
      <c r="D58" s="25" t="str">
        <f>VLOOKUP($B58,'Выгр Торг'!$B:$Q,D$1,0)</f>
        <v>Задний бампер старого образца для Лада Приора хэтчбек (С отверстиями под парктроники, Без покраски)</v>
      </c>
      <c r="E58" s="24" t="str">
        <f>VLOOKUP($B58,'Выгр Торг'!$B:$Q,E$1,0)</f>
        <v>Y</v>
      </c>
      <c r="F58" s="24">
        <f>VLOOKUP($B58,'Выгр Торг'!$B:$Q,F$1,0)</f>
        <v>0</v>
      </c>
      <c r="G58" s="24" t="str">
        <f>VLOOKUP($B58,'Выгр Торг'!$B:$Q,G$1,0)</f>
        <v>21720280401511</v>
      </c>
      <c r="H58" s="24" t="str">
        <f>IF(VLOOKUP($B58,'Выгр Торг'!$B:$Q,H$1,0)=0,"",VLOOKUP($B58,'Выгр Торг'!$B:$Q,H$1,0))</f>
        <v>https://motorring.ru/product/10489-peredniy-bamper-lyuks-ptf-lada-kalina</v>
      </c>
      <c r="I58" s="24"/>
      <c r="J58" s="24"/>
      <c r="K58" s="35">
        <f t="shared" si="0"/>
        <v>2177</v>
      </c>
      <c r="L58" s="26">
        <f>VLOOKUP(K58,Наценка!$A$1:$B$8,2,1)</f>
        <v>1.4</v>
      </c>
      <c r="M58" s="27">
        <f t="shared" si="1"/>
        <v>3047.7999999999997</v>
      </c>
      <c r="N58" s="28">
        <f t="shared" si="2"/>
        <v>3090</v>
      </c>
      <c r="O58" s="24">
        <f>VLOOKUP($B58,'Выгр Торг'!$B:$Q,O$1,0)</f>
        <v>2177</v>
      </c>
      <c r="P58" s="24">
        <f>VLOOKUP($B58,'Выгр Торг'!$B:$Q,P$1,0)</f>
        <v>2790</v>
      </c>
      <c r="Q58" s="18">
        <f t="shared" si="3"/>
        <v>0</v>
      </c>
      <c r="R58" s="18">
        <f t="shared" si="4"/>
        <v>-300</v>
      </c>
      <c r="S58" s="29">
        <f t="shared" si="5"/>
        <v>3090</v>
      </c>
      <c r="T58" s="30">
        <f t="shared" si="6"/>
        <v>0.41938447404685353</v>
      </c>
      <c r="U58" s="30" t="str">
        <f t="shared" si="7"/>
        <v/>
      </c>
      <c r="V58" s="30">
        <f t="shared" si="8"/>
        <v>-1</v>
      </c>
      <c r="W58" s="13">
        <f t="shared" si="12"/>
        <v>0</v>
      </c>
      <c r="X58" s="32">
        <f>IFERROR((VLOOKUP($B58,'Из ГУГЛа'!$B:$Z,X$1,0)+Z58)*Y58,VLOOKUP($B58,'Из ГУГЛа'!$B:$Z,X$1,0))</f>
        <v>0</v>
      </c>
      <c r="Y58" s="33">
        <v>1</v>
      </c>
      <c r="Z58" s="33"/>
      <c r="AA58" s="31"/>
      <c r="AB58" s="31" t="s">
        <v>2540</v>
      </c>
    </row>
    <row r="59" spans="1:28" ht="30" x14ac:dyDescent="0.25">
      <c r="A59" s="25" t="str">
        <f>INDEX('Выгр Торг'!$A:$A,MATCH($B59,'Выгр Торг'!$B:$B,0))</f>
        <v>Капот "АвтоВАЗ" для Лада Ларгус FL</v>
      </c>
      <c r="B59" s="24">
        <v>265187</v>
      </c>
      <c r="C59" s="24">
        <f>VLOOKUP($B59,'Выгр Торг'!$B:$Q,C$1,0)</f>
        <v>214325</v>
      </c>
      <c r="D59" s="25" t="str">
        <f>VLOOKUP($B59,'Выгр Торг'!$B:$Q,D$1,0)</f>
        <v>Капот "АвтоВАЗ" для Лада Ларгус FL (Без покраски)</v>
      </c>
      <c r="E59" s="24" t="str">
        <f>VLOOKUP($B59,'Выгр Торг'!$B:$Q,E$1,0)</f>
        <v>Y</v>
      </c>
      <c r="F59" s="24">
        <f>VLOOKUP($B59,'Выгр Торг'!$B:$Q,F$1,0)</f>
        <v>0</v>
      </c>
      <c r="G59" s="24" t="str">
        <f>VLOOKUP($B59,'Выгр Торг'!$B:$Q,G$1,0)</f>
        <v>8450013078</v>
      </c>
      <c r="H59" s="24" t="str">
        <f>IF(VLOOKUP($B59,'Выгр Торг'!$B:$Q,H$1,0)=0,"",VLOOKUP($B59,'Выгр Торг'!$B:$Q,H$1,0))</f>
        <v>https://motorring.ru/product/33152-kapot-sbore-dlya-lada-largus-fl</v>
      </c>
      <c r="I59" s="24"/>
      <c r="J59" s="24"/>
      <c r="K59" s="35">
        <f t="shared" si="0"/>
        <v>7528</v>
      </c>
      <c r="L59" s="26">
        <f>VLOOKUP(K59,Наценка!$A$1:$B$8,2,1)</f>
        <v>1.35</v>
      </c>
      <c r="M59" s="27">
        <f t="shared" si="1"/>
        <v>10162.800000000001</v>
      </c>
      <c r="N59" s="28">
        <f t="shared" si="2"/>
        <v>10190</v>
      </c>
      <c r="O59" s="24">
        <f>VLOOKUP($B59,'Выгр Торг'!$B:$Q,O$1,0)</f>
        <v>7528</v>
      </c>
      <c r="P59" s="24">
        <f>VLOOKUP($B59,'Выгр Торг'!$B:$Q,P$1,0)</f>
        <v>9490</v>
      </c>
      <c r="Q59" s="18">
        <f t="shared" si="3"/>
        <v>0</v>
      </c>
      <c r="R59" s="18">
        <f t="shared" si="4"/>
        <v>-700</v>
      </c>
      <c r="S59" s="29">
        <f t="shared" si="5"/>
        <v>10190</v>
      </c>
      <c r="T59" s="30">
        <f t="shared" si="6"/>
        <v>0.35361317747077581</v>
      </c>
      <c r="U59" s="30" t="str">
        <f t="shared" si="7"/>
        <v/>
      </c>
      <c r="V59" s="30">
        <f t="shared" si="8"/>
        <v>-1</v>
      </c>
      <c r="W59" s="13">
        <f t="shared" si="12"/>
        <v>0</v>
      </c>
      <c r="X59" s="32">
        <f>IFERROR((VLOOKUP($B59,'Из ГУГЛа'!$B:$Z,X$1,0)+Z59)*Y59,VLOOKUP($B59,'Из ГУГЛа'!$B:$Z,X$1,0))</f>
        <v>0</v>
      </c>
      <c r="Y59" s="33">
        <v>1</v>
      </c>
      <c r="Z59" s="33"/>
      <c r="AA59" s="31"/>
      <c r="AB59" s="31" t="s">
        <v>2548</v>
      </c>
    </row>
    <row r="60" spans="1:28" ht="30" x14ac:dyDescent="0.25">
      <c r="A60" s="25" t="str">
        <f>INDEX('Выгр Торг'!$A:$A,MATCH($B60,'Выгр Торг'!$B:$B,0))</f>
        <v>Капот оригинальный для Датсун mi-DO, on-DO</v>
      </c>
      <c r="B60" s="24">
        <v>154865</v>
      </c>
      <c r="C60" s="24">
        <f>VLOOKUP($B60,'Выгр Торг'!$B:$Q,C$1,0)</f>
        <v>156329</v>
      </c>
      <c r="D60" s="25" t="str">
        <f>VLOOKUP($B60,'Выгр Торг'!$B:$Q,D$1,0)</f>
        <v>Капот оригинальный для Датсун on-Do, mi-Do (Без покраски)</v>
      </c>
      <c r="E60" s="24" t="str">
        <f>VLOOKUP($B60,'Выгр Торг'!$B:$Q,E$1,0)</f>
        <v>Y</v>
      </c>
      <c r="F60" s="24">
        <f>VLOOKUP($B60,'Выгр Торг'!$B:$Q,F$1,0)</f>
        <v>0</v>
      </c>
      <c r="G60" s="24" t="str">
        <f>VLOOKUP($B60,'Выгр Торг'!$B:$Q,G$1,0)</f>
        <v>651005PA0D</v>
      </c>
      <c r="H60" s="24" t="str">
        <f>IF(VLOOKUP($B60,'Выгр Торг'!$B:$Q,H$1,0)=0,"",VLOOKUP($B60,'Выгр Торг'!$B:$Q,H$1,0))</f>
        <v>https://motorring.ru/product/10526-kapot-cvet-datsun</v>
      </c>
      <c r="I60" s="24"/>
      <c r="J60" s="24"/>
      <c r="K60" s="35">
        <f t="shared" si="0"/>
        <v>24000</v>
      </c>
      <c r="L60" s="26">
        <f>VLOOKUP(K60,Наценка!$A$1:$B$8,2,1)</f>
        <v>1.3</v>
      </c>
      <c r="M60" s="27">
        <f t="shared" si="1"/>
        <v>31200</v>
      </c>
      <c r="N60" s="28">
        <f t="shared" si="2"/>
        <v>31190</v>
      </c>
      <c r="O60" s="24">
        <f>VLOOKUP($B60,'Выгр Торг'!$B:$Q,O$1,0)</f>
        <v>24000</v>
      </c>
      <c r="P60" s="24">
        <f>VLOOKUP($B60,'Выгр Торг'!$B:$Q,P$1,0)</f>
        <v>31890</v>
      </c>
      <c r="Q60" s="18">
        <f t="shared" si="3"/>
        <v>0</v>
      </c>
      <c r="R60" s="18">
        <f t="shared" si="4"/>
        <v>700</v>
      </c>
      <c r="S60" s="29">
        <f t="shared" si="5"/>
        <v>31190</v>
      </c>
      <c r="T60" s="30">
        <f t="shared" si="6"/>
        <v>0.29958333333333331</v>
      </c>
      <c r="U60" s="30" t="str">
        <f t="shared" si="7"/>
        <v/>
      </c>
      <c r="V60" s="30">
        <f t="shared" si="8"/>
        <v>-1</v>
      </c>
      <c r="W60" s="13">
        <f t="shared" si="12"/>
        <v>0</v>
      </c>
      <c r="X60" s="32">
        <f>IFERROR((VLOOKUP($B60,'Из ГУГЛа'!$B:$Z,X$1,0)+Z60)*Y60,VLOOKUP($B60,'Из ГУГЛа'!$B:$Z,X$1,0))</f>
        <v>0</v>
      </c>
      <c r="Y60" s="33">
        <v>1</v>
      </c>
      <c r="Z60" s="33"/>
      <c r="AA60" s="31"/>
      <c r="AB60" s="31" t="s">
        <v>2556</v>
      </c>
    </row>
    <row r="61" spans="1:28" ht="60" x14ac:dyDescent="0.25">
      <c r="A61" s="25" t="str">
        <f>INDEX('Выгр Торг'!$A:$A,MATCH($B61,'Выгр Торг'!$B:$B,0))</f>
        <v>Крыло "АвтоВАЗ" переднее левое без отверстия под повторитель для Лада Гранта FL</v>
      </c>
      <c r="B61" s="24">
        <v>160844</v>
      </c>
      <c r="C61" s="24">
        <f>VLOOKUP($B61,'Выгр Торг'!$B:$Q,C$1,0)</f>
        <v>153622</v>
      </c>
      <c r="D61" s="25" t="str">
        <f>VLOOKUP($B61,'Выгр Торг'!$B:$Q,D$1,0)</f>
        <v>Крыло переднее левое без отверстия под повторитель для Лада Гранта FL (Без покраски, Без отверстий под молдинг)</v>
      </c>
      <c r="E61" s="24" t="str">
        <f>VLOOKUP($B61,'Выгр Торг'!$B:$Q,E$1,0)</f>
        <v>Y</v>
      </c>
      <c r="F61" s="24">
        <f>VLOOKUP($B61,'Выгр Торг'!$B:$Q,F$1,0)</f>
        <v>0</v>
      </c>
      <c r="G61" s="24" t="str">
        <f>VLOOKUP($B61,'Выгр Торг'!$B:$Q,G$1,0)</f>
        <v>8450104277</v>
      </c>
      <c r="H61" s="24" t="str">
        <f>IF(VLOOKUP($B61,'Выгр Торг'!$B:$Q,H$1,0)=0,"",VLOOKUP($B61,'Выгр Торг'!$B:$Q,H$1,0))</f>
        <v>https://motorring.ru/product/19951-krylo-perednee-levoe-dlya-lada-granta</v>
      </c>
      <c r="I61" s="24"/>
      <c r="J61" s="24"/>
      <c r="K61" s="35">
        <f t="shared" si="0"/>
        <v>6054</v>
      </c>
      <c r="L61" s="26">
        <f>VLOOKUP(K61,Наценка!$A$1:$B$8,2,1)</f>
        <v>1.35</v>
      </c>
      <c r="M61" s="27">
        <f t="shared" si="1"/>
        <v>8172.9000000000005</v>
      </c>
      <c r="N61" s="28">
        <f t="shared" si="2"/>
        <v>8190</v>
      </c>
      <c r="O61" s="24">
        <f>VLOOKUP($B61,'Выгр Торг'!$B:$Q,O$1,0)</f>
        <v>6054</v>
      </c>
      <c r="P61" s="24">
        <f>VLOOKUP($B61,'Выгр Торг'!$B:$Q,P$1,0)</f>
        <v>8390</v>
      </c>
      <c r="Q61" s="18">
        <f t="shared" si="3"/>
        <v>0</v>
      </c>
      <c r="R61" s="18">
        <f t="shared" si="4"/>
        <v>200</v>
      </c>
      <c r="S61" s="29">
        <f t="shared" si="5"/>
        <v>8190</v>
      </c>
      <c r="T61" s="30">
        <f t="shared" si="6"/>
        <v>0.35282457879088214</v>
      </c>
      <c r="U61" s="30" t="str">
        <f t="shared" si="7"/>
        <v/>
      </c>
      <c r="V61" s="30">
        <f t="shared" si="8"/>
        <v>-1</v>
      </c>
      <c r="W61" s="13">
        <f t="shared" si="12"/>
        <v>0</v>
      </c>
      <c r="X61" s="32">
        <f>IFERROR((VLOOKUP($B61,'Из ГУГЛа'!$B:$Z,X$1,0)+Z61)*Y61,VLOOKUP($B61,'Из ГУГЛа'!$B:$Z,X$1,0))</f>
        <v>0</v>
      </c>
      <c r="Y61" s="33">
        <v>1</v>
      </c>
      <c r="Z61" s="33"/>
      <c r="AA61" s="31"/>
      <c r="AB61" s="31" t="s">
        <v>2563</v>
      </c>
    </row>
    <row r="62" spans="1:28" ht="60" x14ac:dyDescent="0.25">
      <c r="A62" s="25" t="str">
        <f>INDEX('Выгр Торг'!$A:$A,MATCH($B62,'Выгр Торг'!$B:$B,0))</f>
        <v>Крыло "АвтоВАЗ" переднее левое без отверстия под повторитель для Лада Гранта FL</v>
      </c>
      <c r="B62" s="24">
        <v>160845</v>
      </c>
      <c r="C62" s="24">
        <f>VLOOKUP($B62,'Выгр Торг'!$B:$Q,C$1,0)</f>
        <v>153623</v>
      </c>
      <c r="D62" s="25" t="str">
        <f>VLOOKUP($B62,'Выгр Торг'!$B:$Q,D$1,0)</f>
        <v>Крыло переднее левое без отверстия под повторитель для Лада Гранта FL (Без покраски, С отверстиями под молдинг)</v>
      </c>
      <c r="E62" s="24" t="str">
        <f>VLOOKUP($B62,'Выгр Торг'!$B:$Q,E$1,0)</f>
        <v>Y</v>
      </c>
      <c r="F62" s="24">
        <f>VLOOKUP($B62,'Выгр Торг'!$B:$Q,F$1,0)</f>
        <v>0</v>
      </c>
      <c r="G62" s="24" t="str">
        <f>VLOOKUP($B62,'Выгр Торг'!$B:$Q,G$1,0)</f>
        <v>8450104276</v>
      </c>
      <c r="H62" s="24" t="str">
        <f>IF(VLOOKUP($B62,'Выгр Торг'!$B:$Q,H$1,0)=0,"",VLOOKUP($B62,'Выгр Торг'!$B:$Q,H$1,0))</f>
        <v>https://motorring.ru/product/35156-krylo-perednee-levoe-kataforez-lada-granta-fl-kross</v>
      </c>
      <c r="I62" s="24"/>
      <c r="J62" s="24"/>
      <c r="K62" s="35">
        <f t="shared" si="0"/>
        <v>5937</v>
      </c>
      <c r="L62" s="26">
        <f>VLOOKUP(K62,Наценка!$A$1:$B$8,2,1)</f>
        <v>1.35</v>
      </c>
      <c r="M62" s="27">
        <f t="shared" si="1"/>
        <v>8014.9500000000007</v>
      </c>
      <c r="N62" s="28">
        <f t="shared" si="2"/>
        <v>8090</v>
      </c>
      <c r="O62" s="24">
        <f>VLOOKUP($B62,'Выгр Торг'!$B:$Q,O$1,0)</f>
        <v>5937</v>
      </c>
      <c r="P62" s="24">
        <f>VLOOKUP($B62,'Выгр Торг'!$B:$Q,P$1,0)</f>
        <v>8390</v>
      </c>
      <c r="Q62" s="18">
        <f t="shared" si="3"/>
        <v>0</v>
      </c>
      <c r="R62" s="18">
        <f t="shared" si="4"/>
        <v>300</v>
      </c>
      <c r="S62" s="29">
        <f t="shared" si="5"/>
        <v>8090</v>
      </c>
      <c r="T62" s="30">
        <f t="shared" si="6"/>
        <v>0.36264106451069567</v>
      </c>
      <c r="U62" s="30" t="str">
        <f t="shared" si="7"/>
        <v/>
      </c>
      <c r="V62" s="30">
        <f t="shared" si="8"/>
        <v>-1</v>
      </c>
      <c r="W62" s="13">
        <f t="shared" si="12"/>
        <v>0</v>
      </c>
      <c r="X62" s="32">
        <f>IFERROR((VLOOKUP($B62,'Из ГУГЛа'!$B:$Z,X$1,0)+Z62)*Y62,VLOOKUP($B62,'Из ГУГЛа'!$B:$Z,X$1,0))</f>
        <v>0</v>
      </c>
      <c r="Y62" s="33">
        <v>1</v>
      </c>
      <c r="Z62" s="33"/>
      <c r="AA62" s="31"/>
      <c r="AB62" s="31" t="s">
        <v>2571</v>
      </c>
    </row>
    <row r="63" spans="1:28" ht="45" x14ac:dyDescent="0.25">
      <c r="A63" s="25" t="str">
        <f>INDEX('Выгр Торг'!$A:$A,MATCH($B63,'Выгр Торг'!$B:$B,0))</f>
        <v>Крыло "АвтоВАЗ" переднее левое для Лада Нива Travel</v>
      </c>
      <c r="B63" s="24">
        <v>247492</v>
      </c>
      <c r="C63" s="24">
        <f>VLOOKUP($B63,'Выгр Торг'!$B:$Q,C$1,0)</f>
        <v>171307</v>
      </c>
      <c r="D63" s="25" t="str">
        <f>VLOOKUP($B63,'Выгр Торг'!$B:$Q,D$1,0)</f>
        <v>Крыло "АвтоВАЗ" переднее левое для Лада Нива Travel (Без покраски, Без отверстия под шноркель)</v>
      </c>
      <c r="E63" s="24" t="str">
        <f>VLOOKUP($B63,'Выгр Торг'!$B:$Q,E$1,0)</f>
        <v>Y</v>
      </c>
      <c r="F63" s="24">
        <f>VLOOKUP($B63,'Выгр Торг'!$B:$Q,F$1,0)</f>
        <v>0</v>
      </c>
      <c r="G63" s="24" t="str">
        <f>VLOOKUP($B63,'Выгр Торг'!$B:$Q,G$1,0)</f>
        <v>21230840301181</v>
      </c>
      <c r="H63" s="24" t="str">
        <f>IF(VLOOKUP($B63,'Выгр Торг'!$B:$Q,H$1,0)=0,"",VLOOKUP($B63,'Выгр Торг'!$B:$Q,H$1,0))</f>
        <v>https://motorring.ru/product/36970-krylo-perednee-levoe-novogo-obrazca-lada-niva-trevel</v>
      </c>
      <c r="I63" s="24"/>
      <c r="J63" s="24"/>
      <c r="K63" s="35">
        <f t="shared" si="0"/>
        <v>6906</v>
      </c>
      <c r="L63" s="26">
        <f>VLOOKUP(K63,Наценка!$A$1:$B$8,2,1)</f>
        <v>1.35</v>
      </c>
      <c r="M63" s="27">
        <f t="shared" si="1"/>
        <v>9323.1</v>
      </c>
      <c r="N63" s="28">
        <f t="shared" si="2"/>
        <v>9390</v>
      </c>
      <c r="O63" s="24">
        <f>VLOOKUP($B63,'Выгр Торг'!$B:$Q,O$1,0)</f>
        <v>6906</v>
      </c>
      <c r="P63" s="24">
        <f>VLOOKUP($B63,'Выгр Торг'!$B:$Q,P$1,0)</f>
        <v>9890</v>
      </c>
      <c r="Q63" s="18">
        <f t="shared" si="3"/>
        <v>0</v>
      </c>
      <c r="R63" s="18">
        <f t="shared" si="4"/>
        <v>500</v>
      </c>
      <c r="S63" s="29">
        <f t="shared" si="5"/>
        <v>9390</v>
      </c>
      <c r="T63" s="30">
        <f t="shared" si="6"/>
        <v>0.35968722849695922</v>
      </c>
      <c r="U63" s="30" t="str">
        <f t="shared" si="7"/>
        <v/>
      </c>
      <c r="V63" s="30">
        <f t="shared" si="8"/>
        <v>-1</v>
      </c>
      <c r="W63" s="13">
        <f t="shared" si="12"/>
        <v>0</v>
      </c>
      <c r="X63" s="32">
        <f>IFERROR((VLOOKUP($B63,'Из ГУГЛа'!$B:$Z,X$1,0)+Z63)*Y63,VLOOKUP($B63,'Из ГУГЛа'!$B:$Z,X$1,0))</f>
        <v>0</v>
      </c>
      <c r="Y63" s="33">
        <v>1</v>
      </c>
      <c r="Z63" s="33"/>
      <c r="AA63" s="31"/>
      <c r="AB63" s="31" t="s">
        <v>2579</v>
      </c>
    </row>
    <row r="64" spans="1:28" ht="45" x14ac:dyDescent="0.25">
      <c r="A64" s="25" t="str">
        <f>INDEX('Выгр Торг'!$A:$A,MATCH($B64,'Выгр Торг'!$B:$B,0))</f>
        <v>Крыло "АвтоВАЗ" переднее левое для Лада Нива Travel</v>
      </c>
      <c r="B64" s="24">
        <v>247493</v>
      </c>
      <c r="C64" s="24">
        <f>VLOOKUP($B64,'Выгр Торг'!$B:$Q,C$1,0)</f>
        <v>171308</v>
      </c>
      <c r="D64" s="25" t="str">
        <f>VLOOKUP($B64,'Выгр Торг'!$B:$Q,D$1,0)</f>
        <v>Крыло "АвтоВАЗ" переднее левое для Лада Нива Travel (Без покраски, С отверстием под шноркель)</v>
      </c>
      <c r="E64" s="24" t="str">
        <f>VLOOKUP($B64,'Выгр Торг'!$B:$Q,E$1,0)</f>
        <v>Y</v>
      </c>
      <c r="F64" s="24">
        <f>VLOOKUP($B64,'Выгр Торг'!$B:$Q,F$1,0)</f>
        <v>0</v>
      </c>
      <c r="G64" s="24" t="str">
        <f>VLOOKUP($B64,'Выгр Торг'!$B:$Q,G$1,0)</f>
        <v>21230840301188</v>
      </c>
      <c r="H64" s="24" t="str">
        <f>IF(VLOOKUP($B64,'Выгр Торг'!$B:$Q,H$1,0)=0,"",VLOOKUP($B64,'Выгр Торг'!$B:$Q,H$1,0))</f>
        <v/>
      </c>
      <c r="I64" s="24"/>
      <c r="J64" s="24"/>
      <c r="K64" s="35">
        <f t="shared" si="0"/>
        <v>7392</v>
      </c>
      <c r="L64" s="26">
        <f>VLOOKUP(K64,Наценка!$A$1:$B$8,2,1)</f>
        <v>1.35</v>
      </c>
      <c r="M64" s="27">
        <f t="shared" si="1"/>
        <v>9979.2000000000007</v>
      </c>
      <c r="N64" s="28">
        <f t="shared" si="2"/>
        <v>9990</v>
      </c>
      <c r="O64" s="24">
        <f>VLOOKUP($B64,'Выгр Торг'!$B:$Q,O$1,0)</f>
        <v>7392</v>
      </c>
      <c r="P64" s="24">
        <f>VLOOKUP($B64,'Выгр Торг'!$B:$Q,P$1,0)</f>
        <v>10190</v>
      </c>
      <c r="Q64" s="18">
        <f t="shared" si="3"/>
        <v>0</v>
      </c>
      <c r="R64" s="18">
        <f t="shared" si="4"/>
        <v>200</v>
      </c>
      <c r="S64" s="29">
        <f t="shared" si="5"/>
        <v>9990</v>
      </c>
      <c r="T64" s="30">
        <f t="shared" si="6"/>
        <v>0.35146103896103886</v>
      </c>
      <c r="U64" s="30" t="str">
        <f t="shared" si="7"/>
        <v/>
      </c>
      <c r="V64" s="30" t="str">
        <f t="shared" si="8"/>
        <v/>
      </c>
      <c r="W64" s="13" t="str">
        <f t="shared" si="12"/>
        <v>9990 без шноркеля</v>
      </c>
      <c r="X64" s="32">
        <f>IFERROR((VLOOKUP($B64,'Из ГУГЛа'!$B:$Z,X$1,0)+Z64)*Y64,VLOOKUP($B64,'Из ГУГЛа'!$B:$Z,X$1,0))</f>
        <v>0</v>
      </c>
      <c r="Y64" s="33">
        <v>1</v>
      </c>
      <c r="Z64" s="33"/>
      <c r="AA64" s="64" t="s">
        <v>4209</v>
      </c>
      <c r="AB64" s="31" t="s">
        <v>2579</v>
      </c>
    </row>
    <row r="65" spans="1:28" ht="45" x14ac:dyDescent="0.25">
      <c r="A65" s="25" t="str">
        <f>INDEX('Выгр Торг'!$A:$A,MATCH($B65,'Выгр Торг'!$B:$B,0))</f>
        <v>Крыло "АвтоВАЗ" переднее правое для Лада Ларгус</v>
      </c>
      <c r="B65" s="24">
        <v>247514</v>
      </c>
      <c r="C65" s="24">
        <f>VLOOKUP($B65,'Выгр Торг'!$B:$Q,C$1,0)</f>
        <v>194274</v>
      </c>
      <c r="D65" s="25" t="str">
        <f>VLOOKUP($B65,'Выгр Торг'!$B:$Q,D$1,0)</f>
        <v>Крыло "АвтоВАЗ" переднее правое для Лада Ларгус (С отверстиями под молдинг, Без покраски)</v>
      </c>
      <c r="E65" s="24" t="str">
        <f>VLOOKUP($B65,'Выгр Торг'!$B:$Q,E$1,0)</f>
        <v>Y</v>
      </c>
      <c r="F65" s="24">
        <f>VLOOKUP($B65,'Выгр Торг'!$B:$Q,F$1,0)</f>
        <v>0</v>
      </c>
      <c r="G65" s="24" t="str">
        <f>VLOOKUP($B65,'Выгр Торг'!$B:$Q,G$1,0)</f>
        <v>631005857R</v>
      </c>
      <c r="H65" s="24" t="str">
        <f>IF(VLOOKUP($B65,'Выгр Торг'!$B:$Q,H$1,0)=0,"",VLOOKUP($B65,'Выгр Торг'!$B:$Q,H$1,0))</f>
        <v>https://motorring.ru/product/33153-krylo-perednee-pravoe-dlya-lada-largus-kross</v>
      </c>
      <c r="I65" s="24"/>
      <c r="J65" s="24"/>
      <c r="K65" s="35">
        <f t="shared" si="0"/>
        <v>5213</v>
      </c>
      <c r="L65" s="26">
        <f>VLOOKUP(K65,Наценка!$A$1:$B$8,2,1)</f>
        <v>1.35</v>
      </c>
      <c r="M65" s="27">
        <f t="shared" si="1"/>
        <v>7037.55</v>
      </c>
      <c r="N65" s="28">
        <f t="shared" si="2"/>
        <v>7090</v>
      </c>
      <c r="O65" s="24">
        <f>VLOOKUP($B65,'Выгр Торг'!$B:$Q,O$1,0)</f>
        <v>5213</v>
      </c>
      <c r="P65" s="24">
        <f>VLOOKUP($B65,'Выгр Торг'!$B:$Q,P$1,0)</f>
        <v>7190</v>
      </c>
      <c r="Q65" s="18">
        <f t="shared" si="3"/>
        <v>0</v>
      </c>
      <c r="R65" s="18">
        <f t="shared" si="4"/>
        <v>100</v>
      </c>
      <c r="S65" s="29">
        <f t="shared" si="5"/>
        <v>7090</v>
      </c>
      <c r="T65" s="30">
        <f t="shared" si="6"/>
        <v>0.36006138499904083</v>
      </c>
      <c r="U65" s="30" t="str">
        <f t="shared" si="7"/>
        <v/>
      </c>
      <c r="V65" s="30">
        <f t="shared" si="8"/>
        <v>-1</v>
      </c>
      <c r="W65" s="13">
        <f t="shared" si="12"/>
        <v>0</v>
      </c>
      <c r="X65" s="32">
        <f>IFERROR((VLOOKUP($B65,'Из ГУГЛа'!$B:$Z,X$1,0)+Z65)*Y65,VLOOKUP($B65,'Из ГУГЛа'!$B:$Z,X$1,0))</f>
        <v>0</v>
      </c>
      <c r="Y65" s="33">
        <v>1</v>
      </c>
      <c r="Z65" s="33"/>
      <c r="AA65" s="31"/>
      <c r="AB65" s="31" t="s">
        <v>2594</v>
      </c>
    </row>
    <row r="66" spans="1:28" ht="45" x14ac:dyDescent="0.25">
      <c r="A66" s="25" t="str">
        <f>INDEX('Выгр Торг'!$A:$A,MATCH($B66,'Выгр Торг'!$B:$B,0))</f>
        <v>Крыло "АвтоВАЗ" переднее правое для Лада Ларгус</v>
      </c>
      <c r="B66" s="24">
        <v>247530</v>
      </c>
      <c r="C66" s="24">
        <f>VLOOKUP($B66,'Выгр Торг'!$B:$Q,C$1,0)</f>
        <v>155842</v>
      </c>
      <c r="D66" s="25" t="str">
        <f>VLOOKUP($B66,'Выгр Торг'!$B:$Q,D$1,0)</f>
        <v>Крыло переднее правое для Лада Ларгус (Без отверстий под молдинг, Без покраски)</v>
      </c>
      <c r="E66" s="24" t="str">
        <f>VLOOKUP($B66,'Выгр Торг'!$B:$Q,E$1,0)</f>
        <v>Y</v>
      </c>
      <c r="F66" s="24">
        <f>VLOOKUP($B66,'Выгр Торг'!$B:$Q,F$1,0)</f>
        <v>0</v>
      </c>
      <c r="G66" s="24" t="str">
        <f>VLOOKUP($B66,'Выгр Торг'!$B:$Q,G$1,0)</f>
        <v>6001549973</v>
      </c>
      <c r="H66" s="24" t="str">
        <f>IF(VLOOKUP($B66,'Выгр Торг'!$B:$Q,H$1,0)=0,"",VLOOKUP($B66,'Выгр Торг'!$B:$Q,H$1,0))</f>
        <v>https://motorring.ru/product/10498-krylo-perednee-pravoe-cvet-lada-largus</v>
      </c>
      <c r="I66" s="24"/>
      <c r="J66" s="24"/>
      <c r="K66" s="35">
        <f t="shared" si="0"/>
        <v>4100</v>
      </c>
      <c r="L66" s="26">
        <f>VLOOKUP(K66,Наценка!$A$1:$B$8,2,1)</f>
        <v>1.4</v>
      </c>
      <c r="M66" s="27">
        <f t="shared" si="1"/>
        <v>5740</v>
      </c>
      <c r="N66" s="28">
        <f t="shared" si="2"/>
        <v>5790</v>
      </c>
      <c r="O66" s="24">
        <f>VLOOKUP($B66,'Выгр Торг'!$B:$Q,O$1,0)</f>
        <v>4100</v>
      </c>
      <c r="P66" s="24">
        <f>VLOOKUP($B66,'Выгр Торг'!$B:$Q,P$1,0)</f>
        <v>5890</v>
      </c>
      <c r="Q66" s="18">
        <f t="shared" si="3"/>
        <v>0</v>
      </c>
      <c r="R66" s="18">
        <f t="shared" si="4"/>
        <v>100</v>
      </c>
      <c r="S66" s="29">
        <f t="shared" si="5"/>
        <v>5790</v>
      </c>
      <c r="T66" s="30">
        <f t="shared" si="6"/>
        <v>0.41219512195121943</v>
      </c>
      <c r="U66" s="30" t="str">
        <f t="shared" si="7"/>
        <v/>
      </c>
      <c r="V66" s="30">
        <f t="shared" si="8"/>
        <v>-1</v>
      </c>
      <c r="W66" s="13">
        <f t="shared" si="12"/>
        <v>0</v>
      </c>
      <c r="X66" s="32">
        <f>IFERROR((VLOOKUP($B66,'Из ГУГЛа'!$B:$Z,X$1,0)+Z66)*Y66,VLOOKUP($B66,'Из ГУГЛа'!$B:$Z,X$1,0))</f>
        <v>0</v>
      </c>
      <c r="Y66" s="33">
        <v>1</v>
      </c>
      <c r="Z66" s="33"/>
      <c r="AA66" s="31"/>
      <c r="AB66" s="31" t="s">
        <v>2602</v>
      </c>
    </row>
    <row r="67" spans="1:28" ht="30" x14ac:dyDescent="0.25">
      <c r="A67" s="25" t="str">
        <f>INDEX('Выгр Торг'!$A:$A,MATCH($B67,'Выгр Торг'!$B:$B,0))</f>
        <v>Крыло "АвтоВАЗ" переднее правое для Лада Нива Travel</v>
      </c>
      <c r="B67" s="24">
        <v>247547</v>
      </c>
      <c r="C67" s="24">
        <f>VLOOKUP($B67,'Выгр Торг'!$B:$Q,C$1,0)</f>
        <v>171258</v>
      </c>
      <c r="D67" s="25" t="str">
        <f>VLOOKUP($B67,'Выгр Торг'!$B:$Q,D$1,0)</f>
        <v>Крыло "АвтоВАЗ" переднее правое для Лада Нива Travel (Без покраски)</v>
      </c>
      <c r="E67" s="24" t="str">
        <f>VLOOKUP($B67,'Выгр Торг'!$B:$Q,E$1,0)</f>
        <v>Y</v>
      </c>
      <c r="F67" s="24">
        <f>VLOOKUP($B67,'Выгр Торг'!$B:$Q,F$1,0)</f>
        <v>0</v>
      </c>
      <c r="G67" s="24" t="str">
        <f>VLOOKUP($B67,'Выгр Торг'!$B:$Q,G$1,0)</f>
        <v>21230840301081</v>
      </c>
      <c r="H67" s="24" t="str">
        <f>IF(VLOOKUP($B67,'Выгр Торг'!$B:$Q,H$1,0)=0,"",VLOOKUP($B67,'Выгр Торг'!$B:$Q,H$1,0))</f>
        <v>https://motorring.ru/product/36969-krylo-perednee-pravoe-novogo-obrazca-lada-niva-trevel</v>
      </c>
      <c r="I67" s="24"/>
      <c r="J67" s="24"/>
      <c r="K67" s="35">
        <f t="shared" ref="K67:K130" si="13">O67</f>
        <v>7043</v>
      </c>
      <c r="L67" s="26">
        <f>VLOOKUP(K67,Наценка!$A$1:$B$8,2,1)</f>
        <v>1.35</v>
      </c>
      <c r="M67" s="27">
        <f t="shared" si="1"/>
        <v>9508.0500000000011</v>
      </c>
      <c r="N67" s="28">
        <f t="shared" si="2"/>
        <v>9590</v>
      </c>
      <c r="O67" s="24">
        <f>VLOOKUP($B67,'Выгр Торг'!$B:$Q,O$1,0)</f>
        <v>7043</v>
      </c>
      <c r="P67" s="24">
        <f>VLOOKUP($B67,'Выгр Торг'!$B:$Q,P$1,0)</f>
        <v>9890</v>
      </c>
      <c r="Q67" s="18">
        <f t="shared" si="3"/>
        <v>0</v>
      </c>
      <c r="R67" s="18">
        <f t="shared" si="4"/>
        <v>300</v>
      </c>
      <c r="S67" s="29">
        <f t="shared" si="5"/>
        <v>9590</v>
      </c>
      <c r="T67" s="30">
        <f t="shared" si="6"/>
        <v>0.36163566661933833</v>
      </c>
      <c r="U67" s="30" t="str">
        <f t="shared" si="7"/>
        <v/>
      </c>
      <c r="V67" s="30">
        <f t="shared" si="8"/>
        <v>-1</v>
      </c>
      <c r="W67" s="13">
        <f t="shared" si="12"/>
        <v>0</v>
      </c>
      <c r="X67" s="32">
        <f>IFERROR((VLOOKUP($B67,'Из ГУГЛа'!$B:$Z,X$1,0)+Z67)*Y67,VLOOKUP($B67,'Из ГУГЛа'!$B:$Z,X$1,0))</f>
        <v>0</v>
      </c>
      <c r="Y67" s="33">
        <v>1</v>
      </c>
      <c r="Z67" s="33"/>
      <c r="AA67" s="31"/>
      <c r="AB67" s="31" t="s">
        <v>2609</v>
      </c>
    </row>
    <row r="68" spans="1:28" ht="60" x14ac:dyDescent="0.25">
      <c r="A68" s="25" t="str">
        <f>INDEX('Выгр Торг'!$A:$A,MATCH($B68,'Выгр Торг'!$B:$B,0))</f>
        <v>Крыло "АвтоВАЗ" переднее правое, без отверстия под повторитель для Лада Гранта FL</v>
      </c>
      <c r="B68" s="24">
        <v>160870</v>
      </c>
      <c r="C68" s="24">
        <f>VLOOKUP($B68,'Выгр Торг'!$B:$Q,C$1,0)</f>
        <v>153692</v>
      </c>
      <c r="D68" s="25" t="str">
        <f>VLOOKUP($B68,'Выгр Торг'!$B:$Q,D$1,0)</f>
        <v>Крыло переднее правое, без отверстия под повторитель для Лада Гранта FL (Без покраски, Без отверстий под молдинг)</v>
      </c>
      <c r="E68" s="24" t="str">
        <f>VLOOKUP($B68,'Выгр Торг'!$B:$Q,E$1,0)</f>
        <v>Y</v>
      </c>
      <c r="F68" s="24">
        <f>VLOOKUP($B68,'Выгр Торг'!$B:$Q,F$1,0)</f>
        <v>0</v>
      </c>
      <c r="G68" s="24" t="str">
        <f>VLOOKUP($B68,'Выгр Торг'!$B:$Q,G$1,0)</f>
        <v>8450104274</v>
      </c>
      <c r="H68" s="24" t="str">
        <f>IF(VLOOKUP($B68,'Выгр Торг'!$B:$Q,H$1,0)=0,"",VLOOKUP($B68,'Выгр Торг'!$B:$Q,H$1,0))</f>
        <v>https://motorring.ru/product/19952-krylo-perednee-pravoe-lada-granta</v>
      </c>
      <c r="I68" s="24"/>
      <c r="J68" s="24"/>
      <c r="K68" s="35">
        <f t="shared" si="13"/>
        <v>5896</v>
      </c>
      <c r="L68" s="26">
        <f>VLOOKUP(K68,Наценка!$A$1:$B$8,2,1)</f>
        <v>1.35</v>
      </c>
      <c r="M68" s="27">
        <f t="shared" ref="M68:M131" si="14">K68*L68</f>
        <v>7959.6</v>
      </c>
      <c r="N68" s="28">
        <f t="shared" ref="N68:N131" si="15">IF(M68&lt;=1000,(ROUNDUP(M68,-1)-1),(ROUNDUP(M68,-2)-10))</f>
        <v>7990</v>
      </c>
      <c r="O68" s="24">
        <f>VLOOKUP($B68,'Выгр Торг'!$B:$Q,O$1,0)</f>
        <v>5896</v>
      </c>
      <c r="P68" s="24">
        <f>VLOOKUP($B68,'Выгр Торг'!$B:$Q,P$1,0)</f>
        <v>8490</v>
      </c>
      <c r="Q68" s="18">
        <f t="shared" ref="Q68:Q131" si="16">O68-K68</f>
        <v>0</v>
      </c>
      <c r="R68" s="18">
        <f t="shared" ref="R68:R131" si="17">P68-N68</f>
        <v>500</v>
      </c>
      <c r="S68" s="29">
        <f t="shared" ref="S68:S131" si="18">IFERROR(ROUND(N68*(1-$S$2),),"")</f>
        <v>7990</v>
      </c>
      <c r="T68" s="30">
        <f t="shared" ref="T68:T131" si="19">IFERROR(S68/K68-1,"")</f>
        <v>0.3551560379918588</v>
      </c>
      <c r="U68" s="30" t="str">
        <f t="shared" ref="U68:U131" si="20">IFERROR((W68-S68)/W68,"")</f>
        <v/>
      </c>
      <c r="V68" s="30">
        <f t="shared" ref="V68:V131" si="21">IFERROR(IF(W68="","",W68/K68-1),"")</f>
        <v>-1</v>
      </c>
      <c r="W68" s="13">
        <f t="shared" si="12"/>
        <v>0</v>
      </c>
      <c r="X68" s="32">
        <f>IFERROR((VLOOKUP($B68,'Из ГУГЛа'!$B:$Z,X$1,0)+Z68)*Y68,VLOOKUP($B68,'Из ГУГЛа'!$B:$Z,X$1,0))</f>
        <v>0</v>
      </c>
      <c r="Y68" s="33">
        <v>1</v>
      </c>
      <c r="Z68" s="33"/>
      <c r="AA68" s="31"/>
      <c r="AB68" s="31" t="s">
        <v>2617</v>
      </c>
    </row>
    <row r="69" spans="1:28" ht="60" x14ac:dyDescent="0.25">
      <c r="A69" s="25" t="str">
        <f>INDEX('Выгр Торг'!$A:$A,MATCH($B69,'Выгр Торг'!$B:$B,0))</f>
        <v>Крыло "АвтоВАЗ" переднее правое, без отверстия под повторитель для Лада Гранта FL</v>
      </c>
      <c r="B69" s="24">
        <v>160871</v>
      </c>
      <c r="C69" s="24">
        <f>VLOOKUP($B69,'Выгр Торг'!$B:$Q,C$1,0)</f>
        <v>153693</v>
      </c>
      <c r="D69" s="25" t="str">
        <f>VLOOKUP($B69,'Выгр Торг'!$B:$Q,D$1,0)</f>
        <v>Крыло переднее правое, без отверстия под повторитель для Лада Гранта FL (Без покраски, С отверстиями под молдинг)</v>
      </c>
      <c r="E69" s="24" t="str">
        <f>VLOOKUP($B69,'Выгр Торг'!$B:$Q,E$1,0)</f>
        <v>Y</v>
      </c>
      <c r="F69" s="24">
        <f>VLOOKUP($B69,'Выгр Торг'!$B:$Q,F$1,0)</f>
        <v>0</v>
      </c>
      <c r="G69" s="24" t="str">
        <f>VLOOKUP($B69,'Выгр Торг'!$B:$Q,G$1,0)</f>
        <v>8450104273</v>
      </c>
      <c r="H69" s="24" t="str">
        <f>IF(VLOOKUP($B69,'Выгр Торг'!$B:$Q,H$1,0)=0,"",VLOOKUP($B69,'Выгр Торг'!$B:$Q,H$1,0))</f>
        <v>https://motorring.ru/product/35152-krylo-perednee-pravoe-kataforez-lada-granta-fl-kross</v>
      </c>
      <c r="I69" s="24"/>
      <c r="J69" s="24"/>
      <c r="K69" s="35">
        <f t="shared" si="13"/>
        <v>6144</v>
      </c>
      <c r="L69" s="26">
        <f>VLOOKUP(K69,Наценка!$A$1:$B$8,2,1)</f>
        <v>1.35</v>
      </c>
      <c r="M69" s="27">
        <f t="shared" si="14"/>
        <v>8294.4000000000015</v>
      </c>
      <c r="N69" s="28">
        <f t="shared" si="15"/>
        <v>8290</v>
      </c>
      <c r="O69" s="24">
        <f>VLOOKUP($B69,'Выгр Торг'!$B:$Q,O$1,0)</f>
        <v>6144</v>
      </c>
      <c r="P69" s="24">
        <f>VLOOKUP($B69,'Выгр Торг'!$B:$Q,P$1,0)</f>
        <v>8390</v>
      </c>
      <c r="Q69" s="18">
        <f t="shared" si="16"/>
        <v>0</v>
      </c>
      <c r="R69" s="18">
        <f t="shared" si="17"/>
        <v>100</v>
      </c>
      <c r="S69" s="29">
        <f t="shared" si="18"/>
        <v>8290</v>
      </c>
      <c r="T69" s="30">
        <f t="shared" si="19"/>
        <v>0.34928385416666674</v>
      </c>
      <c r="U69" s="30" t="str">
        <f t="shared" si="20"/>
        <v/>
      </c>
      <c r="V69" s="30">
        <f t="shared" si="21"/>
        <v>-1</v>
      </c>
      <c r="W69" s="13">
        <f t="shared" si="12"/>
        <v>0</v>
      </c>
      <c r="X69" s="32">
        <f>IFERROR((VLOOKUP($B69,'Из ГУГЛа'!$B:$Z,X$1,0)+Z69)*Y69,VLOOKUP($B69,'Из ГУГЛа'!$B:$Z,X$1,0))</f>
        <v>0</v>
      </c>
      <c r="Y69" s="33">
        <v>1</v>
      </c>
      <c r="Z69" s="33"/>
      <c r="AA69" s="31"/>
      <c r="AB69" s="31" t="s">
        <v>2625</v>
      </c>
    </row>
    <row r="70" spans="1:28" ht="30" x14ac:dyDescent="0.25">
      <c r="A70" s="25" t="str">
        <f>INDEX('Выгр Торг'!$A:$A,MATCH($B70,'Выгр Торг'!$B:$B,0))</f>
        <v>Крыло левое для ВАЗ 2110-2112</v>
      </c>
      <c r="B70" s="24">
        <v>160929</v>
      </c>
      <c r="C70" s="24">
        <f>VLOOKUP($B70,'Выгр Торг'!$B:$Q,C$1,0)</f>
        <v>155767</v>
      </c>
      <c r="D70" s="25" t="str">
        <f>VLOOKUP($B70,'Выгр Торг'!$B:$Q,D$1,0)</f>
        <v>Крыло левое для ВАЗ 2110-2112 (Без покраски)</v>
      </c>
      <c r="E70" s="24" t="str">
        <f>VLOOKUP($B70,'Выгр Торг'!$B:$Q,E$1,0)</f>
        <v>Y</v>
      </c>
      <c r="F70" s="24">
        <f>VLOOKUP($B70,'Выгр Торг'!$B:$Q,F$1,0)</f>
        <v>0</v>
      </c>
      <c r="G70" s="24" t="str">
        <f>VLOOKUP($B70,'Выгр Торг'!$B:$Q,G$1,0)</f>
        <v>21100840301530</v>
      </c>
      <c r="H70" s="24" t="str">
        <f>IF(VLOOKUP($B70,'Выгр Торг'!$B:$Q,H$1,0)=0,"",VLOOKUP($B70,'Выгр Торг'!$B:$Q,H$1,0))</f>
        <v>https://motorring.ru/product/16047-krylo-perednee-levoe-cvet-vaz-2110-2112</v>
      </c>
      <c r="I70" s="24"/>
      <c r="J70" s="24"/>
      <c r="K70" s="35">
        <f t="shared" si="13"/>
        <v>1522</v>
      </c>
      <c r="L70" s="26">
        <f>VLOOKUP(K70,Наценка!$A$1:$B$8,2,1)</f>
        <v>1.5</v>
      </c>
      <c r="M70" s="27">
        <f t="shared" si="14"/>
        <v>2283</v>
      </c>
      <c r="N70" s="28">
        <f t="shared" si="15"/>
        <v>2290</v>
      </c>
      <c r="O70" s="24">
        <f>VLOOKUP($B70,'Выгр Торг'!$B:$Q,O$1,0)</f>
        <v>1522</v>
      </c>
      <c r="P70" s="24">
        <f>VLOOKUP($B70,'Выгр Торг'!$B:$Q,P$1,0)</f>
        <v>2590</v>
      </c>
      <c r="Q70" s="18">
        <f t="shared" si="16"/>
        <v>0</v>
      </c>
      <c r="R70" s="18">
        <f t="shared" si="17"/>
        <v>300</v>
      </c>
      <c r="S70" s="29">
        <f t="shared" si="18"/>
        <v>2290</v>
      </c>
      <c r="T70" s="30">
        <f t="shared" si="19"/>
        <v>0.50459921156373189</v>
      </c>
      <c r="U70" s="30" t="str">
        <f t="shared" si="20"/>
        <v/>
      </c>
      <c r="V70" s="30">
        <f t="shared" si="21"/>
        <v>-1</v>
      </c>
      <c r="W70" s="13">
        <f t="shared" si="12"/>
        <v>0</v>
      </c>
      <c r="X70" s="32">
        <f>IFERROR((VLOOKUP($B70,'Из ГУГЛа'!$B:$Z,X$1,0)+Z70)*Y70,VLOOKUP($B70,'Из ГУГЛа'!$B:$Z,X$1,0))</f>
        <v>0</v>
      </c>
      <c r="Y70" s="33">
        <v>1</v>
      </c>
      <c r="Z70" s="33"/>
      <c r="AA70" s="31"/>
      <c r="AB70" s="31" t="s">
        <v>2633</v>
      </c>
    </row>
    <row r="71" spans="1:28" ht="30" x14ac:dyDescent="0.25">
      <c r="A71" s="25" t="str">
        <f>INDEX('Выгр Торг'!$A:$A,MATCH($B71,'Выгр Торг'!$B:$B,0))</f>
        <v>Крыло левое для Лада Калина</v>
      </c>
      <c r="B71" s="24">
        <v>160956</v>
      </c>
      <c r="C71" s="24">
        <f>VLOOKUP($B71,'Выгр Торг'!$B:$Q,C$1,0)</f>
        <v>155879</v>
      </c>
      <c r="D71" s="25" t="str">
        <f>VLOOKUP($B71,'Выгр Торг'!$B:$Q,D$1,0)</f>
        <v>Крыло левое для Лада Калина (Без покраски)</v>
      </c>
      <c r="E71" s="24" t="str">
        <f>VLOOKUP($B71,'Выгр Торг'!$B:$Q,E$1,0)</f>
        <v>Y</v>
      </c>
      <c r="F71" s="24">
        <f>VLOOKUP($B71,'Выгр Торг'!$B:$Q,F$1,0)</f>
        <v>0</v>
      </c>
      <c r="G71" s="24" t="str">
        <f>VLOOKUP($B71,'Выгр Торг'!$B:$Q,G$1,0)</f>
        <v>11180840301170</v>
      </c>
      <c r="H71" s="24" t="str">
        <f>IF(VLOOKUP($B71,'Выгр Торг'!$B:$Q,H$1,0)=0,"",VLOOKUP($B71,'Выгр Торг'!$B:$Q,H$1,0))</f>
        <v>https://motorring.ru/product/16062-krylo-perednee-levoe-cvet-lada-kalina</v>
      </c>
      <c r="I71" s="24"/>
      <c r="J71" s="24"/>
      <c r="K71" s="35">
        <f t="shared" si="13"/>
        <v>5547</v>
      </c>
      <c r="L71" s="26">
        <f>VLOOKUP(K71,Наценка!$A$1:$B$8,2,1)</f>
        <v>1.35</v>
      </c>
      <c r="M71" s="27">
        <f t="shared" si="14"/>
        <v>7488.4500000000007</v>
      </c>
      <c r="N71" s="28">
        <f t="shared" si="15"/>
        <v>7490</v>
      </c>
      <c r="O71" s="24">
        <f>VLOOKUP($B71,'Выгр Торг'!$B:$Q,O$1,0)</f>
        <v>5547</v>
      </c>
      <c r="P71" s="24">
        <f>VLOOKUP($B71,'Выгр Торг'!$B:$Q,P$1,0)</f>
        <v>8890</v>
      </c>
      <c r="Q71" s="18">
        <f t="shared" si="16"/>
        <v>0</v>
      </c>
      <c r="R71" s="18">
        <f t="shared" si="17"/>
        <v>1400</v>
      </c>
      <c r="S71" s="29">
        <f t="shared" si="18"/>
        <v>7490</v>
      </c>
      <c r="T71" s="30">
        <f t="shared" si="19"/>
        <v>0.35027943032269704</v>
      </c>
      <c r="U71" s="30" t="str">
        <f t="shared" si="20"/>
        <v/>
      </c>
      <c r="V71" s="30">
        <f t="shared" si="21"/>
        <v>-1</v>
      </c>
      <c r="W71" s="13">
        <f t="shared" si="12"/>
        <v>0</v>
      </c>
      <c r="X71" s="32">
        <f>IFERROR((VLOOKUP($B71,'Из ГУГЛа'!$B:$Z,X$1,0)+Z71)*Y71,VLOOKUP($B71,'Из ГУГЛа'!$B:$Z,X$1,0))</f>
        <v>0</v>
      </c>
      <c r="Y71" s="33">
        <v>1</v>
      </c>
      <c r="Z71" s="33"/>
      <c r="AA71" s="31"/>
      <c r="AB71" s="31" t="s">
        <v>2641</v>
      </c>
    </row>
    <row r="72" spans="1:28" ht="45" x14ac:dyDescent="0.25">
      <c r="A72" s="25" t="str">
        <f>INDEX('Выгр Торг'!$A:$A,MATCH($B72,'Выгр Торг'!$B:$B,0))</f>
        <v>Крыло левое для Лада Калина 2, Гранта</v>
      </c>
      <c r="B72" s="24">
        <v>160987</v>
      </c>
      <c r="C72" s="24">
        <f>VLOOKUP($B72,'Выгр Торг'!$B:$Q,C$1,0)</f>
        <v>157313</v>
      </c>
      <c r="D72" s="25" t="str">
        <f>VLOOKUP($B72,'Выгр Торг'!$B:$Q,D$1,0)</f>
        <v>Крыло левое для Лада Калина 2, Гранта (Без покраски, Без отверстий под молдинг)</v>
      </c>
      <c r="E72" s="24" t="str">
        <f>VLOOKUP($B72,'Выгр Торг'!$B:$Q,E$1,0)</f>
        <v>Y</v>
      </c>
      <c r="F72" s="24">
        <f>VLOOKUP($B72,'Выгр Торг'!$B:$Q,F$1,0)</f>
        <v>0</v>
      </c>
      <c r="G72" s="24" t="str">
        <f>VLOOKUP($B72,'Выгр Торг'!$B:$Q,G$1,0)</f>
        <v>21900840301170</v>
      </c>
      <c r="H72" s="24" t="str">
        <f>IF(VLOOKUP($B72,'Выгр Торг'!$B:$Q,H$1,0)=0,"",VLOOKUP($B72,'Выгр Торг'!$B:$Q,H$1,0))</f>
        <v>https://motorring.ru/product/16058-krylo-perednee-levoe-cvet-lada-kalina-granta</v>
      </c>
      <c r="I72" s="24"/>
      <c r="J72" s="24"/>
      <c r="K72" s="35">
        <f t="shared" si="13"/>
        <v>6144</v>
      </c>
      <c r="L72" s="26">
        <f>VLOOKUP(K72,Наценка!$A$1:$B$8,2,1)</f>
        <v>1.35</v>
      </c>
      <c r="M72" s="27">
        <f t="shared" si="14"/>
        <v>8294.4000000000015</v>
      </c>
      <c r="N72" s="28">
        <f t="shared" si="15"/>
        <v>8290</v>
      </c>
      <c r="O72" s="24">
        <f>VLOOKUP($B72,'Выгр Торг'!$B:$Q,O$1,0)</f>
        <v>6144</v>
      </c>
      <c r="P72" s="24">
        <f>VLOOKUP($B72,'Выгр Торг'!$B:$Q,P$1,0)</f>
        <v>8390</v>
      </c>
      <c r="Q72" s="18">
        <f t="shared" si="16"/>
        <v>0</v>
      </c>
      <c r="R72" s="18">
        <f t="shared" si="17"/>
        <v>100</v>
      </c>
      <c r="S72" s="29">
        <f t="shared" si="18"/>
        <v>8290</v>
      </c>
      <c r="T72" s="30">
        <f t="shared" si="19"/>
        <v>0.34928385416666674</v>
      </c>
      <c r="U72" s="30" t="str">
        <f t="shared" si="20"/>
        <v/>
      </c>
      <c r="V72" s="30">
        <f t="shared" si="21"/>
        <v>-1</v>
      </c>
      <c r="W72" s="13">
        <f t="shared" si="12"/>
        <v>0</v>
      </c>
      <c r="X72" s="32">
        <f>IFERROR((VLOOKUP($B72,'Из ГУГЛа'!$B:$Z,X$1,0)+Z72)*Y72,VLOOKUP($B72,'Из ГУГЛа'!$B:$Z,X$1,0))</f>
        <v>0</v>
      </c>
      <c r="Y72" s="33">
        <v>1</v>
      </c>
      <c r="Z72" s="33"/>
      <c r="AA72" s="31"/>
      <c r="AB72" s="31" t="s">
        <v>2649</v>
      </c>
    </row>
    <row r="73" spans="1:28" ht="45" x14ac:dyDescent="0.25">
      <c r="A73" s="25" t="str">
        <f>INDEX('Выгр Торг'!$A:$A,MATCH($B73,'Выгр Торг'!$B:$B,0))</f>
        <v>Крыло левое для Лада Калина 2, Гранта</v>
      </c>
      <c r="B73" s="24">
        <v>160988</v>
      </c>
      <c r="C73" s="24">
        <f>VLOOKUP($B73,'Выгр Торг'!$B:$Q,C$1,0)</f>
        <v>157314</v>
      </c>
      <c r="D73" s="25" t="str">
        <f>VLOOKUP($B73,'Выгр Торг'!$B:$Q,D$1,0)</f>
        <v>Крыло левое для Лада Калина 2, Гранта (Без покраски, С отверстиями под молдинг)</v>
      </c>
      <c r="E73" s="24" t="str">
        <f>VLOOKUP($B73,'Выгр Торг'!$B:$Q,E$1,0)</f>
        <v>Y</v>
      </c>
      <c r="F73" s="24">
        <f>VLOOKUP($B73,'Выгр Торг'!$B:$Q,F$1,0)</f>
        <v>0</v>
      </c>
      <c r="G73" s="24" t="str">
        <f>VLOOKUP($B73,'Выгр Торг'!$B:$Q,G$1,0)</f>
        <v>21900840301175</v>
      </c>
      <c r="H73" s="24" t="str">
        <f>IF(VLOOKUP($B73,'Выгр Торг'!$B:$Q,H$1,0)=0,"",VLOOKUP($B73,'Выгр Торг'!$B:$Q,H$1,0))</f>
        <v>https://motorring.ru/product/27676-krylo-perednee-levoe-lada-granta-fl-cross</v>
      </c>
      <c r="I73" s="24"/>
      <c r="J73" s="24"/>
      <c r="K73" s="35">
        <f t="shared" si="13"/>
        <v>6400</v>
      </c>
      <c r="L73" s="26">
        <f>VLOOKUP(K73,Наценка!$A$1:$B$8,2,1)</f>
        <v>1.35</v>
      </c>
      <c r="M73" s="27">
        <f t="shared" si="14"/>
        <v>8640</v>
      </c>
      <c r="N73" s="28">
        <f t="shared" si="15"/>
        <v>8690</v>
      </c>
      <c r="O73" s="24">
        <f>VLOOKUP($B73,'Выгр Торг'!$B:$Q,O$1,0)</f>
        <v>6400</v>
      </c>
      <c r="P73" s="24">
        <f>VLOOKUP($B73,'Выгр Торг'!$B:$Q,P$1,0)</f>
        <v>9090</v>
      </c>
      <c r="Q73" s="18">
        <f t="shared" si="16"/>
        <v>0</v>
      </c>
      <c r="R73" s="18">
        <f t="shared" si="17"/>
        <v>400</v>
      </c>
      <c r="S73" s="29">
        <f t="shared" si="18"/>
        <v>8690</v>
      </c>
      <c r="T73" s="30">
        <f t="shared" si="19"/>
        <v>0.35781250000000009</v>
      </c>
      <c r="U73" s="30" t="str">
        <f t="shared" si="20"/>
        <v/>
      </c>
      <c r="V73" s="30">
        <f t="shared" si="21"/>
        <v>-1</v>
      </c>
      <c r="W73" s="13">
        <f t="shared" si="12"/>
        <v>0</v>
      </c>
      <c r="X73" s="32">
        <f>IFERROR((VLOOKUP($B73,'Из ГУГЛа'!$B:$Z,X$1,0)+Z73)*Y73,VLOOKUP($B73,'Из ГУГЛа'!$B:$Z,X$1,0))</f>
        <v>0</v>
      </c>
      <c r="Y73" s="33">
        <v>1</v>
      </c>
      <c r="Z73" s="33"/>
      <c r="AA73" s="31"/>
      <c r="AB73" s="31" t="s">
        <v>2657</v>
      </c>
    </row>
    <row r="74" spans="1:28" ht="45" x14ac:dyDescent="0.25">
      <c r="A74" s="25" t="str">
        <f>INDEX('Выгр Торг'!$A:$A,MATCH($B74,'Выгр Торг'!$B:$B,0))</f>
        <v>Крыло переднее левое для Лада Ларгус</v>
      </c>
      <c r="B74" s="24">
        <v>247988</v>
      </c>
      <c r="C74" s="24">
        <f>VLOOKUP($B74,'Выгр Торг'!$B:$Q,C$1,0)</f>
        <v>155824</v>
      </c>
      <c r="D74" s="25" t="str">
        <f>VLOOKUP($B74,'Выгр Торг'!$B:$Q,D$1,0)</f>
        <v>Крыло переднее левое для Лада Ларгус (Без отверстий под молдинг, Без покраски)</v>
      </c>
      <c r="E74" s="24" t="str">
        <f>VLOOKUP($B74,'Выгр Торг'!$B:$Q,E$1,0)</f>
        <v>Y</v>
      </c>
      <c r="F74" s="24">
        <f>VLOOKUP($B74,'Выгр Торг'!$B:$Q,F$1,0)</f>
        <v>0</v>
      </c>
      <c r="G74" s="24" t="str">
        <f>VLOOKUP($B74,'Выгр Торг'!$B:$Q,G$1,0)</f>
        <v>6001549971</v>
      </c>
      <c r="H74" s="24" t="str">
        <f>IF(VLOOKUP($B74,'Выгр Торг'!$B:$Q,H$1,0)=0,"",VLOOKUP($B74,'Выгр Торг'!$B:$Q,H$1,0))</f>
        <v>https://motorring.ru/product/33154-krylo-perednee-levoe-dlya-lada-largus-kross</v>
      </c>
      <c r="I74" s="24"/>
      <c r="J74" s="24"/>
      <c r="K74" s="35">
        <f t="shared" si="13"/>
        <v>4600</v>
      </c>
      <c r="L74" s="26">
        <f>VLOOKUP(K74,Наценка!$A$1:$B$8,2,1)</f>
        <v>1.4</v>
      </c>
      <c r="M74" s="27">
        <f t="shared" si="14"/>
        <v>6440</v>
      </c>
      <c r="N74" s="28">
        <f t="shared" si="15"/>
        <v>6490</v>
      </c>
      <c r="O74" s="24">
        <f>VLOOKUP($B74,'Выгр Торг'!$B:$Q,O$1,0)</f>
        <v>4600</v>
      </c>
      <c r="P74" s="24">
        <f>VLOOKUP($B74,'Выгр Торг'!$B:$Q,P$1,0)</f>
        <v>6590</v>
      </c>
      <c r="Q74" s="18">
        <f t="shared" si="16"/>
        <v>0</v>
      </c>
      <c r="R74" s="18">
        <f t="shared" si="17"/>
        <v>100</v>
      </c>
      <c r="S74" s="29">
        <f t="shared" si="18"/>
        <v>6490</v>
      </c>
      <c r="T74" s="30">
        <f t="shared" si="19"/>
        <v>0.41086956521739126</v>
      </c>
      <c r="U74" s="30" t="str">
        <f t="shared" si="20"/>
        <v/>
      </c>
      <c r="V74" s="30">
        <f t="shared" si="21"/>
        <v>-1</v>
      </c>
      <c r="W74" s="13">
        <f t="shared" si="12"/>
        <v>0</v>
      </c>
      <c r="X74" s="32">
        <f>IFERROR((VLOOKUP($B74,'Из ГУГЛа'!$B:$Z,X$1,0)+Z74)*Y74,VLOOKUP($B74,'Из ГУГЛа'!$B:$Z,X$1,0))</f>
        <v>0</v>
      </c>
      <c r="Y74" s="33">
        <v>1</v>
      </c>
      <c r="Z74" s="33"/>
      <c r="AA74" s="31"/>
      <c r="AB74" s="31" t="s">
        <v>2665</v>
      </c>
    </row>
    <row r="75" spans="1:28" ht="45" x14ac:dyDescent="0.25">
      <c r="A75" s="25" t="str">
        <f>INDEX('Выгр Торг'!$A:$A,MATCH($B75,'Выгр Торг'!$B:$B,0))</f>
        <v>Крыло переднее левое для Лада Ларгус</v>
      </c>
      <c r="B75" s="24">
        <v>248004</v>
      </c>
      <c r="C75" s="24">
        <f>VLOOKUP($B75,'Выгр Торг'!$B:$Q,C$1,0)</f>
        <v>194256</v>
      </c>
      <c r="D75" s="25" t="str">
        <f>VLOOKUP($B75,'Выгр Торг'!$B:$Q,D$1,0)</f>
        <v>Крыло переднее левое для Лада Ларгус (С отверстиями под молдинг, Без покраски)</v>
      </c>
      <c r="E75" s="24" t="str">
        <f>VLOOKUP($B75,'Выгр Торг'!$B:$Q,E$1,0)</f>
        <v>Y</v>
      </c>
      <c r="F75" s="24">
        <f>VLOOKUP($B75,'Выгр Торг'!$B:$Q,F$1,0)</f>
        <v>0</v>
      </c>
      <c r="G75" s="24" t="str">
        <f>VLOOKUP($B75,'Выгр Торг'!$B:$Q,G$1,0)</f>
        <v>631018778R</v>
      </c>
      <c r="H75" s="24" t="str">
        <f>IF(VLOOKUP($B75,'Выгр Торг'!$B:$Q,H$1,0)=0,"",VLOOKUP($B75,'Выгр Торг'!$B:$Q,H$1,0))</f>
        <v>https://motorring.ru/product/33154-krylo-perednee-levoe-dlya-lada-largus-kross</v>
      </c>
      <c r="I75" s="24"/>
      <c r="J75" s="24"/>
      <c r="K75" s="35">
        <f t="shared" si="13"/>
        <v>5750</v>
      </c>
      <c r="L75" s="26">
        <f>VLOOKUP(K75,Наценка!$A$1:$B$8,2,1)</f>
        <v>1.35</v>
      </c>
      <c r="M75" s="27">
        <f t="shared" si="14"/>
        <v>7762.5000000000009</v>
      </c>
      <c r="N75" s="28">
        <f t="shared" si="15"/>
        <v>7790</v>
      </c>
      <c r="O75" s="24">
        <f>VLOOKUP($B75,'Выгр Торг'!$B:$Q,O$1,0)</f>
        <v>5750</v>
      </c>
      <c r="P75" s="24">
        <f>VLOOKUP($B75,'Выгр Торг'!$B:$Q,P$1,0)</f>
        <v>7990</v>
      </c>
      <c r="Q75" s="18">
        <f t="shared" si="16"/>
        <v>0</v>
      </c>
      <c r="R75" s="18">
        <f t="shared" si="17"/>
        <v>200</v>
      </c>
      <c r="S75" s="29">
        <f t="shared" si="18"/>
        <v>7790</v>
      </c>
      <c r="T75" s="30">
        <f t="shared" si="19"/>
        <v>0.35478260869565226</v>
      </c>
      <c r="U75" s="30" t="str">
        <f t="shared" si="20"/>
        <v/>
      </c>
      <c r="V75" s="30">
        <f t="shared" si="21"/>
        <v>-1</v>
      </c>
      <c r="W75" s="13">
        <f t="shared" si="12"/>
        <v>0</v>
      </c>
      <c r="X75" s="32">
        <f>IFERROR((VLOOKUP($B75,'Из ГУГЛа'!$B:$Z,X$1,0)+Z75)*Y75,VLOOKUP($B75,'Из ГУГЛа'!$B:$Z,X$1,0))</f>
        <v>0</v>
      </c>
      <c r="Y75" s="33">
        <v>1</v>
      </c>
      <c r="Z75" s="33"/>
      <c r="AA75" s="31"/>
      <c r="AB75" s="31" t="s">
        <v>2665</v>
      </c>
    </row>
    <row r="76" spans="1:28" ht="45" x14ac:dyDescent="0.25">
      <c r="A76" s="25" t="str">
        <f>INDEX('Выгр Торг'!$A:$A,MATCH($B76,'Выгр Торг'!$B:$B,0))</f>
        <v>Крыло переднее левое, с отверстием под повторитель для Лада Гранта FL</v>
      </c>
      <c r="B76" s="24">
        <v>161116</v>
      </c>
      <c r="C76" s="24">
        <f>VLOOKUP($B76,'Выгр Торг'!$B:$Q,C$1,0)</f>
        <v>153653</v>
      </c>
      <c r="D76" s="25" t="str">
        <f>VLOOKUP($B76,'Выгр Торг'!$B:$Q,D$1,0)</f>
        <v>Крыло переднее левое, с отверстием под повторитель для Лада Гранта FL (Без покраски)</v>
      </c>
      <c r="E76" s="24" t="str">
        <f>VLOOKUP($B76,'Выгр Торг'!$B:$Q,E$1,0)</f>
        <v>Y</v>
      </c>
      <c r="F76" s="24">
        <f>VLOOKUP($B76,'Выгр Торг'!$B:$Q,F$1,0)</f>
        <v>0</v>
      </c>
      <c r="G76" s="24" t="str">
        <f>VLOOKUP($B76,'Выгр Торг'!$B:$Q,G$1,0)</f>
        <v>8450104275</v>
      </c>
      <c r="H76" s="24" t="str">
        <f>IF(VLOOKUP($B76,'Выгр Торг'!$B:$Q,H$1,0)=0,"",VLOOKUP($B76,'Выгр Торг'!$B:$Q,H$1,0))</f>
        <v>https://motorring.ru/product/36962-krylo-perednee-levoe-kataforez-pod-povorotnik-lada-granta-fl</v>
      </c>
      <c r="I76" s="24"/>
      <c r="J76" s="24"/>
      <c r="K76" s="35">
        <f t="shared" si="13"/>
        <v>5702</v>
      </c>
      <c r="L76" s="26">
        <f>VLOOKUP(K76,Наценка!$A$1:$B$8,2,1)</f>
        <v>1.35</v>
      </c>
      <c r="M76" s="27">
        <f t="shared" si="14"/>
        <v>7697.7000000000007</v>
      </c>
      <c r="N76" s="28">
        <f t="shared" si="15"/>
        <v>7690</v>
      </c>
      <c r="O76" s="24">
        <f>VLOOKUP($B76,'Выгр Торг'!$B:$Q,O$1,0)</f>
        <v>5702</v>
      </c>
      <c r="P76" s="24">
        <f>VLOOKUP($B76,'Выгр Торг'!$B:$Q,P$1,0)</f>
        <v>8390</v>
      </c>
      <c r="Q76" s="18">
        <f t="shared" si="16"/>
        <v>0</v>
      </c>
      <c r="R76" s="18">
        <f t="shared" si="17"/>
        <v>700</v>
      </c>
      <c r="S76" s="29">
        <f t="shared" si="18"/>
        <v>7690</v>
      </c>
      <c r="T76" s="30">
        <f t="shared" si="19"/>
        <v>0.34864959663276052</v>
      </c>
      <c r="U76" s="30" t="str">
        <f t="shared" si="20"/>
        <v/>
      </c>
      <c r="V76" s="30">
        <f t="shared" si="21"/>
        <v>-1</v>
      </c>
      <c r="W76" s="13">
        <f t="shared" si="12"/>
        <v>0</v>
      </c>
      <c r="X76" s="32">
        <f>IFERROR((VLOOKUP($B76,'Из ГУГЛа'!$B:$Z,X$1,0)+Z76)*Y76,VLOOKUP($B76,'Из ГУГЛа'!$B:$Z,X$1,0))</f>
        <v>0</v>
      </c>
      <c r="Y76" s="33">
        <v>1</v>
      </c>
      <c r="Z76" s="33"/>
      <c r="AA76" s="31"/>
      <c r="AB76" s="31" t="s">
        <v>2681</v>
      </c>
    </row>
    <row r="77" spans="1:28" ht="45" x14ac:dyDescent="0.25">
      <c r="A77" s="25" t="str">
        <f>INDEX('Выгр Торг'!$A:$A,MATCH($B77,'Выгр Торг'!$B:$B,0))</f>
        <v>Крыло переднее правое для Лада Калина 2, Гранта</v>
      </c>
      <c r="B77" s="24">
        <v>161133</v>
      </c>
      <c r="C77" s="24">
        <f>VLOOKUP($B77,'Выгр Торг'!$B:$Q,C$1,0)</f>
        <v>153431</v>
      </c>
      <c r="D77" s="25" t="str">
        <f>VLOOKUP($B77,'Выгр Торг'!$B:$Q,D$1,0)</f>
        <v>Крыло переднее правое для Лада Калина 2, Гранта (Без покраски, Без отверстий под молдинг)</v>
      </c>
      <c r="E77" s="24" t="str">
        <f>VLOOKUP($B77,'Выгр Торг'!$B:$Q,E$1,0)</f>
        <v>Y</v>
      </c>
      <c r="F77" s="24">
        <f>VLOOKUP($B77,'Выгр Торг'!$B:$Q,F$1,0)</f>
        <v>0</v>
      </c>
      <c r="G77" s="24" t="str">
        <f>VLOOKUP($B77,'Выгр Торг'!$B:$Q,G$1,0)</f>
        <v>21900840301070</v>
      </c>
      <c r="H77" s="24" t="str">
        <f>IF(VLOOKUP($B77,'Выгр Торг'!$B:$Q,H$1,0)=0,"",VLOOKUP($B77,'Выгр Торг'!$B:$Q,H$1,0))</f>
        <v>https://motorring.ru/product/10335-krylo-perednee-pravoe-cvet-lada-kalina-granta</v>
      </c>
      <c r="I77" s="24"/>
      <c r="J77" s="24"/>
      <c r="K77" s="35">
        <f t="shared" si="13"/>
        <v>5547</v>
      </c>
      <c r="L77" s="26">
        <f>VLOOKUP(K77,Наценка!$A$1:$B$8,2,1)</f>
        <v>1.35</v>
      </c>
      <c r="M77" s="27">
        <f t="shared" si="14"/>
        <v>7488.4500000000007</v>
      </c>
      <c r="N77" s="28">
        <f t="shared" si="15"/>
        <v>7490</v>
      </c>
      <c r="O77" s="24">
        <f>VLOOKUP($B77,'Выгр Торг'!$B:$Q,O$1,0)</f>
        <v>5547</v>
      </c>
      <c r="P77" s="24">
        <f>VLOOKUP($B77,'Выгр Торг'!$B:$Q,P$1,0)</f>
        <v>8390</v>
      </c>
      <c r="Q77" s="18">
        <f t="shared" si="16"/>
        <v>0</v>
      </c>
      <c r="R77" s="18">
        <f t="shared" si="17"/>
        <v>900</v>
      </c>
      <c r="S77" s="29">
        <f t="shared" si="18"/>
        <v>7490</v>
      </c>
      <c r="T77" s="30">
        <f t="shared" si="19"/>
        <v>0.35027943032269704</v>
      </c>
      <c r="U77" s="30" t="str">
        <f t="shared" si="20"/>
        <v/>
      </c>
      <c r="V77" s="30">
        <f t="shared" si="21"/>
        <v>-1</v>
      </c>
      <c r="W77" s="13">
        <f t="shared" si="12"/>
        <v>0</v>
      </c>
      <c r="X77" s="32">
        <f>IFERROR((VLOOKUP($B77,'Из ГУГЛа'!$B:$Z,X$1,0)+Z77)*Y77,VLOOKUP($B77,'Из ГУГЛа'!$B:$Z,X$1,0))</f>
        <v>0</v>
      </c>
      <c r="Y77" s="33">
        <v>1</v>
      </c>
      <c r="Z77" s="33"/>
      <c r="AA77" s="31"/>
      <c r="AB77" s="31" t="s">
        <v>2689</v>
      </c>
    </row>
    <row r="78" spans="1:28" ht="45" x14ac:dyDescent="0.25">
      <c r="A78" s="25" t="str">
        <f>INDEX('Выгр Торг'!$A:$A,MATCH($B78,'Выгр Торг'!$B:$B,0))</f>
        <v>Крыло переднее правое для Лада Калина 2, Гранта</v>
      </c>
      <c r="B78" s="24">
        <v>161134</v>
      </c>
      <c r="C78" s="24">
        <f>VLOOKUP($B78,'Выгр Торг'!$B:$Q,C$1,0)</f>
        <v>153432</v>
      </c>
      <c r="D78" s="25" t="str">
        <f>VLOOKUP($B78,'Выгр Торг'!$B:$Q,D$1,0)</f>
        <v>Крыло переднее правое для Лада Калина 2, Гранта (Без покраски, С отверстиями под молдинг)</v>
      </c>
      <c r="E78" s="24" t="str">
        <f>VLOOKUP($B78,'Выгр Торг'!$B:$Q,E$1,0)</f>
        <v>Y</v>
      </c>
      <c r="F78" s="24">
        <f>VLOOKUP($B78,'Выгр Торг'!$B:$Q,F$1,0)</f>
        <v>0</v>
      </c>
      <c r="G78" s="24" t="str">
        <f>VLOOKUP($B78,'Выгр Торг'!$B:$Q,G$1,0)</f>
        <v>21900840301075</v>
      </c>
      <c r="H78" s="24" t="str">
        <f>IF(VLOOKUP($B78,'Выгр Торг'!$B:$Q,H$1,0)=0,"",VLOOKUP($B78,'Выгр Торг'!$B:$Q,H$1,0))</f>
        <v>https://motorring.ru/product/27677-krylo-perednee-pravoe-lada-granta-fl-cross</v>
      </c>
      <c r="I78" s="24"/>
      <c r="J78" s="24"/>
      <c r="K78" s="35">
        <f t="shared" si="13"/>
        <v>6008</v>
      </c>
      <c r="L78" s="26">
        <f>VLOOKUP(K78,Наценка!$A$1:$B$8,2,1)</f>
        <v>1.35</v>
      </c>
      <c r="M78" s="27">
        <f t="shared" si="14"/>
        <v>8110.8</v>
      </c>
      <c r="N78" s="28">
        <f t="shared" si="15"/>
        <v>8190</v>
      </c>
      <c r="O78" s="24">
        <f>VLOOKUP($B78,'Выгр Торг'!$B:$Q,O$1,0)</f>
        <v>6008</v>
      </c>
      <c r="P78" s="24">
        <f>VLOOKUP($B78,'Выгр Торг'!$B:$Q,P$1,0)</f>
        <v>9090</v>
      </c>
      <c r="Q78" s="18">
        <f t="shared" si="16"/>
        <v>0</v>
      </c>
      <c r="R78" s="18">
        <f t="shared" si="17"/>
        <v>900</v>
      </c>
      <c r="S78" s="29">
        <f t="shared" si="18"/>
        <v>8190</v>
      </c>
      <c r="T78" s="30">
        <f t="shared" si="19"/>
        <v>0.36318242343541951</v>
      </c>
      <c r="U78" s="30" t="str">
        <f t="shared" si="20"/>
        <v/>
      </c>
      <c r="V78" s="30">
        <f t="shared" si="21"/>
        <v>-1</v>
      </c>
      <c r="W78" s="13">
        <f t="shared" si="12"/>
        <v>0</v>
      </c>
      <c r="X78" s="32">
        <f>IFERROR((VLOOKUP($B78,'Из ГУГЛа'!$B:$Z,X$1,0)+Z78)*Y78,VLOOKUP($B78,'Из ГУГЛа'!$B:$Z,X$1,0))</f>
        <v>0</v>
      </c>
      <c r="Y78" s="33">
        <v>1</v>
      </c>
      <c r="Z78" s="33"/>
      <c r="AA78" s="31"/>
      <c r="AB78" s="31" t="s">
        <v>2697</v>
      </c>
    </row>
    <row r="79" spans="1:28" ht="45" x14ac:dyDescent="0.25">
      <c r="A79" s="25" t="str">
        <f>INDEX('Выгр Торг'!$A:$A,MATCH($B79,'Выгр Торг'!$B:$B,0))</f>
        <v>Крыло переднее правое, с отверстием под повторитель для Лада Гранта FL</v>
      </c>
      <c r="B79" s="24">
        <v>161229</v>
      </c>
      <c r="C79" s="24">
        <f>VLOOKUP($B79,'Выгр Торг'!$B:$Q,C$1,0)</f>
        <v>153717</v>
      </c>
      <c r="D79" s="25" t="str">
        <f>VLOOKUP($B79,'Выгр Торг'!$B:$Q,D$1,0)</f>
        <v>Крыло переднее правое, с отверстием под повторитель для Лада Гранта FL (Без покраски)</v>
      </c>
      <c r="E79" s="24" t="str">
        <f>VLOOKUP($B79,'Выгр Торг'!$B:$Q,E$1,0)</f>
        <v>Y</v>
      </c>
      <c r="F79" s="24">
        <f>VLOOKUP($B79,'Выгр Торг'!$B:$Q,F$1,0)</f>
        <v>0</v>
      </c>
      <c r="G79" s="24" t="str">
        <f>VLOOKUP($B79,'Выгр Торг'!$B:$Q,G$1,0)</f>
        <v>8450104272</v>
      </c>
      <c r="H79" s="24" t="str">
        <f>IF(VLOOKUP($B79,'Выгр Торг'!$B:$Q,H$1,0)=0,"",VLOOKUP($B79,'Выгр Торг'!$B:$Q,H$1,0))</f>
        <v>https://motorring.ru/product/36961-krylo-perednee-pravoe-kataforez-s-povorotnikom-lada-granta-fl</v>
      </c>
      <c r="I79" s="24"/>
      <c r="J79" s="24"/>
      <c r="K79" s="35">
        <f t="shared" si="13"/>
        <v>5873</v>
      </c>
      <c r="L79" s="26">
        <f>VLOOKUP(K79,Наценка!$A$1:$B$8,2,1)</f>
        <v>1.35</v>
      </c>
      <c r="M79" s="27">
        <f t="shared" si="14"/>
        <v>7928.55</v>
      </c>
      <c r="N79" s="28">
        <f t="shared" si="15"/>
        <v>7990</v>
      </c>
      <c r="O79" s="24">
        <f>VLOOKUP($B79,'Выгр Торг'!$B:$Q,O$1,0)</f>
        <v>5873</v>
      </c>
      <c r="P79" s="24">
        <f>VLOOKUP($B79,'Выгр Торг'!$B:$Q,P$1,0)</f>
        <v>8390</v>
      </c>
      <c r="Q79" s="18">
        <f t="shared" si="16"/>
        <v>0</v>
      </c>
      <c r="R79" s="18">
        <f t="shared" si="17"/>
        <v>400</v>
      </c>
      <c r="S79" s="29">
        <f t="shared" si="18"/>
        <v>7990</v>
      </c>
      <c r="T79" s="30">
        <f t="shared" si="19"/>
        <v>0.36046313638685512</v>
      </c>
      <c r="U79" s="30" t="str">
        <f t="shared" si="20"/>
        <v/>
      </c>
      <c r="V79" s="30">
        <f t="shared" si="21"/>
        <v>-1</v>
      </c>
      <c r="W79" s="13">
        <f t="shared" si="12"/>
        <v>0</v>
      </c>
      <c r="X79" s="32">
        <f>IFERROR((VLOOKUP($B79,'Из ГУГЛа'!$B:$Z,X$1,0)+Z79)*Y79,VLOOKUP($B79,'Из ГУГЛа'!$B:$Z,X$1,0))</f>
        <v>0</v>
      </c>
      <c r="Y79" s="33">
        <v>1</v>
      </c>
      <c r="Z79" s="33"/>
      <c r="AA79" s="31"/>
      <c r="AB79" s="31" t="s">
        <v>2705</v>
      </c>
    </row>
    <row r="80" spans="1:28" ht="30" x14ac:dyDescent="0.25">
      <c r="A80" s="25" t="str">
        <f>INDEX('Выгр Торг'!$A:$A,MATCH($B80,'Выгр Торг'!$B:$B,0))</f>
        <v>Крыло правое для ВАЗ 2110-2112</v>
      </c>
      <c r="B80" s="24">
        <v>161243</v>
      </c>
      <c r="C80" s="24">
        <f>VLOOKUP($B80,'Выгр Торг'!$B:$Q,C$1,0)</f>
        <v>155794</v>
      </c>
      <c r="D80" s="25" t="str">
        <f>VLOOKUP($B80,'Выгр Торг'!$B:$Q,D$1,0)</f>
        <v>Крыло правое для ВАЗ 2110-2112 (Без покраски)</v>
      </c>
      <c r="E80" s="24" t="str">
        <f>VLOOKUP($B80,'Выгр Торг'!$B:$Q,E$1,0)</f>
        <v>Y</v>
      </c>
      <c r="F80" s="24">
        <f>VLOOKUP($B80,'Выгр Торг'!$B:$Q,F$1,0)</f>
        <v>0</v>
      </c>
      <c r="G80" s="24" t="str">
        <f>VLOOKUP($B80,'Выгр Торг'!$B:$Q,G$1,0)</f>
        <v>21100840301430</v>
      </c>
      <c r="H80" s="24" t="str">
        <f>IF(VLOOKUP($B80,'Выгр Торг'!$B:$Q,H$1,0)=0,"",VLOOKUP($B80,'Выгр Торг'!$B:$Q,H$1,0))</f>
        <v>https://motorring.ru/product/2879-krylo-perednee-pravoe-cvet-vaz-2110-2112</v>
      </c>
      <c r="I80" s="24"/>
      <c r="J80" s="24"/>
      <c r="K80" s="35">
        <f t="shared" si="13"/>
        <v>1522</v>
      </c>
      <c r="L80" s="26">
        <f>VLOOKUP(K80,Наценка!$A$1:$B$8,2,1)</f>
        <v>1.5</v>
      </c>
      <c r="M80" s="27">
        <f t="shared" si="14"/>
        <v>2283</v>
      </c>
      <c r="N80" s="28">
        <f t="shared" si="15"/>
        <v>2290</v>
      </c>
      <c r="O80" s="24">
        <f>VLOOKUP($B80,'Выгр Торг'!$B:$Q,O$1,0)</f>
        <v>1522</v>
      </c>
      <c r="P80" s="24">
        <f>VLOOKUP($B80,'Выгр Торг'!$B:$Q,P$1,0)</f>
        <v>2590</v>
      </c>
      <c r="Q80" s="18">
        <f t="shared" si="16"/>
        <v>0</v>
      </c>
      <c r="R80" s="18">
        <f t="shared" si="17"/>
        <v>300</v>
      </c>
      <c r="S80" s="29">
        <f t="shared" si="18"/>
        <v>2290</v>
      </c>
      <c r="T80" s="30">
        <f t="shared" si="19"/>
        <v>0.50459921156373189</v>
      </c>
      <c r="U80" s="30" t="str">
        <f t="shared" si="20"/>
        <v/>
      </c>
      <c r="V80" s="30">
        <f t="shared" si="21"/>
        <v>-1</v>
      </c>
      <c r="W80" s="13">
        <f t="shared" si="12"/>
        <v>0</v>
      </c>
      <c r="X80" s="32">
        <f>IFERROR((VLOOKUP($B80,'Из ГУГЛа'!$B:$Z,X$1,0)+Z80)*Y80,VLOOKUP($B80,'Из ГУГЛа'!$B:$Z,X$1,0))</f>
        <v>0</v>
      </c>
      <c r="Y80" s="33">
        <v>1</v>
      </c>
      <c r="Z80" s="33"/>
      <c r="AA80" s="31"/>
      <c r="AB80" s="31" t="s">
        <v>2713</v>
      </c>
    </row>
    <row r="81" spans="1:28" ht="30" x14ac:dyDescent="0.25">
      <c r="A81" s="25" t="str">
        <f>INDEX('Выгр Торг'!$A:$A,MATCH($B81,'Выгр Торг'!$B:$B,0))</f>
        <v>Крыло правое для Лада Калина</v>
      </c>
      <c r="B81" s="24">
        <v>161270</v>
      </c>
      <c r="C81" s="24">
        <f>VLOOKUP($B81,'Выгр Торг'!$B:$Q,C$1,0)</f>
        <v>155911</v>
      </c>
      <c r="D81" s="25" t="str">
        <f>VLOOKUP($B81,'Выгр Торг'!$B:$Q,D$1,0)</f>
        <v>Крыло правое для Лада Калина (Без покраски)</v>
      </c>
      <c r="E81" s="24" t="str">
        <f>VLOOKUP($B81,'Выгр Торг'!$B:$Q,E$1,0)</f>
        <v>Y</v>
      </c>
      <c r="F81" s="24">
        <f>VLOOKUP($B81,'Выгр Торг'!$B:$Q,F$1,0)</f>
        <v>0</v>
      </c>
      <c r="G81" s="24" t="str">
        <f>VLOOKUP($B81,'Выгр Торг'!$B:$Q,G$1,0)</f>
        <v>11180840301070</v>
      </c>
      <c r="H81" s="24" t="str">
        <f>IF(VLOOKUP($B81,'Выгр Торг'!$B:$Q,H$1,0)=0,"",VLOOKUP($B81,'Выгр Торг'!$B:$Q,H$1,0))</f>
        <v>https://motorring.ru/product/10337-krylo-perednee-pravoe-cvet-lada-kalina</v>
      </c>
      <c r="I81" s="24"/>
      <c r="J81" s="24"/>
      <c r="K81" s="35">
        <f t="shared" si="13"/>
        <v>5441</v>
      </c>
      <c r="L81" s="26">
        <f>VLOOKUP(K81,Наценка!$A$1:$B$8,2,1)</f>
        <v>1.35</v>
      </c>
      <c r="M81" s="27">
        <f t="shared" si="14"/>
        <v>7345.35</v>
      </c>
      <c r="N81" s="28">
        <f t="shared" si="15"/>
        <v>7390</v>
      </c>
      <c r="O81" s="24">
        <f>VLOOKUP($B81,'Выгр Торг'!$B:$Q,O$1,0)</f>
        <v>5441</v>
      </c>
      <c r="P81" s="24">
        <f>VLOOKUP($B81,'Выгр Торг'!$B:$Q,P$1,0)</f>
        <v>9590</v>
      </c>
      <c r="Q81" s="18">
        <f t="shared" si="16"/>
        <v>0</v>
      </c>
      <c r="R81" s="18">
        <f t="shared" si="17"/>
        <v>2200</v>
      </c>
      <c r="S81" s="29">
        <f t="shared" si="18"/>
        <v>7390</v>
      </c>
      <c r="T81" s="30">
        <f t="shared" si="19"/>
        <v>0.35820621209336512</v>
      </c>
      <c r="U81" s="30" t="str">
        <f t="shared" si="20"/>
        <v/>
      </c>
      <c r="V81" s="30">
        <f t="shared" si="21"/>
        <v>-1</v>
      </c>
      <c r="W81" s="13">
        <f t="shared" si="12"/>
        <v>0</v>
      </c>
      <c r="X81" s="32">
        <f>IFERROR((VLOOKUP($B81,'Из ГУГЛа'!$B:$Z,X$1,0)+Z81)*Y81,VLOOKUP($B81,'Из ГУГЛа'!$B:$Z,X$1,0))</f>
        <v>0</v>
      </c>
      <c r="Y81" s="33">
        <v>1</v>
      </c>
      <c r="Z81" s="33"/>
      <c r="AA81" s="31"/>
      <c r="AB81" s="31" t="s">
        <v>2721</v>
      </c>
    </row>
    <row r="82" spans="1:28" ht="30" x14ac:dyDescent="0.25">
      <c r="A82" s="25" t="str">
        <f>INDEX('Выгр Торг'!$A:$A,MATCH($B82,'Выгр Торг'!$B:$B,0))</f>
        <v>Крышка антенны "плавника" для Лада Веста</v>
      </c>
      <c r="B82" s="24">
        <v>162357</v>
      </c>
      <c r="C82" s="24">
        <f>VLOOKUP($B82,'Выгр Торг'!$B:$Q,C$1,0)</f>
        <v>83343</v>
      </c>
      <c r="D82" s="25" t="str">
        <f>VLOOKUP($B82,'Выгр Торг'!$B:$Q,D$1,0)</f>
        <v>Крышка антенны "плавника" для Лада Веста (Без покраски)</v>
      </c>
      <c r="E82" s="24" t="str">
        <f>VLOOKUP($B82,'Выгр Торг'!$B:$Q,E$1,0)</f>
        <v>Y</v>
      </c>
      <c r="F82" s="24">
        <f>VLOOKUP($B82,'Выгр Торг'!$B:$Q,F$1,0)</f>
        <v>0</v>
      </c>
      <c r="G82" s="24" t="str">
        <f>VLOOKUP($B82,'Выгр Торг'!$B:$Q,G$1,0)</f>
        <v>8450031991</v>
      </c>
      <c r="H82" s="24" t="str">
        <f>IF(VLOOKUP($B82,'Выгр Торг'!$B:$Q,H$1,0)=0,"",VLOOKUP($B82,'Выгр Торг'!$B:$Q,H$1,0))</f>
        <v/>
      </c>
      <c r="I82" s="24"/>
      <c r="J82" s="24"/>
      <c r="K82" s="35">
        <f t="shared" si="13"/>
        <v>1200</v>
      </c>
      <c r="L82" s="26">
        <f>VLOOKUP(K82,Наценка!$A$1:$B$8,2,1)</f>
        <v>1.5</v>
      </c>
      <c r="M82" s="27">
        <f t="shared" si="14"/>
        <v>1800</v>
      </c>
      <c r="N82" s="28">
        <f t="shared" si="15"/>
        <v>1790</v>
      </c>
      <c r="O82" s="24">
        <f>VLOOKUP($B82,'Выгр Торг'!$B:$Q,O$1,0)</f>
        <v>1200</v>
      </c>
      <c r="P82" s="24">
        <f>VLOOKUP($B82,'Выгр Торг'!$B:$Q,P$1,0)</f>
        <v>1890</v>
      </c>
      <c r="Q82" s="18">
        <f t="shared" si="16"/>
        <v>0</v>
      </c>
      <c r="R82" s="18">
        <f t="shared" si="17"/>
        <v>100</v>
      </c>
      <c r="S82" s="29">
        <f t="shared" si="18"/>
        <v>1790</v>
      </c>
      <c r="T82" s="30">
        <f t="shared" si="19"/>
        <v>0.4916666666666667</v>
      </c>
      <c r="U82" s="30" t="str">
        <f t="shared" si="20"/>
        <v/>
      </c>
      <c r="V82" s="30" t="str">
        <f t="shared" si="21"/>
        <v/>
      </c>
      <c r="W82" s="31"/>
      <c r="X82" s="32">
        <f>IFERROR((VLOOKUP($B82,'Из ГУГЛа'!$B:$Z,X$1,0)+Z82)*Y82,VLOOKUP($B82,'Из ГУГЛа'!$B:$Z,X$1,0))</f>
        <v>0</v>
      </c>
      <c r="Y82" s="33">
        <v>1</v>
      </c>
      <c r="Z82" s="33"/>
      <c r="AA82" s="63" t="s">
        <v>4170</v>
      </c>
      <c r="AB82" s="31" t="s">
        <v>4167</v>
      </c>
    </row>
    <row r="83" spans="1:28" ht="45" x14ac:dyDescent="0.25">
      <c r="A83" s="25" t="str">
        <f>INDEX('Выгр Торг'!$A:$A,MATCH($B83,'Выгр Торг'!$B:$B,0))</f>
        <v>Крышка багажника "АвтоВАЗ" в сборе (отверстия под спойлер) для Лада Веста Спорт</v>
      </c>
      <c r="B83" s="24">
        <v>265262</v>
      </c>
      <c r="C83" s="24">
        <f>VLOOKUP($B83,'Выгр Торг'!$B:$Q,C$1,0)</f>
        <v>214694</v>
      </c>
      <c r="D83" s="25" t="str">
        <f>VLOOKUP($B83,'Выгр Торг'!$B:$Q,D$1,0)</f>
        <v>Крышка багажника "АвтоВАЗ" в сборе (отверстия под спойлер) для Лада Веста Спорт (Без покраски)</v>
      </c>
      <c r="E83" s="24" t="str">
        <f>VLOOKUP($B83,'Выгр Торг'!$B:$Q,E$1,0)</f>
        <v>Y</v>
      </c>
      <c r="F83" s="24">
        <f>VLOOKUP($B83,'Выгр Торг'!$B:$Q,F$1,0)</f>
        <v>0</v>
      </c>
      <c r="G83" s="24" t="str">
        <f>VLOOKUP($B83,'Выгр Торг'!$B:$Q,G$1,0)</f>
        <v>8450105288</v>
      </c>
      <c r="H83" s="24" t="str">
        <f>IF(VLOOKUP($B83,'Выгр Торг'!$B:$Q,H$1,0)=0,"",VLOOKUP($B83,'Выгр Торг'!$B:$Q,H$1,0))</f>
        <v/>
      </c>
      <c r="I83" s="24"/>
      <c r="J83" s="24"/>
      <c r="K83" s="35">
        <f t="shared" si="13"/>
        <v>12788</v>
      </c>
      <c r="L83" s="26">
        <f>VLOOKUP(K83,Наценка!$A$1:$B$8,2,1)</f>
        <v>1.3</v>
      </c>
      <c r="M83" s="27">
        <f t="shared" si="14"/>
        <v>16624.400000000001</v>
      </c>
      <c r="N83" s="28">
        <f t="shared" si="15"/>
        <v>16690</v>
      </c>
      <c r="O83" s="24">
        <f>VLOOKUP($B83,'Выгр Торг'!$B:$Q,O$1,0)</f>
        <v>12788</v>
      </c>
      <c r="P83" s="24">
        <f>VLOOKUP($B83,'Выгр Торг'!$B:$Q,P$1,0)</f>
        <v>16990</v>
      </c>
      <c r="Q83" s="18">
        <f t="shared" si="16"/>
        <v>0</v>
      </c>
      <c r="R83" s="18">
        <f t="shared" si="17"/>
        <v>300</v>
      </c>
      <c r="S83" s="29">
        <f t="shared" si="18"/>
        <v>16690</v>
      </c>
      <c r="T83" s="30">
        <f t="shared" si="19"/>
        <v>0.30512980919612143</v>
      </c>
      <c r="U83" s="30" t="str">
        <f t="shared" si="20"/>
        <v/>
      </c>
      <c r="V83" s="30" t="str">
        <f t="shared" si="21"/>
        <v/>
      </c>
      <c r="W83" s="31"/>
      <c r="X83" s="32">
        <f>IFERROR((VLOOKUP($B83,'Из ГУГЛа'!$B:$Z,X$1,0)+Z83)*Y83,VLOOKUP($B83,'Из ГУГЛа'!$B:$Z,X$1,0))</f>
        <v>0</v>
      </c>
      <c r="Y83" s="33">
        <v>1</v>
      </c>
      <c r="Z83" s="33"/>
      <c r="AA83" s="63" t="s">
        <v>4170</v>
      </c>
      <c r="AB83" s="31" t="s">
        <v>4167</v>
      </c>
    </row>
    <row r="84" spans="1:28" ht="45" x14ac:dyDescent="0.25">
      <c r="A84" s="25" t="str">
        <f>INDEX('Выгр Торг'!$A:$A,MATCH($B84,'Выгр Торг'!$B:$B,0))</f>
        <v>Крышка багажника "АвтоВАЗ" в сборе для Лада Веста NG седан</v>
      </c>
      <c r="B84" s="24">
        <v>162403</v>
      </c>
      <c r="C84" s="24">
        <f>VLOOKUP($B84,'Выгр Торг'!$B:$Q,C$1,0)</f>
        <v>168601</v>
      </c>
      <c r="D84" s="25" t="str">
        <f>VLOOKUP($B84,'Выгр Торг'!$B:$Q,D$1,0)</f>
        <v>Крышка багажника "АвтоВАЗ" в сборе для Лада Веста NG седан (Без покраски)</v>
      </c>
      <c r="E84" s="24" t="str">
        <f>VLOOKUP($B84,'Выгр Торг'!$B:$Q,E$1,0)</f>
        <v>Y</v>
      </c>
      <c r="F84" s="24">
        <f>VLOOKUP($B84,'Выгр Торг'!$B:$Q,F$1,0)</f>
        <v>0</v>
      </c>
      <c r="G84" s="24" t="str">
        <f>VLOOKUP($B84,'Выгр Торг'!$B:$Q,G$1,0)</f>
        <v>8450013789</v>
      </c>
      <c r="H84" s="24" t="str">
        <f>IF(VLOOKUP($B84,'Выгр Торг'!$B:$Q,H$1,0)=0,"",VLOOKUP($B84,'Выгр Торг'!$B:$Q,H$1,0))</f>
        <v>https://motorring.ru/product/38244-dvery-bagaghnika-lada-vesta-ng-sedan</v>
      </c>
      <c r="I84" s="24"/>
      <c r="J84" s="24"/>
      <c r="K84" s="35">
        <f t="shared" si="13"/>
        <v>15456</v>
      </c>
      <c r="L84" s="26">
        <f>VLOOKUP(K84,Наценка!$A$1:$B$8,2,1)</f>
        <v>1.3</v>
      </c>
      <c r="M84" s="27">
        <f t="shared" si="14"/>
        <v>20092.8</v>
      </c>
      <c r="N84" s="28">
        <f t="shared" si="15"/>
        <v>20090</v>
      </c>
      <c r="O84" s="24">
        <f>VLOOKUP($B84,'Выгр Торг'!$B:$Q,O$1,0)</f>
        <v>15456</v>
      </c>
      <c r="P84" s="24">
        <f>VLOOKUP($B84,'Выгр Торг'!$B:$Q,P$1,0)</f>
        <v>20490</v>
      </c>
      <c r="Q84" s="18">
        <f t="shared" si="16"/>
        <v>0</v>
      </c>
      <c r="R84" s="18">
        <f t="shared" si="17"/>
        <v>400</v>
      </c>
      <c r="S84" s="29">
        <f t="shared" si="18"/>
        <v>20090</v>
      </c>
      <c r="T84" s="30">
        <f t="shared" si="19"/>
        <v>0.2998188405797102</v>
      </c>
      <c r="U84" s="30" t="str">
        <f t="shared" si="20"/>
        <v/>
      </c>
      <c r="V84" s="30">
        <f t="shared" si="21"/>
        <v>-1</v>
      </c>
      <c r="W84" s="13">
        <f t="shared" ref="W84:W99" si="22">AA84</f>
        <v>0</v>
      </c>
      <c r="X84" s="32">
        <f>IFERROR((VLOOKUP($B84,'Из ГУГЛа'!$B:$Z,X$1,0)+Z84)*Y84,VLOOKUP($B84,'Из ГУГЛа'!$B:$Z,X$1,0))</f>
        <v>0</v>
      </c>
      <c r="Y84" s="33">
        <v>1</v>
      </c>
      <c r="Z84" s="33"/>
      <c r="AA84" s="31"/>
      <c r="AB84" s="31" t="s">
        <v>2742</v>
      </c>
    </row>
    <row r="85" spans="1:28" ht="30" x14ac:dyDescent="0.25">
      <c r="A85" s="25" t="str">
        <f>INDEX('Выгр Торг'!$A:$A,MATCH($B85,'Выгр Торг'!$B:$B,0))</f>
        <v>Крышка багажника для Датсун on-DO</v>
      </c>
      <c r="B85" s="24">
        <v>162513</v>
      </c>
      <c r="C85" s="24">
        <f>VLOOKUP($B85,'Выгр Торг'!$B:$Q,C$1,0)</f>
        <v>156337</v>
      </c>
      <c r="D85" s="25" t="str">
        <f>VLOOKUP($B85,'Выгр Торг'!$B:$Q,D$1,0)</f>
        <v>Крышка багажника для Датсун mi-DO, on-DO (Без покраски)</v>
      </c>
      <c r="E85" s="24" t="str">
        <f>VLOOKUP($B85,'Выгр Торг'!$B:$Q,E$1,0)</f>
        <v>Y</v>
      </c>
      <c r="F85" s="24">
        <f>VLOOKUP($B85,'Выгр Торг'!$B:$Q,F$1,0)</f>
        <v>0</v>
      </c>
      <c r="G85" s="24" t="str">
        <f>VLOOKUP($B85,'Выгр Торг'!$B:$Q,G$1,0)</f>
        <v>843005PA0B</v>
      </c>
      <c r="H85" s="24" t="str">
        <f>IF(VLOOKUP($B85,'Выгр Торг'!$B:$Q,H$1,0)=0,"",VLOOKUP($B85,'Выгр Торг'!$B:$Q,H$1,0))</f>
        <v>https://motorring.ru/product/10529-kryshka-bagaghnika-cvet-datsun-on-do</v>
      </c>
      <c r="I85" s="24"/>
      <c r="J85" s="24"/>
      <c r="K85" s="35">
        <f t="shared" si="13"/>
        <v>12200</v>
      </c>
      <c r="L85" s="26">
        <f>VLOOKUP(K85,Наценка!$A$1:$B$8,2,1)</f>
        <v>1.3</v>
      </c>
      <c r="M85" s="27">
        <f t="shared" si="14"/>
        <v>15860</v>
      </c>
      <c r="N85" s="28">
        <f t="shared" si="15"/>
        <v>15890</v>
      </c>
      <c r="O85" s="24">
        <f>VLOOKUP($B85,'Выгр Торг'!$B:$Q,O$1,0)</f>
        <v>12200</v>
      </c>
      <c r="P85" s="24">
        <f>VLOOKUP($B85,'Выгр Торг'!$B:$Q,P$1,0)</f>
        <v>15890</v>
      </c>
      <c r="Q85" s="18">
        <f t="shared" si="16"/>
        <v>0</v>
      </c>
      <c r="R85" s="18">
        <f t="shared" si="17"/>
        <v>0</v>
      </c>
      <c r="S85" s="29">
        <f t="shared" si="18"/>
        <v>15890</v>
      </c>
      <c r="T85" s="30">
        <f t="shared" si="19"/>
        <v>0.30245901639344264</v>
      </c>
      <c r="U85" s="30" t="str">
        <f t="shared" si="20"/>
        <v/>
      </c>
      <c r="V85" s="30">
        <f t="shared" si="21"/>
        <v>-1</v>
      </c>
      <c r="W85" s="13">
        <f t="shared" si="22"/>
        <v>0</v>
      </c>
      <c r="X85" s="32">
        <f>IFERROR((VLOOKUP($B85,'Из ГУГЛа'!$B:$Z,X$1,0)+Z85)*Y85,VLOOKUP($B85,'Из ГУГЛа'!$B:$Z,X$1,0))</f>
        <v>0</v>
      </c>
      <c r="Y85" s="33">
        <v>1</v>
      </c>
      <c r="Z85" s="33"/>
      <c r="AA85" s="31"/>
      <c r="AB85" s="31" t="s">
        <v>2750</v>
      </c>
    </row>
    <row r="86" spans="1:28" ht="30" x14ac:dyDescent="0.25">
      <c r="A86" s="25" t="str">
        <f>INDEX('Выгр Торг'!$A:$A,MATCH($B86,'Выгр Торг'!$B:$B,0))</f>
        <v>Крышка багажника для Лада Веста седан</v>
      </c>
      <c r="B86" s="24">
        <v>162522</v>
      </c>
      <c r="C86" s="24">
        <f>VLOOKUP($B86,'Выгр Торг'!$B:$Q,C$1,0)</f>
        <v>156282</v>
      </c>
      <c r="D86" s="25" t="str">
        <f>VLOOKUP($B86,'Выгр Торг'!$B:$Q,D$1,0)</f>
        <v>Крышка багажника для Лада Веста (Без покраски)</v>
      </c>
      <c r="E86" s="24" t="str">
        <f>VLOOKUP($B86,'Выгр Торг'!$B:$Q,E$1,0)</f>
        <v>Y</v>
      </c>
      <c r="F86" s="24">
        <f>VLOOKUP($B86,'Выгр Торг'!$B:$Q,F$1,0)</f>
        <v>0</v>
      </c>
      <c r="G86" s="24" t="str">
        <f>VLOOKUP($B86,'Выгр Торг'!$B:$Q,G$1,0)</f>
        <v>8450039387</v>
      </c>
      <c r="H86" s="24" t="str">
        <f>IF(VLOOKUP($B86,'Выгр Торг'!$B:$Q,H$1,0)=0,"",VLOOKUP($B86,'Выгр Торг'!$B:$Q,H$1,0))</f>
        <v>https://motorring.ru/product/33601-kryshka-bagaghnika-kataforez-lada-vesta-sedan</v>
      </c>
      <c r="I86" s="24"/>
      <c r="J86" s="24"/>
      <c r="K86" s="35">
        <f t="shared" si="13"/>
        <v>13297</v>
      </c>
      <c r="L86" s="26">
        <f>VLOOKUP(K86,Наценка!$A$1:$B$8,2,1)</f>
        <v>1.3</v>
      </c>
      <c r="M86" s="27">
        <f t="shared" si="14"/>
        <v>17286.100000000002</v>
      </c>
      <c r="N86" s="28">
        <f t="shared" si="15"/>
        <v>17290</v>
      </c>
      <c r="O86" s="24">
        <f>VLOOKUP($B86,'Выгр Торг'!$B:$Q,O$1,0)</f>
        <v>13297</v>
      </c>
      <c r="P86" s="24">
        <f>VLOOKUP($B86,'Выгр Торг'!$B:$Q,P$1,0)</f>
        <v>19590</v>
      </c>
      <c r="Q86" s="18">
        <f t="shared" si="16"/>
        <v>0</v>
      </c>
      <c r="R86" s="18">
        <f t="shared" si="17"/>
        <v>2300</v>
      </c>
      <c r="S86" s="29">
        <f t="shared" si="18"/>
        <v>17290</v>
      </c>
      <c r="T86" s="30">
        <f t="shared" si="19"/>
        <v>0.30029329924043013</v>
      </c>
      <c r="U86" s="30" t="str">
        <f t="shared" si="20"/>
        <v/>
      </c>
      <c r="V86" s="30">
        <f t="shared" si="21"/>
        <v>-1</v>
      </c>
      <c r="W86" s="13">
        <f t="shared" si="22"/>
        <v>0</v>
      </c>
      <c r="X86" s="32">
        <f>IFERROR((VLOOKUP($B86,'Из ГУГЛа'!$B:$Z,X$1,0)+Z86)*Y86,VLOOKUP($B86,'Из ГУГЛа'!$B:$Z,X$1,0))</f>
        <v>0</v>
      </c>
      <c r="Y86" s="33">
        <v>1</v>
      </c>
      <c r="Z86" s="33"/>
      <c r="AA86" s="31"/>
      <c r="AB86" s="31" t="s">
        <v>2758</v>
      </c>
    </row>
    <row r="87" spans="1:28" ht="30" x14ac:dyDescent="0.25">
      <c r="A87" s="25" t="str">
        <f>INDEX('Выгр Торг'!$A:$A,MATCH($B87,'Выгр Торг'!$B:$B,0))</f>
        <v>Крышка багажника для Лада Гранта FL</v>
      </c>
      <c r="B87" s="24">
        <v>162541</v>
      </c>
      <c r="C87" s="24">
        <f>VLOOKUP($B87,'Выгр Торг'!$B:$Q,C$1,0)</f>
        <v>153175</v>
      </c>
      <c r="D87" s="25" t="str">
        <f>VLOOKUP($B87,'Выгр Торг'!$B:$Q,D$1,0)</f>
        <v>Крышка багажника для Лада Гранта FL (Без покраски)</v>
      </c>
      <c r="E87" s="24" t="str">
        <f>VLOOKUP($B87,'Выгр Торг'!$B:$Q,E$1,0)</f>
        <v>Y</v>
      </c>
      <c r="F87" s="24">
        <f>VLOOKUP($B87,'Выгр Торг'!$B:$Q,F$1,0)</f>
        <v>0</v>
      </c>
      <c r="G87" s="24" t="str">
        <f>VLOOKUP($B87,'Выгр Торг'!$B:$Q,G$1,0)</f>
        <v>8450104268</v>
      </c>
      <c r="H87" s="24" t="str">
        <f>IF(VLOOKUP($B87,'Выгр Торг'!$B:$Q,H$1,0)=0,"",VLOOKUP($B87,'Выгр Торг'!$B:$Q,H$1,0))</f>
        <v>https://motorring.ru/product/19950-kryshka-bagaghnika-cvet-lada-granta-sedan</v>
      </c>
      <c r="I87" s="24"/>
      <c r="J87" s="24"/>
      <c r="K87" s="35">
        <f t="shared" si="13"/>
        <v>11823</v>
      </c>
      <c r="L87" s="26">
        <f>VLOOKUP(K87,Наценка!$A$1:$B$8,2,1)</f>
        <v>1.3</v>
      </c>
      <c r="M87" s="27">
        <f t="shared" si="14"/>
        <v>15369.9</v>
      </c>
      <c r="N87" s="28">
        <f t="shared" si="15"/>
        <v>15390</v>
      </c>
      <c r="O87" s="24">
        <f>VLOOKUP($B87,'Выгр Торг'!$B:$Q,O$1,0)</f>
        <v>11823</v>
      </c>
      <c r="P87" s="24">
        <f>VLOOKUP($B87,'Выгр Торг'!$B:$Q,P$1,0)</f>
        <v>18690</v>
      </c>
      <c r="Q87" s="18">
        <f t="shared" si="16"/>
        <v>0</v>
      </c>
      <c r="R87" s="18">
        <f t="shared" si="17"/>
        <v>3300</v>
      </c>
      <c r="S87" s="29">
        <f t="shared" si="18"/>
        <v>15390</v>
      </c>
      <c r="T87" s="30">
        <f t="shared" si="19"/>
        <v>0.30170007612281147</v>
      </c>
      <c r="U87" s="30" t="str">
        <f t="shared" si="20"/>
        <v/>
      </c>
      <c r="V87" s="30">
        <f t="shared" si="21"/>
        <v>-1</v>
      </c>
      <c r="W87" s="13">
        <f t="shared" si="22"/>
        <v>0</v>
      </c>
      <c r="X87" s="32">
        <f>IFERROR((VLOOKUP($B87,'Из ГУГЛа'!$B:$Z,X$1,0)+Z87)*Y87,VLOOKUP($B87,'Из ГУГЛа'!$B:$Z,X$1,0))</f>
        <v>0</v>
      </c>
      <c r="Y87" s="33">
        <v>1</v>
      </c>
      <c r="Z87" s="33"/>
      <c r="AA87" s="31"/>
      <c r="AB87" s="31" t="s">
        <v>2766</v>
      </c>
    </row>
    <row r="88" spans="1:28" ht="30" x14ac:dyDescent="0.25">
      <c r="A88" s="25" t="str">
        <f>INDEX('Выгр Торг'!$A:$A,MATCH($B88,'Выгр Торг'!$B:$B,0))</f>
        <v>Крышка багажника для Лада Калина (седан)</v>
      </c>
      <c r="B88" s="24">
        <v>162554</v>
      </c>
      <c r="C88" s="24">
        <f>VLOOKUP($B88,'Выгр Торг'!$B:$Q,C$1,0)</f>
        <v>153189</v>
      </c>
      <c r="D88" s="25" t="str">
        <f>VLOOKUP($B88,'Выгр Торг'!$B:$Q,D$1,0)</f>
        <v>Крышка багажника для Лада Калина (седан) (Без покраски)</v>
      </c>
      <c r="E88" s="24" t="str">
        <f>VLOOKUP($B88,'Выгр Торг'!$B:$Q,E$1,0)</f>
        <v>Y</v>
      </c>
      <c r="F88" s="24">
        <f>VLOOKUP($B88,'Выгр Торг'!$B:$Q,F$1,0)</f>
        <v>0</v>
      </c>
      <c r="G88" s="24" t="str">
        <f>VLOOKUP($B88,'Выгр Торг'!$B:$Q,G$1,0)</f>
        <v>11180560401070</v>
      </c>
      <c r="H88" s="24" t="str">
        <f>IF(VLOOKUP($B88,'Выгр Торг'!$B:$Q,H$1,0)=0,"",VLOOKUP($B88,'Выгр Торг'!$B:$Q,H$1,0))</f>
        <v>https://motorring.ru/product/16064-kryshka-bagaghnika-cvet-lada-kalina-sedan</v>
      </c>
      <c r="I88" s="24"/>
      <c r="J88" s="24"/>
      <c r="K88" s="35">
        <f t="shared" si="13"/>
        <v>13382</v>
      </c>
      <c r="L88" s="26">
        <f>VLOOKUP(K88,Наценка!$A$1:$B$8,2,1)</f>
        <v>1.3</v>
      </c>
      <c r="M88" s="27">
        <f t="shared" si="14"/>
        <v>17396.600000000002</v>
      </c>
      <c r="N88" s="28">
        <f t="shared" si="15"/>
        <v>17390</v>
      </c>
      <c r="O88" s="24">
        <f>VLOOKUP($B88,'Выгр Торг'!$B:$Q,O$1,0)</f>
        <v>13382</v>
      </c>
      <c r="P88" s="24">
        <f>VLOOKUP($B88,'Выгр Торг'!$B:$Q,P$1,0)</f>
        <v>16790</v>
      </c>
      <c r="Q88" s="18">
        <f t="shared" si="16"/>
        <v>0</v>
      </c>
      <c r="R88" s="18">
        <f t="shared" si="17"/>
        <v>-600</v>
      </c>
      <c r="S88" s="29">
        <f t="shared" si="18"/>
        <v>17390</v>
      </c>
      <c r="T88" s="30">
        <f t="shared" si="19"/>
        <v>0.2995068001793455</v>
      </c>
      <c r="U88" s="30" t="str">
        <f t="shared" si="20"/>
        <v/>
      </c>
      <c r="V88" s="30">
        <f t="shared" si="21"/>
        <v>-1</v>
      </c>
      <c r="W88" s="13">
        <f t="shared" si="22"/>
        <v>0</v>
      </c>
      <c r="X88" s="32">
        <f>IFERROR((VLOOKUP($B88,'Из ГУГЛа'!$B:$Z,X$1,0)+Z88)*Y88,VLOOKUP($B88,'Из ГУГЛа'!$B:$Z,X$1,0))</f>
        <v>0</v>
      </c>
      <c r="Y88" s="33">
        <v>1</v>
      </c>
      <c r="Z88" s="33"/>
      <c r="AA88" s="31"/>
      <c r="AB88" s="31" t="s">
        <v>2774</v>
      </c>
    </row>
    <row r="89" spans="1:28" ht="30" x14ac:dyDescent="0.25">
      <c r="A89" s="25" t="str">
        <f>INDEX('Выгр Торг'!$A:$A,MATCH($B89,'Выгр Торг'!$B:$B,0))</f>
        <v>Крышка багажника для Лада Приора (седан)</v>
      </c>
      <c r="B89" s="24">
        <v>162585</v>
      </c>
      <c r="C89" s="24">
        <f>VLOOKUP($B89,'Выгр Торг'!$B:$Q,C$1,0)</f>
        <v>154823</v>
      </c>
      <c r="D89" s="25" t="str">
        <f>VLOOKUP($B89,'Выгр Торг'!$B:$Q,D$1,0)</f>
        <v>Крышка багажника для Лада Приора (седан) (Без покраски)</v>
      </c>
      <c r="E89" s="24" t="str">
        <f>VLOOKUP($B89,'Выгр Торг'!$B:$Q,E$1,0)</f>
        <v>Y</v>
      </c>
      <c r="F89" s="24">
        <f>VLOOKUP($B89,'Выгр Торг'!$B:$Q,F$1,0)</f>
        <v>0</v>
      </c>
      <c r="G89" s="24" t="str">
        <f>VLOOKUP($B89,'Выгр Торг'!$B:$Q,G$1,0)</f>
        <v>21700560401070</v>
      </c>
      <c r="H89" s="24" t="str">
        <f>IF(VLOOKUP($B89,'Выгр Торг'!$B:$Q,H$1,0)=0,"",VLOOKUP($B89,'Выгр Торг'!$B:$Q,H$1,0))</f>
        <v>https://motorring.ru/product/16054-kryshka-bagaghnika-dlya-lada-priora-sedan</v>
      </c>
      <c r="I89" s="24"/>
      <c r="J89" s="24"/>
      <c r="K89" s="35">
        <f t="shared" si="13"/>
        <v>15244</v>
      </c>
      <c r="L89" s="26">
        <f>VLOOKUP(K89,Наценка!$A$1:$B$8,2,1)</f>
        <v>1.3</v>
      </c>
      <c r="M89" s="27">
        <f t="shared" si="14"/>
        <v>19817.2</v>
      </c>
      <c r="N89" s="28">
        <f t="shared" si="15"/>
        <v>19890</v>
      </c>
      <c r="O89" s="24">
        <f>VLOOKUP($B89,'Выгр Торг'!$B:$Q,O$1,0)</f>
        <v>15244</v>
      </c>
      <c r="P89" s="24">
        <f>VLOOKUP($B89,'Выгр Торг'!$B:$Q,P$1,0)</f>
        <v>19090</v>
      </c>
      <c r="Q89" s="18">
        <f t="shared" si="16"/>
        <v>0</v>
      </c>
      <c r="R89" s="18">
        <f t="shared" si="17"/>
        <v>-800</v>
      </c>
      <c r="S89" s="29">
        <f t="shared" si="18"/>
        <v>19890</v>
      </c>
      <c r="T89" s="30">
        <f t="shared" si="19"/>
        <v>0.30477564943584357</v>
      </c>
      <c r="U89" s="30" t="str">
        <f t="shared" si="20"/>
        <v/>
      </c>
      <c r="V89" s="30">
        <f t="shared" si="21"/>
        <v>-1</v>
      </c>
      <c r="W89" s="13">
        <f t="shared" si="22"/>
        <v>0</v>
      </c>
      <c r="X89" s="32">
        <f>IFERROR((VLOOKUP($B89,'Из ГУГЛа'!$B:$Z,X$1,0)+Z89)*Y89,VLOOKUP($B89,'Из ГУГЛа'!$B:$Z,X$1,0))</f>
        <v>0</v>
      </c>
      <c r="Y89" s="33">
        <v>1</v>
      </c>
      <c r="Z89" s="33"/>
      <c r="AA89" s="31"/>
      <c r="AB89" s="31" t="s">
        <v>2782</v>
      </c>
    </row>
    <row r="90" spans="1:28" ht="45" x14ac:dyDescent="0.25">
      <c r="A90" s="25" t="str">
        <f>INDEX('Выгр Торг'!$A:$A,MATCH($B90,'Выгр Торг'!$B:$B,0))</f>
        <v>Лючок бензобака "АвтоВАЗ" в сборе для Шевроле Нива</v>
      </c>
      <c r="B90" s="24">
        <v>162330</v>
      </c>
      <c r="C90" s="24">
        <f>VLOOKUP($B90,'Выгр Торг'!$B:$Q,C$1,0)</f>
        <v>140093</v>
      </c>
      <c r="D90" s="25" t="str">
        <f>VLOOKUP($B90,'Выгр Торг'!$B:$Q,D$1,0)</f>
        <v>Крышка "АвтоВАЗ" люка бака топливного в сборе для Шевроле Нива (Без покраски)</v>
      </c>
      <c r="E90" s="24" t="str">
        <f>VLOOKUP($B90,'Выгр Торг'!$B:$Q,E$1,0)</f>
        <v>Y</v>
      </c>
      <c r="F90" s="24">
        <f>VLOOKUP($B90,'Выгр Торг'!$B:$Q,F$1,0)</f>
        <v>0</v>
      </c>
      <c r="G90" s="24" t="str">
        <f>VLOOKUP($B90,'Выгр Торг'!$B:$Q,G$1,0)</f>
        <v>21230841301000</v>
      </c>
      <c r="H90" s="24" t="str">
        <f>IF(VLOOKUP($B90,'Выгр Торг'!$B:$Q,H$1,0)=0,"",VLOOKUP($B90,'Выгр Торг'!$B:$Q,H$1,0))</f>
        <v>https://motorring.ru/product/5032-kryshka-lyuka-benzobaka-sbore-dlya-shevrole-niva</v>
      </c>
      <c r="I90" s="24"/>
      <c r="J90" s="24"/>
      <c r="K90" s="35">
        <f t="shared" si="13"/>
        <v>200</v>
      </c>
      <c r="L90" s="26">
        <f>VLOOKUP(K90,Наценка!$A$1:$B$8,2,1)</f>
        <v>1.8</v>
      </c>
      <c r="M90" s="27">
        <f t="shared" si="14"/>
        <v>360</v>
      </c>
      <c r="N90" s="28">
        <f t="shared" si="15"/>
        <v>359</v>
      </c>
      <c r="O90" s="24">
        <f>VLOOKUP($B90,'Выгр Торг'!$B:$Q,O$1,0)</f>
        <v>200</v>
      </c>
      <c r="P90" s="24">
        <f>VLOOKUP($B90,'Выгр Торг'!$B:$Q,P$1,0)</f>
        <v>379</v>
      </c>
      <c r="Q90" s="18">
        <f t="shared" si="16"/>
        <v>0</v>
      </c>
      <c r="R90" s="18">
        <f t="shared" si="17"/>
        <v>20</v>
      </c>
      <c r="S90" s="29">
        <f t="shared" si="18"/>
        <v>359</v>
      </c>
      <c r="T90" s="30">
        <f t="shared" si="19"/>
        <v>0.79499999999999993</v>
      </c>
      <c r="U90" s="30" t="str">
        <f t="shared" si="20"/>
        <v/>
      </c>
      <c r="V90" s="30">
        <f t="shared" si="21"/>
        <v>-1</v>
      </c>
      <c r="W90" s="13">
        <f t="shared" si="22"/>
        <v>0</v>
      </c>
      <c r="X90" s="32">
        <f>IFERROR((VLOOKUP($B90,'Из ГУГЛа'!$B:$Z,X$1,0)+Z90)*Y90,VLOOKUP($B90,'Из ГУГЛа'!$B:$Z,X$1,0))</f>
        <v>0</v>
      </c>
      <c r="Y90" s="33">
        <v>1</v>
      </c>
      <c r="Z90" s="33"/>
      <c r="AA90" s="31"/>
      <c r="AB90" s="31" t="s">
        <v>2790</v>
      </c>
    </row>
    <row r="91" spans="1:28" ht="30" x14ac:dyDescent="0.25">
      <c r="A91" s="25" t="str">
        <f>INDEX('Выгр Торг'!$A:$A,MATCH($B91,'Выгр Торг'!$B:$B,0))</f>
        <v>Лючок бензобака "АвтоВАЗ" для ВАЗ 2115</v>
      </c>
      <c r="B91" s="24">
        <v>163537</v>
      </c>
      <c r="C91" s="24">
        <f>VLOOKUP($B91,'Выгр Торг'!$B:$Q,C$1,0)</f>
        <v>169449</v>
      </c>
      <c r="D91" s="25" t="str">
        <f>VLOOKUP($B91,'Выгр Торг'!$B:$Q,D$1,0)</f>
        <v>Лючок бензобака "АвтоВАЗ" для ВАЗ 2115 (Без покраски)</v>
      </c>
      <c r="E91" s="24" t="str">
        <f>VLOOKUP($B91,'Выгр Торг'!$B:$Q,E$1,0)</f>
        <v>Y</v>
      </c>
      <c r="F91" s="24">
        <f>VLOOKUP($B91,'Выгр Торг'!$B:$Q,F$1,0)</f>
        <v>0</v>
      </c>
      <c r="G91" s="24" t="str">
        <f>VLOOKUP($B91,'Выгр Торг'!$B:$Q,G$1,0)</f>
        <v>21150541301000</v>
      </c>
      <c r="H91" s="24" t="str">
        <f>IF(VLOOKUP($B91,'Выгр Торг'!$B:$Q,H$1,0)=0,"",VLOOKUP($B91,'Выгр Торг'!$B:$Q,H$1,0))</f>
        <v>https://motorring.ru/product/1231-lyuchok-benzobaka-cvet-vaz-2115</v>
      </c>
      <c r="I91" s="24"/>
      <c r="J91" s="24"/>
      <c r="K91" s="35">
        <f t="shared" si="13"/>
        <v>321</v>
      </c>
      <c r="L91" s="26">
        <f>VLOOKUP(K91,Наценка!$A$1:$B$8,2,1)</f>
        <v>1.6</v>
      </c>
      <c r="M91" s="27">
        <f t="shared" si="14"/>
        <v>513.6</v>
      </c>
      <c r="N91" s="28">
        <f t="shared" si="15"/>
        <v>519</v>
      </c>
      <c r="O91" s="24">
        <f>VLOOKUP($B91,'Выгр Торг'!$B:$Q,O$1,0)</f>
        <v>321</v>
      </c>
      <c r="P91" s="24">
        <f>VLOOKUP($B91,'Выгр Торг'!$B:$Q,P$1,0)</f>
        <v>559</v>
      </c>
      <c r="Q91" s="18">
        <f t="shared" si="16"/>
        <v>0</v>
      </c>
      <c r="R91" s="18">
        <f t="shared" si="17"/>
        <v>40</v>
      </c>
      <c r="S91" s="29">
        <f t="shared" si="18"/>
        <v>519</v>
      </c>
      <c r="T91" s="30">
        <f t="shared" si="19"/>
        <v>0.61682242990654212</v>
      </c>
      <c r="U91" s="30" t="str">
        <f t="shared" si="20"/>
        <v/>
      </c>
      <c r="V91" s="30">
        <f t="shared" si="21"/>
        <v>-1</v>
      </c>
      <c r="W91" s="13">
        <f t="shared" si="22"/>
        <v>0</v>
      </c>
      <c r="X91" s="32">
        <f>IFERROR((VLOOKUP($B91,'Из ГУГЛа'!$B:$Z,X$1,0)+Z91)*Y91,VLOOKUP($B91,'Из ГУГЛа'!$B:$Z,X$1,0))</f>
        <v>0</v>
      </c>
      <c r="Y91" s="33">
        <v>1</v>
      </c>
      <c r="Z91" s="33"/>
      <c r="AA91" s="31"/>
      <c r="AB91" s="31" t="s">
        <v>2798</v>
      </c>
    </row>
    <row r="92" spans="1:28" ht="30" x14ac:dyDescent="0.25">
      <c r="A92" s="25" t="str">
        <f>INDEX('Выгр Торг'!$A:$A,MATCH($B92,'Выгр Торг'!$B:$B,0))</f>
        <v>Лючок бензобака "АвтоВАЗ" для Лада Веста</v>
      </c>
      <c r="B92" s="24">
        <v>265280</v>
      </c>
      <c r="C92" s="24">
        <f>VLOOKUP($B92,'Выгр Торг'!$B:$Q,C$1,0)</f>
        <v>214305</v>
      </c>
      <c r="D92" s="25" t="str">
        <f>VLOOKUP($B92,'Выгр Торг'!$B:$Q,D$1,0)</f>
        <v>Лючок бензобака "АвтоВАЗ" для Лада Веста (Без покраски)</v>
      </c>
      <c r="E92" s="24" t="str">
        <f>VLOOKUP($B92,'Выгр Торг'!$B:$Q,E$1,0)</f>
        <v>Y</v>
      </c>
      <c r="F92" s="24">
        <f>VLOOKUP($B92,'Выгр Торг'!$B:$Q,F$1,0)</f>
        <v>0</v>
      </c>
      <c r="G92" s="24" t="str">
        <f>VLOOKUP($B92,'Выгр Торг'!$B:$Q,G$1,0)</f>
        <v>8450038415</v>
      </c>
      <c r="H92" s="24" t="str">
        <f>IF(VLOOKUP($B92,'Выгр Торг'!$B:$Q,H$1,0)=0,"",VLOOKUP($B92,'Выгр Торг'!$B:$Q,H$1,0))</f>
        <v>https://motorring.ru/product/2505-kryshka-lyuka-nalivnoy-gorloviny-toplivnogo-baka-novogo</v>
      </c>
      <c r="I92" s="24"/>
      <c r="J92" s="24"/>
      <c r="K92" s="35">
        <f t="shared" si="13"/>
        <v>1866</v>
      </c>
      <c r="L92" s="26">
        <f>VLOOKUP(K92,Наценка!$A$1:$B$8,2,1)</f>
        <v>1.5</v>
      </c>
      <c r="M92" s="27">
        <f t="shared" si="14"/>
        <v>2799</v>
      </c>
      <c r="N92" s="28">
        <f t="shared" si="15"/>
        <v>2790</v>
      </c>
      <c r="O92" s="24">
        <f>VLOOKUP($B92,'Выгр Торг'!$B:$Q,O$1,0)</f>
        <v>1866</v>
      </c>
      <c r="P92" s="24">
        <f>VLOOKUP($B92,'Выгр Торг'!$B:$Q,P$1,0)</f>
        <v>2890</v>
      </c>
      <c r="Q92" s="18">
        <f t="shared" si="16"/>
        <v>0</v>
      </c>
      <c r="R92" s="18">
        <f t="shared" si="17"/>
        <v>100</v>
      </c>
      <c r="S92" s="29">
        <f t="shared" si="18"/>
        <v>2790</v>
      </c>
      <c r="T92" s="30">
        <f t="shared" si="19"/>
        <v>0.49517684887459801</v>
      </c>
      <c r="U92" s="30" t="str">
        <f t="shared" si="20"/>
        <v/>
      </c>
      <c r="V92" s="30">
        <f t="shared" si="21"/>
        <v>-1</v>
      </c>
      <c r="W92" s="13">
        <f t="shared" si="22"/>
        <v>0</v>
      </c>
      <c r="X92" s="32">
        <f>IFERROR((VLOOKUP($B92,'Из ГУГЛа'!$B:$Z,X$1,0)+Z92)*Y92,VLOOKUP($B92,'Из ГУГЛа'!$B:$Z,X$1,0))</f>
        <v>0</v>
      </c>
      <c r="Y92" s="33">
        <v>1</v>
      </c>
      <c r="Z92" s="33"/>
      <c r="AA92" s="31"/>
      <c r="AB92" s="31" t="s">
        <v>2805</v>
      </c>
    </row>
    <row r="93" spans="1:28" ht="30" x14ac:dyDescent="0.25">
      <c r="A93" s="25" t="str">
        <f>INDEX('Выгр Торг'!$A:$A,MATCH($B93,'Выгр Торг'!$B:$B,0))</f>
        <v>Лючок бензобака для ВАЗ 2108-21099, 2113, 2114</v>
      </c>
      <c r="B93" s="24">
        <v>163574</v>
      </c>
      <c r="C93" s="24">
        <f>VLOOKUP($B93,'Выгр Торг'!$B:$Q,C$1,0)</f>
        <v>157394</v>
      </c>
      <c r="D93" s="25" t="str">
        <f>VLOOKUP($B93,'Выгр Торг'!$B:$Q,D$1,0)</f>
        <v>Лючок бензобака для ВАЗ 2108-21099, 2113, 2114 (Без покраски)</v>
      </c>
      <c r="E93" s="24" t="str">
        <f>VLOOKUP($B93,'Выгр Торг'!$B:$Q,E$1,0)</f>
        <v>Y</v>
      </c>
      <c r="F93" s="24">
        <f>VLOOKUP($B93,'Выгр Торг'!$B:$Q,F$1,0)</f>
        <v>0</v>
      </c>
      <c r="G93" s="24" t="str">
        <f>VLOOKUP($B93,'Выгр Торг'!$B:$Q,G$1,0)</f>
        <v>21080541301001</v>
      </c>
      <c r="H93" s="24" t="str">
        <f>IF(VLOOKUP($B93,'Выгр Торг'!$B:$Q,H$1,0)=0,"",VLOOKUP($B93,'Выгр Торг'!$B:$Q,H$1,0))</f>
        <v>https://motorring.ru/product/17813-kryshka-lyuka-nalivnoy-gorloviny-vaz-2108-2109-21099-2113</v>
      </c>
      <c r="I93" s="24"/>
      <c r="J93" s="24"/>
      <c r="K93" s="35">
        <f t="shared" si="13"/>
        <v>230</v>
      </c>
      <c r="L93" s="26">
        <f>VLOOKUP(K93,Наценка!$A$1:$B$8,2,1)</f>
        <v>1.8</v>
      </c>
      <c r="M93" s="27">
        <f t="shared" si="14"/>
        <v>414</v>
      </c>
      <c r="N93" s="28">
        <f t="shared" si="15"/>
        <v>419</v>
      </c>
      <c r="O93" s="24">
        <f>VLOOKUP($B93,'Выгр Торг'!$B:$Q,O$1,0)</f>
        <v>230</v>
      </c>
      <c r="P93" s="24">
        <f>VLOOKUP($B93,'Выгр Торг'!$B:$Q,P$1,0)</f>
        <v>519</v>
      </c>
      <c r="Q93" s="18">
        <f t="shared" si="16"/>
        <v>0</v>
      </c>
      <c r="R93" s="18">
        <f t="shared" si="17"/>
        <v>100</v>
      </c>
      <c r="S93" s="29">
        <f t="shared" si="18"/>
        <v>419</v>
      </c>
      <c r="T93" s="30">
        <f t="shared" si="19"/>
        <v>0.82173913043478253</v>
      </c>
      <c r="U93" s="30" t="str">
        <f t="shared" si="20"/>
        <v/>
      </c>
      <c r="V93" s="30">
        <f t="shared" si="21"/>
        <v>-1</v>
      </c>
      <c r="W93" s="13">
        <f t="shared" si="22"/>
        <v>0</v>
      </c>
      <c r="X93" s="32">
        <f>IFERROR((VLOOKUP($B93,'Из ГУГЛа'!$B:$Z,X$1,0)+Z93)*Y93,VLOOKUP($B93,'Из ГУГЛа'!$B:$Z,X$1,0))</f>
        <v>0</v>
      </c>
      <c r="Y93" s="33">
        <v>1</v>
      </c>
      <c r="Z93" s="33"/>
      <c r="AA93" s="31"/>
      <c r="AB93" s="31" t="s">
        <v>2813</v>
      </c>
    </row>
    <row r="94" spans="1:28" ht="30" x14ac:dyDescent="0.25">
      <c r="A94" s="25" t="str">
        <f>INDEX('Выгр Торг'!$A:$A,MATCH($B94,'Выгр Торг'!$B:$B,0))</f>
        <v>Лючок бензобака для ВАЗ 2110-2112</v>
      </c>
      <c r="B94" s="24">
        <v>265298</v>
      </c>
      <c r="C94" s="24">
        <f>VLOOKUP($B94,'Выгр Торг'!$B:$Q,C$1,0)</f>
        <v>214357</v>
      </c>
      <c r="D94" s="25" t="str">
        <f>VLOOKUP($B94,'Выгр Торг'!$B:$Q,D$1,0)</f>
        <v>Лючок бензобака для ВАЗ 2110-2112 (Без покраски)</v>
      </c>
      <c r="E94" s="24" t="str">
        <f>VLOOKUP($B94,'Выгр Торг'!$B:$Q,E$1,0)</f>
        <v>Y</v>
      </c>
      <c r="F94" s="24">
        <f>VLOOKUP($B94,'Выгр Торг'!$B:$Q,F$1,0)</f>
        <v>0</v>
      </c>
      <c r="G94" s="24" t="str">
        <f>VLOOKUP($B94,'Выгр Торг'!$B:$Q,G$1,0)</f>
        <v>21100541301000</v>
      </c>
      <c r="H94" s="24" t="str">
        <f>IF(VLOOKUP($B94,'Выгр Торг'!$B:$Q,H$1,0)=0,"",VLOOKUP($B94,'Выгр Торг'!$B:$Q,H$1,0))</f>
        <v>https://motorring.ru/product/2878-lyuchok-benzobaka-cvet-vaz-2110-2112</v>
      </c>
      <c r="I94" s="24"/>
      <c r="J94" s="24"/>
      <c r="K94" s="35">
        <f t="shared" si="13"/>
        <v>500</v>
      </c>
      <c r="L94" s="26">
        <f>VLOOKUP(K94,Наценка!$A$1:$B$8,2,1)</f>
        <v>1.55</v>
      </c>
      <c r="M94" s="27">
        <f t="shared" si="14"/>
        <v>775</v>
      </c>
      <c r="N94" s="28">
        <f t="shared" si="15"/>
        <v>779</v>
      </c>
      <c r="O94" s="24">
        <f>VLOOKUP($B94,'Выгр Торг'!$B:$Q,O$1,0)</f>
        <v>500</v>
      </c>
      <c r="P94" s="24">
        <f>VLOOKUP($B94,'Выгр Торг'!$B:$Q,P$1,0)</f>
        <v>959</v>
      </c>
      <c r="Q94" s="18">
        <f t="shared" si="16"/>
        <v>0</v>
      </c>
      <c r="R94" s="18">
        <f t="shared" si="17"/>
        <v>180</v>
      </c>
      <c r="S94" s="29">
        <f t="shared" si="18"/>
        <v>779</v>
      </c>
      <c r="T94" s="30">
        <f t="shared" si="19"/>
        <v>0.55800000000000005</v>
      </c>
      <c r="U94" s="30" t="str">
        <f t="shared" si="20"/>
        <v/>
      </c>
      <c r="V94" s="30">
        <f t="shared" si="21"/>
        <v>-1</v>
      </c>
      <c r="W94" s="13">
        <f t="shared" si="22"/>
        <v>0</v>
      </c>
      <c r="X94" s="32">
        <f>IFERROR((VLOOKUP($B94,'Из ГУГЛа'!$B:$Z,X$1,0)+Z94)*Y94,VLOOKUP($B94,'Из ГУГЛа'!$B:$Z,X$1,0))</f>
        <v>0</v>
      </c>
      <c r="Y94" s="33">
        <v>1</v>
      </c>
      <c r="Z94" s="33"/>
      <c r="AA94" s="31"/>
      <c r="AB94" s="31" t="s">
        <v>2821</v>
      </c>
    </row>
    <row r="95" spans="1:28" ht="30" x14ac:dyDescent="0.25">
      <c r="A95" s="25" t="str">
        <f>INDEX('Выгр Торг'!$A:$A,MATCH($B95,'Выгр Торг'!$B:$B,0))</f>
        <v>Лючок бензобака для Лада Приора</v>
      </c>
      <c r="B95" s="24">
        <v>163628</v>
      </c>
      <c r="C95" s="24">
        <f>VLOOKUP($B95,'Выгр Торг'!$B:$Q,C$1,0)</f>
        <v>71509</v>
      </c>
      <c r="D95" s="25" t="str">
        <f>VLOOKUP($B95,'Выгр Торг'!$B:$Q,D$1,0)</f>
        <v>Лючок бензобака для Лада Приора (Без покраски)</v>
      </c>
      <c r="E95" s="24" t="str">
        <f>VLOOKUP($B95,'Выгр Торг'!$B:$Q,E$1,0)</f>
        <v>Y</v>
      </c>
      <c r="F95" s="24">
        <f>VLOOKUP($B95,'Выгр Торг'!$B:$Q,F$1,0)</f>
        <v>0</v>
      </c>
      <c r="G95" s="24" t="str">
        <f>VLOOKUP($B95,'Выгр Торг'!$B:$Q,G$1,0)</f>
        <v>21700541301000</v>
      </c>
      <c r="H95" s="24" t="str">
        <f>IF(VLOOKUP($B95,'Выгр Торг'!$B:$Q,H$1,0)=0,"",VLOOKUP($B95,'Выгр Торг'!$B:$Q,H$1,0))</f>
        <v>https://motorring.ru/product/1373-lyuchok-benzobaka-cvet-lada-priora</v>
      </c>
      <c r="I95" s="24"/>
      <c r="J95" s="24"/>
      <c r="K95" s="35">
        <f t="shared" si="13"/>
        <v>700</v>
      </c>
      <c r="L95" s="26">
        <f>VLOOKUP(K95,Наценка!$A$1:$B$8,2,1)</f>
        <v>1.55</v>
      </c>
      <c r="M95" s="27">
        <f t="shared" si="14"/>
        <v>1085</v>
      </c>
      <c r="N95" s="28">
        <f t="shared" si="15"/>
        <v>1090</v>
      </c>
      <c r="O95" s="24">
        <f>VLOOKUP($B95,'Выгр Торг'!$B:$Q,O$1,0)</f>
        <v>700</v>
      </c>
      <c r="P95" s="24">
        <f>VLOOKUP($B95,'Выгр Торг'!$B:$Q,P$1,0)</f>
        <v>1190</v>
      </c>
      <c r="Q95" s="18">
        <f t="shared" si="16"/>
        <v>0</v>
      </c>
      <c r="R95" s="18">
        <f t="shared" si="17"/>
        <v>100</v>
      </c>
      <c r="S95" s="29">
        <f t="shared" si="18"/>
        <v>1090</v>
      </c>
      <c r="T95" s="30">
        <f t="shared" si="19"/>
        <v>0.55714285714285716</v>
      </c>
      <c r="U95" s="30" t="str">
        <f t="shared" si="20"/>
        <v/>
      </c>
      <c r="V95" s="30">
        <f t="shared" si="21"/>
        <v>-1</v>
      </c>
      <c r="W95" s="13">
        <f t="shared" si="22"/>
        <v>0</v>
      </c>
      <c r="X95" s="32">
        <f>IFERROR((VLOOKUP($B95,'Из ГУГЛа'!$B:$Z,X$1,0)+Z95)*Y95,VLOOKUP($B95,'Из ГУГЛа'!$B:$Z,X$1,0))</f>
        <v>0</v>
      </c>
      <c r="Y95" s="33">
        <v>1</v>
      </c>
      <c r="Z95" s="33"/>
      <c r="AA95" s="31"/>
      <c r="AB95" s="31" t="s">
        <v>2829</v>
      </c>
    </row>
    <row r="96" spans="1:28" ht="45" x14ac:dyDescent="0.25">
      <c r="A96" s="25" t="str">
        <f>INDEX('Выгр Торг'!$A:$A,MATCH($B96,'Выгр Торг'!$B:$B,0))</f>
        <v>Молдинг двери "АвтоВАЗ" задней, правый для Шевроле Нива (с 2009 г. в.)</v>
      </c>
      <c r="B96" s="24">
        <v>164097</v>
      </c>
      <c r="C96" s="24">
        <f>VLOOKUP($B96,'Выгр Торг'!$B:$Q,C$1,0)</f>
        <v>76139</v>
      </c>
      <c r="D96" s="25" t="str">
        <f>VLOOKUP($B96,'Выгр Торг'!$B:$Q,D$1,0)</f>
        <v>Молдинг двери "АвтоВАЗ" задней, правый для Шевроле Нива (с 2009 г. в.) (Без покраски)</v>
      </c>
      <c r="E96" s="24" t="str">
        <f>VLOOKUP($B96,'Выгр Торг'!$B:$Q,E$1,0)</f>
        <v>Y</v>
      </c>
      <c r="F96" s="24">
        <f>VLOOKUP($B96,'Выгр Торг'!$B:$Q,F$1,0)</f>
        <v>0</v>
      </c>
      <c r="G96" s="24" t="str">
        <f>VLOOKUP($B96,'Выгр Торг'!$B:$Q,G$1,0)</f>
        <v>21230821215055</v>
      </c>
      <c r="H96" s="24" t="str">
        <f>IF(VLOOKUP($B96,'Выгр Торг'!$B:$Q,H$1,0)=0,"",VLOOKUP($B96,'Выгр Торг'!$B:$Q,H$1,0))</f>
        <v>https://motorring.ru/product/13499-molding-zadney-dveri-pravyy-bertone-restayling-shevrole</v>
      </c>
      <c r="I96" s="24"/>
      <c r="J96" s="24"/>
      <c r="K96" s="35">
        <f t="shared" si="13"/>
        <v>2030</v>
      </c>
      <c r="L96" s="26">
        <f>VLOOKUP(K96,Наценка!$A$1:$B$8,2,1)</f>
        <v>1.4</v>
      </c>
      <c r="M96" s="27">
        <f t="shared" si="14"/>
        <v>2842</v>
      </c>
      <c r="N96" s="28">
        <f t="shared" si="15"/>
        <v>2890</v>
      </c>
      <c r="O96" s="24">
        <f>VLOOKUP($B96,'Выгр Торг'!$B:$Q,O$1,0)</f>
        <v>2030</v>
      </c>
      <c r="P96" s="24">
        <f>VLOOKUP($B96,'Выгр Торг'!$B:$Q,P$1,0)</f>
        <v>2890</v>
      </c>
      <c r="Q96" s="18">
        <f t="shared" si="16"/>
        <v>0</v>
      </c>
      <c r="R96" s="18">
        <f t="shared" si="17"/>
        <v>0</v>
      </c>
      <c r="S96" s="29">
        <f t="shared" si="18"/>
        <v>2890</v>
      </c>
      <c r="T96" s="30">
        <f t="shared" si="19"/>
        <v>0.42364532019704426</v>
      </c>
      <c r="U96" s="30" t="str">
        <f t="shared" si="20"/>
        <v/>
      </c>
      <c r="V96" s="30">
        <f t="shared" si="21"/>
        <v>-1</v>
      </c>
      <c r="W96" s="13">
        <f t="shared" si="22"/>
        <v>0</v>
      </c>
      <c r="X96" s="32">
        <f>IFERROR((VLOOKUP($B96,'Из ГУГЛа'!$B:$Z,X$1,0)+Z96)*Y96,VLOOKUP($B96,'Из ГУГЛа'!$B:$Z,X$1,0))</f>
        <v>0</v>
      </c>
      <c r="Y96" s="33">
        <v>1</v>
      </c>
      <c r="Z96" s="33"/>
      <c r="AA96" s="31"/>
      <c r="AB96" s="31" t="s">
        <v>2837</v>
      </c>
    </row>
    <row r="97" spans="1:28" ht="45" x14ac:dyDescent="0.25">
      <c r="A97" s="25" t="str">
        <f>INDEX('Выгр Торг'!$A:$A,MATCH($B97,'Выгр Торг'!$B:$B,0))</f>
        <v>Молдинг крыла "АвтоВАЗ" заднего левого для Шевроле Нива (с 2009 г. в.)</v>
      </c>
      <c r="B97" s="24">
        <v>164148</v>
      </c>
      <c r="C97" s="24">
        <f>VLOOKUP($B97,'Выгр Торг'!$B:$Q,C$1,0)</f>
        <v>76141</v>
      </c>
      <c r="D97" s="25" t="str">
        <f>VLOOKUP($B97,'Выгр Торг'!$B:$Q,D$1,0)</f>
        <v>Молдинг крыла "АвтоВАЗ" заднего левого для Шевроле Нива (с 2009 г. в.) (Без покраски)</v>
      </c>
      <c r="E97" s="24" t="str">
        <f>VLOOKUP($B97,'Выгр Торг'!$B:$Q,E$1,0)</f>
        <v>Y</v>
      </c>
      <c r="F97" s="24">
        <f>VLOOKUP($B97,'Выгр Торг'!$B:$Q,F$1,0)</f>
        <v>0</v>
      </c>
      <c r="G97" s="24" t="str">
        <f>VLOOKUP($B97,'Выгр Торг'!$B:$Q,G$1,0)</f>
        <v>21230821230555</v>
      </c>
      <c r="H97" s="24" t="str">
        <f>IF(VLOOKUP($B97,'Выгр Торг'!$B:$Q,H$1,0)=0,"",VLOOKUP($B97,'Выгр Торг'!$B:$Q,H$1,0))</f>
        <v>https://motorring.ru/product/13504-nakladka-arki-zadnyaya-levaya-bertone-restayling-shevrole</v>
      </c>
      <c r="I97" s="24"/>
      <c r="J97" s="24"/>
      <c r="K97" s="35">
        <f t="shared" si="13"/>
        <v>2039</v>
      </c>
      <c r="L97" s="26">
        <f>VLOOKUP(K97,Наценка!$A$1:$B$8,2,1)</f>
        <v>1.4</v>
      </c>
      <c r="M97" s="27">
        <f t="shared" si="14"/>
        <v>2854.6</v>
      </c>
      <c r="N97" s="28">
        <f t="shared" si="15"/>
        <v>2890</v>
      </c>
      <c r="O97" s="24">
        <f>VLOOKUP($B97,'Выгр Торг'!$B:$Q,O$1,0)</f>
        <v>2039</v>
      </c>
      <c r="P97" s="24">
        <f>VLOOKUP($B97,'Выгр Торг'!$B:$Q,P$1,0)</f>
        <v>2990</v>
      </c>
      <c r="Q97" s="18">
        <f t="shared" si="16"/>
        <v>0</v>
      </c>
      <c r="R97" s="18">
        <f t="shared" si="17"/>
        <v>100</v>
      </c>
      <c r="S97" s="29">
        <f t="shared" si="18"/>
        <v>2890</v>
      </c>
      <c r="T97" s="30">
        <f t="shared" si="19"/>
        <v>0.41736145169200589</v>
      </c>
      <c r="U97" s="30" t="str">
        <f t="shared" si="20"/>
        <v/>
      </c>
      <c r="V97" s="30">
        <f t="shared" si="21"/>
        <v>-1</v>
      </c>
      <c r="W97" s="13">
        <f t="shared" si="22"/>
        <v>0</v>
      </c>
      <c r="X97" s="32">
        <f>IFERROR((VLOOKUP($B97,'Из ГУГЛа'!$B:$Z,X$1,0)+Z97)*Y97,VLOOKUP($B97,'Из ГУГЛа'!$B:$Z,X$1,0))</f>
        <v>0</v>
      </c>
      <c r="Y97" s="33">
        <v>1</v>
      </c>
      <c r="Z97" s="33"/>
      <c r="AA97" s="31"/>
      <c r="AB97" s="31" t="s">
        <v>2845</v>
      </c>
    </row>
    <row r="98" spans="1:28" ht="45" x14ac:dyDescent="0.25">
      <c r="A98" s="25" t="str">
        <f>INDEX('Выгр Торг'!$A:$A,MATCH($B98,'Выгр Торг'!$B:$B,0))</f>
        <v>Накладка "АвтоВАЗ" корпуса зеркала левая (под окраску GLS) для Шевроле Нива</v>
      </c>
      <c r="B98" s="24">
        <v>248321</v>
      </c>
      <c r="C98" s="24">
        <f>VLOOKUP($B98,'Выгр Торг'!$B:$Q,C$1,0)</f>
        <v>171421</v>
      </c>
      <c r="D98" s="25" t="str">
        <f>VLOOKUP($B98,'Выгр Торг'!$B:$Q,D$1,0)</f>
        <v>Накладка "АвтоВАЗ" корпуса зеркала левая (под окраску GLS) для Шевроле Нива (Без покраски)</v>
      </c>
      <c r="E98" s="24" t="str">
        <f>VLOOKUP($B98,'Выгр Торг'!$B:$Q,E$1,0)</f>
        <v>Y</v>
      </c>
      <c r="F98" s="24">
        <f>VLOOKUP($B98,'Выгр Торг'!$B:$Q,F$1,0)</f>
        <v>0</v>
      </c>
      <c r="G98" s="24" t="str">
        <f>VLOOKUP($B98,'Выгр Торг'!$B:$Q,G$1,0)</f>
        <v>21230820122561</v>
      </c>
      <c r="H98" s="24" t="str">
        <f>IF(VLOOKUP($B98,'Выгр Торг'!$B:$Q,H$1,0)=0,"",VLOOKUP($B98,'Выгр Торг'!$B:$Q,H$1,0))</f>
        <v/>
      </c>
      <c r="I98" s="24"/>
      <c r="J98" s="24"/>
      <c r="K98" s="35">
        <f t="shared" si="13"/>
        <v>129</v>
      </c>
      <c r="L98" s="26">
        <f>VLOOKUP(K98,Наценка!$A$1:$B$8,2,1)</f>
        <v>1.8</v>
      </c>
      <c r="M98" s="27">
        <f t="shared" si="14"/>
        <v>232.20000000000002</v>
      </c>
      <c r="N98" s="28">
        <f t="shared" si="15"/>
        <v>239</v>
      </c>
      <c r="O98" s="24">
        <f>VLOOKUP($B98,'Выгр Торг'!$B:$Q,O$1,0)</f>
        <v>129</v>
      </c>
      <c r="P98" s="24">
        <f>VLOOKUP($B98,'Выгр Торг'!$B:$Q,P$1,0)</f>
        <v>239</v>
      </c>
      <c r="Q98" s="18">
        <f t="shared" si="16"/>
        <v>0</v>
      </c>
      <c r="R98" s="18">
        <f t="shared" si="17"/>
        <v>0</v>
      </c>
      <c r="S98" s="29">
        <f t="shared" si="18"/>
        <v>239</v>
      </c>
      <c r="T98" s="30">
        <f t="shared" si="19"/>
        <v>0.8527131782945736</v>
      </c>
      <c r="U98" s="30">
        <f t="shared" si="20"/>
        <v>0.59831932773109242</v>
      </c>
      <c r="V98" s="30">
        <f t="shared" si="21"/>
        <v>3.612403100775194</v>
      </c>
      <c r="W98" s="13">
        <f t="shared" si="22"/>
        <v>595</v>
      </c>
      <c r="X98" s="32">
        <f>IFERROR((VLOOKUP($B98,'Из ГУГЛа'!$B:$Z,X$1,0)+Z98)*Y98,VLOOKUP($B98,'Из ГУГЛа'!$B:$Z,X$1,0))</f>
        <v>0</v>
      </c>
      <c r="Y98" s="33">
        <v>0.5</v>
      </c>
      <c r="Z98" s="33"/>
      <c r="AA98" s="31">
        <f>1190/2</f>
        <v>595</v>
      </c>
      <c r="AB98" s="31" t="s">
        <v>4210</v>
      </c>
    </row>
    <row r="99" spans="1:28" ht="45" x14ac:dyDescent="0.25">
      <c r="A99" s="25" t="str">
        <f>INDEX('Выгр Торг'!$A:$A,MATCH($B99,'Выгр Торг'!$B:$B,0))</f>
        <v>Накладка "АвтоВАЗ" корпуса зеркала правая  (под окраску GLS) для Шевроле Нива</v>
      </c>
      <c r="B99" s="24">
        <v>248340</v>
      </c>
      <c r="C99" s="24">
        <f>VLOOKUP($B99,'Выгр Торг'!$B:$Q,C$1,0)</f>
        <v>171389</v>
      </c>
      <c r="D99" s="25" t="str">
        <f>VLOOKUP($B99,'Выгр Торг'!$B:$Q,D$1,0)</f>
        <v>Накладка "АвтоВАЗ" корпуса зеркала правая  (под окраску GLS) для Шевроле Нива (Без покраски)</v>
      </c>
      <c r="E99" s="24" t="str">
        <f>VLOOKUP($B99,'Выгр Торг'!$B:$Q,E$1,0)</f>
        <v>Y</v>
      </c>
      <c r="F99" s="24">
        <f>VLOOKUP($B99,'Выгр Торг'!$B:$Q,F$1,0)</f>
        <v>0</v>
      </c>
      <c r="G99" s="24" t="str">
        <f>VLOOKUP($B99,'Выгр Торг'!$B:$Q,G$1,0)</f>
        <v>21230820122461</v>
      </c>
      <c r="H99" s="24" t="str">
        <f>IF(VLOOKUP($B99,'Выгр Торг'!$B:$Q,H$1,0)=0,"",VLOOKUP($B99,'Выгр Торг'!$B:$Q,H$1,0))</f>
        <v/>
      </c>
      <c r="I99" s="24"/>
      <c r="J99" s="24"/>
      <c r="K99" s="35">
        <f t="shared" si="13"/>
        <v>128</v>
      </c>
      <c r="L99" s="26">
        <f>VLOOKUP(K99,Наценка!$A$1:$B$8,2,1)</f>
        <v>1.8</v>
      </c>
      <c r="M99" s="27">
        <f t="shared" si="14"/>
        <v>230.4</v>
      </c>
      <c r="N99" s="28">
        <f t="shared" si="15"/>
        <v>239</v>
      </c>
      <c r="O99" s="24">
        <f>VLOOKUP($B99,'Выгр Торг'!$B:$Q,O$1,0)</f>
        <v>128</v>
      </c>
      <c r="P99" s="24">
        <f>VLOOKUP($B99,'Выгр Торг'!$B:$Q,P$1,0)</f>
        <v>239</v>
      </c>
      <c r="Q99" s="18">
        <f t="shared" si="16"/>
        <v>0</v>
      </c>
      <c r="R99" s="18">
        <f t="shared" si="17"/>
        <v>0</v>
      </c>
      <c r="S99" s="29">
        <f t="shared" si="18"/>
        <v>239</v>
      </c>
      <c r="T99" s="30">
        <f t="shared" si="19"/>
        <v>0.8671875</v>
      </c>
      <c r="U99" s="30">
        <f t="shared" si="20"/>
        <v>0.59831932773109242</v>
      </c>
      <c r="V99" s="30">
        <f t="shared" si="21"/>
        <v>3.6484375</v>
      </c>
      <c r="W99" s="13">
        <f t="shared" si="22"/>
        <v>595</v>
      </c>
      <c r="X99" s="32">
        <f>IFERROR((VLOOKUP($B99,'Из ГУГЛа'!$B:$Z,X$1,0)+Z99)*Y99,VLOOKUP($B99,'Из ГУГЛа'!$B:$Z,X$1,0))</f>
        <v>0</v>
      </c>
      <c r="Y99" s="33">
        <v>0.5</v>
      </c>
      <c r="Z99" s="33"/>
      <c r="AA99" s="31">
        <f>1190/2</f>
        <v>595</v>
      </c>
      <c r="AB99" s="31" t="s">
        <v>4210</v>
      </c>
    </row>
    <row r="100" spans="1:28" ht="45" x14ac:dyDescent="0.25">
      <c r="A100" s="25" t="str">
        <f>INDEX('Выгр Торг'!$A:$A,MATCH($B100,'Выгр Торг'!$B:$B,0))</f>
        <v>Накладка "АвтоВАЗ" на зеркало левое (для запчастей) для Лада Веста NG</v>
      </c>
      <c r="B100" s="24">
        <v>165442</v>
      </c>
      <c r="C100" s="24">
        <f>VLOOKUP($B100,'Выгр Торг'!$B:$Q,C$1,0)</f>
        <v>168496</v>
      </c>
      <c r="D100" s="25" t="str">
        <f>VLOOKUP($B100,'Выгр Торг'!$B:$Q,D$1,0)</f>
        <v>Накладка "АвтоВАЗ" на зеркало левое (для запчастей) для Лада Веста NG (Без покраски)</v>
      </c>
      <c r="E100" s="24" t="str">
        <f>VLOOKUP($B100,'Выгр Торг'!$B:$Q,E$1,0)</f>
        <v>Y</v>
      </c>
      <c r="F100" s="24">
        <f>VLOOKUP($B100,'Выгр Торг'!$B:$Q,F$1,0)</f>
        <v>0</v>
      </c>
      <c r="G100" s="24" t="str">
        <f>VLOOKUP($B100,'Выгр Торг'!$B:$Q,G$1,0)</f>
        <v>8460008989</v>
      </c>
      <c r="H100" s="24" t="str">
        <f>IF(VLOOKUP($B100,'Выгр Торг'!$B:$Q,H$1,0)=0,"",VLOOKUP($B100,'Выгр Торг'!$B:$Q,H$1,0))</f>
        <v/>
      </c>
      <c r="I100" s="24"/>
      <c r="J100" s="24"/>
      <c r="K100" s="35">
        <f t="shared" si="13"/>
        <v>636</v>
      </c>
      <c r="L100" s="26">
        <f>VLOOKUP(K100,Наценка!$A$1:$B$8,2,1)</f>
        <v>1.55</v>
      </c>
      <c r="M100" s="27">
        <f t="shared" si="14"/>
        <v>985.80000000000007</v>
      </c>
      <c r="N100" s="28">
        <f t="shared" si="15"/>
        <v>989</v>
      </c>
      <c r="O100" s="24">
        <f>VLOOKUP($B100,'Выгр Торг'!$B:$Q,O$1,0)</f>
        <v>636</v>
      </c>
      <c r="P100" s="24">
        <f>VLOOKUP($B100,'Выгр Торг'!$B:$Q,P$1,0)</f>
        <v>1090</v>
      </c>
      <c r="Q100" s="18">
        <f t="shared" si="16"/>
        <v>0</v>
      </c>
      <c r="R100" s="18">
        <f t="shared" si="17"/>
        <v>101</v>
      </c>
      <c r="S100" s="29">
        <f t="shared" si="18"/>
        <v>989</v>
      </c>
      <c r="T100" s="30">
        <f t="shared" si="19"/>
        <v>0.55503144654088055</v>
      </c>
      <c r="U100" s="30" t="str">
        <f t="shared" si="20"/>
        <v/>
      </c>
      <c r="V100" s="30" t="str">
        <f t="shared" si="21"/>
        <v/>
      </c>
      <c r="W100" s="31"/>
      <c r="X100" s="32">
        <f>IFERROR((VLOOKUP($B100,'Из ГУГЛа'!$B:$Z,X$1,0)+Z100)*Y100,VLOOKUP($B100,'Из ГУГЛа'!$B:$Z,X$1,0))</f>
        <v>0</v>
      </c>
      <c r="Y100" s="33">
        <v>1</v>
      </c>
      <c r="Z100" s="33"/>
      <c r="AA100" s="63" t="s">
        <v>4170</v>
      </c>
      <c r="AB100" s="31" t="s">
        <v>4167</v>
      </c>
    </row>
    <row r="101" spans="1:28" ht="45" x14ac:dyDescent="0.25">
      <c r="A101" s="25" t="str">
        <f>INDEX('Выгр Торг'!$A:$A,MATCH($B101,'Выгр Торг'!$B:$B,0))</f>
        <v>Накладка "АвтоВАЗ" на зеркало правое (для запчастей) для Лада Веста NG</v>
      </c>
      <c r="B101" s="24">
        <v>165462</v>
      </c>
      <c r="C101" s="24">
        <f>VLOOKUP($B101,'Выгр Торг'!$B:$Q,C$1,0)</f>
        <v>168551</v>
      </c>
      <c r="D101" s="25" t="str">
        <f>VLOOKUP($B101,'Выгр Торг'!$B:$Q,D$1,0)</f>
        <v>Накладка "АвтоВАЗ" на зеркало правое (для запчастей) для Лада Веста NG (Без покраски)</v>
      </c>
      <c r="E101" s="24" t="str">
        <f>VLOOKUP($B101,'Выгр Торг'!$B:$Q,E$1,0)</f>
        <v>Y</v>
      </c>
      <c r="F101" s="24">
        <f>VLOOKUP($B101,'Выгр Торг'!$B:$Q,F$1,0)</f>
        <v>0</v>
      </c>
      <c r="G101" s="24" t="str">
        <f>VLOOKUP($B101,'Выгр Торг'!$B:$Q,G$1,0)</f>
        <v>8460008990</v>
      </c>
      <c r="H101" s="24" t="str">
        <f>IF(VLOOKUP($B101,'Выгр Торг'!$B:$Q,H$1,0)=0,"",VLOOKUP($B101,'Выгр Торг'!$B:$Q,H$1,0))</f>
        <v/>
      </c>
      <c r="I101" s="24"/>
      <c r="J101" s="24"/>
      <c r="K101" s="35">
        <f t="shared" si="13"/>
        <v>550</v>
      </c>
      <c r="L101" s="26">
        <f>VLOOKUP(K101,Наценка!$A$1:$B$8,2,1)</f>
        <v>1.55</v>
      </c>
      <c r="M101" s="27">
        <f t="shared" si="14"/>
        <v>852.5</v>
      </c>
      <c r="N101" s="28">
        <f t="shared" si="15"/>
        <v>859</v>
      </c>
      <c r="O101" s="24">
        <f>VLOOKUP($B101,'Выгр Торг'!$B:$Q,O$1,0)</f>
        <v>550</v>
      </c>
      <c r="P101" s="24">
        <f>VLOOKUP($B101,'Выгр Торг'!$B:$Q,P$1,0)</f>
        <v>869</v>
      </c>
      <c r="Q101" s="18">
        <f t="shared" si="16"/>
        <v>0</v>
      </c>
      <c r="R101" s="18">
        <f t="shared" si="17"/>
        <v>10</v>
      </c>
      <c r="S101" s="29">
        <f t="shared" si="18"/>
        <v>859</v>
      </c>
      <c r="T101" s="30">
        <f t="shared" si="19"/>
        <v>0.56181818181818177</v>
      </c>
      <c r="U101" s="30" t="str">
        <f t="shared" si="20"/>
        <v/>
      </c>
      <c r="V101" s="30" t="str">
        <f t="shared" si="21"/>
        <v/>
      </c>
      <c r="W101" s="31"/>
      <c r="X101" s="32">
        <f>IFERROR((VLOOKUP($B101,'Из ГУГЛа'!$B:$Z,X$1,0)+Z101)*Y101,VLOOKUP($B101,'Из ГУГЛа'!$B:$Z,X$1,0))</f>
        <v>0</v>
      </c>
      <c r="Y101" s="33">
        <v>1</v>
      </c>
      <c r="Z101" s="33"/>
      <c r="AA101" s="63" t="s">
        <v>4170</v>
      </c>
      <c r="AB101" s="31" t="s">
        <v>4167</v>
      </c>
    </row>
    <row r="102" spans="1:28" ht="45" x14ac:dyDescent="0.25">
      <c r="A102" s="25" t="str">
        <f>INDEX('Выгр Торг'!$A:$A,MATCH($B102,'Выгр Торг'!$B:$B,0))</f>
        <v>Накладка двери задка "АвтоВАЗ" (под кнопку и камеру) для Лада Калина 2, Гранта FL универсал</v>
      </c>
      <c r="B102" s="24">
        <v>165753</v>
      </c>
      <c r="C102" s="24">
        <f>VLOOKUP($B102,'Выгр Торг'!$B:$Q,C$1,0)</f>
        <v>143354</v>
      </c>
      <c r="D102" s="25" t="str">
        <f>VLOOKUP($B102,'Выгр Торг'!$B:$Q,D$1,0)</f>
        <v>Накладка двери задка "АвтоВАЗ" (под кнопку и камеру) для Лада Калина 2, Гранта FL универсал (Без покраски)</v>
      </c>
      <c r="E102" s="24" t="str">
        <f>VLOOKUP($B102,'Выгр Торг'!$B:$Q,E$1,0)</f>
        <v>Y</v>
      </c>
      <c r="F102" s="24">
        <f>VLOOKUP($B102,'Выгр Торг'!$B:$Q,F$1,0)</f>
        <v>0</v>
      </c>
      <c r="G102" s="24" t="str">
        <f>VLOOKUP($B102,'Выгр Торг'!$B:$Q,G$1,0)</f>
        <v>8450103782</v>
      </c>
      <c r="H102" s="24" t="str">
        <f>IF(VLOOKUP($B102,'Выгр Торг'!$B:$Q,H$1,0)=0,"",VLOOKUP($B102,'Выгр Торг'!$B:$Q,H$1,0))</f>
        <v/>
      </c>
      <c r="I102" s="24"/>
      <c r="J102" s="24"/>
      <c r="K102" s="35">
        <f t="shared" si="13"/>
        <v>963</v>
      </c>
      <c r="L102" s="26">
        <f>VLOOKUP(K102,Наценка!$A$1:$B$8,2,1)</f>
        <v>1.55</v>
      </c>
      <c r="M102" s="27">
        <f t="shared" si="14"/>
        <v>1492.65</v>
      </c>
      <c r="N102" s="28">
        <f t="shared" si="15"/>
        <v>1490</v>
      </c>
      <c r="O102" s="24">
        <f>VLOOKUP($B102,'Выгр Торг'!$B:$Q,O$1,0)</f>
        <v>963</v>
      </c>
      <c r="P102" s="24">
        <f>VLOOKUP($B102,'Выгр Торг'!$B:$Q,P$1,0)</f>
        <v>1590</v>
      </c>
      <c r="Q102" s="18">
        <f t="shared" si="16"/>
        <v>0</v>
      </c>
      <c r="R102" s="18">
        <f t="shared" si="17"/>
        <v>100</v>
      </c>
      <c r="S102" s="29">
        <f t="shared" si="18"/>
        <v>1490</v>
      </c>
      <c r="T102" s="30">
        <f t="shared" si="19"/>
        <v>0.54724818276220155</v>
      </c>
      <c r="U102" s="30" t="str">
        <f t="shared" si="20"/>
        <v/>
      </c>
      <c r="V102" s="30" t="str">
        <f t="shared" si="21"/>
        <v/>
      </c>
      <c r="W102" s="31"/>
      <c r="X102" s="32">
        <f>IFERROR((VLOOKUP($B102,'Из ГУГЛа'!$B:$Z,X$1,0)+Z102)*Y102,VLOOKUP($B102,'Из ГУГЛа'!$B:$Z,X$1,0))</f>
        <v>0</v>
      </c>
      <c r="Y102" s="33">
        <v>1</v>
      </c>
      <c r="Z102" s="33"/>
      <c r="AA102" s="63" t="s">
        <v>4170</v>
      </c>
      <c r="AB102" s="31" t="s">
        <v>4167</v>
      </c>
    </row>
    <row r="103" spans="1:28" ht="30" x14ac:dyDescent="0.25">
      <c r="A103" s="25" t="str">
        <f>INDEX('Выгр Торг'!$A:$A,MATCH($B103,'Выгр Торг'!$B:$B,0))</f>
        <v>Накладка крышки багажника для Лада Гранта (лифтбек)</v>
      </c>
      <c r="B103" s="24">
        <v>166160</v>
      </c>
      <c r="C103" s="24">
        <f>VLOOKUP($B103,'Выгр Торг'!$B:$Q,C$1,0)</f>
        <v>165826</v>
      </c>
      <c r="D103" s="25" t="str">
        <f>VLOOKUP($B103,'Выгр Торг'!$B:$Q,D$1,0)</f>
        <v>Накладка крышки багажника для Лада Гранта (лифтбек) (Без покраски)</v>
      </c>
      <c r="E103" s="24" t="str">
        <f>VLOOKUP($B103,'Выгр Торг'!$B:$Q,E$1,0)</f>
        <v>Y</v>
      </c>
      <c r="F103" s="24">
        <f>VLOOKUP($B103,'Выгр Торг'!$B:$Q,F$1,0)</f>
        <v>0</v>
      </c>
      <c r="G103" s="24" t="str">
        <f>VLOOKUP($B103,'Выгр Торг'!$B:$Q,G$1,0)</f>
        <v>21910821252601</v>
      </c>
      <c r="H103" s="24" t="str">
        <f>IF(VLOOKUP($B103,'Выгр Торг'!$B:$Q,H$1,0)=0,"",VLOOKUP($B103,'Выгр Торг'!$B:$Q,H$1,0))</f>
        <v/>
      </c>
      <c r="I103" s="24"/>
      <c r="J103" s="24"/>
      <c r="K103" s="35">
        <f t="shared" si="13"/>
        <v>703</v>
      </c>
      <c r="L103" s="26">
        <f>VLOOKUP(K103,Наценка!$A$1:$B$8,2,1)</f>
        <v>1.55</v>
      </c>
      <c r="M103" s="27">
        <f t="shared" si="14"/>
        <v>1089.6500000000001</v>
      </c>
      <c r="N103" s="28">
        <f t="shared" si="15"/>
        <v>1090</v>
      </c>
      <c r="O103" s="24">
        <f>VLOOKUP($B103,'Выгр Торг'!$B:$Q,O$1,0)</f>
        <v>703</v>
      </c>
      <c r="P103" s="24">
        <f>VLOOKUP($B103,'Выгр Торг'!$B:$Q,P$1,0)</f>
        <v>1190</v>
      </c>
      <c r="Q103" s="18">
        <f t="shared" si="16"/>
        <v>0</v>
      </c>
      <c r="R103" s="18">
        <f t="shared" si="17"/>
        <v>100</v>
      </c>
      <c r="S103" s="29">
        <f t="shared" si="18"/>
        <v>1090</v>
      </c>
      <c r="T103" s="30">
        <f t="shared" si="19"/>
        <v>0.55049786628733988</v>
      </c>
      <c r="U103" s="30" t="str">
        <f t="shared" si="20"/>
        <v/>
      </c>
      <c r="V103" s="30" t="str">
        <f t="shared" si="21"/>
        <v/>
      </c>
      <c r="W103" s="31"/>
      <c r="X103" s="32">
        <f>IFERROR((VLOOKUP($B103,'Из ГУГЛа'!$B:$Z,X$1,0)+Z103)*Y103,VLOOKUP($B103,'Из ГУГЛа'!$B:$Z,X$1,0))</f>
        <v>0</v>
      </c>
      <c r="Y103" s="33">
        <v>1</v>
      </c>
      <c r="Z103" s="33"/>
      <c r="AA103" s="63" t="s">
        <v>4170</v>
      </c>
      <c r="AB103" s="31" t="s">
        <v>4167</v>
      </c>
    </row>
    <row r="104" spans="1:28" ht="45" x14ac:dyDescent="0.25">
      <c r="A104" s="25" t="str">
        <f>INDEX('Выгр Торг'!$A:$A,MATCH($B104,'Выгр Торг'!$B:$B,0))</f>
        <v>Оригинальная дверь задка (откидная) для Лада Приора (хэтчбек)</v>
      </c>
      <c r="B104" s="24">
        <v>181963</v>
      </c>
      <c r="C104" s="24">
        <f>VLOOKUP($B104,'Выгр Торг'!$B:$Q,C$1,0)</f>
        <v>154917</v>
      </c>
      <c r="D104" s="25" t="str">
        <f>VLOOKUP($B104,'Выгр Торг'!$B:$Q,D$1,0)</f>
        <v>Оригинальная дверь задка (откидная) для Лада Приора (хэтчбек) (Без покраски)</v>
      </c>
      <c r="E104" s="24" t="str">
        <f>VLOOKUP($B104,'Выгр Торг'!$B:$Q,E$1,0)</f>
        <v>Y</v>
      </c>
      <c r="F104" s="24">
        <f>VLOOKUP($B104,'Выгр Торг'!$B:$Q,F$1,0)</f>
        <v>0</v>
      </c>
      <c r="G104" s="24" t="str">
        <f>VLOOKUP($B104,'Выгр Торг'!$B:$Q,G$1,0)</f>
        <v>21720630002070</v>
      </c>
      <c r="H104" s="24" t="str">
        <f>IF(VLOOKUP($B104,'Выгр Торг'!$B:$Q,H$1,0)=0,"",VLOOKUP($B104,'Выгр Торг'!$B:$Q,H$1,0))</f>
        <v>https://motorring.ru/product/16056-dvery-bagaghnika-dlya-lada-priora-hetchbek</v>
      </c>
      <c r="I104" s="24"/>
      <c r="J104" s="24"/>
      <c r="K104" s="35">
        <f t="shared" si="13"/>
        <v>16742</v>
      </c>
      <c r="L104" s="26">
        <f>VLOOKUP(K104,Наценка!$A$1:$B$8,2,1)</f>
        <v>1.3</v>
      </c>
      <c r="M104" s="27">
        <f t="shared" si="14"/>
        <v>21764.600000000002</v>
      </c>
      <c r="N104" s="28">
        <f t="shared" si="15"/>
        <v>21790</v>
      </c>
      <c r="O104" s="24">
        <f>VLOOKUP($B104,'Выгр Торг'!$B:$Q,O$1,0)</f>
        <v>16742</v>
      </c>
      <c r="P104" s="24">
        <f>VLOOKUP($B104,'Выгр Торг'!$B:$Q,P$1,0)</f>
        <v>22190</v>
      </c>
      <c r="Q104" s="18">
        <f t="shared" si="16"/>
        <v>0</v>
      </c>
      <c r="R104" s="18">
        <f t="shared" si="17"/>
        <v>400</v>
      </c>
      <c r="S104" s="29">
        <f t="shared" si="18"/>
        <v>21790</v>
      </c>
      <c r="T104" s="30">
        <f t="shared" si="19"/>
        <v>0.30151714251582851</v>
      </c>
      <c r="U104" s="30" t="str">
        <f t="shared" si="20"/>
        <v/>
      </c>
      <c r="V104" s="30">
        <f t="shared" si="21"/>
        <v>-1</v>
      </c>
      <c r="W104" s="13">
        <f t="shared" ref="W104:W167" si="23">AA104</f>
        <v>0</v>
      </c>
      <c r="X104" s="32">
        <f>IFERROR((VLOOKUP($B104,'Из ГУГЛа'!$B:$Z,X$1,0)+Z104)*Y104,VLOOKUP($B104,'Из ГУГЛа'!$B:$Z,X$1,0))</f>
        <v>0</v>
      </c>
      <c r="Y104" s="33">
        <v>1</v>
      </c>
      <c r="Z104" s="33"/>
      <c r="AA104" s="31"/>
      <c r="AB104" s="31" t="s">
        <v>2893</v>
      </c>
    </row>
    <row r="105" spans="1:28" ht="30" x14ac:dyDescent="0.25">
      <c r="A105" s="25" t="str">
        <f>INDEX('Выгр Торг'!$A:$A,MATCH($B105,'Выгр Торг'!$B:$B,0))</f>
        <v>Оригинальная дверь задка для Лада Нива 4х4</v>
      </c>
      <c r="B105" s="24">
        <v>181991</v>
      </c>
      <c r="C105" s="24">
        <f>VLOOKUP($B105,'Выгр Торг'!$B:$Q,C$1,0)</f>
        <v>152764</v>
      </c>
      <c r="D105" s="25" t="str">
        <f>VLOOKUP($B105,'Выгр Торг'!$B:$Q,D$1,0)</f>
        <v>Оригинальная дверь задка для Лада Нива 4х4 (Без покраски)</v>
      </c>
      <c r="E105" s="24" t="str">
        <f>VLOOKUP($B105,'Выгр Торг'!$B:$Q,E$1,0)</f>
        <v>Y</v>
      </c>
      <c r="F105" s="24">
        <f>VLOOKUP($B105,'Выгр Торг'!$B:$Q,F$1,0)</f>
        <v>0</v>
      </c>
      <c r="G105" s="24" t="str">
        <f>VLOOKUP($B105,'Выгр Торг'!$B:$Q,G$1,0)</f>
        <v>21213630001410</v>
      </c>
      <c r="H105" s="24" t="str">
        <f>IF(VLOOKUP($B105,'Выгр Торг'!$B:$Q,H$1,0)=0,"",VLOOKUP($B105,'Выгр Торг'!$B:$Q,H$1,0))</f>
        <v>https://motorring.ru/product/13854-dvery-bagaghnika-cvet-lada-niva-4h4</v>
      </c>
      <c r="I105" s="24"/>
      <c r="J105" s="24"/>
      <c r="K105" s="35">
        <f t="shared" si="13"/>
        <v>11904</v>
      </c>
      <c r="L105" s="26">
        <f>VLOOKUP(K105,Наценка!$A$1:$B$8,2,1)</f>
        <v>1.3</v>
      </c>
      <c r="M105" s="27">
        <f t="shared" si="14"/>
        <v>15475.2</v>
      </c>
      <c r="N105" s="28">
        <f t="shared" si="15"/>
        <v>15490</v>
      </c>
      <c r="O105" s="24">
        <f>VLOOKUP($B105,'Выгр Торг'!$B:$Q,O$1,0)</f>
        <v>11904</v>
      </c>
      <c r="P105" s="24">
        <f>VLOOKUP($B105,'Выгр Торг'!$B:$Q,P$1,0)</f>
        <v>14890</v>
      </c>
      <c r="Q105" s="18">
        <f t="shared" si="16"/>
        <v>0</v>
      </c>
      <c r="R105" s="18">
        <f t="shared" si="17"/>
        <v>-600</v>
      </c>
      <c r="S105" s="29">
        <f t="shared" si="18"/>
        <v>15490</v>
      </c>
      <c r="T105" s="30">
        <f t="shared" si="19"/>
        <v>0.3012432795698925</v>
      </c>
      <c r="U105" s="30" t="str">
        <f t="shared" si="20"/>
        <v/>
      </c>
      <c r="V105" s="30">
        <f t="shared" si="21"/>
        <v>-1</v>
      </c>
      <c r="W105" s="13">
        <f t="shared" si="23"/>
        <v>0</v>
      </c>
      <c r="X105" s="32">
        <f>IFERROR((VLOOKUP($B105,'Из ГУГЛа'!$B:$Z,X$1,0)+Z105)*Y105,VLOOKUP($B105,'Из ГУГЛа'!$B:$Z,X$1,0))</f>
        <v>0</v>
      </c>
      <c r="Y105" s="33">
        <v>1</v>
      </c>
      <c r="Z105" s="33"/>
      <c r="AA105" s="31"/>
      <c r="AB105" s="31" t="s">
        <v>2901</v>
      </c>
    </row>
    <row r="106" spans="1:28" ht="30" x14ac:dyDescent="0.25">
      <c r="A106" s="25" t="str">
        <f>INDEX('Выгр Торг'!$A:$A,MATCH($B106,'Выгр Торг'!$B:$B,0))</f>
        <v>Оригинальная дверь задка для Лада Приора (универсал)</v>
      </c>
      <c r="B106" s="24">
        <v>182007</v>
      </c>
      <c r="C106" s="24">
        <f>VLOOKUP($B106,'Выгр Торг'!$B:$Q,C$1,0)</f>
        <v>154944</v>
      </c>
      <c r="D106" s="25" t="str">
        <f>VLOOKUP($B106,'Выгр Торг'!$B:$Q,D$1,0)</f>
        <v>Оригинальная дверь задка для Лада Приора (универсал) (Без покраски)</v>
      </c>
      <c r="E106" s="24" t="str">
        <f>VLOOKUP($B106,'Выгр Торг'!$B:$Q,E$1,0)</f>
        <v>Y</v>
      </c>
      <c r="F106" s="24">
        <f>VLOOKUP($B106,'Выгр Торг'!$B:$Q,F$1,0)</f>
        <v>0</v>
      </c>
      <c r="G106" s="24" t="str">
        <f>VLOOKUP($B106,'Выгр Торг'!$B:$Q,G$1,0)</f>
        <v>21710630002070</v>
      </c>
      <c r="H106" s="24" t="str">
        <f>IF(VLOOKUP($B106,'Выгр Торг'!$B:$Q,H$1,0)=0,"",VLOOKUP($B106,'Выгр Торг'!$B:$Q,H$1,0))</f>
        <v>https://motorring.ru/product/16055-dvery-bagaghnika-cvet-lada-priora-universal</v>
      </c>
      <c r="I106" s="24"/>
      <c r="J106" s="24"/>
      <c r="K106" s="35">
        <f t="shared" si="13"/>
        <v>11894</v>
      </c>
      <c r="L106" s="26">
        <f>VLOOKUP(K106,Наценка!$A$1:$B$8,2,1)</f>
        <v>1.3</v>
      </c>
      <c r="M106" s="27">
        <f t="shared" si="14"/>
        <v>15462.2</v>
      </c>
      <c r="N106" s="28">
        <f t="shared" si="15"/>
        <v>15490</v>
      </c>
      <c r="O106" s="24">
        <f>VLOOKUP($B106,'Выгр Торг'!$B:$Q,O$1,0)</f>
        <v>11894</v>
      </c>
      <c r="P106" s="24">
        <f>VLOOKUP($B106,'Выгр Торг'!$B:$Q,P$1,0)</f>
        <v>15890</v>
      </c>
      <c r="Q106" s="18">
        <f t="shared" si="16"/>
        <v>0</v>
      </c>
      <c r="R106" s="18">
        <f t="shared" si="17"/>
        <v>400</v>
      </c>
      <c r="S106" s="29">
        <f t="shared" si="18"/>
        <v>15490</v>
      </c>
      <c r="T106" s="30">
        <f t="shared" si="19"/>
        <v>0.3023373129308895</v>
      </c>
      <c r="U106" s="30" t="str">
        <f t="shared" si="20"/>
        <v/>
      </c>
      <c r="V106" s="30">
        <f t="shared" si="21"/>
        <v>-1</v>
      </c>
      <c r="W106" s="13">
        <f t="shared" si="23"/>
        <v>0</v>
      </c>
      <c r="X106" s="32">
        <f>IFERROR((VLOOKUP($B106,'Из ГУГЛа'!$B:$Z,X$1,0)+Z106)*Y106,VLOOKUP($B106,'Из ГУГЛа'!$B:$Z,X$1,0))</f>
        <v>0</v>
      </c>
      <c r="Y106" s="33">
        <v>1</v>
      </c>
      <c r="Z106" s="33"/>
      <c r="AA106" s="31"/>
      <c r="AB106" s="31" t="s">
        <v>2909</v>
      </c>
    </row>
    <row r="107" spans="1:28" ht="45" x14ac:dyDescent="0.25">
      <c r="A107" s="25" t="str">
        <f>INDEX('Выгр Торг'!$A:$A,MATCH($B107,'Выгр Торг'!$B:$B,0))</f>
        <v>Оригинальная дверь задка левая (глухая) для Лада Ларгус (фургон)</v>
      </c>
      <c r="B107" s="24">
        <v>182034</v>
      </c>
      <c r="C107" s="24">
        <f>VLOOKUP($B107,'Выгр Торг'!$B:$Q,C$1,0)</f>
        <v>155338</v>
      </c>
      <c r="D107" s="25" t="str">
        <f>VLOOKUP($B107,'Выгр Торг'!$B:$Q,D$1,0)</f>
        <v>Оригинальная дверь задка левая (глухая) для Лада Ларгус (фургон) (Без покраски)</v>
      </c>
      <c r="E107" s="24" t="str">
        <f>VLOOKUP($B107,'Выгр Торг'!$B:$Q,E$1,0)</f>
        <v>Y</v>
      </c>
      <c r="F107" s="24">
        <f>VLOOKUP($B107,'Выгр Торг'!$B:$Q,F$1,0)</f>
        <v>0</v>
      </c>
      <c r="G107" s="24" t="str">
        <f>VLOOKUP($B107,'Выгр Торг'!$B:$Q,G$1,0)</f>
        <v>901010231R</v>
      </c>
      <c r="H107" s="24" t="str">
        <f>IF(VLOOKUP($B107,'Выгр Торг'!$B:$Q,H$1,0)=0,"",VLOOKUP($B107,'Выгр Торг'!$B:$Q,H$1,0))</f>
        <v>https://motorring.ru/product/10507-dvery-bagaghnika-levaya-gluhaya-dlya-lada-largus</v>
      </c>
      <c r="I107" s="24"/>
      <c r="J107" s="24"/>
      <c r="K107" s="35">
        <f t="shared" si="13"/>
        <v>24897</v>
      </c>
      <c r="L107" s="26">
        <f>VLOOKUP(K107,Наценка!$A$1:$B$8,2,1)</f>
        <v>1.3</v>
      </c>
      <c r="M107" s="27">
        <f t="shared" si="14"/>
        <v>32366.100000000002</v>
      </c>
      <c r="N107" s="28">
        <f t="shared" si="15"/>
        <v>32390</v>
      </c>
      <c r="O107" s="24">
        <f>VLOOKUP($B107,'Выгр Торг'!$B:$Q,O$1,0)</f>
        <v>24897</v>
      </c>
      <c r="P107" s="24">
        <f>VLOOKUP($B107,'Выгр Торг'!$B:$Q,P$1,0)</f>
        <v>31190</v>
      </c>
      <c r="Q107" s="18">
        <f t="shared" si="16"/>
        <v>0</v>
      </c>
      <c r="R107" s="18">
        <f t="shared" si="17"/>
        <v>-1200</v>
      </c>
      <c r="S107" s="29">
        <f t="shared" si="18"/>
        <v>32390</v>
      </c>
      <c r="T107" s="30">
        <f t="shared" si="19"/>
        <v>0.30095995501466044</v>
      </c>
      <c r="U107" s="30" t="str">
        <f t="shared" si="20"/>
        <v/>
      </c>
      <c r="V107" s="30">
        <f t="shared" si="21"/>
        <v>-1</v>
      </c>
      <c r="W107" s="13">
        <f t="shared" si="23"/>
        <v>0</v>
      </c>
      <c r="X107" s="32">
        <f>IFERROR((VLOOKUP($B107,'Из ГУГЛа'!$B:$Z,X$1,0)+Z107)*Y107,VLOOKUP($B107,'Из ГУГЛа'!$B:$Z,X$1,0))</f>
        <v>0</v>
      </c>
      <c r="Y107" s="33">
        <v>1</v>
      </c>
      <c r="Z107" s="33"/>
      <c r="AA107" s="31"/>
      <c r="AB107" s="31" t="s">
        <v>2917</v>
      </c>
    </row>
    <row r="108" spans="1:28" ht="30" x14ac:dyDescent="0.25">
      <c r="A108" s="25" t="str">
        <f>INDEX('Выгр Торг'!$A:$A,MATCH($B108,'Выгр Торг'!$B:$B,0))</f>
        <v>Оригинальная дверь задка левая (под стекло) для Лада Ларгус</v>
      </c>
      <c r="B108" s="24">
        <v>182051</v>
      </c>
      <c r="C108" s="24">
        <f>VLOOKUP($B108,'Выгр Торг'!$B:$Q,C$1,0)</f>
        <v>155354</v>
      </c>
      <c r="D108" s="25" t="str">
        <f>VLOOKUP($B108,'Выгр Торг'!$B:$Q,D$1,0)</f>
        <v>Оригинальная дверь задка левая (под стекло) для Лада Ларгус (Без покраски)</v>
      </c>
      <c r="E108" s="24" t="str">
        <f>VLOOKUP($B108,'Выгр Торг'!$B:$Q,E$1,0)</f>
        <v>Y</v>
      </c>
      <c r="F108" s="24">
        <f>VLOOKUP($B108,'Выгр Торг'!$B:$Q,F$1,0)</f>
        <v>0</v>
      </c>
      <c r="G108" s="24" t="str">
        <f>VLOOKUP($B108,'Выгр Торг'!$B:$Q,G$1,0)</f>
        <v>901015964R</v>
      </c>
      <c r="H108" s="24" t="str">
        <f>IF(VLOOKUP($B108,'Выгр Торг'!$B:$Q,H$1,0)=0,"",VLOOKUP($B108,'Выгр Торг'!$B:$Q,H$1,0))</f>
        <v>https://motorring.ru/product/10508-dvery-bagaghnika-levaya-pod-steklo-dlya-lada-largus</v>
      </c>
      <c r="I108" s="24"/>
      <c r="J108" s="24"/>
      <c r="K108" s="35">
        <f t="shared" si="13"/>
        <v>23420</v>
      </c>
      <c r="L108" s="26">
        <f>VLOOKUP(K108,Наценка!$A$1:$B$8,2,1)</f>
        <v>1.3</v>
      </c>
      <c r="M108" s="27">
        <f t="shared" si="14"/>
        <v>30446</v>
      </c>
      <c r="N108" s="28">
        <f t="shared" si="15"/>
        <v>30490</v>
      </c>
      <c r="O108" s="24">
        <f>VLOOKUP($B108,'Выгр Торг'!$B:$Q,O$1,0)</f>
        <v>23420</v>
      </c>
      <c r="P108" s="24">
        <f>VLOOKUP($B108,'Выгр Торг'!$B:$Q,P$1,0)</f>
        <v>29290</v>
      </c>
      <c r="Q108" s="18">
        <f t="shared" si="16"/>
        <v>0</v>
      </c>
      <c r="R108" s="18">
        <f t="shared" si="17"/>
        <v>-1200</v>
      </c>
      <c r="S108" s="29">
        <f t="shared" si="18"/>
        <v>30490</v>
      </c>
      <c r="T108" s="30">
        <f t="shared" si="19"/>
        <v>0.30187873612297178</v>
      </c>
      <c r="U108" s="30" t="str">
        <f t="shared" si="20"/>
        <v/>
      </c>
      <c r="V108" s="30">
        <f t="shared" si="21"/>
        <v>-1</v>
      </c>
      <c r="W108" s="13">
        <f t="shared" si="23"/>
        <v>0</v>
      </c>
      <c r="X108" s="32">
        <f>IFERROR((VLOOKUP($B108,'Из ГУГЛа'!$B:$Z,X$1,0)+Z108)*Y108,VLOOKUP($B108,'Из ГУГЛа'!$B:$Z,X$1,0))</f>
        <v>0</v>
      </c>
      <c r="Y108" s="33">
        <v>1</v>
      </c>
      <c r="Z108" s="33"/>
      <c r="AA108" s="31"/>
      <c r="AB108" s="31" t="s">
        <v>2925</v>
      </c>
    </row>
    <row r="109" spans="1:28" ht="30" x14ac:dyDescent="0.25">
      <c r="A109" s="25" t="str">
        <f>INDEX('Выгр Торг'!$A:$A,MATCH($B109,'Выгр Торг'!$B:$B,0))</f>
        <v>Оригинальная дверь задка откидная для ВАЗ 2108, 2109</v>
      </c>
      <c r="B109" s="24">
        <v>182068</v>
      </c>
      <c r="C109" s="24">
        <f>VLOOKUP($B109,'Выгр Торг'!$B:$Q,C$1,0)</f>
        <v>152236</v>
      </c>
      <c r="D109" s="25" t="str">
        <f>VLOOKUP($B109,'Выгр Торг'!$B:$Q,D$1,0)</f>
        <v>Оригинальная дверь задка откидная для ВАЗ 2108, 2109 (Без покраски)</v>
      </c>
      <c r="E109" s="24" t="str">
        <f>VLOOKUP($B109,'Выгр Торг'!$B:$Q,E$1,0)</f>
        <v>Y</v>
      </c>
      <c r="F109" s="24">
        <f>VLOOKUP($B109,'Выгр Торг'!$B:$Q,F$1,0)</f>
        <v>0</v>
      </c>
      <c r="G109" s="24" t="str">
        <f>VLOOKUP($B109,'Выгр Торг'!$B:$Q,G$1,0)</f>
        <v>21080630002070</v>
      </c>
      <c r="H109" s="24" t="str">
        <f>IF(VLOOKUP($B109,'Выгр Торг'!$B:$Q,H$1,0)=0,"",VLOOKUP($B109,'Выгр Торг'!$B:$Q,H$1,0))</f>
        <v>https://motorring.ru/product/16043-dvery-bagaghnika-dlya-vaz-2108-2109</v>
      </c>
      <c r="I109" s="24"/>
      <c r="J109" s="24"/>
      <c r="K109" s="35">
        <f t="shared" si="13"/>
        <v>4391</v>
      </c>
      <c r="L109" s="26">
        <f>VLOOKUP(K109,Наценка!$A$1:$B$8,2,1)</f>
        <v>1.4</v>
      </c>
      <c r="M109" s="27">
        <f t="shared" si="14"/>
        <v>6147.4</v>
      </c>
      <c r="N109" s="28">
        <f t="shared" si="15"/>
        <v>6190</v>
      </c>
      <c r="O109" s="24">
        <f>VLOOKUP($B109,'Выгр Торг'!$B:$Q,O$1,0)</f>
        <v>4391</v>
      </c>
      <c r="P109" s="24">
        <f>VLOOKUP($B109,'Выгр Торг'!$B:$Q,P$1,0)</f>
        <v>6290</v>
      </c>
      <c r="Q109" s="18">
        <f t="shared" si="16"/>
        <v>0</v>
      </c>
      <c r="R109" s="18">
        <f t="shared" si="17"/>
        <v>100</v>
      </c>
      <c r="S109" s="29">
        <f t="shared" si="18"/>
        <v>6190</v>
      </c>
      <c r="T109" s="30">
        <f t="shared" si="19"/>
        <v>0.40970166249145978</v>
      </c>
      <c r="U109" s="30" t="str">
        <f t="shared" si="20"/>
        <v/>
      </c>
      <c r="V109" s="30">
        <f t="shared" si="21"/>
        <v>-1</v>
      </c>
      <c r="W109" s="13">
        <f t="shared" si="23"/>
        <v>0</v>
      </c>
      <c r="X109" s="32">
        <f>IFERROR((VLOOKUP($B109,'Из ГУГЛа'!$B:$Z,X$1,0)+Z109)*Y109,VLOOKUP($B109,'Из ГУГЛа'!$B:$Z,X$1,0))</f>
        <v>0</v>
      </c>
      <c r="Y109" s="33">
        <v>1</v>
      </c>
      <c r="Z109" s="33"/>
      <c r="AA109" s="31"/>
      <c r="AB109" s="31" t="s">
        <v>2933</v>
      </c>
    </row>
    <row r="110" spans="1:28" ht="30" x14ac:dyDescent="0.25">
      <c r="A110" s="25" t="str">
        <f>INDEX('Выгр Торг'!$A:$A,MATCH($B110,'Выгр Торг'!$B:$B,0))</f>
        <v>Оригинальная дверь задка откидная для ВАЗ 2111</v>
      </c>
      <c r="B110" s="24">
        <v>182095</v>
      </c>
      <c r="C110" s="24">
        <f>VLOOKUP($B110,'Выгр Торг'!$B:$Q,C$1,0)</f>
        <v>152737</v>
      </c>
      <c r="D110" s="25" t="str">
        <f>VLOOKUP($B110,'Выгр Торг'!$B:$Q,D$1,0)</f>
        <v>Оригинальная дверь задка откидная для ВАЗ 2111 (Без покраски)</v>
      </c>
      <c r="E110" s="24" t="str">
        <f>VLOOKUP($B110,'Выгр Торг'!$B:$Q,E$1,0)</f>
        <v>Y</v>
      </c>
      <c r="F110" s="24">
        <f>VLOOKUP($B110,'Выгр Торг'!$B:$Q,F$1,0)</f>
        <v>0</v>
      </c>
      <c r="G110" s="24" t="str">
        <f>VLOOKUP($B110,'Выгр Торг'!$B:$Q,G$1,0)</f>
        <v>21110630002010</v>
      </c>
      <c r="H110" s="24" t="str">
        <f>IF(VLOOKUP($B110,'Выгр Торг'!$B:$Q,H$1,0)=0,"",VLOOKUP($B110,'Выгр Торг'!$B:$Q,H$1,0))</f>
        <v>https://motorring.ru/product/16295-dvery-bagaghnika-cvet-vaz-2111</v>
      </c>
      <c r="I110" s="24"/>
      <c r="J110" s="24"/>
      <c r="K110" s="35">
        <f t="shared" si="13"/>
        <v>11856</v>
      </c>
      <c r="L110" s="26">
        <f>VLOOKUP(K110,Наценка!$A$1:$B$8,2,1)</f>
        <v>1.3</v>
      </c>
      <c r="M110" s="27">
        <f t="shared" si="14"/>
        <v>15412.800000000001</v>
      </c>
      <c r="N110" s="28">
        <f t="shared" si="15"/>
        <v>15490</v>
      </c>
      <c r="O110" s="24">
        <f>VLOOKUP($B110,'Выгр Торг'!$B:$Q,O$1,0)</f>
        <v>11856</v>
      </c>
      <c r="P110" s="24">
        <f>VLOOKUP($B110,'Выгр Торг'!$B:$Q,P$1,0)</f>
        <v>15790</v>
      </c>
      <c r="Q110" s="18">
        <f t="shared" si="16"/>
        <v>0</v>
      </c>
      <c r="R110" s="18">
        <f t="shared" si="17"/>
        <v>300</v>
      </c>
      <c r="S110" s="29">
        <f t="shared" si="18"/>
        <v>15490</v>
      </c>
      <c r="T110" s="30">
        <f t="shared" si="19"/>
        <v>0.3065114709851553</v>
      </c>
      <c r="U110" s="30" t="str">
        <f t="shared" si="20"/>
        <v/>
      </c>
      <c r="V110" s="30">
        <f t="shared" si="21"/>
        <v>-1</v>
      </c>
      <c r="W110" s="13">
        <f t="shared" si="23"/>
        <v>0</v>
      </c>
      <c r="X110" s="32">
        <f>IFERROR((VLOOKUP($B110,'Из ГУГЛа'!$B:$Z,X$1,0)+Z110)*Y110,VLOOKUP($B110,'Из ГУГЛа'!$B:$Z,X$1,0))</f>
        <v>0</v>
      </c>
      <c r="Y110" s="33">
        <v>1</v>
      </c>
      <c r="Z110" s="33"/>
      <c r="AA110" s="31"/>
      <c r="AB110" s="31" t="s">
        <v>2940</v>
      </c>
    </row>
    <row r="111" spans="1:28" ht="30" x14ac:dyDescent="0.25">
      <c r="A111" s="25" t="str">
        <f>INDEX('Выгр Торг'!$A:$A,MATCH($B111,'Выгр Торг'!$B:$B,0))</f>
        <v>Оригинальная дверь задка откидная для ВАЗ 2112</v>
      </c>
      <c r="B111" s="24">
        <v>182122</v>
      </c>
      <c r="C111" s="24">
        <f>VLOOKUP($B111,'Выгр Торг'!$B:$Q,C$1,0)</f>
        <v>156301</v>
      </c>
      <c r="D111" s="25" t="str">
        <f>VLOOKUP($B111,'Выгр Торг'!$B:$Q,D$1,0)</f>
        <v>Оригинальная дверь задка откидная для ВАЗ 2112 (Без покраски)</v>
      </c>
      <c r="E111" s="24" t="str">
        <f>VLOOKUP($B111,'Выгр Торг'!$B:$Q,E$1,0)</f>
        <v>Y</v>
      </c>
      <c r="F111" s="24">
        <f>VLOOKUP($B111,'Выгр Торг'!$B:$Q,F$1,0)</f>
        <v>0</v>
      </c>
      <c r="G111" s="24" t="str">
        <f>VLOOKUP($B111,'Выгр Торг'!$B:$Q,G$1,0)</f>
        <v>21120630002000</v>
      </c>
      <c r="H111" s="24" t="str">
        <f>IF(VLOOKUP($B111,'Выгр Торг'!$B:$Q,H$1,0)=0,"",VLOOKUP($B111,'Выгр Торг'!$B:$Q,H$1,0))</f>
        <v>https://motorring.ru/product/33112-dvery-bagaghnika-vaz-2112</v>
      </c>
      <c r="I111" s="24"/>
      <c r="J111" s="24"/>
      <c r="K111" s="35">
        <f t="shared" si="13"/>
        <v>21225</v>
      </c>
      <c r="L111" s="26">
        <f>VLOOKUP(K111,Наценка!$A$1:$B$8,2,1)</f>
        <v>1.3</v>
      </c>
      <c r="M111" s="27">
        <f t="shared" si="14"/>
        <v>27592.5</v>
      </c>
      <c r="N111" s="28">
        <f t="shared" si="15"/>
        <v>27590</v>
      </c>
      <c r="O111" s="24">
        <f>VLOOKUP($B111,'Выгр Торг'!$B:$Q,O$1,0)</f>
        <v>21225</v>
      </c>
      <c r="P111" s="24">
        <f>VLOOKUP($B111,'Выгр Торг'!$B:$Q,P$1,0)</f>
        <v>28190</v>
      </c>
      <c r="Q111" s="18">
        <f t="shared" si="16"/>
        <v>0</v>
      </c>
      <c r="R111" s="18">
        <f t="shared" si="17"/>
        <v>600</v>
      </c>
      <c r="S111" s="29">
        <f t="shared" si="18"/>
        <v>27590</v>
      </c>
      <c r="T111" s="30">
        <f t="shared" si="19"/>
        <v>0.29988221436984697</v>
      </c>
      <c r="U111" s="30" t="str">
        <f t="shared" si="20"/>
        <v/>
      </c>
      <c r="V111" s="30">
        <f t="shared" si="21"/>
        <v>-1</v>
      </c>
      <c r="W111" s="13">
        <f t="shared" si="23"/>
        <v>0</v>
      </c>
      <c r="X111" s="32">
        <f>IFERROR((VLOOKUP($B111,'Из ГУГЛа'!$B:$Z,X$1,0)+Z111)*Y111,VLOOKUP($B111,'Из ГУГЛа'!$B:$Z,X$1,0))</f>
        <v>0</v>
      </c>
      <c r="Y111" s="33">
        <v>1</v>
      </c>
      <c r="Z111" s="33"/>
      <c r="AA111" s="31"/>
      <c r="AB111" s="31" t="s">
        <v>2948</v>
      </c>
    </row>
    <row r="112" spans="1:28" ht="30" x14ac:dyDescent="0.25">
      <c r="A112" s="25" t="str">
        <f>INDEX('Выгр Торг'!$A:$A,MATCH($B112,'Выгр Торг'!$B:$B,0))</f>
        <v>Оригинальная дверь задка откидная для ВАЗ 2113, 2114</v>
      </c>
      <c r="B112" s="24">
        <v>182149</v>
      </c>
      <c r="C112" s="24">
        <f>VLOOKUP($B112,'Выгр Торг'!$B:$Q,C$1,0)</f>
        <v>152263</v>
      </c>
      <c r="D112" s="25" t="str">
        <f>VLOOKUP($B112,'Выгр Торг'!$B:$Q,D$1,0)</f>
        <v>Оригинальная дверь задка откидная для ВАЗ 2113, 2114 (Без покраски)</v>
      </c>
      <c r="E112" s="24" t="str">
        <f>VLOOKUP($B112,'Выгр Торг'!$B:$Q,E$1,0)</f>
        <v>Y</v>
      </c>
      <c r="F112" s="24">
        <f>VLOOKUP($B112,'Выгр Торг'!$B:$Q,F$1,0)</f>
        <v>0</v>
      </c>
      <c r="G112" s="24" t="str">
        <f>VLOOKUP($B112,'Выгр Торг'!$B:$Q,G$1,0)</f>
        <v>21140630002070</v>
      </c>
      <c r="H112" s="24" t="str">
        <f>IF(VLOOKUP($B112,'Выгр Торг'!$B:$Q,H$1,0)=0,"",VLOOKUP($B112,'Выгр Торг'!$B:$Q,H$1,0))</f>
        <v>https://motorring.ru/product/373-dvery-bagaghnika-cvet-vaz-2113-2114</v>
      </c>
      <c r="I112" s="24"/>
      <c r="J112" s="24"/>
      <c r="K112" s="35">
        <f t="shared" si="13"/>
        <v>4574</v>
      </c>
      <c r="L112" s="26">
        <f>VLOOKUP(K112,Наценка!$A$1:$B$8,2,1)</f>
        <v>1.4</v>
      </c>
      <c r="M112" s="27">
        <f t="shared" si="14"/>
        <v>6403.5999999999995</v>
      </c>
      <c r="N112" s="28">
        <f t="shared" si="15"/>
        <v>6490</v>
      </c>
      <c r="O112" s="24">
        <f>VLOOKUP($B112,'Выгр Торг'!$B:$Q,O$1,0)</f>
        <v>4574</v>
      </c>
      <c r="P112" s="24">
        <f>VLOOKUP($B112,'Выгр Торг'!$B:$Q,P$1,0)</f>
        <v>6590</v>
      </c>
      <c r="Q112" s="18">
        <f t="shared" si="16"/>
        <v>0</v>
      </c>
      <c r="R112" s="18">
        <f t="shared" si="17"/>
        <v>100</v>
      </c>
      <c r="S112" s="29">
        <f t="shared" si="18"/>
        <v>6490</v>
      </c>
      <c r="T112" s="30">
        <f t="shared" si="19"/>
        <v>0.41888937472671617</v>
      </c>
      <c r="U112" s="30" t="str">
        <f t="shared" si="20"/>
        <v/>
      </c>
      <c r="V112" s="30">
        <f t="shared" si="21"/>
        <v>-1</v>
      </c>
      <c r="W112" s="13">
        <f t="shared" si="23"/>
        <v>0</v>
      </c>
      <c r="X112" s="32">
        <f>IFERROR((VLOOKUP($B112,'Из ГУГЛа'!$B:$Z,X$1,0)+Z112)*Y112,VLOOKUP($B112,'Из ГУГЛа'!$B:$Z,X$1,0))</f>
        <v>0</v>
      </c>
      <c r="Y112" s="33">
        <v>1</v>
      </c>
      <c r="Z112" s="33"/>
      <c r="AA112" s="31"/>
      <c r="AB112" s="31" t="s">
        <v>2956</v>
      </c>
    </row>
    <row r="113" spans="1:28" ht="30" x14ac:dyDescent="0.25">
      <c r="A113" s="25" t="str">
        <f>INDEX('Выгр Торг'!$A:$A,MATCH($B113,'Выгр Торг'!$B:$B,0))</f>
        <v>Оригинальная дверь задка откидная для Датсун mi-Do</v>
      </c>
      <c r="B113" s="24">
        <v>182183</v>
      </c>
      <c r="C113" s="24">
        <f>VLOOKUP($B113,'Выгр Торг'!$B:$Q,C$1,0)</f>
        <v>156412</v>
      </c>
      <c r="D113" s="25" t="str">
        <f>VLOOKUP($B113,'Выгр Торг'!$B:$Q,D$1,0)</f>
        <v>Оригинальная дверь задка откидная для Датсун mi-Do (Без покраски)</v>
      </c>
      <c r="E113" s="24" t="str">
        <f>VLOOKUP($B113,'Выгр Торг'!$B:$Q,E$1,0)</f>
        <v>Y</v>
      </c>
      <c r="F113" s="24">
        <f>VLOOKUP($B113,'Выгр Торг'!$B:$Q,F$1,0)</f>
        <v>0</v>
      </c>
      <c r="G113" s="24" t="str">
        <f>VLOOKUP($B113,'Выгр Торг'!$B:$Q,G$1,0)</f>
        <v>901005PA0В</v>
      </c>
      <c r="H113" s="24" t="str">
        <f>IF(VLOOKUP($B113,'Выгр Торг'!$B:$Q,H$1,0)=0,"",VLOOKUP($B113,'Выгр Торг'!$B:$Q,H$1,0))</f>
        <v>https://motorring.ru/product/10525-dvery-bagaghnika-cvet-datsun-mi-do</v>
      </c>
      <c r="I113" s="24"/>
      <c r="J113" s="24"/>
      <c r="K113" s="35">
        <f t="shared" si="13"/>
        <v>16000</v>
      </c>
      <c r="L113" s="26">
        <f>VLOOKUP(K113,Наценка!$A$1:$B$8,2,1)</f>
        <v>1.3</v>
      </c>
      <c r="M113" s="27">
        <f t="shared" si="14"/>
        <v>20800</v>
      </c>
      <c r="N113" s="28">
        <f t="shared" si="15"/>
        <v>20790</v>
      </c>
      <c r="O113" s="24">
        <f>VLOOKUP($B113,'Выгр Торг'!$B:$Q,O$1,0)</f>
        <v>16000</v>
      </c>
      <c r="P113" s="24">
        <f>VLOOKUP($B113,'Выгр Торг'!$B:$Q,P$1,0)</f>
        <v>22890</v>
      </c>
      <c r="Q113" s="18">
        <f t="shared" si="16"/>
        <v>0</v>
      </c>
      <c r="R113" s="18">
        <f t="shared" si="17"/>
        <v>2100</v>
      </c>
      <c r="S113" s="29">
        <f t="shared" si="18"/>
        <v>20790</v>
      </c>
      <c r="T113" s="30">
        <f t="shared" si="19"/>
        <v>0.29937499999999995</v>
      </c>
      <c r="U113" s="30" t="str">
        <f t="shared" si="20"/>
        <v/>
      </c>
      <c r="V113" s="30">
        <f t="shared" si="21"/>
        <v>-1</v>
      </c>
      <c r="W113" s="13">
        <f t="shared" si="23"/>
        <v>0</v>
      </c>
      <c r="X113" s="32">
        <f>IFERROR((VLOOKUP($B113,'Из ГУГЛа'!$B:$Z,X$1,0)+Z113)*Y113,VLOOKUP($B113,'Из ГУГЛа'!$B:$Z,X$1,0))</f>
        <v>0</v>
      </c>
      <c r="Y113" s="33">
        <v>1</v>
      </c>
      <c r="Z113" s="33"/>
      <c r="AA113" s="31"/>
      <c r="AB113" s="31" t="s">
        <v>2964</v>
      </c>
    </row>
    <row r="114" spans="1:28" ht="45" x14ac:dyDescent="0.25">
      <c r="A114" s="25" t="str">
        <f>INDEX('Выгр Торг'!$A:$A,MATCH($B114,'Выгр Торг'!$B:$B,0))</f>
        <v>Оригинальная дверь задка откидная для Лада Гранта (лифтбек)</v>
      </c>
      <c r="B114" s="24">
        <v>182192</v>
      </c>
      <c r="C114" s="24">
        <f>VLOOKUP($B114,'Выгр Торг'!$B:$Q,C$1,0)</f>
        <v>154849</v>
      </c>
      <c r="D114" s="25" t="str">
        <f>VLOOKUP($B114,'Выгр Торг'!$B:$Q,D$1,0)</f>
        <v>Оригинальная дверь задка откидная для Лада Гранта (лифтбек) (Без покраски)</v>
      </c>
      <c r="E114" s="24" t="str">
        <f>VLOOKUP($B114,'Выгр Торг'!$B:$Q,E$1,0)</f>
        <v>Y</v>
      </c>
      <c r="F114" s="24">
        <f>VLOOKUP($B114,'Выгр Торг'!$B:$Q,F$1,0)</f>
        <v>0</v>
      </c>
      <c r="G114" s="24" t="str">
        <f>VLOOKUP($B114,'Выгр Торг'!$B:$Q,G$1,0)</f>
        <v>21910630002070</v>
      </c>
      <c r="H114" s="24" t="str">
        <f>IF(VLOOKUP($B114,'Выгр Торг'!$B:$Q,H$1,0)=0,"",VLOOKUP($B114,'Выгр Торг'!$B:$Q,H$1,0))</f>
        <v>https://motorring.ru/product/1678-dvery-bagaghnika-cvet-lada-granta-liftbek</v>
      </c>
      <c r="I114" s="24"/>
      <c r="J114" s="24"/>
      <c r="K114" s="35">
        <f t="shared" si="13"/>
        <v>14469</v>
      </c>
      <c r="L114" s="26">
        <f>VLOOKUP(K114,Наценка!$A$1:$B$8,2,1)</f>
        <v>1.3</v>
      </c>
      <c r="M114" s="27">
        <f t="shared" si="14"/>
        <v>18809.7</v>
      </c>
      <c r="N114" s="28">
        <f t="shared" si="15"/>
        <v>18890</v>
      </c>
      <c r="O114" s="24">
        <f>VLOOKUP($B114,'Выгр Торг'!$B:$Q,O$1,0)</f>
        <v>14469</v>
      </c>
      <c r="P114" s="24">
        <f>VLOOKUP($B114,'Выгр Торг'!$B:$Q,P$1,0)</f>
        <v>18090</v>
      </c>
      <c r="Q114" s="18">
        <f t="shared" si="16"/>
        <v>0</v>
      </c>
      <c r="R114" s="18">
        <f t="shared" si="17"/>
        <v>-800</v>
      </c>
      <c r="S114" s="29">
        <f t="shared" si="18"/>
        <v>18890</v>
      </c>
      <c r="T114" s="30">
        <f t="shared" si="19"/>
        <v>0.30554979611583377</v>
      </c>
      <c r="U114" s="30" t="str">
        <f t="shared" si="20"/>
        <v/>
      </c>
      <c r="V114" s="30">
        <f t="shared" si="21"/>
        <v>-1</v>
      </c>
      <c r="W114" s="13">
        <f t="shared" si="23"/>
        <v>0</v>
      </c>
      <c r="X114" s="32">
        <f>IFERROR((VLOOKUP($B114,'Из ГУГЛа'!$B:$Z,X$1,0)+Z114)*Y114,VLOOKUP($B114,'Из ГУГЛа'!$B:$Z,X$1,0))</f>
        <v>0</v>
      </c>
      <c r="Y114" s="33">
        <v>1</v>
      </c>
      <c r="Z114" s="33"/>
      <c r="AA114" s="31"/>
      <c r="AB114" s="31" t="s">
        <v>2972</v>
      </c>
    </row>
    <row r="115" spans="1:28" ht="45" x14ac:dyDescent="0.25">
      <c r="A115" s="25" t="str">
        <f>INDEX('Выгр Торг'!$A:$A,MATCH($B115,'Выгр Торг'!$B:$B,0))</f>
        <v>Оригинальная дверь задка откидная для Лада Калина (универсал)</v>
      </c>
      <c r="B115" s="24">
        <v>182215</v>
      </c>
      <c r="C115" s="24">
        <f>VLOOKUP($B115,'Выгр Торг'!$B:$Q,C$1,0)</f>
        <v>153219</v>
      </c>
      <c r="D115" s="25" t="str">
        <f>VLOOKUP($B115,'Выгр Торг'!$B:$Q,D$1,0)</f>
        <v>Оригинальная дверь задка откидная для Лада Калина (универсал) (Без покраски)</v>
      </c>
      <c r="E115" s="24" t="str">
        <f>VLOOKUP($B115,'Выгр Торг'!$B:$Q,E$1,0)</f>
        <v>Y</v>
      </c>
      <c r="F115" s="24">
        <f>VLOOKUP($B115,'Выгр Торг'!$B:$Q,F$1,0)</f>
        <v>0</v>
      </c>
      <c r="G115" s="24" t="str">
        <f>VLOOKUP($B115,'Выгр Торг'!$B:$Q,G$1,0)</f>
        <v>11170630002070</v>
      </c>
      <c r="H115" s="24" t="str">
        <f>IF(VLOOKUP($B115,'Выгр Торг'!$B:$Q,H$1,0)=0,"",VLOOKUP($B115,'Выгр Торг'!$B:$Q,H$1,0))</f>
        <v>https://motorring.ru/product/16066-dvery-bagaghnika-cvet-lada-kalina-universal</v>
      </c>
      <c r="I115" s="24"/>
      <c r="J115" s="24"/>
      <c r="K115" s="35">
        <f t="shared" si="13"/>
        <v>12837</v>
      </c>
      <c r="L115" s="26">
        <f>VLOOKUP(K115,Наценка!$A$1:$B$8,2,1)</f>
        <v>1.3</v>
      </c>
      <c r="M115" s="27">
        <f t="shared" si="14"/>
        <v>16688.100000000002</v>
      </c>
      <c r="N115" s="28">
        <f t="shared" si="15"/>
        <v>16690</v>
      </c>
      <c r="O115" s="24">
        <f>VLOOKUP($B115,'Выгр Торг'!$B:$Q,O$1,0)</f>
        <v>12837</v>
      </c>
      <c r="P115" s="24">
        <f>VLOOKUP($B115,'Выгр Торг'!$B:$Q,P$1,0)</f>
        <v>15890</v>
      </c>
      <c r="Q115" s="18">
        <f t="shared" si="16"/>
        <v>0</v>
      </c>
      <c r="R115" s="18">
        <f t="shared" si="17"/>
        <v>-800</v>
      </c>
      <c r="S115" s="29">
        <f t="shared" si="18"/>
        <v>16690</v>
      </c>
      <c r="T115" s="30">
        <f t="shared" si="19"/>
        <v>0.30014800965957789</v>
      </c>
      <c r="U115" s="30" t="str">
        <f t="shared" si="20"/>
        <v/>
      </c>
      <c r="V115" s="30">
        <f t="shared" si="21"/>
        <v>-1</v>
      </c>
      <c r="W115" s="13">
        <f t="shared" si="23"/>
        <v>0</v>
      </c>
      <c r="X115" s="32">
        <f>IFERROR((VLOOKUP($B115,'Из ГУГЛа'!$B:$Z,X$1,0)+Z115)*Y115,VLOOKUP($B115,'Из ГУГЛа'!$B:$Z,X$1,0))</f>
        <v>0</v>
      </c>
      <c r="Y115" s="33">
        <v>1</v>
      </c>
      <c r="Z115" s="33"/>
      <c r="AA115" s="31"/>
      <c r="AB115" s="31" t="s">
        <v>2980</v>
      </c>
    </row>
    <row r="116" spans="1:28" ht="45" x14ac:dyDescent="0.25">
      <c r="A116" s="25" t="str">
        <f>INDEX('Выгр Торг'!$A:$A,MATCH($B116,'Выгр Торг'!$B:$B,0))</f>
        <v>Оригинальная дверь задка откидная для Лада Калина (хэтчбек)</v>
      </c>
      <c r="B116" s="24">
        <v>182246</v>
      </c>
      <c r="C116" s="24">
        <f>VLOOKUP($B116,'Выгр Торг'!$B:$Q,C$1,0)</f>
        <v>155733</v>
      </c>
      <c r="D116" s="25" t="str">
        <f>VLOOKUP($B116,'Выгр Торг'!$B:$Q,D$1,0)</f>
        <v>Оригинальная дверь задка откидная для Лада Калина (хэтчбек) (Без покраски)</v>
      </c>
      <c r="E116" s="24" t="str">
        <f>VLOOKUP($B116,'Выгр Торг'!$B:$Q,E$1,0)</f>
        <v>Y</v>
      </c>
      <c r="F116" s="24">
        <f>VLOOKUP($B116,'Выгр Торг'!$B:$Q,F$1,0)</f>
        <v>0</v>
      </c>
      <c r="G116" s="24" t="str">
        <f>VLOOKUP($B116,'Выгр Торг'!$B:$Q,G$1,0)</f>
        <v>11190630002070</v>
      </c>
      <c r="H116" s="24" t="str">
        <f>IF(VLOOKUP($B116,'Выгр Торг'!$B:$Q,H$1,0)=0,"",VLOOKUP($B116,'Выгр Торг'!$B:$Q,H$1,0))</f>
        <v>https://motorring.ru/product/16065-dvery-bagaghnika-cvet-lada-kalina-hetchbek</v>
      </c>
      <c r="I116" s="24"/>
      <c r="J116" s="24"/>
      <c r="K116" s="35">
        <f t="shared" si="13"/>
        <v>13248</v>
      </c>
      <c r="L116" s="26">
        <f>VLOOKUP(K116,Наценка!$A$1:$B$8,2,1)</f>
        <v>1.3</v>
      </c>
      <c r="M116" s="27">
        <f t="shared" si="14"/>
        <v>17222.400000000001</v>
      </c>
      <c r="N116" s="28">
        <f t="shared" si="15"/>
        <v>17290</v>
      </c>
      <c r="O116" s="24">
        <f>VLOOKUP($B116,'Выгр Торг'!$B:$Q,O$1,0)</f>
        <v>13248</v>
      </c>
      <c r="P116" s="24">
        <f>VLOOKUP($B116,'Выгр Торг'!$B:$Q,P$1,0)</f>
        <v>17290</v>
      </c>
      <c r="Q116" s="18">
        <f t="shared" si="16"/>
        <v>0</v>
      </c>
      <c r="R116" s="18">
        <f t="shared" si="17"/>
        <v>0</v>
      </c>
      <c r="S116" s="29">
        <f t="shared" si="18"/>
        <v>17290</v>
      </c>
      <c r="T116" s="30">
        <f t="shared" si="19"/>
        <v>0.30510265700483097</v>
      </c>
      <c r="U116" s="30" t="str">
        <f t="shared" si="20"/>
        <v/>
      </c>
      <c r="V116" s="30">
        <f t="shared" si="21"/>
        <v>-1</v>
      </c>
      <c r="W116" s="13">
        <f t="shared" si="23"/>
        <v>0</v>
      </c>
      <c r="X116" s="32">
        <f>IFERROR((VLOOKUP($B116,'Из ГУГЛа'!$B:$Z,X$1,0)+Z116)*Y116,VLOOKUP($B116,'Из ГУГЛа'!$B:$Z,X$1,0))</f>
        <v>0</v>
      </c>
      <c r="Y116" s="33">
        <v>1</v>
      </c>
      <c r="Z116" s="33"/>
      <c r="AA116" s="31"/>
      <c r="AB116" s="31" t="s">
        <v>2988</v>
      </c>
    </row>
    <row r="117" spans="1:28" ht="30" x14ac:dyDescent="0.25">
      <c r="A117" s="25" t="str">
        <f>INDEX('Выгр Торг'!$A:$A,MATCH($B117,'Выгр Торг'!$B:$B,0))</f>
        <v>Оригинальная дверь задка откидная для Шевроле Нива</v>
      </c>
      <c r="B117" s="24">
        <v>182277</v>
      </c>
      <c r="C117" s="24">
        <f>VLOOKUP($B117,'Выгр Торг'!$B:$Q,C$1,0)</f>
        <v>157248</v>
      </c>
      <c r="D117" s="25" t="str">
        <f>VLOOKUP($B117,'Выгр Торг'!$B:$Q,D$1,0)</f>
        <v>Оригинальная дверь задка откидная для Шевроле Нива (Без покраски)</v>
      </c>
      <c r="E117" s="24" t="str">
        <f>VLOOKUP($B117,'Выгр Торг'!$B:$Q,E$1,0)</f>
        <v>Y</v>
      </c>
      <c r="F117" s="24">
        <f>VLOOKUP($B117,'Выгр Торг'!$B:$Q,F$1,0)</f>
        <v>0</v>
      </c>
      <c r="G117" s="24" t="str">
        <f>VLOOKUP($B117,'Выгр Торг'!$B:$Q,G$1,0)</f>
        <v>21230630002000</v>
      </c>
      <c r="H117" s="24" t="str">
        <f>IF(VLOOKUP($B117,'Выгр Торг'!$B:$Q,H$1,0)=0,"",VLOOKUP($B117,'Выгр Торг'!$B:$Q,H$1,0))</f>
        <v>https://motorring.ru/product/36881-originalynaya-dvery-bagaghnika-dlya-lada-niva-trevel</v>
      </c>
      <c r="I117" s="24"/>
      <c r="J117" s="24"/>
      <c r="K117" s="35">
        <f t="shared" si="13"/>
        <v>30743</v>
      </c>
      <c r="L117" s="26">
        <f>VLOOKUP(K117,Наценка!$A$1:$B$8,2,1)</f>
        <v>1.3</v>
      </c>
      <c r="M117" s="27">
        <f t="shared" si="14"/>
        <v>39965.9</v>
      </c>
      <c r="N117" s="28">
        <f t="shared" si="15"/>
        <v>39990</v>
      </c>
      <c r="O117" s="24">
        <f>VLOOKUP($B117,'Выгр Торг'!$B:$Q,O$1,0)</f>
        <v>30743</v>
      </c>
      <c r="P117" s="24">
        <f>VLOOKUP($B117,'Выгр Торг'!$B:$Q,P$1,0)</f>
        <v>40790</v>
      </c>
      <c r="Q117" s="18">
        <f t="shared" si="16"/>
        <v>0</v>
      </c>
      <c r="R117" s="18">
        <f t="shared" si="17"/>
        <v>800</v>
      </c>
      <c r="S117" s="29">
        <f t="shared" si="18"/>
        <v>39990</v>
      </c>
      <c r="T117" s="30">
        <f t="shared" si="19"/>
        <v>0.30078391829034246</v>
      </c>
      <c r="U117" s="30" t="str">
        <f t="shared" si="20"/>
        <v/>
      </c>
      <c r="V117" s="30">
        <f t="shared" si="21"/>
        <v>-1</v>
      </c>
      <c r="W117" s="13">
        <f t="shared" si="23"/>
        <v>0</v>
      </c>
      <c r="X117" s="32">
        <f>IFERROR((VLOOKUP($B117,'Из ГУГЛа'!$B:$Z,X$1,0)+Z117)*Y117,VLOOKUP($B117,'Из ГУГЛа'!$B:$Z,X$1,0))</f>
        <v>0</v>
      </c>
      <c r="Y117" s="33">
        <v>1</v>
      </c>
      <c r="Z117" s="33"/>
      <c r="AA117" s="31"/>
      <c r="AB117" s="31" t="s">
        <v>2996</v>
      </c>
    </row>
    <row r="118" spans="1:28" ht="45" x14ac:dyDescent="0.25">
      <c r="A118" s="25" t="str">
        <f>INDEX('Выгр Торг'!$A:$A,MATCH($B118,'Выгр Торг'!$B:$B,0))</f>
        <v>Оригинальная дверь задка правая (глухая) для Лада Ларгус (фургон)</v>
      </c>
      <c r="B118" s="24">
        <v>182295</v>
      </c>
      <c r="C118" s="24">
        <f>VLOOKUP($B118,'Выгр Торг'!$B:$Q,C$1,0)</f>
        <v>155370</v>
      </c>
      <c r="D118" s="25" t="str">
        <f>VLOOKUP($B118,'Выгр Торг'!$B:$Q,D$1,0)</f>
        <v>Оригинальная дверь задка правая (глухая) для Лада Ларгус (фургон) (Без покраски)</v>
      </c>
      <c r="E118" s="24" t="str">
        <f>VLOOKUP($B118,'Выгр Торг'!$B:$Q,E$1,0)</f>
        <v>Y</v>
      </c>
      <c r="F118" s="24">
        <f>VLOOKUP($B118,'Выгр Торг'!$B:$Q,F$1,0)</f>
        <v>0</v>
      </c>
      <c r="G118" s="24" t="str">
        <f>VLOOKUP($B118,'Выгр Торг'!$B:$Q,G$1,0)</f>
        <v>901004643R</v>
      </c>
      <c r="H118" s="24" t="str">
        <f>IF(VLOOKUP($B118,'Выгр Торг'!$B:$Q,H$1,0)=0,"",VLOOKUP($B118,'Выгр Торг'!$B:$Q,H$1,0))</f>
        <v>https://motorring.ru/product/10505-dvery-bagaghnika-pravaya-gluhaya-dlya-lada-largus</v>
      </c>
      <c r="I118" s="24"/>
      <c r="J118" s="24"/>
      <c r="K118" s="35">
        <f t="shared" si="13"/>
        <v>24133</v>
      </c>
      <c r="L118" s="26">
        <f>VLOOKUP(K118,Наценка!$A$1:$B$8,2,1)</f>
        <v>1.3</v>
      </c>
      <c r="M118" s="27">
        <f t="shared" si="14"/>
        <v>31372.9</v>
      </c>
      <c r="N118" s="28">
        <f t="shared" si="15"/>
        <v>31390</v>
      </c>
      <c r="O118" s="24">
        <f>VLOOKUP($B118,'Выгр Торг'!$B:$Q,O$1,0)</f>
        <v>24133</v>
      </c>
      <c r="P118" s="24">
        <f>VLOOKUP($B118,'Выгр Торг'!$B:$Q,P$1,0)</f>
        <v>30190</v>
      </c>
      <c r="Q118" s="18">
        <f t="shared" si="16"/>
        <v>0</v>
      </c>
      <c r="R118" s="18">
        <f t="shared" si="17"/>
        <v>-1200</v>
      </c>
      <c r="S118" s="29">
        <f t="shared" si="18"/>
        <v>31390</v>
      </c>
      <c r="T118" s="30">
        <f t="shared" si="19"/>
        <v>0.30070857332283585</v>
      </c>
      <c r="U118" s="30" t="str">
        <f t="shared" si="20"/>
        <v/>
      </c>
      <c r="V118" s="30">
        <f t="shared" si="21"/>
        <v>-1</v>
      </c>
      <c r="W118" s="13">
        <f t="shared" si="23"/>
        <v>0</v>
      </c>
      <c r="X118" s="32">
        <f>IFERROR((VLOOKUP($B118,'Из ГУГЛа'!$B:$Z,X$1,0)+Z118)*Y118,VLOOKUP($B118,'Из ГУГЛа'!$B:$Z,X$1,0))</f>
        <v>0</v>
      </c>
      <c r="Y118" s="33">
        <v>1</v>
      </c>
      <c r="Z118" s="33"/>
      <c r="AA118" s="31"/>
      <c r="AB118" s="31" t="s">
        <v>3004</v>
      </c>
    </row>
    <row r="119" spans="1:28" ht="30" x14ac:dyDescent="0.25">
      <c r="A119" s="25" t="str">
        <f>INDEX('Выгр Торг'!$A:$A,MATCH($B119,'Выгр Торг'!$B:$B,0))</f>
        <v>Оригинальная дверь задка правая (под стекло) для Лада Ларгус</v>
      </c>
      <c r="B119" s="24">
        <v>182312</v>
      </c>
      <c r="C119" s="24">
        <f>VLOOKUP($B119,'Выгр Торг'!$B:$Q,C$1,0)</f>
        <v>155386</v>
      </c>
      <c r="D119" s="25" t="str">
        <f>VLOOKUP($B119,'Выгр Торг'!$B:$Q,D$1,0)</f>
        <v>Оригинальная дверь задка правая (под стекло) для Лада Ларгус (Без покраски)</v>
      </c>
      <c r="E119" s="24" t="str">
        <f>VLOOKUP($B119,'Выгр Торг'!$B:$Q,E$1,0)</f>
        <v>Y</v>
      </c>
      <c r="F119" s="24">
        <f>VLOOKUP($B119,'Выгр Торг'!$B:$Q,F$1,0)</f>
        <v>0</v>
      </c>
      <c r="G119" s="24" t="str">
        <f>VLOOKUP($B119,'Выгр Торг'!$B:$Q,G$1,0)</f>
        <v>901005637R</v>
      </c>
      <c r="H119" s="24" t="str">
        <f>IF(VLOOKUP($B119,'Выгр Торг'!$B:$Q,H$1,0)=0,"",VLOOKUP($B119,'Выгр Торг'!$B:$Q,H$1,0))</f>
        <v>https://motorring.ru/product/10506-dvery-bagaghnika-pravaya-pod-steklo-dlya-lada-largus</v>
      </c>
      <c r="I119" s="24"/>
      <c r="J119" s="24"/>
      <c r="K119" s="35">
        <f t="shared" si="13"/>
        <v>23181</v>
      </c>
      <c r="L119" s="26">
        <f>VLOOKUP(K119,Наценка!$A$1:$B$8,2,1)</f>
        <v>1.3</v>
      </c>
      <c r="M119" s="27">
        <f t="shared" si="14"/>
        <v>30135.3</v>
      </c>
      <c r="N119" s="28">
        <f t="shared" si="15"/>
        <v>30190</v>
      </c>
      <c r="O119" s="24">
        <f>VLOOKUP($B119,'Выгр Торг'!$B:$Q,O$1,0)</f>
        <v>23181</v>
      </c>
      <c r="P119" s="24">
        <f>VLOOKUP($B119,'Выгр Торг'!$B:$Q,P$1,0)</f>
        <v>28990</v>
      </c>
      <c r="Q119" s="18">
        <f t="shared" si="16"/>
        <v>0</v>
      </c>
      <c r="R119" s="18">
        <f t="shared" si="17"/>
        <v>-1200</v>
      </c>
      <c r="S119" s="29">
        <f t="shared" si="18"/>
        <v>30190</v>
      </c>
      <c r="T119" s="30">
        <f t="shared" si="19"/>
        <v>0.30235969112635352</v>
      </c>
      <c r="U119" s="30" t="str">
        <f t="shared" si="20"/>
        <v/>
      </c>
      <c r="V119" s="30">
        <f t="shared" si="21"/>
        <v>-1</v>
      </c>
      <c r="W119" s="13">
        <f t="shared" si="23"/>
        <v>0</v>
      </c>
      <c r="X119" s="32">
        <f>IFERROR((VLOOKUP($B119,'Из ГУГЛа'!$B:$Z,X$1,0)+Z119)*Y119,VLOOKUP($B119,'Из ГУГЛа'!$B:$Z,X$1,0))</f>
        <v>0</v>
      </c>
      <c r="Y119" s="33">
        <v>1</v>
      </c>
      <c r="Z119" s="33"/>
      <c r="AA119" s="31"/>
      <c r="AB119" s="31" t="s">
        <v>3012</v>
      </c>
    </row>
    <row r="120" spans="1:28" ht="45" x14ac:dyDescent="0.25">
      <c r="A120" s="25" t="str">
        <f>INDEX('Выгр Торг'!$A:$A,MATCH($B120,'Выгр Торг'!$B:$B,0))</f>
        <v>Оригинальная дверь задняя левая для ВАЗ (2110, 2112), Лада Приора (седан, хэтчбек)</v>
      </c>
      <c r="B120" s="24">
        <v>182329</v>
      </c>
      <c r="C120" s="24">
        <f>VLOOKUP($B120,'Выгр Торг'!$B:$Q,C$1,0)</f>
        <v>154871</v>
      </c>
      <c r="D120" s="25" t="str">
        <f>VLOOKUP($B120,'Выгр Торг'!$B:$Q,D$1,0)</f>
        <v>Оригинальная дверь задняя левая для ВАЗ 2110, 2112, Лада Приора (седан, хэтчбек) (Без покраски)</v>
      </c>
      <c r="E120" s="24" t="str">
        <f>VLOOKUP($B120,'Выгр Торг'!$B:$Q,E$1,0)</f>
        <v>Y</v>
      </c>
      <c r="F120" s="24">
        <f>VLOOKUP($B120,'Выгр Торг'!$B:$Q,F$1,0)</f>
        <v>0</v>
      </c>
      <c r="G120" s="24" t="str">
        <f>VLOOKUP($B120,'Выгр Торг'!$B:$Q,G$1,0)</f>
        <v>21100620001570</v>
      </c>
      <c r="H120" s="24" t="str">
        <f>IF(VLOOKUP($B120,'Выгр Торг'!$B:$Q,H$1,0)=0,"",VLOOKUP($B120,'Выгр Торг'!$B:$Q,H$1,0))</f>
        <v>https://motorring.ru/product/16050-dvery-zadnyaya-levaya-cvet-vaz-2110-2112-lada-priora-sedan</v>
      </c>
      <c r="I120" s="24"/>
      <c r="J120" s="24"/>
      <c r="K120" s="35">
        <f t="shared" si="13"/>
        <v>14000</v>
      </c>
      <c r="L120" s="26">
        <f>VLOOKUP(K120,Наценка!$A$1:$B$8,2,1)</f>
        <v>1.3</v>
      </c>
      <c r="M120" s="27">
        <f t="shared" si="14"/>
        <v>18200</v>
      </c>
      <c r="N120" s="28">
        <f t="shared" si="15"/>
        <v>18190</v>
      </c>
      <c r="O120" s="24">
        <f>VLOOKUP($B120,'Выгр Торг'!$B:$Q,O$1,0)</f>
        <v>14000</v>
      </c>
      <c r="P120" s="24">
        <f>VLOOKUP($B120,'Выгр Торг'!$B:$Q,P$1,0)</f>
        <v>17490</v>
      </c>
      <c r="Q120" s="18">
        <f t="shared" si="16"/>
        <v>0</v>
      </c>
      <c r="R120" s="18">
        <f t="shared" si="17"/>
        <v>-700</v>
      </c>
      <c r="S120" s="29">
        <f t="shared" si="18"/>
        <v>18190</v>
      </c>
      <c r="T120" s="30">
        <f t="shared" si="19"/>
        <v>0.29928571428571438</v>
      </c>
      <c r="U120" s="30" t="str">
        <f t="shared" si="20"/>
        <v/>
      </c>
      <c r="V120" s="30">
        <f t="shared" si="21"/>
        <v>-1</v>
      </c>
      <c r="W120" s="13">
        <f t="shared" si="23"/>
        <v>0</v>
      </c>
      <c r="X120" s="32">
        <f>IFERROR((VLOOKUP($B120,'Из ГУГЛа'!$B:$Z,X$1,0)+Z120)*Y120,VLOOKUP($B120,'Из ГУГЛа'!$B:$Z,X$1,0))</f>
        <v>0</v>
      </c>
      <c r="Y120" s="33">
        <v>1</v>
      </c>
      <c r="Z120" s="33"/>
      <c r="AA120" s="31"/>
      <c r="AB120" s="31" t="s">
        <v>3020</v>
      </c>
    </row>
    <row r="121" spans="1:28" ht="45" x14ac:dyDescent="0.25">
      <c r="A121" s="25" t="str">
        <f>INDEX('Выгр Торг'!$A:$A,MATCH($B121,'Выгр Торг'!$B:$B,0))</f>
        <v>Оригинальная дверь задняя левая для ВАЗ 2111, Лада Приора (универсал)</v>
      </c>
      <c r="B121" s="24">
        <v>182374</v>
      </c>
      <c r="C121" s="24">
        <f>VLOOKUP($B121,'Выгр Торг'!$B:$Q,C$1,0)</f>
        <v>155193</v>
      </c>
      <c r="D121" s="25" t="str">
        <f>VLOOKUP($B121,'Выгр Торг'!$B:$Q,D$1,0)</f>
        <v>Оригинальная дверь задняя левая для ВАЗ 2111, Лада Приора (универсал) (Без покраски)</v>
      </c>
      <c r="E121" s="24" t="str">
        <f>VLOOKUP($B121,'Выгр Торг'!$B:$Q,E$1,0)</f>
        <v>Y</v>
      </c>
      <c r="F121" s="24">
        <f>VLOOKUP($B121,'Выгр Торг'!$B:$Q,F$1,0)</f>
        <v>0</v>
      </c>
      <c r="G121" s="24" t="str">
        <f>VLOOKUP($B121,'Выгр Торг'!$B:$Q,G$1,0)</f>
        <v>21110620001570</v>
      </c>
      <c r="H121" s="24" t="str">
        <f>IF(VLOOKUP($B121,'Выгр Торг'!$B:$Q,H$1,0)=0,"",VLOOKUP($B121,'Выгр Торг'!$B:$Q,H$1,0))</f>
        <v>https://motorring.ru/product/5273-dvery-zadnyaya-levaya-cvet-vaz-2111-lada-priora-universal</v>
      </c>
      <c r="I121" s="24"/>
      <c r="J121" s="24"/>
      <c r="K121" s="35">
        <f t="shared" si="13"/>
        <v>16964</v>
      </c>
      <c r="L121" s="26">
        <f>VLOOKUP(K121,Наценка!$A$1:$B$8,2,1)</f>
        <v>1.3</v>
      </c>
      <c r="M121" s="27">
        <f t="shared" si="14"/>
        <v>22053.200000000001</v>
      </c>
      <c r="N121" s="28">
        <f t="shared" si="15"/>
        <v>22090</v>
      </c>
      <c r="O121" s="24">
        <f>VLOOKUP($B121,'Выгр Торг'!$B:$Q,O$1,0)</f>
        <v>16964</v>
      </c>
      <c r="P121" s="24">
        <f>VLOOKUP($B121,'Выгр Торг'!$B:$Q,P$1,0)</f>
        <v>21290</v>
      </c>
      <c r="Q121" s="18">
        <f t="shared" si="16"/>
        <v>0</v>
      </c>
      <c r="R121" s="18">
        <f t="shared" si="17"/>
        <v>-800</v>
      </c>
      <c r="S121" s="29">
        <f t="shared" si="18"/>
        <v>22090</v>
      </c>
      <c r="T121" s="30">
        <f t="shared" si="19"/>
        <v>0.30216929969346862</v>
      </c>
      <c r="U121" s="30" t="str">
        <f t="shared" si="20"/>
        <v/>
      </c>
      <c r="V121" s="30">
        <f t="shared" si="21"/>
        <v>-1</v>
      </c>
      <c r="W121" s="13">
        <f t="shared" si="23"/>
        <v>0</v>
      </c>
      <c r="X121" s="32">
        <f>IFERROR((VLOOKUP($B121,'Из ГУГЛа'!$B:$Z,X$1,0)+Z121)*Y121,VLOOKUP($B121,'Из ГУГЛа'!$B:$Z,X$1,0))</f>
        <v>0</v>
      </c>
      <c r="Y121" s="33">
        <v>1</v>
      </c>
      <c r="Z121" s="33"/>
      <c r="AA121" s="31"/>
      <c r="AB121" s="31" t="s">
        <v>3028</v>
      </c>
    </row>
    <row r="122" spans="1:28" ht="60" x14ac:dyDescent="0.25">
      <c r="A122" s="25" t="str">
        <f>INDEX('Выгр Торг'!$A:$A,MATCH($B122,'Выгр Торг'!$B:$B,0))</f>
        <v>Оригинальная дверь задняя левая для Лада Калина, Калина 2 (универсал)</v>
      </c>
      <c r="B122" s="24">
        <v>182419</v>
      </c>
      <c r="C122" s="24">
        <f>VLOOKUP($B122,'Выгр Торг'!$B:$Q,C$1,0)</f>
        <v>153775</v>
      </c>
      <c r="D122" s="25" t="str">
        <f>VLOOKUP($B122,'Выгр Торг'!$B:$Q,D$1,0)</f>
        <v>Оригинальная дверь задняя левая для Лада Калина, Калина 2 (универсал) (Без покраски, Без отверстий под молдинг)</v>
      </c>
      <c r="E122" s="24" t="str">
        <f>VLOOKUP($B122,'Выгр Торг'!$B:$Q,E$1,0)</f>
        <v>Y</v>
      </c>
      <c r="F122" s="24">
        <f>VLOOKUP($B122,'Выгр Торг'!$B:$Q,F$1,0)</f>
        <v>0</v>
      </c>
      <c r="G122" s="24" t="str">
        <f>VLOOKUP($B122,'Выгр Торг'!$B:$Q,G$1,0)</f>
        <v>11170620001580</v>
      </c>
      <c r="H122" s="24" t="str">
        <f>IF(VLOOKUP($B122,'Выгр Торг'!$B:$Q,H$1,0)=0,"",VLOOKUP($B122,'Выгр Торг'!$B:$Q,H$1,0))</f>
        <v>https://motorring.ru/product/16067-dvery-zadnyaya-levaya-cvet-lada-kalina-kalina-universal</v>
      </c>
      <c r="I122" s="24"/>
      <c r="J122" s="24"/>
      <c r="K122" s="35">
        <f t="shared" si="13"/>
        <v>11926</v>
      </c>
      <c r="L122" s="26">
        <f>VLOOKUP(K122,Наценка!$A$1:$B$8,2,1)</f>
        <v>1.3</v>
      </c>
      <c r="M122" s="27">
        <f t="shared" si="14"/>
        <v>15503.800000000001</v>
      </c>
      <c r="N122" s="28">
        <f t="shared" si="15"/>
        <v>15590</v>
      </c>
      <c r="O122" s="24">
        <f>VLOOKUP($B122,'Выгр Торг'!$B:$Q,O$1,0)</f>
        <v>11926</v>
      </c>
      <c r="P122" s="24">
        <f>VLOOKUP($B122,'Выгр Торг'!$B:$Q,P$1,0)</f>
        <v>17390</v>
      </c>
      <c r="Q122" s="18">
        <f t="shared" si="16"/>
        <v>0</v>
      </c>
      <c r="R122" s="18">
        <f t="shared" si="17"/>
        <v>1800</v>
      </c>
      <c r="S122" s="29">
        <f t="shared" si="18"/>
        <v>15590</v>
      </c>
      <c r="T122" s="30">
        <f t="shared" si="19"/>
        <v>0.30722790541673661</v>
      </c>
      <c r="U122" s="30" t="str">
        <f t="shared" si="20"/>
        <v/>
      </c>
      <c r="V122" s="30">
        <f t="shared" si="21"/>
        <v>-1</v>
      </c>
      <c r="W122" s="13">
        <f t="shared" si="23"/>
        <v>0</v>
      </c>
      <c r="X122" s="32">
        <f>IFERROR((VLOOKUP($B122,'Из ГУГЛа'!$B:$Z,X$1,0)+Z122)*Y122,VLOOKUP($B122,'Из ГУГЛа'!$B:$Z,X$1,0))</f>
        <v>0</v>
      </c>
      <c r="Y122" s="33">
        <v>1</v>
      </c>
      <c r="Z122" s="33"/>
      <c r="AA122" s="31"/>
      <c r="AB122" s="31" t="s">
        <v>3036</v>
      </c>
    </row>
    <row r="123" spans="1:28" ht="60" x14ac:dyDescent="0.25">
      <c r="A123" s="25" t="str">
        <f>INDEX('Выгр Торг'!$A:$A,MATCH($B123,'Выгр Торг'!$B:$B,0))</f>
        <v>Оригинальная дверь задняя левая для Лада Калина, Калина 2 (универсал)</v>
      </c>
      <c r="B123" s="24">
        <v>182420</v>
      </c>
      <c r="C123" s="24">
        <f>VLOOKUP($B123,'Выгр Торг'!$B:$Q,C$1,0)</f>
        <v>153776</v>
      </c>
      <c r="D123" s="25" t="str">
        <f>VLOOKUP($B123,'Выгр Торг'!$B:$Q,D$1,0)</f>
        <v>Оригинальная дверь задняя левая для Лада Калина, Калина 2 (универсал) (Без покраски, С отверстиями под молдинг)</v>
      </c>
      <c r="E123" s="24" t="str">
        <f>VLOOKUP($B123,'Выгр Торг'!$B:$Q,E$1,0)</f>
        <v>Y</v>
      </c>
      <c r="F123" s="24">
        <f>VLOOKUP($B123,'Выгр Торг'!$B:$Q,F$1,0)</f>
        <v>0</v>
      </c>
      <c r="G123" s="24" t="str">
        <f>VLOOKUP($B123,'Выгр Торг'!$B:$Q,G$1,0)</f>
        <v>11170620001590</v>
      </c>
      <c r="H123" s="24" t="str">
        <f>IF(VLOOKUP($B123,'Выгр Торг'!$B:$Q,H$1,0)=0,"",VLOOKUP($B123,'Выгр Торг'!$B:$Q,H$1,0))</f>
        <v>https://motorring.ru/product/33110-dvery-zadnyaya-levaya-dlya-lada-kalina-kross-granta-kross</v>
      </c>
      <c r="I123" s="24"/>
      <c r="J123" s="24"/>
      <c r="K123" s="35">
        <f t="shared" si="13"/>
        <v>12304</v>
      </c>
      <c r="L123" s="26">
        <f>VLOOKUP(K123,Наценка!$A$1:$B$8,2,1)</f>
        <v>1.3</v>
      </c>
      <c r="M123" s="27">
        <f t="shared" si="14"/>
        <v>15995.2</v>
      </c>
      <c r="N123" s="28">
        <f t="shared" si="15"/>
        <v>15990</v>
      </c>
      <c r="O123" s="24">
        <f>VLOOKUP($B123,'Выгр Торг'!$B:$Q,O$1,0)</f>
        <v>12304</v>
      </c>
      <c r="P123" s="24">
        <f>VLOOKUP($B123,'Выгр Торг'!$B:$Q,P$1,0)</f>
        <v>16390</v>
      </c>
      <c r="Q123" s="18">
        <f t="shared" si="16"/>
        <v>0</v>
      </c>
      <c r="R123" s="18">
        <f t="shared" si="17"/>
        <v>400</v>
      </c>
      <c r="S123" s="29">
        <f t="shared" si="18"/>
        <v>15990</v>
      </c>
      <c r="T123" s="30">
        <f t="shared" si="19"/>
        <v>0.29957737321196354</v>
      </c>
      <c r="U123" s="30" t="str">
        <f t="shared" si="20"/>
        <v/>
      </c>
      <c r="V123" s="30">
        <f t="shared" si="21"/>
        <v>-1</v>
      </c>
      <c r="W123" s="13">
        <f t="shared" si="23"/>
        <v>0</v>
      </c>
      <c r="X123" s="32">
        <f>IFERROR((VLOOKUP($B123,'Из ГУГЛа'!$B:$Z,X$1,0)+Z123)*Y123,VLOOKUP($B123,'Из ГУГЛа'!$B:$Z,X$1,0))</f>
        <v>0</v>
      </c>
      <c r="Y123" s="33">
        <v>1</v>
      </c>
      <c r="Z123" s="33"/>
      <c r="AA123" s="31"/>
      <c r="AB123" s="31" t="s">
        <v>3044</v>
      </c>
    </row>
    <row r="124" spans="1:28" ht="45" x14ac:dyDescent="0.25">
      <c r="A124" s="25" t="str">
        <f>INDEX('Выгр Торг'!$A:$A,MATCH($B124,'Выгр Торг'!$B:$B,0))</f>
        <v>Оригинальная дверь задняя правая для ВАЗ (2110, 2112), Лада Приора (седан, хэтчбек)</v>
      </c>
      <c r="B124" s="24">
        <v>182480</v>
      </c>
      <c r="C124" s="24">
        <f>VLOOKUP($B124,'Выгр Торг'!$B:$Q,C$1,0)</f>
        <v>155018</v>
      </c>
      <c r="D124" s="25" t="str">
        <f>VLOOKUP($B124,'Выгр Торг'!$B:$Q,D$1,0)</f>
        <v>Оригинальная дверь задняя правая для ВАЗ (2110, 2112), Лада Приора (седан, хэтчбек) (Без покраски)</v>
      </c>
      <c r="E124" s="24" t="str">
        <f>VLOOKUP($B124,'Выгр Торг'!$B:$Q,E$1,0)</f>
        <v>Y</v>
      </c>
      <c r="F124" s="24">
        <f>VLOOKUP($B124,'Выгр Торг'!$B:$Q,F$1,0)</f>
        <v>0</v>
      </c>
      <c r="G124" s="24" t="str">
        <f>VLOOKUP($B124,'Выгр Торг'!$B:$Q,G$1,0)</f>
        <v>21100620001470</v>
      </c>
      <c r="H124" s="24" t="str">
        <f>IF(VLOOKUP($B124,'Выгр Торг'!$B:$Q,H$1,0)=0,"",VLOOKUP($B124,'Выгр Торг'!$B:$Q,H$1,0))</f>
        <v>https://motorring.ru/product/1536-dvery-zadnyaya-pravaya-cvet-vaz-2110-2112-lada-priora-sedan</v>
      </c>
      <c r="I124" s="24"/>
      <c r="J124" s="24"/>
      <c r="K124" s="35">
        <f t="shared" si="13"/>
        <v>12908</v>
      </c>
      <c r="L124" s="26">
        <f>VLOOKUP(K124,Наценка!$A$1:$B$8,2,1)</f>
        <v>1.3</v>
      </c>
      <c r="M124" s="27">
        <f t="shared" si="14"/>
        <v>16780.400000000001</v>
      </c>
      <c r="N124" s="28">
        <f t="shared" si="15"/>
        <v>16790</v>
      </c>
      <c r="O124" s="24">
        <f>VLOOKUP($B124,'Выгр Торг'!$B:$Q,O$1,0)</f>
        <v>12908</v>
      </c>
      <c r="P124" s="24">
        <f>VLOOKUP($B124,'Выгр Торг'!$B:$Q,P$1,0)</f>
        <v>16290</v>
      </c>
      <c r="Q124" s="18">
        <f t="shared" si="16"/>
        <v>0</v>
      </c>
      <c r="R124" s="18">
        <f t="shared" si="17"/>
        <v>-500</v>
      </c>
      <c r="S124" s="29">
        <f t="shared" si="18"/>
        <v>16790</v>
      </c>
      <c r="T124" s="30">
        <f t="shared" si="19"/>
        <v>0.30074372482181588</v>
      </c>
      <c r="U124" s="30" t="str">
        <f t="shared" si="20"/>
        <v/>
      </c>
      <c r="V124" s="30">
        <f t="shared" si="21"/>
        <v>-1</v>
      </c>
      <c r="W124" s="13">
        <f t="shared" si="23"/>
        <v>0</v>
      </c>
      <c r="X124" s="32">
        <f>IFERROR((VLOOKUP($B124,'Из ГУГЛа'!$B:$Z,X$1,0)+Z124)*Y124,VLOOKUP($B124,'Из ГУГЛа'!$B:$Z,X$1,0))</f>
        <v>0</v>
      </c>
      <c r="Y124" s="33">
        <v>1</v>
      </c>
      <c r="Z124" s="33"/>
      <c r="AA124" s="31"/>
      <c r="AB124" s="31" t="s">
        <v>3052</v>
      </c>
    </row>
    <row r="125" spans="1:28" ht="45" x14ac:dyDescent="0.25">
      <c r="A125" s="25" t="str">
        <f>INDEX('Выгр Торг'!$A:$A,MATCH($B125,'Выгр Торг'!$B:$B,0))</f>
        <v>Оригинальная дверь задняя правая для ВАЗ 2111, Лада Приора (универсал)</v>
      </c>
      <c r="B125" s="24">
        <v>182525</v>
      </c>
      <c r="C125" s="24">
        <f>VLOOKUP($B125,'Выгр Торг'!$B:$Q,C$1,0)</f>
        <v>155147</v>
      </c>
      <c r="D125" s="25" t="str">
        <f>VLOOKUP($B125,'Выгр Торг'!$B:$Q,D$1,0)</f>
        <v>Оригинальная дверь задняя правая для ВАЗ 2111, Лада Приора (универсал) (Без покраски)</v>
      </c>
      <c r="E125" s="24" t="str">
        <f>VLOOKUP($B125,'Выгр Торг'!$B:$Q,E$1,0)</f>
        <v>Y</v>
      </c>
      <c r="F125" s="24">
        <f>VLOOKUP($B125,'Выгр Торг'!$B:$Q,F$1,0)</f>
        <v>0</v>
      </c>
      <c r="G125" s="24" t="str">
        <f>VLOOKUP($B125,'Выгр Торг'!$B:$Q,G$1,0)</f>
        <v>21110620001470</v>
      </c>
      <c r="H125" s="24" t="str">
        <f>IF(VLOOKUP($B125,'Выгр Торг'!$B:$Q,H$1,0)=0,"",VLOOKUP($B125,'Выгр Торг'!$B:$Q,H$1,0))</f>
        <v>https://motorring.ru/product/16051-dvery-zadnyaya-pravaya-cvet-vaz-2111-lada-priora-universal</v>
      </c>
      <c r="I125" s="24"/>
      <c r="J125" s="24"/>
      <c r="K125" s="35">
        <f t="shared" si="13"/>
        <v>20029</v>
      </c>
      <c r="L125" s="26">
        <f>VLOOKUP(K125,Наценка!$A$1:$B$8,2,1)</f>
        <v>1.3</v>
      </c>
      <c r="M125" s="27">
        <f t="shared" si="14"/>
        <v>26037.7</v>
      </c>
      <c r="N125" s="28">
        <f t="shared" si="15"/>
        <v>26090</v>
      </c>
      <c r="O125" s="24">
        <f>VLOOKUP($B125,'Выгр Торг'!$B:$Q,O$1,0)</f>
        <v>20029</v>
      </c>
      <c r="P125" s="24">
        <f>VLOOKUP($B125,'Выгр Торг'!$B:$Q,P$1,0)</f>
        <v>26590</v>
      </c>
      <c r="Q125" s="18">
        <f t="shared" si="16"/>
        <v>0</v>
      </c>
      <c r="R125" s="18">
        <f t="shared" si="17"/>
        <v>500</v>
      </c>
      <c r="S125" s="29">
        <f t="shared" si="18"/>
        <v>26090</v>
      </c>
      <c r="T125" s="30">
        <f t="shared" si="19"/>
        <v>0.30261121374007693</v>
      </c>
      <c r="U125" s="30" t="str">
        <f t="shared" si="20"/>
        <v/>
      </c>
      <c r="V125" s="30">
        <f t="shared" si="21"/>
        <v>-1</v>
      </c>
      <c r="W125" s="13">
        <f t="shared" si="23"/>
        <v>0</v>
      </c>
      <c r="X125" s="32">
        <f>IFERROR((VLOOKUP($B125,'Из ГУГЛа'!$B:$Z,X$1,0)+Z125)*Y125,VLOOKUP($B125,'Из ГУГЛа'!$B:$Z,X$1,0))</f>
        <v>0</v>
      </c>
      <c r="Y125" s="33">
        <v>1</v>
      </c>
      <c r="Z125" s="33"/>
      <c r="AA125" s="31"/>
      <c r="AB125" s="31" t="s">
        <v>3060</v>
      </c>
    </row>
    <row r="126" spans="1:28" ht="60" x14ac:dyDescent="0.25">
      <c r="A126" s="25" t="str">
        <f>INDEX('Выгр Торг'!$A:$A,MATCH($B126,'Выгр Торг'!$B:$B,0))</f>
        <v>Оригинальная дверь задняя правая для Лада Калина, Калина 2 (универсал)</v>
      </c>
      <c r="B126" s="24">
        <v>182570</v>
      </c>
      <c r="C126" s="24">
        <f>VLOOKUP($B126,'Выгр Торг'!$B:$Q,C$1,0)</f>
        <v>153836</v>
      </c>
      <c r="D126" s="25" t="str">
        <f>VLOOKUP($B126,'Выгр Торг'!$B:$Q,D$1,0)</f>
        <v>Оригинальная дверь задняя правая для Лада Калина, Калина 2 (универсал) (Без покраски, Без отверстий под молдинг)</v>
      </c>
      <c r="E126" s="24" t="str">
        <f>VLOOKUP($B126,'Выгр Торг'!$B:$Q,E$1,0)</f>
        <v>Y</v>
      </c>
      <c r="F126" s="24">
        <f>VLOOKUP($B126,'Выгр Торг'!$B:$Q,F$1,0)</f>
        <v>0</v>
      </c>
      <c r="G126" s="24" t="str">
        <f>VLOOKUP($B126,'Выгр Торг'!$B:$Q,G$1,0)</f>
        <v>11170620001480</v>
      </c>
      <c r="H126" s="24" t="str">
        <f>IF(VLOOKUP($B126,'Выгр Торг'!$B:$Q,H$1,0)=0,"",VLOOKUP($B126,'Выгр Торг'!$B:$Q,H$1,0))</f>
        <v>https://motorring.ru/product/10339-dvery-zadnyaya-pravaya-cvet-lada-kalina-kalina-universal</v>
      </c>
      <c r="I126" s="24"/>
      <c r="J126" s="24"/>
      <c r="K126" s="35">
        <f t="shared" si="13"/>
        <v>11926</v>
      </c>
      <c r="L126" s="26">
        <f>VLOOKUP(K126,Наценка!$A$1:$B$8,2,1)</f>
        <v>1.3</v>
      </c>
      <c r="M126" s="27">
        <f t="shared" si="14"/>
        <v>15503.800000000001</v>
      </c>
      <c r="N126" s="28">
        <f t="shared" si="15"/>
        <v>15590</v>
      </c>
      <c r="O126" s="24">
        <f>VLOOKUP($B126,'Выгр Торг'!$B:$Q,O$1,0)</f>
        <v>11926</v>
      </c>
      <c r="P126" s="24">
        <f>VLOOKUP($B126,'Выгр Торг'!$B:$Q,P$1,0)</f>
        <v>15690</v>
      </c>
      <c r="Q126" s="18">
        <f t="shared" si="16"/>
        <v>0</v>
      </c>
      <c r="R126" s="18">
        <f t="shared" si="17"/>
        <v>100</v>
      </c>
      <c r="S126" s="29">
        <f t="shared" si="18"/>
        <v>15590</v>
      </c>
      <c r="T126" s="30">
        <f t="shared" si="19"/>
        <v>0.30722790541673661</v>
      </c>
      <c r="U126" s="30" t="str">
        <f t="shared" si="20"/>
        <v/>
      </c>
      <c r="V126" s="30">
        <f t="shared" si="21"/>
        <v>-1</v>
      </c>
      <c r="W126" s="13">
        <f t="shared" si="23"/>
        <v>0</v>
      </c>
      <c r="X126" s="32">
        <f>IFERROR((VLOOKUP($B126,'Из ГУГЛа'!$B:$Z,X$1,0)+Z126)*Y126,VLOOKUP($B126,'Из ГУГЛа'!$B:$Z,X$1,0))</f>
        <v>0</v>
      </c>
      <c r="Y126" s="33">
        <v>1</v>
      </c>
      <c r="Z126" s="33"/>
      <c r="AA126" s="31"/>
      <c r="AB126" s="31" t="s">
        <v>3068</v>
      </c>
    </row>
    <row r="127" spans="1:28" ht="60" x14ac:dyDescent="0.25">
      <c r="A127" s="25" t="str">
        <f>INDEX('Выгр Торг'!$A:$A,MATCH($B127,'Выгр Торг'!$B:$B,0))</f>
        <v>Оригинальная дверь задняя правая для Лада Калина, Калина 2 (универсал)</v>
      </c>
      <c r="B127" s="24">
        <v>182571</v>
      </c>
      <c r="C127" s="24">
        <f>VLOOKUP($B127,'Выгр Торг'!$B:$Q,C$1,0)</f>
        <v>153837</v>
      </c>
      <c r="D127" s="25" t="str">
        <f>VLOOKUP($B127,'Выгр Торг'!$B:$Q,D$1,0)</f>
        <v>Оригинальная дверь задняя правая для Лада Калина, Калина 2 (универсал) (Без покраски, С отверстиями под молдинг)</v>
      </c>
      <c r="E127" s="24" t="str">
        <f>VLOOKUP($B127,'Выгр Торг'!$B:$Q,E$1,0)</f>
        <v>Y</v>
      </c>
      <c r="F127" s="24">
        <f>VLOOKUP($B127,'Выгр Торг'!$B:$Q,F$1,0)</f>
        <v>0</v>
      </c>
      <c r="G127" s="24" t="str">
        <f>VLOOKUP($B127,'Выгр Торг'!$B:$Q,G$1,0)</f>
        <v>11170620001490</v>
      </c>
      <c r="H127" s="24" t="str">
        <f>IF(VLOOKUP($B127,'Выгр Торг'!$B:$Q,H$1,0)=0,"",VLOOKUP($B127,'Выгр Торг'!$B:$Q,H$1,0))</f>
        <v>https://motorring.ru/product/33109-dvery-zadnyaya-pravaya-dlya-lada-kalina-kross-granta-kross</v>
      </c>
      <c r="I127" s="24"/>
      <c r="J127" s="24"/>
      <c r="K127" s="35">
        <f t="shared" si="13"/>
        <v>11926</v>
      </c>
      <c r="L127" s="26">
        <f>VLOOKUP(K127,Наценка!$A$1:$B$8,2,1)</f>
        <v>1.3</v>
      </c>
      <c r="M127" s="27">
        <f t="shared" si="14"/>
        <v>15503.800000000001</v>
      </c>
      <c r="N127" s="28">
        <f t="shared" si="15"/>
        <v>15590</v>
      </c>
      <c r="O127" s="24">
        <f>VLOOKUP($B127,'Выгр Торг'!$B:$Q,O$1,0)</f>
        <v>11926</v>
      </c>
      <c r="P127" s="24">
        <f>VLOOKUP($B127,'Выгр Торг'!$B:$Q,P$1,0)</f>
        <v>14990</v>
      </c>
      <c r="Q127" s="18">
        <f t="shared" si="16"/>
        <v>0</v>
      </c>
      <c r="R127" s="18">
        <f t="shared" si="17"/>
        <v>-600</v>
      </c>
      <c r="S127" s="29">
        <f t="shared" si="18"/>
        <v>15590</v>
      </c>
      <c r="T127" s="30">
        <f t="shared" si="19"/>
        <v>0.30722790541673661</v>
      </c>
      <c r="U127" s="30" t="str">
        <f t="shared" si="20"/>
        <v/>
      </c>
      <c r="V127" s="30">
        <f t="shared" si="21"/>
        <v>-1</v>
      </c>
      <c r="W127" s="13">
        <f t="shared" si="23"/>
        <v>0</v>
      </c>
      <c r="X127" s="32">
        <f>IFERROR((VLOOKUP($B127,'Из ГУГЛа'!$B:$Z,X$1,0)+Z127)*Y127,VLOOKUP($B127,'Из ГУГЛа'!$B:$Z,X$1,0))</f>
        <v>0</v>
      </c>
      <c r="Y127" s="33">
        <v>1</v>
      </c>
      <c r="Z127" s="33"/>
      <c r="AA127" s="31"/>
      <c r="AB127" s="31" t="s">
        <v>3076</v>
      </c>
    </row>
    <row r="128" spans="1:28" ht="45" x14ac:dyDescent="0.25">
      <c r="A128" s="25" t="str">
        <f>INDEX('Выгр Торг'!$A:$A,MATCH($B128,'Выгр Торг'!$B:$B,0))</f>
        <v>Оригинальная дверь передняя левая для ВАЗ 2110-2112, Лада Приора</v>
      </c>
      <c r="B128" s="24">
        <v>182631</v>
      </c>
      <c r="C128" s="24">
        <f>VLOOKUP($B128,'Выгр Торг'!$B:$Q,C$1,0)</f>
        <v>154973</v>
      </c>
      <c r="D128" s="25" t="str">
        <f>VLOOKUP($B128,'Выгр Торг'!$B:$Q,D$1,0)</f>
        <v>Оригинальная дверь передняя левая для ВАЗ 2110-2112, Лада Приора (Без покраски)</v>
      </c>
      <c r="E128" s="24" t="str">
        <f>VLOOKUP($B128,'Выгр Торг'!$B:$Q,E$1,0)</f>
        <v>Y</v>
      </c>
      <c r="F128" s="24">
        <f>VLOOKUP($B128,'Выгр Торг'!$B:$Q,F$1,0)</f>
        <v>0</v>
      </c>
      <c r="G128" s="24" t="str">
        <f>VLOOKUP($B128,'Выгр Торг'!$B:$Q,G$1,0)</f>
        <v>21100610001570</v>
      </c>
      <c r="H128" s="24" t="str">
        <f>IF(VLOOKUP($B128,'Выгр Торг'!$B:$Q,H$1,0)=0,"",VLOOKUP($B128,'Выгр Торг'!$B:$Q,H$1,0))</f>
        <v>https://motorring.ru/product/16048-dvery-perednyaya-levaya-vaz-2110-2111-2112-lada-priora</v>
      </c>
      <c r="I128" s="24"/>
      <c r="J128" s="24"/>
      <c r="K128" s="35">
        <f t="shared" si="13"/>
        <v>15102</v>
      </c>
      <c r="L128" s="26">
        <f>VLOOKUP(K128,Наценка!$A$1:$B$8,2,1)</f>
        <v>1.3</v>
      </c>
      <c r="M128" s="27">
        <f t="shared" si="14"/>
        <v>19632.600000000002</v>
      </c>
      <c r="N128" s="28">
        <f t="shared" si="15"/>
        <v>19690</v>
      </c>
      <c r="O128" s="24">
        <f>VLOOKUP($B128,'Выгр Торг'!$B:$Q,O$1,0)</f>
        <v>15102</v>
      </c>
      <c r="P128" s="24">
        <f>VLOOKUP($B128,'Выгр Торг'!$B:$Q,P$1,0)</f>
        <v>20090</v>
      </c>
      <c r="Q128" s="18">
        <f t="shared" si="16"/>
        <v>0</v>
      </c>
      <c r="R128" s="18">
        <f t="shared" si="17"/>
        <v>400</v>
      </c>
      <c r="S128" s="29">
        <f t="shared" si="18"/>
        <v>19690</v>
      </c>
      <c r="T128" s="30">
        <f t="shared" si="19"/>
        <v>0.30380082108330031</v>
      </c>
      <c r="U128" s="30" t="str">
        <f t="shared" si="20"/>
        <v/>
      </c>
      <c r="V128" s="30">
        <f t="shared" si="21"/>
        <v>-1</v>
      </c>
      <c r="W128" s="13">
        <f t="shared" si="23"/>
        <v>0</v>
      </c>
      <c r="X128" s="32">
        <f>IFERROR((VLOOKUP($B128,'Из ГУГЛа'!$B:$Z,X$1,0)+Z128)*Y128,VLOOKUP($B128,'Из ГУГЛа'!$B:$Z,X$1,0))</f>
        <v>0</v>
      </c>
      <c r="Y128" s="33">
        <v>1</v>
      </c>
      <c r="Z128" s="33"/>
      <c r="AA128" s="31"/>
      <c r="AB128" s="31" t="s">
        <v>3083</v>
      </c>
    </row>
    <row r="129" spans="1:28" ht="45" x14ac:dyDescent="0.25">
      <c r="A129" s="25" t="str">
        <f>INDEX('Выгр Торг'!$A:$A,MATCH($B129,'Выгр Торг'!$B:$B,0))</f>
        <v>Оригинальная дверь передняя правая для ВАЗ 2110-2112, Лада Приора</v>
      </c>
      <c r="B129" s="24">
        <v>182676</v>
      </c>
      <c r="C129" s="24">
        <f>VLOOKUP($B129,'Выгр Торг'!$B:$Q,C$1,0)</f>
        <v>155064</v>
      </c>
      <c r="D129" s="25" t="str">
        <f>VLOOKUP($B129,'Выгр Торг'!$B:$Q,D$1,0)</f>
        <v>Оригинальная дверь передняя правая для ВАЗ 2110-2112, Лада Приора (Без покраски)</v>
      </c>
      <c r="E129" s="24" t="str">
        <f>VLOOKUP($B129,'Выгр Торг'!$B:$Q,E$1,0)</f>
        <v>Y</v>
      </c>
      <c r="F129" s="24">
        <f>VLOOKUP($B129,'Выгр Торг'!$B:$Q,F$1,0)</f>
        <v>0</v>
      </c>
      <c r="G129" s="24" t="str">
        <f>VLOOKUP($B129,'Выгр Торг'!$B:$Q,G$1,0)</f>
        <v>21100610001470</v>
      </c>
      <c r="H129" s="24" t="str">
        <f>IF(VLOOKUP($B129,'Выгр Торг'!$B:$Q,H$1,0)=0,"",VLOOKUP($B129,'Выгр Торг'!$B:$Q,H$1,0))</f>
        <v>https://motorring.ru/product/16049-dvery-perednyaya-pravaya-vaz-2110-2111-2112-lada-priora</v>
      </c>
      <c r="I129" s="24"/>
      <c r="J129" s="24"/>
      <c r="K129" s="35">
        <f t="shared" si="13"/>
        <v>13166</v>
      </c>
      <c r="L129" s="26">
        <f>VLOOKUP(K129,Наценка!$A$1:$B$8,2,1)</f>
        <v>1.3</v>
      </c>
      <c r="M129" s="27">
        <f t="shared" si="14"/>
        <v>17115.8</v>
      </c>
      <c r="N129" s="28">
        <f t="shared" si="15"/>
        <v>17190</v>
      </c>
      <c r="O129" s="24">
        <f>VLOOKUP($B129,'Выгр Торг'!$B:$Q,O$1,0)</f>
        <v>13166</v>
      </c>
      <c r="P129" s="24">
        <f>VLOOKUP($B129,'Выгр Торг'!$B:$Q,P$1,0)</f>
        <v>16290</v>
      </c>
      <c r="Q129" s="18">
        <f t="shared" si="16"/>
        <v>0</v>
      </c>
      <c r="R129" s="18">
        <f t="shared" si="17"/>
        <v>-900</v>
      </c>
      <c r="S129" s="29">
        <f t="shared" si="18"/>
        <v>17190</v>
      </c>
      <c r="T129" s="30">
        <f t="shared" si="19"/>
        <v>0.30563572839131092</v>
      </c>
      <c r="U129" s="30" t="str">
        <f t="shared" si="20"/>
        <v/>
      </c>
      <c r="V129" s="30">
        <f t="shared" si="21"/>
        <v>-1</v>
      </c>
      <c r="W129" s="13">
        <f t="shared" si="23"/>
        <v>0</v>
      </c>
      <c r="X129" s="32">
        <f>IFERROR((VLOOKUP($B129,'Из ГУГЛа'!$B:$Z,X$1,0)+Z129)*Y129,VLOOKUP($B129,'Из ГУГЛа'!$B:$Z,X$1,0))</f>
        <v>0</v>
      </c>
      <c r="Y129" s="33">
        <v>1</v>
      </c>
      <c r="Z129" s="33"/>
      <c r="AA129" s="31"/>
      <c r="AB129" s="31" t="s">
        <v>3091</v>
      </c>
    </row>
    <row r="130" spans="1:28" ht="45" x14ac:dyDescent="0.25">
      <c r="A130" s="25" t="str">
        <f>INDEX('Выгр Торг'!$A:$A,MATCH($B130,'Выгр Торг'!$B:$B,0))</f>
        <v>Оригинальная заглушка переднего бампера под буксировочный крюк для Лада Приора 2</v>
      </c>
      <c r="B130" s="24">
        <v>259216</v>
      </c>
      <c r="C130" s="24">
        <f>VLOOKUP($B130,'Выгр Торг'!$B:$Q,C$1,0)</f>
        <v>208930</v>
      </c>
      <c r="D130" s="25" t="str">
        <f>VLOOKUP($B130,'Выгр Торг'!$B:$Q,D$1,0)</f>
        <v>Оригинальная заглушка переднего бампера под буксировочный крюк для Лада Приора 2 (Без покраски)</v>
      </c>
      <c r="E130" s="24" t="str">
        <f>VLOOKUP($B130,'Выгр Торг'!$B:$Q,E$1,0)</f>
        <v>Y</v>
      </c>
      <c r="F130" s="24">
        <f>VLOOKUP($B130,'Выгр Торг'!$B:$Q,F$1,0)</f>
        <v>0</v>
      </c>
      <c r="G130" s="24" t="str">
        <f>VLOOKUP($B130,'Выгр Торг'!$B:$Q,G$1,0)</f>
        <v>21704280329400</v>
      </c>
      <c r="H130" s="24" t="str">
        <f>IF(VLOOKUP($B130,'Выгр Торг'!$B:$Q,H$1,0)=0,"",VLOOKUP($B130,'Выгр Торг'!$B:$Q,H$1,0))</f>
        <v>https://motorring.ru/product/5554-zaglushka-perednego-bampera-pod-buksirovochnyy-kryuk-lada</v>
      </c>
      <c r="I130" s="24"/>
      <c r="J130" s="24"/>
      <c r="K130" s="35">
        <f t="shared" si="13"/>
        <v>126</v>
      </c>
      <c r="L130" s="26">
        <f>VLOOKUP(K130,Наценка!$A$1:$B$8,2,1)</f>
        <v>1.8</v>
      </c>
      <c r="M130" s="27">
        <f t="shared" si="14"/>
        <v>226.8</v>
      </c>
      <c r="N130" s="28">
        <f t="shared" si="15"/>
        <v>229</v>
      </c>
      <c r="O130" s="24">
        <f>VLOOKUP($B130,'Выгр Торг'!$B:$Q,O$1,0)</f>
        <v>126</v>
      </c>
      <c r="P130" s="24">
        <f>VLOOKUP($B130,'Выгр Торг'!$B:$Q,P$1,0)</f>
        <v>379</v>
      </c>
      <c r="Q130" s="18">
        <f t="shared" si="16"/>
        <v>0</v>
      </c>
      <c r="R130" s="18">
        <f t="shared" si="17"/>
        <v>150</v>
      </c>
      <c r="S130" s="29">
        <f t="shared" si="18"/>
        <v>229</v>
      </c>
      <c r="T130" s="30">
        <f t="shared" si="19"/>
        <v>0.81746031746031744</v>
      </c>
      <c r="U130" s="30" t="str">
        <f t="shared" si="20"/>
        <v/>
      </c>
      <c r="V130" s="30">
        <f t="shared" si="21"/>
        <v>-1</v>
      </c>
      <c r="W130" s="13">
        <f t="shared" si="23"/>
        <v>0</v>
      </c>
      <c r="X130" s="32">
        <f>IFERROR((VLOOKUP($B130,'Из ГУГЛа'!$B:$Z,X$1,0)+Z130)*Y130,VLOOKUP($B130,'Из ГУГЛа'!$B:$Z,X$1,0))</f>
        <v>0</v>
      </c>
      <c r="Y130" s="33">
        <v>1</v>
      </c>
      <c r="Z130" s="33"/>
      <c r="AA130" s="31"/>
      <c r="AB130" s="31" t="s">
        <v>3099</v>
      </c>
    </row>
    <row r="131" spans="1:28" ht="45" x14ac:dyDescent="0.25">
      <c r="A131" s="25" t="str">
        <f>INDEX('Выгр Торг'!$A:$A,MATCH($B131,'Выгр Торг'!$B:$B,0))</f>
        <v>Оригинальная задняя дверь левая в цвет кузова ВАЗ 2109, 21099</v>
      </c>
      <c r="B131" s="24">
        <v>182727</v>
      </c>
      <c r="C131" s="24">
        <f>VLOOKUP($B131,'Выгр Торг'!$B:$Q,C$1,0)</f>
        <v>152472</v>
      </c>
      <c r="D131" s="25" t="str">
        <f>VLOOKUP($B131,'Выгр Торг'!$B:$Q,D$1,0)</f>
        <v>Оригинальная задняя дверь левая в цвет кузова ВАЗ 2109-21099 (Без покраски)</v>
      </c>
      <c r="E131" s="24" t="str">
        <f>VLOOKUP($B131,'Выгр Торг'!$B:$Q,E$1,0)</f>
        <v>Y</v>
      </c>
      <c r="F131" s="24">
        <f>VLOOKUP($B131,'Выгр Торг'!$B:$Q,F$1,0)</f>
        <v>0</v>
      </c>
      <c r="G131" s="24" t="str">
        <f>VLOOKUP($B131,'Выгр Торг'!$B:$Q,G$1,0)</f>
        <v>21090620001500</v>
      </c>
      <c r="H131" s="24" t="str">
        <f>IF(VLOOKUP($B131,'Выгр Торг'!$B:$Q,H$1,0)=0,"",VLOOKUP($B131,'Выгр Торг'!$B:$Q,H$1,0))</f>
        <v>https://motorring.ru/product/16042-dvery-zadnyaya-levaya-cvet-vaz-2109-21099</v>
      </c>
      <c r="I131" s="24"/>
      <c r="J131" s="24"/>
      <c r="K131" s="35">
        <f t="shared" ref="K131:K194" si="24">O131</f>
        <v>12200</v>
      </c>
      <c r="L131" s="26">
        <f>VLOOKUP(K131,Наценка!$A$1:$B$8,2,1)</f>
        <v>1.3</v>
      </c>
      <c r="M131" s="27">
        <f t="shared" si="14"/>
        <v>15860</v>
      </c>
      <c r="N131" s="28">
        <f t="shared" si="15"/>
        <v>15890</v>
      </c>
      <c r="O131" s="24">
        <f>VLOOKUP($B131,'Выгр Торг'!$B:$Q,O$1,0)</f>
        <v>12200</v>
      </c>
      <c r="P131" s="24">
        <f>VLOOKUP($B131,'Выгр Торг'!$B:$Q,P$1,0)</f>
        <v>16190</v>
      </c>
      <c r="Q131" s="18">
        <f t="shared" si="16"/>
        <v>0</v>
      </c>
      <c r="R131" s="18">
        <f t="shared" si="17"/>
        <v>300</v>
      </c>
      <c r="S131" s="29">
        <f t="shared" si="18"/>
        <v>15890</v>
      </c>
      <c r="T131" s="30">
        <f t="shared" si="19"/>
        <v>0.30245901639344264</v>
      </c>
      <c r="U131" s="30" t="str">
        <f t="shared" si="20"/>
        <v/>
      </c>
      <c r="V131" s="30">
        <f t="shared" si="21"/>
        <v>-1</v>
      </c>
      <c r="W131" s="13">
        <f t="shared" si="23"/>
        <v>0</v>
      </c>
      <c r="X131" s="32">
        <f>IFERROR((VLOOKUP($B131,'Из ГУГЛа'!$B:$Z,X$1,0)+Z131)*Y131,VLOOKUP($B131,'Из ГУГЛа'!$B:$Z,X$1,0))</f>
        <v>0</v>
      </c>
      <c r="Y131" s="33">
        <v>1</v>
      </c>
      <c r="Z131" s="33"/>
      <c r="AA131" s="31"/>
      <c r="AB131" s="31" t="s">
        <v>3106</v>
      </c>
    </row>
    <row r="132" spans="1:28" ht="45" x14ac:dyDescent="0.25">
      <c r="A132" s="25" t="str">
        <f>INDEX('Выгр Торг'!$A:$A,MATCH($B132,'Выгр Торг'!$B:$B,0))</f>
        <v>Оригинальная задняя левая дверь (глухая) для Лада Ларгус (фургон)</v>
      </c>
      <c r="B132" s="24">
        <v>182754</v>
      </c>
      <c r="C132" s="24">
        <f>VLOOKUP($B132,'Выгр Торг'!$B:$Q,C$1,0)</f>
        <v>155254</v>
      </c>
      <c r="D132" s="25" t="str">
        <f>VLOOKUP($B132,'Выгр Торг'!$B:$Q,D$1,0)</f>
        <v>Оригинальная задняя левая дверь (глухая) для Лада Ларгус (фургон) (Без покраски, Без отверстий под молдинг)</v>
      </c>
      <c r="E132" s="24" t="str">
        <f>VLOOKUP($B132,'Выгр Торг'!$B:$Q,E$1,0)</f>
        <v>Y</v>
      </c>
      <c r="F132" s="24">
        <f>VLOOKUP($B132,'Выгр Торг'!$B:$Q,F$1,0)</f>
        <v>0</v>
      </c>
      <c r="G132" s="24" t="str">
        <f>VLOOKUP($B132,'Выгр Торг'!$B:$Q,G$1,0)</f>
        <v>821010763R</v>
      </c>
      <c r="H132" s="24" t="str">
        <f>IF(VLOOKUP($B132,'Выгр Торг'!$B:$Q,H$1,0)=0,"",VLOOKUP($B132,'Выгр Торг'!$B:$Q,H$1,0))</f>
        <v>https://motorring.ru/product/10502-dvery-zadnyaya-levaya-gluhaya-cvet-lada-largus</v>
      </c>
      <c r="I132" s="24"/>
      <c r="J132" s="24"/>
      <c r="K132" s="35">
        <f t="shared" si="24"/>
        <v>20437</v>
      </c>
      <c r="L132" s="26">
        <f>VLOOKUP(K132,Наценка!$A$1:$B$8,2,1)</f>
        <v>1.3</v>
      </c>
      <c r="M132" s="27">
        <f t="shared" ref="M132:M195" si="25">K132*L132</f>
        <v>26568.100000000002</v>
      </c>
      <c r="N132" s="28">
        <f t="shared" ref="N132:N195" si="26">IF(M132&lt;=1000,(ROUNDUP(M132,-1)-1),(ROUNDUP(M132,-2)-10))</f>
        <v>26590</v>
      </c>
      <c r="O132" s="24">
        <f>VLOOKUP($B132,'Выгр Торг'!$B:$Q,O$1,0)</f>
        <v>20437</v>
      </c>
      <c r="P132" s="24">
        <f>VLOOKUP($B132,'Выгр Торг'!$B:$Q,P$1,0)</f>
        <v>25590</v>
      </c>
      <c r="Q132" s="18">
        <f t="shared" ref="Q132:Q195" si="27">O132-K132</f>
        <v>0</v>
      </c>
      <c r="R132" s="18">
        <f t="shared" ref="R132:R195" si="28">P132-N132</f>
        <v>-1000</v>
      </c>
      <c r="S132" s="29">
        <f t="shared" ref="S132:S195" si="29">IFERROR(ROUND(N132*(1-$S$2),),"")</f>
        <v>26590</v>
      </c>
      <c r="T132" s="30">
        <f t="shared" ref="T132:T195" si="30">IFERROR(S132/K132-1,"")</f>
        <v>0.30107158584919502</v>
      </c>
      <c r="U132" s="30" t="str">
        <f t="shared" ref="U132:U195" si="31">IFERROR((W132-S132)/W132,"")</f>
        <v/>
      </c>
      <c r="V132" s="30">
        <f t="shared" ref="V132:V195" si="32">IFERROR(IF(W132="","",W132/K132-1),"")</f>
        <v>-1</v>
      </c>
      <c r="W132" s="13">
        <f t="shared" si="23"/>
        <v>0</v>
      </c>
      <c r="X132" s="32">
        <f>IFERROR((VLOOKUP($B132,'Из ГУГЛа'!$B:$Z,X$1,0)+Z132)*Y132,VLOOKUP($B132,'Из ГУГЛа'!$B:$Z,X$1,0))</f>
        <v>0</v>
      </c>
      <c r="Y132" s="33">
        <v>1</v>
      </c>
      <c r="Z132" s="33"/>
      <c r="AA132" s="31"/>
      <c r="AB132" s="31" t="s">
        <v>3114</v>
      </c>
    </row>
    <row r="133" spans="1:28" ht="45" x14ac:dyDescent="0.25">
      <c r="A133" s="25" t="str">
        <f>INDEX('Выгр Торг'!$A:$A,MATCH($B133,'Выгр Торг'!$B:$B,0))</f>
        <v>Оригинальная задняя левая дверь (глухая) для Лада Ларгус (фургон)</v>
      </c>
      <c r="B133" s="24">
        <v>182755</v>
      </c>
      <c r="C133" s="24">
        <f>VLOOKUP($B133,'Выгр Торг'!$B:$Q,C$1,0)</f>
        <v>155255</v>
      </c>
      <c r="D133" s="25" t="str">
        <f>VLOOKUP($B133,'Выгр Торг'!$B:$Q,D$1,0)</f>
        <v>Оригинальная задняя левая дверь (глухая) для Лада Ларгус (фургон) (Без покраски, С отверстиями под молдинг)</v>
      </c>
      <c r="E133" s="24" t="str">
        <f>VLOOKUP($B133,'Выгр Торг'!$B:$Q,E$1,0)</f>
        <v>Y</v>
      </c>
      <c r="F133" s="24">
        <f>VLOOKUP($B133,'Выгр Торг'!$B:$Q,F$1,0)</f>
        <v>0</v>
      </c>
      <c r="G133" s="24" t="str">
        <f>VLOOKUP($B133,'Выгр Торг'!$B:$Q,G$1,0)</f>
        <v>821015688R</v>
      </c>
      <c r="H133" s="24" t="str">
        <f>IF(VLOOKUP($B133,'Выгр Торг'!$B:$Q,H$1,0)=0,"",VLOOKUP($B133,'Выгр Торг'!$B:$Q,H$1,0))</f>
        <v>https://motorring.ru/product/27683-dvery-zadnyaya-pod-molding-levaya-gluhaya-cvet-lada-largus</v>
      </c>
      <c r="I133" s="24"/>
      <c r="J133" s="24"/>
      <c r="K133" s="35">
        <f t="shared" si="24"/>
        <v>13381</v>
      </c>
      <c r="L133" s="26">
        <f>VLOOKUP(K133,Наценка!$A$1:$B$8,2,1)</f>
        <v>1.3</v>
      </c>
      <c r="M133" s="27">
        <f t="shared" si="25"/>
        <v>17395.3</v>
      </c>
      <c r="N133" s="28">
        <f t="shared" si="26"/>
        <v>17390</v>
      </c>
      <c r="O133" s="24">
        <f>VLOOKUP($B133,'Выгр Торг'!$B:$Q,O$1,0)</f>
        <v>13381</v>
      </c>
      <c r="P133" s="24">
        <f>VLOOKUP($B133,'Выгр Торг'!$B:$Q,P$1,0)</f>
        <v>17790</v>
      </c>
      <c r="Q133" s="18">
        <f t="shared" si="27"/>
        <v>0</v>
      </c>
      <c r="R133" s="18">
        <f t="shared" si="28"/>
        <v>400</v>
      </c>
      <c r="S133" s="29">
        <f t="shared" si="29"/>
        <v>17390</v>
      </c>
      <c r="T133" s="30">
        <f t="shared" si="30"/>
        <v>0.29960391600029901</v>
      </c>
      <c r="U133" s="30" t="str">
        <f t="shared" si="31"/>
        <v/>
      </c>
      <c r="V133" s="30">
        <f t="shared" si="32"/>
        <v>-1</v>
      </c>
      <c r="W133" s="13">
        <f t="shared" si="23"/>
        <v>0</v>
      </c>
      <c r="X133" s="32">
        <f>IFERROR((VLOOKUP($B133,'Из ГУГЛа'!$B:$Z,X$1,0)+Z133)*Y133,VLOOKUP($B133,'Из ГУГЛа'!$B:$Z,X$1,0))</f>
        <v>0</v>
      </c>
      <c r="Y133" s="33">
        <v>1</v>
      </c>
      <c r="Z133" s="33"/>
      <c r="AA133" s="31"/>
      <c r="AB133" s="31" t="s">
        <v>3122</v>
      </c>
    </row>
    <row r="134" spans="1:28" ht="45" x14ac:dyDescent="0.25">
      <c r="A134" s="25" t="str">
        <f>INDEX('Выгр Торг'!$A:$A,MATCH($B134,'Выгр Торг'!$B:$B,0))</f>
        <v>Оригинальная задняя левая дверь (под стекло) для Лада Ларгус</v>
      </c>
      <c r="B134" s="24">
        <v>182772</v>
      </c>
      <c r="C134" s="24">
        <f>VLOOKUP($B134,'Выгр Торг'!$B:$Q,C$1,0)</f>
        <v>155288</v>
      </c>
      <c r="D134" s="25" t="str">
        <f>VLOOKUP($B134,'Выгр Торг'!$B:$Q,D$1,0)</f>
        <v>Оригинальная задняя левая дверь (под стекло) для Лада Ларгус (Без покраски, Без отверстий под молдинг)</v>
      </c>
      <c r="E134" s="24" t="str">
        <f>VLOOKUP($B134,'Выгр Торг'!$B:$Q,E$1,0)</f>
        <v>Y</v>
      </c>
      <c r="F134" s="24">
        <f>VLOOKUP($B134,'Выгр Торг'!$B:$Q,F$1,0)</f>
        <v>0</v>
      </c>
      <c r="G134" s="24" t="str">
        <f>VLOOKUP($B134,'Выгр Торг'!$B:$Q,G$1,0)</f>
        <v>821013317R</v>
      </c>
      <c r="H134" s="24" t="str">
        <f>IF(VLOOKUP($B134,'Выгр Торг'!$B:$Q,H$1,0)=0,"",VLOOKUP($B134,'Выгр Торг'!$B:$Q,H$1,0))</f>
        <v>https://motorring.ru/product/10504-dvery-zadnyaya-levaya-pod-steklo-cvet-lada-largus</v>
      </c>
      <c r="I134" s="24"/>
      <c r="J134" s="24"/>
      <c r="K134" s="35">
        <f t="shared" si="24"/>
        <v>19394</v>
      </c>
      <c r="L134" s="26">
        <f>VLOOKUP(K134,Наценка!$A$1:$B$8,2,1)</f>
        <v>1.3</v>
      </c>
      <c r="M134" s="27">
        <f t="shared" si="25"/>
        <v>25212.2</v>
      </c>
      <c r="N134" s="28">
        <f t="shared" si="26"/>
        <v>25290</v>
      </c>
      <c r="O134" s="24">
        <f>VLOOKUP($B134,'Выгр Торг'!$B:$Q,O$1,0)</f>
        <v>19394</v>
      </c>
      <c r="P134" s="24">
        <f>VLOOKUP($B134,'Выгр Торг'!$B:$Q,P$1,0)</f>
        <v>25490</v>
      </c>
      <c r="Q134" s="18">
        <f t="shared" si="27"/>
        <v>0</v>
      </c>
      <c r="R134" s="18">
        <f t="shared" si="28"/>
        <v>200</v>
      </c>
      <c r="S134" s="29">
        <f t="shared" si="29"/>
        <v>25290</v>
      </c>
      <c r="T134" s="30">
        <f t="shared" si="30"/>
        <v>0.30401154996390645</v>
      </c>
      <c r="U134" s="30" t="str">
        <f t="shared" si="31"/>
        <v/>
      </c>
      <c r="V134" s="30">
        <f t="shared" si="32"/>
        <v>-1</v>
      </c>
      <c r="W134" s="13">
        <f t="shared" si="23"/>
        <v>0</v>
      </c>
      <c r="X134" s="32">
        <f>IFERROR((VLOOKUP($B134,'Из ГУГЛа'!$B:$Z,X$1,0)+Z134)*Y134,VLOOKUP($B134,'Из ГУГЛа'!$B:$Z,X$1,0))</f>
        <v>0</v>
      </c>
      <c r="Y134" s="33">
        <v>1</v>
      </c>
      <c r="Z134" s="33"/>
      <c r="AA134" s="31"/>
      <c r="AB134" s="31" t="s">
        <v>3130</v>
      </c>
    </row>
    <row r="135" spans="1:28" ht="45" x14ac:dyDescent="0.25">
      <c r="A135" s="25" t="str">
        <f>INDEX('Выгр Торг'!$A:$A,MATCH($B135,'Выгр Торг'!$B:$B,0))</f>
        <v>Оригинальная задняя левая дверь (под стекло) для Лада Ларгус</v>
      </c>
      <c r="B135" s="24">
        <v>182773</v>
      </c>
      <c r="C135" s="24">
        <f>VLOOKUP($B135,'Выгр Торг'!$B:$Q,C$1,0)</f>
        <v>155289</v>
      </c>
      <c r="D135" s="25" t="str">
        <f>VLOOKUP($B135,'Выгр Торг'!$B:$Q,D$1,0)</f>
        <v>Оригинальная задняя левая дверь (под стекло) для Лада Ларгус (Без покраски, С отверстиями под молдинг)</v>
      </c>
      <c r="E135" s="24" t="str">
        <f>VLOOKUP($B135,'Выгр Торг'!$B:$Q,E$1,0)</f>
        <v>Y</v>
      </c>
      <c r="F135" s="24">
        <f>VLOOKUP($B135,'Выгр Торг'!$B:$Q,F$1,0)</f>
        <v>0</v>
      </c>
      <c r="G135" s="24" t="str">
        <f>VLOOKUP($B135,'Выгр Торг'!$B:$Q,G$1,0)</f>
        <v>821017307R</v>
      </c>
      <c r="H135" s="24" t="str">
        <f>IF(VLOOKUP($B135,'Выгр Торг'!$B:$Q,H$1,0)=0,"",VLOOKUP($B135,'Выгр Торг'!$B:$Q,H$1,0))</f>
        <v>https://motorring.ru/product/27681-dvery-zadnyaya-levaya-pod-steklo-pod-molding-cvet-lada</v>
      </c>
      <c r="I135" s="24"/>
      <c r="J135" s="24"/>
      <c r="K135" s="35">
        <f t="shared" si="24"/>
        <v>14429</v>
      </c>
      <c r="L135" s="26">
        <f>VLOOKUP(K135,Наценка!$A$1:$B$8,2,1)</f>
        <v>1.3</v>
      </c>
      <c r="M135" s="27">
        <f t="shared" si="25"/>
        <v>18757.7</v>
      </c>
      <c r="N135" s="28">
        <f t="shared" si="26"/>
        <v>18790</v>
      </c>
      <c r="O135" s="24">
        <f>VLOOKUP($B135,'Выгр Торг'!$B:$Q,O$1,0)</f>
        <v>14429</v>
      </c>
      <c r="P135" s="24">
        <f>VLOOKUP($B135,'Выгр Торг'!$B:$Q,P$1,0)</f>
        <v>18090</v>
      </c>
      <c r="Q135" s="18">
        <f t="shared" si="27"/>
        <v>0</v>
      </c>
      <c r="R135" s="18">
        <f t="shared" si="28"/>
        <v>-700</v>
      </c>
      <c r="S135" s="29">
        <f t="shared" si="29"/>
        <v>18790</v>
      </c>
      <c r="T135" s="30">
        <f t="shared" si="30"/>
        <v>0.3022385473698801</v>
      </c>
      <c r="U135" s="30" t="str">
        <f t="shared" si="31"/>
        <v/>
      </c>
      <c r="V135" s="30">
        <f t="shared" si="32"/>
        <v>-1</v>
      </c>
      <c r="W135" s="13">
        <f t="shared" si="23"/>
        <v>0</v>
      </c>
      <c r="X135" s="32">
        <f>IFERROR((VLOOKUP($B135,'Из ГУГЛа'!$B:$Z,X$1,0)+Z135)*Y135,VLOOKUP($B135,'Из ГУГЛа'!$B:$Z,X$1,0))</f>
        <v>0</v>
      </c>
      <c r="Y135" s="33">
        <v>1</v>
      </c>
      <c r="Z135" s="33"/>
      <c r="AA135" s="31"/>
      <c r="AB135" s="31" t="s">
        <v>3138</v>
      </c>
    </row>
    <row r="136" spans="1:28" ht="30" x14ac:dyDescent="0.25">
      <c r="A136" s="25" t="str">
        <f>INDEX('Выгр Торг'!$A:$A,MATCH($B136,'Выгр Торг'!$B:$B,0))</f>
        <v>Оригинальная задняя левая дверь для ВАЗ 2114, 2115</v>
      </c>
      <c r="B136" s="24">
        <v>182805</v>
      </c>
      <c r="C136" s="24">
        <f>VLOOKUP($B136,'Выгр Торг'!$B:$Q,C$1,0)</f>
        <v>156020</v>
      </c>
      <c r="D136" s="25" t="str">
        <f>VLOOKUP($B136,'Выгр Торг'!$B:$Q,D$1,0)</f>
        <v>Оригинальная задняя левая дверь для ВАЗ 2114, 2115 (Без покраски)</v>
      </c>
      <c r="E136" s="24" t="str">
        <f>VLOOKUP($B136,'Выгр Торг'!$B:$Q,E$1,0)</f>
        <v>Y</v>
      </c>
      <c r="F136" s="24">
        <f>VLOOKUP($B136,'Выгр Торг'!$B:$Q,F$1,0)</f>
        <v>0</v>
      </c>
      <c r="G136" s="24" t="str">
        <f>VLOOKUP($B136,'Выгр Торг'!$B:$Q,G$1,0)</f>
        <v>21140620001500</v>
      </c>
      <c r="H136" s="24" t="str">
        <f>IF(VLOOKUP($B136,'Выгр Торг'!$B:$Q,H$1,0)=0,"",VLOOKUP($B136,'Выгр Торг'!$B:$Q,H$1,0))</f>
        <v>https://motorring.ru/product/4648-dvery-zadnyaya-levaya-cvet-vaz-2114-2115</v>
      </c>
      <c r="I136" s="24"/>
      <c r="J136" s="24"/>
      <c r="K136" s="35">
        <f t="shared" si="24"/>
        <v>7260</v>
      </c>
      <c r="L136" s="26">
        <f>VLOOKUP(K136,Наценка!$A$1:$B$8,2,1)</f>
        <v>1.35</v>
      </c>
      <c r="M136" s="27">
        <f t="shared" si="25"/>
        <v>9801</v>
      </c>
      <c r="N136" s="28">
        <f t="shared" si="26"/>
        <v>9890</v>
      </c>
      <c r="O136" s="24">
        <f>VLOOKUP($B136,'Выгр Торг'!$B:$Q,O$1,0)</f>
        <v>7260</v>
      </c>
      <c r="P136" s="24">
        <f>VLOOKUP($B136,'Выгр Торг'!$B:$Q,P$1,0)</f>
        <v>9990</v>
      </c>
      <c r="Q136" s="18">
        <f t="shared" si="27"/>
        <v>0</v>
      </c>
      <c r="R136" s="18">
        <f t="shared" si="28"/>
        <v>100</v>
      </c>
      <c r="S136" s="29">
        <f t="shared" si="29"/>
        <v>9890</v>
      </c>
      <c r="T136" s="30">
        <f t="shared" si="30"/>
        <v>0.36225895316804402</v>
      </c>
      <c r="U136" s="30" t="str">
        <f t="shared" si="31"/>
        <v/>
      </c>
      <c r="V136" s="30">
        <f t="shared" si="32"/>
        <v>-1</v>
      </c>
      <c r="W136" s="13">
        <f t="shared" si="23"/>
        <v>0</v>
      </c>
      <c r="X136" s="32">
        <f>IFERROR((VLOOKUP($B136,'Из ГУГЛа'!$B:$Z,X$1,0)+Z136)*Y136,VLOOKUP($B136,'Из ГУГЛа'!$B:$Z,X$1,0))</f>
        <v>0</v>
      </c>
      <c r="Y136" s="33">
        <v>1</v>
      </c>
      <c r="Z136" s="33"/>
      <c r="AA136" s="31"/>
      <c r="AB136" s="31" t="s">
        <v>3146</v>
      </c>
    </row>
    <row r="137" spans="1:28" ht="45" x14ac:dyDescent="0.25">
      <c r="A137" s="25" t="str">
        <f>INDEX('Выгр Торг'!$A:$A,MATCH($B137,'Выгр Торг'!$B:$B,0))</f>
        <v>Оригинальная задняя левая дверь для Лада XRAY</v>
      </c>
      <c r="B137" s="24">
        <v>249375</v>
      </c>
      <c r="C137" s="24">
        <f>VLOOKUP($B137,'Выгр Торг'!$B:$Q,C$1,0)</f>
        <v>155404</v>
      </c>
      <c r="D137" s="25" t="str">
        <f>VLOOKUP($B137,'Выгр Торг'!$B:$Q,D$1,0)</f>
        <v>Оригинальная задняя левая дверь для Лада XRAY (Без отверстий под молдинг, Без покраски)</v>
      </c>
      <c r="E137" s="24" t="str">
        <f>VLOOKUP($B137,'Выгр Торг'!$B:$Q,E$1,0)</f>
        <v>Y</v>
      </c>
      <c r="F137" s="24">
        <f>VLOOKUP($B137,'Выгр Торг'!$B:$Q,F$1,0)</f>
        <v>0</v>
      </c>
      <c r="G137" s="24" t="str">
        <f>VLOOKUP($B137,'Выгр Торг'!$B:$Q,G$1,0)</f>
        <v>821019191R</v>
      </c>
      <c r="H137" s="24" t="str">
        <f>IF(VLOOKUP($B137,'Выгр Торг'!$B:$Q,H$1,0)=0,"",VLOOKUP($B137,'Выгр Торг'!$B:$Q,H$1,0))</f>
        <v>https://motorring.ru/product/10524-dvery-zadnyaya-levaya-cvet-lada-iks-rey</v>
      </c>
      <c r="I137" s="24"/>
      <c r="J137" s="24"/>
      <c r="K137" s="35">
        <f t="shared" si="24"/>
        <v>27024</v>
      </c>
      <c r="L137" s="26">
        <f>VLOOKUP(K137,Наценка!$A$1:$B$8,2,1)</f>
        <v>1.3</v>
      </c>
      <c r="M137" s="27">
        <f t="shared" si="25"/>
        <v>35131.200000000004</v>
      </c>
      <c r="N137" s="28">
        <f t="shared" si="26"/>
        <v>35190</v>
      </c>
      <c r="O137" s="24">
        <f>VLOOKUP($B137,'Выгр Торг'!$B:$Q,O$1,0)</f>
        <v>27024</v>
      </c>
      <c r="P137" s="24">
        <f>VLOOKUP($B137,'Выгр Торг'!$B:$Q,P$1,0)</f>
        <v>35890</v>
      </c>
      <c r="Q137" s="18">
        <f t="shared" si="27"/>
        <v>0</v>
      </c>
      <c r="R137" s="18">
        <f t="shared" si="28"/>
        <v>700</v>
      </c>
      <c r="S137" s="29">
        <f t="shared" si="29"/>
        <v>35190</v>
      </c>
      <c r="T137" s="30">
        <f t="shared" si="30"/>
        <v>0.30217584369449368</v>
      </c>
      <c r="U137" s="30" t="str">
        <f t="shared" si="31"/>
        <v/>
      </c>
      <c r="V137" s="30">
        <f t="shared" si="32"/>
        <v>-1</v>
      </c>
      <c r="W137" s="13">
        <f t="shared" si="23"/>
        <v>0</v>
      </c>
      <c r="X137" s="32">
        <f>IFERROR((VLOOKUP($B137,'Из ГУГЛа'!$B:$Z,X$1,0)+Z137)*Y137,VLOOKUP($B137,'Из ГУГЛа'!$B:$Z,X$1,0))</f>
        <v>0</v>
      </c>
      <c r="Y137" s="33">
        <v>1</v>
      </c>
      <c r="Z137" s="33"/>
      <c r="AA137" s="31"/>
      <c r="AB137" s="31" t="s">
        <v>3154</v>
      </c>
    </row>
    <row r="138" spans="1:28" ht="45" x14ac:dyDescent="0.25">
      <c r="A138" s="25" t="str">
        <f>INDEX('Выгр Торг'!$A:$A,MATCH($B138,'Выгр Торг'!$B:$B,0))</f>
        <v>Оригинальная задняя левая дверь для Лада XRAY</v>
      </c>
      <c r="B138" s="24">
        <v>249388</v>
      </c>
      <c r="C138" s="24">
        <f>VLOOKUP($B138,'Выгр Торг'!$B:$Q,C$1,0)</f>
        <v>194822</v>
      </c>
      <c r="D138" s="25" t="str">
        <f>VLOOKUP($B138,'Выгр Торг'!$B:$Q,D$1,0)</f>
        <v>Оригинальная задняя левая дверь для Лада XRAY (С отверстиями под молдинг, Без покраски)</v>
      </c>
      <c r="E138" s="24" t="str">
        <f>VLOOKUP($B138,'Выгр Торг'!$B:$Q,E$1,0)</f>
        <v>Y</v>
      </c>
      <c r="F138" s="24">
        <f>VLOOKUP($B138,'Выгр Торг'!$B:$Q,F$1,0)</f>
        <v>0</v>
      </c>
      <c r="G138" s="24" t="str">
        <f>VLOOKUP($B138,'Выгр Торг'!$B:$Q,G$1,0)</f>
        <v>8450105007</v>
      </c>
      <c r="H138" s="24" t="str">
        <f>IF(VLOOKUP($B138,'Выгр Торг'!$B:$Q,H$1,0)=0,"",VLOOKUP($B138,'Выгр Торг'!$B:$Q,H$1,0))</f>
        <v>https://motorring.ru/product/27672-dvery-zadnyaya-levaya-cvet-lada-iks-rey-cross</v>
      </c>
      <c r="I138" s="24"/>
      <c r="J138" s="24"/>
      <c r="K138" s="35">
        <f t="shared" si="24"/>
        <v>24787</v>
      </c>
      <c r="L138" s="26">
        <f>VLOOKUP(K138,Наценка!$A$1:$B$8,2,1)</f>
        <v>1.3</v>
      </c>
      <c r="M138" s="27">
        <f t="shared" si="25"/>
        <v>32223.100000000002</v>
      </c>
      <c r="N138" s="28">
        <f t="shared" si="26"/>
        <v>32290</v>
      </c>
      <c r="O138" s="24">
        <f>VLOOKUP($B138,'Выгр Торг'!$B:$Q,O$1,0)</f>
        <v>24787</v>
      </c>
      <c r="P138" s="24">
        <f>VLOOKUP($B138,'Выгр Торг'!$B:$Q,P$1,0)</f>
        <v>32690</v>
      </c>
      <c r="Q138" s="18">
        <f t="shared" si="27"/>
        <v>0</v>
      </c>
      <c r="R138" s="18">
        <f t="shared" si="28"/>
        <v>400</v>
      </c>
      <c r="S138" s="29">
        <f t="shared" si="29"/>
        <v>32290</v>
      </c>
      <c r="T138" s="30">
        <f t="shared" si="30"/>
        <v>0.30269899544115875</v>
      </c>
      <c r="U138" s="30" t="str">
        <f t="shared" si="31"/>
        <v/>
      </c>
      <c r="V138" s="30">
        <f t="shared" si="32"/>
        <v>-1</v>
      </c>
      <c r="W138" s="13">
        <f t="shared" si="23"/>
        <v>0</v>
      </c>
      <c r="X138" s="32">
        <f>IFERROR((VLOOKUP($B138,'Из ГУГЛа'!$B:$Z,X$1,0)+Z138)*Y138,VLOOKUP($B138,'Из ГУГЛа'!$B:$Z,X$1,0))</f>
        <v>0</v>
      </c>
      <c r="Y138" s="33">
        <v>1</v>
      </c>
      <c r="Z138" s="33"/>
      <c r="AA138" s="31"/>
      <c r="AB138" s="31" t="s">
        <v>3162</v>
      </c>
    </row>
    <row r="139" spans="1:28" ht="45" x14ac:dyDescent="0.25">
      <c r="A139" s="25" t="str">
        <f>INDEX('Выгр Торг'!$A:$A,MATCH($B139,'Выгр Торг'!$B:$B,0))</f>
        <v>Оригинальная задняя левая дверь для Лада Веста (седан)</v>
      </c>
      <c r="B139" s="24">
        <v>249401</v>
      </c>
      <c r="C139" s="24">
        <f>VLOOKUP($B139,'Выгр Торг'!$B:$Q,C$1,0)</f>
        <v>157202</v>
      </c>
      <c r="D139" s="25" t="str">
        <f>VLOOKUP($B139,'Выгр Торг'!$B:$Q,D$1,0)</f>
        <v>Оригинальная задняя левая дверь для Лада Веста (Без отверстий под молдинг, Без покраски)</v>
      </c>
      <c r="E139" s="24" t="str">
        <f>VLOOKUP($B139,'Выгр Торг'!$B:$Q,E$1,0)</f>
        <v>Y</v>
      </c>
      <c r="F139" s="24">
        <f>VLOOKUP($B139,'Выгр Торг'!$B:$Q,F$1,0)</f>
        <v>0</v>
      </c>
      <c r="G139" s="24" t="str">
        <f>VLOOKUP($B139,'Выгр Торг'!$B:$Q,G$1,0)</f>
        <v>8460013099</v>
      </c>
      <c r="H139" s="24" t="str">
        <f>IF(VLOOKUP($B139,'Выгр Торг'!$B:$Q,H$1,0)=0,"",VLOOKUP($B139,'Выгр Торг'!$B:$Q,H$1,0))</f>
        <v>https://motorring.ru/product/10517-dvery-zadnyaya-levaya-cvet-lada-vesta</v>
      </c>
      <c r="I139" s="24"/>
      <c r="J139" s="24"/>
      <c r="K139" s="35">
        <f t="shared" si="24"/>
        <v>24661</v>
      </c>
      <c r="L139" s="26">
        <f>VLOOKUP(K139,Наценка!$A$1:$B$8,2,1)</f>
        <v>1.3</v>
      </c>
      <c r="M139" s="27">
        <f t="shared" si="25"/>
        <v>32059.300000000003</v>
      </c>
      <c r="N139" s="28">
        <f t="shared" si="26"/>
        <v>32090</v>
      </c>
      <c r="O139" s="24">
        <f>VLOOKUP($B139,'Выгр Торг'!$B:$Q,O$1,0)</f>
        <v>24661</v>
      </c>
      <c r="P139" s="24">
        <f>VLOOKUP($B139,'Выгр Торг'!$B:$Q,P$1,0)</f>
        <v>30690</v>
      </c>
      <c r="Q139" s="18">
        <f t="shared" si="27"/>
        <v>0</v>
      </c>
      <c r="R139" s="18">
        <f t="shared" si="28"/>
        <v>-1400</v>
      </c>
      <c r="S139" s="29">
        <f t="shared" si="29"/>
        <v>32090</v>
      </c>
      <c r="T139" s="30">
        <f t="shared" si="30"/>
        <v>0.301244880580674</v>
      </c>
      <c r="U139" s="30" t="str">
        <f t="shared" si="31"/>
        <v/>
      </c>
      <c r="V139" s="30">
        <f t="shared" si="32"/>
        <v>-1</v>
      </c>
      <c r="W139" s="13">
        <f t="shared" si="23"/>
        <v>0</v>
      </c>
      <c r="X139" s="32">
        <f>IFERROR((VLOOKUP($B139,'Из ГУГЛа'!$B:$Z,X$1,0)+Z139)*Y139,VLOOKUP($B139,'Из ГУГЛа'!$B:$Z,X$1,0))</f>
        <v>0</v>
      </c>
      <c r="Y139" s="33">
        <v>1</v>
      </c>
      <c r="Z139" s="33"/>
      <c r="AA139" s="31"/>
      <c r="AB139" s="31" t="s">
        <v>3170</v>
      </c>
    </row>
    <row r="140" spans="1:28" ht="45" x14ac:dyDescent="0.25">
      <c r="A140" s="25" t="str">
        <f>INDEX('Выгр Торг'!$A:$A,MATCH($B140,'Выгр Торг'!$B:$B,0))</f>
        <v>Оригинальная задняя левая дверь для Лада Веста (седан)</v>
      </c>
      <c r="B140" s="24">
        <v>249419</v>
      </c>
      <c r="C140" s="24">
        <f>VLOOKUP($B140,'Выгр Торг'!$B:$Q,C$1,0)</f>
        <v>194319</v>
      </c>
      <c r="D140" s="25" t="str">
        <f>VLOOKUP($B140,'Выгр Торг'!$B:$Q,D$1,0)</f>
        <v>Оригинальная задняя левая дверь для Лада Веста (седан) (С отверстиями под молдинг, Без покраски)</v>
      </c>
      <c r="E140" s="24" t="str">
        <f>VLOOKUP($B140,'Выгр Торг'!$B:$Q,E$1,0)</f>
        <v>Y</v>
      </c>
      <c r="F140" s="24">
        <f>VLOOKUP($B140,'Выгр Торг'!$B:$Q,F$1,0)</f>
        <v>0</v>
      </c>
      <c r="G140" s="24" t="str">
        <f>VLOOKUP($B140,'Выгр Торг'!$B:$Q,G$1,0)</f>
        <v>8460013100</v>
      </c>
      <c r="H140" s="24" t="str">
        <f>IF(VLOOKUP($B140,'Выгр Торг'!$B:$Q,H$1,0)=0,"",VLOOKUP($B140,'Выгр Торг'!$B:$Q,H$1,0))</f>
        <v>https://motorring.ru/product/27666-dvery-zadnyaya-levaya-cvet-lada-vesta-kross</v>
      </c>
      <c r="I140" s="24"/>
      <c r="J140" s="24"/>
      <c r="K140" s="35">
        <f t="shared" si="24"/>
        <v>25962</v>
      </c>
      <c r="L140" s="26">
        <f>VLOOKUP(K140,Наценка!$A$1:$B$8,2,1)</f>
        <v>1.3</v>
      </c>
      <c r="M140" s="27">
        <f t="shared" si="25"/>
        <v>33750.6</v>
      </c>
      <c r="N140" s="28">
        <f t="shared" si="26"/>
        <v>33790</v>
      </c>
      <c r="O140" s="24">
        <f>VLOOKUP($B140,'Выгр Торг'!$B:$Q,O$1,0)</f>
        <v>25962</v>
      </c>
      <c r="P140" s="24">
        <f>VLOOKUP($B140,'Выгр Торг'!$B:$Q,P$1,0)</f>
        <v>32490</v>
      </c>
      <c r="Q140" s="18">
        <f t="shared" si="27"/>
        <v>0</v>
      </c>
      <c r="R140" s="18">
        <f t="shared" si="28"/>
        <v>-1300</v>
      </c>
      <c r="S140" s="29">
        <f t="shared" si="29"/>
        <v>33790</v>
      </c>
      <c r="T140" s="30">
        <f t="shared" si="30"/>
        <v>0.30151760265002703</v>
      </c>
      <c r="U140" s="30" t="str">
        <f t="shared" si="31"/>
        <v/>
      </c>
      <c r="V140" s="30">
        <f t="shared" si="32"/>
        <v>-1</v>
      </c>
      <c r="W140" s="13">
        <f t="shared" si="23"/>
        <v>0</v>
      </c>
      <c r="X140" s="32">
        <f>IFERROR((VLOOKUP($B140,'Из ГУГЛа'!$B:$Z,X$1,0)+Z140)*Y140,VLOOKUP($B140,'Из ГУГЛа'!$B:$Z,X$1,0))</f>
        <v>0</v>
      </c>
      <c r="Y140" s="33">
        <v>1</v>
      </c>
      <c r="Z140" s="33"/>
      <c r="AA140" s="31"/>
      <c r="AB140" s="31" t="s">
        <v>3178</v>
      </c>
    </row>
    <row r="141" spans="1:28" ht="45" x14ac:dyDescent="0.25">
      <c r="A141" s="25" t="str">
        <f>INDEX('Выгр Торг'!$A:$A,MATCH($B141,'Выгр Торг'!$B:$B,0))</f>
        <v>Оригинальная задняя левая дверь для Лада Гранта лифтбек, Гранта FL</v>
      </c>
      <c r="B141" s="24">
        <v>182881</v>
      </c>
      <c r="C141" s="24">
        <f>VLOOKUP($B141,'Выгр Торг'!$B:$Q,C$1,0)</f>
        <v>153731</v>
      </c>
      <c r="D141" s="25" t="str">
        <f>VLOOKUP($B141,'Выгр Торг'!$B:$Q,D$1,0)</f>
        <v>Оригинальная задняя левая дверь для Лада Гранта лифтбек, Гранта FL (Без покраски, Без отверстий под молдинг)</v>
      </c>
      <c r="E141" s="24" t="str">
        <f>VLOOKUP($B141,'Выгр Торг'!$B:$Q,E$1,0)</f>
        <v>Y</v>
      </c>
      <c r="F141" s="24">
        <f>VLOOKUP($B141,'Выгр Торг'!$B:$Q,F$1,0)</f>
        <v>0</v>
      </c>
      <c r="G141" s="24" t="str">
        <f>VLOOKUP($B141,'Выгр Торг'!$B:$Q,G$1,0)</f>
        <v>21910620001570</v>
      </c>
      <c r="H141" s="24" t="str">
        <f>IF(VLOOKUP($B141,'Выгр Торг'!$B:$Q,H$1,0)=0,"",VLOOKUP($B141,'Выгр Торг'!$B:$Q,H$1,0))</f>
        <v>https://motorring.ru/product/1693-dvery-zadnyaya-levaya-cvet-lada-granta-liftbek</v>
      </c>
      <c r="I141" s="24"/>
      <c r="J141" s="24"/>
      <c r="K141" s="35">
        <f t="shared" si="24"/>
        <v>10954</v>
      </c>
      <c r="L141" s="26">
        <f>VLOOKUP(K141,Наценка!$A$1:$B$8,2,1)</f>
        <v>1.3</v>
      </c>
      <c r="M141" s="27">
        <f t="shared" si="25"/>
        <v>14240.2</v>
      </c>
      <c r="N141" s="28">
        <f t="shared" si="26"/>
        <v>14290</v>
      </c>
      <c r="O141" s="24">
        <f>VLOOKUP($B141,'Выгр Торг'!$B:$Q,O$1,0)</f>
        <v>10954</v>
      </c>
      <c r="P141" s="24">
        <f>VLOOKUP($B141,'Выгр Торг'!$B:$Q,P$1,0)</f>
        <v>15290</v>
      </c>
      <c r="Q141" s="18">
        <f t="shared" si="27"/>
        <v>0</v>
      </c>
      <c r="R141" s="18">
        <f t="shared" si="28"/>
        <v>1000</v>
      </c>
      <c r="S141" s="29">
        <f t="shared" si="29"/>
        <v>14290</v>
      </c>
      <c r="T141" s="30">
        <f t="shared" si="30"/>
        <v>0.30454628446229681</v>
      </c>
      <c r="U141" s="30" t="str">
        <f t="shared" si="31"/>
        <v/>
      </c>
      <c r="V141" s="30">
        <f t="shared" si="32"/>
        <v>-1</v>
      </c>
      <c r="W141" s="13">
        <f t="shared" si="23"/>
        <v>0</v>
      </c>
      <c r="X141" s="32">
        <f>IFERROR((VLOOKUP($B141,'Из ГУГЛа'!$B:$Z,X$1,0)+Z141)*Y141,VLOOKUP($B141,'Из ГУГЛа'!$B:$Z,X$1,0))</f>
        <v>0</v>
      </c>
      <c r="Y141" s="33">
        <v>1</v>
      </c>
      <c r="Z141" s="33"/>
      <c r="AA141" s="31"/>
      <c r="AB141" s="31" t="s">
        <v>3186</v>
      </c>
    </row>
    <row r="142" spans="1:28" ht="45" x14ac:dyDescent="0.25">
      <c r="A142" s="25" t="str">
        <f>INDEX('Выгр Торг'!$A:$A,MATCH($B142,'Выгр Торг'!$B:$B,0))</f>
        <v>Оригинальная задняя левая дверь для Лада Гранта лифтбек, Гранта FL</v>
      </c>
      <c r="B142" s="24">
        <v>182882</v>
      </c>
      <c r="C142" s="24">
        <f>VLOOKUP($B142,'Выгр Торг'!$B:$Q,C$1,0)</f>
        <v>153732</v>
      </c>
      <c r="D142" s="25" t="str">
        <f>VLOOKUP($B142,'Выгр Торг'!$B:$Q,D$1,0)</f>
        <v>Оригинальная задняя левая дверь для Лада Гранта лифтбек, Гранта FL (Без покраски, С отверстиями под молдинг)</v>
      </c>
      <c r="E142" s="24" t="str">
        <f>VLOOKUP($B142,'Выгр Торг'!$B:$Q,E$1,0)</f>
        <v>Y</v>
      </c>
      <c r="F142" s="24">
        <f>VLOOKUP($B142,'Выгр Торг'!$B:$Q,F$1,0)</f>
        <v>0</v>
      </c>
      <c r="G142" s="24" t="str">
        <f>VLOOKUP($B142,'Выгр Торг'!$B:$Q,G$1,0)</f>
        <v>21910620001575</v>
      </c>
      <c r="H142" s="24" t="str">
        <f>IF(VLOOKUP($B142,'Выгр Торг'!$B:$Q,H$1,0)=0,"",VLOOKUP($B142,'Выгр Торг'!$B:$Q,H$1,0))</f>
        <v>https://motorring.ru/product/1693-dvery-zadnyaya-levaya-cvet-lada-granta-liftbek</v>
      </c>
      <c r="I142" s="24"/>
      <c r="J142" s="24"/>
      <c r="K142" s="35">
        <f t="shared" si="24"/>
        <v>10954</v>
      </c>
      <c r="L142" s="26">
        <f>VLOOKUP(K142,Наценка!$A$1:$B$8,2,1)</f>
        <v>1.3</v>
      </c>
      <c r="M142" s="27">
        <f t="shared" si="25"/>
        <v>14240.2</v>
      </c>
      <c r="N142" s="28">
        <f t="shared" si="26"/>
        <v>14290</v>
      </c>
      <c r="O142" s="24">
        <f>VLOOKUP($B142,'Выгр Торг'!$B:$Q,O$1,0)</f>
        <v>10954</v>
      </c>
      <c r="P142" s="24">
        <f>VLOOKUP($B142,'Выгр Торг'!$B:$Q,P$1,0)</f>
        <v>15290</v>
      </c>
      <c r="Q142" s="18">
        <f t="shared" si="27"/>
        <v>0</v>
      </c>
      <c r="R142" s="18">
        <f t="shared" si="28"/>
        <v>1000</v>
      </c>
      <c r="S142" s="29">
        <f t="shared" si="29"/>
        <v>14290</v>
      </c>
      <c r="T142" s="30">
        <f t="shared" si="30"/>
        <v>0.30454628446229681</v>
      </c>
      <c r="U142" s="30" t="str">
        <f t="shared" si="31"/>
        <v/>
      </c>
      <c r="V142" s="30">
        <f t="shared" si="32"/>
        <v>-1</v>
      </c>
      <c r="W142" s="13">
        <f t="shared" si="23"/>
        <v>0</v>
      </c>
      <c r="X142" s="32">
        <f>IFERROR((VLOOKUP($B142,'Из ГУГЛа'!$B:$Z,X$1,0)+Z142)*Y142,VLOOKUP($B142,'Из ГУГЛа'!$B:$Z,X$1,0))</f>
        <v>0</v>
      </c>
      <c r="Y142" s="33">
        <v>1</v>
      </c>
      <c r="Z142" s="33"/>
      <c r="AA142" s="31"/>
      <c r="AB142" s="31" t="s">
        <v>3186</v>
      </c>
    </row>
    <row r="143" spans="1:28" ht="45" x14ac:dyDescent="0.25">
      <c r="A143" s="25" t="str">
        <f>INDEX('Выгр Торг'!$A:$A,MATCH($B143,'Выгр Торг'!$B:$B,0))</f>
        <v>Оригинальная задняя левая дверь для Лада Калина, Калина 2, Гранта, Гранта FL (седан, хэтчбек)</v>
      </c>
      <c r="B143" s="24">
        <v>182926</v>
      </c>
      <c r="C143" s="24">
        <f>VLOOKUP($B143,'Выгр Торг'!$B:$Q,C$1,0)</f>
        <v>155626</v>
      </c>
      <c r="D143" s="25" t="str">
        <f>VLOOKUP($B143,'Выгр Торг'!$B:$Q,D$1,0)</f>
        <v>Оригинальная задняя левая дверь для Лада Калина, Калина 2, Гранта (седан, хэтчбек), Гранта FL (Без покраски)</v>
      </c>
      <c r="E143" s="24" t="str">
        <f>VLOOKUP($B143,'Выгр Торг'!$B:$Q,E$1,0)</f>
        <v>Y</v>
      </c>
      <c r="F143" s="24">
        <f>VLOOKUP($B143,'Выгр Торг'!$B:$Q,F$1,0)</f>
        <v>0</v>
      </c>
      <c r="G143" s="24" t="str">
        <f>VLOOKUP($B143,'Выгр Торг'!$B:$Q,G$1,0)</f>
        <v>11180620001585</v>
      </c>
      <c r="H143" s="24" t="str">
        <f>IF(VLOOKUP($B143,'Выгр Торг'!$B:$Q,H$1,0)=0,"",VLOOKUP($B143,'Выгр Торг'!$B:$Q,H$1,0))</f>
        <v>https://motorring.ru/product/16060-dvery-zadnyaya-levaya-cvet-lada-kalina-kalina-granta-sedan</v>
      </c>
      <c r="I143" s="24"/>
      <c r="J143" s="24"/>
      <c r="K143" s="35">
        <f t="shared" si="24"/>
        <v>11378</v>
      </c>
      <c r="L143" s="26">
        <f>VLOOKUP(K143,Наценка!$A$1:$B$8,2,1)</f>
        <v>1.3</v>
      </c>
      <c r="M143" s="27">
        <f t="shared" si="25"/>
        <v>14791.4</v>
      </c>
      <c r="N143" s="28">
        <f t="shared" si="26"/>
        <v>14790</v>
      </c>
      <c r="O143" s="24">
        <f>VLOOKUP($B143,'Выгр Торг'!$B:$Q,O$1,0)</f>
        <v>11378</v>
      </c>
      <c r="P143" s="24">
        <f>VLOOKUP($B143,'Выгр Торг'!$B:$Q,P$1,0)</f>
        <v>15190</v>
      </c>
      <c r="Q143" s="18">
        <f t="shared" si="27"/>
        <v>0</v>
      </c>
      <c r="R143" s="18">
        <f t="shared" si="28"/>
        <v>400</v>
      </c>
      <c r="S143" s="29">
        <f t="shared" si="29"/>
        <v>14790</v>
      </c>
      <c r="T143" s="30">
        <f t="shared" si="30"/>
        <v>0.29987695552821236</v>
      </c>
      <c r="U143" s="30" t="str">
        <f t="shared" si="31"/>
        <v/>
      </c>
      <c r="V143" s="30">
        <f t="shared" si="32"/>
        <v>-1</v>
      </c>
      <c r="W143" s="13">
        <f t="shared" si="23"/>
        <v>0</v>
      </c>
      <c r="X143" s="32">
        <f>IFERROR((VLOOKUP($B143,'Из ГУГЛа'!$B:$Z,X$1,0)+Z143)*Y143,VLOOKUP($B143,'Из ГУГЛа'!$B:$Z,X$1,0))</f>
        <v>0</v>
      </c>
      <c r="Y143" s="33">
        <v>1</v>
      </c>
      <c r="Z143" s="33"/>
      <c r="AA143" s="31"/>
      <c r="AB143" s="31" t="s">
        <v>3202</v>
      </c>
    </row>
    <row r="144" spans="1:28" ht="45" x14ac:dyDescent="0.25">
      <c r="A144" s="25" t="str">
        <f>INDEX('Выгр Торг'!$A:$A,MATCH($B144,'Выгр Торг'!$B:$B,0))</f>
        <v>Оригинальная задняя левая дверь для Лада Нива 4x4, Нива 4х4 Урбан (5-ти дверная)</v>
      </c>
      <c r="B144" s="24">
        <v>182958</v>
      </c>
      <c r="C144" s="24">
        <f>VLOOKUP($B144,'Выгр Торг'!$B:$Q,C$1,0)</f>
        <v>156380</v>
      </c>
      <c r="D144" s="25" t="str">
        <f>VLOOKUP($B144,'Выгр Торг'!$B:$Q,D$1,0)</f>
        <v>Оригинальная задняя левая дверь для Лада Нива 4x4, Нива 4х4 Урбан (5-ти дверная) (Без покраски)</v>
      </c>
      <c r="E144" s="24" t="str">
        <f>VLOOKUP($B144,'Выгр Торг'!$B:$Q,E$1,0)</f>
        <v>Y</v>
      </c>
      <c r="F144" s="24">
        <f>VLOOKUP($B144,'Выгр Торг'!$B:$Q,F$1,0)</f>
        <v>0</v>
      </c>
      <c r="G144" s="24" t="str">
        <f>VLOOKUP($B144,'Выгр Торг'!$B:$Q,G$1,0)</f>
        <v>8450109468</v>
      </c>
      <c r="H144" s="24" t="str">
        <f>IF(VLOOKUP($B144,'Выгр Торг'!$B:$Q,H$1,0)=0,"",VLOOKUP($B144,'Выгр Торг'!$B:$Q,H$1,0))</f>
        <v>https://motorring.ru/product/1248-dvery-zadnyaya-levaya-dlya-5-dvernoy-lada-4h4-niva</v>
      </c>
      <c r="I144" s="24"/>
      <c r="J144" s="24"/>
      <c r="K144" s="35">
        <f t="shared" si="24"/>
        <v>13394</v>
      </c>
      <c r="L144" s="26">
        <f>VLOOKUP(K144,Наценка!$A$1:$B$8,2,1)</f>
        <v>1.3</v>
      </c>
      <c r="M144" s="27">
        <f t="shared" si="25"/>
        <v>17412.2</v>
      </c>
      <c r="N144" s="28">
        <f t="shared" si="26"/>
        <v>17490</v>
      </c>
      <c r="O144" s="24">
        <f>VLOOKUP($B144,'Выгр Торг'!$B:$Q,O$1,0)</f>
        <v>13394</v>
      </c>
      <c r="P144" s="24">
        <f>VLOOKUP($B144,'Выгр Торг'!$B:$Q,P$1,0)</f>
        <v>17390</v>
      </c>
      <c r="Q144" s="18">
        <f t="shared" si="27"/>
        <v>0</v>
      </c>
      <c r="R144" s="18">
        <f t="shared" si="28"/>
        <v>-100</v>
      </c>
      <c r="S144" s="29">
        <f t="shared" si="29"/>
        <v>17490</v>
      </c>
      <c r="T144" s="30">
        <f t="shared" si="30"/>
        <v>0.30580857100194114</v>
      </c>
      <c r="U144" s="30" t="str">
        <f t="shared" si="31"/>
        <v/>
      </c>
      <c r="V144" s="30">
        <f t="shared" si="32"/>
        <v>-1</v>
      </c>
      <c r="W144" s="13">
        <f t="shared" si="23"/>
        <v>0</v>
      </c>
      <c r="X144" s="32">
        <f>IFERROR((VLOOKUP($B144,'Из ГУГЛа'!$B:$Z,X$1,0)+Z144)*Y144,VLOOKUP($B144,'Из ГУГЛа'!$B:$Z,X$1,0))</f>
        <v>0</v>
      </c>
      <c r="Y144" s="33">
        <v>1</v>
      </c>
      <c r="Z144" s="33"/>
      <c r="AA144" s="31"/>
      <c r="AB144" s="31" t="s">
        <v>3210</v>
      </c>
    </row>
    <row r="145" spans="1:28" ht="60" x14ac:dyDescent="0.25">
      <c r="A145" s="25" t="str">
        <f>INDEX('Выгр Торг'!$A:$A,MATCH($B145,'Выгр Торг'!$B:$B,0))</f>
        <v>Оригинальная задняя левая дверь нового образца для Шевроле Нива (после 2009 года выпуска)</v>
      </c>
      <c r="B145" s="24">
        <v>182974</v>
      </c>
      <c r="C145" s="24">
        <f>VLOOKUP($B145,'Выгр Торг'!$B:$Q,C$1,0)</f>
        <v>157162</v>
      </c>
      <c r="D145" s="25" t="str">
        <f>VLOOKUP($B145,'Выгр Торг'!$B:$Q,D$1,0)</f>
        <v>Оригинальная задняя левая дверь нового образца для Шевроле Нива (после 2009 года выпуска) (Без покраски)</v>
      </c>
      <c r="E145" s="24" t="str">
        <f>VLOOKUP($B145,'Выгр Торг'!$B:$Q,E$1,0)</f>
        <v>Y</v>
      </c>
      <c r="F145" s="24">
        <f>VLOOKUP($B145,'Выгр Торг'!$B:$Q,F$1,0)</f>
        <v>0</v>
      </c>
      <c r="G145" s="24" t="str">
        <f>VLOOKUP($B145,'Выгр Торг'!$B:$Q,G$1,0)</f>
        <v>21230620001555</v>
      </c>
      <c r="H145" s="24" t="str">
        <f>IF(VLOOKUP($B145,'Выгр Торг'!$B:$Q,H$1,0)=0,"",VLOOKUP($B145,'Выгр Торг'!$B:$Q,H$1,0))</f>
        <v>https://motorring.ru/product/158-originalynaya-zadnyaya-levaya-dvery-obrazca-posle-2009-goda</v>
      </c>
      <c r="I145" s="24"/>
      <c r="J145" s="24"/>
      <c r="K145" s="35">
        <f t="shared" si="24"/>
        <v>33308</v>
      </c>
      <c r="L145" s="26">
        <f>VLOOKUP(K145,Наценка!$A$1:$B$8,2,1)</f>
        <v>1.3</v>
      </c>
      <c r="M145" s="27">
        <f t="shared" si="25"/>
        <v>43300.4</v>
      </c>
      <c r="N145" s="28">
        <f t="shared" si="26"/>
        <v>43390</v>
      </c>
      <c r="O145" s="24">
        <f>VLOOKUP($B145,'Выгр Торг'!$B:$Q,O$1,0)</f>
        <v>33308</v>
      </c>
      <c r="P145" s="24">
        <f>VLOOKUP($B145,'Выгр Торг'!$B:$Q,P$1,0)</f>
        <v>44190</v>
      </c>
      <c r="Q145" s="18">
        <f t="shared" si="27"/>
        <v>0</v>
      </c>
      <c r="R145" s="18">
        <f t="shared" si="28"/>
        <v>800</v>
      </c>
      <c r="S145" s="29">
        <f t="shared" si="29"/>
        <v>43390</v>
      </c>
      <c r="T145" s="30">
        <f t="shared" si="30"/>
        <v>0.30269004443376968</v>
      </c>
      <c r="U145" s="30" t="str">
        <f t="shared" si="31"/>
        <v/>
      </c>
      <c r="V145" s="30">
        <f t="shared" si="32"/>
        <v>-1</v>
      </c>
      <c r="W145" s="13">
        <f t="shared" si="23"/>
        <v>0</v>
      </c>
      <c r="X145" s="32">
        <f>IFERROR((VLOOKUP($B145,'Из ГУГЛа'!$B:$Z,X$1,0)+Z145)*Y145,VLOOKUP($B145,'Из ГУГЛа'!$B:$Z,X$1,0))</f>
        <v>0</v>
      </c>
      <c r="Y145" s="33">
        <v>1</v>
      </c>
      <c r="Z145" s="33"/>
      <c r="AA145" s="31"/>
      <c r="AB145" s="31" t="s">
        <v>3218</v>
      </c>
    </row>
    <row r="146" spans="1:28" ht="45" x14ac:dyDescent="0.25">
      <c r="A146" s="25" t="str">
        <f>INDEX('Выгр Торг'!$A:$A,MATCH($B146,'Выгр Торг'!$B:$B,0))</f>
        <v>Оригинальная задняя левая дверь старого образца для Шевроле Нива (до 2009 г.в.)</v>
      </c>
      <c r="B146" s="24">
        <v>182992</v>
      </c>
      <c r="C146" s="24">
        <f>VLOOKUP($B146,'Выгр Торг'!$B:$Q,C$1,0)</f>
        <v>156209</v>
      </c>
      <c r="D146" s="25" t="str">
        <f>VLOOKUP($B146,'Выгр Торг'!$B:$Q,D$1,0)</f>
        <v>Оригинальная задняя левая дверь старого образца для Шевроле Нива (до 2009 г.в.) (Без покраски)</v>
      </c>
      <c r="E146" s="24" t="str">
        <f>VLOOKUP($B146,'Выгр Торг'!$B:$Q,E$1,0)</f>
        <v>Y</v>
      </c>
      <c r="F146" s="24">
        <f>VLOOKUP($B146,'Выгр Торг'!$B:$Q,F$1,0)</f>
        <v>0</v>
      </c>
      <c r="G146" s="24" t="str">
        <f>VLOOKUP($B146,'Выгр Торг'!$B:$Q,G$1,0)</f>
        <v>21230620001500</v>
      </c>
      <c r="H146" s="24" t="str">
        <f>IF(VLOOKUP($B146,'Выгр Торг'!$B:$Q,H$1,0)=0,"",VLOOKUP($B146,'Выгр Торг'!$B:$Q,H$1,0))</f>
        <v>https://motorring.ru/product/240-dvery-zadnyaya-levaya-starogo-obrazca-cvet-dlya-shevrole</v>
      </c>
      <c r="I146" s="24"/>
      <c r="J146" s="24"/>
      <c r="K146" s="35">
        <f t="shared" si="24"/>
        <v>26372</v>
      </c>
      <c r="L146" s="26">
        <f>VLOOKUP(K146,Наценка!$A$1:$B$8,2,1)</f>
        <v>1.3</v>
      </c>
      <c r="M146" s="27">
        <f t="shared" si="25"/>
        <v>34283.599999999999</v>
      </c>
      <c r="N146" s="28">
        <f t="shared" si="26"/>
        <v>34290</v>
      </c>
      <c r="O146" s="24">
        <f>VLOOKUP($B146,'Выгр Торг'!$B:$Q,O$1,0)</f>
        <v>26372</v>
      </c>
      <c r="P146" s="24">
        <f>VLOOKUP($B146,'Выгр Торг'!$B:$Q,P$1,0)</f>
        <v>34990</v>
      </c>
      <c r="Q146" s="18">
        <f t="shared" si="27"/>
        <v>0</v>
      </c>
      <c r="R146" s="18">
        <f t="shared" si="28"/>
        <v>700</v>
      </c>
      <c r="S146" s="29">
        <f t="shared" si="29"/>
        <v>34290</v>
      </c>
      <c r="T146" s="30">
        <f t="shared" si="30"/>
        <v>0.30024268163203405</v>
      </c>
      <c r="U146" s="30" t="str">
        <f t="shared" si="31"/>
        <v/>
      </c>
      <c r="V146" s="30">
        <f t="shared" si="32"/>
        <v>-1</v>
      </c>
      <c r="W146" s="13">
        <f t="shared" si="23"/>
        <v>0</v>
      </c>
      <c r="X146" s="32">
        <f>IFERROR((VLOOKUP($B146,'Из ГУГЛа'!$B:$Z,X$1,0)+Z146)*Y146,VLOOKUP($B146,'Из ГУГЛа'!$B:$Z,X$1,0))</f>
        <v>0</v>
      </c>
      <c r="Y146" s="33">
        <v>1</v>
      </c>
      <c r="Z146" s="33"/>
      <c r="AA146" s="31"/>
      <c r="AB146" s="31" t="s">
        <v>3226</v>
      </c>
    </row>
    <row r="147" spans="1:28" ht="45" x14ac:dyDescent="0.25">
      <c r="A147" s="25" t="str">
        <f>INDEX('Выгр Торг'!$A:$A,MATCH($B147,'Выгр Торг'!$B:$B,0))</f>
        <v>Оригинальная задняя правая дверь (глухая) Лада Ларгус (фургон)</v>
      </c>
      <c r="B147" s="24">
        <v>183010</v>
      </c>
      <c r="C147" s="24">
        <f>VLOOKUP($B147,'Выгр Торг'!$B:$Q,C$1,0)</f>
        <v>157062</v>
      </c>
      <c r="D147" s="25" t="str">
        <f>VLOOKUP($B147,'Выгр Торг'!$B:$Q,D$1,0)</f>
        <v>Оригинальная задняя правая дверь (глухая) Лада Ларгус (фургон) (Без покраски, Без отверстий под молдинг)</v>
      </c>
      <c r="E147" s="24" t="str">
        <f>VLOOKUP($B147,'Выгр Торг'!$B:$Q,E$1,0)</f>
        <v>Y</v>
      </c>
      <c r="F147" s="24">
        <f>VLOOKUP($B147,'Выгр Торг'!$B:$Q,F$1,0)</f>
        <v>0</v>
      </c>
      <c r="G147" s="24" t="str">
        <f>VLOOKUP($B147,'Выгр Торг'!$B:$Q,G$1,0)</f>
        <v>821008665R</v>
      </c>
      <c r="H147" s="24" t="str">
        <f>IF(VLOOKUP($B147,'Выгр Торг'!$B:$Q,H$1,0)=0,"",VLOOKUP($B147,'Выгр Торг'!$B:$Q,H$1,0))</f>
        <v>https://motorring.ru/product/10501-dvery-zadnyaya-pravaya-gluhaya-cvet-lada-largus</v>
      </c>
      <c r="I147" s="24"/>
      <c r="J147" s="24"/>
      <c r="K147" s="35">
        <f t="shared" si="24"/>
        <v>12034</v>
      </c>
      <c r="L147" s="26">
        <f>VLOOKUP(K147,Наценка!$A$1:$B$8,2,1)</f>
        <v>1.3</v>
      </c>
      <c r="M147" s="27">
        <f t="shared" si="25"/>
        <v>15644.2</v>
      </c>
      <c r="N147" s="28">
        <f t="shared" si="26"/>
        <v>15690</v>
      </c>
      <c r="O147" s="24">
        <f>VLOOKUP($B147,'Выгр Торг'!$B:$Q,O$1,0)</f>
        <v>12034</v>
      </c>
      <c r="P147" s="24">
        <f>VLOOKUP($B147,'Выгр Торг'!$B:$Q,P$1,0)</f>
        <v>23490</v>
      </c>
      <c r="Q147" s="18">
        <f t="shared" si="27"/>
        <v>0</v>
      </c>
      <c r="R147" s="18">
        <f t="shared" si="28"/>
        <v>7800</v>
      </c>
      <c r="S147" s="29">
        <f t="shared" si="29"/>
        <v>15690</v>
      </c>
      <c r="T147" s="30">
        <f t="shared" si="30"/>
        <v>0.30380588333056346</v>
      </c>
      <c r="U147" s="30" t="str">
        <f t="shared" si="31"/>
        <v/>
      </c>
      <c r="V147" s="30">
        <f t="shared" si="32"/>
        <v>-1</v>
      </c>
      <c r="W147" s="13">
        <f t="shared" si="23"/>
        <v>0</v>
      </c>
      <c r="X147" s="32">
        <f>IFERROR((VLOOKUP($B147,'Из ГУГЛа'!$B:$Z,X$1,0)+Z147)*Y147,VLOOKUP($B147,'Из ГУГЛа'!$B:$Z,X$1,0))</f>
        <v>0</v>
      </c>
      <c r="Y147" s="33">
        <v>1</v>
      </c>
      <c r="Z147" s="33"/>
      <c r="AA147" s="31"/>
      <c r="AB147" s="31" t="s">
        <v>3234</v>
      </c>
    </row>
    <row r="148" spans="1:28" ht="45" x14ac:dyDescent="0.25">
      <c r="A148" s="25" t="str">
        <f>INDEX('Выгр Торг'!$A:$A,MATCH($B148,'Выгр Торг'!$B:$B,0))</f>
        <v>Оригинальная задняя правая дверь (глухая) Лада Ларгус (фургон)</v>
      </c>
      <c r="B148" s="24">
        <v>183011</v>
      </c>
      <c r="C148" s="24">
        <f>VLOOKUP($B148,'Выгр Торг'!$B:$Q,C$1,0)</f>
        <v>157063</v>
      </c>
      <c r="D148" s="25" t="str">
        <f>VLOOKUP($B148,'Выгр Торг'!$B:$Q,D$1,0)</f>
        <v>Оригинальная задняя правая дверь (глухая) Лада Ларгус (фургон) (Без покраски, С отверстиями под молдинг)</v>
      </c>
      <c r="E148" s="24" t="str">
        <f>VLOOKUP($B148,'Выгр Торг'!$B:$Q,E$1,0)</f>
        <v>Y</v>
      </c>
      <c r="F148" s="24">
        <f>VLOOKUP($B148,'Выгр Торг'!$B:$Q,F$1,0)</f>
        <v>0</v>
      </c>
      <c r="G148" s="24" t="str">
        <f>VLOOKUP($B148,'Выгр Торг'!$B:$Q,G$1,0)</f>
        <v>821006680R</v>
      </c>
      <c r="H148" s="24" t="str">
        <f>IF(VLOOKUP($B148,'Выгр Торг'!$B:$Q,H$1,0)=0,"",VLOOKUP($B148,'Выгр Торг'!$B:$Q,H$1,0))</f>
        <v>https://motorring.ru/product/27684-dvery-zadnyaya-pod-molding-pravaya-gluhaya-cvet-lada-largus</v>
      </c>
      <c r="I148" s="24"/>
      <c r="J148" s="24"/>
      <c r="K148" s="35">
        <f t="shared" si="24"/>
        <v>14718</v>
      </c>
      <c r="L148" s="26">
        <f>VLOOKUP(K148,Наценка!$A$1:$B$8,2,1)</f>
        <v>1.3</v>
      </c>
      <c r="M148" s="27">
        <f t="shared" si="25"/>
        <v>19133.400000000001</v>
      </c>
      <c r="N148" s="28">
        <f t="shared" si="26"/>
        <v>19190</v>
      </c>
      <c r="O148" s="24">
        <f>VLOOKUP($B148,'Выгр Торг'!$B:$Q,O$1,0)</f>
        <v>14718</v>
      </c>
      <c r="P148" s="24">
        <f>VLOOKUP($B148,'Выгр Торг'!$B:$Q,P$1,0)</f>
        <v>18390</v>
      </c>
      <c r="Q148" s="18">
        <f t="shared" si="27"/>
        <v>0</v>
      </c>
      <c r="R148" s="18">
        <f t="shared" si="28"/>
        <v>-800</v>
      </c>
      <c r="S148" s="29">
        <f t="shared" si="29"/>
        <v>19190</v>
      </c>
      <c r="T148" s="30">
        <f t="shared" si="30"/>
        <v>0.30384563119989139</v>
      </c>
      <c r="U148" s="30" t="str">
        <f t="shared" si="31"/>
        <v/>
      </c>
      <c r="V148" s="30">
        <f t="shared" si="32"/>
        <v>-1</v>
      </c>
      <c r="W148" s="13">
        <f t="shared" si="23"/>
        <v>0</v>
      </c>
      <c r="X148" s="32">
        <f>IFERROR((VLOOKUP($B148,'Из ГУГЛа'!$B:$Z,X$1,0)+Z148)*Y148,VLOOKUP($B148,'Из ГУГЛа'!$B:$Z,X$1,0))</f>
        <v>0</v>
      </c>
      <c r="Y148" s="33">
        <v>1</v>
      </c>
      <c r="Z148" s="33"/>
      <c r="AA148" s="31"/>
      <c r="AB148" s="31" t="s">
        <v>3242</v>
      </c>
    </row>
    <row r="149" spans="1:28" ht="45" x14ac:dyDescent="0.25">
      <c r="A149" s="25" t="str">
        <f>INDEX('Выгр Торг'!$A:$A,MATCH($B149,'Выгр Торг'!$B:$B,0))</f>
        <v>Оригинальная задняя правая дверь (под стекло) для Лада Ларгус</v>
      </c>
      <c r="B149" s="24">
        <v>183043</v>
      </c>
      <c r="C149" s="24">
        <f>VLOOKUP($B149,'Выгр Торг'!$B:$Q,C$1,0)</f>
        <v>157096</v>
      </c>
      <c r="D149" s="25" t="str">
        <f>VLOOKUP($B149,'Выгр Торг'!$B:$Q,D$1,0)</f>
        <v>Оригинальная задняя правая дверь (под стекло) для Лада Ларгус (Без покраски, Без отверстий под молдинг)</v>
      </c>
      <c r="E149" s="24" t="str">
        <f>VLOOKUP($B149,'Выгр Торг'!$B:$Q,E$1,0)</f>
        <v>Y</v>
      </c>
      <c r="F149" s="24">
        <f>VLOOKUP($B149,'Выгр Торг'!$B:$Q,F$1,0)</f>
        <v>0</v>
      </c>
      <c r="G149" s="24" t="str">
        <f>VLOOKUP($B149,'Выгр Торг'!$B:$Q,G$1,0)</f>
        <v>821008009R</v>
      </c>
      <c r="H149" s="24" t="str">
        <f>IF(VLOOKUP($B149,'Выгр Торг'!$B:$Q,H$1,0)=0,"",VLOOKUP($B149,'Выгр Торг'!$B:$Q,H$1,0))</f>
        <v>https://motorring.ru/product/10503-dvery-zadnyaya-pravaya-pod-steklo-cvet-lada-largus</v>
      </c>
      <c r="I149" s="24"/>
      <c r="J149" s="24"/>
      <c r="K149" s="35">
        <f t="shared" si="24"/>
        <v>20000</v>
      </c>
      <c r="L149" s="26">
        <f>VLOOKUP(K149,Наценка!$A$1:$B$8,2,1)</f>
        <v>1.3</v>
      </c>
      <c r="M149" s="27">
        <f t="shared" si="25"/>
        <v>26000</v>
      </c>
      <c r="N149" s="28">
        <f t="shared" si="26"/>
        <v>25990</v>
      </c>
      <c r="O149" s="24">
        <f>VLOOKUP($B149,'Выгр Торг'!$B:$Q,O$1,0)</f>
        <v>20000</v>
      </c>
      <c r="P149" s="24">
        <f>VLOOKUP($B149,'Выгр Торг'!$B:$Q,P$1,0)</f>
        <v>25490</v>
      </c>
      <c r="Q149" s="18">
        <f t="shared" si="27"/>
        <v>0</v>
      </c>
      <c r="R149" s="18">
        <f t="shared" si="28"/>
        <v>-500</v>
      </c>
      <c r="S149" s="29">
        <f t="shared" si="29"/>
        <v>25990</v>
      </c>
      <c r="T149" s="30">
        <f t="shared" si="30"/>
        <v>0.2995000000000001</v>
      </c>
      <c r="U149" s="30" t="str">
        <f t="shared" si="31"/>
        <v/>
      </c>
      <c r="V149" s="30">
        <f t="shared" si="32"/>
        <v>-1</v>
      </c>
      <c r="W149" s="13">
        <f t="shared" si="23"/>
        <v>0</v>
      </c>
      <c r="X149" s="32">
        <f>IFERROR((VLOOKUP($B149,'Из ГУГЛа'!$B:$Z,X$1,0)+Z149)*Y149,VLOOKUP($B149,'Из ГУГЛа'!$B:$Z,X$1,0))</f>
        <v>0</v>
      </c>
      <c r="Y149" s="33">
        <v>1</v>
      </c>
      <c r="Z149" s="33"/>
      <c r="AA149" s="31"/>
      <c r="AB149" s="31" t="s">
        <v>3250</v>
      </c>
    </row>
    <row r="150" spans="1:28" ht="45" x14ac:dyDescent="0.25">
      <c r="A150" s="25" t="str">
        <f>INDEX('Выгр Торг'!$A:$A,MATCH($B150,'Выгр Торг'!$B:$B,0))</f>
        <v>Оригинальная задняя правая дверь (под стекло) для Лада Ларгус</v>
      </c>
      <c r="B150" s="24">
        <v>183044</v>
      </c>
      <c r="C150" s="24">
        <f>VLOOKUP($B150,'Выгр Торг'!$B:$Q,C$1,0)</f>
        <v>157097</v>
      </c>
      <c r="D150" s="25" t="str">
        <f>VLOOKUP($B150,'Выгр Торг'!$B:$Q,D$1,0)</f>
        <v>Оригинальная задняя правая дверь (под стекло) для Лада Ларгус (Без покраски, С отверстиями под молдинг)</v>
      </c>
      <c r="E150" s="24" t="str">
        <f>VLOOKUP($B150,'Выгр Торг'!$B:$Q,E$1,0)</f>
        <v>Y</v>
      </c>
      <c r="F150" s="24">
        <f>VLOOKUP($B150,'Выгр Торг'!$B:$Q,F$1,0)</f>
        <v>0</v>
      </c>
      <c r="G150" s="24" t="str">
        <f>VLOOKUP($B150,'Выгр Торг'!$B:$Q,G$1,0)</f>
        <v>821009310R</v>
      </c>
      <c r="H150" s="24" t="str">
        <f>IF(VLOOKUP($B150,'Выгр Торг'!$B:$Q,H$1,0)=0,"",VLOOKUP($B150,'Выгр Торг'!$B:$Q,H$1,0))</f>
        <v>https://motorring.ru/product/27682-dvery-zadnyaya-pravaya-pod-steklo-pod-molding-cvet-lada</v>
      </c>
      <c r="I150" s="24"/>
      <c r="J150" s="24"/>
      <c r="K150" s="35">
        <f t="shared" si="24"/>
        <v>14680</v>
      </c>
      <c r="L150" s="26">
        <f>VLOOKUP(K150,Наценка!$A$1:$B$8,2,1)</f>
        <v>1.3</v>
      </c>
      <c r="M150" s="27">
        <f t="shared" si="25"/>
        <v>19084</v>
      </c>
      <c r="N150" s="28">
        <f t="shared" si="26"/>
        <v>19090</v>
      </c>
      <c r="O150" s="24">
        <f>VLOOKUP($B150,'Выгр Торг'!$B:$Q,O$1,0)</f>
        <v>14680</v>
      </c>
      <c r="P150" s="24">
        <f>VLOOKUP($B150,'Выгр Торг'!$B:$Q,P$1,0)</f>
        <v>18390</v>
      </c>
      <c r="Q150" s="18">
        <f t="shared" si="27"/>
        <v>0</v>
      </c>
      <c r="R150" s="18">
        <f t="shared" si="28"/>
        <v>-700</v>
      </c>
      <c r="S150" s="29">
        <f t="shared" si="29"/>
        <v>19090</v>
      </c>
      <c r="T150" s="30">
        <f t="shared" si="30"/>
        <v>0.30040871934604896</v>
      </c>
      <c r="U150" s="30" t="str">
        <f t="shared" si="31"/>
        <v/>
      </c>
      <c r="V150" s="30">
        <f t="shared" si="32"/>
        <v>-1</v>
      </c>
      <c r="W150" s="13">
        <f t="shared" si="23"/>
        <v>0</v>
      </c>
      <c r="X150" s="32">
        <f>IFERROR((VLOOKUP($B150,'Из ГУГЛа'!$B:$Z,X$1,0)+Z150)*Y150,VLOOKUP($B150,'Из ГУГЛа'!$B:$Z,X$1,0))</f>
        <v>0</v>
      </c>
      <c r="Y150" s="33">
        <v>1</v>
      </c>
      <c r="Z150" s="33"/>
      <c r="AA150" s="31"/>
      <c r="AB150" s="31" t="s">
        <v>3258</v>
      </c>
    </row>
    <row r="151" spans="1:28" ht="30" x14ac:dyDescent="0.25">
      <c r="A151" s="25" t="str">
        <f>INDEX('Выгр Торг'!$A:$A,MATCH($B151,'Выгр Торг'!$B:$B,0))</f>
        <v>Оригинальная задняя правая дверь для 2109, 21099</v>
      </c>
      <c r="B151" s="24">
        <v>183076</v>
      </c>
      <c r="C151" s="24">
        <f>VLOOKUP($B151,'Выгр Торг'!$B:$Q,C$1,0)</f>
        <v>156060</v>
      </c>
      <c r="D151" s="25" t="str">
        <f>VLOOKUP($B151,'Выгр Торг'!$B:$Q,D$1,0)</f>
        <v>Оригинальная задняя правая дверь для 2109, 21099 (Без покраски)</v>
      </c>
      <c r="E151" s="24" t="str">
        <f>VLOOKUP($B151,'Выгр Торг'!$B:$Q,E$1,0)</f>
        <v>Y</v>
      </c>
      <c r="F151" s="24">
        <f>VLOOKUP($B151,'Выгр Торг'!$B:$Q,F$1,0)</f>
        <v>0</v>
      </c>
      <c r="G151" s="24" t="str">
        <f>VLOOKUP($B151,'Выгр Торг'!$B:$Q,G$1,0)</f>
        <v>21090620001400</v>
      </c>
      <c r="H151" s="24" t="str">
        <f>IF(VLOOKUP($B151,'Выгр Торг'!$B:$Q,H$1,0)=0,"",VLOOKUP($B151,'Выгр Торг'!$B:$Q,H$1,0))</f>
        <v>https://motorring.ru/product/12511-dvery-zadnyaya-pravaya-cvet-vaz-2109-21099</v>
      </c>
      <c r="I151" s="24"/>
      <c r="J151" s="24"/>
      <c r="K151" s="35">
        <f t="shared" si="24"/>
        <v>12200</v>
      </c>
      <c r="L151" s="26">
        <f>VLOOKUP(K151,Наценка!$A$1:$B$8,2,1)</f>
        <v>1.3</v>
      </c>
      <c r="M151" s="27">
        <f t="shared" si="25"/>
        <v>15860</v>
      </c>
      <c r="N151" s="28">
        <f t="shared" si="26"/>
        <v>15890</v>
      </c>
      <c r="O151" s="24">
        <f>VLOOKUP($B151,'Выгр Торг'!$B:$Q,O$1,0)</f>
        <v>12200</v>
      </c>
      <c r="P151" s="24">
        <f>VLOOKUP($B151,'Выгр Торг'!$B:$Q,P$1,0)</f>
        <v>16190</v>
      </c>
      <c r="Q151" s="18">
        <f t="shared" si="27"/>
        <v>0</v>
      </c>
      <c r="R151" s="18">
        <f t="shared" si="28"/>
        <v>300</v>
      </c>
      <c r="S151" s="29">
        <f t="shared" si="29"/>
        <v>15890</v>
      </c>
      <c r="T151" s="30">
        <f t="shared" si="30"/>
        <v>0.30245901639344264</v>
      </c>
      <c r="U151" s="30" t="str">
        <f t="shared" si="31"/>
        <v/>
      </c>
      <c r="V151" s="30">
        <f t="shared" si="32"/>
        <v>-1</v>
      </c>
      <c r="W151" s="13">
        <f t="shared" si="23"/>
        <v>0</v>
      </c>
      <c r="X151" s="32">
        <f>IFERROR((VLOOKUP($B151,'Из ГУГЛа'!$B:$Z,X$1,0)+Z151)*Y151,VLOOKUP($B151,'Из ГУГЛа'!$B:$Z,X$1,0))</f>
        <v>0</v>
      </c>
      <c r="Y151" s="33">
        <v>1</v>
      </c>
      <c r="Z151" s="33"/>
      <c r="AA151" s="31"/>
      <c r="AB151" s="31" t="s">
        <v>3266</v>
      </c>
    </row>
    <row r="152" spans="1:28" ht="30" x14ac:dyDescent="0.25">
      <c r="A152" s="25" t="str">
        <f>INDEX('Выгр Торг'!$A:$A,MATCH($B152,'Выгр Торг'!$B:$B,0))</f>
        <v>Оригинальная задняя правая дверь для ВАЗ 2114, 2115</v>
      </c>
      <c r="B152" s="24">
        <v>183103</v>
      </c>
      <c r="C152" s="24">
        <f>VLOOKUP($B152,'Выгр Торг'!$B:$Q,C$1,0)</f>
        <v>156088</v>
      </c>
      <c r="D152" s="25" t="str">
        <f>VLOOKUP($B152,'Выгр Торг'!$B:$Q,D$1,0)</f>
        <v>Оригинальная задняя правая дверь для ВАЗ 2114, 2115 (Без покраски)</v>
      </c>
      <c r="E152" s="24" t="str">
        <f>VLOOKUP($B152,'Выгр Торг'!$B:$Q,E$1,0)</f>
        <v>Y</v>
      </c>
      <c r="F152" s="24">
        <f>VLOOKUP($B152,'Выгр Торг'!$B:$Q,F$1,0)</f>
        <v>0</v>
      </c>
      <c r="G152" s="24" t="str">
        <f>VLOOKUP($B152,'Выгр Торг'!$B:$Q,G$1,0)</f>
        <v>21140620001400</v>
      </c>
      <c r="H152" s="24" t="str">
        <f>IF(VLOOKUP($B152,'Выгр Торг'!$B:$Q,H$1,0)=0,"",VLOOKUP($B152,'Выгр Торг'!$B:$Q,H$1,0))</f>
        <v>https://motorring.ru/product/2524-dvery-zadnyaya-pravaya-cvet-vaz-2114-2115</v>
      </c>
      <c r="I152" s="24"/>
      <c r="J152" s="24"/>
      <c r="K152" s="35">
        <f t="shared" si="24"/>
        <v>7334</v>
      </c>
      <c r="L152" s="26">
        <f>VLOOKUP(K152,Наценка!$A$1:$B$8,2,1)</f>
        <v>1.35</v>
      </c>
      <c r="M152" s="27">
        <f t="shared" si="25"/>
        <v>9900.9000000000015</v>
      </c>
      <c r="N152" s="28">
        <f t="shared" si="26"/>
        <v>9990</v>
      </c>
      <c r="O152" s="24">
        <f>VLOOKUP($B152,'Выгр Торг'!$B:$Q,O$1,0)</f>
        <v>7334</v>
      </c>
      <c r="P152" s="24">
        <f>VLOOKUP($B152,'Выгр Торг'!$B:$Q,P$1,0)</f>
        <v>10090</v>
      </c>
      <c r="Q152" s="18">
        <f t="shared" si="27"/>
        <v>0</v>
      </c>
      <c r="R152" s="18">
        <f t="shared" si="28"/>
        <v>100</v>
      </c>
      <c r="S152" s="29">
        <f t="shared" si="29"/>
        <v>9990</v>
      </c>
      <c r="T152" s="30">
        <f t="shared" si="30"/>
        <v>0.36214889555494945</v>
      </c>
      <c r="U152" s="30" t="str">
        <f t="shared" si="31"/>
        <v/>
      </c>
      <c r="V152" s="30">
        <f t="shared" si="32"/>
        <v>-1</v>
      </c>
      <c r="W152" s="13">
        <f t="shared" si="23"/>
        <v>0</v>
      </c>
      <c r="X152" s="32">
        <f>IFERROR((VLOOKUP($B152,'Из ГУГЛа'!$B:$Z,X$1,0)+Z152)*Y152,VLOOKUP($B152,'Из ГУГЛа'!$B:$Z,X$1,0))</f>
        <v>0</v>
      </c>
      <c r="Y152" s="33">
        <v>1</v>
      </c>
      <c r="Z152" s="33"/>
      <c r="AA152" s="31"/>
      <c r="AB152" s="31" t="s">
        <v>3274</v>
      </c>
    </row>
    <row r="153" spans="1:28" ht="45" x14ac:dyDescent="0.25">
      <c r="A153" s="25" t="str">
        <f>INDEX('Выгр Торг'!$A:$A,MATCH($B153,'Выгр Торг'!$B:$B,0))</f>
        <v>Оригинальная задняя правая дверь для Лада XRAY</v>
      </c>
      <c r="B153" s="24">
        <v>249437</v>
      </c>
      <c r="C153" s="24">
        <f>VLOOKUP($B153,'Выгр Торг'!$B:$Q,C$1,0)</f>
        <v>155450</v>
      </c>
      <c r="D153" s="25" t="str">
        <f>VLOOKUP($B153,'Выгр Торг'!$B:$Q,D$1,0)</f>
        <v>Оригинальная задняя правая дверь для Лада XRAY (Без отверстий под молдинг, Без покраски)</v>
      </c>
      <c r="E153" s="24" t="str">
        <f>VLOOKUP($B153,'Выгр Торг'!$B:$Q,E$1,0)</f>
        <v>Y</v>
      </c>
      <c r="F153" s="24">
        <f>VLOOKUP($B153,'Выгр Торг'!$B:$Q,F$1,0)</f>
        <v>0</v>
      </c>
      <c r="G153" s="24" t="str">
        <f>VLOOKUP($B153,'Выгр Торг'!$B:$Q,G$1,0)</f>
        <v>821002780R</v>
      </c>
      <c r="H153" s="24" t="str">
        <f>IF(VLOOKUP($B153,'Выгр Торг'!$B:$Q,H$1,0)=0,"",VLOOKUP($B153,'Выгр Торг'!$B:$Q,H$1,0))</f>
        <v>https://motorring.ru/product/10523-dvery-zadnyaya-pravaya-cvet-lada-iks-rey</v>
      </c>
      <c r="I153" s="24"/>
      <c r="J153" s="24"/>
      <c r="K153" s="35">
        <f t="shared" si="24"/>
        <v>39830</v>
      </c>
      <c r="L153" s="26">
        <f>VLOOKUP(K153,Наценка!$A$1:$B$8,2,1)</f>
        <v>1.3</v>
      </c>
      <c r="M153" s="27">
        <f t="shared" si="25"/>
        <v>51779</v>
      </c>
      <c r="N153" s="28">
        <f t="shared" si="26"/>
        <v>51790</v>
      </c>
      <c r="O153" s="24">
        <f>VLOOKUP($B153,'Выгр Торг'!$B:$Q,O$1,0)</f>
        <v>39830</v>
      </c>
      <c r="P153" s="24">
        <f>VLOOKUP($B153,'Выгр Торг'!$B:$Q,P$1,0)</f>
        <v>52890</v>
      </c>
      <c r="Q153" s="18">
        <f t="shared" si="27"/>
        <v>0</v>
      </c>
      <c r="R153" s="18">
        <f t="shared" si="28"/>
        <v>1100</v>
      </c>
      <c r="S153" s="29">
        <f t="shared" si="29"/>
        <v>51790</v>
      </c>
      <c r="T153" s="30">
        <f t="shared" si="30"/>
        <v>0.30027617373838811</v>
      </c>
      <c r="U153" s="30" t="str">
        <f t="shared" si="31"/>
        <v/>
      </c>
      <c r="V153" s="30">
        <f t="shared" si="32"/>
        <v>-1</v>
      </c>
      <c r="W153" s="13">
        <f t="shared" si="23"/>
        <v>0</v>
      </c>
      <c r="X153" s="32">
        <f>IFERROR((VLOOKUP($B153,'Из ГУГЛа'!$B:$Z,X$1,0)+Z153)*Y153,VLOOKUP($B153,'Из ГУГЛа'!$B:$Z,X$1,0))</f>
        <v>0</v>
      </c>
      <c r="Y153" s="33">
        <v>1</v>
      </c>
      <c r="Z153" s="33"/>
      <c r="AA153" s="31"/>
      <c r="AB153" s="31" t="s">
        <v>3282</v>
      </c>
    </row>
    <row r="154" spans="1:28" ht="45" x14ac:dyDescent="0.25">
      <c r="A154" s="25" t="str">
        <f>INDEX('Выгр Торг'!$A:$A,MATCH($B154,'Выгр Торг'!$B:$B,0))</f>
        <v>Оригинальная задняя правая дверь для Лада XRAY</v>
      </c>
      <c r="B154" s="24">
        <v>249450</v>
      </c>
      <c r="C154" s="24">
        <f>VLOOKUP($B154,'Выгр Торг'!$B:$Q,C$1,0)</f>
        <v>194796</v>
      </c>
      <c r="D154" s="25" t="str">
        <f>VLOOKUP($B154,'Выгр Торг'!$B:$Q,D$1,0)</f>
        <v>Оригинальная задняя правая дверь для Лада XRAY (С отверстиями под молдинг, Без покраски)</v>
      </c>
      <c r="E154" s="24" t="str">
        <f>VLOOKUP($B154,'Выгр Торг'!$B:$Q,E$1,0)</f>
        <v>Y</v>
      </c>
      <c r="F154" s="24">
        <f>VLOOKUP($B154,'Выгр Торг'!$B:$Q,F$1,0)</f>
        <v>0</v>
      </c>
      <c r="G154" s="24" t="str">
        <f>VLOOKUP($B154,'Выгр Торг'!$B:$Q,G$1,0)</f>
        <v>8450105006</v>
      </c>
      <c r="H154" s="24" t="str">
        <f>IF(VLOOKUP($B154,'Выгр Торг'!$B:$Q,H$1,0)=0,"",VLOOKUP($B154,'Выгр Торг'!$B:$Q,H$1,0))</f>
        <v>https://motorring.ru/product/27671-dvery-zadnyaya-pravaya-cvet-lada-iks-rey-cross</v>
      </c>
      <c r="I154" s="24"/>
      <c r="J154" s="24"/>
      <c r="K154" s="35">
        <f t="shared" si="24"/>
        <v>40021</v>
      </c>
      <c r="L154" s="26">
        <f>VLOOKUP(K154,Наценка!$A$1:$B$8,2,1)</f>
        <v>1.3</v>
      </c>
      <c r="M154" s="27">
        <f t="shared" si="25"/>
        <v>52027.3</v>
      </c>
      <c r="N154" s="28">
        <f t="shared" si="26"/>
        <v>52090</v>
      </c>
      <c r="O154" s="24">
        <f>VLOOKUP($B154,'Выгр Торг'!$B:$Q,O$1,0)</f>
        <v>40021</v>
      </c>
      <c r="P154" s="24">
        <f>VLOOKUP($B154,'Выгр Торг'!$B:$Q,P$1,0)</f>
        <v>53090</v>
      </c>
      <c r="Q154" s="18">
        <f t="shared" si="27"/>
        <v>0</v>
      </c>
      <c r="R154" s="18">
        <f t="shared" si="28"/>
        <v>1000</v>
      </c>
      <c r="S154" s="29">
        <f t="shared" si="29"/>
        <v>52090</v>
      </c>
      <c r="T154" s="30">
        <f t="shared" si="30"/>
        <v>0.30156667749431554</v>
      </c>
      <c r="U154" s="30" t="str">
        <f t="shared" si="31"/>
        <v/>
      </c>
      <c r="V154" s="30">
        <f t="shared" si="32"/>
        <v>-1</v>
      </c>
      <c r="W154" s="13">
        <f t="shared" si="23"/>
        <v>0</v>
      </c>
      <c r="X154" s="32">
        <f>IFERROR((VLOOKUP($B154,'Из ГУГЛа'!$B:$Z,X$1,0)+Z154)*Y154,VLOOKUP($B154,'Из ГУГЛа'!$B:$Z,X$1,0))</f>
        <v>0</v>
      </c>
      <c r="Y154" s="33">
        <v>1</v>
      </c>
      <c r="Z154" s="33"/>
      <c r="AA154" s="31"/>
      <c r="AB154" s="31" t="s">
        <v>3290</v>
      </c>
    </row>
    <row r="155" spans="1:28" ht="45" x14ac:dyDescent="0.25">
      <c r="A155" s="25" t="str">
        <f>INDEX('Выгр Торг'!$A:$A,MATCH($B155,'Выгр Торг'!$B:$B,0))</f>
        <v>Оригинальная задняя правая дверь для Лада Веста (седан)</v>
      </c>
      <c r="B155" s="24">
        <v>249463</v>
      </c>
      <c r="C155" s="24">
        <f>VLOOKUP($B155,'Выгр Торг'!$B:$Q,C$1,0)</f>
        <v>155417</v>
      </c>
      <c r="D155" s="25" t="str">
        <f>VLOOKUP($B155,'Выгр Торг'!$B:$Q,D$1,0)</f>
        <v>Оригинальная задняя правая дверь для Лада Веста (Без отверстий под молдинг, Без покраски)</v>
      </c>
      <c r="E155" s="24" t="str">
        <f>VLOOKUP($B155,'Выгр Торг'!$B:$Q,E$1,0)</f>
        <v>Y</v>
      </c>
      <c r="F155" s="24">
        <f>VLOOKUP($B155,'Выгр Торг'!$B:$Q,F$1,0)</f>
        <v>0</v>
      </c>
      <c r="G155" s="24" t="str">
        <f>VLOOKUP($B155,'Выгр Торг'!$B:$Q,G$1,0)</f>
        <v>8460013095</v>
      </c>
      <c r="H155" s="24" t="str">
        <f>IF(VLOOKUP($B155,'Выгр Торг'!$B:$Q,H$1,0)=0,"",VLOOKUP($B155,'Выгр Торг'!$B:$Q,H$1,0))</f>
        <v>https://motorring.ru/product/10516-dvery-zadnyaya-pravaya-cvet-lada-vesta</v>
      </c>
      <c r="I155" s="24"/>
      <c r="J155" s="24"/>
      <c r="K155" s="35">
        <f t="shared" si="24"/>
        <v>24420</v>
      </c>
      <c r="L155" s="26">
        <f>VLOOKUP(K155,Наценка!$A$1:$B$8,2,1)</f>
        <v>1.3</v>
      </c>
      <c r="M155" s="27">
        <f t="shared" si="25"/>
        <v>31746</v>
      </c>
      <c r="N155" s="28">
        <f t="shared" si="26"/>
        <v>31790</v>
      </c>
      <c r="O155" s="24">
        <f>VLOOKUP($B155,'Выгр Торг'!$B:$Q,O$1,0)</f>
        <v>24420</v>
      </c>
      <c r="P155" s="24">
        <f>VLOOKUP($B155,'Выгр Торг'!$B:$Q,P$1,0)</f>
        <v>30690</v>
      </c>
      <c r="Q155" s="18">
        <f t="shared" si="27"/>
        <v>0</v>
      </c>
      <c r="R155" s="18">
        <f t="shared" si="28"/>
        <v>-1100</v>
      </c>
      <c r="S155" s="29">
        <f t="shared" si="29"/>
        <v>31790</v>
      </c>
      <c r="T155" s="30">
        <f t="shared" si="30"/>
        <v>0.30180180180180183</v>
      </c>
      <c r="U155" s="30" t="str">
        <f t="shared" si="31"/>
        <v/>
      </c>
      <c r="V155" s="30">
        <f t="shared" si="32"/>
        <v>-1</v>
      </c>
      <c r="W155" s="13">
        <f t="shared" si="23"/>
        <v>0</v>
      </c>
      <c r="X155" s="32">
        <f>IFERROR((VLOOKUP($B155,'Из ГУГЛа'!$B:$Z,X$1,0)+Z155)*Y155,VLOOKUP($B155,'Из ГУГЛа'!$B:$Z,X$1,0))</f>
        <v>0</v>
      </c>
      <c r="Y155" s="33">
        <v>1</v>
      </c>
      <c r="Z155" s="33"/>
      <c r="AA155" s="31"/>
      <c r="AB155" s="31" t="s">
        <v>3298</v>
      </c>
    </row>
    <row r="156" spans="1:28" ht="45" x14ac:dyDescent="0.25">
      <c r="A156" s="25" t="str">
        <f>INDEX('Выгр Торг'!$A:$A,MATCH($B156,'Выгр Торг'!$B:$B,0))</f>
        <v>Оригинальная задняя правая дверь для Лада Веста (седан)</v>
      </c>
      <c r="B156" s="24">
        <v>249481</v>
      </c>
      <c r="C156" s="24">
        <f>VLOOKUP($B156,'Выгр Торг'!$B:$Q,C$1,0)</f>
        <v>194298</v>
      </c>
      <c r="D156" s="25" t="str">
        <f>VLOOKUP($B156,'Выгр Торг'!$B:$Q,D$1,0)</f>
        <v>Оригинальная задняя правая дверь для Лада Веста (седан) (С отверстиями под молдинг, Без покраски)</v>
      </c>
      <c r="E156" s="24" t="str">
        <f>VLOOKUP($B156,'Выгр Торг'!$B:$Q,E$1,0)</f>
        <v>Y</v>
      </c>
      <c r="F156" s="24">
        <f>VLOOKUP($B156,'Выгр Торг'!$B:$Q,F$1,0)</f>
        <v>0</v>
      </c>
      <c r="G156" s="24" t="str">
        <f>VLOOKUP($B156,'Выгр Торг'!$B:$Q,G$1,0)</f>
        <v>8460013096</v>
      </c>
      <c r="H156" s="24" t="str">
        <f>IF(VLOOKUP($B156,'Выгр Торг'!$B:$Q,H$1,0)=0,"",VLOOKUP($B156,'Выгр Торг'!$B:$Q,H$1,0))</f>
        <v>https://motorring.ru/product/27667-dvery-zadnyaya-pravaya-cvet-lada-vesta-kross</v>
      </c>
      <c r="I156" s="24"/>
      <c r="J156" s="24"/>
      <c r="K156" s="35">
        <f t="shared" si="24"/>
        <v>24637</v>
      </c>
      <c r="L156" s="26">
        <f>VLOOKUP(K156,Наценка!$A$1:$B$8,2,1)</f>
        <v>1.3</v>
      </c>
      <c r="M156" s="27">
        <f t="shared" si="25"/>
        <v>32028.100000000002</v>
      </c>
      <c r="N156" s="28">
        <f t="shared" si="26"/>
        <v>32090</v>
      </c>
      <c r="O156" s="24">
        <f>VLOOKUP($B156,'Выгр Торг'!$B:$Q,O$1,0)</f>
        <v>24637</v>
      </c>
      <c r="P156" s="24">
        <f>VLOOKUP($B156,'Выгр Торг'!$B:$Q,P$1,0)</f>
        <v>30790</v>
      </c>
      <c r="Q156" s="18">
        <f t="shared" si="27"/>
        <v>0</v>
      </c>
      <c r="R156" s="18">
        <f t="shared" si="28"/>
        <v>-1300</v>
      </c>
      <c r="S156" s="29">
        <f t="shared" si="29"/>
        <v>32090</v>
      </c>
      <c r="T156" s="30">
        <f t="shared" si="30"/>
        <v>0.30251248122742225</v>
      </c>
      <c r="U156" s="30" t="str">
        <f t="shared" si="31"/>
        <v/>
      </c>
      <c r="V156" s="30">
        <f t="shared" si="32"/>
        <v>-1</v>
      </c>
      <c r="W156" s="13">
        <f t="shared" si="23"/>
        <v>0</v>
      </c>
      <c r="X156" s="32">
        <f>IFERROR((VLOOKUP($B156,'Из ГУГЛа'!$B:$Z,X$1,0)+Z156)*Y156,VLOOKUP($B156,'Из ГУГЛа'!$B:$Z,X$1,0))</f>
        <v>0</v>
      </c>
      <c r="Y156" s="33">
        <v>1</v>
      </c>
      <c r="Z156" s="33"/>
      <c r="AA156" s="31"/>
      <c r="AB156" s="31" t="s">
        <v>3305</v>
      </c>
    </row>
    <row r="157" spans="1:28" ht="60" x14ac:dyDescent="0.25">
      <c r="A157" s="25" t="str">
        <f>INDEX('Выгр Торг'!$A:$A,MATCH($B157,'Выгр Торг'!$B:$B,0))</f>
        <v>Оригинальная задняя правая дверь для Лада Гранта лифтбек, Гранта FL</v>
      </c>
      <c r="B157" s="24">
        <v>183172</v>
      </c>
      <c r="C157" s="24">
        <f>VLOOKUP($B157,'Выгр Торг'!$B:$Q,C$1,0)</f>
        <v>157268</v>
      </c>
      <c r="D157" s="25" t="str">
        <f>VLOOKUP($B157,'Выгр Торг'!$B:$Q,D$1,0)</f>
        <v>Оригинальная задняя правая дверь для Лада Гранта лифтбек, Гранта FL (Без покраски, Без отверстий под молдинг)</v>
      </c>
      <c r="E157" s="24" t="str">
        <f>VLOOKUP($B157,'Выгр Торг'!$B:$Q,E$1,0)</f>
        <v>Y</v>
      </c>
      <c r="F157" s="24">
        <f>VLOOKUP($B157,'Выгр Торг'!$B:$Q,F$1,0)</f>
        <v>0</v>
      </c>
      <c r="G157" s="24" t="str">
        <f>VLOOKUP($B157,'Выгр Торг'!$B:$Q,G$1,0)</f>
        <v>21910620001470</v>
      </c>
      <c r="H157" s="24" t="str">
        <f>IF(VLOOKUP($B157,'Выгр Торг'!$B:$Q,H$1,0)=0,"",VLOOKUP($B157,'Выгр Торг'!$B:$Q,H$1,0))</f>
        <v>https://motorring.ru/product/1681-dvery-zadnyaya-pravaya-cvet-lada-granta-liftbek</v>
      </c>
      <c r="I157" s="24"/>
      <c r="J157" s="24"/>
      <c r="K157" s="35">
        <f t="shared" si="24"/>
        <v>11171</v>
      </c>
      <c r="L157" s="26">
        <f>VLOOKUP(K157,Наценка!$A$1:$B$8,2,1)</f>
        <v>1.3</v>
      </c>
      <c r="M157" s="27">
        <f t="shared" si="25"/>
        <v>14522.300000000001</v>
      </c>
      <c r="N157" s="28">
        <f t="shared" si="26"/>
        <v>14590</v>
      </c>
      <c r="O157" s="24">
        <f>VLOOKUP($B157,'Выгр Торг'!$B:$Q,O$1,0)</f>
        <v>11171</v>
      </c>
      <c r="P157" s="24">
        <f>VLOOKUP($B157,'Выгр Торг'!$B:$Q,P$1,0)</f>
        <v>15290</v>
      </c>
      <c r="Q157" s="18">
        <f t="shared" si="27"/>
        <v>0</v>
      </c>
      <c r="R157" s="18">
        <f t="shared" si="28"/>
        <v>700</v>
      </c>
      <c r="S157" s="29">
        <f t="shared" si="29"/>
        <v>14590</v>
      </c>
      <c r="T157" s="30">
        <f t="shared" si="30"/>
        <v>0.30606033479545247</v>
      </c>
      <c r="U157" s="30" t="str">
        <f t="shared" si="31"/>
        <v/>
      </c>
      <c r="V157" s="30">
        <f t="shared" si="32"/>
        <v>-1</v>
      </c>
      <c r="W157" s="13">
        <f t="shared" si="23"/>
        <v>0</v>
      </c>
      <c r="X157" s="32">
        <f>IFERROR((VLOOKUP($B157,'Из ГУГЛа'!$B:$Z,X$1,0)+Z157)*Y157,VLOOKUP($B157,'Из ГУГЛа'!$B:$Z,X$1,0))</f>
        <v>0</v>
      </c>
      <c r="Y157" s="33">
        <v>1</v>
      </c>
      <c r="Z157" s="33"/>
      <c r="AA157" s="31"/>
      <c r="AB157" s="31" t="s">
        <v>3313</v>
      </c>
    </row>
    <row r="158" spans="1:28" ht="60" x14ac:dyDescent="0.25">
      <c r="A158" s="25" t="str">
        <f>INDEX('Выгр Торг'!$A:$A,MATCH($B158,'Выгр Торг'!$B:$B,0))</f>
        <v>Оригинальная задняя правая дверь для Лада Гранта лифтбек, Гранта FL</v>
      </c>
      <c r="B158" s="24">
        <v>183173</v>
      </c>
      <c r="C158" s="24">
        <f>VLOOKUP($B158,'Выгр Торг'!$B:$Q,C$1,0)</f>
        <v>157269</v>
      </c>
      <c r="D158" s="25" t="str">
        <f>VLOOKUP($B158,'Выгр Торг'!$B:$Q,D$1,0)</f>
        <v>Оригинальная задняя правая дверь для Лада Гранта лифтбек, Гранта FL (Без покраски, С отверстиями под молдинг)</v>
      </c>
      <c r="E158" s="24" t="str">
        <f>VLOOKUP($B158,'Выгр Торг'!$B:$Q,E$1,0)</f>
        <v>Y</v>
      </c>
      <c r="F158" s="24">
        <f>VLOOKUP($B158,'Выгр Торг'!$B:$Q,F$1,0)</f>
        <v>0</v>
      </c>
      <c r="G158" s="24" t="str">
        <f>VLOOKUP($B158,'Выгр Торг'!$B:$Q,G$1,0)</f>
        <v>21910620001475</v>
      </c>
      <c r="H158" s="24" t="str">
        <f>IF(VLOOKUP($B158,'Выгр Торг'!$B:$Q,H$1,0)=0,"",VLOOKUP($B158,'Выгр Торг'!$B:$Q,H$1,0))</f>
        <v>https://motorring.ru/product/1681-dvery-zadnyaya-pravaya-cvet-lada-granta-liftbek</v>
      </c>
      <c r="I158" s="24"/>
      <c r="J158" s="24"/>
      <c r="K158" s="35">
        <f t="shared" si="24"/>
        <v>10972</v>
      </c>
      <c r="L158" s="26">
        <f>VLOOKUP(K158,Наценка!$A$1:$B$8,2,1)</f>
        <v>1.3</v>
      </c>
      <c r="M158" s="27">
        <f t="shared" si="25"/>
        <v>14263.6</v>
      </c>
      <c r="N158" s="28">
        <f t="shared" si="26"/>
        <v>14290</v>
      </c>
      <c r="O158" s="24">
        <f>VLOOKUP($B158,'Выгр Торг'!$B:$Q,O$1,0)</f>
        <v>10972</v>
      </c>
      <c r="P158" s="24">
        <f>VLOOKUP($B158,'Выгр Торг'!$B:$Q,P$1,0)</f>
        <v>15290</v>
      </c>
      <c r="Q158" s="18">
        <f t="shared" si="27"/>
        <v>0</v>
      </c>
      <c r="R158" s="18">
        <f t="shared" si="28"/>
        <v>1000</v>
      </c>
      <c r="S158" s="29">
        <f t="shared" si="29"/>
        <v>14290</v>
      </c>
      <c r="T158" s="30">
        <f t="shared" si="30"/>
        <v>0.30240612468100614</v>
      </c>
      <c r="U158" s="30" t="str">
        <f t="shared" si="31"/>
        <v/>
      </c>
      <c r="V158" s="30">
        <f t="shared" si="32"/>
        <v>-1</v>
      </c>
      <c r="W158" s="13">
        <f t="shared" si="23"/>
        <v>0</v>
      </c>
      <c r="X158" s="32">
        <f>IFERROR((VLOOKUP($B158,'Из ГУГЛа'!$B:$Z,X$1,0)+Z158)*Y158,VLOOKUP($B158,'Из ГУГЛа'!$B:$Z,X$1,0))</f>
        <v>0</v>
      </c>
      <c r="Y158" s="33">
        <v>1</v>
      </c>
      <c r="Z158" s="33"/>
      <c r="AA158" s="31"/>
      <c r="AB158" s="31" t="s">
        <v>3313</v>
      </c>
    </row>
    <row r="159" spans="1:28" ht="45" x14ac:dyDescent="0.25">
      <c r="A159" s="25" t="str">
        <f>INDEX('Выгр Торг'!$A:$A,MATCH($B159,'Выгр Торг'!$B:$B,0))</f>
        <v>Оригинальная задняя правая дверь для Лада Калина, Калина 2, Гранта, Гранта FL (седан, хэтчбек)</v>
      </c>
      <c r="B159" s="24">
        <v>183216</v>
      </c>
      <c r="C159" s="24">
        <f>VLOOKUP($B159,'Выгр Торг'!$B:$Q,C$1,0)</f>
        <v>155667</v>
      </c>
      <c r="D159" s="25" t="str">
        <f>VLOOKUP($B159,'Выгр Торг'!$B:$Q,D$1,0)</f>
        <v>Оригинальная задняя правая дверь для Лада Калина, Калина 2, Гранта (седан, хэтчбек) (Без покраски)</v>
      </c>
      <c r="E159" s="24" t="str">
        <f>VLOOKUP($B159,'Выгр Торг'!$B:$Q,E$1,0)</f>
        <v>Y</v>
      </c>
      <c r="F159" s="24">
        <f>VLOOKUP($B159,'Выгр Торг'!$B:$Q,F$1,0)</f>
        <v>0</v>
      </c>
      <c r="G159" s="24" t="str">
        <f>VLOOKUP($B159,'Выгр Торг'!$B:$Q,G$1,0)</f>
        <v>11180620001485</v>
      </c>
      <c r="H159" s="24" t="str">
        <f>IF(VLOOKUP($B159,'Выгр Торг'!$B:$Q,H$1,0)=0,"",VLOOKUP($B159,'Выгр Торг'!$B:$Q,H$1,0))</f>
        <v>https://motorring.ru/product/10338-dvery-zadnyaya-pravaya-cvet-lada-kalina-kalina-granta-sedan</v>
      </c>
      <c r="I159" s="24"/>
      <c r="J159" s="24"/>
      <c r="K159" s="35">
        <f t="shared" si="24"/>
        <v>11378</v>
      </c>
      <c r="L159" s="26">
        <f>VLOOKUP(K159,Наценка!$A$1:$B$8,2,1)</f>
        <v>1.3</v>
      </c>
      <c r="M159" s="27">
        <f t="shared" si="25"/>
        <v>14791.4</v>
      </c>
      <c r="N159" s="28">
        <f t="shared" si="26"/>
        <v>14790</v>
      </c>
      <c r="O159" s="24">
        <f>VLOOKUP($B159,'Выгр Торг'!$B:$Q,O$1,0)</f>
        <v>11378</v>
      </c>
      <c r="P159" s="24">
        <f>VLOOKUP($B159,'Выгр Торг'!$B:$Q,P$1,0)</f>
        <v>15190</v>
      </c>
      <c r="Q159" s="18">
        <f t="shared" si="27"/>
        <v>0</v>
      </c>
      <c r="R159" s="18">
        <f t="shared" si="28"/>
        <v>400</v>
      </c>
      <c r="S159" s="29">
        <f t="shared" si="29"/>
        <v>14790</v>
      </c>
      <c r="T159" s="30">
        <f t="shared" si="30"/>
        <v>0.29987695552821236</v>
      </c>
      <c r="U159" s="30" t="str">
        <f t="shared" si="31"/>
        <v/>
      </c>
      <c r="V159" s="30">
        <f t="shared" si="32"/>
        <v>-1</v>
      </c>
      <c r="W159" s="13">
        <f t="shared" si="23"/>
        <v>0</v>
      </c>
      <c r="X159" s="32">
        <f>IFERROR((VLOOKUP($B159,'Из ГУГЛа'!$B:$Z,X$1,0)+Z159)*Y159,VLOOKUP($B159,'Из ГУГЛа'!$B:$Z,X$1,0))</f>
        <v>0</v>
      </c>
      <c r="Y159" s="33">
        <v>1</v>
      </c>
      <c r="Z159" s="33"/>
      <c r="AA159" s="31"/>
      <c r="AB159" s="31" t="s">
        <v>3329</v>
      </c>
    </row>
    <row r="160" spans="1:28" ht="45" x14ac:dyDescent="0.25">
      <c r="A160" s="25" t="str">
        <f>INDEX('Выгр Торг'!$A:$A,MATCH($B160,'Выгр Торг'!$B:$B,0))</f>
        <v>Оригинальная задняя правая дверь для Лада Нива, Урбан (5-ти дверная)</v>
      </c>
      <c r="B160" s="24">
        <v>183255</v>
      </c>
      <c r="C160" s="24">
        <f>VLOOKUP($B160,'Выгр Торг'!$B:$Q,C$1,0)</f>
        <v>156397</v>
      </c>
      <c r="D160" s="25" t="str">
        <f>VLOOKUP($B160,'Выгр Торг'!$B:$Q,D$1,0)</f>
        <v>Оригинальная задняя правая дверь для Лада Нива 4x4, Нива 4х4 Урбан (5-ти дверная) (Без покраски)</v>
      </c>
      <c r="E160" s="24" t="str">
        <f>VLOOKUP($B160,'Выгр Торг'!$B:$Q,E$1,0)</f>
        <v>Y</v>
      </c>
      <c r="F160" s="24">
        <f>VLOOKUP($B160,'Выгр Торг'!$B:$Q,F$1,0)</f>
        <v>0</v>
      </c>
      <c r="G160" s="24" t="str">
        <f>VLOOKUP($B160,'Выгр Торг'!$B:$Q,G$1,0)</f>
        <v>8450109467</v>
      </c>
      <c r="H160" s="24" t="str">
        <f>IF(VLOOKUP($B160,'Выгр Торг'!$B:$Q,H$1,0)=0,"",VLOOKUP($B160,'Выгр Торг'!$B:$Q,H$1,0))</f>
        <v>https://motorring.ru/product/467-dvery-zadnyaya-pravaya-cvet-lada-niva-2131</v>
      </c>
      <c r="I160" s="24"/>
      <c r="J160" s="24"/>
      <c r="K160" s="35">
        <f t="shared" si="24"/>
        <v>13872</v>
      </c>
      <c r="L160" s="26">
        <f>VLOOKUP(K160,Наценка!$A$1:$B$8,2,1)</f>
        <v>1.3</v>
      </c>
      <c r="M160" s="27">
        <f t="shared" si="25"/>
        <v>18033.600000000002</v>
      </c>
      <c r="N160" s="28">
        <f t="shared" si="26"/>
        <v>18090</v>
      </c>
      <c r="O160" s="24">
        <f>VLOOKUP($B160,'Выгр Торг'!$B:$Q,O$1,0)</f>
        <v>13872</v>
      </c>
      <c r="P160" s="24">
        <f>VLOOKUP($B160,'Выгр Торг'!$B:$Q,P$1,0)</f>
        <v>17490</v>
      </c>
      <c r="Q160" s="18">
        <f t="shared" si="27"/>
        <v>0</v>
      </c>
      <c r="R160" s="18">
        <f t="shared" si="28"/>
        <v>-600</v>
      </c>
      <c r="S160" s="29">
        <f t="shared" si="29"/>
        <v>18090</v>
      </c>
      <c r="T160" s="30">
        <f t="shared" si="30"/>
        <v>0.30406574394463659</v>
      </c>
      <c r="U160" s="30" t="str">
        <f t="shared" si="31"/>
        <v/>
      </c>
      <c r="V160" s="30">
        <f t="shared" si="32"/>
        <v>-1</v>
      </c>
      <c r="W160" s="13">
        <f t="shared" si="23"/>
        <v>0</v>
      </c>
      <c r="X160" s="32">
        <f>IFERROR((VLOOKUP($B160,'Из ГУГЛа'!$B:$Z,X$1,0)+Z160)*Y160,VLOOKUP($B160,'Из ГУГЛа'!$B:$Z,X$1,0))</f>
        <v>0</v>
      </c>
      <c r="Y160" s="33">
        <v>1</v>
      </c>
      <c r="Z160" s="33"/>
      <c r="AA160" s="31"/>
      <c r="AB160" s="31" t="s">
        <v>3337</v>
      </c>
    </row>
    <row r="161" spans="1:28" ht="60" x14ac:dyDescent="0.25">
      <c r="A161" s="25" t="str">
        <f>INDEX('Выгр Торг'!$A:$A,MATCH($B161,'Выгр Торг'!$B:$B,0))</f>
        <v>Оригинальная задняя правая дверь нового образца для Шевроле Нива (после 2009 года выпуска)</v>
      </c>
      <c r="B161" s="24">
        <v>183271</v>
      </c>
      <c r="C161" s="24">
        <f>VLOOKUP($B161,'Выгр Торг'!$B:$Q,C$1,0)</f>
        <v>157181</v>
      </c>
      <c r="D161" s="25" t="str">
        <f>VLOOKUP($B161,'Выгр Торг'!$B:$Q,D$1,0)</f>
        <v>Оригинальная задняя правая дверь нового образца для Шевроле Нива (после 2009 года выпуска) (Без покраски)</v>
      </c>
      <c r="E161" s="24" t="str">
        <f>VLOOKUP($B161,'Выгр Торг'!$B:$Q,E$1,0)</f>
        <v>Y</v>
      </c>
      <c r="F161" s="24">
        <f>VLOOKUP($B161,'Выгр Торг'!$B:$Q,F$1,0)</f>
        <v>0</v>
      </c>
      <c r="G161" s="24" t="str">
        <f>VLOOKUP($B161,'Выгр Торг'!$B:$Q,G$1,0)</f>
        <v>21230620001455</v>
      </c>
      <c r="H161" s="24" t="str">
        <f>IF(VLOOKUP($B161,'Выгр Торг'!$B:$Q,H$1,0)=0,"",VLOOKUP($B161,'Выгр Торг'!$B:$Q,H$1,0))</f>
        <v>https://motorring.ru/product/225</v>
      </c>
      <c r="I161" s="24"/>
      <c r="J161" s="24"/>
      <c r="K161" s="35">
        <f t="shared" si="24"/>
        <v>35779</v>
      </c>
      <c r="L161" s="26">
        <f>VLOOKUP(K161,Наценка!$A$1:$B$8,2,1)</f>
        <v>1.3</v>
      </c>
      <c r="M161" s="27">
        <f t="shared" si="25"/>
        <v>46512.700000000004</v>
      </c>
      <c r="N161" s="28">
        <f t="shared" si="26"/>
        <v>46590</v>
      </c>
      <c r="O161" s="24">
        <f>VLOOKUP($B161,'Выгр Торг'!$B:$Q,O$1,0)</f>
        <v>35779</v>
      </c>
      <c r="P161" s="24">
        <f>VLOOKUP($B161,'Выгр Торг'!$B:$Q,P$1,0)</f>
        <v>47490</v>
      </c>
      <c r="Q161" s="18">
        <f t="shared" si="27"/>
        <v>0</v>
      </c>
      <c r="R161" s="18">
        <f t="shared" si="28"/>
        <v>900</v>
      </c>
      <c r="S161" s="29">
        <f t="shared" si="29"/>
        <v>46590</v>
      </c>
      <c r="T161" s="30">
        <f t="shared" si="30"/>
        <v>0.30216048520081618</v>
      </c>
      <c r="U161" s="30" t="str">
        <f t="shared" si="31"/>
        <v/>
      </c>
      <c r="V161" s="30">
        <f t="shared" si="32"/>
        <v>-1</v>
      </c>
      <c r="W161" s="13">
        <f t="shared" si="23"/>
        <v>0</v>
      </c>
      <c r="X161" s="32">
        <f>IFERROR((VLOOKUP($B161,'Из ГУГЛа'!$B:$Z,X$1,0)+Z161)*Y161,VLOOKUP($B161,'Из ГУГЛа'!$B:$Z,X$1,0))</f>
        <v>0</v>
      </c>
      <c r="Y161" s="33">
        <v>1</v>
      </c>
      <c r="Z161" s="33"/>
      <c r="AA161" s="31"/>
      <c r="AB161" s="31" t="s">
        <v>3345</v>
      </c>
    </row>
    <row r="162" spans="1:28" ht="45" x14ac:dyDescent="0.25">
      <c r="A162" s="25" t="str">
        <f>INDEX('Выгр Торг'!$A:$A,MATCH($B162,'Выгр Торг'!$B:$B,0))</f>
        <v>Оригинальная задняя правая дверь старого образца для Шевроле Нива (до 2009 г.в.)</v>
      </c>
      <c r="B162" s="24">
        <v>183289</v>
      </c>
      <c r="C162" s="24">
        <f>VLOOKUP($B162,'Выгр Торг'!$B:$Q,C$1,0)</f>
        <v>156227</v>
      </c>
      <c r="D162" s="25" t="str">
        <f>VLOOKUP($B162,'Выгр Торг'!$B:$Q,D$1,0)</f>
        <v>Оригинальная задняя правая дверь старого образца для Шевроле Нива (до 2009 г.в.) (Без покраски)</v>
      </c>
      <c r="E162" s="24" t="str">
        <f>VLOOKUP($B162,'Выгр Торг'!$B:$Q,E$1,0)</f>
        <v>Y</v>
      </c>
      <c r="F162" s="24">
        <f>VLOOKUP($B162,'Выгр Торг'!$B:$Q,F$1,0)</f>
        <v>0</v>
      </c>
      <c r="G162" s="24" t="str">
        <f>VLOOKUP($B162,'Выгр Торг'!$B:$Q,G$1,0)</f>
        <v>21230620001400</v>
      </c>
      <c r="H162" s="24" t="str">
        <f>IF(VLOOKUP($B162,'Выгр Торг'!$B:$Q,H$1,0)=0,"",VLOOKUP($B162,'Выгр Торг'!$B:$Q,H$1,0))</f>
        <v>https://motorring.ru/product/132-dvery-zadnyaya-pravaya-starogo-obrazca-cvet-shevrole-niva</v>
      </c>
      <c r="I162" s="24"/>
      <c r="J162" s="24"/>
      <c r="K162" s="35">
        <f t="shared" si="24"/>
        <v>15329</v>
      </c>
      <c r="L162" s="26">
        <f>VLOOKUP(K162,Наценка!$A$1:$B$8,2,1)</f>
        <v>1.3</v>
      </c>
      <c r="M162" s="27">
        <f t="shared" si="25"/>
        <v>19927.7</v>
      </c>
      <c r="N162" s="28">
        <f t="shared" si="26"/>
        <v>19990</v>
      </c>
      <c r="O162" s="24">
        <f>VLOOKUP($B162,'Выгр Торг'!$B:$Q,O$1,0)</f>
        <v>15329</v>
      </c>
      <c r="P162" s="24">
        <f>VLOOKUP($B162,'Выгр Торг'!$B:$Q,P$1,0)</f>
        <v>20390</v>
      </c>
      <c r="Q162" s="18">
        <f t="shared" si="27"/>
        <v>0</v>
      </c>
      <c r="R162" s="18">
        <f t="shared" si="28"/>
        <v>400</v>
      </c>
      <c r="S162" s="29">
        <f t="shared" si="29"/>
        <v>19990</v>
      </c>
      <c r="T162" s="30">
        <f t="shared" si="30"/>
        <v>0.30406419205427615</v>
      </c>
      <c r="U162" s="30" t="str">
        <f t="shared" si="31"/>
        <v/>
      </c>
      <c r="V162" s="30">
        <f t="shared" si="32"/>
        <v>-1</v>
      </c>
      <c r="W162" s="13">
        <f t="shared" si="23"/>
        <v>0</v>
      </c>
      <c r="X162" s="32">
        <f>IFERROR((VLOOKUP($B162,'Из ГУГЛа'!$B:$Z,X$1,0)+Z162)*Y162,VLOOKUP($B162,'Из ГУГЛа'!$B:$Z,X$1,0))</f>
        <v>0</v>
      </c>
      <c r="Y162" s="33">
        <v>1</v>
      </c>
      <c r="Z162" s="33"/>
      <c r="AA162" s="31"/>
      <c r="AB162" s="31" t="s">
        <v>3353</v>
      </c>
    </row>
    <row r="163" spans="1:28" ht="30" x14ac:dyDescent="0.25">
      <c r="A163" s="25" t="str">
        <f>INDEX('Выгр Торг'!$A:$A,MATCH($B163,'Выгр Торг'!$B:$B,0))</f>
        <v>Оригинальная крышка багажника для ВАЗ 2115</v>
      </c>
      <c r="B163" s="24">
        <v>162479</v>
      </c>
      <c r="C163" s="24">
        <f>VLOOKUP($B163,'Выгр Торг'!$B:$Q,C$1,0)</f>
        <v>152371</v>
      </c>
      <c r="D163" s="25" t="str">
        <f>VLOOKUP($B163,'Выгр Торг'!$B:$Q,D$1,0)</f>
        <v>Оригинальная крышка багажника для ВАЗ 2115 (Без покраски)</v>
      </c>
      <c r="E163" s="24" t="str">
        <f>VLOOKUP($B163,'Выгр Торг'!$B:$Q,E$1,0)</f>
        <v>Y</v>
      </c>
      <c r="F163" s="24">
        <f>VLOOKUP($B163,'Выгр Торг'!$B:$Q,F$1,0)</f>
        <v>0</v>
      </c>
      <c r="G163" s="24" t="str">
        <f>VLOOKUP($B163,'Выгр Торг'!$B:$Q,G$1,0)</f>
        <v>21150560401070</v>
      </c>
      <c r="H163" s="24" t="str">
        <f>IF(VLOOKUP($B163,'Выгр Торг'!$B:$Q,H$1,0)=0,"",VLOOKUP($B163,'Выгр Торг'!$B:$Q,H$1,0))</f>
        <v>https://motorring.ru/product/6862-kryshka-bagaghnika-vaz-2115-cvet</v>
      </c>
      <c r="I163" s="24"/>
      <c r="J163" s="24"/>
      <c r="K163" s="35">
        <f t="shared" si="24"/>
        <v>6794</v>
      </c>
      <c r="L163" s="26">
        <f>VLOOKUP(K163,Наценка!$A$1:$B$8,2,1)</f>
        <v>1.35</v>
      </c>
      <c r="M163" s="27">
        <f t="shared" si="25"/>
        <v>9171.9000000000015</v>
      </c>
      <c r="N163" s="28">
        <f t="shared" si="26"/>
        <v>9190</v>
      </c>
      <c r="O163" s="24">
        <f>VLOOKUP($B163,'Выгр Торг'!$B:$Q,O$1,0)</f>
        <v>6794</v>
      </c>
      <c r="P163" s="24">
        <f>VLOOKUP($B163,'Выгр Торг'!$B:$Q,P$1,0)</f>
        <v>9390</v>
      </c>
      <c r="Q163" s="18">
        <f t="shared" si="27"/>
        <v>0</v>
      </c>
      <c r="R163" s="18">
        <f t="shared" si="28"/>
        <v>200</v>
      </c>
      <c r="S163" s="29">
        <f t="shared" si="29"/>
        <v>9190</v>
      </c>
      <c r="T163" s="30">
        <f t="shared" si="30"/>
        <v>0.35266411539593756</v>
      </c>
      <c r="U163" s="30" t="str">
        <f t="shared" si="31"/>
        <v/>
      </c>
      <c r="V163" s="30">
        <f t="shared" si="32"/>
        <v>-1</v>
      </c>
      <c r="W163" s="13">
        <f t="shared" si="23"/>
        <v>0</v>
      </c>
      <c r="X163" s="32">
        <f>IFERROR((VLOOKUP($B163,'Из ГУГЛа'!$B:$Z,X$1,0)+Z163)*Y163,VLOOKUP($B163,'Из ГУГЛа'!$B:$Z,X$1,0))</f>
        <v>0</v>
      </c>
      <c r="Y163" s="33">
        <v>1</v>
      </c>
      <c r="Z163" s="33"/>
      <c r="AA163" s="31"/>
      <c r="AB163" s="31" t="s">
        <v>3361</v>
      </c>
    </row>
    <row r="164" spans="1:28" ht="30" x14ac:dyDescent="0.25">
      <c r="A164" s="25" t="str">
        <f>INDEX('Выгр Торг'!$A:$A,MATCH($B164,'Выгр Торг'!$B:$B,0))</f>
        <v>Оригинальная крышка багажника для Лада Гранта (седан)</v>
      </c>
      <c r="B164" s="24">
        <v>183314</v>
      </c>
      <c r="C164" s="24">
        <f>VLOOKUP($B164,'Выгр Торг'!$B:$Q,C$1,0)</f>
        <v>153254</v>
      </c>
      <c r="D164" s="25" t="str">
        <f>VLOOKUP($B164,'Выгр Торг'!$B:$Q,D$1,0)</f>
        <v>Оригинальная крышка багажника для Лада Гранта (седан) (Без покраски)</v>
      </c>
      <c r="E164" s="24" t="str">
        <f>VLOOKUP($B164,'Выгр Торг'!$B:$Q,E$1,0)</f>
        <v>Y</v>
      </c>
      <c r="F164" s="24">
        <f>VLOOKUP($B164,'Выгр Торг'!$B:$Q,F$1,0)</f>
        <v>0</v>
      </c>
      <c r="G164" s="24" t="str">
        <f>VLOOKUP($B164,'Выгр Торг'!$B:$Q,G$1,0)</f>
        <v>21900560401070</v>
      </c>
      <c r="H164" s="24" t="str">
        <f>IF(VLOOKUP($B164,'Выгр Торг'!$B:$Q,H$1,0)=0,"",VLOOKUP($B164,'Выгр Торг'!$B:$Q,H$1,0))</f>
        <v>https://motorring.ru/product/16063-kryshka-bagaghnika-sedan-cvet-lada-granta</v>
      </c>
      <c r="I164" s="24"/>
      <c r="J164" s="24"/>
      <c r="K164" s="35">
        <f t="shared" si="24"/>
        <v>11261</v>
      </c>
      <c r="L164" s="26">
        <f>VLOOKUP(K164,Наценка!$A$1:$B$8,2,1)</f>
        <v>1.3</v>
      </c>
      <c r="M164" s="27">
        <f t="shared" si="25"/>
        <v>14639.300000000001</v>
      </c>
      <c r="N164" s="28">
        <f t="shared" si="26"/>
        <v>14690</v>
      </c>
      <c r="O164" s="24">
        <f>VLOOKUP($B164,'Выгр Торг'!$B:$Q,O$1,0)</f>
        <v>11261</v>
      </c>
      <c r="P164" s="24">
        <f>VLOOKUP($B164,'Выгр Торг'!$B:$Q,P$1,0)</f>
        <v>14090</v>
      </c>
      <c r="Q164" s="18">
        <f t="shared" si="27"/>
        <v>0</v>
      </c>
      <c r="R164" s="18">
        <f t="shared" si="28"/>
        <v>-600</v>
      </c>
      <c r="S164" s="29">
        <f t="shared" si="29"/>
        <v>14690</v>
      </c>
      <c r="T164" s="30">
        <f t="shared" si="30"/>
        <v>0.30450226445253525</v>
      </c>
      <c r="U164" s="30" t="str">
        <f t="shared" si="31"/>
        <v/>
      </c>
      <c r="V164" s="30">
        <f t="shared" si="32"/>
        <v>-1</v>
      </c>
      <c r="W164" s="13">
        <f t="shared" si="23"/>
        <v>0</v>
      </c>
      <c r="X164" s="32">
        <f>IFERROR((VLOOKUP($B164,'Из ГУГЛа'!$B:$Z,X$1,0)+Z164)*Y164,VLOOKUP($B164,'Из ГУГЛа'!$B:$Z,X$1,0))</f>
        <v>0</v>
      </c>
      <c r="Y164" s="33">
        <v>1</v>
      </c>
      <c r="Z164" s="33"/>
      <c r="AA164" s="31"/>
      <c r="AB164" s="31" t="s">
        <v>3369</v>
      </c>
    </row>
    <row r="165" spans="1:28" ht="30" x14ac:dyDescent="0.25">
      <c r="A165" s="25" t="str">
        <f>INDEX('Выгр Торг'!$A:$A,MATCH($B165,'Выгр Торг'!$B:$B,0))</f>
        <v>Оригинальная передняя левая дверь для ВАЗ 2109, 21099</v>
      </c>
      <c r="B165" s="24">
        <v>183341</v>
      </c>
      <c r="C165" s="24">
        <f>VLOOKUP($B165,'Выгр Торг'!$B:$Q,C$1,0)</f>
        <v>152538</v>
      </c>
      <c r="D165" s="25" t="str">
        <f>VLOOKUP($B165,'Выгр Торг'!$B:$Q,D$1,0)</f>
        <v>Оригинальная передняя левая дверь для ВАЗ 2109, 21099 (Без покраски)</v>
      </c>
      <c r="E165" s="24" t="str">
        <f>VLOOKUP($B165,'Выгр Торг'!$B:$Q,E$1,0)</f>
        <v>Y</v>
      </c>
      <c r="F165" s="24">
        <f>VLOOKUP($B165,'Выгр Торг'!$B:$Q,F$1,0)</f>
        <v>0</v>
      </c>
      <c r="G165" s="24" t="str">
        <f>VLOOKUP($B165,'Выгр Торг'!$B:$Q,G$1,0)</f>
        <v>21090610001570</v>
      </c>
      <c r="H165" s="24" t="str">
        <f>IF(VLOOKUP($B165,'Выгр Торг'!$B:$Q,H$1,0)=0,"",VLOOKUP($B165,'Выгр Торг'!$B:$Q,H$1,0))</f>
        <v>https://motorring.ru/product/16041-dvery-perednyaya-levaya-cvet-vaz-2109-21099</v>
      </c>
      <c r="I165" s="24"/>
      <c r="J165" s="24"/>
      <c r="K165" s="35">
        <f t="shared" si="24"/>
        <v>9000</v>
      </c>
      <c r="L165" s="26">
        <f>VLOOKUP(K165,Наценка!$A$1:$B$8,2,1)</f>
        <v>1.35</v>
      </c>
      <c r="M165" s="27">
        <f t="shared" si="25"/>
        <v>12150</v>
      </c>
      <c r="N165" s="28">
        <f t="shared" si="26"/>
        <v>12190</v>
      </c>
      <c r="O165" s="24">
        <f>VLOOKUP($B165,'Выгр Торг'!$B:$Q,O$1,0)</f>
        <v>9000</v>
      </c>
      <c r="P165" s="24">
        <f>VLOOKUP($B165,'Выгр Торг'!$B:$Q,P$1,0)</f>
        <v>12390</v>
      </c>
      <c r="Q165" s="18">
        <f t="shared" si="27"/>
        <v>0</v>
      </c>
      <c r="R165" s="18">
        <f t="shared" si="28"/>
        <v>200</v>
      </c>
      <c r="S165" s="29">
        <f t="shared" si="29"/>
        <v>12190</v>
      </c>
      <c r="T165" s="30">
        <f t="shared" si="30"/>
        <v>0.35444444444444434</v>
      </c>
      <c r="U165" s="30" t="str">
        <f t="shared" si="31"/>
        <v/>
      </c>
      <c r="V165" s="30">
        <f t="shared" si="32"/>
        <v>-1</v>
      </c>
      <c r="W165" s="13">
        <f t="shared" si="23"/>
        <v>0</v>
      </c>
      <c r="X165" s="32">
        <f>IFERROR((VLOOKUP($B165,'Из ГУГЛа'!$B:$Z,X$1,0)+Z165)*Y165,VLOOKUP($B165,'Из ГУГЛа'!$B:$Z,X$1,0))</f>
        <v>0</v>
      </c>
      <c r="Y165" s="33">
        <v>1</v>
      </c>
      <c r="Z165" s="33"/>
      <c r="AA165" s="31"/>
      <c r="AB165" s="31" t="s">
        <v>3377</v>
      </c>
    </row>
    <row r="166" spans="1:28" ht="30" x14ac:dyDescent="0.25">
      <c r="A166" s="25" t="str">
        <f>INDEX('Выгр Торг'!$A:$A,MATCH($B166,'Выгр Торг'!$B:$B,0))</f>
        <v>Оригинальная передняя левая дверь для ВАЗ 2114, 2115</v>
      </c>
      <c r="B166" s="24">
        <v>183368</v>
      </c>
      <c r="C166" s="24">
        <f>VLOOKUP($B166,'Выгр Торг'!$B:$Q,C$1,0)</f>
        <v>152503</v>
      </c>
      <c r="D166" s="25" t="str">
        <f>VLOOKUP($B166,'Выгр Торг'!$B:$Q,D$1,0)</f>
        <v>Оригинальная передняя левая дверь для ВАЗ 2114-2115 (Без покраски)</v>
      </c>
      <c r="E166" s="24" t="str">
        <f>VLOOKUP($B166,'Выгр Торг'!$B:$Q,E$1,0)</f>
        <v>Y</v>
      </c>
      <c r="F166" s="24">
        <f>VLOOKUP($B166,'Выгр Торг'!$B:$Q,F$1,0)</f>
        <v>0</v>
      </c>
      <c r="G166" s="24" t="str">
        <f>VLOOKUP($B166,'Выгр Торг'!$B:$Q,G$1,0)</f>
        <v>21140610001570</v>
      </c>
      <c r="H166" s="24" t="str">
        <f>IF(VLOOKUP($B166,'Выгр Торг'!$B:$Q,H$1,0)=0,"",VLOOKUP($B166,'Выгр Торг'!$B:$Q,H$1,0))</f>
        <v>https://motorring.ru/product/9704-dvery-perednyaya-levaya-cvet-dlya-vaz-2114-2115</v>
      </c>
      <c r="I166" s="24"/>
      <c r="J166" s="24"/>
      <c r="K166" s="35">
        <f t="shared" si="24"/>
        <v>9100</v>
      </c>
      <c r="L166" s="26">
        <f>VLOOKUP(K166,Наценка!$A$1:$B$8,2,1)</f>
        <v>1.35</v>
      </c>
      <c r="M166" s="27">
        <f t="shared" si="25"/>
        <v>12285</v>
      </c>
      <c r="N166" s="28">
        <f t="shared" si="26"/>
        <v>12290</v>
      </c>
      <c r="O166" s="24">
        <f>VLOOKUP($B166,'Выгр Торг'!$B:$Q,O$1,0)</f>
        <v>9100</v>
      </c>
      <c r="P166" s="24">
        <f>VLOOKUP($B166,'Выгр Торг'!$B:$Q,P$1,0)</f>
        <v>12590</v>
      </c>
      <c r="Q166" s="18">
        <f t="shared" si="27"/>
        <v>0</v>
      </c>
      <c r="R166" s="18">
        <f t="shared" si="28"/>
        <v>300</v>
      </c>
      <c r="S166" s="29">
        <f t="shared" si="29"/>
        <v>12290</v>
      </c>
      <c r="T166" s="30">
        <f t="shared" si="30"/>
        <v>0.35054945054945064</v>
      </c>
      <c r="U166" s="30" t="str">
        <f t="shared" si="31"/>
        <v/>
      </c>
      <c r="V166" s="30">
        <f t="shared" si="32"/>
        <v>-1</v>
      </c>
      <c r="W166" s="13">
        <f t="shared" si="23"/>
        <v>0</v>
      </c>
      <c r="X166" s="32">
        <f>IFERROR((VLOOKUP($B166,'Из ГУГЛа'!$B:$Z,X$1,0)+Z166)*Y166,VLOOKUP($B166,'Из ГУГЛа'!$B:$Z,X$1,0))</f>
        <v>0</v>
      </c>
      <c r="Y166" s="33">
        <v>1</v>
      </c>
      <c r="Z166" s="33"/>
      <c r="AA166" s="31"/>
      <c r="AB166" s="31" t="s">
        <v>3385</v>
      </c>
    </row>
    <row r="167" spans="1:28" ht="45" x14ac:dyDescent="0.25">
      <c r="A167" s="25" t="str">
        <f>INDEX('Выгр Торг'!$A:$A,MATCH($B167,'Выгр Торг'!$B:$B,0))</f>
        <v>Оригинальная передняя левая дверь для Лада XRAY</v>
      </c>
      <c r="B167" s="24">
        <v>249500</v>
      </c>
      <c r="C167" s="24">
        <f>VLOOKUP($B167,'Выгр Торг'!$B:$Q,C$1,0)</f>
        <v>155436</v>
      </c>
      <c r="D167" s="25" t="str">
        <f>VLOOKUP($B167,'Выгр Торг'!$B:$Q,D$1,0)</f>
        <v>Оригинальная передняя левая дверь для Лада XRAY (Без отверстий под молдинг, Без покраски)</v>
      </c>
      <c r="E167" s="24" t="str">
        <f>VLOOKUP($B167,'Выгр Торг'!$B:$Q,E$1,0)</f>
        <v>Y</v>
      </c>
      <c r="F167" s="24">
        <f>VLOOKUP($B167,'Выгр Торг'!$B:$Q,F$1,0)</f>
        <v>0</v>
      </c>
      <c r="G167" s="24" t="str">
        <f>VLOOKUP($B167,'Выгр Торг'!$B:$Q,G$1,0)</f>
        <v>801015140R</v>
      </c>
      <c r="H167" s="24" t="str">
        <f>IF(VLOOKUP($B167,'Выгр Торг'!$B:$Q,H$1,0)=0,"",VLOOKUP($B167,'Выгр Торг'!$B:$Q,H$1,0))</f>
        <v>https://motorring.ru/product/10522-dvery-perednyaya-levaya-cvet-lada-iks-rey</v>
      </c>
      <c r="I167" s="24"/>
      <c r="J167" s="24"/>
      <c r="K167" s="35">
        <f t="shared" si="24"/>
        <v>27300</v>
      </c>
      <c r="L167" s="26">
        <f>VLOOKUP(K167,Наценка!$A$1:$B$8,2,1)</f>
        <v>1.3</v>
      </c>
      <c r="M167" s="27">
        <f t="shared" si="25"/>
        <v>35490</v>
      </c>
      <c r="N167" s="28">
        <f t="shared" si="26"/>
        <v>35490</v>
      </c>
      <c r="O167" s="24">
        <f>VLOOKUP($B167,'Выгр Торг'!$B:$Q,O$1,0)</f>
        <v>27300</v>
      </c>
      <c r="P167" s="24">
        <f>VLOOKUP($B167,'Выгр Торг'!$B:$Q,P$1,0)</f>
        <v>36190</v>
      </c>
      <c r="Q167" s="18">
        <f t="shared" si="27"/>
        <v>0</v>
      </c>
      <c r="R167" s="18">
        <f t="shared" si="28"/>
        <v>700</v>
      </c>
      <c r="S167" s="29">
        <f t="shared" si="29"/>
        <v>35490</v>
      </c>
      <c r="T167" s="30">
        <f t="shared" si="30"/>
        <v>0.30000000000000004</v>
      </c>
      <c r="U167" s="30" t="str">
        <f t="shared" si="31"/>
        <v/>
      </c>
      <c r="V167" s="30">
        <f t="shared" si="32"/>
        <v>-1</v>
      </c>
      <c r="W167" s="13">
        <f t="shared" si="23"/>
        <v>0</v>
      </c>
      <c r="X167" s="32">
        <f>IFERROR((VLOOKUP($B167,'Из ГУГЛа'!$B:$Z,X$1,0)+Z167)*Y167,VLOOKUP($B167,'Из ГУГЛа'!$B:$Z,X$1,0))</f>
        <v>0</v>
      </c>
      <c r="Y167" s="33">
        <v>1</v>
      </c>
      <c r="Z167" s="33"/>
      <c r="AA167" s="31"/>
      <c r="AB167" s="31" t="s">
        <v>3392</v>
      </c>
    </row>
    <row r="168" spans="1:28" ht="45" x14ac:dyDescent="0.25">
      <c r="A168" s="25" t="str">
        <f>INDEX('Выгр Торг'!$A:$A,MATCH($B168,'Выгр Торг'!$B:$B,0))</f>
        <v>Оригинальная передняя левая дверь для Лада XRAY</v>
      </c>
      <c r="B168" s="24">
        <v>249513</v>
      </c>
      <c r="C168" s="24">
        <f>VLOOKUP($B168,'Выгр Торг'!$B:$Q,C$1,0)</f>
        <v>194780</v>
      </c>
      <c r="D168" s="25" t="str">
        <f>VLOOKUP($B168,'Выгр Торг'!$B:$Q,D$1,0)</f>
        <v>Оригинальная передняя левая дверь для Лада XRAY (С отверстиями под молдинг, Без покраски)</v>
      </c>
      <c r="E168" s="24" t="str">
        <f>VLOOKUP($B168,'Выгр Торг'!$B:$Q,E$1,0)</f>
        <v>Y</v>
      </c>
      <c r="F168" s="24">
        <f>VLOOKUP($B168,'Выгр Торг'!$B:$Q,F$1,0)</f>
        <v>0</v>
      </c>
      <c r="G168" s="24" t="str">
        <f>VLOOKUP($B168,'Выгр Торг'!$B:$Q,G$1,0)</f>
        <v>8450105005</v>
      </c>
      <c r="H168" s="24" t="str">
        <f>IF(VLOOKUP($B168,'Выгр Торг'!$B:$Q,H$1,0)=0,"",VLOOKUP($B168,'Выгр Торг'!$B:$Q,H$1,0))</f>
        <v>https://motorring.ru/product/27669-dvery-perednyaya-levaya-cvet-lada-iks-rey-cross</v>
      </c>
      <c r="I168" s="24"/>
      <c r="J168" s="24"/>
      <c r="K168" s="35">
        <f t="shared" si="24"/>
        <v>28377</v>
      </c>
      <c r="L168" s="26">
        <f>VLOOKUP(K168,Наценка!$A$1:$B$8,2,1)</f>
        <v>1.3</v>
      </c>
      <c r="M168" s="27">
        <f t="shared" si="25"/>
        <v>36890.1</v>
      </c>
      <c r="N168" s="28">
        <f t="shared" si="26"/>
        <v>36890</v>
      </c>
      <c r="O168" s="24">
        <f>VLOOKUP($B168,'Выгр Торг'!$B:$Q,O$1,0)</f>
        <v>28377</v>
      </c>
      <c r="P168" s="24">
        <f>VLOOKUP($B168,'Выгр Торг'!$B:$Q,P$1,0)</f>
        <v>37690</v>
      </c>
      <c r="Q168" s="18">
        <f t="shared" si="27"/>
        <v>0</v>
      </c>
      <c r="R168" s="18">
        <f t="shared" si="28"/>
        <v>800</v>
      </c>
      <c r="S168" s="29">
        <f t="shared" si="29"/>
        <v>36890</v>
      </c>
      <c r="T168" s="30">
        <f t="shared" si="30"/>
        <v>0.29999647601931145</v>
      </c>
      <c r="U168" s="30" t="str">
        <f t="shared" si="31"/>
        <v/>
      </c>
      <c r="V168" s="30">
        <f t="shared" si="32"/>
        <v>-1</v>
      </c>
      <c r="W168" s="13">
        <f t="shared" ref="W168:W231" si="33">AA168</f>
        <v>0</v>
      </c>
      <c r="X168" s="32">
        <f>IFERROR((VLOOKUP($B168,'Из ГУГЛа'!$B:$Z,X$1,0)+Z168)*Y168,VLOOKUP($B168,'Из ГУГЛа'!$B:$Z,X$1,0))</f>
        <v>0</v>
      </c>
      <c r="Y168" s="33">
        <v>1</v>
      </c>
      <c r="Z168" s="33"/>
      <c r="AA168" s="31"/>
      <c r="AB168" s="31" t="s">
        <v>3400</v>
      </c>
    </row>
    <row r="169" spans="1:28" ht="45" x14ac:dyDescent="0.25">
      <c r="A169" s="25" t="str">
        <f>INDEX('Выгр Торг'!$A:$A,MATCH($B169,'Выгр Торг'!$B:$B,0))</f>
        <v>Оригинальная передняя левая дверь для Лада Веста, Веста NG</v>
      </c>
      <c r="B169" s="24">
        <v>249526</v>
      </c>
      <c r="C169" s="24">
        <f>VLOOKUP($B169,'Выгр Торг'!$B:$Q,C$1,0)</f>
        <v>155320</v>
      </c>
      <c r="D169" s="25" t="str">
        <f>VLOOKUP($B169,'Выгр Торг'!$B:$Q,D$1,0)</f>
        <v>Оригинальная передняя левая дверь для Лада Веста, Веста NG (Без покраски)</v>
      </c>
      <c r="E169" s="24" t="str">
        <f>VLOOKUP($B169,'Выгр Торг'!$B:$Q,E$1,0)</f>
        <v>Y</v>
      </c>
      <c r="F169" s="24">
        <f>VLOOKUP($B169,'Выгр Торг'!$B:$Q,F$1,0)</f>
        <v>0</v>
      </c>
      <c r="G169" s="24" t="str">
        <f>VLOOKUP($B169,'Выгр Торг'!$B:$Q,G$1,0)</f>
        <v>8460013093</v>
      </c>
      <c r="H169" s="24" t="str">
        <f>IF(VLOOKUP($B169,'Выгр Торг'!$B:$Q,H$1,0)=0,"",VLOOKUP($B169,'Выгр Торг'!$B:$Q,H$1,0))</f>
        <v>https://motorring.ru/product/10515-dvery-perednyaya-levaya-cvet-lada-vesta</v>
      </c>
      <c r="I169" s="24"/>
      <c r="J169" s="24"/>
      <c r="K169" s="35">
        <f t="shared" si="24"/>
        <v>24654</v>
      </c>
      <c r="L169" s="26">
        <f>VLOOKUP(K169,Наценка!$A$1:$B$8,2,1)</f>
        <v>1.3</v>
      </c>
      <c r="M169" s="27">
        <f t="shared" si="25"/>
        <v>32050.2</v>
      </c>
      <c r="N169" s="28">
        <f t="shared" si="26"/>
        <v>32090</v>
      </c>
      <c r="O169" s="24">
        <f>VLOOKUP($B169,'Выгр Торг'!$B:$Q,O$1,0)</f>
        <v>24654</v>
      </c>
      <c r="P169" s="24">
        <f>VLOOKUP($B169,'Выгр Торг'!$B:$Q,P$1,0)</f>
        <v>33690</v>
      </c>
      <c r="Q169" s="18">
        <f t="shared" si="27"/>
        <v>0</v>
      </c>
      <c r="R169" s="18">
        <f t="shared" si="28"/>
        <v>1600</v>
      </c>
      <c r="S169" s="29">
        <f t="shared" si="29"/>
        <v>32090</v>
      </c>
      <c r="T169" s="30">
        <f t="shared" si="30"/>
        <v>0.30161434250020291</v>
      </c>
      <c r="U169" s="30" t="str">
        <f t="shared" si="31"/>
        <v/>
      </c>
      <c r="V169" s="30">
        <f t="shared" si="32"/>
        <v>-1</v>
      </c>
      <c r="W169" s="13">
        <f t="shared" si="33"/>
        <v>0</v>
      </c>
      <c r="X169" s="32">
        <f>IFERROR((VLOOKUP($B169,'Из ГУГЛа'!$B:$Z,X$1,0)+Z169)*Y169,VLOOKUP($B169,'Из ГУГЛа'!$B:$Z,X$1,0))</f>
        <v>0</v>
      </c>
      <c r="Y169" s="33">
        <v>1</v>
      </c>
      <c r="Z169" s="33"/>
      <c r="AA169" s="31"/>
      <c r="AB169" s="31" t="s">
        <v>3408</v>
      </c>
    </row>
    <row r="170" spans="1:28" ht="45" x14ac:dyDescent="0.25">
      <c r="A170" s="25" t="str">
        <f>INDEX('Выгр Торг'!$A:$A,MATCH($B170,'Выгр Торг'!$B:$B,0))</f>
        <v>Оригинальная передняя левая дверь для Лада Калина, Калина 2, Гранта, Гранта FL</v>
      </c>
      <c r="B170" s="24">
        <v>183435</v>
      </c>
      <c r="C170" s="24">
        <f>VLOOKUP($B170,'Выгр Торг'!$B:$Q,C$1,0)</f>
        <v>154668</v>
      </c>
      <c r="D170" s="25" t="str">
        <f>VLOOKUP($B170,'Выгр Торг'!$B:$Q,D$1,0)</f>
        <v>Оригинальная передняя левая дверь для Лада Калина, Калина 2, Гранта (Без покраски, Без отверстий под молдинг)</v>
      </c>
      <c r="E170" s="24" t="str">
        <f>VLOOKUP($B170,'Выгр Торг'!$B:$Q,E$1,0)</f>
        <v>Y</v>
      </c>
      <c r="F170" s="24">
        <f>VLOOKUP($B170,'Выгр Торг'!$B:$Q,F$1,0)</f>
        <v>0</v>
      </c>
      <c r="G170" s="24" t="str">
        <f>VLOOKUP($B170,'Выгр Торг'!$B:$Q,G$1,0)</f>
        <v>11180610001580</v>
      </c>
      <c r="H170" s="24" t="str">
        <f>IF(VLOOKUP($B170,'Выгр Торг'!$B:$Q,H$1,0)=0,"",VLOOKUP($B170,'Выгр Торг'!$B:$Q,H$1,0))</f>
        <v>https://motorring.ru/product/16059-dvery-perednyaya-levaya-cvet-lada-kalina-kalina-granta</v>
      </c>
      <c r="I170" s="24"/>
      <c r="J170" s="24"/>
      <c r="K170" s="35">
        <f t="shared" si="24"/>
        <v>13100</v>
      </c>
      <c r="L170" s="26">
        <f>VLOOKUP(K170,Наценка!$A$1:$B$8,2,1)</f>
        <v>1.3</v>
      </c>
      <c r="M170" s="27">
        <f t="shared" si="25"/>
        <v>17030</v>
      </c>
      <c r="N170" s="28">
        <f t="shared" si="26"/>
        <v>17090</v>
      </c>
      <c r="O170" s="24">
        <f>VLOOKUP($B170,'Выгр Торг'!$B:$Q,O$1,0)</f>
        <v>13100</v>
      </c>
      <c r="P170" s="24">
        <f>VLOOKUP($B170,'Выгр Торг'!$B:$Q,P$1,0)</f>
        <v>16190</v>
      </c>
      <c r="Q170" s="18">
        <f t="shared" si="27"/>
        <v>0</v>
      </c>
      <c r="R170" s="18">
        <f t="shared" si="28"/>
        <v>-900</v>
      </c>
      <c r="S170" s="29">
        <f t="shared" si="29"/>
        <v>17090</v>
      </c>
      <c r="T170" s="30">
        <f t="shared" si="30"/>
        <v>0.30458015267175576</v>
      </c>
      <c r="U170" s="30" t="str">
        <f t="shared" si="31"/>
        <v/>
      </c>
      <c r="V170" s="30">
        <f t="shared" si="32"/>
        <v>-1</v>
      </c>
      <c r="W170" s="13">
        <f t="shared" si="33"/>
        <v>0</v>
      </c>
      <c r="X170" s="32">
        <f>IFERROR((VLOOKUP($B170,'Из ГУГЛа'!$B:$Z,X$1,0)+Z170)*Y170,VLOOKUP($B170,'Из ГУГЛа'!$B:$Z,X$1,0))</f>
        <v>0</v>
      </c>
      <c r="Y170" s="33">
        <v>1</v>
      </c>
      <c r="Z170" s="33"/>
      <c r="AA170" s="31"/>
      <c r="AB170" s="31" t="s">
        <v>3416</v>
      </c>
    </row>
    <row r="171" spans="1:28" ht="45" x14ac:dyDescent="0.25">
      <c r="A171" s="25" t="str">
        <f>INDEX('Выгр Торг'!$A:$A,MATCH($B171,'Выгр Торг'!$B:$B,0))</f>
        <v>Оригинальная передняя левая дверь для Лада Калина, Калина 2, Гранта, Гранта FL</v>
      </c>
      <c r="B171" s="24">
        <v>183436</v>
      </c>
      <c r="C171" s="24">
        <f>VLOOKUP($B171,'Выгр Торг'!$B:$Q,C$1,0)</f>
        <v>154669</v>
      </c>
      <c r="D171" s="25" t="str">
        <f>VLOOKUP($B171,'Выгр Торг'!$B:$Q,D$1,0)</f>
        <v>Оригинальная передняя левая дверь для Лада Калина, Калина 2, Гранта (Без покраски, С отверстиями под молдинг)</v>
      </c>
      <c r="E171" s="24" t="str">
        <f>VLOOKUP($B171,'Выгр Торг'!$B:$Q,E$1,0)</f>
        <v>Y</v>
      </c>
      <c r="F171" s="24">
        <f>VLOOKUP($B171,'Выгр Торг'!$B:$Q,F$1,0)</f>
        <v>0</v>
      </c>
      <c r="G171" s="24" t="str">
        <f>VLOOKUP($B171,'Выгр Торг'!$B:$Q,G$1,0)</f>
        <v>8460013509</v>
      </c>
      <c r="H171" s="24" t="str">
        <f>IF(VLOOKUP($B171,'Выгр Торг'!$B:$Q,H$1,0)=0,"",VLOOKUP($B171,'Выгр Торг'!$B:$Q,H$1,0))</f>
        <v>https://motorring.ru/product/33108-dvery-perednyaya-levaya-dlya-lada-kalina-kross-granta</v>
      </c>
      <c r="I171" s="24"/>
      <c r="J171" s="24"/>
      <c r="K171" s="35">
        <f t="shared" si="24"/>
        <v>11749</v>
      </c>
      <c r="L171" s="26">
        <f>VLOOKUP(K171,Наценка!$A$1:$B$8,2,1)</f>
        <v>1.3</v>
      </c>
      <c r="M171" s="27">
        <f t="shared" si="25"/>
        <v>15273.7</v>
      </c>
      <c r="N171" s="28">
        <f t="shared" si="26"/>
        <v>15290</v>
      </c>
      <c r="O171" s="24">
        <f>VLOOKUP($B171,'Выгр Торг'!$B:$Q,O$1,0)</f>
        <v>11749</v>
      </c>
      <c r="P171" s="24">
        <f>VLOOKUP($B171,'Выгр Торг'!$B:$Q,P$1,0)</f>
        <v>14690</v>
      </c>
      <c r="Q171" s="18">
        <f t="shared" si="27"/>
        <v>0</v>
      </c>
      <c r="R171" s="18">
        <f t="shared" si="28"/>
        <v>-600</v>
      </c>
      <c r="S171" s="29">
        <f t="shared" si="29"/>
        <v>15290</v>
      </c>
      <c r="T171" s="30">
        <f t="shared" si="30"/>
        <v>0.30138735211507361</v>
      </c>
      <c r="U171" s="30" t="str">
        <f t="shared" si="31"/>
        <v/>
      </c>
      <c r="V171" s="30">
        <f t="shared" si="32"/>
        <v>-1</v>
      </c>
      <c r="W171" s="13">
        <f t="shared" si="33"/>
        <v>0</v>
      </c>
      <c r="X171" s="32">
        <f>IFERROR((VLOOKUP($B171,'Из ГУГЛа'!$B:$Z,X$1,0)+Z171)*Y171,VLOOKUP($B171,'Из ГУГЛа'!$B:$Z,X$1,0))</f>
        <v>0</v>
      </c>
      <c r="Y171" s="33">
        <v>1</v>
      </c>
      <c r="Z171" s="33"/>
      <c r="AA171" s="31"/>
      <c r="AB171" s="31" t="s">
        <v>3424</v>
      </c>
    </row>
    <row r="172" spans="1:28" ht="45" x14ac:dyDescent="0.25">
      <c r="A172" s="25" t="str">
        <f>INDEX('Выгр Торг'!$A:$A,MATCH($B172,'Выгр Торг'!$B:$B,0))</f>
        <v>Оригинальная передняя левая дверь для Лада Ларгус</v>
      </c>
      <c r="B172" s="24">
        <v>183514</v>
      </c>
      <c r="C172" s="24">
        <f>VLOOKUP($B172,'Выгр Торг'!$B:$Q,C$1,0)</f>
        <v>157029</v>
      </c>
      <c r="D172" s="25" t="str">
        <f>VLOOKUP($B172,'Выгр Торг'!$B:$Q,D$1,0)</f>
        <v>Оригинальная передняя левая дверь для Лада Ларгус (Без покраски, Без отверстий под молдинг)</v>
      </c>
      <c r="E172" s="24" t="str">
        <f>VLOOKUP($B172,'Выгр Торг'!$B:$Q,E$1,0)</f>
        <v>Y</v>
      </c>
      <c r="F172" s="24">
        <f>VLOOKUP($B172,'Выгр Торг'!$B:$Q,F$1,0)</f>
        <v>0</v>
      </c>
      <c r="G172" s="24" t="str">
        <f>VLOOKUP($B172,'Выгр Торг'!$B:$Q,G$1,0)</f>
        <v>801014373R</v>
      </c>
      <c r="H172" s="24" t="str">
        <f>IF(VLOOKUP($B172,'Выгр Торг'!$B:$Q,H$1,0)=0,"",VLOOKUP($B172,'Выгр Торг'!$B:$Q,H$1,0))</f>
        <v>https://motorring.ru/product/10500-dvery-perednyaya-levaya-cvet-lada-largus</v>
      </c>
      <c r="I172" s="24"/>
      <c r="J172" s="24"/>
      <c r="K172" s="35">
        <f t="shared" si="24"/>
        <v>22500</v>
      </c>
      <c r="L172" s="26">
        <f>VLOOKUP(K172,Наценка!$A$1:$B$8,2,1)</f>
        <v>1.3</v>
      </c>
      <c r="M172" s="27">
        <f t="shared" si="25"/>
        <v>29250</v>
      </c>
      <c r="N172" s="28">
        <f t="shared" si="26"/>
        <v>29290</v>
      </c>
      <c r="O172" s="24">
        <f>VLOOKUP($B172,'Выгр Торг'!$B:$Q,O$1,0)</f>
        <v>22500</v>
      </c>
      <c r="P172" s="24">
        <f>VLOOKUP($B172,'Выгр Торг'!$B:$Q,P$1,0)</f>
        <v>29890</v>
      </c>
      <c r="Q172" s="18">
        <f t="shared" si="27"/>
        <v>0</v>
      </c>
      <c r="R172" s="18">
        <f t="shared" si="28"/>
        <v>600</v>
      </c>
      <c r="S172" s="29">
        <f t="shared" si="29"/>
        <v>29290</v>
      </c>
      <c r="T172" s="30">
        <f t="shared" si="30"/>
        <v>0.3017777777777777</v>
      </c>
      <c r="U172" s="30" t="str">
        <f t="shared" si="31"/>
        <v/>
      </c>
      <c r="V172" s="30">
        <f t="shared" si="32"/>
        <v>-1</v>
      </c>
      <c r="W172" s="13">
        <f t="shared" si="33"/>
        <v>0</v>
      </c>
      <c r="X172" s="32">
        <f>IFERROR((VLOOKUP($B172,'Из ГУГЛа'!$B:$Z,X$1,0)+Z172)*Y172,VLOOKUP($B172,'Из ГУГЛа'!$B:$Z,X$1,0))</f>
        <v>0</v>
      </c>
      <c r="Y172" s="33">
        <v>1</v>
      </c>
      <c r="Z172" s="33"/>
      <c r="AA172" s="31"/>
      <c r="AB172" s="31" t="s">
        <v>3432</v>
      </c>
    </row>
    <row r="173" spans="1:28" ht="45" x14ac:dyDescent="0.25">
      <c r="A173" s="25" t="str">
        <f>INDEX('Выгр Торг'!$A:$A,MATCH($B173,'Выгр Торг'!$B:$B,0))</f>
        <v>Оригинальная передняя левая дверь для Лада Ларгус</v>
      </c>
      <c r="B173" s="24">
        <v>183515</v>
      </c>
      <c r="C173" s="24">
        <f>VLOOKUP($B173,'Выгр Торг'!$B:$Q,C$1,0)</f>
        <v>157030</v>
      </c>
      <c r="D173" s="25" t="str">
        <f>VLOOKUP($B173,'Выгр Торг'!$B:$Q,D$1,0)</f>
        <v>Оригинальная передняя левая дверь для Лада Ларгус (Без покраски, С отверстиями под молдинг)</v>
      </c>
      <c r="E173" s="24" t="str">
        <f>VLOOKUP($B173,'Выгр Торг'!$B:$Q,E$1,0)</f>
        <v>Y</v>
      </c>
      <c r="F173" s="24">
        <f>VLOOKUP($B173,'Выгр Торг'!$B:$Q,F$1,0)</f>
        <v>0</v>
      </c>
      <c r="G173" s="24" t="str">
        <f>VLOOKUP($B173,'Выгр Торг'!$B:$Q,G$1,0)</f>
        <v>801013696R</v>
      </c>
      <c r="H173" s="24" t="str">
        <f>IF(VLOOKUP($B173,'Выгр Торг'!$B:$Q,H$1,0)=0,"",VLOOKUP($B173,'Выгр Торг'!$B:$Q,H$1,0))</f>
        <v>https://motorring.ru/product/27679-dvery-perednyaya-levaya-pod-molding-cvet-lada-largus</v>
      </c>
      <c r="I173" s="24"/>
      <c r="J173" s="24"/>
      <c r="K173" s="35">
        <f t="shared" si="24"/>
        <v>13500</v>
      </c>
      <c r="L173" s="26">
        <f>VLOOKUP(K173,Наценка!$A$1:$B$8,2,1)</f>
        <v>1.3</v>
      </c>
      <c r="M173" s="27">
        <f t="shared" si="25"/>
        <v>17550</v>
      </c>
      <c r="N173" s="28">
        <f t="shared" si="26"/>
        <v>17590</v>
      </c>
      <c r="O173" s="24">
        <f>VLOOKUP($B173,'Выгр Торг'!$B:$Q,O$1,0)</f>
        <v>13500</v>
      </c>
      <c r="P173" s="24">
        <f>VLOOKUP($B173,'Выгр Торг'!$B:$Q,P$1,0)</f>
        <v>17190</v>
      </c>
      <c r="Q173" s="18">
        <f t="shared" si="27"/>
        <v>0</v>
      </c>
      <c r="R173" s="18">
        <f t="shared" si="28"/>
        <v>-400</v>
      </c>
      <c r="S173" s="29">
        <f t="shared" si="29"/>
        <v>17590</v>
      </c>
      <c r="T173" s="30">
        <f t="shared" si="30"/>
        <v>0.30296296296296288</v>
      </c>
      <c r="U173" s="30" t="str">
        <f t="shared" si="31"/>
        <v/>
      </c>
      <c r="V173" s="30">
        <f t="shared" si="32"/>
        <v>-1</v>
      </c>
      <c r="W173" s="13">
        <f t="shared" si="33"/>
        <v>0</v>
      </c>
      <c r="X173" s="32">
        <f>IFERROR((VLOOKUP($B173,'Из ГУГЛа'!$B:$Z,X$1,0)+Z173)*Y173,VLOOKUP($B173,'Из ГУГЛа'!$B:$Z,X$1,0))</f>
        <v>0</v>
      </c>
      <c r="Y173" s="33">
        <v>1</v>
      </c>
      <c r="Z173" s="33"/>
      <c r="AA173" s="31"/>
      <c r="AB173" s="31" t="s">
        <v>3440</v>
      </c>
    </row>
    <row r="174" spans="1:28" ht="45" x14ac:dyDescent="0.25">
      <c r="A174" s="25" t="str">
        <f>INDEX('Выгр Торг'!$A:$A,MATCH($B174,'Выгр Торг'!$B:$B,0))</f>
        <v>Оригинальная передняя левая дверь для Лада Нива 4х4, Нива 4х4 Урбан (3-х дверная)</v>
      </c>
      <c r="B174" s="24">
        <v>183547</v>
      </c>
      <c r="C174" s="24">
        <f>VLOOKUP($B174,'Выгр Торг'!$B:$Q,C$1,0)</f>
        <v>156142</v>
      </c>
      <c r="D174" s="25" t="str">
        <f>VLOOKUP($B174,'Выгр Торг'!$B:$Q,D$1,0)</f>
        <v>Оригинальная передняя левая дверь для Лада Нива 4х4, Нива 4х4 Урбан (3-х дверная) (Без покраски)</v>
      </c>
      <c r="E174" s="24" t="str">
        <f>VLOOKUP($B174,'Выгр Торг'!$B:$Q,E$1,0)</f>
        <v>Y</v>
      </c>
      <c r="F174" s="24">
        <f>VLOOKUP($B174,'Выгр Торг'!$B:$Q,F$1,0)</f>
        <v>0</v>
      </c>
      <c r="G174" s="24" t="str">
        <f>VLOOKUP($B174,'Выгр Торг'!$B:$Q,G$1,0)</f>
        <v>8450108925</v>
      </c>
      <c r="H174" s="24" t="str">
        <f>IF(VLOOKUP($B174,'Выгр Торг'!$B:$Q,H$1,0)=0,"",VLOOKUP($B174,'Выгр Торг'!$B:$Q,H$1,0))</f>
        <v>https://motorring.ru/product/13856-dvery-perednyaya-levaya-cvet-lada-niva-4h4</v>
      </c>
      <c r="I174" s="24"/>
      <c r="J174" s="24"/>
      <c r="K174" s="35">
        <f t="shared" si="24"/>
        <v>12135</v>
      </c>
      <c r="L174" s="26">
        <f>VLOOKUP(K174,Наценка!$A$1:$B$8,2,1)</f>
        <v>1.3</v>
      </c>
      <c r="M174" s="27">
        <f t="shared" si="25"/>
        <v>15775.5</v>
      </c>
      <c r="N174" s="28">
        <f t="shared" si="26"/>
        <v>15790</v>
      </c>
      <c r="O174" s="24">
        <f>VLOOKUP($B174,'Выгр Торг'!$B:$Q,O$1,0)</f>
        <v>12135</v>
      </c>
      <c r="P174" s="24">
        <f>VLOOKUP($B174,'Выгр Торг'!$B:$Q,P$1,0)</f>
        <v>16790</v>
      </c>
      <c r="Q174" s="18">
        <f t="shared" si="27"/>
        <v>0</v>
      </c>
      <c r="R174" s="18">
        <f t="shared" si="28"/>
        <v>1000</v>
      </c>
      <c r="S174" s="29">
        <f t="shared" si="29"/>
        <v>15790</v>
      </c>
      <c r="T174" s="30">
        <f t="shared" si="30"/>
        <v>0.3011948908117017</v>
      </c>
      <c r="U174" s="30" t="str">
        <f t="shared" si="31"/>
        <v/>
      </c>
      <c r="V174" s="30">
        <f t="shared" si="32"/>
        <v>-1</v>
      </c>
      <c r="W174" s="13">
        <f t="shared" si="33"/>
        <v>0</v>
      </c>
      <c r="X174" s="32">
        <f>IFERROR((VLOOKUP($B174,'Из ГУГЛа'!$B:$Z,X$1,0)+Z174)*Y174,VLOOKUP($B174,'Из ГУГЛа'!$B:$Z,X$1,0))</f>
        <v>0</v>
      </c>
      <c r="Y174" s="33">
        <v>1</v>
      </c>
      <c r="Z174" s="33"/>
      <c r="AA174" s="31"/>
      <c r="AB174" s="31" t="s">
        <v>3448</v>
      </c>
    </row>
    <row r="175" spans="1:28" ht="45" x14ac:dyDescent="0.25">
      <c r="A175" s="25" t="str">
        <f>INDEX('Выгр Торг'!$A:$A,MATCH($B175,'Выгр Торг'!$B:$B,0))</f>
        <v>Оригинальная передняя левая дверь для Лада Нива, Урбан (5-ти дверная)</v>
      </c>
      <c r="B175" s="24">
        <v>183563</v>
      </c>
      <c r="C175" s="24">
        <f>VLOOKUP($B175,'Выгр Торг'!$B:$Q,C$1,0)</f>
        <v>156159</v>
      </c>
      <c r="D175" s="25" t="str">
        <f>VLOOKUP($B175,'Выгр Торг'!$B:$Q,D$1,0)</f>
        <v>Оригинальная передняя левая дверь для Лада Нива 4х4, Нива 4х4 Урбан (5-ти дверная) (Без покраски)</v>
      </c>
      <c r="E175" s="24" t="str">
        <f>VLOOKUP($B175,'Выгр Торг'!$B:$Q,E$1,0)</f>
        <v>Y</v>
      </c>
      <c r="F175" s="24">
        <f>VLOOKUP($B175,'Выгр Торг'!$B:$Q,F$1,0)</f>
        <v>0</v>
      </c>
      <c r="G175" s="24" t="str">
        <f>VLOOKUP($B175,'Выгр Торг'!$B:$Q,G$1,0)</f>
        <v>8450108935</v>
      </c>
      <c r="H175" s="24" t="str">
        <f>IF(VLOOKUP($B175,'Выгр Торг'!$B:$Q,H$1,0)=0,"",VLOOKUP($B175,'Выгр Торг'!$B:$Q,H$1,0))</f>
        <v>https://motorring.ru/product/33133-dvery-perednyaya-levaya-dlya-5-dvernoy-lada-4h4-niva-legend</v>
      </c>
      <c r="I175" s="24"/>
      <c r="J175" s="24"/>
      <c r="K175" s="35">
        <f t="shared" si="24"/>
        <v>10310</v>
      </c>
      <c r="L175" s="26">
        <f>VLOOKUP(K175,Наценка!$A$1:$B$8,2,1)</f>
        <v>1.3</v>
      </c>
      <c r="M175" s="27">
        <f t="shared" si="25"/>
        <v>13403</v>
      </c>
      <c r="N175" s="28">
        <f t="shared" si="26"/>
        <v>13490</v>
      </c>
      <c r="O175" s="24">
        <f>VLOOKUP($B175,'Выгр Торг'!$B:$Q,O$1,0)</f>
        <v>10310</v>
      </c>
      <c r="P175" s="24">
        <f>VLOOKUP($B175,'Выгр Торг'!$B:$Q,P$1,0)</f>
        <v>17490</v>
      </c>
      <c r="Q175" s="18">
        <f t="shared" si="27"/>
        <v>0</v>
      </c>
      <c r="R175" s="18">
        <f t="shared" si="28"/>
        <v>4000</v>
      </c>
      <c r="S175" s="29">
        <f t="shared" si="29"/>
        <v>13490</v>
      </c>
      <c r="T175" s="30">
        <f t="shared" si="30"/>
        <v>0.30843840931134814</v>
      </c>
      <c r="U175" s="30" t="str">
        <f t="shared" si="31"/>
        <v/>
      </c>
      <c r="V175" s="30">
        <f t="shared" si="32"/>
        <v>-1</v>
      </c>
      <c r="W175" s="13">
        <f t="shared" si="33"/>
        <v>0</v>
      </c>
      <c r="X175" s="32">
        <f>IFERROR((VLOOKUP($B175,'Из ГУГЛа'!$B:$Z,X$1,0)+Z175)*Y175,VLOOKUP($B175,'Из ГУГЛа'!$B:$Z,X$1,0))</f>
        <v>0</v>
      </c>
      <c r="Y175" s="33">
        <v>1</v>
      </c>
      <c r="Z175" s="33"/>
      <c r="AA175" s="31"/>
      <c r="AB175" s="31" t="s">
        <v>3456</v>
      </c>
    </row>
    <row r="176" spans="1:28" ht="45" x14ac:dyDescent="0.25">
      <c r="A176" s="25" t="str">
        <f>INDEX('Выгр Торг'!$A:$A,MATCH($B176,'Выгр Торг'!$B:$B,0))</f>
        <v>Оригинальная передняя левая дверь нового образца для Шевроле Нива (после 2009 г.в.)</v>
      </c>
      <c r="B176" s="24">
        <v>183580</v>
      </c>
      <c r="C176" s="24">
        <f>VLOOKUP($B176,'Выгр Торг'!$B:$Q,C$1,0)</f>
        <v>156345</v>
      </c>
      <c r="D176" s="25" t="str">
        <f>VLOOKUP($B176,'Выгр Торг'!$B:$Q,D$1,0)</f>
        <v>Оригинальная передняя левая дверь нового образца для Шевроле Нива (после 2009 г.в.) (Без покраски)</v>
      </c>
      <c r="E176" s="24" t="str">
        <f>VLOOKUP($B176,'Выгр Торг'!$B:$Q,E$1,0)</f>
        <v>Y</v>
      </c>
      <c r="F176" s="24">
        <f>VLOOKUP($B176,'Выгр Торг'!$B:$Q,F$1,0)</f>
        <v>0</v>
      </c>
      <c r="G176" s="24" t="str">
        <f>VLOOKUP($B176,'Выгр Торг'!$B:$Q,G$1,0)</f>
        <v>21230610001555</v>
      </c>
      <c r="H176" s="24" t="str">
        <f>IF(VLOOKUP($B176,'Выгр Торг'!$B:$Q,H$1,0)=0,"",VLOOKUP($B176,'Выгр Торг'!$B:$Q,H$1,0))</f>
        <v>https://motorring.ru/product/674-dvery-perednyaya-levaya-novogo-obrazca-cvet-shevrole-niva</v>
      </c>
      <c r="I176" s="24"/>
      <c r="J176" s="24"/>
      <c r="K176" s="35">
        <f t="shared" si="24"/>
        <v>24669</v>
      </c>
      <c r="L176" s="26">
        <f>VLOOKUP(K176,Наценка!$A$1:$B$8,2,1)</f>
        <v>1.3</v>
      </c>
      <c r="M176" s="27">
        <f t="shared" si="25"/>
        <v>32069.7</v>
      </c>
      <c r="N176" s="28">
        <f t="shared" si="26"/>
        <v>32090</v>
      </c>
      <c r="O176" s="24">
        <f>VLOOKUP($B176,'Выгр Торг'!$B:$Q,O$1,0)</f>
        <v>24669</v>
      </c>
      <c r="P176" s="24">
        <f>VLOOKUP($B176,'Выгр Торг'!$B:$Q,P$1,0)</f>
        <v>32790</v>
      </c>
      <c r="Q176" s="18">
        <f t="shared" si="27"/>
        <v>0</v>
      </c>
      <c r="R176" s="18">
        <f t="shared" si="28"/>
        <v>700</v>
      </c>
      <c r="S176" s="29">
        <f t="shared" si="29"/>
        <v>32090</v>
      </c>
      <c r="T176" s="30">
        <f t="shared" si="30"/>
        <v>0.3008228951315417</v>
      </c>
      <c r="U176" s="30" t="str">
        <f t="shared" si="31"/>
        <v/>
      </c>
      <c r="V176" s="30">
        <f t="shared" si="32"/>
        <v>-1</v>
      </c>
      <c r="W176" s="13">
        <f t="shared" si="33"/>
        <v>0</v>
      </c>
      <c r="X176" s="32">
        <f>IFERROR((VLOOKUP($B176,'Из ГУГЛа'!$B:$Z,X$1,0)+Z176)*Y176,VLOOKUP($B176,'Из ГУГЛа'!$B:$Z,X$1,0))</f>
        <v>0</v>
      </c>
      <c r="Y176" s="33">
        <v>1</v>
      </c>
      <c r="Z176" s="33"/>
      <c r="AA176" s="31"/>
      <c r="AB176" s="31" t="s">
        <v>3464</v>
      </c>
    </row>
    <row r="177" spans="1:28" ht="45" x14ac:dyDescent="0.25">
      <c r="A177" s="25" t="str">
        <f>INDEX('Выгр Торг'!$A:$A,MATCH($B177,'Выгр Торг'!$B:$B,0))</f>
        <v>Оригинальная передняя левая дверь старого образца для Шевроле Нива (до 2009 г.в.)</v>
      </c>
      <c r="B177" s="24">
        <v>183598</v>
      </c>
      <c r="C177" s="24">
        <f>VLOOKUP($B177,'Выгр Торг'!$B:$Q,C$1,0)</f>
        <v>156247</v>
      </c>
      <c r="D177" s="25" t="str">
        <f>VLOOKUP($B177,'Выгр Торг'!$B:$Q,D$1,0)</f>
        <v>Оригинальная передняя левая дверь старого образца для Шевроле Нива (до 2009 г.в.) (Без покраски)</v>
      </c>
      <c r="E177" s="24" t="str">
        <f>VLOOKUP($B177,'Выгр Торг'!$B:$Q,E$1,0)</f>
        <v>Y</v>
      </c>
      <c r="F177" s="24">
        <f>VLOOKUP($B177,'Выгр Торг'!$B:$Q,F$1,0)</f>
        <v>0</v>
      </c>
      <c r="G177" s="24" t="str">
        <f>VLOOKUP($B177,'Выгр Торг'!$B:$Q,G$1,0)</f>
        <v>21230610001500</v>
      </c>
      <c r="H177" s="24" t="str">
        <f>IF(VLOOKUP($B177,'Выгр Торг'!$B:$Q,H$1,0)=0,"",VLOOKUP($B177,'Выгр Торг'!$B:$Q,H$1,0))</f>
        <v>https://motorring.ru/product/686-dvery-perednyaya-levaya-starogo-obrazca-cvet-shevrole-niva</v>
      </c>
      <c r="I177" s="24"/>
      <c r="J177" s="24"/>
      <c r="K177" s="35">
        <f t="shared" si="24"/>
        <v>19757</v>
      </c>
      <c r="L177" s="26">
        <f>VLOOKUP(K177,Наценка!$A$1:$B$8,2,1)</f>
        <v>1.3</v>
      </c>
      <c r="M177" s="27">
        <f t="shared" si="25"/>
        <v>25684.100000000002</v>
      </c>
      <c r="N177" s="28">
        <f t="shared" si="26"/>
        <v>25690</v>
      </c>
      <c r="O177" s="24">
        <f>VLOOKUP($B177,'Выгр Торг'!$B:$Q,O$1,0)</f>
        <v>19757</v>
      </c>
      <c r="P177" s="24">
        <f>VLOOKUP($B177,'Выгр Торг'!$B:$Q,P$1,0)</f>
        <v>26190</v>
      </c>
      <c r="Q177" s="18">
        <f t="shared" si="27"/>
        <v>0</v>
      </c>
      <c r="R177" s="18">
        <f t="shared" si="28"/>
        <v>500</v>
      </c>
      <c r="S177" s="29">
        <f t="shared" si="29"/>
        <v>25690</v>
      </c>
      <c r="T177" s="30">
        <f t="shared" si="30"/>
        <v>0.30029862833426124</v>
      </c>
      <c r="U177" s="30" t="str">
        <f t="shared" si="31"/>
        <v/>
      </c>
      <c r="V177" s="30">
        <f t="shared" si="32"/>
        <v>-1</v>
      </c>
      <c r="W177" s="13">
        <f t="shared" si="33"/>
        <v>0</v>
      </c>
      <c r="X177" s="32">
        <f>IFERROR((VLOOKUP($B177,'Из ГУГЛа'!$B:$Z,X$1,0)+Z177)*Y177,VLOOKUP($B177,'Из ГУГЛа'!$B:$Z,X$1,0))</f>
        <v>0</v>
      </c>
      <c r="Y177" s="33">
        <v>1</v>
      </c>
      <c r="Z177" s="33"/>
      <c r="AA177" s="31"/>
      <c r="AB177" s="31" t="s">
        <v>3472</v>
      </c>
    </row>
    <row r="178" spans="1:28" ht="30" x14ac:dyDescent="0.25">
      <c r="A178" s="25" t="str">
        <f>INDEX('Выгр Торг'!$A:$A,MATCH($B178,'Выгр Торг'!$B:$B,0))</f>
        <v>Оригинальная передняя правая дверь для ВАЗ 2109, 21099</v>
      </c>
      <c r="B178" s="24">
        <v>183618</v>
      </c>
      <c r="C178" s="24">
        <f>VLOOKUP($B178,'Выгр Торг'!$B:$Q,C$1,0)</f>
        <v>152568</v>
      </c>
      <c r="D178" s="25" t="str">
        <f>VLOOKUP($B178,'Выгр Торг'!$B:$Q,D$1,0)</f>
        <v>Оригинальная передняя правая дверь для ВАЗ 2109, 21099 (Без покраски)</v>
      </c>
      <c r="E178" s="24" t="str">
        <f>VLOOKUP($B178,'Выгр Торг'!$B:$Q,E$1,0)</f>
        <v>Y</v>
      </c>
      <c r="F178" s="24">
        <f>VLOOKUP($B178,'Выгр Торг'!$B:$Q,F$1,0)</f>
        <v>0</v>
      </c>
      <c r="G178" s="24" t="str">
        <f>VLOOKUP($B178,'Выгр Торг'!$B:$Q,G$1,0)</f>
        <v>21090610001470</v>
      </c>
      <c r="H178" s="24" t="str">
        <f>IF(VLOOKUP($B178,'Выгр Торг'!$B:$Q,H$1,0)=0,"",VLOOKUP($B178,'Выгр Торг'!$B:$Q,H$1,0))</f>
        <v>https://motorring.ru/product/10320-dvery-perednyaya-pravaya-cvet-vaz-2109-21099</v>
      </c>
      <c r="I178" s="24"/>
      <c r="J178" s="24"/>
      <c r="K178" s="35">
        <f t="shared" si="24"/>
        <v>10400</v>
      </c>
      <c r="L178" s="26">
        <f>VLOOKUP(K178,Наценка!$A$1:$B$8,2,1)</f>
        <v>1.3</v>
      </c>
      <c r="M178" s="27">
        <f t="shared" si="25"/>
        <v>13520</v>
      </c>
      <c r="N178" s="28">
        <f t="shared" si="26"/>
        <v>13590</v>
      </c>
      <c r="O178" s="24">
        <f>VLOOKUP($B178,'Выгр Торг'!$B:$Q,O$1,0)</f>
        <v>10400</v>
      </c>
      <c r="P178" s="24">
        <f>VLOOKUP($B178,'Выгр Торг'!$B:$Q,P$1,0)</f>
        <v>13790</v>
      </c>
      <c r="Q178" s="18">
        <f t="shared" si="27"/>
        <v>0</v>
      </c>
      <c r="R178" s="18">
        <f t="shared" si="28"/>
        <v>200</v>
      </c>
      <c r="S178" s="29">
        <f t="shared" si="29"/>
        <v>13590</v>
      </c>
      <c r="T178" s="30">
        <f t="shared" si="30"/>
        <v>0.30673076923076925</v>
      </c>
      <c r="U178" s="30" t="str">
        <f t="shared" si="31"/>
        <v/>
      </c>
      <c r="V178" s="30">
        <f t="shared" si="32"/>
        <v>-1</v>
      </c>
      <c r="W178" s="13">
        <f t="shared" si="33"/>
        <v>0</v>
      </c>
      <c r="X178" s="32">
        <f>IFERROR((VLOOKUP($B178,'Из ГУГЛа'!$B:$Z,X$1,0)+Z178)*Y178,VLOOKUP($B178,'Из ГУГЛа'!$B:$Z,X$1,0))</f>
        <v>0</v>
      </c>
      <c r="Y178" s="33">
        <v>1</v>
      </c>
      <c r="Z178" s="33"/>
      <c r="AA178" s="31"/>
      <c r="AB178" s="31" t="s">
        <v>3480</v>
      </c>
    </row>
    <row r="179" spans="1:28" ht="30" x14ac:dyDescent="0.25">
      <c r="A179" s="25" t="str">
        <f>INDEX('Выгр Торг'!$A:$A,MATCH($B179,'Выгр Торг'!$B:$B,0))</f>
        <v>Оригинальная передняя правая дверь для ВАЗ 2114, 2115</v>
      </c>
      <c r="B179" s="24">
        <v>183645</v>
      </c>
      <c r="C179" s="24">
        <f>VLOOKUP($B179,'Выгр Торг'!$B:$Q,C$1,0)</f>
        <v>152596</v>
      </c>
      <c r="D179" s="25" t="str">
        <f>VLOOKUP($B179,'Выгр Торг'!$B:$Q,D$1,0)</f>
        <v>Оригинальная передняя правая дверь для ВАЗ 2114, 2115 (Без покраски)</v>
      </c>
      <c r="E179" s="24" t="str">
        <f>VLOOKUP($B179,'Выгр Торг'!$B:$Q,E$1,0)</f>
        <v>Y</v>
      </c>
      <c r="F179" s="24">
        <f>VLOOKUP($B179,'Выгр Торг'!$B:$Q,F$1,0)</f>
        <v>0</v>
      </c>
      <c r="G179" s="24" t="str">
        <f>VLOOKUP($B179,'Выгр Торг'!$B:$Q,G$1,0)</f>
        <v>21140610001470</v>
      </c>
      <c r="H179" s="24" t="str">
        <f>IF(VLOOKUP($B179,'Выгр Торг'!$B:$Q,H$1,0)=0,"",VLOOKUP($B179,'Выгр Торг'!$B:$Q,H$1,0))</f>
        <v>https://motorring.ru/product/13847-dvery-perednyaya-pravaya-cvet-vaz-2114-2115</v>
      </c>
      <c r="I179" s="24"/>
      <c r="J179" s="24"/>
      <c r="K179" s="35">
        <f t="shared" si="24"/>
        <v>7954</v>
      </c>
      <c r="L179" s="26">
        <f>VLOOKUP(K179,Наценка!$A$1:$B$8,2,1)</f>
        <v>1.35</v>
      </c>
      <c r="M179" s="27">
        <f t="shared" si="25"/>
        <v>10737.900000000001</v>
      </c>
      <c r="N179" s="28">
        <f t="shared" si="26"/>
        <v>10790</v>
      </c>
      <c r="O179" s="24">
        <f>VLOOKUP($B179,'Выгр Торг'!$B:$Q,O$1,0)</f>
        <v>7954</v>
      </c>
      <c r="P179" s="24">
        <f>VLOOKUP($B179,'Выгр Торг'!$B:$Q,P$1,0)</f>
        <v>10990</v>
      </c>
      <c r="Q179" s="18">
        <f t="shared" si="27"/>
        <v>0</v>
      </c>
      <c r="R179" s="18">
        <f t="shared" si="28"/>
        <v>200</v>
      </c>
      <c r="S179" s="29">
        <f t="shared" si="29"/>
        <v>10790</v>
      </c>
      <c r="T179" s="30">
        <f t="shared" si="30"/>
        <v>0.35655016343977874</v>
      </c>
      <c r="U179" s="30" t="str">
        <f t="shared" si="31"/>
        <v/>
      </c>
      <c r="V179" s="30">
        <f t="shared" si="32"/>
        <v>-1</v>
      </c>
      <c r="W179" s="13">
        <f t="shared" si="33"/>
        <v>0</v>
      </c>
      <c r="X179" s="32">
        <f>IFERROR((VLOOKUP($B179,'Из ГУГЛа'!$B:$Z,X$1,0)+Z179)*Y179,VLOOKUP($B179,'Из ГУГЛа'!$B:$Z,X$1,0))</f>
        <v>0</v>
      </c>
      <c r="Y179" s="33">
        <v>1</v>
      </c>
      <c r="Z179" s="33"/>
      <c r="AA179" s="31"/>
      <c r="AB179" s="31" t="s">
        <v>3488</v>
      </c>
    </row>
    <row r="180" spans="1:28" ht="45" x14ac:dyDescent="0.25">
      <c r="A180" s="25" t="str">
        <f>INDEX('Выгр Торг'!$A:$A,MATCH($B180,'Выгр Торг'!$B:$B,0))</f>
        <v>Оригинальная передняя правая дверь для Лада XRAY</v>
      </c>
      <c r="B180" s="24">
        <v>249545</v>
      </c>
      <c r="C180" s="24">
        <f>VLOOKUP($B180,'Выгр Торг'!$B:$Q,C$1,0)</f>
        <v>155464</v>
      </c>
      <c r="D180" s="25" t="str">
        <f>VLOOKUP($B180,'Выгр Торг'!$B:$Q,D$1,0)</f>
        <v>Оригинальная передняя правая дверь для Лада XRAY (Без отверстий под молдинг, Без покраски)</v>
      </c>
      <c r="E180" s="24" t="str">
        <f>VLOOKUP($B180,'Выгр Торг'!$B:$Q,E$1,0)</f>
        <v>Y</v>
      </c>
      <c r="F180" s="24">
        <f>VLOOKUP($B180,'Выгр Торг'!$B:$Q,F$1,0)</f>
        <v>0</v>
      </c>
      <c r="G180" s="24" t="str">
        <f>VLOOKUP($B180,'Выгр Торг'!$B:$Q,G$1,0)</f>
        <v>801005064R</v>
      </c>
      <c r="H180" s="24" t="str">
        <f>IF(VLOOKUP($B180,'Выгр Торг'!$B:$Q,H$1,0)=0,"",VLOOKUP($B180,'Выгр Торг'!$B:$Q,H$1,0))</f>
        <v>https://motorring.ru/product/10521-dvery-perednyaya-pravaya-cvet-lada-iks-rey</v>
      </c>
      <c r="I180" s="24"/>
      <c r="J180" s="24"/>
      <c r="K180" s="35">
        <f t="shared" si="24"/>
        <v>27700</v>
      </c>
      <c r="L180" s="26">
        <f>VLOOKUP(K180,Наценка!$A$1:$B$8,2,1)</f>
        <v>1.3</v>
      </c>
      <c r="M180" s="27">
        <f t="shared" si="25"/>
        <v>36010</v>
      </c>
      <c r="N180" s="28">
        <f t="shared" si="26"/>
        <v>36090</v>
      </c>
      <c r="O180" s="24">
        <f>VLOOKUP($B180,'Выгр Торг'!$B:$Q,O$1,0)</f>
        <v>27700</v>
      </c>
      <c r="P180" s="24">
        <f>VLOOKUP($B180,'Выгр Торг'!$B:$Q,P$1,0)</f>
        <v>36790</v>
      </c>
      <c r="Q180" s="18">
        <f t="shared" si="27"/>
        <v>0</v>
      </c>
      <c r="R180" s="18">
        <f t="shared" si="28"/>
        <v>700</v>
      </c>
      <c r="S180" s="29">
        <f t="shared" si="29"/>
        <v>36090</v>
      </c>
      <c r="T180" s="30">
        <f t="shared" si="30"/>
        <v>0.30288808664259936</v>
      </c>
      <c r="U180" s="30" t="str">
        <f t="shared" si="31"/>
        <v/>
      </c>
      <c r="V180" s="30">
        <f t="shared" si="32"/>
        <v>-1</v>
      </c>
      <c r="W180" s="13">
        <f t="shared" si="33"/>
        <v>0</v>
      </c>
      <c r="X180" s="32">
        <f>IFERROR((VLOOKUP($B180,'Из ГУГЛа'!$B:$Z,X$1,0)+Z180)*Y180,VLOOKUP($B180,'Из ГУГЛа'!$B:$Z,X$1,0))</f>
        <v>0</v>
      </c>
      <c r="Y180" s="33">
        <v>1</v>
      </c>
      <c r="Z180" s="33"/>
      <c r="AA180" s="31"/>
      <c r="AB180" s="31" t="s">
        <v>3496</v>
      </c>
    </row>
    <row r="181" spans="1:28" ht="45" x14ac:dyDescent="0.25">
      <c r="A181" s="25" t="str">
        <f>INDEX('Выгр Торг'!$A:$A,MATCH($B181,'Выгр Торг'!$B:$B,0))</f>
        <v>Оригинальная передняя правая дверь для Лада XRAY</v>
      </c>
      <c r="B181" s="24">
        <v>249558</v>
      </c>
      <c r="C181" s="24">
        <f>VLOOKUP($B181,'Выгр Торг'!$B:$Q,C$1,0)</f>
        <v>194764</v>
      </c>
      <c r="D181" s="25" t="str">
        <f>VLOOKUP($B181,'Выгр Торг'!$B:$Q,D$1,0)</f>
        <v>Оригинальная передняя правая дверь для Лада XRAY (С отверстиями под молдинг, Без покраски)</v>
      </c>
      <c r="E181" s="24" t="str">
        <f>VLOOKUP($B181,'Выгр Торг'!$B:$Q,E$1,0)</f>
        <v>Y</v>
      </c>
      <c r="F181" s="24">
        <f>VLOOKUP($B181,'Выгр Торг'!$B:$Q,F$1,0)</f>
        <v>0</v>
      </c>
      <c r="G181" s="24" t="str">
        <f>VLOOKUP($B181,'Выгр Торг'!$B:$Q,G$1,0)</f>
        <v>8450105004</v>
      </c>
      <c r="H181" s="24" t="str">
        <f>IF(VLOOKUP($B181,'Выгр Торг'!$B:$Q,H$1,0)=0,"",VLOOKUP($B181,'Выгр Торг'!$B:$Q,H$1,0))</f>
        <v>https://motorring.ru/product/27670-dvery-perednyaya-pravaya-cvet-lada-iks-rey-cross</v>
      </c>
      <c r="I181" s="24"/>
      <c r="J181" s="24"/>
      <c r="K181" s="35">
        <f t="shared" si="24"/>
        <v>25728</v>
      </c>
      <c r="L181" s="26">
        <f>VLOOKUP(K181,Наценка!$A$1:$B$8,2,1)</f>
        <v>1.3</v>
      </c>
      <c r="M181" s="27">
        <f t="shared" si="25"/>
        <v>33446.400000000001</v>
      </c>
      <c r="N181" s="28">
        <f t="shared" si="26"/>
        <v>33490</v>
      </c>
      <c r="O181" s="24">
        <f>VLOOKUP($B181,'Выгр Торг'!$B:$Q,O$1,0)</f>
        <v>25728</v>
      </c>
      <c r="P181" s="24">
        <f>VLOOKUP($B181,'Выгр Торг'!$B:$Q,P$1,0)</f>
        <v>32690</v>
      </c>
      <c r="Q181" s="18">
        <f t="shared" si="27"/>
        <v>0</v>
      </c>
      <c r="R181" s="18">
        <f t="shared" si="28"/>
        <v>-800</v>
      </c>
      <c r="S181" s="29">
        <f t="shared" si="29"/>
        <v>33490</v>
      </c>
      <c r="T181" s="30">
        <f t="shared" si="30"/>
        <v>0.30169465174129351</v>
      </c>
      <c r="U181" s="30" t="str">
        <f t="shared" si="31"/>
        <v/>
      </c>
      <c r="V181" s="30">
        <f t="shared" si="32"/>
        <v>-1</v>
      </c>
      <c r="W181" s="13">
        <f t="shared" si="33"/>
        <v>0</v>
      </c>
      <c r="X181" s="32">
        <f>IFERROR((VLOOKUP($B181,'Из ГУГЛа'!$B:$Z,X$1,0)+Z181)*Y181,VLOOKUP($B181,'Из ГУГЛа'!$B:$Z,X$1,0))</f>
        <v>0</v>
      </c>
      <c r="Y181" s="33">
        <v>1</v>
      </c>
      <c r="Z181" s="33"/>
      <c r="AA181" s="31"/>
      <c r="AB181" s="31" t="s">
        <v>3504</v>
      </c>
    </row>
    <row r="182" spans="1:28" ht="45" x14ac:dyDescent="0.25">
      <c r="A182" s="25" t="str">
        <f>INDEX('Выгр Торг'!$A:$A,MATCH($B182,'Выгр Торг'!$B:$B,0))</f>
        <v>Оригинальная передняя правая дверь для Лада Веста, Веста NG</v>
      </c>
      <c r="B182" s="24">
        <v>249571</v>
      </c>
      <c r="C182" s="24">
        <f>VLOOKUP($B182,'Выгр Торг'!$B:$Q,C$1,0)</f>
        <v>157221</v>
      </c>
      <c r="D182" s="25" t="str">
        <f>VLOOKUP($B182,'Выгр Торг'!$B:$Q,D$1,0)</f>
        <v>Оригинальная передняя правая дверь для Лада Веста, Веста NG (Без покраски)</v>
      </c>
      <c r="E182" s="24" t="str">
        <f>VLOOKUP($B182,'Выгр Торг'!$B:$Q,E$1,0)</f>
        <v>Y</v>
      </c>
      <c r="F182" s="24">
        <f>VLOOKUP($B182,'Выгр Торг'!$B:$Q,F$1,0)</f>
        <v>0</v>
      </c>
      <c r="G182" s="24" t="str">
        <f>VLOOKUP($B182,'Выгр Торг'!$B:$Q,G$1,0)</f>
        <v>8460013091</v>
      </c>
      <c r="H182" s="24" t="str">
        <f>IF(VLOOKUP($B182,'Выгр Торг'!$B:$Q,H$1,0)=0,"",VLOOKUP($B182,'Выгр Торг'!$B:$Q,H$1,0))</f>
        <v>https://motorring.ru/product/10513-dvery-perednyaya-pravaya-cvet-lada-vesta</v>
      </c>
      <c r="I182" s="24"/>
      <c r="J182" s="24"/>
      <c r="K182" s="35">
        <f t="shared" si="24"/>
        <v>24903</v>
      </c>
      <c r="L182" s="26">
        <f>VLOOKUP(K182,Наценка!$A$1:$B$8,2,1)</f>
        <v>1.3</v>
      </c>
      <c r="M182" s="27">
        <f t="shared" si="25"/>
        <v>32373.9</v>
      </c>
      <c r="N182" s="28">
        <f t="shared" si="26"/>
        <v>32390</v>
      </c>
      <c r="O182" s="24">
        <f>VLOOKUP($B182,'Выгр Торг'!$B:$Q,O$1,0)</f>
        <v>24903</v>
      </c>
      <c r="P182" s="24">
        <f>VLOOKUP($B182,'Выгр Торг'!$B:$Q,P$1,0)</f>
        <v>31190</v>
      </c>
      <c r="Q182" s="18">
        <f t="shared" si="27"/>
        <v>0</v>
      </c>
      <c r="R182" s="18">
        <f t="shared" si="28"/>
        <v>-1200</v>
      </c>
      <c r="S182" s="29">
        <f t="shared" si="29"/>
        <v>32390</v>
      </c>
      <c r="T182" s="30">
        <f t="shared" si="30"/>
        <v>0.30064650845279695</v>
      </c>
      <c r="U182" s="30" t="str">
        <f t="shared" si="31"/>
        <v/>
      </c>
      <c r="V182" s="30">
        <f t="shared" si="32"/>
        <v>-1</v>
      </c>
      <c r="W182" s="13">
        <f t="shared" si="33"/>
        <v>0</v>
      </c>
      <c r="X182" s="32">
        <f>IFERROR((VLOOKUP($B182,'Из ГУГЛа'!$B:$Z,X$1,0)+Z182)*Y182,VLOOKUP($B182,'Из ГУГЛа'!$B:$Z,X$1,0))</f>
        <v>0</v>
      </c>
      <c r="Y182" s="33">
        <v>1</v>
      </c>
      <c r="Z182" s="33"/>
      <c r="AA182" s="31"/>
      <c r="AB182" s="31" t="s">
        <v>3512</v>
      </c>
    </row>
    <row r="183" spans="1:28" ht="60" x14ac:dyDescent="0.25">
      <c r="A183" s="25" t="str">
        <f>INDEX('Выгр Торг'!$A:$A,MATCH($B183,'Выгр Торг'!$B:$B,0))</f>
        <v>Оригинальная передняя правая дверь для Лада Калина, Калина 2, Гранта, Гранта FL</v>
      </c>
      <c r="B183" s="24">
        <v>183713</v>
      </c>
      <c r="C183" s="24">
        <f>VLOOKUP($B183,'Выгр Торг'!$B:$Q,C$1,0)</f>
        <v>154747</v>
      </c>
      <c r="D183" s="25" t="str">
        <f>VLOOKUP($B183,'Выгр Торг'!$B:$Q,D$1,0)</f>
        <v>Оригинальная передняя правая дверь для Лада Калина, Калина 2, Гранта, Гранта FL (Без покраски, Без отверстий под молдинг)</v>
      </c>
      <c r="E183" s="24" t="str">
        <f>VLOOKUP($B183,'Выгр Торг'!$B:$Q,E$1,0)</f>
        <v>Y</v>
      </c>
      <c r="F183" s="24">
        <f>VLOOKUP($B183,'Выгр Торг'!$B:$Q,F$1,0)</f>
        <v>0</v>
      </c>
      <c r="G183" s="24" t="str">
        <f>VLOOKUP($B183,'Выгр Торг'!$B:$Q,G$1,0)</f>
        <v>11180610001480</v>
      </c>
      <c r="H183" s="24" t="str">
        <f>IF(VLOOKUP($B183,'Выгр Торг'!$B:$Q,H$1,0)=0,"",VLOOKUP($B183,'Выгр Торг'!$B:$Q,H$1,0))</f>
        <v>https://motorring.ru/product/10336-dvery-perednyaya-pravaya-cvet-dlya-lada-kalina-kalina</v>
      </c>
      <c r="I183" s="24"/>
      <c r="J183" s="24"/>
      <c r="K183" s="35">
        <f t="shared" si="24"/>
        <v>12054</v>
      </c>
      <c r="L183" s="26">
        <f>VLOOKUP(K183,Наценка!$A$1:$B$8,2,1)</f>
        <v>1.3</v>
      </c>
      <c r="M183" s="27">
        <f t="shared" si="25"/>
        <v>15670.2</v>
      </c>
      <c r="N183" s="28">
        <f t="shared" si="26"/>
        <v>15690</v>
      </c>
      <c r="O183" s="24">
        <f>VLOOKUP($B183,'Выгр Торг'!$B:$Q,O$1,0)</f>
        <v>12054</v>
      </c>
      <c r="P183" s="24">
        <f>VLOOKUP($B183,'Выгр Торг'!$B:$Q,P$1,0)</f>
        <v>16190</v>
      </c>
      <c r="Q183" s="18">
        <f t="shared" si="27"/>
        <v>0</v>
      </c>
      <c r="R183" s="18">
        <f t="shared" si="28"/>
        <v>500</v>
      </c>
      <c r="S183" s="29">
        <f t="shared" si="29"/>
        <v>15690</v>
      </c>
      <c r="T183" s="30">
        <f t="shared" si="30"/>
        <v>0.30164260826281741</v>
      </c>
      <c r="U183" s="30" t="str">
        <f t="shared" si="31"/>
        <v/>
      </c>
      <c r="V183" s="30">
        <f t="shared" si="32"/>
        <v>-1</v>
      </c>
      <c r="W183" s="13">
        <f t="shared" si="33"/>
        <v>0</v>
      </c>
      <c r="X183" s="32">
        <f>IFERROR((VLOOKUP($B183,'Из ГУГЛа'!$B:$Z,X$1,0)+Z183)*Y183,VLOOKUP($B183,'Из ГУГЛа'!$B:$Z,X$1,0))</f>
        <v>0</v>
      </c>
      <c r="Y183" s="33">
        <v>1</v>
      </c>
      <c r="Z183" s="33"/>
      <c r="AA183" s="31"/>
      <c r="AB183" s="31" t="s">
        <v>3520</v>
      </c>
    </row>
    <row r="184" spans="1:28" ht="60" x14ac:dyDescent="0.25">
      <c r="A184" s="25" t="str">
        <f>INDEX('Выгр Торг'!$A:$A,MATCH($B184,'Выгр Торг'!$B:$B,0))</f>
        <v>Оригинальная передняя правая дверь для Лада Калина, Калина 2, Гранта, Гранта FL</v>
      </c>
      <c r="B184" s="24">
        <v>183714</v>
      </c>
      <c r="C184" s="24">
        <f>VLOOKUP($B184,'Выгр Торг'!$B:$Q,C$1,0)</f>
        <v>154748</v>
      </c>
      <c r="D184" s="25" t="str">
        <f>VLOOKUP($B184,'Выгр Торг'!$B:$Q,D$1,0)</f>
        <v>Оригинальная передняя правая дверь для Лада Калина, Калина 2, Гранта, Гранта FL (Без покраски, С отверстиями под молдинг)</v>
      </c>
      <c r="E184" s="24" t="str">
        <f>VLOOKUP($B184,'Выгр Торг'!$B:$Q,E$1,0)</f>
        <v>Y</v>
      </c>
      <c r="F184" s="24">
        <f>VLOOKUP($B184,'Выгр Торг'!$B:$Q,F$1,0)</f>
        <v>0</v>
      </c>
      <c r="G184" s="24" t="str">
        <f>VLOOKUP($B184,'Выгр Торг'!$B:$Q,G$1,0)</f>
        <v>8460013508</v>
      </c>
      <c r="H184" s="24" t="str">
        <f>IF(VLOOKUP($B184,'Выгр Торг'!$B:$Q,H$1,0)=0,"",VLOOKUP($B184,'Выгр Торг'!$B:$Q,H$1,0))</f>
        <v>https://motorring.ru/product/33107-dvery-perednyaya-pravaya-dlya-lada-kalina-kross-granta</v>
      </c>
      <c r="I184" s="24"/>
      <c r="J184" s="24"/>
      <c r="K184" s="35">
        <f t="shared" si="24"/>
        <v>12864</v>
      </c>
      <c r="L184" s="26">
        <f>VLOOKUP(K184,Наценка!$A$1:$B$8,2,1)</f>
        <v>1.3</v>
      </c>
      <c r="M184" s="27">
        <f t="shared" si="25"/>
        <v>16723.2</v>
      </c>
      <c r="N184" s="28">
        <f t="shared" si="26"/>
        <v>16790</v>
      </c>
      <c r="O184" s="24">
        <f>VLOOKUP($B184,'Выгр Торг'!$B:$Q,O$1,0)</f>
        <v>12864</v>
      </c>
      <c r="P184" s="24">
        <f>VLOOKUP($B184,'Выгр Торг'!$B:$Q,P$1,0)</f>
        <v>17090</v>
      </c>
      <c r="Q184" s="18">
        <f t="shared" si="27"/>
        <v>0</v>
      </c>
      <c r="R184" s="18">
        <f t="shared" si="28"/>
        <v>300</v>
      </c>
      <c r="S184" s="29">
        <f t="shared" si="29"/>
        <v>16790</v>
      </c>
      <c r="T184" s="30">
        <f t="shared" si="30"/>
        <v>0.30519278606965172</v>
      </c>
      <c r="U184" s="30" t="str">
        <f t="shared" si="31"/>
        <v/>
      </c>
      <c r="V184" s="30">
        <f t="shared" si="32"/>
        <v>-1</v>
      </c>
      <c r="W184" s="13">
        <f t="shared" si="33"/>
        <v>0</v>
      </c>
      <c r="X184" s="32">
        <f>IFERROR((VLOOKUP($B184,'Из ГУГЛа'!$B:$Z,X$1,0)+Z184)*Y184,VLOOKUP($B184,'Из ГУГЛа'!$B:$Z,X$1,0))</f>
        <v>0</v>
      </c>
      <c r="Y184" s="33">
        <v>1</v>
      </c>
      <c r="Z184" s="33"/>
      <c r="AA184" s="31"/>
      <c r="AB184" s="31" t="s">
        <v>3528</v>
      </c>
    </row>
    <row r="185" spans="1:28" ht="45" x14ac:dyDescent="0.25">
      <c r="A185" s="25" t="str">
        <f>INDEX('Выгр Торг'!$A:$A,MATCH($B185,'Выгр Торг'!$B:$B,0))</f>
        <v>Оригинальная передняя правая дверь для Лада Ларгус</v>
      </c>
      <c r="B185" s="24">
        <v>183790</v>
      </c>
      <c r="C185" s="24">
        <f>VLOOKUP($B185,'Выгр Торг'!$B:$Q,C$1,0)</f>
        <v>157129</v>
      </c>
      <c r="D185" s="25" t="str">
        <f>VLOOKUP($B185,'Выгр Торг'!$B:$Q,D$1,0)</f>
        <v>Оригинальная передняя правая дверь для Лада Ларгус (Без покраски, Без отверстий под молдинг)</v>
      </c>
      <c r="E185" s="24" t="str">
        <f>VLOOKUP($B185,'Выгр Торг'!$B:$Q,E$1,0)</f>
        <v>Y</v>
      </c>
      <c r="F185" s="24">
        <f>VLOOKUP($B185,'Выгр Торг'!$B:$Q,F$1,0)</f>
        <v>0</v>
      </c>
      <c r="G185" s="24" t="str">
        <f>VLOOKUP($B185,'Выгр Торг'!$B:$Q,G$1,0)</f>
        <v>801004751R</v>
      </c>
      <c r="H185" s="24" t="str">
        <f>IF(VLOOKUP($B185,'Выгр Торг'!$B:$Q,H$1,0)=0,"",VLOOKUP($B185,'Выгр Торг'!$B:$Q,H$1,0))</f>
        <v>https://motorring.ru/product/10499-dvery-perednyaya-pravaya-cvet-lada-largus</v>
      </c>
      <c r="I185" s="24"/>
      <c r="J185" s="24"/>
      <c r="K185" s="35">
        <f t="shared" si="24"/>
        <v>20437</v>
      </c>
      <c r="L185" s="26">
        <f>VLOOKUP(K185,Наценка!$A$1:$B$8,2,1)</f>
        <v>1.3</v>
      </c>
      <c r="M185" s="27">
        <f t="shared" si="25"/>
        <v>26568.100000000002</v>
      </c>
      <c r="N185" s="28">
        <f t="shared" si="26"/>
        <v>26590</v>
      </c>
      <c r="O185" s="24">
        <f>VLOOKUP($B185,'Выгр Торг'!$B:$Q,O$1,0)</f>
        <v>20437</v>
      </c>
      <c r="P185" s="24">
        <f>VLOOKUP($B185,'Выгр Торг'!$B:$Q,P$1,0)</f>
        <v>25590</v>
      </c>
      <c r="Q185" s="18">
        <f t="shared" si="27"/>
        <v>0</v>
      </c>
      <c r="R185" s="18">
        <f t="shared" si="28"/>
        <v>-1000</v>
      </c>
      <c r="S185" s="29">
        <f t="shared" si="29"/>
        <v>26590</v>
      </c>
      <c r="T185" s="30">
        <f t="shared" si="30"/>
        <v>0.30107158584919502</v>
      </c>
      <c r="U185" s="30" t="str">
        <f t="shared" si="31"/>
        <v/>
      </c>
      <c r="V185" s="30">
        <f t="shared" si="32"/>
        <v>-1</v>
      </c>
      <c r="W185" s="13">
        <f t="shared" si="33"/>
        <v>0</v>
      </c>
      <c r="X185" s="32">
        <f>IFERROR((VLOOKUP($B185,'Из ГУГЛа'!$B:$Z,X$1,0)+Z185)*Y185,VLOOKUP($B185,'Из ГУГЛа'!$B:$Z,X$1,0))</f>
        <v>0</v>
      </c>
      <c r="Y185" s="33">
        <v>1</v>
      </c>
      <c r="Z185" s="33"/>
      <c r="AA185" s="31"/>
      <c r="AB185" s="31" t="s">
        <v>3536</v>
      </c>
    </row>
    <row r="186" spans="1:28" ht="45" x14ac:dyDescent="0.25">
      <c r="A186" s="25" t="str">
        <f>INDEX('Выгр Торг'!$A:$A,MATCH($B186,'Выгр Торг'!$B:$B,0))</f>
        <v>Оригинальная передняя правая дверь для Лада Ларгус</v>
      </c>
      <c r="B186" s="24">
        <v>183791</v>
      </c>
      <c r="C186" s="24">
        <f>VLOOKUP($B186,'Выгр Торг'!$B:$Q,C$1,0)</f>
        <v>157130</v>
      </c>
      <c r="D186" s="25" t="str">
        <f>VLOOKUP($B186,'Выгр Торг'!$B:$Q,D$1,0)</f>
        <v>Оригинальная передняя правая дверь для Лада Ларгус (Без покраски, С отверстиями под молдинг)</v>
      </c>
      <c r="E186" s="24" t="str">
        <f>VLOOKUP($B186,'Выгр Торг'!$B:$Q,E$1,0)</f>
        <v>Y</v>
      </c>
      <c r="F186" s="24">
        <f>VLOOKUP($B186,'Выгр Торг'!$B:$Q,F$1,0)</f>
        <v>0</v>
      </c>
      <c r="G186" s="24" t="str">
        <f>VLOOKUP($B186,'Выгр Торг'!$B:$Q,G$1,0)</f>
        <v>801002133R</v>
      </c>
      <c r="H186" s="24" t="str">
        <f>IF(VLOOKUP($B186,'Выгр Торг'!$B:$Q,H$1,0)=0,"",VLOOKUP($B186,'Выгр Торг'!$B:$Q,H$1,0))</f>
        <v>https://motorring.ru/product/27680-dvery-perednyaya-pod-molding-pravaya-cvet-lada-largus</v>
      </c>
      <c r="I186" s="24"/>
      <c r="J186" s="24"/>
      <c r="K186" s="35">
        <f t="shared" si="24"/>
        <v>14718</v>
      </c>
      <c r="L186" s="26">
        <f>VLOOKUP(K186,Наценка!$A$1:$B$8,2,1)</f>
        <v>1.3</v>
      </c>
      <c r="M186" s="27">
        <f t="shared" si="25"/>
        <v>19133.400000000001</v>
      </c>
      <c r="N186" s="28">
        <f t="shared" si="26"/>
        <v>19190</v>
      </c>
      <c r="O186" s="24">
        <f>VLOOKUP($B186,'Выгр Торг'!$B:$Q,O$1,0)</f>
        <v>14718</v>
      </c>
      <c r="P186" s="24">
        <f>VLOOKUP($B186,'Выгр Торг'!$B:$Q,P$1,0)</f>
        <v>18390</v>
      </c>
      <c r="Q186" s="18">
        <f t="shared" si="27"/>
        <v>0</v>
      </c>
      <c r="R186" s="18">
        <f t="shared" si="28"/>
        <v>-800</v>
      </c>
      <c r="S186" s="29">
        <f t="shared" si="29"/>
        <v>19190</v>
      </c>
      <c r="T186" s="30">
        <f t="shared" si="30"/>
        <v>0.30384563119989139</v>
      </c>
      <c r="U186" s="30" t="str">
        <f t="shared" si="31"/>
        <v/>
      </c>
      <c r="V186" s="30">
        <f t="shared" si="32"/>
        <v>-1</v>
      </c>
      <c r="W186" s="13">
        <f t="shared" si="33"/>
        <v>0</v>
      </c>
      <c r="X186" s="32">
        <f>IFERROR((VLOOKUP($B186,'Из ГУГЛа'!$B:$Z,X$1,0)+Z186)*Y186,VLOOKUP($B186,'Из ГУГЛа'!$B:$Z,X$1,0))</f>
        <v>0</v>
      </c>
      <c r="Y186" s="33">
        <v>1</v>
      </c>
      <c r="Z186" s="33"/>
      <c r="AA186" s="31"/>
      <c r="AB186" s="31" t="s">
        <v>3544</v>
      </c>
    </row>
    <row r="187" spans="1:28" ht="45" x14ac:dyDescent="0.25">
      <c r="A187" s="25" t="str">
        <f>INDEX('Выгр Торг'!$A:$A,MATCH($B187,'Выгр Торг'!$B:$B,0))</f>
        <v>Оригинальная передняя правая дверь для Лада Нива 4х4, Нива 4х4 Урбан (3-х дверная)</v>
      </c>
      <c r="B187" s="24">
        <v>183823</v>
      </c>
      <c r="C187" s="24">
        <f>VLOOKUP($B187,'Выгр Торг'!$B:$Q,C$1,0)</f>
        <v>156176</v>
      </c>
      <c r="D187" s="25" t="str">
        <f>VLOOKUP($B187,'Выгр Торг'!$B:$Q,D$1,0)</f>
        <v>Оригинальная передняя правая дверь для Лада Нива 4х4, Нива 4х4 Урбан (3-х дверная) (Без покраски)</v>
      </c>
      <c r="E187" s="24" t="str">
        <f>VLOOKUP($B187,'Выгр Торг'!$B:$Q,E$1,0)</f>
        <v>Y</v>
      </c>
      <c r="F187" s="24">
        <f>VLOOKUP($B187,'Выгр Торг'!$B:$Q,F$1,0)</f>
        <v>0</v>
      </c>
      <c r="G187" s="24" t="str">
        <f>VLOOKUP($B187,'Выгр Торг'!$B:$Q,G$1,0)</f>
        <v>8450108924</v>
      </c>
      <c r="H187" s="24" t="str">
        <f>IF(VLOOKUP($B187,'Выгр Торг'!$B:$Q,H$1,0)=0,"",VLOOKUP($B187,'Выгр Торг'!$B:$Q,H$1,0))</f>
        <v>https://motorring.ru/product/13903-dvery-perednyaya-pravaya-cvet-lada-niva-4h4</v>
      </c>
      <c r="I187" s="24"/>
      <c r="J187" s="24"/>
      <c r="K187" s="35">
        <f t="shared" si="24"/>
        <v>10426</v>
      </c>
      <c r="L187" s="26">
        <f>VLOOKUP(K187,Наценка!$A$1:$B$8,2,1)</f>
        <v>1.3</v>
      </c>
      <c r="M187" s="27">
        <f t="shared" si="25"/>
        <v>13553.800000000001</v>
      </c>
      <c r="N187" s="28">
        <f t="shared" si="26"/>
        <v>13590</v>
      </c>
      <c r="O187" s="24">
        <f>VLOOKUP($B187,'Выгр Торг'!$B:$Q,O$1,0)</f>
        <v>10426</v>
      </c>
      <c r="P187" s="24">
        <f>VLOOKUP($B187,'Выгр Торг'!$B:$Q,P$1,0)</f>
        <v>16790</v>
      </c>
      <c r="Q187" s="18">
        <f t="shared" si="27"/>
        <v>0</v>
      </c>
      <c r="R187" s="18">
        <f t="shared" si="28"/>
        <v>3200</v>
      </c>
      <c r="S187" s="29">
        <f t="shared" si="29"/>
        <v>13590</v>
      </c>
      <c r="T187" s="30">
        <f t="shared" si="30"/>
        <v>0.30347208900824851</v>
      </c>
      <c r="U187" s="30" t="str">
        <f t="shared" si="31"/>
        <v/>
      </c>
      <c r="V187" s="30">
        <f t="shared" si="32"/>
        <v>-1</v>
      </c>
      <c r="W187" s="13">
        <f t="shared" si="33"/>
        <v>0</v>
      </c>
      <c r="X187" s="32">
        <f>IFERROR((VLOOKUP($B187,'Из ГУГЛа'!$B:$Z,X$1,0)+Z187)*Y187,VLOOKUP($B187,'Из ГУГЛа'!$B:$Z,X$1,0))</f>
        <v>0</v>
      </c>
      <c r="Y187" s="33">
        <v>1</v>
      </c>
      <c r="Z187" s="33"/>
      <c r="AA187" s="31"/>
      <c r="AB187" s="31" t="s">
        <v>3552</v>
      </c>
    </row>
    <row r="188" spans="1:28" ht="45" x14ac:dyDescent="0.25">
      <c r="A188" s="25" t="str">
        <f>INDEX('Выгр Торг'!$A:$A,MATCH($B188,'Выгр Торг'!$B:$B,0))</f>
        <v>Оригинальная передняя правая дверь для Лада Нива 4х4, Нива 4х4 Урбан (5-ти дверная)</v>
      </c>
      <c r="B188" s="24">
        <v>183839</v>
      </c>
      <c r="C188" s="24">
        <f>VLOOKUP($B188,'Выгр Торг'!$B:$Q,C$1,0)</f>
        <v>156194</v>
      </c>
      <c r="D188" s="25" t="str">
        <f>VLOOKUP($B188,'Выгр Торг'!$B:$Q,D$1,0)</f>
        <v>Оригинальная передняя правая дверь для Лада Нива 4х4, Нива 4х4 Урбан (5-ти дверная) (Без покраски)</v>
      </c>
      <c r="E188" s="24" t="str">
        <f>VLOOKUP($B188,'Выгр Торг'!$B:$Q,E$1,0)</f>
        <v>Y</v>
      </c>
      <c r="F188" s="24">
        <f>VLOOKUP($B188,'Выгр Торг'!$B:$Q,F$1,0)</f>
        <v>0</v>
      </c>
      <c r="G188" s="24" t="str">
        <f>VLOOKUP($B188,'Выгр Торг'!$B:$Q,G$1,0)</f>
        <v>8450108934</v>
      </c>
      <c r="H188" s="24" t="str">
        <f>IF(VLOOKUP($B188,'Выгр Торг'!$B:$Q,H$1,0)=0,"",VLOOKUP($B188,'Выгр Торг'!$B:$Q,H$1,0))</f>
        <v>https://motorring.ru/product/33131-dvery-perednyaya-pravaya-dlya-5-dvernoy-lada-4h4-niva</v>
      </c>
      <c r="I188" s="24"/>
      <c r="J188" s="24"/>
      <c r="K188" s="35">
        <f t="shared" si="24"/>
        <v>10308</v>
      </c>
      <c r="L188" s="26">
        <f>VLOOKUP(K188,Наценка!$A$1:$B$8,2,1)</f>
        <v>1.3</v>
      </c>
      <c r="M188" s="27">
        <f t="shared" si="25"/>
        <v>13400.4</v>
      </c>
      <c r="N188" s="28">
        <f t="shared" si="26"/>
        <v>13490</v>
      </c>
      <c r="O188" s="24">
        <f>VLOOKUP($B188,'Выгр Торг'!$B:$Q,O$1,0)</f>
        <v>10308</v>
      </c>
      <c r="P188" s="24">
        <f>VLOOKUP($B188,'Выгр Торг'!$B:$Q,P$1,0)</f>
        <v>17490</v>
      </c>
      <c r="Q188" s="18">
        <f t="shared" si="27"/>
        <v>0</v>
      </c>
      <c r="R188" s="18">
        <f t="shared" si="28"/>
        <v>4000</v>
      </c>
      <c r="S188" s="29">
        <f t="shared" si="29"/>
        <v>13490</v>
      </c>
      <c r="T188" s="30">
        <f t="shared" si="30"/>
        <v>0.30869227784245257</v>
      </c>
      <c r="U188" s="30" t="str">
        <f t="shared" si="31"/>
        <v/>
      </c>
      <c r="V188" s="30">
        <f t="shared" si="32"/>
        <v>-1</v>
      </c>
      <c r="W188" s="13">
        <f t="shared" si="33"/>
        <v>0</v>
      </c>
      <c r="X188" s="32">
        <f>IFERROR((VLOOKUP($B188,'Из ГУГЛа'!$B:$Z,X$1,0)+Z188)*Y188,VLOOKUP($B188,'Из ГУГЛа'!$B:$Z,X$1,0))</f>
        <v>0</v>
      </c>
      <c r="Y188" s="33">
        <v>1</v>
      </c>
      <c r="Z188" s="33"/>
      <c r="AA188" s="31"/>
      <c r="AB188" s="31" t="s">
        <v>3560</v>
      </c>
    </row>
    <row r="189" spans="1:28" ht="45" x14ac:dyDescent="0.25">
      <c r="A189" s="25" t="str">
        <f>INDEX('Выгр Торг'!$A:$A,MATCH($B189,'Выгр Торг'!$B:$B,0))</f>
        <v>Оригинальная передняя правая дверь нового образца для Шевроле Нива (после 2009 г.в.)</v>
      </c>
      <c r="B189" s="24">
        <v>183856</v>
      </c>
      <c r="C189" s="24">
        <f>VLOOKUP($B189,'Выгр Торг'!$B:$Q,C$1,0)</f>
        <v>156363</v>
      </c>
      <c r="D189" s="25" t="str">
        <f>VLOOKUP($B189,'Выгр Торг'!$B:$Q,D$1,0)</f>
        <v>Оригинальная передняя правая дверь нового образца для Шевроле Нива (после 2009 г.в.) (Без покраски)</v>
      </c>
      <c r="E189" s="24" t="str">
        <f>VLOOKUP($B189,'Выгр Торг'!$B:$Q,E$1,0)</f>
        <v>Y</v>
      </c>
      <c r="F189" s="24">
        <f>VLOOKUP($B189,'Выгр Торг'!$B:$Q,F$1,0)</f>
        <v>0</v>
      </c>
      <c r="G189" s="24" t="str">
        <f>VLOOKUP($B189,'Выгр Торг'!$B:$Q,G$1,0)</f>
        <v>21230610001455</v>
      </c>
      <c r="H189" s="24" t="str">
        <f>IF(VLOOKUP($B189,'Выгр Торг'!$B:$Q,H$1,0)=0,"",VLOOKUP($B189,'Выгр Торг'!$B:$Q,H$1,0))</f>
        <v>https://motorring.ru/product/6411-dvery-perednyaya-pravaya-novogo-obrazca-cvet-shevrole-niva</v>
      </c>
      <c r="I189" s="24"/>
      <c r="J189" s="24"/>
      <c r="K189" s="35">
        <f t="shared" si="24"/>
        <v>18734</v>
      </c>
      <c r="L189" s="26">
        <f>VLOOKUP(K189,Наценка!$A$1:$B$8,2,1)</f>
        <v>1.3</v>
      </c>
      <c r="M189" s="27">
        <f t="shared" si="25"/>
        <v>24354.2</v>
      </c>
      <c r="N189" s="28">
        <f t="shared" si="26"/>
        <v>24390</v>
      </c>
      <c r="O189" s="24">
        <f>VLOOKUP($B189,'Выгр Торг'!$B:$Q,O$1,0)</f>
        <v>18734</v>
      </c>
      <c r="P189" s="24">
        <f>VLOOKUP($B189,'Выгр Торг'!$B:$Q,P$1,0)</f>
        <v>24890</v>
      </c>
      <c r="Q189" s="18">
        <f t="shared" si="27"/>
        <v>0</v>
      </c>
      <c r="R189" s="18">
        <f t="shared" si="28"/>
        <v>500</v>
      </c>
      <c r="S189" s="29">
        <f t="shared" si="29"/>
        <v>24390</v>
      </c>
      <c r="T189" s="30">
        <f t="shared" si="30"/>
        <v>0.30191096402263273</v>
      </c>
      <c r="U189" s="30" t="str">
        <f t="shared" si="31"/>
        <v/>
      </c>
      <c r="V189" s="30">
        <f t="shared" si="32"/>
        <v>-1</v>
      </c>
      <c r="W189" s="13">
        <f t="shared" si="33"/>
        <v>0</v>
      </c>
      <c r="X189" s="32">
        <f>IFERROR((VLOOKUP($B189,'Из ГУГЛа'!$B:$Z,X$1,0)+Z189)*Y189,VLOOKUP($B189,'Из ГУГЛа'!$B:$Z,X$1,0))</f>
        <v>0</v>
      </c>
      <c r="Y189" s="33">
        <v>1</v>
      </c>
      <c r="Z189" s="33"/>
      <c r="AA189" s="31"/>
      <c r="AB189" s="31" t="s">
        <v>3568</v>
      </c>
    </row>
    <row r="190" spans="1:28" ht="45" x14ac:dyDescent="0.25">
      <c r="A190" s="25" t="str">
        <f>INDEX('Выгр Торг'!$A:$A,MATCH($B190,'Выгр Торг'!$B:$B,0))</f>
        <v>Оригинальная передняя правая дверь старого образца для Шевроле Нива (до 2009 г.в.)</v>
      </c>
      <c r="B190" s="24">
        <v>183874</v>
      </c>
      <c r="C190" s="24">
        <f>VLOOKUP($B190,'Выгр Торг'!$B:$Q,C$1,0)</f>
        <v>156265</v>
      </c>
      <c r="D190" s="25" t="str">
        <f>VLOOKUP($B190,'Выгр Торг'!$B:$Q,D$1,0)</f>
        <v>Оригинальная передняя правая дверь старого образца для Шевроле Нива (до 2009 г.в.) (Без покраски)</v>
      </c>
      <c r="E190" s="24" t="str">
        <f>VLOOKUP($B190,'Выгр Торг'!$B:$Q,E$1,0)</f>
        <v>Y</v>
      </c>
      <c r="F190" s="24">
        <f>VLOOKUP($B190,'Выгр Торг'!$B:$Q,F$1,0)</f>
        <v>0</v>
      </c>
      <c r="G190" s="24" t="str">
        <f>VLOOKUP($B190,'Выгр Торг'!$B:$Q,G$1,0)</f>
        <v>21230610001400</v>
      </c>
      <c r="H190" s="24" t="str">
        <f>IF(VLOOKUP($B190,'Выгр Торг'!$B:$Q,H$1,0)=0,"",VLOOKUP($B190,'Выгр Торг'!$B:$Q,H$1,0))</f>
        <v>https://motorring.ru/product/6396-dvery-perednyaya-pravaya-starogo-obrazca-cvet-shevrole-niva</v>
      </c>
      <c r="I190" s="24"/>
      <c r="J190" s="24"/>
      <c r="K190" s="35">
        <f t="shared" si="24"/>
        <v>22398</v>
      </c>
      <c r="L190" s="26">
        <f>VLOOKUP(K190,Наценка!$A$1:$B$8,2,1)</f>
        <v>1.3</v>
      </c>
      <c r="M190" s="27">
        <f t="shared" si="25"/>
        <v>29117.4</v>
      </c>
      <c r="N190" s="28">
        <f t="shared" si="26"/>
        <v>29190</v>
      </c>
      <c r="O190" s="24">
        <f>VLOOKUP($B190,'Выгр Торг'!$B:$Q,O$1,0)</f>
        <v>22398</v>
      </c>
      <c r="P190" s="24">
        <f>VLOOKUP($B190,'Выгр Торг'!$B:$Q,P$1,0)</f>
        <v>29690</v>
      </c>
      <c r="Q190" s="18">
        <f t="shared" si="27"/>
        <v>0</v>
      </c>
      <c r="R190" s="18">
        <f t="shared" si="28"/>
        <v>500</v>
      </c>
      <c r="S190" s="29">
        <f t="shared" si="29"/>
        <v>29190</v>
      </c>
      <c r="T190" s="30">
        <f t="shared" si="30"/>
        <v>0.3032413608357889</v>
      </c>
      <c r="U190" s="30" t="str">
        <f t="shared" si="31"/>
        <v/>
      </c>
      <c r="V190" s="30">
        <f t="shared" si="32"/>
        <v>-1</v>
      </c>
      <c r="W190" s="13">
        <f t="shared" si="33"/>
        <v>0</v>
      </c>
      <c r="X190" s="32">
        <f>IFERROR((VLOOKUP($B190,'Из ГУГЛа'!$B:$Z,X$1,0)+Z190)*Y190,VLOOKUP($B190,'Из ГУГЛа'!$B:$Z,X$1,0))</f>
        <v>0</v>
      </c>
      <c r="Y190" s="33">
        <v>1</v>
      </c>
      <c r="Z190" s="33"/>
      <c r="AA190" s="31"/>
      <c r="AB190" s="31" t="s">
        <v>3576</v>
      </c>
    </row>
    <row r="191" spans="1:28" ht="45" x14ac:dyDescent="0.25">
      <c r="A191" s="25" t="str">
        <f>INDEX('Выгр Торг'!$A:$A,MATCH($B191,'Выгр Торг'!$B:$B,0))</f>
        <v>Оригинальное крыло "АвтоВАЗ" левое, переднее для Лада Приора</v>
      </c>
      <c r="B191" s="24">
        <v>184093</v>
      </c>
      <c r="C191" s="24">
        <f>VLOOKUP($B191,'Выгр Торг'!$B:$Q,C$1,0)</f>
        <v>152179</v>
      </c>
      <c r="D191" s="25" t="str">
        <f>VLOOKUP($B191,'Выгр Торг'!$B:$Q,D$1,0)</f>
        <v>Оригинальное крыло "АвтоВАЗ" левое, переднее для Лада Приора (Без покраски)</v>
      </c>
      <c r="E191" s="24" t="str">
        <f>VLOOKUP($B191,'Выгр Торг'!$B:$Q,E$1,0)</f>
        <v>Y</v>
      </c>
      <c r="F191" s="24">
        <f>VLOOKUP($B191,'Выгр Торг'!$B:$Q,F$1,0)</f>
        <v>0</v>
      </c>
      <c r="G191" s="24" t="str">
        <f>VLOOKUP($B191,'Выгр Торг'!$B:$Q,G$1,0)</f>
        <v>21700840301170</v>
      </c>
      <c r="H191" s="24" t="str">
        <f>IF(VLOOKUP($B191,'Выгр Торг'!$B:$Q,H$1,0)=0,"",VLOOKUP($B191,'Выгр Торг'!$B:$Q,H$1,0))</f>
        <v>https://motorring.ru/product/16053-krylo-levoe-lada-priora</v>
      </c>
      <c r="I191" s="24"/>
      <c r="J191" s="24"/>
      <c r="K191" s="35">
        <f t="shared" si="24"/>
        <v>5093</v>
      </c>
      <c r="L191" s="26">
        <f>VLOOKUP(K191,Наценка!$A$1:$B$8,2,1)</f>
        <v>1.35</v>
      </c>
      <c r="M191" s="27">
        <f t="shared" si="25"/>
        <v>6875.55</v>
      </c>
      <c r="N191" s="28">
        <f t="shared" si="26"/>
        <v>6890</v>
      </c>
      <c r="O191" s="24">
        <f>VLOOKUP($B191,'Выгр Торг'!$B:$Q,O$1,0)</f>
        <v>5093</v>
      </c>
      <c r="P191" s="24">
        <f>VLOOKUP($B191,'Выгр Торг'!$B:$Q,P$1,0)</f>
        <v>8390</v>
      </c>
      <c r="Q191" s="18">
        <f t="shared" si="27"/>
        <v>0</v>
      </c>
      <c r="R191" s="18">
        <f t="shared" si="28"/>
        <v>1500</v>
      </c>
      <c r="S191" s="29">
        <f t="shared" si="29"/>
        <v>6890</v>
      </c>
      <c r="T191" s="30">
        <f t="shared" si="30"/>
        <v>0.35283722756724911</v>
      </c>
      <c r="U191" s="30" t="str">
        <f t="shared" si="31"/>
        <v/>
      </c>
      <c r="V191" s="30">
        <f t="shared" si="32"/>
        <v>-1</v>
      </c>
      <c r="W191" s="13">
        <f t="shared" si="33"/>
        <v>0</v>
      </c>
      <c r="X191" s="32">
        <f>IFERROR((VLOOKUP($B191,'Из ГУГЛа'!$B:$Z,X$1,0)+Z191)*Y191,VLOOKUP($B191,'Из ГУГЛа'!$B:$Z,X$1,0))</f>
        <v>0</v>
      </c>
      <c r="Y191" s="33">
        <v>1</v>
      </c>
      <c r="Z191" s="33"/>
      <c r="AA191" s="31"/>
      <c r="AB191" s="31" t="s">
        <v>3584</v>
      </c>
    </row>
    <row r="192" spans="1:28" ht="45" x14ac:dyDescent="0.25">
      <c r="A192" s="25" t="str">
        <f>INDEX('Выгр Торг'!$A:$A,MATCH($B192,'Выгр Торг'!$B:$B,0))</f>
        <v>Оригинальное крыло "АвтоВАЗ" правое переднее для Лада Приора</v>
      </c>
      <c r="B192" s="24">
        <v>184120</v>
      </c>
      <c r="C192" s="24">
        <f>VLOOKUP($B192,'Выгр Торг'!$B:$Q,C$1,0)</f>
        <v>152207</v>
      </c>
      <c r="D192" s="25" t="str">
        <f>VLOOKUP($B192,'Выгр Торг'!$B:$Q,D$1,0)</f>
        <v>Оригинальное крыло "АвтоВАЗ" правое переднее для Лада Приора (Без покраски)</v>
      </c>
      <c r="E192" s="24" t="str">
        <f>VLOOKUP($B192,'Выгр Торг'!$B:$Q,E$1,0)</f>
        <v>Y</v>
      </c>
      <c r="F192" s="24">
        <f>VLOOKUP($B192,'Выгр Торг'!$B:$Q,F$1,0)</f>
        <v>0</v>
      </c>
      <c r="G192" s="24" t="str">
        <f>VLOOKUP($B192,'Выгр Торг'!$B:$Q,G$1,0)</f>
        <v>21700840301070</v>
      </c>
      <c r="H192" s="24" t="str">
        <f>IF(VLOOKUP($B192,'Выгр Торг'!$B:$Q,H$1,0)=0,"",VLOOKUP($B192,'Выгр Торг'!$B:$Q,H$1,0))</f>
        <v>https://motorring.ru/product/15153-krylo-pravoe-lada-priora</v>
      </c>
      <c r="I192" s="24"/>
      <c r="J192" s="24"/>
      <c r="K192" s="35">
        <f t="shared" si="24"/>
        <v>5093</v>
      </c>
      <c r="L192" s="26">
        <f>VLOOKUP(K192,Наценка!$A$1:$B$8,2,1)</f>
        <v>1.35</v>
      </c>
      <c r="M192" s="27">
        <f t="shared" si="25"/>
        <v>6875.55</v>
      </c>
      <c r="N192" s="28">
        <f t="shared" si="26"/>
        <v>6890</v>
      </c>
      <c r="O192" s="24">
        <f>VLOOKUP($B192,'Выгр Торг'!$B:$Q,O$1,0)</f>
        <v>5093</v>
      </c>
      <c r="P192" s="24">
        <f>VLOOKUP($B192,'Выгр Торг'!$B:$Q,P$1,0)</f>
        <v>8390</v>
      </c>
      <c r="Q192" s="18">
        <f t="shared" si="27"/>
        <v>0</v>
      </c>
      <c r="R192" s="18">
        <f t="shared" si="28"/>
        <v>1500</v>
      </c>
      <c r="S192" s="29">
        <f t="shared" si="29"/>
        <v>6890</v>
      </c>
      <c r="T192" s="30">
        <f t="shared" si="30"/>
        <v>0.35283722756724911</v>
      </c>
      <c r="U192" s="30" t="str">
        <f t="shared" si="31"/>
        <v/>
      </c>
      <c r="V192" s="30">
        <f t="shared" si="32"/>
        <v>-1</v>
      </c>
      <c r="W192" s="13">
        <f t="shared" si="33"/>
        <v>0</v>
      </c>
      <c r="X192" s="32">
        <f>IFERROR((VLOOKUP($B192,'Из ГУГЛа'!$B:$Z,X$1,0)+Z192)*Y192,VLOOKUP($B192,'Из ГУГЛа'!$B:$Z,X$1,0))</f>
        <v>0</v>
      </c>
      <c r="Y192" s="33">
        <v>1</v>
      </c>
      <c r="Z192" s="33"/>
      <c r="AA192" s="31"/>
      <c r="AB192" s="31" t="s">
        <v>3592</v>
      </c>
    </row>
    <row r="193" spans="1:28" ht="30" x14ac:dyDescent="0.25">
      <c r="A193" s="25" t="str">
        <f>INDEX('Выгр Торг'!$A:$A,MATCH($B193,'Выгр Торг'!$B:$B,0))</f>
        <v>Оригинальное переднее левое крыло для ВАЗ 2113-2115</v>
      </c>
      <c r="B193" s="24">
        <v>184167</v>
      </c>
      <c r="C193" s="24">
        <f>VLOOKUP($B193,'Выгр Торг'!$B:$Q,C$1,0)</f>
        <v>152085</v>
      </c>
      <c r="D193" s="25" t="str">
        <f>VLOOKUP($B193,'Выгр Торг'!$B:$Q,D$1,0)</f>
        <v>Оригинальное переднее левое крыло для ВАЗ 2113-2115 (Без покраски)</v>
      </c>
      <c r="E193" s="24" t="str">
        <f>VLOOKUP($B193,'Выгр Торг'!$B:$Q,E$1,0)</f>
        <v>Y</v>
      </c>
      <c r="F193" s="24">
        <f>VLOOKUP($B193,'Выгр Торг'!$B:$Q,F$1,0)</f>
        <v>0</v>
      </c>
      <c r="G193" s="24" t="str">
        <f>VLOOKUP($B193,'Выгр Торг'!$B:$Q,G$1,0)</f>
        <v>21140840301170</v>
      </c>
      <c r="H193" s="24" t="str">
        <f>IF(VLOOKUP($B193,'Выгр Торг'!$B:$Q,H$1,0)=0,"",VLOOKUP($B193,'Выгр Торг'!$B:$Q,H$1,0))</f>
        <v>https://motorring.ru/product/16045-krylo-perednee-levoe-cvet-vaz-2113-2114-2115</v>
      </c>
      <c r="I193" s="24"/>
      <c r="J193" s="24"/>
      <c r="K193" s="35">
        <f t="shared" si="24"/>
        <v>2176</v>
      </c>
      <c r="L193" s="26">
        <f>VLOOKUP(K193,Наценка!$A$1:$B$8,2,1)</f>
        <v>1.4</v>
      </c>
      <c r="M193" s="27">
        <f t="shared" si="25"/>
        <v>3046.3999999999996</v>
      </c>
      <c r="N193" s="28">
        <f t="shared" si="26"/>
        <v>3090</v>
      </c>
      <c r="O193" s="24">
        <f>VLOOKUP($B193,'Выгр Торг'!$B:$Q,O$1,0)</f>
        <v>2176</v>
      </c>
      <c r="P193" s="24">
        <f>VLOOKUP($B193,'Выгр Торг'!$B:$Q,P$1,0)</f>
        <v>3190</v>
      </c>
      <c r="Q193" s="18">
        <f t="shared" si="27"/>
        <v>0</v>
      </c>
      <c r="R193" s="18">
        <f t="shared" si="28"/>
        <v>100</v>
      </c>
      <c r="S193" s="29">
        <f t="shared" si="29"/>
        <v>3090</v>
      </c>
      <c r="T193" s="30">
        <f t="shared" si="30"/>
        <v>0.42003676470588225</v>
      </c>
      <c r="U193" s="30" t="str">
        <f t="shared" si="31"/>
        <v/>
      </c>
      <c r="V193" s="30">
        <f t="shared" si="32"/>
        <v>-1</v>
      </c>
      <c r="W193" s="13">
        <f t="shared" si="33"/>
        <v>0</v>
      </c>
      <c r="X193" s="32">
        <f>IFERROR((VLOOKUP($B193,'Из ГУГЛа'!$B:$Z,X$1,0)+Z193)*Y193,VLOOKUP($B193,'Из ГУГЛа'!$B:$Z,X$1,0))</f>
        <v>0</v>
      </c>
      <c r="Y193" s="33">
        <v>1</v>
      </c>
      <c r="Z193" s="33"/>
      <c r="AA193" s="31"/>
      <c r="AB193" s="31" t="s">
        <v>3600</v>
      </c>
    </row>
    <row r="194" spans="1:28" ht="45" x14ac:dyDescent="0.25">
      <c r="A194" s="25" t="str">
        <f>INDEX('Выгр Торг'!$A:$A,MATCH($B194,'Выгр Торг'!$B:$B,0))</f>
        <v>Оригинальное переднее правое крыло для ВАЗ 2113-2115</v>
      </c>
      <c r="B194" s="24">
        <v>184203</v>
      </c>
      <c r="C194" s="24">
        <f>VLOOKUP($B194,'Выгр Торг'!$B:$Q,C$1,0)</f>
        <v>152121</v>
      </c>
      <c r="D194" s="25" t="str">
        <f>VLOOKUP($B194,'Выгр Торг'!$B:$Q,D$1,0)</f>
        <v>Оригинальное переднее правое крыло для ВАЗ 2113-2115 (Без покраски)</v>
      </c>
      <c r="E194" s="24" t="str">
        <f>VLOOKUP($B194,'Выгр Торг'!$B:$Q,E$1,0)</f>
        <v>Y</v>
      </c>
      <c r="F194" s="24">
        <f>VLOOKUP($B194,'Выгр Торг'!$B:$Q,F$1,0)</f>
        <v>0</v>
      </c>
      <c r="G194" s="24" t="str">
        <f>VLOOKUP($B194,'Выгр Торг'!$B:$Q,G$1,0)</f>
        <v>21140840301070</v>
      </c>
      <c r="H194" s="24" t="str">
        <f>IF(VLOOKUP($B194,'Выгр Торг'!$B:$Q,H$1,0)=0,"",VLOOKUP($B194,'Выгр Торг'!$B:$Q,H$1,0))</f>
        <v>https://motorring.ru/product/15992-krylo-perednee-pravoe-cvet-vaz-2113-2114-2115</v>
      </c>
      <c r="I194" s="24"/>
      <c r="J194" s="24"/>
      <c r="K194" s="35">
        <f t="shared" si="24"/>
        <v>2176</v>
      </c>
      <c r="L194" s="26">
        <f>VLOOKUP(K194,Наценка!$A$1:$B$8,2,1)</f>
        <v>1.4</v>
      </c>
      <c r="M194" s="27">
        <f t="shared" si="25"/>
        <v>3046.3999999999996</v>
      </c>
      <c r="N194" s="28">
        <f t="shared" si="26"/>
        <v>3090</v>
      </c>
      <c r="O194" s="24">
        <f>VLOOKUP($B194,'Выгр Торг'!$B:$Q,O$1,0)</f>
        <v>2176</v>
      </c>
      <c r="P194" s="24">
        <f>VLOOKUP($B194,'Выгр Торг'!$B:$Q,P$1,0)</f>
        <v>3190</v>
      </c>
      <c r="Q194" s="18">
        <f t="shared" si="27"/>
        <v>0</v>
      </c>
      <c r="R194" s="18">
        <f t="shared" si="28"/>
        <v>100</v>
      </c>
      <c r="S194" s="29">
        <f t="shared" si="29"/>
        <v>3090</v>
      </c>
      <c r="T194" s="30">
        <f t="shared" si="30"/>
        <v>0.42003676470588225</v>
      </c>
      <c r="U194" s="30" t="str">
        <f t="shared" si="31"/>
        <v/>
      </c>
      <c r="V194" s="30">
        <f t="shared" si="32"/>
        <v>-1</v>
      </c>
      <c r="W194" s="13">
        <f t="shared" si="33"/>
        <v>0</v>
      </c>
      <c r="X194" s="32">
        <f>IFERROR((VLOOKUP($B194,'Из ГУГЛа'!$B:$Z,X$1,0)+Z194)*Y194,VLOOKUP($B194,'Из ГУГЛа'!$B:$Z,X$1,0))</f>
        <v>0</v>
      </c>
      <c r="Y194" s="33">
        <v>1</v>
      </c>
      <c r="Z194" s="33"/>
      <c r="AA194" s="31"/>
      <c r="AB194" s="31" t="s">
        <v>3608</v>
      </c>
    </row>
    <row r="195" spans="1:28" ht="30" x14ac:dyDescent="0.25">
      <c r="A195" s="25" t="str">
        <f>INDEX('Выгр Торг'!$A:$A,MATCH($B195,'Выгр Торг'!$B:$B,0))</f>
        <v>Оригинальный бампер "URBAN" задний для Лада Нива 4х4</v>
      </c>
      <c r="B195" s="24">
        <v>184538</v>
      </c>
      <c r="C195" s="24">
        <f>VLOOKUP($B195,'Выгр Торг'!$B:$Q,C$1,0)</f>
        <v>123194</v>
      </c>
      <c r="D195" s="25" t="str">
        <f>VLOOKUP($B195,'Выгр Торг'!$B:$Q,D$1,0)</f>
        <v>Бампер задний "URBAN" для Лада Нива 4х4 (Без покраски)</v>
      </c>
      <c r="E195" s="24" t="str">
        <f>VLOOKUP($B195,'Выгр Торг'!$B:$Q,E$1,0)</f>
        <v>Y</v>
      </c>
      <c r="F195" s="24">
        <f>VLOOKUP($B195,'Выгр Торг'!$B:$Q,F$1,0)</f>
        <v>0</v>
      </c>
      <c r="G195" s="24" t="str">
        <f>VLOOKUP($B195,'Выгр Торг'!$B:$Q,G$1,0)</f>
        <v>21214280401000</v>
      </c>
      <c r="H195" s="24" t="str">
        <f>IF(VLOOKUP($B195,'Выгр Торг'!$B:$Q,H$1,0)=0,"",VLOOKUP($B195,'Выгр Торг'!$B:$Q,H$1,0))</f>
        <v>https://motorring.ru/product/4783-zadniy-bamper-urban-golyy-lada-niva-4h4</v>
      </c>
      <c r="I195" s="24"/>
      <c r="J195" s="24"/>
      <c r="K195" s="35">
        <f t="shared" ref="K195:K258" si="34">O195</f>
        <v>5888</v>
      </c>
      <c r="L195" s="26">
        <f>VLOOKUP(K195,Наценка!$A$1:$B$8,2,1)</f>
        <v>1.35</v>
      </c>
      <c r="M195" s="27">
        <f t="shared" si="25"/>
        <v>7948.8</v>
      </c>
      <c r="N195" s="28">
        <f t="shared" si="26"/>
        <v>7990</v>
      </c>
      <c r="O195" s="24">
        <f>VLOOKUP($B195,'Выгр Торг'!$B:$Q,O$1,0)</f>
        <v>5888</v>
      </c>
      <c r="P195" s="24">
        <f>VLOOKUP($B195,'Выгр Торг'!$B:$Q,P$1,0)</f>
        <v>8190</v>
      </c>
      <c r="Q195" s="18">
        <f t="shared" si="27"/>
        <v>0</v>
      </c>
      <c r="R195" s="18">
        <f t="shared" si="28"/>
        <v>200</v>
      </c>
      <c r="S195" s="29">
        <f t="shared" si="29"/>
        <v>7990</v>
      </c>
      <c r="T195" s="30">
        <f t="shared" si="30"/>
        <v>0.35699728260869557</v>
      </c>
      <c r="U195" s="30" t="str">
        <f t="shared" si="31"/>
        <v/>
      </c>
      <c r="V195" s="30">
        <f t="shared" si="32"/>
        <v>-1</v>
      </c>
      <c r="W195" s="13">
        <f t="shared" si="33"/>
        <v>0</v>
      </c>
      <c r="X195" s="32">
        <f>IFERROR((VLOOKUP($B195,'Из ГУГЛа'!$B:$Z,X$1,0)+Z195)*Y195,VLOOKUP($B195,'Из ГУГЛа'!$B:$Z,X$1,0))</f>
        <v>0</v>
      </c>
      <c r="Y195" s="33">
        <v>1</v>
      </c>
      <c r="Z195" s="33"/>
      <c r="AA195" s="31"/>
      <c r="AB195" s="31" t="s">
        <v>3616</v>
      </c>
    </row>
    <row r="196" spans="1:28" ht="60" x14ac:dyDescent="0.25">
      <c r="A196" s="25" t="str">
        <f>INDEX('Выгр Торг'!$A:$A,MATCH($B196,'Выгр Торг'!$B:$B,0))</f>
        <v>Оригинальный бампер задний (с отверстиями под молдинги) для Лада Калина 2, Гранта FL Кросс</v>
      </c>
      <c r="B196" s="24">
        <v>249728</v>
      </c>
      <c r="C196" s="24">
        <f>VLOOKUP($B196,'Выгр Торг'!$B:$Q,C$1,0)</f>
        <v>173103</v>
      </c>
      <c r="D196" s="25" t="str">
        <f>VLOOKUP($B196,'Выгр Торг'!$B:$Q,D$1,0)</f>
        <v>Оригинальный бампер задний (с отверстиями под молдинги) для Лада Калина 2, Гранта FL Кросс (Без покраски)</v>
      </c>
      <c r="E196" s="24" t="str">
        <f>VLOOKUP($B196,'Выгр Торг'!$B:$Q,E$1,0)</f>
        <v>Y</v>
      </c>
      <c r="F196" s="24">
        <f>VLOOKUP($B196,'Выгр Торг'!$B:$Q,F$1,0)</f>
        <v>0</v>
      </c>
      <c r="G196" s="24" t="str">
        <f>VLOOKUP($B196,'Выгр Торг'!$B:$Q,G$1,0)</f>
        <v>21940280401551</v>
      </c>
      <c r="H196" s="24" t="str">
        <f>IF(VLOOKUP($B196,'Выгр Торг'!$B:$Q,H$1,0)=0,"",VLOOKUP($B196,'Выгр Торг'!$B:$Q,H$1,0))</f>
        <v>https://motorring.ru/product/21038-bamper-zadniy-kalina-kross-golyy-neokrashennyy</v>
      </c>
      <c r="I196" s="24"/>
      <c r="J196" s="24"/>
      <c r="K196" s="35">
        <f t="shared" si="34"/>
        <v>3880</v>
      </c>
      <c r="L196" s="26">
        <f>VLOOKUP(K196,Наценка!$A$1:$B$8,2,1)</f>
        <v>1.4</v>
      </c>
      <c r="M196" s="27">
        <f t="shared" ref="M196:M259" si="35">K196*L196</f>
        <v>5432</v>
      </c>
      <c r="N196" s="28">
        <f t="shared" ref="N196:N259" si="36">IF(M196&lt;=1000,(ROUNDUP(M196,-1)-1),(ROUNDUP(M196,-2)-10))</f>
        <v>5490</v>
      </c>
      <c r="O196" s="24">
        <f>VLOOKUP($B196,'Выгр Торг'!$B:$Q,O$1,0)</f>
        <v>3880</v>
      </c>
      <c r="P196" s="24">
        <f>VLOOKUP($B196,'Выгр Торг'!$B:$Q,P$1,0)</f>
        <v>5390</v>
      </c>
      <c r="Q196" s="18">
        <f t="shared" ref="Q196:Q259" si="37">O196-K196</f>
        <v>0</v>
      </c>
      <c r="R196" s="18">
        <f t="shared" ref="R196:R259" si="38">P196-N196</f>
        <v>-100</v>
      </c>
      <c r="S196" s="29">
        <f t="shared" ref="S196:S259" si="39">IFERROR(ROUND(N196*(1-$S$2),),"")</f>
        <v>5490</v>
      </c>
      <c r="T196" s="30">
        <f t="shared" ref="T196:T259" si="40">IFERROR(S196/K196-1,"")</f>
        <v>0.4149484536082475</v>
      </c>
      <c r="U196" s="30" t="str">
        <f t="shared" ref="U196:U259" si="41">IFERROR((W196-S196)/W196,"")</f>
        <v/>
      </c>
      <c r="V196" s="30">
        <f t="shared" ref="V196:V259" si="42">IFERROR(IF(W196="","",W196/K196-1),"")</f>
        <v>-1</v>
      </c>
      <c r="W196" s="13">
        <f t="shared" si="33"/>
        <v>0</v>
      </c>
      <c r="X196" s="32">
        <f>IFERROR((VLOOKUP($B196,'Из ГУГЛа'!$B:$Z,X$1,0)+Z196)*Y196,VLOOKUP($B196,'Из ГУГЛа'!$B:$Z,X$1,0))</f>
        <v>0</v>
      </c>
      <c r="Y196" s="33">
        <v>1</v>
      </c>
      <c r="Z196" s="33"/>
      <c r="AA196" s="31"/>
      <c r="AB196" s="31" t="s">
        <v>3624</v>
      </c>
    </row>
    <row r="197" spans="1:28" ht="30" x14ac:dyDescent="0.25">
      <c r="A197" s="25" t="str">
        <f>INDEX('Выгр Торг'!$A:$A,MATCH($B197,'Выгр Торг'!$B:$B,0))</f>
        <v>Оригинальный бампер задний для Лада XRAY</v>
      </c>
      <c r="B197" s="24">
        <v>249759</v>
      </c>
      <c r="C197" s="24">
        <f>VLOOKUP($B197,'Выгр Торг'!$B:$Q,C$1,0)</f>
        <v>171270</v>
      </c>
      <c r="D197" s="25" t="str">
        <f>VLOOKUP($B197,'Выгр Торг'!$B:$Q,D$1,0)</f>
        <v>Оригинальный бампер задний для Лада XRAY (Без покраски)</v>
      </c>
      <c r="E197" s="24" t="str">
        <f>VLOOKUP($B197,'Выгр Торг'!$B:$Q,E$1,0)</f>
        <v>Y</v>
      </c>
      <c r="F197" s="24">
        <f>VLOOKUP($B197,'Выгр Торг'!$B:$Q,F$1,0)</f>
        <v>0</v>
      </c>
      <c r="G197" s="24" t="str">
        <f>VLOOKUP($B197,'Выгр Торг'!$B:$Q,G$1,0)</f>
        <v>850220699R</v>
      </c>
      <c r="H197" s="24" t="str">
        <f>IF(VLOOKUP($B197,'Выгр Торг'!$B:$Q,H$1,0)=0,"",VLOOKUP($B197,'Выгр Торг'!$B:$Q,H$1,0))</f>
        <v>https://motorring.ru/product/28219-standartnyy-zadniy-bamper-lada-iksrey</v>
      </c>
      <c r="I197" s="24"/>
      <c r="J197" s="24"/>
      <c r="K197" s="35">
        <f t="shared" si="34"/>
        <v>6933</v>
      </c>
      <c r="L197" s="26">
        <f>VLOOKUP(K197,Наценка!$A$1:$B$8,2,1)</f>
        <v>1.35</v>
      </c>
      <c r="M197" s="27">
        <f t="shared" si="35"/>
        <v>9359.5500000000011</v>
      </c>
      <c r="N197" s="28">
        <f t="shared" si="36"/>
        <v>9390</v>
      </c>
      <c r="O197" s="24">
        <f>VLOOKUP($B197,'Выгр Торг'!$B:$Q,O$1,0)</f>
        <v>6933</v>
      </c>
      <c r="P197" s="24">
        <f>VLOOKUP($B197,'Выгр Торг'!$B:$Q,P$1,0)</f>
        <v>9090</v>
      </c>
      <c r="Q197" s="18">
        <f t="shared" si="37"/>
        <v>0</v>
      </c>
      <c r="R197" s="18">
        <f t="shared" si="38"/>
        <v>-300</v>
      </c>
      <c r="S197" s="29">
        <f t="shared" si="39"/>
        <v>9390</v>
      </c>
      <c r="T197" s="30">
        <f t="shared" si="40"/>
        <v>0.35439203807875375</v>
      </c>
      <c r="U197" s="30" t="str">
        <f t="shared" si="41"/>
        <v/>
      </c>
      <c r="V197" s="30">
        <f t="shared" si="42"/>
        <v>-1</v>
      </c>
      <c r="W197" s="13">
        <f t="shared" si="33"/>
        <v>0</v>
      </c>
      <c r="X197" s="32">
        <f>IFERROR((VLOOKUP($B197,'Из ГУГЛа'!$B:$Z,X$1,0)+Z197)*Y197,VLOOKUP($B197,'Из ГУГЛа'!$B:$Z,X$1,0))</f>
        <v>0</v>
      </c>
      <c r="Y197" s="33">
        <v>1</v>
      </c>
      <c r="Z197" s="33"/>
      <c r="AA197" s="31"/>
      <c r="AB197" s="31" t="s">
        <v>3632</v>
      </c>
    </row>
    <row r="198" spans="1:28" ht="30" x14ac:dyDescent="0.25">
      <c r="A198" s="25" t="str">
        <f>INDEX('Выгр Торг'!$A:$A,MATCH($B198,'Выгр Торг'!$B:$B,0))</f>
        <v>Оригинальный бампер задний для Лада Гранта FL лифтбек</v>
      </c>
      <c r="B198" s="24">
        <v>249772</v>
      </c>
      <c r="C198" s="24">
        <f>VLOOKUP($B198,'Выгр Торг'!$B:$Q,C$1,0)</f>
        <v>173149</v>
      </c>
      <c r="D198" s="25" t="str">
        <f>VLOOKUP($B198,'Выгр Торг'!$B:$Q,D$1,0)</f>
        <v>Оригинальный бампер задний для Лада Гранта FL лифтбек (Без покраски)</v>
      </c>
      <c r="E198" s="24" t="str">
        <f>VLOOKUP($B198,'Выгр Торг'!$B:$Q,E$1,0)</f>
        <v>Y</v>
      </c>
      <c r="F198" s="24">
        <f>VLOOKUP($B198,'Выгр Торг'!$B:$Q,F$1,0)</f>
        <v>0</v>
      </c>
      <c r="G198" s="24" t="str">
        <f>VLOOKUP($B198,'Выгр Торг'!$B:$Q,G$1,0)</f>
        <v>8450103790</v>
      </c>
      <c r="H198" s="24" t="str">
        <f>IF(VLOOKUP($B198,'Выгр Торг'!$B:$Q,H$1,0)=0,"",VLOOKUP($B198,'Выгр Торг'!$B:$Q,H$1,0))</f>
        <v>https://motorring.ru/product/21679-zadniy-bamper-lada-granta-liftbek</v>
      </c>
      <c r="I198" s="24"/>
      <c r="J198" s="24"/>
      <c r="K198" s="35">
        <f t="shared" si="34"/>
        <v>3551</v>
      </c>
      <c r="L198" s="26">
        <f>VLOOKUP(K198,Наценка!$A$1:$B$8,2,1)</f>
        <v>1.4</v>
      </c>
      <c r="M198" s="27">
        <f t="shared" si="35"/>
        <v>4971.3999999999996</v>
      </c>
      <c r="N198" s="28">
        <f t="shared" si="36"/>
        <v>4990</v>
      </c>
      <c r="O198" s="24">
        <f>VLOOKUP($B198,'Выгр Торг'!$B:$Q,O$1,0)</f>
        <v>3551</v>
      </c>
      <c r="P198" s="24">
        <f>VLOOKUP($B198,'Выгр Торг'!$B:$Q,P$1,0)</f>
        <v>5090</v>
      </c>
      <c r="Q198" s="18">
        <f t="shared" si="37"/>
        <v>0</v>
      </c>
      <c r="R198" s="18">
        <f t="shared" si="38"/>
        <v>100</v>
      </c>
      <c r="S198" s="29">
        <f t="shared" si="39"/>
        <v>4990</v>
      </c>
      <c r="T198" s="30">
        <f t="shared" si="40"/>
        <v>0.40523796113770771</v>
      </c>
      <c r="U198" s="30" t="str">
        <f t="shared" si="41"/>
        <v/>
      </c>
      <c r="V198" s="30">
        <f t="shared" si="42"/>
        <v>-1</v>
      </c>
      <c r="W198" s="13">
        <f t="shared" si="33"/>
        <v>0</v>
      </c>
      <c r="X198" s="32">
        <f>IFERROR((VLOOKUP($B198,'Из ГУГЛа'!$B:$Z,X$1,0)+Z198)*Y198,VLOOKUP($B198,'Из ГУГЛа'!$B:$Z,X$1,0))</f>
        <v>0</v>
      </c>
      <c r="Y198" s="33">
        <v>1</v>
      </c>
      <c r="Z198" s="33"/>
      <c r="AA198" s="31"/>
      <c r="AB198" s="31" t="s">
        <v>3640</v>
      </c>
    </row>
    <row r="199" spans="1:28" ht="45" x14ac:dyDescent="0.25">
      <c r="A199" s="25" t="str">
        <f>INDEX('Выгр Торг'!$A:$A,MATCH($B199,'Выгр Торг'!$B:$B,0))</f>
        <v>Оригинальный бампер передний (с отверстиями под молдинги) для Лада Калина 2 Кросс</v>
      </c>
      <c r="B199" s="24">
        <v>249784</v>
      </c>
      <c r="C199" s="24">
        <f>VLOOKUP($B199,'Выгр Торг'!$B:$Q,C$1,0)</f>
        <v>174847</v>
      </c>
      <c r="D199" s="25" t="str">
        <f>VLOOKUP($B199,'Выгр Торг'!$B:$Q,D$1,0)</f>
        <v>Оригинальный бампер передний (с отверстиями под молдинги) для Лада Калина 2 Кросс (Без покраски)</v>
      </c>
      <c r="E199" s="24" t="str">
        <f>VLOOKUP($B199,'Выгр Торг'!$B:$Q,E$1,0)</f>
        <v>Y</v>
      </c>
      <c r="F199" s="24">
        <f>VLOOKUP($B199,'Выгр Торг'!$B:$Q,F$1,0)</f>
        <v>0</v>
      </c>
      <c r="G199" s="24" t="str">
        <f>VLOOKUP($B199,'Выгр Торг'!$B:$Q,G$1,0)</f>
        <v>21940280301551</v>
      </c>
      <c r="H199" s="24" t="str">
        <f>IF(VLOOKUP($B199,'Выгр Торг'!$B:$Q,H$1,0)=0,"",VLOOKUP($B199,'Выгр Торг'!$B:$Q,H$1,0))</f>
        <v>https://motorring.ru/product/20333-peredniy-bamper-kross-lada-kalina-2</v>
      </c>
      <c r="I199" s="24"/>
      <c r="J199" s="24"/>
      <c r="K199" s="35">
        <f t="shared" si="34"/>
        <v>3700</v>
      </c>
      <c r="L199" s="26">
        <f>VLOOKUP(K199,Наценка!$A$1:$B$8,2,1)</f>
        <v>1.4</v>
      </c>
      <c r="M199" s="27">
        <f t="shared" si="35"/>
        <v>5180</v>
      </c>
      <c r="N199" s="28">
        <f t="shared" si="36"/>
        <v>5190</v>
      </c>
      <c r="O199" s="24">
        <f>VLOOKUP($B199,'Выгр Торг'!$B:$Q,O$1,0)</f>
        <v>3700</v>
      </c>
      <c r="P199" s="24">
        <f>VLOOKUP($B199,'Выгр Торг'!$B:$Q,P$1,0)</f>
        <v>4890</v>
      </c>
      <c r="Q199" s="18">
        <f t="shared" si="37"/>
        <v>0</v>
      </c>
      <c r="R199" s="18">
        <f t="shared" si="38"/>
        <v>-300</v>
      </c>
      <c r="S199" s="29">
        <f t="shared" si="39"/>
        <v>5190</v>
      </c>
      <c r="T199" s="30">
        <f t="shared" si="40"/>
        <v>0.40270270270270281</v>
      </c>
      <c r="U199" s="30" t="str">
        <f t="shared" si="41"/>
        <v/>
      </c>
      <c r="V199" s="30">
        <f t="shared" si="42"/>
        <v>-1</v>
      </c>
      <c r="W199" s="13">
        <f t="shared" si="33"/>
        <v>0</v>
      </c>
      <c r="X199" s="32">
        <f>IFERROR((VLOOKUP($B199,'Из ГУГЛа'!$B:$Z,X$1,0)+Z199)*Y199,VLOOKUP($B199,'Из ГУГЛа'!$B:$Z,X$1,0))</f>
        <v>0</v>
      </c>
      <c r="Y199" s="33">
        <v>1</v>
      </c>
      <c r="Z199" s="33"/>
      <c r="AA199" s="31"/>
      <c r="AB199" s="31" t="s">
        <v>3648</v>
      </c>
    </row>
    <row r="200" spans="1:28" ht="30" x14ac:dyDescent="0.25">
      <c r="A200" s="25" t="str">
        <f>INDEX('Выгр Торг'!$A:$A,MATCH($B200,'Выгр Торг'!$B:$B,0))</f>
        <v>Оригинальный бампер передний для Лада XRAY</v>
      </c>
      <c r="B200" s="24">
        <v>249815</v>
      </c>
      <c r="C200" s="24">
        <f>VLOOKUP($B200,'Выгр Торг'!$B:$Q,C$1,0)</f>
        <v>173162</v>
      </c>
      <c r="D200" s="25" t="str">
        <f>VLOOKUP($B200,'Выгр Торг'!$B:$Q,D$1,0)</f>
        <v>Оригинальный бампер передний для Лада XRAY (Без покраски)</v>
      </c>
      <c r="E200" s="24" t="str">
        <f>VLOOKUP($B200,'Выгр Торг'!$B:$Q,E$1,0)</f>
        <v>Y</v>
      </c>
      <c r="F200" s="24">
        <f>VLOOKUP($B200,'Выгр Торг'!$B:$Q,F$1,0)</f>
        <v>0</v>
      </c>
      <c r="G200" s="24" t="str">
        <f>VLOOKUP($B200,'Выгр Торг'!$B:$Q,G$1,0)</f>
        <v>620228136R</v>
      </c>
      <c r="H200" s="24" t="str">
        <f>IF(VLOOKUP($B200,'Выгр Торг'!$B:$Q,H$1,0)=0,"",VLOOKUP($B200,'Выгр Торг'!$B:$Q,H$1,0))</f>
        <v>https://motorring.ru/product/13641-standartnyy-peredniy-bamper-lada-iksrey</v>
      </c>
      <c r="I200" s="24"/>
      <c r="J200" s="24"/>
      <c r="K200" s="35">
        <f t="shared" si="34"/>
        <v>6923</v>
      </c>
      <c r="L200" s="26">
        <f>VLOOKUP(K200,Наценка!$A$1:$B$8,2,1)</f>
        <v>1.35</v>
      </c>
      <c r="M200" s="27">
        <f t="shared" si="35"/>
        <v>9346.0500000000011</v>
      </c>
      <c r="N200" s="28">
        <f t="shared" si="36"/>
        <v>9390</v>
      </c>
      <c r="O200" s="24">
        <f>VLOOKUP($B200,'Выгр Торг'!$B:$Q,O$1,0)</f>
        <v>6923</v>
      </c>
      <c r="P200" s="24">
        <f>VLOOKUP($B200,'Выгр Торг'!$B:$Q,P$1,0)</f>
        <v>10290</v>
      </c>
      <c r="Q200" s="18">
        <f t="shared" si="37"/>
        <v>0</v>
      </c>
      <c r="R200" s="18">
        <f t="shared" si="38"/>
        <v>900</v>
      </c>
      <c r="S200" s="29">
        <f t="shared" si="39"/>
        <v>9390</v>
      </c>
      <c r="T200" s="30">
        <f t="shared" si="40"/>
        <v>0.35634840387115418</v>
      </c>
      <c r="U200" s="30" t="str">
        <f t="shared" si="41"/>
        <v/>
      </c>
      <c r="V200" s="30">
        <f t="shared" si="42"/>
        <v>-1</v>
      </c>
      <c r="W200" s="13">
        <f t="shared" si="33"/>
        <v>0</v>
      </c>
      <c r="X200" s="32">
        <f>IFERROR((VLOOKUP($B200,'Из ГУГЛа'!$B:$Z,X$1,0)+Z200)*Y200,VLOOKUP($B200,'Из ГУГЛа'!$B:$Z,X$1,0))</f>
        <v>0</v>
      </c>
      <c r="Y200" s="33">
        <v>1</v>
      </c>
      <c r="Z200" s="33"/>
      <c r="AA200" s="31"/>
      <c r="AB200" s="31" t="s">
        <v>3656</v>
      </c>
    </row>
    <row r="201" spans="1:28" ht="30" x14ac:dyDescent="0.25">
      <c r="A201" s="25" t="str">
        <f>INDEX('Выгр Торг'!$A:$A,MATCH($B201,'Выгр Торг'!$B:$B,0))</f>
        <v>Оригинальный задний бампер (голый) для Лада Веста</v>
      </c>
      <c r="B201" s="24">
        <v>249828</v>
      </c>
      <c r="C201" s="24">
        <f>VLOOKUP($B201,'Выгр Торг'!$B:$Q,C$1,0)</f>
        <v>174342</v>
      </c>
      <c r="D201" s="25" t="str">
        <f>VLOOKUP($B201,'Выгр Торг'!$B:$Q,D$1,0)</f>
        <v>Оригинальный задний бампер (голый) для Лада Веста (Без покраски)</v>
      </c>
      <c r="E201" s="24" t="str">
        <f>VLOOKUP($B201,'Выгр Торг'!$B:$Q,E$1,0)</f>
        <v>Y</v>
      </c>
      <c r="F201" s="24">
        <f>VLOOKUP($B201,'Выгр Торг'!$B:$Q,F$1,0)</f>
        <v>0</v>
      </c>
      <c r="G201" s="24" t="str">
        <f>VLOOKUP($B201,'Выгр Торг'!$B:$Q,G$1,0)</f>
        <v>8450006699</v>
      </c>
      <c r="H201" s="24" t="str">
        <f>IF(VLOOKUP($B201,'Выгр Торг'!$B:$Q,H$1,0)=0,"",VLOOKUP($B201,'Выгр Торг'!$B:$Q,H$1,0))</f>
        <v>https://motorring.ru/product/10321-zadniy-bamper-golyy-lada-vesta</v>
      </c>
      <c r="I201" s="24"/>
      <c r="J201" s="24"/>
      <c r="K201" s="35">
        <f t="shared" si="34"/>
        <v>4016</v>
      </c>
      <c r="L201" s="26">
        <f>VLOOKUP(K201,Наценка!$A$1:$B$8,2,1)</f>
        <v>1.4</v>
      </c>
      <c r="M201" s="27">
        <f t="shared" si="35"/>
        <v>5622.4</v>
      </c>
      <c r="N201" s="28">
        <f t="shared" si="36"/>
        <v>5690</v>
      </c>
      <c r="O201" s="24">
        <f>VLOOKUP($B201,'Выгр Торг'!$B:$Q,O$1,0)</f>
        <v>4016</v>
      </c>
      <c r="P201" s="24">
        <f>VLOOKUP($B201,'Выгр Торг'!$B:$Q,P$1,0)</f>
        <v>5790</v>
      </c>
      <c r="Q201" s="18">
        <f t="shared" si="37"/>
        <v>0</v>
      </c>
      <c r="R201" s="18">
        <f t="shared" si="38"/>
        <v>100</v>
      </c>
      <c r="S201" s="29">
        <f t="shared" si="39"/>
        <v>5690</v>
      </c>
      <c r="T201" s="30">
        <f t="shared" si="40"/>
        <v>0.41683266932270913</v>
      </c>
      <c r="U201" s="30" t="str">
        <f t="shared" si="41"/>
        <v/>
      </c>
      <c r="V201" s="30">
        <f t="shared" si="42"/>
        <v>-1</v>
      </c>
      <c r="W201" s="13">
        <f t="shared" si="33"/>
        <v>0</v>
      </c>
      <c r="X201" s="32">
        <f>IFERROR((VLOOKUP($B201,'Из ГУГЛа'!$B:$Z,X$1,0)+Z201)*Y201,VLOOKUP($B201,'Из ГУГЛа'!$B:$Z,X$1,0))</f>
        <v>0</v>
      </c>
      <c r="Y201" s="33">
        <v>1</v>
      </c>
      <c r="Z201" s="33"/>
      <c r="AA201" s="31"/>
      <c r="AB201" s="31" t="s">
        <v>3664</v>
      </c>
    </row>
    <row r="202" spans="1:28" ht="45" x14ac:dyDescent="0.25">
      <c r="A202" s="25" t="str">
        <f>INDEX('Выгр Торг'!$A:$A,MATCH($B202,'Выгр Торг'!$B:$B,0))</f>
        <v>Оригинальный задний бампер для Лада Гранта FL</v>
      </c>
      <c r="B202" s="24">
        <v>249881</v>
      </c>
      <c r="C202" s="24">
        <f>VLOOKUP($B202,'Выгр Торг'!$B:$Q,C$1,0)</f>
        <v>170032</v>
      </c>
      <c r="D202" s="25" t="str">
        <f>VLOOKUP($B202,'Выгр Торг'!$B:$Q,D$1,0)</f>
        <v>Оригинальный задний бампер для Лада Гранта FL (Без покраски, Без отверстий под парктроники)</v>
      </c>
      <c r="E202" s="24" t="str">
        <f>VLOOKUP($B202,'Выгр Торг'!$B:$Q,E$1,0)</f>
        <v>Y</v>
      </c>
      <c r="F202" s="24">
        <f>VLOOKUP($B202,'Выгр Торг'!$B:$Q,F$1,0)</f>
        <v>0</v>
      </c>
      <c r="G202" s="24" t="str">
        <f>VLOOKUP($B202,'Выгр Торг'!$B:$Q,G$1,0)</f>
        <v>8450103787</v>
      </c>
      <c r="H202" s="24" t="str">
        <f>IF(VLOOKUP($B202,'Выгр Торг'!$B:$Q,H$1,0)=0,"",VLOOKUP($B202,'Выгр Торг'!$B:$Q,H$1,0))</f>
        <v>https://motorring.ru/product/19948-zadniy-bamper-lada-granta-sedan</v>
      </c>
      <c r="I202" s="24"/>
      <c r="J202" s="24"/>
      <c r="K202" s="35">
        <f t="shared" si="34"/>
        <v>3690</v>
      </c>
      <c r="L202" s="26">
        <f>VLOOKUP(K202,Наценка!$A$1:$B$8,2,1)</f>
        <v>1.4</v>
      </c>
      <c r="M202" s="27">
        <f t="shared" si="35"/>
        <v>5166</v>
      </c>
      <c r="N202" s="28">
        <f t="shared" si="36"/>
        <v>5190</v>
      </c>
      <c r="O202" s="24">
        <f>VLOOKUP($B202,'Выгр Торг'!$B:$Q,O$1,0)</f>
        <v>3690</v>
      </c>
      <c r="P202" s="24">
        <f>VLOOKUP($B202,'Выгр Торг'!$B:$Q,P$1,0)</f>
        <v>5090</v>
      </c>
      <c r="Q202" s="18">
        <f t="shared" si="37"/>
        <v>0</v>
      </c>
      <c r="R202" s="18">
        <f t="shared" si="38"/>
        <v>-100</v>
      </c>
      <c r="S202" s="29">
        <f t="shared" si="39"/>
        <v>5190</v>
      </c>
      <c r="T202" s="30">
        <f t="shared" si="40"/>
        <v>0.4065040650406504</v>
      </c>
      <c r="U202" s="30" t="str">
        <f t="shared" si="41"/>
        <v/>
      </c>
      <c r="V202" s="30">
        <f t="shared" si="42"/>
        <v>-1</v>
      </c>
      <c r="W202" s="13">
        <f t="shared" si="33"/>
        <v>0</v>
      </c>
      <c r="X202" s="32">
        <f>IFERROR((VLOOKUP($B202,'Из ГУГЛа'!$B:$Z,X$1,0)+Z202)*Y202,VLOOKUP($B202,'Из ГУГЛа'!$B:$Z,X$1,0))</f>
        <v>0</v>
      </c>
      <c r="Y202" s="33">
        <v>1</v>
      </c>
      <c r="Z202" s="33"/>
      <c r="AA202" s="31"/>
      <c r="AB202" s="31" t="s">
        <v>3672</v>
      </c>
    </row>
    <row r="203" spans="1:28" ht="45" x14ac:dyDescent="0.25">
      <c r="A203" s="25" t="str">
        <f>INDEX('Выгр Торг'!$A:$A,MATCH($B203,'Выгр Торг'!$B:$B,0))</f>
        <v>Оригинальный задний бампер для Лада Гранта FL</v>
      </c>
      <c r="B203" s="24">
        <v>249882</v>
      </c>
      <c r="C203" s="24">
        <f>VLOOKUP($B203,'Выгр Торг'!$B:$Q,C$1,0)</f>
        <v>170033</v>
      </c>
      <c r="D203" s="25" t="str">
        <f>VLOOKUP($B203,'Выгр Торг'!$B:$Q,D$1,0)</f>
        <v>Оригинальный задний бампер для Лада Гранта FL (Без покраски, С отверстиями под парктроники)</v>
      </c>
      <c r="E203" s="24" t="str">
        <f>VLOOKUP($B203,'Выгр Торг'!$B:$Q,E$1,0)</f>
        <v>Y</v>
      </c>
      <c r="F203" s="24">
        <f>VLOOKUP($B203,'Выгр Торг'!$B:$Q,F$1,0)</f>
        <v>0</v>
      </c>
      <c r="G203" s="24" t="str">
        <f>VLOOKUP($B203,'Выгр Торг'!$B:$Q,G$1,0)</f>
        <v>8450103789</v>
      </c>
      <c r="H203" s="24" t="str">
        <f>IF(VLOOKUP($B203,'Выгр Торг'!$B:$Q,H$1,0)=0,"",VLOOKUP($B203,'Выгр Торг'!$B:$Q,H$1,0))</f>
        <v>https://motorring.ru/product/19948-zadniy-bamper-lada-granta-sedan</v>
      </c>
      <c r="I203" s="24"/>
      <c r="J203" s="24"/>
      <c r="K203" s="35">
        <f t="shared" si="34"/>
        <v>3695</v>
      </c>
      <c r="L203" s="26">
        <f>VLOOKUP(K203,Наценка!$A$1:$B$8,2,1)</f>
        <v>1.4</v>
      </c>
      <c r="M203" s="27">
        <f t="shared" si="35"/>
        <v>5173</v>
      </c>
      <c r="N203" s="28">
        <f t="shared" si="36"/>
        <v>5190</v>
      </c>
      <c r="O203" s="24">
        <f>VLOOKUP($B203,'Выгр Торг'!$B:$Q,O$1,0)</f>
        <v>3695</v>
      </c>
      <c r="P203" s="24">
        <f>VLOOKUP($B203,'Выгр Торг'!$B:$Q,P$1,0)</f>
        <v>5090</v>
      </c>
      <c r="Q203" s="18">
        <f t="shared" si="37"/>
        <v>0</v>
      </c>
      <c r="R203" s="18">
        <f t="shared" si="38"/>
        <v>-100</v>
      </c>
      <c r="S203" s="29">
        <f t="shared" si="39"/>
        <v>5190</v>
      </c>
      <c r="T203" s="30">
        <f t="shared" si="40"/>
        <v>0.4046008119079838</v>
      </c>
      <c r="U203" s="30" t="str">
        <f t="shared" si="41"/>
        <v/>
      </c>
      <c r="V203" s="30">
        <f t="shared" si="42"/>
        <v>-1</v>
      </c>
      <c r="W203" s="13">
        <f t="shared" si="33"/>
        <v>0</v>
      </c>
      <c r="X203" s="32">
        <f>IFERROR((VLOOKUP($B203,'Из ГУГЛа'!$B:$Z,X$1,0)+Z203)*Y203,VLOOKUP($B203,'Из ГУГЛа'!$B:$Z,X$1,0))</f>
        <v>0</v>
      </c>
      <c r="Y203" s="33">
        <v>1</v>
      </c>
      <c r="Z203" s="33"/>
      <c r="AA203" s="31"/>
      <c r="AB203" s="31" t="s">
        <v>3672</v>
      </c>
    </row>
    <row r="204" spans="1:28" ht="30" x14ac:dyDescent="0.25">
      <c r="A204" s="25" t="str">
        <f>INDEX('Выгр Торг'!$A:$A,MATCH($B204,'Выгр Торг'!$B:$B,0))</f>
        <v>Оригинальный задний бампер для Лада Гранта седан</v>
      </c>
      <c r="B204" s="24">
        <v>249858</v>
      </c>
      <c r="C204" s="24">
        <f>VLOOKUP($B204,'Выгр Торг'!$B:$Q,C$1,0)</f>
        <v>173213</v>
      </c>
      <c r="D204" s="25" t="str">
        <f>VLOOKUP($B204,'Выгр Торг'!$B:$Q,D$1,0)</f>
        <v>Оригинальный задний бампер для Лада Гранта (Без покраски)</v>
      </c>
      <c r="E204" s="24" t="str">
        <f>VLOOKUP($B204,'Выгр Торг'!$B:$Q,E$1,0)</f>
        <v>Y</v>
      </c>
      <c r="F204" s="24">
        <f>VLOOKUP($B204,'Выгр Торг'!$B:$Q,F$1,0)</f>
        <v>0</v>
      </c>
      <c r="G204" s="24" t="str">
        <f>VLOOKUP($B204,'Выгр Торг'!$B:$Q,G$1,0)</f>
        <v>2190280401510</v>
      </c>
      <c r="H204" s="24" t="str">
        <f>IF(VLOOKUP($B204,'Выгр Торг'!$B:$Q,H$1,0)=0,"",VLOOKUP($B204,'Выгр Торг'!$B:$Q,H$1,0))</f>
        <v>https://motorring.ru/product/16101-zadniy-bamper-lada-granta-sedan</v>
      </c>
      <c r="I204" s="24"/>
      <c r="J204" s="24"/>
      <c r="K204" s="35">
        <f t="shared" si="34"/>
        <v>5600</v>
      </c>
      <c r="L204" s="26">
        <f>VLOOKUP(K204,Наценка!$A$1:$B$8,2,1)</f>
        <v>1.35</v>
      </c>
      <c r="M204" s="27">
        <f t="shared" si="35"/>
        <v>7560.0000000000009</v>
      </c>
      <c r="N204" s="28">
        <f t="shared" si="36"/>
        <v>7590</v>
      </c>
      <c r="O204" s="24">
        <f>VLOOKUP($B204,'Выгр Торг'!$B:$Q,O$1,0)</f>
        <v>5600</v>
      </c>
      <c r="P204" s="24">
        <f>VLOOKUP($B204,'Выгр Торг'!$B:$Q,P$1,0)</f>
        <v>7790</v>
      </c>
      <c r="Q204" s="18">
        <f t="shared" si="37"/>
        <v>0</v>
      </c>
      <c r="R204" s="18">
        <f t="shared" si="38"/>
        <v>200</v>
      </c>
      <c r="S204" s="29">
        <f t="shared" si="39"/>
        <v>7590</v>
      </c>
      <c r="T204" s="30">
        <f t="shared" si="40"/>
        <v>0.35535714285714293</v>
      </c>
      <c r="U204" s="30" t="str">
        <f t="shared" si="41"/>
        <v/>
      </c>
      <c r="V204" s="30">
        <f t="shared" si="42"/>
        <v>-1</v>
      </c>
      <c r="W204" s="13">
        <f t="shared" si="33"/>
        <v>0</v>
      </c>
      <c r="X204" s="32">
        <f>IFERROR((VLOOKUP($B204,'Из ГУГЛа'!$B:$Z,X$1,0)+Z204)*Y204,VLOOKUP($B204,'Из ГУГЛа'!$B:$Z,X$1,0))</f>
        <v>0</v>
      </c>
      <c r="Y204" s="33">
        <v>1</v>
      </c>
      <c r="Z204" s="33"/>
      <c r="AA204" s="31"/>
      <c r="AB204" s="31" t="s">
        <v>3688</v>
      </c>
    </row>
    <row r="205" spans="1:28" ht="60" x14ac:dyDescent="0.25">
      <c r="A205" s="25" t="str">
        <f>INDEX('Выгр Торг'!$A:$A,MATCH($B205,'Выгр Торг'!$B:$B,0))</f>
        <v>Оригинальный задний бампер для Лада Приора 2 (хэтчбек)</v>
      </c>
      <c r="B205" s="24">
        <v>249936</v>
      </c>
      <c r="C205" s="24">
        <f>VLOOKUP($B205,'Выгр Торг'!$B:$Q,C$1,0)</f>
        <v>173280</v>
      </c>
      <c r="D205" s="25" t="str">
        <f>VLOOKUP($B205,'Выгр Торг'!$B:$Q,D$1,0)</f>
        <v>Оригинальный задний бампер для Лада Приора 2 (хэтчбек) (Без отверстий под парктроники, Без покраски)</v>
      </c>
      <c r="E205" s="24" t="str">
        <f>VLOOKUP($B205,'Выгр Торг'!$B:$Q,E$1,0)</f>
        <v>Y</v>
      </c>
      <c r="F205" s="24">
        <f>VLOOKUP($B205,'Выгр Торг'!$B:$Q,F$1,0)</f>
        <v>0</v>
      </c>
      <c r="G205" s="24" t="str">
        <f>VLOOKUP($B205,'Выгр Торг'!$B:$Q,G$1,0)</f>
        <v>21724280401501</v>
      </c>
      <c r="H205" s="24" t="str">
        <f>IF(VLOOKUP($B205,'Выгр Торг'!$B:$Q,H$1,0)=0,"",VLOOKUP($B205,'Выгр Торг'!$B:$Q,H$1,0))</f>
        <v>https://motorring.ru/product/2891-zadniy-bamper-restayling-lada-priora-hetchbek</v>
      </c>
      <c r="I205" s="24"/>
      <c r="J205" s="24"/>
      <c r="K205" s="35">
        <f t="shared" si="34"/>
        <v>2793</v>
      </c>
      <c r="L205" s="26">
        <f>VLOOKUP(K205,Наценка!$A$1:$B$8,2,1)</f>
        <v>1.4</v>
      </c>
      <c r="M205" s="27">
        <f t="shared" si="35"/>
        <v>3910.2</v>
      </c>
      <c r="N205" s="28">
        <f t="shared" si="36"/>
        <v>3990</v>
      </c>
      <c r="O205" s="24">
        <f>VLOOKUP($B205,'Выгр Торг'!$B:$Q,O$1,0)</f>
        <v>2793</v>
      </c>
      <c r="P205" s="24">
        <f>VLOOKUP($B205,'Выгр Торг'!$B:$Q,P$1,0)</f>
        <v>4290</v>
      </c>
      <c r="Q205" s="18">
        <f t="shared" si="37"/>
        <v>0</v>
      </c>
      <c r="R205" s="18">
        <f t="shared" si="38"/>
        <v>300</v>
      </c>
      <c r="S205" s="29">
        <f t="shared" si="39"/>
        <v>3990</v>
      </c>
      <c r="T205" s="30">
        <f t="shared" si="40"/>
        <v>0.4285714285714286</v>
      </c>
      <c r="U205" s="30" t="str">
        <f t="shared" si="41"/>
        <v/>
      </c>
      <c r="V205" s="30">
        <f t="shared" si="42"/>
        <v>-1</v>
      </c>
      <c r="W205" s="13">
        <f t="shared" si="33"/>
        <v>0</v>
      </c>
      <c r="X205" s="32">
        <f>IFERROR((VLOOKUP($B205,'Из ГУГЛа'!$B:$Z,X$1,0)+Z205)*Y205,VLOOKUP($B205,'Из ГУГЛа'!$B:$Z,X$1,0))</f>
        <v>0</v>
      </c>
      <c r="Y205" s="33">
        <v>1</v>
      </c>
      <c r="Z205" s="33"/>
      <c r="AA205" s="31"/>
      <c r="AB205" s="31" t="s">
        <v>3696</v>
      </c>
    </row>
    <row r="206" spans="1:28" ht="60" x14ac:dyDescent="0.25">
      <c r="A206" s="25" t="str">
        <f>INDEX('Выгр Торг'!$A:$A,MATCH($B206,'Выгр Торг'!$B:$B,0))</f>
        <v>Оригинальный задний бампер для Лада Приора 2 (хэтчбек)</v>
      </c>
      <c r="B206" s="24">
        <v>249964</v>
      </c>
      <c r="C206" s="24">
        <f>VLOOKUP($B206,'Выгр Торг'!$B:$Q,C$1,0)</f>
        <v>173281</v>
      </c>
      <c r="D206" s="25" t="str">
        <f>VLOOKUP($B206,'Выгр Торг'!$B:$Q,D$1,0)</f>
        <v>Оригинальный задний бампер для Лада Приора 2 (хэтчбек) (С отверстиями под парктроники, Без покраски)</v>
      </c>
      <c r="E206" s="24" t="str">
        <f>VLOOKUP($B206,'Выгр Торг'!$B:$Q,E$1,0)</f>
        <v>Y</v>
      </c>
      <c r="F206" s="24">
        <f>VLOOKUP($B206,'Выгр Торг'!$B:$Q,F$1,0)</f>
        <v>0</v>
      </c>
      <c r="G206" s="24" t="str">
        <f>VLOOKUP($B206,'Выгр Торг'!$B:$Q,G$1,0)</f>
        <v>21724280401511</v>
      </c>
      <c r="H206" s="24" t="str">
        <f>IF(VLOOKUP($B206,'Выгр Торг'!$B:$Q,H$1,0)=0,"",VLOOKUP($B206,'Выгр Торг'!$B:$Q,H$1,0))</f>
        <v>https://motorring.ru/product/2891-zadniy-bamper-restayling-lada-priora-hetchbek</v>
      </c>
      <c r="I206" s="24"/>
      <c r="J206" s="24"/>
      <c r="K206" s="35">
        <f t="shared" si="34"/>
        <v>3390</v>
      </c>
      <c r="L206" s="26">
        <f>VLOOKUP(K206,Наценка!$A$1:$B$8,2,1)</f>
        <v>1.4</v>
      </c>
      <c r="M206" s="27">
        <f t="shared" si="35"/>
        <v>4746</v>
      </c>
      <c r="N206" s="28">
        <f t="shared" si="36"/>
        <v>4790</v>
      </c>
      <c r="O206" s="24">
        <f>VLOOKUP($B206,'Выгр Торг'!$B:$Q,O$1,0)</f>
        <v>3390</v>
      </c>
      <c r="P206" s="24">
        <f>VLOOKUP($B206,'Выгр Торг'!$B:$Q,P$1,0)</f>
        <v>4290</v>
      </c>
      <c r="Q206" s="18">
        <f t="shared" si="37"/>
        <v>0</v>
      </c>
      <c r="R206" s="18">
        <f t="shared" si="38"/>
        <v>-500</v>
      </c>
      <c r="S206" s="29">
        <f t="shared" si="39"/>
        <v>4790</v>
      </c>
      <c r="T206" s="30">
        <f t="shared" si="40"/>
        <v>0.41297935103244843</v>
      </c>
      <c r="U206" s="30" t="str">
        <f t="shared" si="41"/>
        <v/>
      </c>
      <c r="V206" s="30">
        <f t="shared" si="42"/>
        <v>-1</v>
      </c>
      <c r="W206" s="13">
        <f t="shared" si="33"/>
        <v>0</v>
      </c>
      <c r="X206" s="32">
        <f>IFERROR((VLOOKUP($B206,'Из ГУГЛа'!$B:$Z,X$1,0)+Z206)*Y206,VLOOKUP($B206,'Из ГУГЛа'!$B:$Z,X$1,0))</f>
        <v>0</v>
      </c>
      <c r="Y206" s="33">
        <v>1</v>
      </c>
      <c r="Z206" s="33"/>
      <c r="AA206" s="31"/>
      <c r="AB206" s="31" t="s">
        <v>3696</v>
      </c>
    </row>
    <row r="207" spans="1:28" ht="45" x14ac:dyDescent="0.25">
      <c r="A207" s="25" t="str">
        <f>INDEX('Выгр Торг'!$A:$A,MATCH($B207,'Выгр Торг'!$B:$B,0))</f>
        <v>Оригинальный задний бампер для Лада Приора седан</v>
      </c>
      <c r="B207" s="24">
        <v>268326</v>
      </c>
      <c r="C207" s="24">
        <f>VLOOKUP($B207,'Выгр Торг'!$B:$Q,C$1,0)</f>
        <v>174314</v>
      </c>
      <c r="D207" s="25" t="str">
        <f>VLOOKUP($B207,'Выгр Торг'!$B:$Q,D$1,0)</f>
        <v>Оригинальный задний бампер для Лада Приора седан (Без отвертий под парктроник, Без покраски)</v>
      </c>
      <c r="E207" s="24" t="str">
        <f>VLOOKUP($B207,'Выгр Торг'!$B:$Q,E$1,0)</f>
        <v>Y</v>
      </c>
      <c r="F207" s="24">
        <f>VLOOKUP($B207,'Выгр Торг'!$B:$Q,F$1,0)</f>
        <v>0</v>
      </c>
      <c r="G207" s="24" t="str">
        <f>VLOOKUP($B207,'Выгр Торг'!$B:$Q,G$1,0)</f>
        <v>21700280401501</v>
      </c>
      <c r="H207" s="24" t="str">
        <f>IF(VLOOKUP($B207,'Выгр Торг'!$B:$Q,H$1,0)=0,"",VLOOKUP($B207,'Выгр Торг'!$B:$Q,H$1,0))</f>
        <v>https://motorring.ru/product/16095-zadniy-bamper-lada-priora-sedan</v>
      </c>
      <c r="I207" s="24"/>
      <c r="J207" s="24"/>
      <c r="K207" s="35">
        <f t="shared" si="34"/>
        <v>1863</v>
      </c>
      <c r="L207" s="26">
        <f>VLOOKUP(K207,Наценка!$A$1:$B$8,2,1)</f>
        <v>1.5</v>
      </c>
      <c r="M207" s="27">
        <f t="shared" si="35"/>
        <v>2794.5</v>
      </c>
      <c r="N207" s="28">
        <f t="shared" si="36"/>
        <v>2790</v>
      </c>
      <c r="O207" s="24">
        <f>VLOOKUP($B207,'Выгр Торг'!$B:$Q,O$1,0)</f>
        <v>1863</v>
      </c>
      <c r="P207" s="24">
        <f>VLOOKUP($B207,'Выгр Торг'!$B:$Q,P$1,0)</f>
        <v>3890</v>
      </c>
      <c r="Q207" s="18">
        <f t="shared" si="37"/>
        <v>0</v>
      </c>
      <c r="R207" s="18">
        <f t="shared" si="38"/>
        <v>1100</v>
      </c>
      <c r="S207" s="29">
        <f t="shared" si="39"/>
        <v>2790</v>
      </c>
      <c r="T207" s="30">
        <f t="shared" si="40"/>
        <v>0.49758454106280192</v>
      </c>
      <c r="U207" s="30" t="str">
        <f t="shared" si="41"/>
        <v/>
      </c>
      <c r="V207" s="30">
        <f t="shared" si="42"/>
        <v>-1</v>
      </c>
      <c r="W207" s="13">
        <f t="shared" si="33"/>
        <v>0</v>
      </c>
      <c r="X207" s="32">
        <f>IFERROR((VLOOKUP($B207,'Из ГУГЛа'!$B:$Z,X$1,0)+Z207)*Y207,VLOOKUP($B207,'Из ГУГЛа'!$B:$Z,X$1,0))</f>
        <v>0</v>
      </c>
      <c r="Y207" s="33">
        <v>1</v>
      </c>
      <c r="Z207" s="33"/>
      <c r="AA207" s="31"/>
      <c r="AB207" s="31" t="s">
        <v>3712</v>
      </c>
    </row>
    <row r="208" spans="1:28" ht="45" x14ac:dyDescent="0.25">
      <c r="A208" s="25" t="str">
        <f>INDEX('Выгр Торг'!$A:$A,MATCH($B208,'Выгр Торг'!$B:$B,0))</f>
        <v>Оригинальный задний бампер для Лада Приора седан</v>
      </c>
      <c r="B208" s="24">
        <v>268354</v>
      </c>
      <c r="C208" s="24">
        <f>VLOOKUP($B208,'Выгр Торг'!$B:$Q,C$1,0)</f>
        <v>216793</v>
      </c>
      <c r="D208" s="25" t="str">
        <f>VLOOKUP($B208,'Выгр Торг'!$B:$Q,D$1,0)</f>
        <v>Оригинальный задний бампер для Лада Приора седан (С отверстиями под парктроники Без покраски)</v>
      </c>
      <c r="E208" s="24" t="str">
        <f>VLOOKUP($B208,'Выгр Торг'!$B:$Q,E$1,0)</f>
        <v>Y</v>
      </c>
      <c r="F208" s="24">
        <f>VLOOKUP($B208,'Выгр Торг'!$B:$Q,F$1,0)</f>
        <v>0</v>
      </c>
      <c r="G208" s="24" t="str">
        <f>VLOOKUP($B208,'Выгр Торг'!$B:$Q,G$1,0)</f>
        <v>21700280401511</v>
      </c>
      <c r="H208" s="24" t="str">
        <f>IF(VLOOKUP($B208,'Выгр Торг'!$B:$Q,H$1,0)=0,"",VLOOKUP($B208,'Выгр Торг'!$B:$Q,H$1,0))</f>
        <v>https://motorring.ru/product/19948-zadniy-bamper-lada-granta-sedan</v>
      </c>
      <c r="I208" s="24"/>
      <c r="J208" s="24"/>
      <c r="K208" s="35">
        <f t="shared" si="34"/>
        <v>1568</v>
      </c>
      <c r="L208" s="26">
        <f>VLOOKUP(K208,Наценка!$A$1:$B$8,2,1)</f>
        <v>1.5</v>
      </c>
      <c r="M208" s="27">
        <f t="shared" si="35"/>
        <v>2352</v>
      </c>
      <c r="N208" s="28">
        <f t="shared" si="36"/>
        <v>2390</v>
      </c>
      <c r="O208" s="24">
        <f>VLOOKUP($B208,'Выгр Торг'!$B:$Q,O$1,0)</f>
        <v>1568</v>
      </c>
      <c r="P208" s="24">
        <f>VLOOKUP($B208,'Выгр Торг'!$B:$Q,P$1,0)</f>
        <v>5090</v>
      </c>
      <c r="Q208" s="18">
        <f t="shared" si="37"/>
        <v>0</v>
      </c>
      <c r="R208" s="18">
        <f t="shared" si="38"/>
        <v>2700</v>
      </c>
      <c r="S208" s="29">
        <f t="shared" si="39"/>
        <v>2390</v>
      </c>
      <c r="T208" s="30">
        <f t="shared" si="40"/>
        <v>0.52423469387755106</v>
      </c>
      <c r="U208" s="30" t="str">
        <f t="shared" si="41"/>
        <v/>
      </c>
      <c r="V208" s="30">
        <f t="shared" si="42"/>
        <v>-1</v>
      </c>
      <c r="W208" s="13">
        <f t="shared" si="33"/>
        <v>0</v>
      </c>
      <c r="X208" s="32">
        <f>IFERROR((VLOOKUP($B208,'Из ГУГЛа'!$B:$Z,X$1,0)+Z208)*Y208,VLOOKUP($B208,'Из ГУГЛа'!$B:$Z,X$1,0))</f>
        <v>0</v>
      </c>
      <c r="Y208" s="33">
        <v>1</v>
      </c>
      <c r="Z208" s="33"/>
      <c r="AA208" s="31"/>
      <c r="AB208" s="31" t="s">
        <v>3672</v>
      </c>
    </row>
    <row r="209" spans="1:28" ht="45" x14ac:dyDescent="0.25">
      <c r="A209" s="25" t="str">
        <f>INDEX('Выгр Торг'!$A:$A,MATCH($B209,'Выгр Торг'!$B:$B,0))</f>
        <v>Оригинальный задний бампер нового образца для Лада Приора 2 седан</v>
      </c>
      <c r="B209" s="24">
        <v>250020</v>
      </c>
      <c r="C209" s="24">
        <f>VLOOKUP($B209,'Выгр Торг'!$B:$Q,C$1,0)</f>
        <v>174245</v>
      </c>
      <c r="D209" s="25" t="str">
        <f>VLOOKUP($B209,'Выгр Торг'!$B:$Q,D$1,0)</f>
        <v>Оригинальный задний бампер нового образца для Лада Приора 2 седан (Без покраски)</v>
      </c>
      <c r="E209" s="24" t="str">
        <f>VLOOKUP($B209,'Выгр Торг'!$B:$Q,E$1,0)</f>
        <v>Y</v>
      </c>
      <c r="F209" s="24">
        <f>VLOOKUP($B209,'Выгр Торг'!$B:$Q,F$1,0)</f>
        <v>0</v>
      </c>
      <c r="G209" s="24" t="str">
        <f>VLOOKUP($B209,'Выгр Торг'!$B:$Q,G$1,0)</f>
        <v>21704280401501</v>
      </c>
      <c r="H209" s="24" t="str">
        <f>IF(VLOOKUP($B209,'Выгр Торг'!$B:$Q,H$1,0)=0,"",VLOOKUP($B209,'Выгр Торг'!$B:$Q,H$1,0))</f>
        <v>https://motorring.ru/product/1364-zadniy-bamper-restayling-lada-priora-sedan</v>
      </c>
      <c r="I209" s="24"/>
      <c r="J209" s="24"/>
      <c r="K209" s="35">
        <f t="shared" si="34"/>
        <v>2622</v>
      </c>
      <c r="L209" s="26">
        <f>VLOOKUP(K209,Наценка!$A$1:$B$8,2,1)</f>
        <v>1.4</v>
      </c>
      <c r="M209" s="27">
        <f t="shared" si="35"/>
        <v>3670.7999999999997</v>
      </c>
      <c r="N209" s="28">
        <f t="shared" si="36"/>
        <v>3690</v>
      </c>
      <c r="O209" s="24">
        <f>VLOOKUP($B209,'Выгр Торг'!$B:$Q,O$1,0)</f>
        <v>2622</v>
      </c>
      <c r="P209" s="24">
        <f>VLOOKUP($B209,'Выгр Торг'!$B:$Q,P$1,0)</f>
        <v>4290</v>
      </c>
      <c r="Q209" s="18">
        <f t="shared" si="37"/>
        <v>0</v>
      </c>
      <c r="R209" s="18">
        <f t="shared" si="38"/>
        <v>600</v>
      </c>
      <c r="S209" s="29">
        <f t="shared" si="39"/>
        <v>3690</v>
      </c>
      <c r="T209" s="30">
        <f t="shared" si="40"/>
        <v>0.40732265446224258</v>
      </c>
      <c r="U209" s="30" t="str">
        <f t="shared" si="41"/>
        <v/>
      </c>
      <c r="V209" s="30">
        <f t="shared" si="42"/>
        <v>-1</v>
      </c>
      <c r="W209" s="13">
        <f t="shared" si="33"/>
        <v>0</v>
      </c>
      <c r="X209" s="32">
        <f>IFERROR((VLOOKUP($B209,'Из ГУГЛа'!$B:$Z,X$1,0)+Z209)*Y209,VLOOKUP($B209,'Из ГУГЛа'!$B:$Z,X$1,0))</f>
        <v>0</v>
      </c>
      <c r="Y209" s="33">
        <v>1</v>
      </c>
      <c r="Z209" s="33"/>
      <c r="AA209" s="31"/>
      <c r="AB209" s="31" t="s">
        <v>3728</v>
      </c>
    </row>
    <row r="210" spans="1:28" ht="30" x14ac:dyDescent="0.25">
      <c r="A210" s="25" t="str">
        <f>INDEX('Выгр Торг'!$A:$A,MATCH($B210,'Выгр Торг'!$B:$B,0))</f>
        <v>Оригинальный капот для ВАЗ 2108-21099</v>
      </c>
      <c r="B210" s="24">
        <v>184838</v>
      </c>
      <c r="C210" s="24">
        <f>VLOOKUP($B210,'Выгр Торг'!$B:$Q,C$1,0)</f>
        <v>152408</v>
      </c>
      <c r="D210" s="25" t="str">
        <f>VLOOKUP($B210,'Выгр Торг'!$B:$Q,D$1,0)</f>
        <v>Оригинальный капот для ВАЗ 2108-21099 (Без покраски)</v>
      </c>
      <c r="E210" s="24" t="str">
        <f>VLOOKUP($B210,'Выгр Торг'!$B:$Q,E$1,0)</f>
        <v>Y</v>
      </c>
      <c r="F210" s="24">
        <f>VLOOKUP($B210,'Выгр Торг'!$B:$Q,F$1,0)</f>
        <v>0</v>
      </c>
      <c r="G210" s="24" t="str">
        <f>VLOOKUP($B210,'Выгр Торг'!$B:$Q,G$1,0)</f>
        <v>21093840201070</v>
      </c>
      <c r="H210" s="24" t="str">
        <f>IF(VLOOKUP($B210,'Выгр Торг'!$B:$Q,H$1,0)=0,"",VLOOKUP($B210,'Выгр Торг'!$B:$Q,H$1,0))</f>
        <v>https://motorring.ru/product/16039-kapot-cvet-vaz-2108-21099</v>
      </c>
      <c r="I210" s="24"/>
      <c r="J210" s="24"/>
      <c r="K210" s="35">
        <f t="shared" si="34"/>
        <v>7256</v>
      </c>
      <c r="L210" s="26">
        <f>VLOOKUP(K210,Наценка!$A$1:$B$8,2,1)</f>
        <v>1.35</v>
      </c>
      <c r="M210" s="27">
        <f t="shared" si="35"/>
        <v>9795.6</v>
      </c>
      <c r="N210" s="28">
        <f t="shared" si="36"/>
        <v>9790</v>
      </c>
      <c r="O210" s="24">
        <f>VLOOKUP($B210,'Выгр Торг'!$B:$Q,O$1,0)</f>
        <v>7256</v>
      </c>
      <c r="P210" s="24">
        <f>VLOOKUP($B210,'Выгр Торг'!$B:$Q,P$1,0)</f>
        <v>9990</v>
      </c>
      <c r="Q210" s="18">
        <f t="shared" si="37"/>
        <v>0</v>
      </c>
      <c r="R210" s="18">
        <f t="shared" si="38"/>
        <v>200</v>
      </c>
      <c r="S210" s="29">
        <f t="shared" si="39"/>
        <v>9790</v>
      </c>
      <c r="T210" s="30">
        <f t="shared" si="40"/>
        <v>0.34922822491730976</v>
      </c>
      <c r="U210" s="30" t="str">
        <f t="shared" si="41"/>
        <v/>
      </c>
      <c r="V210" s="30">
        <f t="shared" si="42"/>
        <v>-1</v>
      </c>
      <c r="W210" s="13">
        <f t="shared" si="33"/>
        <v>0</v>
      </c>
      <c r="X210" s="32">
        <f>IFERROR((VLOOKUP($B210,'Из ГУГЛа'!$B:$Z,X$1,0)+Z210)*Y210,VLOOKUP($B210,'Из ГУГЛа'!$B:$Z,X$1,0))</f>
        <v>0</v>
      </c>
      <c r="Y210" s="33">
        <v>1</v>
      </c>
      <c r="Z210" s="33"/>
      <c r="AA210" s="31"/>
      <c r="AB210" s="31" t="s">
        <v>3735</v>
      </c>
    </row>
    <row r="211" spans="1:28" ht="30" x14ac:dyDescent="0.25">
      <c r="A211" s="25" t="str">
        <f>INDEX('Выгр Торг'!$A:$A,MATCH($B211,'Выгр Торг'!$B:$B,0))</f>
        <v>Оригинальный капот для ВАЗ 2110-2112</v>
      </c>
      <c r="B211" s="24">
        <v>184865</v>
      </c>
      <c r="C211" s="24">
        <f>VLOOKUP($B211,'Выгр Торг'!$B:$Q,C$1,0)</f>
        <v>152631</v>
      </c>
      <c r="D211" s="25" t="str">
        <f>VLOOKUP($B211,'Выгр Торг'!$B:$Q,D$1,0)</f>
        <v>Оригинальный капот для ВАЗ 2110-2112 (Без покраски)</v>
      </c>
      <c r="E211" s="24" t="str">
        <f>VLOOKUP($B211,'Выгр Торг'!$B:$Q,E$1,0)</f>
        <v>Y</v>
      </c>
      <c r="F211" s="24">
        <f>VLOOKUP($B211,'Выгр Торг'!$B:$Q,F$1,0)</f>
        <v>0</v>
      </c>
      <c r="G211" s="24" t="str">
        <f>VLOOKUP($B211,'Выгр Торг'!$B:$Q,G$1,0)</f>
        <v>21100840201010</v>
      </c>
      <c r="H211" s="24" t="str">
        <f>IF(VLOOKUP($B211,'Выгр Торг'!$B:$Q,H$1,0)=0,"",VLOOKUP($B211,'Выгр Торг'!$B:$Q,H$1,0))</f>
        <v>https://motorring.ru/product/16046-kapot-cvet-vaz-2110-2112</v>
      </c>
      <c r="I211" s="24"/>
      <c r="J211" s="24"/>
      <c r="K211" s="35">
        <f t="shared" si="34"/>
        <v>9317</v>
      </c>
      <c r="L211" s="26">
        <f>VLOOKUP(K211,Наценка!$A$1:$B$8,2,1)</f>
        <v>1.35</v>
      </c>
      <c r="M211" s="27">
        <f t="shared" si="35"/>
        <v>12577.95</v>
      </c>
      <c r="N211" s="28">
        <f t="shared" si="36"/>
        <v>12590</v>
      </c>
      <c r="O211" s="24">
        <f>VLOOKUP($B211,'Выгр Торг'!$B:$Q,O$1,0)</f>
        <v>9317</v>
      </c>
      <c r="P211" s="24">
        <f>VLOOKUP($B211,'Выгр Торг'!$B:$Q,P$1,0)</f>
        <v>13290</v>
      </c>
      <c r="Q211" s="18">
        <f t="shared" si="37"/>
        <v>0</v>
      </c>
      <c r="R211" s="18">
        <f t="shared" si="38"/>
        <v>700</v>
      </c>
      <c r="S211" s="29">
        <f t="shared" si="39"/>
        <v>12590</v>
      </c>
      <c r="T211" s="30">
        <f t="shared" si="40"/>
        <v>0.35129333476440916</v>
      </c>
      <c r="U211" s="30" t="str">
        <f t="shared" si="41"/>
        <v/>
      </c>
      <c r="V211" s="30">
        <f t="shared" si="42"/>
        <v>-1</v>
      </c>
      <c r="W211" s="13">
        <f t="shared" si="33"/>
        <v>0</v>
      </c>
      <c r="X211" s="32">
        <f>IFERROR((VLOOKUP($B211,'Из ГУГЛа'!$B:$Z,X$1,0)+Z211)*Y211,VLOOKUP($B211,'Из ГУГЛа'!$B:$Z,X$1,0))</f>
        <v>0</v>
      </c>
      <c r="Y211" s="33">
        <v>1</v>
      </c>
      <c r="Z211" s="33"/>
      <c r="AA211" s="31"/>
      <c r="AB211" s="31" t="s">
        <v>3743</v>
      </c>
    </row>
    <row r="212" spans="1:28" ht="30" x14ac:dyDescent="0.25">
      <c r="A212" s="25" t="str">
        <f>INDEX('Выгр Торг'!$A:$A,MATCH($B212,'Выгр Торг'!$B:$B,0))</f>
        <v>Оригинальный капот для ВАЗ 2113-2115</v>
      </c>
      <c r="B212" s="24">
        <v>184892</v>
      </c>
      <c r="C212" s="24">
        <f>VLOOKUP($B212,'Выгр Торг'!$B:$Q,C$1,0)</f>
        <v>152437</v>
      </c>
      <c r="D212" s="25" t="str">
        <f>VLOOKUP($B212,'Выгр Торг'!$B:$Q,D$1,0)</f>
        <v>Оригинальный капот для ВАЗ 2113-2115 (Без покраски)</v>
      </c>
      <c r="E212" s="24" t="str">
        <f>VLOOKUP($B212,'Выгр Торг'!$B:$Q,E$1,0)</f>
        <v>Y</v>
      </c>
      <c r="F212" s="24">
        <f>VLOOKUP($B212,'Выгр Торг'!$B:$Q,F$1,0)</f>
        <v>0</v>
      </c>
      <c r="G212" s="24" t="str">
        <f>VLOOKUP($B212,'Выгр Торг'!$B:$Q,G$1,0)</f>
        <v>21140840201070</v>
      </c>
      <c r="H212" s="24" t="str">
        <f>IF(VLOOKUP($B212,'Выгр Торг'!$B:$Q,H$1,0)=0,"",VLOOKUP($B212,'Выгр Торг'!$B:$Q,H$1,0))</f>
        <v>https://motorring.ru/product/16044-kapot-cvet-vaz-2113-2114-2115</v>
      </c>
      <c r="I212" s="24"/>
      <c r="J212" s="24"/>
      <c r="K212" s="35">
        <f t="shared" si="34"/>
        <v>6952</v>
      </c>
      <c r="L212" s="26">
        <f>VLOOKUP(K212,Наценка!$A$1:$B$8,2,1)</f>
        <v>1.35</v>
      </c>
      <c r="M212" s="27">
        <f t="shared" si="35"/>
        <v>9385.2000000000007</v>
      </c>
      <c r="N212" s="28">
        <f t="shared" si="36"/>
        <v>9390</v>
      </c>
      <c r="O212" s="24">
        <f>VLOOKUP($B212,'Выгр Торг'!$B:$Q,O$1,0)</f>
        <v>6952</v>
      </c>
      <c r="P212" s="24">
        <f>VLOOKUP($B212,'Выгр Торг'!$B:$Q,P$1,0)</f>
        <v>9590</v>
      </c>
      <c r="Q212" s="18">
        <f t="shared" si="37"/>
        <v>0</v>
      </c>
      <c r="R212" s="18">
        <f t="shared" si="38"/>
        <v>200</v>
      </c>
      <c r="S212" s="29">
        <f t="shared" si="39"/>
        <v>9390</v>
      </c>
      <c r="T212" s="30">
        <f t="shared" si="40"/>
        <v>0.35069044879171463</v>
      </c>
      <c r="U212" s="30" t="str">
        <f t="shared" si="41"/>
        <v/>
      </c>
      <c r="V212" s="30">
        <f t="shared" si="42"/>
        <v>-1</v>
      </c>
      <c r="W212" s="13">
        <f t="shared" si="33"/>
        <v>0</v>
      </c>
      <c r="X212" s="32">
        <f>IFERROR((VLOOKUP($B212,'Из ГУГЛа'!$B:$Z,X$1,0)+Z212)*Y212,VLOOKUP($B212,'Из ГУГЛа'!$B:$Z,X$1,0))</f>
        <v>0</v>
      </c>
      <c r="Y212" s="33">
        <v>1</v>
      </c>
      <c r="Z212" s="33"/>
      <c r="AA212" s="31"/>
      <c r="AB212" s="31" t="s">
        <v>3751</v>
      </c>
    </row>
    <row r="213" spans="1:28" ht="30" x14ac:dyDescent="0.25">
      <c r="A213" s="25" t="str">
        <f>INDEX('Выгр Торг'!$A:$A,MATCH($B213,'Выгр Торг'!$B:$B,0))</f>
        <v>Оригинальный капот для Лада XRAY</v>
      </c>
      <c r="B213" s="24">
        <v>184927</v>
      </c>
      <c r="C213" s="24">
        <f>VLOOKUP($B213,'Выгр Торг'!$B:$Q,C$1,0)</f>
        <v>155237</v>
      </c>
      <c r="D213" s="25" t="str">
        <f>VLOOKUP($B213,'Выгр Торг'!$B:$Q,D$1,0)</f>
        <v>Оригинальный капот для Лада XRAY (Без покраски)</v>
      </c>
      <c r="E213" s="24" t="str">
        <f>VLOOKUP($B213,'Выгр Торг'!$B:$Q,E$1,0)</f>
        <v>Y</v>
      </c>
      <c r="F213" s="24">
        <f>VLOOKUP($B213,'Выгр Торг'!$B:$Q,F$1,0)</f>
        <v>0</v>
      </c>
      <c r="G213" s="24" t="str">
        <f>VLOOKUP($B213,'Выгр Торг'!$B:$Q,G$1,0)</f>
        <v>651007207R</v>
      </c>
      <c r="H213" s="24" t="str">
        <f>IF(VLOOKUP($B213,'Выгр Торг'!$B:$Q,H$1,0)=0,"",VLOOKUP($B213,'Выгр Торг'!$B:$Q,H$1,0))</f>
        <v>https://motorring.ru/product/10518-kapot-cvet-lada-iks-rey-iks-rey-cross</v>
      </c>
      <c r="I213" s="24"/>
      <c r="J213" s="24"/>
      <c r="K213" s="35">
        <f t="shared" si="34"/>
        <v>16970</v>
      </c>
      <c r="L213" s="26">
        <f>VLOOKUP(K213,Наценка!$A$1:$B$8,2,1)</f>
        <v>1.3</v>
      </c>
      <c r="M213" s="27">
        <f t="shared" si="35"/>
        <v>22061</v>
      </c>
      <c r="N213" s="28">
        <f t="shared" si="36"/>
        <v>22090</v>
      </c>
      <c r="O213" s="24">
        <f>VLOOKUP($B213,'Выгр Торг'!$B:$Q,O$1,0)</f>
        <v>16970</v>
      </c>
      <c r="P213" s="24">
        <f>VLOOKUP($B213,'Выгр Торг'!$B:$Q,P$1,0)</f>
        <v>21690</v>
      </c>
      <c r="Q213" s="18">
        <f t="shared" si="37"/>
        <v>0</v>
      </c>
      <c r="R213" s="18">
        <f t="shared" si="38"/>
        <v>-400</v>
      </c>
      <c r="S213" s="29">
        <f t="shared" si="39"/>
        <v>22090</v>
      </c>
      <c r="T213" s="30">
        <f t="shared" si="40"/>
        <v>0.30170889805539192</v>
      </c>
      <c r="U213" s="30" t="str">
        <f t="shared" si="41"/>
        <v/>
      </c>
      <c r="V213" s="30">
        <f t="shared" si="42"/>
        <v>-1</v>
      </c>
      <c r="W213" s="13">
        <f t="shared" si="33"/>
        <v>0</v>
      </c>
      <c r="X213" s="32">
        <f>IFERROR((VLOOKUP($B213,'Из ГУГЛа'!$B:$Z,X$1,0)+Z213)*Y213,VLOOKUP($B213,'Из ГУГЛа'!$B:$Z,X$1,0))</f>
        <v>0</v>
      </c>
      <c r="Y213" s="33">
        <v>1</v>
      </c>
      <c r="Z213" s="33"/>
      <c r="AA213" s="31"/>
      <c r="AB213" s="31" t="s">
        <v>3759</v>
      </c>
    </row>
    <row r="214" spans="1:28" ht="30" x14ac:dyDescent="0.25">
      <c r="A214" s="25" t="str">
        <f>INDEX('Выгр Торг'!$A:$A,MATCH($B214,'Выгр Торг'!$B:$B,0))</f>
        <v>Оригинальный капот для Лада Веста</v>
      </c>
      <c r="B214" s="24">
        <v>184941</v>
      </c>
      <c r="C214" s="24">
        <f>VLOOKUP($B214,'Выгр Торг'!$B:$Q,C$1,0)</f>
        <v>155109</v>
      </c>
      <c r="D214" s="25" t="str">
        <f>VLOOKUP($B214,'Выгр Торг'!$B:$Q,D$1,0)</f>
        <v>Оригинальный капот для Лада Веста (Без покраски)</v>
      </c>
      <c r="E214" s="24" t="str">
        <f>VLOOKUP($B214,'Выгр Торг'!$B:$Q,E$1,0)</f>
        <v>Y</v>
      </c>
      <c r="F214" s="24">
        <f>VLOOKUP($B214,'Выгр Торг'!$B:$Q,F$1,0)</f>
        <v>0</v>
      </c>
      <c r="G214" s="24" t="str">
        <f>VLOOKUP($B214,'Выгр Торг'!$B:$Q,G$1,0)</f>
        <v>8450039378</v>
      </c>
      <c r="H214" s="24" t="str">
        <f>IF(VLOOKUP($B214,'Выгр Торг'!$B:$Q,H$1,0)=0,"",VLOOKUP($B214,'Выгр Торг'!$B:$Q,H$1,0))</f>
        <v>https://motorring.ru/product/10509-kapot-cvet-lada-vesta</v>
      </c>
      <c r="I214" s="24"/>
      <c r="J214" s="24"/>
      <c r="K214" s="35">
        <f t="shared" si="34"/>
        <v>15351</v>
      </c>
      <c r="L214" s="26">
        <f>VLOOKUP(K214,Наценка!$A$1:$B$8,2,1)</f>
        <v>1.3</v>
      </c>
      <c r="M214" s="27">
        <f t="shared" si="35"/>
        <v>19956.3</v>
      </c>
      <c r="N214" s="28">
        <f t="shared" si="36"/>
        <v>19990</v>
      </c>
      <c r="O214" s="24">
        <f>VLOOKUP($B214,'Выгр Торг'!$B:$Q,O$1,0)</f>
        <v>15351</v>
      </c>
      <c r="P214" s="24">
        <f>VLOOKUP($B214,'Выгр Торг'!$B:$Q,P$1,0)</f>
        <v>20490</v>
      </c>
      <c r="Q214" s="18">
        <f t="shared" si="37"/>
        <v>0</v>
      </c>
      <c r="R214" s="18">
        <f t="shared" si="38"/>
        <v>500</v>
      </c>
      <c r="S214" s="29">
        <f t="shared" si="39"/>
        <v>19990</v>
      </c>
      <c r="T214" s="30">
        <f t="shared" si="40"/>
        <v>0.30219529672334056</v>
      </c>
      <c r="U214" s="30" t="str">
        <f t="shared" si="41"/>
        <v/>
      </c>
      <c r="V214" s="30">
        <f t="shared" si="42"/>
        <v>-1</v>
      </c>
      <c r="W214" s="13">
        <f t="shared" si="33"/>
        <v>0</v>
      </c>
      <c r="X214" s="32">
        <f>IFERROR((VLOOKUP($B214,'Из ГУГЛа'!$B:$Z,X$1,0)+Z214)*Y214,VLOOKUP($B214,'Из ГУГЛа'!$B:$Z,X$1,0))</f>
        <v>0</v>
      </c>
      <c r="Y214" s="33">
        <v>1</v>
      </c>
      <c r="Z214" s="33"/>
      <c r="AA214" s="31"/>
      <c r="AB214" s="31" t="s">
        <v>3767</v>
      </c>
    </row>
    <row r="215" spans="1:28" ht="30" x14ac:dyDescent="0.25">
      <c r="A215" s="25" t="str">
        <f>INDEX('Выгр Торг'!$A:$A,MATCH($B215,'Выгр Торг'!$B:$B,0))</f>
        <v>Оригинальный капот для Лада Гранта FL</v>
      </c>
      <c r="B215" s="24">
        <v>184960</v>
      </c>
      <c r="C215" s="24">
        <f>VLOOKUP($B215,'Выгр Торг'!$B:$Q,C$1,0)</f>
        <v>153278</v>
      </c>
      <c r="D215" s="25" t="str">
        <f>VLOOKUP($B215,'Выгр Торг'!$B:$Q,D$1,0)</f>
        <v>Оригинальный капот для Лада Гранта FL (Без покраски)</v>
      </c>
      <c r="E215" s="24" t="str">
        <f>VLOOKUP($B215,'Выгр Торг'!$B:$Q,E$1,0)</f>
        <v>Y</v>
      </c>
      <c r="F215" s="24">
        <f>VLOOKUP($B215,'Выгр Торг'!$B:$Q,F$1,0)</f>
        <v>0</v>
      </c>
      <c r="G215" s="24" t="str">
        <f>VLOOKUP($B215,'Выгр Торг'!$B:$Q,G$1,0)</f>
        <v>8450104269</v>
      </c>
      <c r="H215" s="24" t="str">
        <f>IF(VLOOKUP($B215,'Выгр Торг'!$B:$Q,H$1,0)=0,"",VLOOKUP($B215,'Выгр Торг'!$B:$Q,H$1,0))</f>
        <v>https://motorring.ru/product/19949-kapot-cvet-lada-granta</v>
      </c>
      <c r="I215" s="24"/>
      <c r="J215" s="24"/>
      <c r="K215" s="35">
        <f t="shared" si="34"/>
        <v>12240</v>
      </c>
      <c r="L215" s="26">
        <f>VLOOKUP(K215,Наценка!$A$1:$B$8,2,1)</f>
        <v>1.3</v>
      </c>
      <c r="M215" s="27">
        <f t="shared" si="35"/>
        <v>15912</v>
      </c>
      <c r="N215" s="28">
        <f t="shared" si="36"/>
        <v>15990</v>
      </c>
      <c r="O215" s="24">
        <f>VLOOKUP($B215,'Выгр Торг'!$B:$Q,O$1,0)</f>
        <v>12240</v>
      </c>
      <c r="P215" s="24">
        <f>VLOOKUP($B215,'Выгр Торг'!$B:$Q,P$1,0)</f>
        <v>15290</v>
      </c>
      <c r="Q215" s="18">
        <f t="shared" si="37"/>
        <v>0</v>
      </c>
      <c r="R215" s="18">
        <f t="shared" si="38"/>
        <v>-700</v>
      </c>
      <c r="S215" s="29">
        <f t="shared" si="39"/>
        <v>15990</v>
      </c>
      <c r="T215" s="30">
        <f t="shared" si="40"/>
        <v>0.30637254901960786</v>
      </c>
      <c r="U215" s="30" t="str">
        <f t="shared" si="41"/>
        <v/>
      </c>
      <c r="V215" s="30">
        <f t="shared" si="42"/>
        <v>-1</v>
      </c>
      <c r="W215" s="13">
        <f t="shared" si="33"/>
        <v>0</v>
      </c>
      <c r="X215" s="32">
        <f>IFERROR((VLOOKUP($B215,'Из ГУГЛа'!$B:$Z,X$1,0)+Z215)*Y215,VLOOKUP($B215,'Из ГУГЛа'!$B:$Z,X$1,0))</f>
        <v>0</v>
      </c>
      <c r="Y215" s="33">
        <v>1</v>
      </c>
      <c r="Z215" s="33"/>
      <c r="AA215" s="31"/>
      <c r="AB215" s="31" t="s">
        <v>3775</v>
      </c>
    </row>
    <row r="216" spans="1:28" ht="30" x14ac:dyDescent="0.25">
      <c r="A216" s="25" t="str">
        <f>INDEX('Выгр Торг'!$A:$A,MATCH($B216,'Выгр Торг'!$B:$B,0))</f>
        <v>Оригинальный капот для Лада Калина</v>
      </c>
      <c r="B216" s="24">
        <v>184973</v>
      </c>
      <c r="C216" s="24">
        <f>VLOOKUP($B216,'Выгр Торг'!$B:$Q,C$1,0)</f>
        <v>152659</v>
      </c>
      <c r="D216" s="25" t="str">
        <f>VLOOKUP($B216,'Выгр Торг'!$B:$Q,D$1,0)</f>
        <v>Оригинальный капот для Лада Калина (Без покраски)</v>
      </c>
      <c r="E216" s="24" t="str">
        <f>VLOOKUP($B216,'Выгр Торг'!$B:$Q,E$1,0)</f>
        <v>Y</v>
      </c>
      <c r="F216" s="24">
        <f>VLOOKUP($B216,'Выгр Торг'!$B:$Q,F$1,0)</f>
        <v>0</v>
      </c>
      <c r="G216" s="24" t="str">
        <f>VLOOKUP($B216,'Выгр Торг'!$B:$Q,G$1,0)</f>
        <v>11180840201070</v>
      </c>
      <c r="H216" s="24" t="str">
        <f>IF(VLOOKUP($B216,'Выгр Торг'!$B:$Q,H$1,0)=0,"",VLOOKUP($B216,'Выгр Торг'!$B:$Q,H$1,0))</f>
        <v>https://motorring.ru/product/16061-kapot-cvet-lada-kalina</v>
      </c>
      <c r="I216" s="24"/>
      <c r="J216" s="24"/>
      <c r="K216" s="35">
        <f t="shared" si="34"/>
        <v>11404</v>
      </c>
      <c r="L216" s="26">
        <f>VLOOKUP(K216,Наценка!$A$1:$B$8,2,1)</f>
        <v>1.3</v>
      </c>
      <c r="M216" s="27">
        <f t="shared" si="35"/>
        <v>14825.2</v>
      </c>
      <c r="N216" s="28">
        <f t="shared" si="36"/>
        <v>14890</v>
      </c>
      <c r="O216" s="24">
        <f>VLOOKUP($B216,'Выгр Торг'!$B:$Q,O$1,0)</f>
        <v>11404</v>
      </c>
      <c r="P216" s="24">
        <f>VLOOKUP($B216,'Выгр Торг'!$B:$Q,P$1,0)</f>
        <v>15890</v>
      </c>
      <c r="Q216" s="18">
        <f t="shared" si="37"/>
        <v>0</v>
      </c>
      <c r="R216" s="18">
        <f t="shared" si="38"/>
        <v>1000</v>
      </c>
      <c r="S216" s="29">
        <f t="shared" si="39"/>
        <v>14890</v>
      </c>
      <c r="T216" s="30">
        <f t="shared" si="40"/>
        <v>0.3056822167660469</v>
      </c>
      <c r="U216" s="30" t="str">
        <f t="shared" si="41"/>
        <v/>
      </c>
      <c r="V216" s="30">
        <f t="shared" si="42"/>
        <v>-1</v>
      </c>
      <c r="W216" s="13">
        <f t="shared" si="33"/>
        <v>0</v>
      </c>
      <c r="X216" s="32">
        <f>IFERROR((VLOOKUP($B216,'Из ГУГЛа'!$B:$Z,X$1,0)+Z216)*Y216,VLOOKUP($B216,'Из ГУГЛа'!$B:$Z,X$1,0))</f>
        <v>0</v>
      </c>
      <c r="Y216" s="33">
        <v>1</v>
      </c>
      <c r="Z216" s="33"/>
      <c r="AA216" s="31"/>
      <c r="AB216" s="31" t="s">
        <v>3783</v>
      </c>
    </row>
    <row r="217" spans="1:28" ht="30" x14ac:dyDescent="0.25">
      <c r="A217" s="25" t="str">
        <f>INDEX('Выгр Торг'!$A:$A,MATCH($B217,'Выгр Торг'!$B:$B,0))</f>
        <v>Оригинальный капот для Лада Калина 2, Гранта</v>
      </c>
      <c r="B217" s="24">
        <v>185004</v>
      </c>
      <c r="C217" s="24">
        <f>VLOOKUP($B217,'Выгр Торг'!$B:$Q,C$1,0)</f>
        <v>152730</v>
      </c>
      <c r="D217" s="25" t="str">
        <f>VLOOKUP($B217,'Выгр Торг'!$B:$Q,D$1,0)</f>
        <v>Оригинальный капот для Лада Калина 2, Гранта (Без покраски)</v>
      </c>
      <c r="E217" s="24" t="str">
        <f>VLOOKUP($B217,'Выгр Торг'!$B:$Q,E$1,0)</f>
        <v>Y</v>
      </c>
      <c r="F217" s="24">
        <f>VLOOKUP($B217,'Выгр Торг'!$B:$Q,F$1,0)</f>
        <v>0</v>
      </c>
      <c r="G217" s="24" t="str">
        <f>VLOOKUP($B217,'Выгр Торг'!$B:$Q,G$1,0)</f>
        <v>21900840201070</v>
      </c>
      <c r="H217" s="24" t="str">
        <f>IF(VLOOKUP($B217,'Выгр Торг'!$B:$Q,H$1,0)=0,"",VLOOKUP($B217,'Выгр Торг'!$B:$Q,H$1,0))</f>
        <v>https://motorring.ru/product/16057-kapot-cvet-lada-kalina-granta</v>
      </c>
      <c r="I217" s="24"/>
      <c r="J217" s="24"/>
      <c r="K217" s="35">
        <f t="shared" si="34"/>
        <v>11150</v>
      </c>
      <c r="L217" s="26">
        <f>VLOOKUP(K217,Наценка!$A$1:$B$8,2,1)</f>
        <v>1.3</v>
      </c>
      <c r="M217" s="27">
        <f t="shared" si="35"/>
        <v>14495</v>
      </c>
      <c r="N217" s="28">
        <f t="shared" si="36"/>
        <v>14490</v>
      </c>
      <c r="O217" s="24">
        <f>VLOOKUP($B217,'Выгр Торг'!$B:$Q,O$1,0)</f>
        <v>11150</v>
      </c>
      <c r="P217" s="24">
        <f>VLOOKUP($B217,'Выгр Торг'!$B:$Q,P$1,0)</f>
        <v>14290</v>
      </c>
      <c r="Q217" s="18">
        <f t="shared" si="37"/>
        <v>0</v>
      </c>
      <c r="R217" s="18">
        <f t="shared" si="38"/>
        <v>-200</v>
      </c>
      <c r="S217" s="29">
        <f t="shared" si="39"/>
        <v>14490</v>
      </c>
      <c r="T217" s="30">
        <f t="shared" si="40"/>
        <v>0.29955156950672657</v>
      </c>
      <c r="U217" s="30" t="str">
        <f t="shared" si="41"/>
        <v/>
      </c>
      <c r="V217" s="30">
        <f t="shared" si="42"/>
        <v>-1</v>
      </c>
      <c r="W217" s="13">
        <f t="shared" si="33"/>
        <v>0</v>
      </c>
      <c r="X217" s="32">
        <f>IFERROR((VLOOKUP($B217,'Из ГУГЛа'!$B:$Z,X$1,0)+Z217)*Y217,VLOOKUP($B217,'Из ГУГЛа'!$B:$Z,X$1,0))</f>
        <v>0</v>
      </c>
      <c r="Y217" s="33">
        <v>1</v>
      </c>
      <c r="Z217" s="33"/>
      <c r="AA217" s="31"/>
      <c r="AB217" s="31" t="s">
        <v>3791</v>
      </c>
    </row>
    <row r="218" spans="1:28" ht="30" x14ac:dyDescent="0.25">
      <c r="A218" s="25" t="str">
        <f>INDEX('Выгр Торг'!$A:$A,MATCH($B218,'Выгр Торг'!$B:$B,0))</f>
        <v>Оригинальный капот для Лада Ларгус</v>
      </c>
      <c r="B218" s="24">
        <v>185044</v>
      </c>
      <c r="C218" s="24">
        <f>VLOOKUP($B218,'Выгр Торг'!$B:$Q,C$1,0)</f>
        <v>156000</v>
      </c>
      <c r="D218" s="25" t="str">
        <f>VLOOKUP($B218,'Выгр Торг'!$B:$Q,D$1,0)</f>
        <v>Оригинальный капот для Лада Ларгус (Без покраски)</v>
      </c>
      <c r="E218" s="24" t="str">
        <f>VLOOKUP($B218,'Выгр Торг'!$B:$Q,E$1,0)</f>
        <v>Y</v>
      </c>
      <c r="F218" s="24">
        <f>VLOOKUP($B218,'Выгр Торг'!$B:$Q,F$1,0)</f>
        <v>0</v>
      </c>
      <c r="G218" s="24" t="str">
        <f>VLOOKUP($B218,'Выгр Торг'!$B:$Q,G$1,0)</f>
        <v>6001546685</v>
      </c>
      <c r="H218" s="24" t="str">
        <f>IF(VLOOKUP($B218,'Выгр Торг'!$B:$Q,H$1,0)=0,"",VLOOKUP($B218,'Выгр Торг'!$B:$Q,H$1,0))</f>
        <v>https://motorring.ru/product/10496-kapot-cvet-lada-largus</v>
      </c>
      <c r="I218" s="24"/>
      <c r="J218" s="24"/>
      <c r="K218" s="35">
        <f t="shared" si="34"/>
        <v>6727</v>
      </c>
      <c r="L218" s="26">
        <f>VLOOKUP(K218,Наценка!$A$1:$B$8,2,1)</f>
        <v>1.35</v>
      </c>
      <c r="M218" s="27">
        <f t="shared" si="35"/>
        <v>9081.4500000000007</v>
      </c>
      <c r="N218" s="28">
        <f t="shared" si="36"/>
        <v>9090</v>
      </c>
      <c r="O218" s="24">
        <f>VLOOKUP($B218,'Выгр Торг'!$B:$Q,O$1,0)</f>
        <v>6727</v>
      </c>
      <c r="P218" s="24">
        <f>VLOOKUP($B218,'Выгр Торг'!$B:$Q,P$1,0)</f>
        <v>9090</v>
      </c>
      <c r="Q218" s="18">
        <f t="shared" si="37"/>
        <v>0</v>
      </c>
      <c r="R218" s="18">
        <f t="shared" si="38"/>
        <v>0</v>
      </c>
      <c r="S218" s="29">
        <f t="shared" si="39"/>
        <v>9090</v>
      </c>
      <c r="T218" s="30">
        <f t="shared" si="40"/>
        <v>0.35127099747287049</v>
      </c>
      <c r="U218" s="30" t="str">
        <f t="shared" si="41"/>
        <v/>
      </c>
      <c r="V218" s="30">
        <f t="shared" si="42"/>
        <v>-1</v>
      </c>
      <c r="W218" s="13">
        <f t="shared" si="33"/>
        <v>0</v>
      </c>
      <c r="X218" s="32">
        <f>IFERROR((VLOOKUP($B218,'Из ГУГЛа'!$B:$Z,X$1,0)+Z218)*Y218,VLOOKUP($B218,'Из ГУГЛа'!$B:$Z,X$1,0))</f>
        <v>0</v>
      </c>
      <c r="Y218" s="33">
        <v>1</v>
      </c>
      <c r="Z218" s="33"/>
      <c r="AA218" s="31"/>
      <c r="AB218" s="31" t="s">
        <v>3799</v>
      </c>
    </row>
    <row r="219" spans="1:28" ht="30" x14ac:dyDescent="0.25">
      <c r="A219" s="25" t="str">
        <f>INDEX('Выгр Торг'!$A:$A,MATCH($B219,'Выгр Торг'!$B:$B,0))</f>
        <v>Оригинальный капот для Лада Нива 4х4</v>
      </c>
      <c r="B219" s="24">
        <v>185061</v>
      </c>
      <c r="C219" s="24">
        <f>VLOOKUP($B219,'Выгр Торг'!$B:$Q,C$1,0)</f>
        <v>156126</v>
      </c>
      <c r="D219" s="25" t="str">
        <f>VLOOKUP($B219,'Выгр Торг'!$B:$Q,D$1,0)</f>
        <v>Оригинальный капот для Лада Нива 4х4 (Без покраски)</v>
      </c>
      <c r="E219" s="24" t="str">
        <f>VLOOKUP($B219,'Выгр Торг'!$B:$Q,E$1,0)</f>
        <v>Y</v>
      </c>
      <c r="F219" s="24">
        <f>VLOOKUP($B219,'Выгр Торг'!$B:$Q,F$1,0)</f>
        <v>0</v>
      </c>
      <c r="G219" s="24" t="str">
        <f>VLOOKUP($B219,'Выгр Торг'!$B:$Q,G$1,0)</f>
        <v>21213840201210</v>
      </c>
      <c r="H219" s="24" t="str">
        <f>IF(VLOOKUP($B219,'Выгр Торг'!$B:$Q,H$1,0)=0,"",VLOOKUP($B219,'Выгр Торг'!$B:$Q,H$1,0))</f>
        <v>https://motorring.ru/product/6398-kapot-cvet-lada-niva-4h4</v>
      </c>
      <c r="I219" s="24"/>
      <c r="J219" s="24"/>
      <c r="K219" s="35">
        <f t="shared" si="34"/>
        <v>10586</v>
      </c>
      <c r="L219" s="26">
        <f>VLOOKUP(K219,Наценка!$A$1:$B$8,2,1)</f>
        <v>1.3</v>
      </c>
      <c r="M219" s="27">
        <f t="shared" si="35"/>
        <v>13761.800000000001</v>
      </c>
      <c r="N219" s="28">
        <f t="shared" si="36"/>
        <v>13790</v>
      </c>
      <c r="O219" s="24">
        <f>VLOOKUP($B219,'Выгр Торг'!$B:$Q,O$1,0)</f>
        <v>10586</v>
      </c>
      <c r="P219" s="24">
        <f>VLOOKUP($B219,'Выгр Торг'!$B:$Q,P$1,0)</f>
        <v>14890</v>
      </c>
      <c r="Q219" s="18">
        <f t="shared" si="37"/>
        <v>0</v>
      </c>
      <c r="R219" s="18">
        <f t="shared" si="38"/>
        <v>1100</v>
      </c>
      <c r="S219" s="29">
        <f t="shared" si="39"/>
        <v>13790</v>
      </c>
      <c r="T219" s="30">
        <f t="shared" si="40"/>
        <v>0.3026638957113168</v>
      </c>
      <c r="U219" s="30" t="str">
        <f t="shared" si="41"/>
        <v/>
      </c>
      <c r="V219" s="30">
        <f t="shared" si="42"/>
        <v>-1</v>
      </c>
      <c r="W219" s="13">
        <f t="shared" si="33"/>
        <v>0</v>
      </c>
      <c r="X219" s="32">
        <f>IFERROR((VLOOKUP($B219,'Из ГУГЛа'!$B:$Z,X$1,0)+Z219)*Y219,VLOOKUP($B219,'Из ГУГЛа'!$B:$Z,X$1,0))</f>
        <v>0</v>
      </c>
      <c r="Y219" s="33">
        <v>1</v>
      </c>
      <c r="Z219" s="33"/>
      <c r="AA219" s="31"/>
      <c r="AB219" s="31" t="s">
        <v>3806</v>
      </c>
    </row>
    <row r="220" spans="1:28" ht="30" x14ac:dyDescent="0.25">
      <c r="A220" s="25" t="str">
        <f>INDEX('Выгр Торг'!$A:$A,MATCH($B220,'Выгр Торг'!$B:$B,0))</f>
        <v>Оригинальный капот для Лада Нива Travel</v>
      </c>
      <c r="B220" s="24">
        <v>250049</v>
      </c>
      <c r="C220" s="24">
        <f>VLOOKUP($B220,'Выгр Торг'!$B:$Q,C$1,0)</f>
        <v>175646</v>
      </c>
      <c r="D220" s="25" t="str">
        <f>VLOOKUP($B220,'Выгр Торг'!$B:$Q,D$1,0)</f>
        <v>Крышка капота (оригинал) для Лада Нива Travel (Без покраски)</v>
      </c>
      <c r="E220" s="24" t="str">
        <f>VLOOKUP($B220,'Выгр Торг'!$B:$Q,E$1,0)</f>
        <v>Y</v>
      </c>
      <c r="F220" s="24">
        <f>VLOOKUP($B220,'Выгр Торг'!$B:$Q,F$1,0)</f>
        <v>0</v>
      </c>
      <c r="G220" s="24" t="str">
        <f>VLOOKUP($B220,'Выгр Торг'!$B:$Q,G$1,0)</f>
        <v>21230840201081</v>
      </c>
      <c r="H220" s="24" t="str">
        <f>IF(VLOOKUP($B220,'Выгр Торг'!$B:$Q,H$1,0)=0,"",VLOOKUP($B220,'Выгр Торг'!$B:$Q,H$1,0))</f>
        <v>https://motorring.ru/product/947-kapot-cvet-shevrole-niva</v>
      </c>
      <c r="I220" s="24"/>
      <c r="J220" s="24"/>
      <c r="K220" s="35">
        <f t="shared" si="34"/>
        <v>17269</v>
      </c>
      <c r="L220" s="26">
        <f>VLOOKUP(K220,Наценка!$A$1:$B$8,2,1)</f>
        <v>1.3</v>
      </c>
      <c r="M220" s="27">
        <f t="shared" si="35"/>
        <v>22449.7</v>
      </c>
      <c r="N220" s="28">
        <f t="shared" si="36"/>
        <v>22490</v>
      </c>
      <c r="O220" s="24">
        <f>VLOOKUP($B220,'Выгр Торг'!$B:$Q,O$1,0)</f>
        <v>17269</v>
      </c>
      <c r="P220" s="24">
        <f>VLOOKUP($B220,'Выгр Торг'!$B:$Q,P$1,0)</f>
        <v>22890</v>
      </c>
      <c r="Q220" s="18">
        <f t="shared" si="37"/>
        <v>0</v>
      </c>
      <c r="R220" s="18">
        <f t="shared" si="38"/>
        <v>400</v>
      </c>
      <c r="S220" s="29">
        <f t="shared" si="39"/>
        <v>22490</v>
      </c>
      <c r="T220" s="30">
        <f t="shared" si="40"/>
        <v>0.30233366147431817</v>
      </c>
      <c r="U220" s="30" t="str">
        <f t="shared" si="41"/>
        <v/>
      </c>
      <c r="V220" s="30">
        <f t="shared" si="42"/>
        <v>-1</v>
      </c>
      <c r="W220" s="13">
        <f t="shared" si="33"/>
        <v>0</v>
      </c>
      <c r="X220" s="32">
        <f>IFERROR((VLOOKUP($B220,'Из ГУГЛа'!$B:$Z,X$1,0)+Z220)*Y220,VLOOKUP($B220,'Из ГУГЛа'!$B:$Z,X$1,0))</f>
        <v>0</v>
      </c>
      <c r="Y220" s="33">
        <v>1</v>
      </c>
      <c r="Z220" s="33"/>
      <c r="AA220" s="31"/>
      <c r="AB220" s="31" t="s">
        <v>3814</v>
      </c>
    </row>
    <row r="221" spans="1:28" ht="30" x14ac:dyDescent="0.25">
      <c r="A221" s="25" t="str">
        <f>INDEX('Выгр Торг'!$A:$A,MATCH($B221,'Выгр Торг'!$B:$B,0))</f>
        <v>Оригинальный капот для Лада Приора</v>
      </c>
      <c r="B221" s="24">
        <v>259264</v>
      </c>
      <c r="C221" s="24">
        <f>VLOOKUP($B221,'Выгр Торг'!$B:$Q,C$1,0)</f>
        <v>155706</v>
      </c>
      <c r="D221" s="25" t="str">
        <f>VLOOKUP($B221,'Выгр Торг'!$B:$Q,D$1,0)</f>
        <v>Оригинальный капот для Лада Приора (Без покраски)</v>
      </c>
      <c r="E221" s="24" t="str">
        <f>VLOOKUP($B221,'Выгр Торг'!$B:$Q,E$1,0)</f>
        <v>Y</v>
      </c>
      <c r="F221" s="24">
        <f>VLOOKUP($B221,'Выгр Торг'!$B:$Q,F$1,0)</f>
        <v>0</v>
      </c>
      <c r="G221" s="24" t="str">
        <f>VLOOKUP($B221,'Выгр Торг'!$B:$Q,G$1,0)</f>
        <v>21700840201070</v>
      </c>
      <c r="H221" s="24" t="str">
        <f>IF(VLOOKUP($B221,'Выгр Торг'!$B:$Q,H$1,0)=0,"",VLOOKUP($B221,'Выгр Торг'!$B:$Q,H$1,0))</f>
        <v>https://motorring.ru/product/16052-kapot-lada-priora</v>
      </c>
      <c r="I221" s="24"/>
      <c r="J221" s="24"/>
      <c r="K221" s="35">
        <f t="shared" si="34"/>
        <v>18756</v>
      </c>
      <c r="L221" s="26">
        <f>VLOOKUP(K221,Наценка!$A$1:$B$8,2,1)</f>
        <v>1.3</v>
      </c>
      <c r="M221" s="27">
        <f t="shared" si="35"/>
        <v>24382.799999999999</v>
      </c>
      <c r="N221" s="28">
        <f t="shared" si="36"/>
        <v>24390</v>
      </c>
      <c r="O221" s="24">
        <f>VLOOKUP($B221,'Выгр Торг'!$B:$Q,O$1,0)</f>
        <v>18756</v>
      </c>
      <c r="P221" s="24">
        <f>VLOOKUP($B221,'Выгр Торг'!$B:$Q,P$1,0)</f>
        <v>24890</v>
      </c>
      <c r="Q221" s="18">
        <f t="shared" si="37"/>
        <v>0</v>
      </c>
      <c r="R221" s="18">
        <f t="shared" si="38"/>
        <v>500</v>
      </c>
      <c r="S221" s="29">
        <f t="shared" si="39"/>
        <v>24390</v>
      </c>
      <c r="T221" s="30">
        <f t="shared" si="40"/>
        <v>0.30038387715930903</v>
      </c>
      <c r="U221" s="30" t="str">
        <f t="shared" si="41"/>
        <v/>
      </c>
      <c r="V221" s="30">
        <f t="shared" si="42"/>
        <v>-1</v>
      </c>
      <c r="W221" s="13">
        <f t="shared" si="33"/>
        <v>0</v>
      </c>
      <c r="X221" s="32">
        <f>IFERROR((VLOOKUP($B221,'Из ГУГЛа'!$B:$Z,X$1,0)+Z221)*Y221,VLOOKUP($B221,'Из ГУГЛа'!$B:$Z,X$1,0))</f>
        <v>0</v>
      </c>
      <c r="Y221" s="33">
        <v>1</v>
      </c>
      <c r="Z221" s="33"/>
      <c r="AA221" s="31"/>
      <c r="AB221" s="31" t="s">
        <v>3822</v>
      </c>
    </row>
    <row r="222" spans="1:28" ht="30" x14ac:dyDescent="0.25">
      <c r="A222" s="25" t="str">
        <f>INDEX('Выгр Торг'!$A:$A,MATCH($B222,'Выгр Торг'!$B:$B,0))</f>
        <v>Оригинальный капот для Шевроле Нива</v>
      </c>
      <c r="B222" s="24">
        <v>185077</v>
      </c>
      <c r="C222" s="24">
        <f>VLOOKUP($B222,'Выгр Торг'!$B:$Q,C$1,0)</f>
        <v>155127</v>
      </c>
      <c r="D222" s="25" t="str">
        <f>VLOOKUP($B222,'Выгр Торг'!$B:$Q,D$1,0)</f>
        <v>Оригинальный капот для Шевроле Нива (Без покраски)</v>
      </c>
      <c r="E222" s="24" t="str">
        <f>VLOOKUP($B222,'Выгр Торг'!$B:$Q,E$1,0)</f>
        <v>Y</v>
      </c>
      <c r="F222" s="24">
        <f>VLOOKUP($B222,'Выгр Торг'!$B:$Q,F$1,0)</f>
        <v>0</v>
      </c>
      <c r="G222" s="24" t="str">
        <f>VLOOKUP($B222,'Выгр Торг'!$B:$Q,G$1,0)</f>
        <v>21230840201070</v>
      </c>
      <c r="H222" s="24" t="str">
        <f>IF(VLOOKUP($B222,'Выгр Торг'!$B:$Q,H$1,0)=0,"",VLOOKUP($B222,'Выгр Торг'!$B:$Q,H$1,0))</f>
        <v>https://motorring.ru/product/947-kapot-cvet-shevrole-niva</v>
      </c>
      <c r="I222" s="24"/>
      <c r="J222" s="24"/>
      <c r="K222" s="35">
        <f t="shared" si="34"/>
        <v>10163</v>
      </c>
      <c r="L222" s="26">
        <f>VLOOKUP(K222,Наценка!$A$1:$B$8,2,1)</f>
        <v>1.3</v>
      </c>
      <c r="M222" s="27">
        <f t="shared" si="35"/>
        <v>13211.9</v>
      </c>
      <c r="N222" s="28">
        <f t="shared" si="36"/>
        <v>13290</v>
      </c>
      <c r="O222" s="24">
        <f>VLOOKUP($B222,'Выгр Торг'!$B:$Q,O$1,0)</f>
        <v>10163</v>
      </c>
      <c r="P222" s="24">
        <f>VLOOKUP($B222,'Выгр Торг'!$B:$Q,P$1,0)</f>
        <v>19190</v>
      </c>
      <c r="Q222" s="18">
        <f t="shared" si="37"/>
        <v>0</v>
      </c>
      <c r="R222" s="18">
        <f t="shared" si="38"/>
        <v>5900</v>
      </c>
      <c r="S222" s="29">
        <f t="shared" si="39"/>
        <v>13290</v>
      </c>
      <c r="T222" s="30">
        <f t="shared" si="40"/>
        <v>0.30768473875824065</v>
      </c>
      <c r="U222" s="30" t="str">
        <f t="shared" si="41"/>
        <v/>
      </c>
      <c r="V222" s="30">
        <f t="shared" si="42"/>
        <v>-1</v>
      </c>
      <c r="W222" s="13">
        <f t="shared" si="33"/>
        <v>0</v>
      </c>
      <c r="X222" s="32">
        <f>IFERROR((VLOOKUP($B222,'Из ГУГЛа'!$B:$Z,X$1,0)+Z222)*Y222,VLOOKUP($B222,'Из ГУГЛа'!$B:$Z,X$1,0))</f>
        <v>0</v>
      </c>
      <c r="Y222" s="33">
        <v>1</v>
      </c>
      <c r="Z222" s="33"/>
      <c r="AA222" s="31"/>
      <c r="AB222" s="31" t="s">
        <v>3814</v>
      </c>
    </row>
    <row r="223" spans="1:28" ht="30" x14ac:dyDescent="0.25">
      <c r="A223" s="25" t="str">
        <f>INDEX('Выгр Торг'!$A:$A,MATCH($B223,'Выгр Торг'!$B:$B,0))</f>
        <v>Оригинальный передний бампер (голый) для Лада Веста</v>
      </c>
      <c r="B223" s="24">
        <v>250139</v>
      </c>
      <c r="C223" s="24">
        <f>VLOOKUP($B223,'Выгр Торг'!$B:$Q,C$1,0)</f>
        <v>174363</v>
      </c>
      <c r="D223" s="25" t="str">
        <f>VLOOKUP($B223,'Выгр Торг'!$B:$Q,D$1,0)</f>
        <v>Оригинальный передний бампер (голый) для Лада Веста (Без покраски)</v>
      </c>
      <c r="E223" s="24" t="str">
        <f>VLOOKUP($B223,'Выгр Торг'!$B:$Q,E$1,0)</f>
        <v>Y</v>
      </c>
      <c r="F223" s="24">
        <f>VLOOKUP($B223,'Выгр Торг'!$B:$Q,F$1,0)</f>
        <v>0</v>
      </c>
      <c r="G223" s="24" t="str">
        <f>VLOOKUP($B223,'Выгр Торг'!$B:$Q,G$1,0)</f>
        <v>8450006666</v>
      </c>
      <c r="H223" s="24" t="str">
        <f>IF(VLOOKUP($B223,'Выгр Торг'!$B:$Q,H$1,0)=0,"",VLOOKUP($B223,'Выгр Торг'!$B:$Q,H$1,0))</f>
        <v>https://motorring.ru/product/10318-peredniy-bamper-golyy-lada-vesta</v>
      </c>
      <c r="I223" s="24"/>
      <c r="J223" s="24"/>
      <c r="K223" s="35">
        <f t="shared" si="34"/>
        <v>4099</v>
      </c>
      <c r="L223" s="26">
        <f>VLOOKUP(K223,Наценка!$A$1:$B$8,2,1)</f>
        <v>1.4</v>
      </c>
      <c r="M223" s="27">
        <f t="shared" si="35"/>
        <v>5738.5999999999995</v>
      </c>
      <c r="N223" s="28">
        <f t="shared" si="36"/>
        <v>5790</v>
      </c>
      <c r="O223" s="24">
        <f>VLOOKUP($B223,'Выгр Торг'!$B:$Q,O$1,0)</f>
        <v>4099</v>
      </c>
      <c r="P223" s="24">
        <f>VLOOKUP($B223,'Выгр Торг'!$B:$Q,P$1,0)</f>
        <v>5490</v>
      </c>
      <c r="Q223" s="18">
        <f t="shared" si="37"/>
        <v>0</v>
      </c>
      <c r="R223" s="18">
        <f t="shared" si="38"/>
        <v>-300</v>
      </c>
      <c r="S223" s="29">
        <f t="shared" si="39"/>
        <v>5790</v>
      </c>
      <c r="T223" s="30">
        <f t="shared" si="40"/>
        <v>0.41253964381556485</v>
      </c>
      <c r="U223" s="30" t="str">
        <f t="shared" si="41"/>
        <v/>
      </c>
      <c r="V223" s="30">
        <f t="shared" si="42"/>
        <v>-1</v>
      </c>
      <c r="W223" s="13">
        <f t="shared" si="33"/>
        <v>0</v>
      </c>
      <c r="X223" s="32">
        <f>IFERROR((VLOOKUP($B223,'Из ГУГЛа'!$B:$Z,X$1,0)+Z223)*Y223,VLOOKUP($B223,'Из ГУГЛа'!$B:$Z,X$1,0))</f>
        <v>0</v>
      </c>
      <c r="Y223" s="33">
        <v>1</v>
      </c>
      <c r="Z223" s="33"/>
      <c r="AA223" s="31"/>
      <c r="AB223" s="31" t="s">
        <v>3837</v>
      </c>
    </row>
    <row r="224" spans="1:28" ht="30" x14ac:dyDescent="0.25">
      <c r="A224" s="25" t="str">
        <f>INDEX('Выгр Торг'!$A:$A,MATCH($B224,'Выгр Торг'!$B:$B,0))</f>
        <v>Оригинальный передний бампер для Лада Гранта</v>
      </c>
      <c r="B224" s="24">
        <v>250169</v>
      </c>
      <c r="C224" s="24">
        <f>VLOOKUP($B224,'Выгр Торг'!$B:$Q,C$1,0)</f>
        <v>173338</v>
      </c>
      <c r="D224" s="25" t="str">
        <f>VLOOKUP($B224,'Выгр Торг'!$B:$Q,D$1,0)</f>
        <v>Оригинальный передний бампер для Лада Гранта (Без покраски)</v>
      </c>
      <c r="E224" s="24" t="str">
        <f>VLOOKUP($B224,'Выгр Торг'!$B:$Q,E$1,0)</f>
        <v>Y</v>
      </c>
      <c r="F224" s="24">
        <f>VLOOKUP($B224,'Выгр Торг'!$B:$Q,F$1,0)</f>
        <v>0</v>
      </c>
      <c r="G224" s="24" t="str">
        <f>VLOOKUP($B224,'Выгр Торг'!$B:$Q,G$1,0)</f>
        <v>21900280301511</v>
      </c>
      <c r="H224" s="24" t="str">
        <f>IF(VLOOKUP($B224,'Выгр Торг'!$B:$Q,H$1,0)=0,"",VLOOKUP($B224,'Выгр Торг'!$B:$Q,H$1,0))</f>
        <v>https://motorring.ru/product/16100-peredniy-bamper-starogo-obrazca-lada-granta</v>
      </c>
      <c r="I224" s="24"/>
      <c r="J224" s="24"/>
      <c r="K224" s="35">
        <f t="shared" si="34"/>
        <v>1964</v>
      </c>
      <c r="L224" s="26">
        <f>VLOOKUP(K224,Наценка!$A$1:$B$8,2,1)</f>
        <v>1.5</v>
      </c>
      <c r="M224" s="27">
        <f t="shared" si="35"/>
        <v>2946</v>
      </c>
      <c r="N224" s="28">
        <f t="shared" si="36"/>
        <v>2990</v>
      </c>
      <c r="O224" s="24">
        <f>VLOOKUP($B224,'Выгр Торг'!$B:$Q,O$1,0)</f>
        <v>1964</v>
      </c>
      <c r="P224" s="24">
        <f>VLOOKUP($B224,'Выгр Торг'!$B:$Q,P$1,0)</f>
        <v>3490</v>
      </c>
      <c r="Q224" s="18">
        <f t="shared" si="37"/>
        <v>0</v>
      </c>
      <c r="R224" s="18">
        <f t="shared" si="38"/>
        <v>500</v>
      </c>
      <c r="S224" s="29">
        <f t="shared" si="39"/>
        <v>2990</v>
      </c>
      <c r="T224" s="30">
        <f t="shared" si="40"/>
        <v>0.5224032586558045</v>
      </c>
      <c r="U224" s="30" t="str">
        <f t="shared" si="41"/>
        <v/>
      </c>
      <c r="V224" s="30">
        <f t="shared" si="42"/>
        <v>-1</v>
      </c>
      <c r="W224" s="13">
        <f t="shared" si="33"/>
        <v>0</v>
      </c>
      <c r="X224" s="32">
        <f>IFERROR((VLOOKUP($B224,'Из ГУГЛа'!$B:$Z,X$1,0)+Z224)*Y224,VLOOKUP($B224,'Из ГУГЛа'!$B:$Z,X$1,0))</f>
        <v>0</v>
      </c>
      <c r="Y224" s="33">
        <v>1</v>
      </c>
      <c r="Z224" s="33"/>
      <c r="AA224" s="31"/>
      <c r="AB224" s="31" t="s">
        <v>3845</v>
      </c>
    </row>
    <row r="225" spans="1:28" ht="30" x14ac:dyDescent="0.25">
      <c r="A225" s="25" t="str">
        <f>INDEX('Выгр Торг'!$A:$A,MATCH($B225,'Выгр Торг'!$B:$B,0))</f>
        <v>Оригинальный передний бампер для Лада Гранта (лифтбек)</v>
      </c>
      <c r="B225" s="24">
        <v>250192</v>
      </c>
      <c r="C225" s="24">
        <f>VLOOKUP($B225,'Выгр Торг'!$B:$Q,C$1,0)</f>
        <v>173378</v>
      </c>
      <c r="D225" s="25" t="str">
        <f>VLOOKUP($B225,'Выгр Торг'!$B:$Q,D$1,0)</f>
        <v>Оригинальный передний бампер для Лада Гранта (лифтбек) (Без покраски)</v>
      </c>
      <c r="E225" s="24" t="str">
        <f>VLOOKUP($B225,'Выгр Торг'!$B:$Q,E$1,0)</f>
        <v>Y</v>
      </c>
      <c r="F225" s="24">
        <f>VLOOKUP($B225,'Выгр Торг'!$B:$Q,F$1,0)</f>
        <v>0</v>
      </c>
      <c r="G225" s="24" t="str">
        <f>VLOOKUP($B225,'Выгр Торг'!$B:$Q,G$1,0)</f>
        <v>21910280301501</v>
      </c>
      <c r="H225" s="24" t="str">
        <f>IF(VLOOKUP($B225,'Выгр Торг'!$B:$Q,H$1,0)=0,"",VLOOKUP($B225,'Выгр Торг'!$B:$Q,H$1,0))</f>
        <v>https://motorring.ru/product/16102-peredniy-bamper-novogo-obrazca-lada-granta</v>
      </c>
      <c r="I225" s="24"/>
      <c r="J225" s="24"/>
      <c r="K225" s="35">
        <f t="shared" si="34"/>
        <v>2678</v>
      </c>
      <c r="L225" s="26">
        <f>VLOOKUP(K225,Наценка!$A$1:$B$8,2,1)</f>
        <v>1.4</v>
      </c>
      <c r="M225" s="27">
        <f t="shared" si="35"/>
        <v>3749.2</v>
      </c>
      <c r="N225" s="28">
        <f t="shared" si="36"/>
        <v>3790</v>
      </c>
      <c r="O225" s="24">
        <f>VLOOKUP($B225,'Выгр Торг'!$B:$Q,O$1,0)</f>
        <v>2678</v>
      </c>
      <c r="P225" s="24">
        <f>VLOOKUP($B225,'Выгр Торг'!$B:$Q,P$1,0)</f>
        <v>3490</v>
      </c>
      <c r="Q225" s="18">
        <f t="shared" si="37"/>
        <v>0</v>
      </c>
      <c r="R225" s="18">
        <f t="shared" si="38"/>
        <v>-300</v>
      </c>
      <c r="S225" s="29">
        <f t="shared" si="39"/>
        <v>3790</v>
      </c>
      <c r="T225" s="30">
        <f t="shared" si="40"/>
        <v>0.41523525018670648</v>
      </c>
      <c r="U225" s="30" t="str">
        <f t="shared" si="41"/>
        <v/>
      </c>
      <c r="V225" s="30">
        <f t="shared" si="42"/>
        <v>-1</v>
      </c>
      <c r="W225" s="13">
        <f t="shared" si="33"/>
        <v>0</v>
      </c>
      <c r="X225" s="32">
        <f>IFERROR((VLOOKUP($B225,'Из ГУГЛа'!$B:$Z,X$1,0)+Z225)*Y225,VLOOKUP($B225,'Из ГУГЛа'!$B:$Z,X$1,0))</f>
        <v>0</v>
      </c>
      <c r="Y225" s="33">
        <v>1</v>
      </c>
      <c r="Z225" s="33"/>
      <c r="AA225" s="31"/>
      <c r="AB225" s="31" t="s">
        <v>3853</v>
      </c>
    </row>
    <row r="226" spans="1:28" ht="30" x14ac:dyDescent="0.25">
      <c r="A226" s="25" t="str">
        <f>INDEX('Выгр Торг'!$A:$A,MATCH($B226,'Выгр Торг'!$B:$B,0))</f>
        <v>Оригинальный передний бампер для Лада Гранта FL</v>
      </c>
      <c r="B226" s="24">
        <v>250215</v>
      </c>
      <c r="C226" s="24">
        <f>VLOOKUP($B226,'Выгр Торг'!$B:$Q,C$1,0)</f>
        <v>173365</v>
      </c>
      <c r="D226" s="25" t="str">
        <f>VLOOKUP($B226,'Выгр Торг'!$B:$Q,D$1,0)</f>
        <v>Оригинальный передний бампер для Лада Гранта FL (Без покраски)</v>
      </c>
      <c r="E226" s="24" t="str">
        <f>VLOOKUP($B226,'Выгр Торг'!$B:$Q,E$1,0)</f>
        <v>Y</v>
      </c>
      <c r="F226" s="24">
        <f>VLOOKUP($B226,'Выгр Торг'!$B:$Q,F$1,0)</f>
        <v>0</v>
      </c>
      <c r="G226" s="24" t="str">
        <f>VLOOKUP($B226,'Выгр Торг'!$B:$Q,G$1,0)</f>
        <v>8450103785</v>
      </c>
      <c r="H226" s="24" t="str">
        <f>IF(VLOOKUP($B226,'Выгр Торг'!$B:$Q,H$1,0)=0,"",VLOOKUP($B226,'Выгр Торг'!$B:$Q,H$1,0))</f>
        <v>https://motorring.ru/product/19947-peredniy-bamper-lada-granta-2</v>
      </c>
      <c r="I226" s="24"/>
      <c r="J226" s="24"/>
      <c r="K226" s="35">
        <f t="shared" si="34"/>
        <v>3658</v>
      </c>
      <c r="L226" s="26">
        <f>VLOOKUP(K226,Наценка!$A$1:$B$8,2,1)</f>
        <v>1.4</v>
      </c>
      <c r="M226" s="27">
        <f t="shared" si="35"/>
        <v>5121.2</v>
      </c>
      <c r="N226" s="28">
        <f t="shared" si="36"/>
        <v>5190</v>
      </c>
      <c r="O226" s="24">
        <f>VLOOKUP($B226,'Выгр Торг'!$B:$Q,O$1,0)</f>
        <v>3658</v>
      </c>
      <c r="P226" s="24">
        <f>VLOOKUP($B226,'Выгр Торг'!$B:$Q,P$1,0)</f>
        <v>5290</v>
      </c>
      <c r="Q226" s="18">
        <f t="shared" si="37"/>
        <v>0</v>
      </c>
      <c r="R226" s="18">
        <f t="shared" si="38"/>
        <v>100</v>
      </c>
      <c r="S226" s="29">
        <f t="shared" si="39"/>
        <v>5190</v>
      </c>
      <c r="T226" s="30">
        <f t="shared" si="40"/>
        <v>0.41880809185347179</v>
      </c>
      <c r="U226" s="30" t="str">
        <f t="shared" si="41"/>
        <v/>
      </c>
      <c r="V226" s="30">
        <f t="shared" si="42"/>
        <v>-1</v>
      </c>
      <c r="W226" s="13">
        <f t="shared" si="33"/>
        <v>0</v>
      </c>
      <c r="X226" s="32">
        <f>IFERROR((VLOOKUP($B226,'Из ГУГЛа'!$B:$Z,X$1,0)+Z226)*Y226,VLOOKUP($B226,'Из ГУГЛа'!$B:$Z,X$1,0))</f>
        <v>0</v>
      </c>
      <c r="Y226" s="33">
        <v>1</v>
      </c>
      <c r="Z226" s="33"/>
      <c r="AA226" s="31"/>
      <c r="AB226" s="31" t="s">
        <v>3861</v>
      </c>
    </row>
    <row r="227" spans="1:28" ht="45" x14ac:dyDescent="0.25">
      <c r="A227" s="25" t="str">
        <f>INDEX('Выгр Торг'!$A:$A,MATCH($B227,'Выгр Торг'!$B:$B,0))</f>
        <v>Оригинальный передний бампер Н/О "ЛЮКС" в сборе нового образца для Шевроле Нива</v>
      </c>
      <c r="B227" s="24">
        <v>250227</v>
      </c>
      <c r="C227" s="24">
        <f>VLOOKUP($B227,'Выгр Торг'!$B:$Q,C$1,0)</f>
        <v>175420</v>
      </c>
      <c r="D227" s="25" t="str">
        <f>VLOOKUP($B227,'Выгр Торг'!$B:$Q,D$1,0)</f>
        <v>Оригинальный передний бампер Н/О "ЛЮКС" в сборе нового образца для Шевроле Нива (Без покраски)</v>
      </c>
      <c r="E227" s="24" t="str">
        <f>VLOOKUP($B227,'Выгр Торг'!$B:$Q,E$1,0)</f>
        <v>Y</v>
      </c>
      <c r="F227" s="24">
        <f>VLOOKUP($B227,'Выгр Торг'!$B:$Q,F$1,0)</f>
        <v>0</v>
      </c>
      <c r="G227" s="24" t="str">
        <f>VLOOKUP($B227,'Выгр Торг'!$B:$Q,G$1,0)</f>
        <v>21230280301556</v>
      </c>
      <c r="H227" s="24" t="str">
        <f>IF(VLOOKUP($B227,'Выгр Торг'!$B:$Q,H$1,0)=0,"",VLOOKUP($B227,'Выгр Торг'!$B:$Q,H$1,0))</f>
        <v>https://motorring.ru/product/10495-peredniy-bamper-bertone-restayling-shevrole-niva</v>
      </c>
      <c r="I227" s="24"/>
      <c r="J227" s="24"/>
      <c r="K227" s="35">
        <f t="shared" si="34"/>
        <v>10300</v>
      </c>
      <c r="L227" s="26">
        <f>VLOOKUP(K227,Наценка!$A$1:$B$8,2,1)</f>
        <v>1.3</v>
      </c>
      <c r="M227" s="27">
        <f t="shared" si="35"/>
        <v>13390</v>
      </c>
      <c r="N227" s="28">
        <f t="shared" si="36"/>
        <v>13390</v>
      </c>
      <c r="O227" s="24">
        <f>VLOOKUP($B227,'Выгр Торг'!$B:$Q,O$1,0)</f>
        <v>10300</v>
      </c>
      <c r="P227" s="24">
        <f>VLOOKUP($B227,'Выгр Торг'!$B:$Q,P$1,0)</f>
        <v>13690</v>
      </c>
      <c r="Q227" s="18">
        <f t="shared" si="37"/>
        <v>0</v>
      </c>
      <c r="R227" s="18">
        <f t="shared" si="38"/>
        <v>300</v>
      </c>
      <c r="S227" s="29">
        <f t="shared" si="39"/>
        <v>13390</v>
      </c>
      <c r="T227" s="30">
        <f t="shared" si="40"/>
        <v>0.30000000000000004</v>
      </c>
      <c r="U227" s="30" t="str">
        <f t="shared" si="41"/>
        <v/>
      </c>
      <c r="V227" s="30">
        <f t="shared" si="42"/>
        <v>-1</v>
      </c>
      <c r="W227" s="13">
        <f t="shared" si="33"/>
        <v>0</v>
      </c>
      <c r="X227" s="32">
        <f>IFERROR((VLOOKUP($B227,'Из ГУГЛа'!$B:$Z,X$1,0)+Z227)*Y227,VLOOKUP($B227,'Из ГУГЛа'!$B:$Z,X$1,0))</f>
        <v>0</v>
      </c>
      <c r="Y227" s="33">
        <v>1</v>
      </c>
      <c r="Z227" s="33"/>
      <c r="AA227" s="31"/>
      <c r="AB227" s="31" t="s">
        <v>3869</v>
      </c>
    </row>
    <row r="228" spans="1:28" ht="60" x14ac:dyDescent="0.25">
      <c r="A228" s="25" t="str">
        <f>INDEX('Выгр Торг'!$A:$A,MATCH($B228,'Выгр Торг'!$B:$B,0))</f>
        <v>Оригинальный передний бампер нового образца (голый) для Лада Приора, Приора 2</v>
      </c>
      <c r="B228" s="24">
        <v>250244</v>
      </c>
      <c r="C228" s="24">
        <f>VLOOKUP($B228,'Выгр Торг'!$B:$Q,C$1,0)</f>
        <v>174029</v>
      </c>
      <c r="D228" s="25" t="str">
        <f>VLOOKUP($B228,'Выгр Торг'!$B:$Q,D$1,0)</f>
        <v>Оригинальный передний бампер нового образца (голый) для Лада Приора, Приора 2 (Без отверстий под ПТФ, Без покраски)</v>
      </c>
      <c r="E228" s="24" t="str">
        <f>VLOOKUP($B228,'Выгр Торг'!$B:$Q,E$1,0)</f>
        <v>Y</v>
      </c>
      <c r="F228" s="24">
        <f>VLOOKUP($B228,'Выгр Торг'!$B:$Q,F$1,0)</f>
        <v>0</v>
      </c>
      <c r="G228" s="24" t="str">
        <f>VLOOKUP($B228,'Выгр Торг'!$B:$Q,G$1,0)</f>
        <v>21704280301500</v>
      </c>
      <c r="H228" s="24" t="str">
        <f>IF(VLOOKUP($B228,'Выгр Торг'!$B:$Q,H$1,0)=0,"",VLOOKUP($B228,'Выгр Торг'!$B:$Q,H$1,0))</f>
        <v>https://motorring.ru/product/26650-peredniy-bamper-restayling-bez-ptf-sbore-lada-priora</v>
      </c>
      <c r="I228" s="24"/>
      <c r="J228" s="24"/>
      <c r="K228" s="35">
        <f t="shared" si="34"/>
        <v>3600</v>
      </c>
      <c r="L228" s="26">
        <f>VLOOKUP(K228,Наценка!$A$1:$B$8,2,1)</f>
        <v>1.4</v>
      </c>
      <c r="M228" s="27">
        <f t="shared" si="35"/>
        <v>5040</v>
      </c>
      <c r="N228" s="28">
        <f t="shared" si="36"/>
        <v>5090</v>
      </c>
      <c r="O228" s="24">
        <f>VLOOKUP($B228,'Выгр Торг'!$B:$Q,O$1,0)</f>
        <v>3600</v>
      </c>
      <c r="P228" s="24">
        <f>VLOOKUP($B228,'Выгр Торг'!$B:$Q,P$1,0)</f>
        <v>5190</v>
      </c>
      <c r="Q228" s="18">
        <f t="shared" si="37"/>
        <v>0</v>
      </c>
      <c r="R228" s="18">
        <f t="shared" si="38"/>
        <v>100</v>
      </c>
      <c r="S228" s="29">
        <f t="shared" si="39"/>
        <v>5090</v>
      </c>
      <c r="T228" s="30">
        <f t="shared" si="40"/>
        <v>0.41388888888888897</v>
      </c>
      <c r="U228" s="30" t="str">
        <f t="shared" si="41"/>
        <v/>
      </c>
      <c r="V228" s="30">
        <f t="shared" si="42"/>
        <v>-1</v>
      </c>
      <c r="W228" s="13">
        <f t="shared" si="33"/>
        <v>0</v>
      </c>
      <c r="X228" s="32">
        <f>IFERROR((VLOOKUP($B228,'Из ГУГЛа'!$B:$Z,X$1,0)+Z228)*Y228,VLOOKUP($B228,'Из ГУГЛа'!$B:$Z,X$1,0))</f>
        <v>0</v>
      </c>
      <c r="Y228" s="33">
        <v>1</v>
      </c>
      <c r="Z228" s="33"/>
      <c r="AA228" s="31"/>
      <c r="AB228" s="31" t="s">
        <v>3877</v>
      </c>
    </row>
    <row r="229" spans="1:28" ht="60" x14ac:dyDescent="0.25">
      <c r="A229" s="25" t="str">
        <f>INDEX('Выгр Торг'!$A:$A,MATCH($B229,'Выгр Торг'!$B:$B,0))</f>
        <v>Оригинальный передний бампер нового образца (голый) для Лада Приора, Приора 2</v>
      </c>
      <c r="B229" s="24">
        <v>250272</v>
      </c>
      <c r="C229" s="24">
        <f>VLOOKUP($B229,'Выгр Торг'!$B:$Q,C$1,0)</f>
        <v>174028</v>
      </c>
      <c r="D229" s="25" t="str">
        <f>VLOOKUP($B229,'Выгр Торг'!$B:$Q,D$1,0)</f>
        <v>Оригинальный передний бампер нового образца (голый) для Лада Приора, Приора 2 (С отверстиями под ПТФ, Без покраски)</v>
      </c>
      <c r="E229" s="24" t="str">
        <f>VLOOKUP($B229,'Выгр Торг'!$B:$Q,E$1,0)</f>
        <v>Y</v>
      </c>
      <c r="F229" s="24">
        <f>VLOOKUP($B229,'Выгр Торг'!$B:$Q,F$1,0)</f>
        <v>0</v>
      </c>
      <c r="G229" s="24" t="str">
        <f>VLOOKUP($B229,'Выгр Торг'!$B:$Q,G$1,0)</f>
        <v>21704280301510</v>
      </c>
      <c r="H229" s="24" t="str">
        <f>IF(VLOOKUP($B229,'Выгр Торг'!$B:$Q,H$1,0)=0,"",VLOOKUP($B229,'Выгр Торг'!$B:$Q,H$1,0))</f>
        <v>https://motorring.ru/product/5343-peredniy-bamper-restayling-sbore-lada-priora</v>
      </c>
      <c r="I229" s="24"/>
      <c r="J229" s="24"/>
      <c r="K229" s="35">
        <f t="shared" si="34"/>
        <v>2678</v>
      </c>
      <c r="L229" s="26">
        <f>VLOOKUP(K229,Наценка!$A$1:$B$8,2,1)</f>
        <v>1.4</v>
      </c>
      <c r="M229" s="27">
        <f t="shared" si="35"/>
        <v>3749.2</v>
      </c>
      <c r="N229" s="28">
        <f t="shared" si="36"/>
        <v>3790</v>
      </c>
      <c r="O229" s="24">
        <f>VLOOKUP($B229,'Выгр Торг'!$B:$Q,O$1,0)</f>
        <v>2678</v>
      </c>
      <c r="P229" s="24">
        <f>VLOOKUP($B229,'Выгр Торг'!$B:$Q,P$1,0)</f>
        <v>3890</v>
      </c>
      <c r="Q229" s="18">
        <f t="shared" si="37"/>
        <v>0</v>
      </c>
      <c r="R229" s="18">
        <f t="shared" si="38"/>
        <v>100</v>
      </c>
      <c r="S229" s="29">
        <f t="shared" si="39"/>
        <v>3790</v>
      </c>
      <c r="T229" s="30">
        <f t="shared" si="40"/>
        <v>0.41523525018670648</v>
      </c>
      <c r="U229" s="30" t="str">
        <f t="shared" si="41"/>
        <v/>
      </c>
      <c r="V229" s="30">
        <f t="shared" si="42"/>
        <v>-1</v>
      </c>
      <c r="W229" s="13">
        <f t="shared" si="33"/>
        <v>0</v>
      </c>
      <c r="X229" s="32">
        <f>IFERROR((VLOOKUP($B229,'Из ГУГЛа'!$B:$Z,X$1,0)+Z229)*Y229,VLOOKUP($B229,'Из ГУГЛа'!$B:$Z,X$1,0))</f>
        <v>0</v>
      </c>
      <c r="Y229" s="33">
        <v>1</v>
      </c>
      <c r="Z229" s="33"/>
      <c r="AA229" s="31"/>
      <c r="AB229" s="31" t="s">
        <v>3885</v>
      </c>
    </row>
    <row r="230" spans="1:28" ht="45" x14ac:dyDescent="0.25">
      <c r="A230" s="25" t="str">
        <f>INDEX('Выгр Торг'!$A:$A,MATCH($B230,'Выгр Торг'!$B:$B,0))</f>
        <v>Оригинальный передний бампер старого образца для Лада Приора</v>
      </c>
      <c r="B230" s="24">
        <v>250300</v>
      </c>
      <c r="C230" s="24">
        <f>VLOOKUP($B230,'Выгр Торг'!$B:$Q,C$1,0)</f>
        <v>174384</v>
      </c>
      <c r="D230" s="25" t="str">
        <f>VLOOKUP($B230,'Выгр Торг'!$B:$Q,D$1,0)</f>
        <v>Оригинальный передний бампер старого образца для Лада Приора (Без покраски)</v>
      </c>
      <c r="E230" s="24" t="str">
        <f>VLOOKUP($B230,'Выгр Торг'!$B:$Q,E$1,0)</f>
        <v>Y</v>
      </c>
      <c r="F230" s="24">
        <f>VLOOKUP($B230,'Выгр Торг'!$B:$Q,F$1,0)</f>
        <v>0</v>
      </c>
      <c r="G230" s="24" t="str">
        <f>VLOOKUP($B230,'Выгр Торг'!$B:$Q,G$1,0)</f>
        <v>21700280301501</v>
      </c>
      <c r="H230" s="24" t="str">
        <f>IF(VLOOKUP($B230,'Выгр Торг'!$B:$Q,H$1,0)=0,"",VLOOKUP($B230,'Выгр Торг'!$B:$Q,H$1,0))</f>
        <v>https://motorring.ru/product/16094-peredniy-bamper-lada-priora</v>
      </c>
      <c r="I230" s="24"/>
      <c r="J230" s="24"/>
      <c r="K230" s="35">
        <f t="shared" si="34"/>
        <v>1964</v>
      </c>
      <c r="L230" s="26">
        <f>VLOOKUP(K230,Наценка!$A$1:$B$8,2,1)</f>
        <v>1.5</v>
      </c>
      <c r="M230" s="27">
        <f t="shared" si="35"/>
        <v>2946</v>
      </c>
      <c r="N230" s="28">
        <f t="shared" si="36"/>
        <v>2990</v>
      </c>
      <c r="O230" s="24">
        <f>VLOOKUP($B230,'Выгр Торг'!$B:$Q,O$1,0)</f>
        <v>1964</v>
      </c>
      <c r="P230" s="24">
        <f>VLOOKUP($B230,'Выгр Торг'!$B:$Q,P$1,0)</f>
        <v>3490</v>
      </c>
      <c r="Q230" s="18">
        <f t="shared" si="37"/>
        <v>0</v>
      </c>
      <c r="R230" s="18">
        <f t="shared" si="38"/>
        <v>500</v>
      </c>
      <c r="S230" s="29">
        <f t="shared" si="39"/>
        <v>2990</v>
      </c>
      <c r="T230" s="30">
        <f t="shared" si="40"/>
        <v>0.5224032586558045</v>
      </c>
      <c r="U230" s="30" t="str">
        <f t="shared" si="41"/>
        <v/>
      </c>
      <c r="V230" s="30">
        <f t="shared" si="42"/>
        <v>-1</v>
      </c>
      <c r="W230" s="13">
        <f t="shared" si="33"/>
        <v>0</v>
      </c>
      <c r="X230" s="32">
        <f>IFERROR((VLOOKUP($B230,'Из ГУГЛа'!$B:$Z,X$1,0)+Z230)*Y230,VLOOKUP($B230,'Из ГУГЛа'!$B:$Z,X$1,0))</f>
        <v>0</v>
      </c>
      <c r="Y230" s="33">
        <v>1</v>
      </c>
      <c r="Z230" s="33"/>
      <c r="AA230" s="31"/>
      <c r="AB230" s="31" t="s">
        <v>3893</v>
      </c>
    </row>
    <row r="231" spans="1:28" ht="45" x14ac:dyDescent="0.25">
      <c r="A231" s="25" t="str">
        <f>INDEX('Выгр Торг'!$A:$A,MATCH($B231,'Выгр Торг'!$B:$B,0))</f>
        <v>Переднее крыло пластиковое (стандартное) для ВАЗ 2113-2115</v>
      </c>
      <c r="B231" s="24">
        <v>342247</v>
      </c>
      <c r="C231" s="24">
        <f>VLOOKUP($B231,'Выгр Торг'!$B:$Q,C$1,0)</f>
        <v>342247</v>
      </c>
      <c r="D231" s="25" t="str">
        <f>VLOOKUP($B231,'Выгр Торг'!$B:$Q,D$1,0)</f>
        <v>Переднее крыло пластиковое (стандартное) для ВАЗ 2113-2115 (Без покраски, Левая (водительская))</v>
      </c>
      <c r="E231" s="24" t="str">
        <f>VLOOKUP($B231,'Выгр Торг'!$B:$Q,E$1,0)</f>
        <v>Y</v>
      </c>
      <c r="F231" s="24">
        <f>VLOOKUP($B231,'Выгр Торг'!$B:$Q,F$1,0)</f>
        <v>0</v>
      </c>
      <c r="G231" s="24" t="str">
        <f>VLOOKUP($B231,'Выгр Торг'!$B:$Q,G$1,0)</f>
        <v>21140840301199</v>
      </c>
      <c r="H231" s="24" t="str">
        <f>IF(VLOOKUP($B231,'Выгр Торг'!$B:$Q,H$1,0)=0,"",VLOOKUP($B231,'Выгр Торг'!$B:$Q,H$1,0))</f>
        <v/>
      </c>
      <c r="I231" s="24"/>
      <c r="J231" s="24"/>
      <c r="K231" s="35">
        <f t="shared" si="34"/>
        <v>1250</v>
      </c>
      <c r="L231" s="26">
        <f>VLOOKUP(K231,Наценка!$A$1:$B$8,2,1)</f>
        <v>1.5</v>
      </c>
      <c r="M231" s="27">
        <f t="shared" si="35"/>
        <v>1875</v>
      </c>
      <c r="N231" s="28">
        <f t="shared" si="36"/>
        <v>1890</v>
      </c>
      <c r="O231" s="24">
        <f>VLOOKUP($B231,'Выгр Торг'!$B:$Q,O$1,0)</f>
        <v>1250</v>
      </c>
      <c r="P231" s="24">
        <f>VLOOKUP($B231,'Выгр Торг'!$B:$Q,P$1,0)</f>
        <v>1990</v>
      </c>
      <c r="Q231" s="18">
        <f t="shared" si="37"/>
        <v>0</v>
      </c>
      <c r="R231" s="18">
        <f t="shared" si="38"/>
        <v>100</v>
      </c>
      <c r="S231" s="29">
        <f t="shared" si="39"/>
        <v>1890</v>
      </c>
      <c r="T231" s="30">
        <f t="shared" si="40"/>
        <v>0.51200000000000001</v>
      </c>
      <c r="U231" s="30">
        <f t="shared" si="41"/>
        <v>0.52139782223347686</v>
      </c>
      <c r="V231" s="30">
        <f t="shared" si="42"/>
        <v>2.1591999999999998</v>
      </c>
      <c r="W231" s="13">
        <f t="shared" si="33"/>
        <v>3949</v>
      </c>
      <c r="X231" s="32">
        <f>IFERROR((VLOOKUP($B231,'Из ГУГЛа'!$B:$Z,X$1,0)+Z231)*Y231,VLOOKUP($B231,'Из ГУГЛа'!$B:$Z,X$1,0))</f>
        <v>0</v>
      </c>
      <c r="Y231" s="33">
        <v>1</v>
      </c>
      <c r="Z231" s="33"/>
      <c r="AA231" s="31">
        <v>3949</v>
      </c>
      <c r="AB231" s="31" t="s">
        <v>4206</v>
      </c>
    </row>
    <row r="232" spans="1:28" ht="45" x14ac:dyDescent="0.25">
      <c r="A232" s="25" t="str">
        <f>INDEX('Выгр Торг'!$A:$A,MATCH($B232,'Выгр Торг'!$B:$B,0))</f>
        <v>Переднее крыло пластиковое (стандартное) для ВАЗ 2113-2115</v>
      </c>
      <c r="B232" s="24">
        <v>187272</v>
      </c>
      <c r="C232" s="24">
        <f>VLOOKUP($B232,'Выгр Торг'!$B:$Q,C$1,0)</f>
        <v>76438</v>
      </c>
      <c r="D232" s="25" t="str">
        <f>VLOOKUP($B232,'Выгр Торг'!$B:$Q,D$1,0)</f>
        <v>Переднее крыло пластиковое (стандартное) для ВАЗ 2113-2115 (Без покраски, Правая (пассажирская))</v>
      </c>
      <c r="E232" s="24" t="str">
        <f>VLOOKUP($B232,'Выгр Торг'!$B:$Q,E$1,0)</f>
        <v>Y</v>
      </c>
      <c r="F232" s="24">
        <f>VLOOKUP($B232,'Выгр Торг'!$B:$Q,F$1,0)</f>
        <v>0</v>
      </c>
      <c r="G232" s="24" t="str">
        <f>VLOOKUP($B232,'Выгр Торг'!$B:$Q,G$1,0)</f>
        <v>21140840301099</v>
      </c>
      <c r="H232" s="24" t="str">
        <f>IF(VLOOKUP($B232,'Выгр Торг'!$B:$Q,H$1,0)=0,"",VLOOKUP($B232,'Выгр Торг'!$B:$Q,H$1,0))</f>
        <v/>
      </c>
      <c r="I232" s="24"/>
      <c r="J232" s="24"/>
      <c r="K232" s="35">
        <f t="shared" si="34"/>
        <v>1250</v>
      </c>
      <c r="L232" s="26">
        <f>VLOOKUP(K232,Наценка!$A$1:$B$8,2,1)</f>
        <v>1.5</v>
      </c>
      <c r="M232" s="27">
        <f t="shared" si="35"/>
        <v>1875</v>
      </c>
      <c r="N232" s="28">
        <f t="shared" si="36"/>
        <v>1890</v>
      </c>
      <c r="O232" s="24">
        <f>VLOOKUP($B232,'Выгр Торг'!$B:$Q,O$1,0)</f>
        <v>1250</v>
      </c>
      <c r="P232" s="24">
        <f>VLOOKUP($B232,'Выгр Торг'!$B:$Q,P$1,0)</f>
        <v>1990</v>
      </c>
      <c r="Q232" s="18">
        <f t="shared" si="37"/>
        <v>0</v>
      </c>
      <c r="R232" s="18">
        <f t="shared" si="38"/>
        <v>100</v>
      </c>
      <c r="S232" s="29">
        <f t="shared" si="39"/>
        <v>1890</v>
      </c>
      <c r="T232" s="30">
        <f t="shared" si="40"/>
        <v>0.51200000000000001</v>
      </c>
      <c r="U232" s="30">
        <f t="shared" si="41"/>
        <v>0.52139782223347686</v>
      </c>
      <c r="V232" s="30">
        <f t="shared" si="42"/>
        <v>2.1591999999999998</v>
      </c>
      <c r="W232" s="13">
        <f t="shared" ref="W232:W251" si="43">AA232</f>
        <v>3949</v>
      </c>
      <c r="X232" s="32">
        <f>IFERROR((VLOOKUP($B232,'Из ГУГЛа'!$B:$Z,X$1,0)+Z232)*Y232,VLOOKUP($B232,'Из ГУГЛа'!$B:$Z,X$1,0))</f>
        <v>0</v>
      </c>
      <c r="Y232" s="33">
        <v>1</v>
      </c>
      <c r="Z232" s="33"/>
      <c r="AA232" s="31">
        <v>3949</v>
      </c>
      <c r="AB232" s="31" t="s">
        <v>4207</v>
      </c>
    </row>
    <row r="233" spans="1:28" ht="30" x14ac:dyDescent="0.25">
      <c r="A233" s="25" t="str">
        <f>INDEX('Выгр Торг'!$A:$A,MATCH($B233,'Выгр Торг'!$B:$B,0))</f>
        <v>Переднее левое крыло "АвтоВАЗ" для ВАЗ 2108-21099</v>
      </c>
      <c r="B233" s="24">
        <v>250390</v>
      </c>
      <c r="C233" s="24">
        <f>VLOOKUP($B233,'Выгр Торг'!$B:$Q,C$1,0)</f>
        <v>174909</v>
      </c>
      <c r="D233" s="25" t="str">
        <f>VLOOKUP($B233,'Выгр Торг'!$B:$Q,D$1,0)</f>
        <v>Переднее левое крыло "АвтоВАЗ" для ВАЗ 2108-21099 (Без покраски)</v>
      </c>
      <c r="E233" s="24" t="str">
        <f>VLOOKUP($B233,'Выгр Торг'!$B:$Q,E$1,0)</f>
        <v>Y</v>
      </c>
      <c r="F233" s="24">
        <f>VLOOKUP($B233,'Выгр Торг'!$B:$Q,F$1,0)</f>
        <v>0</v>
      </c>
      <c r="G233" s="24" t="str">
        <f>VLOOKUP($B233,'Выгр Торг'!$B:$Q,G$1,0)</f>
        <v>21093840301170</v>
      </c>
      <c r="H233" s="24" t="str">
        <f>IF(VLOOKUP($B233,'Выгр Торг'!$B:$Q,H$1,0)=0,"",VLOOKUP($B233,'Выгр Торг'!$B:$Q,H$1,0))</f>
        <v>https://motorring.ru/product/16040-krylo-perednee-levoe-cvet-vaz-2108-21099</v>
      </c>
      <c r="I233" s="24"/>
      <c r="J233" s="24"/>
      <c r="K233" s="35">
        <f t="shared" si="34"/>
        <v>1094</v>
      </c>
      <c r="L233" s="26">
        <f>VLOOKUP(K233,Наценка!$A$1:$B$8,2,1)</f>
        <v>1.5</v>
      </c>
      <c r="M233" s="27">
        <f t="shared" si="35"/>
        <v>1641</v>
      </c>
      <c r="N233" s="28">
        <f t="shared" si="36"/>
        <v>1690</v>
      </c>
      <c r="O233" s="24">
        <f>VLOOKUP($B233,'Выгр Торг'!$B:$Q,O$1,0)</f>
        <v>1094</v>
      </c>
      <c r="P233" s="24">
        <f>VLOOKUP($B233,'Выгр Торг'!$B:$Q,P$1,0)</f>
        <v>1690</v>
      </c>
      <c r="Q233" s="18">
        <f t="shared" si="37"/>
        <v>0</v>
      </c>
      <c r="R233" s="18">
        <f t="shared" si="38"/>
        <v>0</v>
      </c>
      <c r="S233" s="29">
        <f t="shared" si="39"/>
        <v>1690</v>
      </c>
      <c r="T233" s="30">
        <f t="shared" si="40"/>
        <v>0.54478976234003662</v>
      </c>
      <c r="U233" s="30" t="str">
        <f t="shared" si="41"/>
        <v/>
      </c>
      <c r="V233" s="30">
        <f t="shared" si="42"/>
        <v>-1</v>
      </c>
      <c r="W233" s="13">
        <f t="shared" si="43"/>
        <v>0</v>
      </c>
      <c r="X233" s="32">
        <f>IFERROR((VLOOKUP($B233,'Из ГУГЛа'!$B:$Z,X$1,0)+Z233)*Y233,VLOOKUP($B233,'Из ГУГЛа'!$B:$Z,X$1,0))</f>
        <v>0</v>
      </c>
      <c r="Y233" s="33">
        <v>1</v>
      </c>
      <c r="Z233" s="33"/>
      <c r="AA233" s="31"/>
      <c r="AB233" s="31" t="s">
        <v>3913</v>
      </c>
    </row>
    <row r="234" spans="1:28" ht="30" x14ac:dyDescent="0.25">
      <c r="A234" s="25" t="str">
        <f>INDEX('Выгр Торг'!$A:$A,MATCH($B234,'Выгр Торг'!$B:$B,0))</f>
        <v>Переднее левое крыло для Датсун mi-DO, on-DO</v>
      </c>
      <c r="B234" s="24">
        <v>187080</v>
      </c>
      <c r="C234" s="24">
        <f>VLOOKUP($B234,'Выгр Торг'!$B:$Q,C$1,0)</f>
        <v>155946</v>
      </c>
      <c r="D234" s="25" t="str">
        <f>VLOOKUP($B234,'Выгр Торг'!$B:$Q,D$1,0)</f>
        <v>Переднее левое крыло для Датсун mi-DO, on-DO (Без покраски)</v>
      </c>
      <c r="E234" s="24" t="str">
        <f>VLOOKUP($B234,'Выгр Торг'!$B:$Q,E$1,0)</f>
        <v>Y</v>
      </c>
      <c r="F234" s="24">
        <f>VLOOKUP($B234,'Выгр Торг'!$B:$Q,F$1,0)</f>
        <v>0</v>
      </c>
      <c r="G234" s="24" t="str">
        <f>VLOOKUP($B234,'Выгр Торг'!$B:$Q,G$1,0)</f>
        <v>631135PA0C</v>
      </c>
      <c r="H234" s="24" t="str">
        <f>IF(VLOOKUP($B234,'Выгр Торг'!$B:$Q,H$1,0)=0,"",VLOOKUP($B234,'Выгр Торг'!$B:$Q,H$1,0))</f>
        <v>https://motorring.ru/product/10528-krylo-perednee-levoe-cvet-datsun</v>
      </c>
      <c r="I234" s="24"/>
      <c r="J234" s="24"/>
      <c r="K234" s="35">
        <f t="shared" si="34"/>
        <v>4800</v>
      </c>
      <c r="L234" s="26">
        <f>VLOOKUP(K234,Наценка!$A$1:$B$8,2,1)</f>
        <v>1.4</v>
      </c>
      <c r="M234" s="27">
        <f t="shared" si="35"/>
        <v>6720</v>
      </c>
      <c r="N234" s="28">
        <f t="shared" si="36"/>
        <v>6790</v>
      </c>
      <c r="O234" s="24">
        <f>VLOOKUP($B234,'Выгр Торг'!$B:$Q,O$1,0)</f>
        <v>4800</v>
      </c>
      <c r="P234" s="24">
        <f>VLOOKUP($B234,'Выгр Торг'!$B:$Q,P$1,0)</f>
        <v>8790</v>
      </c>
      <c r="Q234" s="18">
        <f t="shared" si="37"/>
        <v>0</v>
      </c>
      <c r="R234" s="18">
        <f t="shared" si="38"/>
        <v>2000</v>
      </c>
      <c r="S234" s="29">
        <f t="shared" si="39"/>
        <v>6790</v>
      </c>
      <c r="T234" s="30">
        <f t="shared" si="40"/>
        <v>0.4145833333333333</v>
      </c>
      <c r="U234" s="30" t="str">
        <f t="shared" si="41"/>
        <v/>
      </c>
      <c r="V234" s="30">
        <f t="shared" si="42"/>
        <v>-1</v>
      </c>
      <c r="W234" s="13">
        <f t="shared" si="43"/>
        <v>0</v>
      </c>
      <c r="X234" s="32">
        <f>IFERROR((VLOOKUP($B234,'Из ГУГЛа'!$B:$Z,X$1,0)+Z234)*Y234,VLOOKUP($B234,'Из ГУГЛа'!$B:$Z,X$1,0))</f>
        <v>0</v>
      </c>
      <c r="Y234" s="33">
        <v>1</v>
      </c>
      <c r="Z234" s="33"/>
      <c r="AA234" s="31"/>
      <c r="AB234" s="31" t="s">
        <v>3921</v>
      </c>
    </row>
    <row r="235" spans="1:28" ht="45" x14ac:dyDescent="0.25">
      <c r="A235" s="25" t="str">
        <f>INDEX('Выгр Торг'!$A:$A,MATCH($B235,'Выгр Торг'!$B:$B,0))</f>
        <v>Переднее левое крыло для Лада XRAY</v>
      </c>
      <c r="B235" s="24">
        <v>250415</v>
      </c>
      <c r="C235" s="24">
        <f>VLOOKUP($B235,'Выгр Торг'!$B:$Q,C$1,0)</f>
        <v>152341</v>
      </c>
      <c r="D235" s="25" t="str">
        <f>VLOOKUP($B235,'Выгр Торг'!$B:$Q,D$1,0)</f>
        <v>Переднее левое крыло для Лада XRAY (Без отверстий под молдинг, Без покраски)</v>
      </c>
      <c r="E235" s="24" t="str">
        <f>VLOOKUP($B235,'Выгр Торг'!$B:$Q,E$1,0)</f>
        <v>Y</v>
      </c>
      <c r="F235" s="24">
        <f>VLOOKUP($B235,'Выгр Торг'!$B:$Q,F$1,0)</f>
        <v>0</v>
      </c>
      <c r="G235" s="24" t="str">
        <f>VLOOKUP($B235,'Выгр Торг'!$B:$Q,G$1,0)</f>
        <v>631014885R</v>
      </c>
      <c r="H235" s="24" t="str">
        <f>IF(VLOOKUP($B235,'Выгр Торг'!$B:$Q,H$1,0)=0,"",VLOOKUP($B235,'Выгр Торг'!$B:$Q,H$1,0))</f>
        <v>https://motorring.ru/product/10520</v>
      </c>
      <c r="I235" s="24"/>
      <c r="J235" s="24"/>
      <c r="K235" s="35">
        <f t="shared" si="34"/>
        <v>7332</v>
      </c>
      <c r="L235" s="26">
        <f>VLOOKUP(K235,Наценка!$A$1:$B$8,2,1)</f>
        <v>1.35</v>
      </c>
      <c r="M235" s="27">
        <f t="shared" si="35"/>
        <v>9898.2000000000007</v>
      </c>
      <c r="N235" s="28">
        <f t="shared" si="36"/>
        <v>9890</v>
      </c>
      <c r="O235" s="24">
        <f>VLOOKUP($B235,'Выгр Торг'!$B:$Q,O$1,0)</f>
        <v>7332</v>
      </c>
      <c r="P235" s="24">
        <f>VLOOKUP($B235,'Выгр Торг'!$B:$Q,P$1,0)</f>
        <v>11790</v>
      </c>
      <c r="Q235" s="18">
        <f t="shared" si="37"/>
        <v>0</v>
      </c>
      <c r="R235" s="18">
        <f t="shared" si="38"/>
        <v>1900</v>
      </c>
      <c r="S235" s="29">
        <f t="shared" si="39"/>
        <v>9890</v>
      </c>
      <c r="T235" s="30">
        <f t="shared" si="40"/>
        <v>0.34888161483906166</v>
      </c>
      <c r="U235" s="30" t="str">
        <f t="shared" si="41"/>
        <v/>
      </c>
      <c r="V235" s="30">
        <f t="shared" si="42"/>
        <v>-1</v>
      </c>
      <c r="W235" s="13">
        <f t="shared" si="43"/>
        <v>0</v>
      </c>
      <c r="X235" s="32">
        <f>IFERROR((VLOOKUP($B235,'Из ГУГЛа'!$B:$Z,X$1,0)+Z235)*Y235,VLOOKUP($B235,'Из ГУГЛа'!$B:$Z,X$1,0))</f>
        <v>0</v>
      </c>
      <c r="Y235" s="33">
        <v>1</v>
      </c>
      <c r="Z235" s="33"/>
      <c r="AA235" s="31"/>
      <c r="AB235" s="31" t="s">
        <v>3929</v>
      </c>
    </row>
    <row r="236" spans="1:28" ht="45" x14ac:dyDescent="0.25">
      <c r="A236" s="25" t="str">
        <f>INDEX('Выгр Торг'!$A:$A,MATCH($B236,'Выгр Торг'!$B:$B,0))</f>
        <v>Переднее левое крыло для Лада XRAY</v>
      </c>
      <c r="B236" s="24">
        <v>250428</v>
      </c>
      <c r="C236" s="24">
        <f>VLOOKUP($B236,'Выгр Торг'!$B:$Q,C$1,0)</f>
        <v>194749</v>
      </c>
      <c r="D236" s="25" t="str">
        <f>VLOOKUP($B236,'Выгр Торг'!$B:$Q,D$1,0)</f>
        <v>Переднее левое крыло для Лада XRAY (С отверстиями под молдинг, Без покраски)</v>
      </c>
      <c r="E236" s="24" t="str">
        <f>VLOOKUP($B236,'Выгр Торг'!$B:$Q,E$1,0)</f>
        <v>Y</v>
      </c>
      <c r="F236" s="24">
        <f>VLOOKUP($B236,'Выгр Торг'!$B:$Q,F$1,0)</f>
        <v>0</v>
      </c>
      <c r="G236" s="24" t="str">
        <f>VLOOKUP($B236,'Выгр Торг'!$B:$Q,G$1,0)</f>
        <v>8450105009</v>
      </c>
      <c r="H236" s="24" t="str">
        <f>IF(VLOOKUP($B236,'Выгр Торг'!$B:$Q,H$1,0)=0,"",VLOOKUP($B236,'Выгр Торг'!$B:$Q,H$1,0))</f>
        <v>https://motorring.ru/product/27674-krylo-perednee-levoe-cvet-lada-iks-rey-cross</v>
      </c>
      <c r="I236" s="24"/>
      <c r="J236" s="24"/>
      <c r="K236" s="35">
        <f t="shared" si="34"/>
        <v>6889</v>
      </c>
      <c r="L236" s="26">
        <f>VLOOKUP(K236,Наценка!$A$1:$B$8,2,1)</f>
        <v>1.35</v>
      </c>
      <c r="M236" s="27">
        <f t="shared" si="35"/>
        <v>9300.1500000000015</v>
      </c>
      <c r="N236" s="28">
        <f t="shared" si="36"/>
        <v>9390</v>
      </c>
      <c r="O236" s="24">
        <f>VLOOKUP($B236,'Выгр Торг'!$B:$Q,O$1,0)</f>
        <v>6889</v>
      </c>
      <c r="P236" s="24">
        <f>VLOOKUP($B236,'Выгр Торг'!$B:$Q,P$1,0)</f>
        <v>9290</v>
      </c>
      <c r="Q236" s="18">
        <f t="shared" si="37"/>
        <v>0</v>
      </c>
      <c r="R236" s="18">
        <f t="shared" si="38"/>
        <v>-100</v>
      </c>
      <c r="S236" s="29">
        <f t="shared" si="39"/>
        <v>9390</v>
      </c>
      <c r="T236" s="30">
        <f t="shared" si="40"/>
        <v>0.36304253157207134</v>
      </c>
      <c r="U236" s="30" t="str">
        <f t="shared" si="41"/>
        <v/>
      </c>
      <c r="V236" s="30">
        <f t="shared" si="42"/>
        <v>-1</v>
      </c>
      <c r="W236" s="13">
        <f t="shared" si="43"/>
        <v>0</v>
      </c>
      <c r="X236" s="32">
        <f>IFERROR((VLOOKUP($B236,'Из ГУГЛа'!$B:$Z,X$1,0)+Z236)*Y236,VLOOKUP($B236,'Из ГУГЛа'!$B:$Z,X$1,0))</f>
        <v>0</v>
      </c>
      <c r="Y236" s="33">
        <v>1</v>
      </c>
      <c r="Z236" s="33"/>
      <c r="AA236" s="31"/>
      <c r="AB236" s="31" t="s">
        <v>3937</v>
      </c>
    </row>
    <row r="237" spans="1:28" ht="45" x14ac:dyDescent="0.25">
      <c r="A237" s="25" t="str">
        <f>INDEX('Выгр Торг'!$A:$A,MATCH($B237,'Выгр Торг'!$B:$B,0))</f>
        <v>Переднее левое крыло для Лада Веста</v>
      </c>
      <c r="B237" s="24">
        <v>250441</v>
      </c>
      <c r="C237" s="24">
        <f>VLOOKUP($B237,'Выгр Торг'!$B:$Q,C$1,0)</f>
        <v>152297</v>
      </c>
      <c r="D237" s="25" t="str">
        <f>VLOOKUP($B237,'Выгр Торг'!$B:$Q,D$1,0)</f>
        <v>Переднее левое крыло для Лада Веста (Без отверстий под молдинг, Без покраски)</v>
      </c>
      <c r="E237" s="24" t="str">
        <f>VLOOKUP($B237,'Выгр Торг'!$B:$Q,E$1,0)</f>
        <v>Y</v>
      </c>
      <c r="F237" s="24">
        <f>VLOOKUP($B237,'Выгр Торг'!$B:$Q,F$1,0)</f>
        <v>0</v>
      </c>
      <c r="G237" s="24" t="str">
        <f>VLOOKUP($B237,'Выгр Торг'!$B:$Q,G$1,0)</f>
        <v>8450039382</v>
      </c>
      <c r="H237" s="24" t="str">
        <f>IF(VLOOKUP($B237,'Выгр Торг'!$B:$Q,H$1,0)=0,"",VLOOKUP($B237,'Выгр Торг'!$B:$Q,H$1,0))</f>
        <v>https://motorring.ru/product/10511-krylo-perednee-levoe-cvet-lada-vesta</v>
      </c>
      <c r="I237" s="24"/>
      <c r="J237" s="24"/>
      <c r="K237" s="35">
        <f t="shared" si="34"/>
        <v>7076</v>
      </c>
      <c r="L237" s="26">
        <f>VLOOKUP(K237,Наценка!$A$1:$B$8,2,1)</f>
        <v>1.35</v>
      </c>
      <c r="M237" s="27">
        <f t="shared" si="35"/>
        <v>9552.6</v>
      </c>
      <c r="N237" s="28">
        <f t="shared" si="36"/>
        <v>9590</v>
      </c>
      <c r="O237" s="24">
        <f>VLOOKUP($B237,'Выгр Торг'!$B:$Q,O$1,0)</f>
        <v>7076</v>
      </c>
      <c r="P237" s="24">
        <f>VLOOKUP($B237,'Выгр Торг'!$B:$Q,P$1,0)</f>
        <v>9790</v>
      </c>
      <c r="Q237" s="18">
        <f t="shared" si="37"/>
        <v>0</v>
      </c>
      <c r="R237" s="18">
        <f t="shared" si="38"/>
        <v>200</v>
      </c>
      <c r="S237" s="29">
        <f t="shared" si="39"/>
        <v>9590</v>
      </c>
      <c r="T237" s="30">
        <f t="shared" si="40"/>
        <v>0.35528547201808935</v>
      </c>
      <c r="U237" s="30" t="str">
        <f t="shared" si="41"/>
        <v/>
      </c>
      <c r="V237" s="30">
        <f t="shared" si="42"/>
        <v>-1</v>
      </c>
      <c r="W237" s="13">
        <f t="shared" si="43"/>
        <v>0</v>
      </c>
      <c r="X237" s="32">
        <f>IFERROR((VLOOKUP($B237,'Из ГУГЛа'!$B:$Z,X$1,0)+Z237)*Y237,VLOOKUP($B237,'Из ГУГЛа'!$B:$Z,X$1,0))</f>
        <v>0</v>
      </c>
      <c r="Y237" s="33">
        <v>1</v>
      </c>
      <c r="Z237" s="33"/>
      <c r="AA237" s="31"/>
      <c r="AB237" s="31" t="s">
        <v>3945</v>
      </c>
    </row>
    <row r="238" spans="1:28" ht="45" x14ac:dyDescent="0.25">
      <c r="A238" s="25" t="str">
        <f>INDEX('Выгр Торг'!$A:$A,MATCH($B238,'Выгр Торг'!$B:$B,0))</f>
        <v>Переднее левое крыло для Лада Веста</v>
      </c>
      <c r="B238" s="24">
        <v>250459</v>
      </c>
      <c r="C238" s="24">
        <f>VLOOKUP($B238,'Выгр Торг'!$B:$Q,C$1,0)</f>
        <v>194434</v>
      </c>
      <c r="D238" s="25" t="str">
        <f>VLOOKUP($B238,'Выгр Торг'!$B:$Q,D$1,0)</f>
        <v>Переднее левое крыло для Лада Веста (С отверстиями под молдинг, Без покраски)</v>
      </c>
      <c r="E238" s="24" t="str">
        <f>VLOOKUP($B238,'Выгр Торг'!$B:$Q,E$1,0)</f>
        <v>Y</v>
      </c>
      <c r="F238" s="24">
        <f>VLOOKUP($B238,'Выгр Торг'!$B:$Q,F$1,0)</f>
        <v>0</v>
      </c>
      <c r="G238" s="24" t="str">
        <f>VLOOKUP($B238,'Выгр Торг'!$B:$Q,G$1,0)</f>
        <v>8450102331</v>
      </c>
      <c r="H238" s="24" t="str">
        <f>IF(VLOOKUP($B238,'Выгр Торг'!$B:$Q,H$1,0)=0,"",VLOOKUP($B238,'Выгр Торг'!$B:$Q,H$1,0))</f>
        <v>https://motorring.ru/product/24987-krylo-perednee-levoe-cvet-lada-vesta-cross</v>
      </c>
      <c r="I238" s="24"/>
      <c r="J238" s="24"/>
      <c r="K238" s="35">
        <f t="shared" si="34"/>
        <v>7035</v>
      </c>
      <c r="L238" s="26">
        <f>VLOOKUP(K238,Наценка!$A$1:$B$8,2,1)</f>
        <v>1.35</v>
      </c>
      <c r="M238" s="27">
        <f t="shared" si="35"/>
        <v>9497.25</v>
      </c>
      <c r="N238" s="28">
        <f t="shared" si="36"/>
        <v>9490</v>
      </c>
      <c r="O238" s="24">
        <f>VLOOKUP($B238,'Выгр Торг'!$B:$Q,O$1,0)</f>
        <v>7035</v>
      </c>
      <c r="P238" s="24">
        <f>VLOOKUP($B238,'Выгр Торг'!$B:$Q,P$1,0)</f>
        <v>8790</v>
      </c>
      <c r="Q238" s="18">
        <f t="shared" si="37"/>
        <v>0</v>
      </c>
      <c r="R238" s="18">
        <f t="shared" si="38"/>
        <v>-700</v>
      </c>
      <c r="S238" s="29">
        <f t="shared" si="39"/>
        <v>9490</v>
      </c>
      <c r="T238" s="30">
        <f t="shared" si="40"/>
        <v>0.34896943852167728</v>
      </c>
      <c r="U238" s="30" t="str">
        <f t="shared" si="41"/>
        <v/>
      </c>
      <c r="V238" s="30">
        <f t="shared" si="42"/>
        <v>-1</v>
      </c>
      <c r="W238" s="13">
        <f t="shared" si="43"/>
        <v>0</v>
      </c>
      <c r="X238" s="32">
        <f>IFERROR((VLOOKUP($B238,'Из ГУГЛа'!$B:$Z,X$1,0)+Z238)*Y238,VLOOKUP($B238,'Из ГУГЛа'!$B:$Z,X$1,0))</f>
        <v>0</v>
      </c>
      <c r="Y238" s="33">
        <v>1</v>
      </c>
      <c r="Z238" s="33"/>
      <c r="AA238" s="31"/>
      <c r="AB238" s="31" t="s">
        <v>3952</v>
      </c>
    </row>
    <row r="239" spans="1:28" ht="45" x14ac:dyDescent="0.25">
      <c r="A239" s="25" t="str">
        <f>INDEX('Выгр Торг'!$A:$A,MATCH($B239,'Выгр Торг'!$B:$B,0))</f>
        <v>Переднее левое крыло нового образца для Шевроле Нива (после 2009 г.в.)</v>
      </c>
      <c r="B239" s="24">
        <v>187122</v>
      </c>
      <c r="C239" s="24">
        <f>VLOOKUP($B239,'Выгр Торг'!$B:$Q,C$1,0)</f>
        <v>155859</v>
      </c>
      <c r="D239" s="25" t="str">
        <f>VLOOKUP($B239,'Выгр Торг'!$B:$Q,D$1,0)</f>
        <v>Переднее левое крыло нового образца для Шевроле Нива (после 2009 г.в.) (Без покраски)</v>
      </c>
      <c r="E239" s="24" t="str">
        <f>VLOOKUP($B239,'Выгр Торг'!$B:$Q,E$1,0)</f>
        <v>Y</v>
      </c>
      <c r="F239" s="24">
        <f>VLOOKUP($B239,'Выгр Торг'!$B:$Q,F$1,0)</f>
        <v>0</v>
      </c>
      <c r="G239" s="24" t="str">
        <f>VLOOKUP($B239,'Выгр Торг'!$B:$Q,G$1,0)</f>
        <v>21230840301155</v>
      </c>
      <c r="H239" s="24" t="str">
        <f>IF(VLOOKUP($B239,'Выгр Торг'!$B:$Q,H$1,0)=0,"",VLOOKUP($B239,'Выгр Торг'!$B:$Q,H$1,0))</f>
        <v>https://motorring.ru/product/2833-krylo-perednee-levoe-novogo-obrazca-cvet-shevrole-niva</v>
      </c>
      <c r="I239" s="24"/>
      <c r="J239" s="24"/>
      <c r="K239" s="35">
        <f t="shared" si="34"/>
        <v>3466</v>
      </c>
      <c r="L239" s="26">
        <f>VLOOKUP(K239,Наценка!$A$1:$B$8,2,1)</f>
        <v>1.4</v>
      </c>
      <c r="M239" s="27">
        <f t="shared" si="35"/>
        <v>4852.3999999999996</v>
      </c>
      <c r="N239" s="28">
        <f t="shared" si="36"/>
        <v>4890</v>
      </c>
      <c r="O239" s="24">
        <f>VLOOKUP($B239,'Выгр Торг'!$B:$Q,O$1,0)</f>
        <v>3466</v>
      </c>
      <c r="P239" s="24">
        <f>VLOOKUP($B239,'Выгр Торг'!$B:$Q,P$1,0)</f>
        <v>4490</v>
      </c>
      <c r="Q239" s="18">
        <f t="shared" si="37"/>
        <v>0</v>
      </c>
      <c r="R239" s="18">
        <f t="shared" si="38"/>
        <v>-400</v>
      </c>
      <c r="S239" s="29">
        <f t="shared" si="39"/>
        <v>4890</v>
      </c>
      <c r="T239" s="30">
        <f t="shared" si="40"/>
        <v>0.41084824004616283</v>
      </c>
      <c r="U239" s="30" t="str">
        <f t="shared" si="41"/>
        <v/>
      </c>
      <c r="V239" s="30">
        <f t="shared" si="42"/>
        <v>-1</v>
      </c>
      <c r="W239" s="13">
        <f t="shared" si="43"/>
        <v>0</v>
      </c>
      <c r="X239" s="32">
        <f>IFERROR((VLOOKUP($B239,'Из ГУГЛа'!$B:$Z,X$1,0)+Z239)*Y239,VLOOKUP($B239,'Из ГУГЛа'!$B:$Z,X$1,0))</f>
        <v>0</v>
      </c>
      <c r="Y239" s="33">
        <v>1</v>
      </c>
      <c r="Z239" s="33"/>
      <c r="AA239" s="31"/>
      <c r="AB239" s="31" t="s">
        <v>3959</v>
      </c>
    </row>
    <row r="240" spans="1:28" ht="45" x14ac:dyDescent="0.25">
      <c r="A240" s="25" t="str">
        <f>INDEX('Выгр Торг'!$A:$A,MATCH($B240,'Выгр Торг'!$B:$B,0))</f>
        <v>Переднее левое крыло старого образца для Шевроле Нива (до 2009 года выпуска)</v>
      </c>
      <c r="B240" s="24">
        <v>187140</v>
      </c>
      <c r="C240" s="24">
        <f>VLOOKUP($B240,'Выгр Торг'!$B:$Q,C$1,0)</f>
        <v>152022</v>
      </c>
      <c r="D240" s="25" t="str">
        <f>VLOOKUP($B240,'Выгр Торг'!$B:$Q,D$1,0)</f>
        <v>Переднее левое крыло старого образца для Шевроле Нива (до 2009 года выпуска) (Без покраски)</v>
      </c>
      <c r="E240" s="24" t="str">
        <f>VLOOKUP($B240,'Выгр Торг'!$B:$Q,E$1,0)</f>
        <v>Y</v>
      </c>
      <c r="F240" s="24">
        <f>VLOOKUP($B240,'Выгр Торг'!$B:$Q,F$1,0)</f>
        <v>0</v>
      </c>
      <c r="G240" s="24" t="str">
        <f>VLOOKUP($B240,'Выгр Торг'!$B:$Q,G$1,0)</f>
        <v>21230840301170</v>
      </c>
      <c r="H240" s="24" t="str">
        <f>IF(VLOOKUP($B240,'Выгр Торг'!$B:$Q,H$1,0)=0,"",VLOOKUP($B240,'Выгр Торг'!$B:$Q,H$1,0))</f>
        <v>https://motorring.ru/product/2883-krylo-perednee-levoe-starogo-obrazca-cvet-shevrole-niva</v>
      </c>
      <c r="I240" s="24"/>
      <c r="J240" s="24"/>
      <c r="K240" s="35">
        <f t="shared" si="34"/>
        <v>2036</v>
      </c>
      <c r="L240" s="26">
        <f>VLOOKUP(K240,Наценка!$A$1:$B$8,2,1)</f>
        <v>1.4</v>
      </c>
      <c r="M240" s="27">
        <f t="shared" si="35"/>
        <v>2850.3999999999996</v>
      </c>
      <c r="N240" s="28">
        <f t="shared" si="36"/>
        <v>2890</v>
      </c>
      <c r="O240" s="24">
        <f>VLOOKUP($B240,'Выгр Торг'!$B:$Q,O$1,0)</f>
        <v>2036</v>
      </c>
      <c r="P240" s="24">
        <f>VLOOKUP($B240,'Выгр Торг'!$B:$Q,P$1,0)</f>
        <v>7290</v>
      </c>
      <c r="Q240" s="18">
        <f t="shared" si="37"/>
        <v>0</v>
      </c>
      <c r="R240" s="18">
        <f t="shared" si="38"/>
        <v>4400</v>
      </c>
      <c r="S240" s="29">
        <f t="shared" si="39"/>
        <v>2890</v>
      </c>
      <c r="T240" s="30">
        <f t="shared" si="40"/>
        <v>0.41944990176817298</v>
      </c>
      <c r="U240" s="30" t="str">
        <f t="shared" si="41"/>
        <v/>
      </c>
      <c r="V240" s="30">
        <f t="shared" si="42"/>
        <v>-1</v>
      </c>
      <c r="W240" s="13">
        <f t="shared" si="43"/>
        <v>0</v>
      </c>
      <c r="X240" s="32">
        <f>IFERROR((VLOOKUP($B240,'Из ГУГЛа'!$B:$Z,X$1,0)+Z240)*Y240,VLOOKUP($B240,'Из ГУГЛа'!$B:$Z,X$1,0))</f>
        <v>0</v>
      </c>
      <c r="Y240" s="33">
        <v>1</v>
      </c>
      <c r="Z240" s="33"/>
      <c r="AA240" s="31"/>
      <c r="AB240" s="31" t="s">
        <v>3967</v>
      </c>
    </row>
    <row r="241" spans="1:28" ht="30" x14ac:dyDescent="0.25">
      <c r="A241" s="25" t="str">
        <f>INDEX('Выгр Торг'!$A:$A,MATCH($B241,'Выгр Торг'!$B:$B,0))</f>
        <v>Переднее правое крыло "АвтоВАЗ" для ВАЗ 2108-21099</v>
      </c>
      <c r="B241" s="24">
        <v>250477</v>
      </c>
      <c r="C241" s="24">
        <f>VLOOKUP($B241,'Выгр Торг'!$B:$Q,C$1,0)</f>
        <v>174879</v>
      </c>
      <c r="D241" s="25" t="str">
        <f>VLOOKUP($B241,'Выгр Торг'!$B:$Q,D$1,0)</f>
        <v>Переднее правое крыло "АвтоВАЗ" для ВАЗ 2108-2109 (Без покраски)</v>
      </c>
      <c r="E241" s="24" t="str">
        <f>VLOOKUP($B241,'Выгр Торг'!$B:$Q,E$1,0)</f>
        <v>Y</v>
      </c>
      <c r="F241" s="24">
        <f>VLOOKUP($B241,'Выгр Торг'!$B:$Q,F$1,0)</f>
        <v>0</v>
      </c>
      <c r="G241" s="24" t="str">
        <f>VLOOKUP($B241,'Выгр Торг'!$B:$Q,G$1,0)</f>
        <v>21093840301000</v>
      </c>
      <c r="H241" s="24" t="str">
        <f>IF(VLOOKUP($B241,'Выгр Торг'!$B:$Q,H$1,0)=0,"",VLOOKUP($B241,'Выгр Торг'!$B:$Q,H$1,0))</f>
        <v>https://motorring.ru/product/11336-krylo-perednee-pravoe-cvet-vaz-2108-21099</v>
      </c>
      <c r="I241" s="24"/>
      <c r="J241" s="24"/>
      <c r="K241" s="35">
        <f t="shared" si="34"/>
        <v>1105</v>
      </c>
      <c r="L241" s="26">
        <f>VLOOKUP(K241,Наценка!$A$1:$B$8,2,1)</f>
        <v>1.5</v>
      </c>
      <c r="M241" s="27">
        <f t="shared" si="35"/>
        <v>1657.5</v>
      </c>
      <c r="N241" s="28">
        <f t="shared" si="36"/>
        <v>1690</v>
      </c>
      <c r="O241" s="24">
        <f>VLOOKUP($B241,'Выгр Торг'!$B:$Q,O$1,0)</f>
        <v>1105</v>
      </c>
      <c r="P241" s="24">
        <f>VLOOKUP($B241,'Выгр Торг'!$B:$Q,P$1,0)</f>
        <v>1690</v>
      </c>
      <c r="Q241" s="18">
        <f t="shared" si="37"/>
        <v>0</v>
      </c>
      <c r="R241" s="18">
        <f t="shared" si="38"/>
        <v>0</v>
      </c>
      <c r="S241" s="29">
        <f t="shared" si="39"/>
        <v>1690</v>
      </c>
      <c r="T241" s="30">
        <f t="shared" si="40"/>
        <v>0.52941176470588225</v>
      </c>
      <c r="U241" s="30" t="str">
        <f t="shared" si="41"/>
        <v/>
      </c>
      <c r="V241" s="30">
        <f t="shared" si="42"/>
        <v>-1</v>
      </c>
      <c r="W241" s="13">
        <f t="shared" si="43"/>
        <v>0</v>
      </c>
      <c r="X241" s="32">
        <f>IFERROR((VLOOKUP($B241,'Из ГУГЛа'!$B:$Z,X$1,0)+Z241)*Y241,VLOOKUP($B241,'Из ГУГЛа'!$B:$Z,X$1,0))</f>
        <v>0</v>
      </c>
      <c r="Y241" s="33">
        <v>1</v>
      </c>
      <c r="Z241" s="33"/>
      <c r="AA241" s="31"/>
      <c r="AB241" s="31" t="s">
        <v>3975</v>
      </c>
    </row>
    <row r="242" spans="1:28" ht="30" x14ac:dyDescent="0.25">
      <c r="A242" s="25" t="str">
        <f>INDEX('Выгр Торг'!$A:$A,MATCH($B242,'Выгр Торг'!$B:$B,0))</f>
        <v>Переднее правое крыло для Датсун mi-DO, on-DO</v>
      </c>
      <c r="B242" s="24">
        <v>187159</v>
      </c>
      <c r="C242" s="24">
        <f>VLOOKUP($B242,'Выгр Торг'!$B:$Q,C$1,0)</f>
        <v>155991</v>
      </c>
      <c r="D242" s="25" t="str">
        <f>VLOOKUP($B242,'Выгр Торг'!$B:$Q,D$1,0)</f>
        <v>Переднее правое крыло для Датсун mi-DO, on-DO (Без покраски)</v>
      </c>
      <c r="E242" s="24" t="str">
        <f>VLOOKUP($B242,'Выгр Торг'!$B:$Q,E$1,0)</f>
        <v>Y</v>
      </c>
      <c r="F242" s="24">
        <f>VLOOKUP($B242,'Выгр Торг'!$B:$Q,F$1,0)</f>
        <v>0</v>
      </c>
      <c r="G242" s="24" t="str">
        <f>VLOOKUP($B242,'Выгр Торг'!$B:$Q,G$1,0)</f>
        <v>631125PA0B</v>
      </c>
      <c r="H242" s="24" t="str">
        <f>IF(VLOOKUP($B242,'Выгр Торг'!$B:$Q,H$1,0)=0,"",VLOOKUP($B242,'Выгр Торг'!$B:$Q,H$1,0))</f>
        <v>https://motorring.ru/product/10527-krylo-perednee-pravoe-cvet-datsun</v>
      </c>
      <c r="I242" s="24"/>
      <c r="J242" s="24"/>
      <c r="K242" s="35">
        <f t="shared" si="34"/>
        <v>6900</v>
      </c>
      <c r="L242" s="26">
        <f>VLOOKUP(K242,Наценка!$A$1:$B$8,2,1)</f>
        <v>1.35</v>
      </c>
      <c r="M242" s="27">
        <f t="shared" si="35"/>
        <v>9315</v>
      </c>
      <c r="N242" s="28">
        <f t="shared" si="36"/>
        <v>9390</v>
      </c>
      <c r="O242" s="24">
        <f>VLOOKUP($B242,'Выгр Торг'!$B:$Q,O$1,0)</f>
        <v>6900</v>
      </c>
      <c r="P242" s="24">
        <f>VLOOKUP($B242,'Выгр Торг'!$B:$Q,P$1,0)</f>
        <v>8790</v>
      </c>
      <c r="Q242" s="18">
        <f t="shared" si="37"/>
        <v>0</v>
      </c>
      <c r="R242" s="18">
        <f t="shared" si="38"/>
        <v>-600</v>
      </c>
      <c r="S242" s="29">
        <f t="shared" si="39"/>
        <v>9390</v>
      </c>
      <c r="T242" s="30">
        <f t="shared" si="40"/>
        <v>0.36086956521739122</v>
      </c>
      <c r="U242" s="30" t="str">
        <f t="shared" si="41"/>
        <v/>
      </c>
      <c r="V242" s="30">
        <f t="shared" si="42"/>
        <v>-1</v>
      </c>
      <c r="W242" s="13">
        <f t="shared" si="43"/>
        <v>0</v>
      </c>
      <c r="X242" s="32">
        <f>IFERROR((VLOOKUP($B242,'Из ГУГЛа'!$B:$Z,X$1,0)+Z242)*Y242,VLOOKUP($B242,'Из ГУГЛа'!$B:$Z,X$1,0))</f>
        <v>0</v>
      </c>
      <c r="Y242" s="33">
        <v>1</v>
      </c>
      <c r="Z242" s="33"/>
      <c r="AA242" s="31"/>
      <c r="AB242" s="31" t="s">
        <v>3983</v>
      </c>
    </row>
    <row r="243" spans="1:28" ht="45" x14ac:dyDescent="0.25">
      <c r="A243" s="25" t="str">
        <f>INDEX('Выгр Торг'!$A:$A,MATCH($B243,'Выгр Торг'!$B:$B,0))</f>
        <v>Переднее правое крыло для Лада XRAY</v>
      </c>
      <c r="B243" s="24">
        <v>250503</v>
      </c>
      <c r="C243" s="24">
        <f>VLOOKUP($B243,'Выгр Торг'!$B:$Q,C$1,0)</f>
        <v>152354</v>
      </c>
      <c r="D243" s="25" t="str">
        <f>VLOOKUP($B243,'Выгр Торг'!$B:$Q,D$1,0)</f>
        <v>Переднее правое крыло для Лада XRAY (Без отверстий под молдинг, Без покраски)</v>
      </c>
      <c r="E243" s="24" t="str">
        <f>VLOOKUP($B243,'Выгр Торг'!$B:$Q,E$1,0)</f>
        <v>Y</v>
      </c>
      <c r="F243" s="24">
        <f>VLOOKUP($B243,'Выгр Торг'!$B:$Q,F$1,0)</f>
        <v>0</v>
      </c>
      <c r="G243" s="24" t="str">
        <f>VLOOKUP($B243,'Выгр Торг'!$B:$Q,G$1,0)</f>
        <v>631006734R</v>
      </c>
      <c r="H243" s="24" t="str">
        <f>IF(VLOOKUP($B243,'Выгр Торг'!$B:$Q,H$1,0)=0,"",VLOOKUP($B243,'Выгр Торг'!$B:$Q,H$1,0))</f>
        <v>https://motorring.ru/product/10519-krylo-perednee-pravoe-cvet-lada-iks-rey</v>
      </c>
      <c r="I243" s="24"/>
      <c r="J243" s="24"/>
      <c r="K243" s="35">
        <f t="shared" si="34"/>
        <v>11273</v>
      </c>
      <c r="L243" s="26">
        <f>VLOOKUP(K243,Наценка!$A$1:$B$8,2,1)</f>
        <v>1.3</v>
      </c>
      <c r="M243" s="27">
        <f t="shared" si="35"/>
        <v>14654.9</v>
      </c>
      <c r="N243" s="28">
        <f t="shared" si="36"/>
        <v>14690</v>
      </c>
      <c r="O243" s="24">
        <f>VLOOKUP($B243,'Выгр Торг'!$B:$Q,O$1,0)</f>
        <v>11273</v>
      </c>
      <c r="P243" s="24">
        <f>VLOOKUP($B243,'Выгр Торг'!$B:$Q,P$1,0)</f>
        <v>14990</v>
      </c>
      <c r="Q243" s="18">
        <f t="shared" si="37"/>
        <v>0</v>
      </c>
      <c r="R243" s="18">
        <f t="shared" si="38"/>
        <v>300</v>
      </c>
      <c r="S243" s="29">
        <f t="shared" si="39"/>
        <v>14690</v>
      </c>
      <c r="T243" s="30">
        <f t="shared" si="40"/>
        <v>0.303113634347556</v>
      </c>
      <c r="U243" s="30" t="str">
        <f t="shared" si="41"/>
        <v/>
      </c>
      <c r="V243" s="30">
        <f t="shared" si="42"/>
        <v>-1</v>
      </c>
      <c r="W243" s="13">
        <f t="shared" si="43"/>
        <v>0</v>
      </c>
      <c r="X243" s="32">
        <f>IFERROR((VLOOKUP($B243,'Из ГУГЛа'!$B:$Z,X$1,0)+Z243)*Y243,VLOOKUP($B243,'Из ГУГЛа'!$B:$Z,X$1,0))</f>
        <v>0</v>
      </c>
      <c r="Y243" s="33">
        <v>1</v>
      </c>
      <c r="Z243" s="33"/>
      <c r="AA243" s="31"/>
      <c r="AB243" s="31" t="s">
        <v>3991</v>
      </c>
    </row>
    <row r="244" spans="1:28" ht="45" x14ac:dyDescent="0.25">
      <c r="A244" s="25" t="str">
        <f>INDEX('Выгр Торг'!$A:$A,MATCH($B244,'Выгр Торг'!$B:$B,0))</f>
        <v>Переднее правое крыло для Лада XRAY</v>
      </c>
      <c r="B244" s="24">
        <v>250516</v>
      </c>
      <c r="C244" s="24">
        <f>VLOOKUP($B244,'Выгр Торг'!$B:$Q,C$1,0)</f>
        <v>194734</v>
      </c>
      <c r="D244" s="25" t="str">
        <f>VLOOKUP($B244,'Выгр Торг'!$B:$Q,D$1,0)</f>
        <v>Переднее правое крыло для Лада XRAY (С отверстиями под молдинг, Без покраски)</v>
      </c>
      <c r="E244" s="24" t="str">
        <f>VLOOKUP($B244,'Выгр Торг'!$B:$Q,E$1,0)</f>
        <v>Y</v>
      </c>
      <c r="F244" s="24">
        <f>VLOOKUP($B244,'Выгр Торг'!$B:$Q,F$1,0)</f>
        <v>0</v>
      </c>
      <c r="G244" s="24" t="str">
        <f>VLOOKUP($B244,'Выгр Торг'!$B:$Q,G$1,0)</f>
        <v>8450105008</v>
      </c>
      <c r="H244" s="24" t="str">
        <f>IF(VLOOKUP($B244,'Выгр Торг'!$B:$Q,H$1,0)=0,"",VLOOKUP($B244,'Выгр Торг'!$B:$Q,H$1,0))</f>
        <v>https://motorring.ru/product/27673-krylo-perednee-pravoe-cvet-lada-iks-rey-cross</v>
      </c>
      <c r="I244" s="24"/>
      <c r="J244" s="24"/>
      <c r="K244" s="35">
        <f t="shared" si="34"/>
        <v>6901</v>
      </c>
      <c r="L244" s="26">
        <f>VLOOKUP(K244,Наценка!$A$1:$B$8,2,1)</f>
        <v>1.35</v>
      </c>
      <c r="M244" s="27">
        <f t="shared" si="35"/>
        <v>9316.35</v>
      </c>
      <c r="N244" s="28">
        <f t="shared" si="36"/>
        <v>9390</v>
      </c>
      <c r="O244" s="24">
        <f>VLOOKUP($B244,'Выгр Торг'!$B:$Q,O$1,0)</f>
        <v>6901</v>
      </c>
      <c r="P244" s="24">
        <f>VLOOKUP($B244,'Выгр Торг'!$B:$Q,P$1,0)</f>
        <v>9390</v>
      </c>
      <c r="Q244" s="18">
        <f t="shared" si="37"/>
        <v>0</v>
      </c>
      <c r="R244" s="18">
        <f t="shared" si="38"/>
        <v>0</v>
      </c>
      <c r="S244" s="29">
        <f t="shared" si="39"/>
        <v>9390</v>
      </c>
      <c r="T244" s="30">
        <f t="shared" si="40"/>
        <v>0.36067236632372124</v>
      </c>
      <c r="U244" s="30" t="str">
        <f t="shared" si="41"/>
        <v/>
      </c>
      <c r="V244" s="30">
        <f t="shared" si="42"/>
        <v>-1</v>
      </c>
      <c r="W244" s="13">
        <f t="shared" si="43"/>
        <v>0</v>
      </c>
      <c r="X244" s="32">
        <f>IFERROR((VLOOKUP($B244,'Из ГУГЛа'!$B:$Z,X$1,0)+Z244)*Y244,VLOOKUP($B244,'Из ГУГЛа'!$B:$Z,X$1,0))</f>
        <v>0</v>
      </c>
      <c r="Y244" s="33">
        <v>1</v>
      </c>
      <c r="Z244" s="33"/>
      <c r="AA244" s="31"/>
      <c r="AB244" s="31" t="s">
        <v>3999</v>
      </c>
    </row>
    <row r="245" spans="1:28" ht="45" x14ac:dyDescent="0.25">
      <c r="A245" s="25" t="str">
        <f>INDEX('Выгр Торг'!$A:$A,MATCH($B245,'Выгр Торг'!$B:$B,0))</f>
        <v>Переднее правое крыло для Лада Веста</v>
      </c>
      <c r="B245" s="24">
        <v>250529</v>
      </c>
      <c r="C245" s="24">
        <f>VLOOKUP($B245,'Выгр Торг'!$B:$Q,C$1,0)</f>
        <v>152318</v>
      </c>
      <c r="D245" s="25" t="str">
        <f>VLOOKUP($B245,'Выгр Торг'!$B:$Q,D$1,0)</f>
        <v>Переднее правое крыло для Лада Веста (Без отверстий под молдинг, Без покраски)</v>
      </c>
      <c r="E245" s="24" t="str">
        <f>VLOOKUP($B245,'Выгр Торг'!$B:$Q,E$1,0)</f>
        <v>Y</v>
      </c>
      <c r="F245" s="24">
        <f>VLOOKUP($B245,'Выгр Торг'!$B:$Q,F$1,0)</f>
        <v>0</v>
      </c>
      <c r="G245" s="24" t="str">
        <f>VLOOKUP($B245,'Выгр Торг'!$B:$Q,G$1,0)</f>
        <v>8450039386</v>
      </c>
      <c r="H245" s="24" t="str">
        <f>IF(VLOOKUP($B245,'Выгр Торг'!$B:$Q,H$1,0)=0,"",VLOOKUP($B245,'Выгр Торг'!$B:$Q,H$1,0))</f>
        <v>https://motorring.ru/product/10510-krylo-perednee-pravoe-cvet-lada-vesta</v>
      </c>
      <c r="I245" s="24"/>
      <c r="J245" s="24"/>
      <c r="K245" s="35">
        <f t="shared" si="34"/>
        <v>7007</v>
      </c>
      <c r="L245" s="26">
        <f>VLOOKUP(K245,Наценка!$A$1:$B$8,2,1)</f>
        <v>1.35</v>
      </c>
      <c r="M245" s="27">
        <f t="shared" si="35"/>
        <v>9459.4500000000007</v>
      </c>
      <c r="N245" s="28">
        <f t="shared" si="36"/>
        <v>9490</v>
      </c>
      <c r="O245" s="24">
        <f>VLOOKUP($B245,'Выгр Торг'!$B:$Q,O$1,0)</f>
        <v>7007</v>
      </c>
      <c r="P245" s="24">
        <f>VLOOKUP($B245,'Выгр Торг'!$B:$Q,P$1,0)</f>
        <v>9690</v>
      </c>
      <c r="Q245" s="18">
        <f t="shared" si="37"/>
        <v>0</v>
      </c>
      <c r="R245" s="18">
        <f t="shared" si="38"/>
        <v>200</v>
      </c>
      <c r="S245" s="29">
        <f t="shared" si="39"/>
        <v>9490</v>
      </c>
      <c r="T245" s="30">
        <f t="shared" si="40"/>
        <v>0.35435992578849729</v>
      </c>
      <c r="U245" s="30" t="str">
        <f t="shared" si="41"/>
        <v/>
      </c>
      <c r="V245" s="30">
        <f t="shared" si="42"/>
        <v>-1</v>
      </c>
      <c r="W245" s="13">
        <f t="shared" si="43"/>
        <v>0</v>
      </c>
      <c r="X245" s="32">
        <f>IFERROR((VLOOKUP($B245,'Из ГУГЛа'!$B:$Z,X$1,0)+Z245)*Y245,VLOOKUP($B245,'Из ГУГЛа'!$B:$Z,X$1,0))</f>
        <v>0</v>
      </c>
      <c r="Y245" s="33">
        <v>1</v>
      </c>
      <c r="Z245" s="33"/>
      <c r="AA245" s="31"/>
      <c r="AB245" s="31" t="s">
        <v>4007</v>
      </c>
    </row>
    <row r="246" spans="1:28" ht="45" x14ac:dyDescent="0.25">
      <c r="A246" s="25" t="str">
        <f>INDEX('Выгр Торг'!$A:$A,MATCH($B246,'Выгр Торг'!$B:$B,0))</f>
        <v>Переднее правое крыло для Лада Веста</v>
      </c>
      <c r="B246" s="24">
        <v>250547</v>
      </c>
      <c r="C246" s="24">
        <f>VLOOKUP($B246,'Выгр Торг'!$B:$Q,C$1,0)</f>
        <v>194411</v>
      </c>
      <c r="D246" s="25" t="str">
        <f>VLOOKUP($B246,'Выгр Торг'!$B:$Q,D$1,0)</f>
        <v>Переднее правое крыло для Лада Веста (С отверстиями под молдинг, Без покраски)</v>
      </c>
      <c r="E246" s="24" t="str">
        <f>VLOOKUP($B246,'Выгр Торг'!$B:$Q,E$1,0)</f>
        <v>Y</v>
      </c>
      <c r="F246" s="24">
        <f>VLOOKUP($B246,'Выгр Торг'!$B:$Q,F$1,0)</f>
        <v>0</v>
      </c>
      <c r="G246" s="24" t="str">
        <f>VLOOKUP($B246,'Выгр Торг'!$B:$Q,G$1,0)</f>
        <v>8450102330</v>
      </c>
      <c r="H246" s="24" t="str">
        <f>IF(VLOOKUP($B246,'Выгр Торг'!$B:$Q,H$1,0)=0,"",VLOOKUP($B246,'Выгр Торг'!$B:$Q,H$1,0))</f>
        <v>https://motorring.ru/product/24986-krylo-perednee-pravoe-cvet-lada-vesta-cross</v>
      </c>
      <c r="I246" s="24"/>
      <c r="J246" s="24"/>
      <c r="K246" s="35">
        <f t="shared" si="34"/>
        <v>7177</v>
      </c>
      <c r="L246" s="26">
        <f>VLOOKUP(K246,Наценка!$A$1:$B$8,2,1)</f>
        <v>1.35</v>
      </c>
      <c r="M246" s="27">
        <f t="shared" si="35"/>
        <v>9688.9500000000007</v>
      </c>
      <c r="N246" s="28">
        <f t="shared" si="36"/>
        <v>9690</v>
      </c>
      <c r="O246" s="24">
        <f>VLOOKUP($B246,'Выгр Торг'!$B:$Q,O$1,0)</f>
        <v>7177</v>
      </c>
      <c r="P246" s="24">
        <f>VLOOKUP($B246,'Выгр Торг'!$B:$Q,P$1,0)</f>
        <v>8990</v>
      </c>
      <c r="Q246" s="18">
        <f t="shared" si="37"/>
        <v>0</v>
      </c>
      <c r="R246" s="18">
        <f t="shared" si="38"/>
        <v>-700</v>
      </c>
      <c r="S246" s="29">
        <f t="shared" si="39"/>
        <v>9690</v>
      </c>
      <c r="T246" s="30">
        <f t="shared" si="40"/>
        <v>0.35014630068273656</v>
      </c>
      <c r="U246" s="30" t="str">
        <f t="shared" si="41"/>
        <v/>
      </c>
      <c r="V246" s="30">
        <f t="shared" si="42"/>
        <v>-1</v>
      </c>
      <c r="W246" s="13">
        <f t="shared" si="43"/>
        <v>0</v>
      </c>
      <c r="X246" s="32">
        <f>IFERROR((VLOOKUP($B246,'Из ГУГЛа'!$B:$Z,X$1,0)+Z246)*Y246,VLOOKUP($B246,'Из ГУГЛа'!$B:$Z,X$1,0))</f>
        <v>0</v>
      </c>
      <c r="Y246" s="33">
        <v>1</v>
      </c>
      <c r="Z246" s="33"/>
      <c r="AA246" s="31"/>
      <c r="AB246" s="31" t="s">
        <v>4015</v>
      </c>
    </row>
    <row r="247" spans="1:28" ht="45" x14ac:dyDescent="0.25">
      <c r="A247" s="25" t="str">
        <f>INDEX('Выгр Торг'!$A:$A,MATCH($B247,'Выгр Торг'!$B:$B,0))</f>
        <v>Переднее правое крыло нового образца для Шевроле Нива (после 2009 года выпуска)</v>
      </c>
      <c r="B247" s="24">
        <v>187201</v>
      </c>
      <c r="C247" s="24">
        <f>VLOOKUP($B247,'Выгр Торг'!$B:$Q,C$1,0)</f>
        <v>152157</v>
      </c>
      <c r="D247" s="25" t="str">
        <f>VLOOKUP($B247,'Выгр Торг'!$B:$Q,D$1,0)</f>
        <v>Переднее правое крыло нового образца для Шевроле Нива (после 2009 года выпуска) (Без покраски)</v>
      </c>
      <c r="E247" s="24" t="str">
        <f>VLOOKUP($B247,'Выгр Торг'!$B:$Q,E$1,0)</f>
        <v>Y</v>
      </c>
      <c r="F247" s="24">
        <f>VLOOKUP($B247,'Выгр Торг'!$B:$Q,F$1,0)</f>
        <v>0</v>
      </c>
      <c r="G247" s="24" t="str">
        <f>VLOOKUP($B247,'Выгр Торг'!$B:$Q,G$1,0)</f>
        <v>21230840301055</v>
      </c>
      <c r="H247" s="24" t="str">
        <f>IF(VLOOKUP($B247,'Выгр Торг'!$B:$Q,H$1,0)=0,"",VLOOKUP($B247,'Выгр Торг'!$B:$Q,H$1,0))</f>
        <v>https://motorring.ru/product/1679-krylo-perednee-pravoe-novogo-obrazca-cvet-shevrole-niva</v>
      </c>
      <c r="I247" s="24"/>
      <c r="J247" s="24"/>
      <c r="K247" s="35">
        <f t="shared" si="34"/>
        <v>3676</v>
      </c>
      <c r="L247" s="26">
        <f>VLOOKUP(K247,Наценка!$A$1:$B$8,2,1)</f>
        <v>1.4</v>
      </c>
      <c r="M247" s="27">
        <f t="shared" si="35"/>
        <v>5146.3999999999996</v>
      </c>
      <c r="N247" s="28">
        <f t="shared" si="36"/>
        <v>5190</v>
      </c>
      <c r="O247" s="24">
        <f>VLOOKUP($B247,'Выгр Торг'!$B:$Q,O$1,0)</f>
        <v>3676</v>
      </c>
      <c r="P247" s="24">
        <f>VLOOKUP($B247,'Выгр Торг'!$B:$Q,P$1,0)</f>
        <v>4690</v>
      </c>
      <c r="Q247" s="18">
        <f t="shared" si="37"/>
        <v>0</v>
      </c>
      <c r="R247" s="18">
        <f t="shared" si="38"/>
        <v>-500</v>
      </c>
      <c r="S247" s="29">
        <f t="shared" si="39"/>
        <v>5190</v>
      </c>
      <c r="T247" s="30">
        <f t="shared" si="40"/>
        <v>0.41186071817192604</v>
      </c>
      <c r="U247" s="30" t="str">
        <f t="shared" si="41"/>
        <v/>
      </c>
      <c r="V247" s="30">
        <f t="shared" si="42"/>
        <v>-1</v>
      </c>
      <c r="W247" s="13">
        <f t="shared" si="43"/>
        <v>0</v>
      </c>
      <c r="X247" s="32">
        <f>IFERROR((VLOOKUP($B247,'Из ГУГЛа'!$B:$Z,X$1,0)+Z247)*Y247,VLOOKUP($B247,'Из ГУГЛа'!$B:$Z,X$1,0))</f>
        <v>0</v>
      </c>
      <c r="Y247" s="33">
        <v>1</v>
      </c>
      <c r="Z247" s="33"/>
      <c r="AA247" s="31"/>
      <c r="AB247" s="31" t="s">
        <v>4023</v>
      </c>
    </row>
    <row r="248" spans="1:28" ht="45" x14ac:dyDescent="0.25">
      <c r="A248" s="25" t="str">
        <f>INDEX('Выгр Торг'!$A:$A,MATCH($B248,'Выгр Торг'!$B:$B,0))</f>
        <v>Переднее правое крыло старого образца для Шевроле Нива (до 2009 года выпуска)</v>
      </c>
      <c r="B248" s="24">
        <v>187218</v>
      </c>
      <c r="C248" s="24">
        <f>VLOOKUP($B248,'Выгр Торг'!$B:$Q,C$1,0)</f>
        <v>152043</v>
      </c>
      <c r="D248" s="25" t="str">
        <f>VLOOKUP($B248,'Выгр Торг'!$B:$Q,D$1,0)</f>
        <v>Переднее правое крыло старого образца для Шевроле Нива (до 2009 года выпуска) (Без покраски)</v>
      </c>
      <c r="E248" s="24" t="str">
        <f>VLOOKUP($B248,'Выгр Торг'!$B:$Q,E$1,0)</f>
        <v>Y</v>
      </c>
      <c r="F248" s="24">
        <f>VLOOKUP($B248,'Выгр Торг'!$B:$Q,F$1,0)</f>
        <v>0</v>
      </c>
      <c r="G248" s="24" t="str">
        <f>VLOOKUP($B248,'Выгр Торг'!$B:$Q,G$1,0)</f>
        <v>21230840301070</v>
      </c>
      <c r="H248" s="24" t="str">
        <f>IF(VLOOKUP($B248,'Выгр Торг'!$B:$Q,H$1,0)=0,"",VLOOKUP($B248,'Выгр Торг'!$B:$Q,H$1,0))</f>
        <v>https://motorring.ru/product/5336-krylo-perednee-pravoe-starogo-obrazca-cvet-shevrole-niva</v>
      </c>
      <c r="I248" s="24"/>
      <c r="J248" s="24"/>
      <c r="K248" s="35">
        <f t="shared" si="34"/>
        <v>2036</v>
      </c>
      <c r="L248" s="26">
        <f>VLOOKUP(K248,Наценка!$A$1:$B$8,2,1)</f>
        <v>1.4</v>
      </c>
      <c r="M248" s="27">
        <f t="shared" si="35"/>
        <v>2850.3999999999996</v>
      </c>
      <c r="N248" s="28">
        <f t="shared" si="36"/>
        <v>2890</v>
      </c>
      <c r="O248" s="24">
        <f>VLOOKUP($B248,'Выгр Торг'!$B:$Q,O$1,0)</f>
        <v>2036</v>
      </c>
      <c r="P248" s="24">
        <f>VLOOKUP($B248,'Выгр Торг'!$B:$Q,P$1,0)</f>
        <v>5090</v>
      </c>
      <c r="Q248" s="18">
        <f t="shared" si="37"/>
        <v>0</v>
      </c>
      <c r="R248" s="18">
        <f t="shared" si="38"/>
        <v>2200</v>
      </c>
      <c r="S248" s="29">
        <f t="shared" si="39"/>
        <v>2890</v>
      </c>
      <c r="T248" s="30">
        <f t="shared" si="40"/>
        <v>0.41944990176817298</v>
      </c>
      <c r="U248" s="30" t="str">
        <f t="shared" si="41"/>
        <v/>
      </c>
      <c r="V248" s="30">
        <f t="shared" si="42"/>
        <v>-1</v>
      </c>
      <c r="W248" s="13">
        <f t="shared" si="43"/>
        <v>0</v>
      </c>
      <c r="X248" s="32">
        <f>IFERROR((VLOOKUP($B248,'Из ГУГЛа'!$B:$Z,X$1,0)+Z248)*Y248,VLOOKUP($B248,'Из ГУГЛа'!$B:$Z,X$1,0))</f>
        <v>0</v>
      </c>
      <c r="Y248" s="33">
        <v>1</v>
      </c>
      <c r="Z248" s="33"/>
      <c r="AA248" s="31"/>
      <c r="AB248" s="31" t="s">
        <v>4031</v>
      </c>
    </row>
    <row r="249" spans="1:28" ht="45" x14ac:dyDescent="0.25">
      <c r="A249" s="25" t="str">
        <f>INDEX('Выгр Торг'!$A:$A,MATCH($B249,'Выгр Торг'!$B:$B,0))</f>
        <v>Передние крылья пластиковые стандарт для Лада Калина</v>
      </c>
      <c r="B249" s="24">
        <v>187241</v>
      </c>
      <c r="C249" s="24">
        <f>VLOOKUP($B249,'Выгр Торг'!$B:$Q,C$1,0)</f>
        <v>73912</v>
      </c>
      <c r="D249" s="25" t="str">
        <f>VLOOKUP($B249,'Выгр Торг'!$B:$Q,D$1,0)</f>
        <v>Передние крылья "Gamma" пластиковые стандарт для Лада Калина (Без покраски)</v>
      </c>
      <c r="E249" s="24" t="str">
        <f>VLOOKUP($B249,'Выгр Торг'!$B:$Q,E$1,0)</f>
        <v>Y</v>
      </c>
      <c r="F249" s="24">
        <f>VLOOKUP($B249,'Выгр Торг'!$B:$Q,F$1,0)</f>
        <v>0</v>
      </c>
      <c r="G249" s="24" t="str">
        <f>VLOOKUP($B249,'Выгр Торг'!$B:$Q,G$1,0)</f>
        <v>11180840301199 / 11180840301099</v>
      </c>
      <c r="H249" s="24" t="str">
        <f>IF(VLOOKUP($B249,'Выгр Торг'!$B:$Q,H$1,0)=0,"",VLOOKUP($B249,'Выгр Торг'!$B:$Q,H$1,0))</f>
        <v/>
      </c>
      <c r="I249" s="24"/>
      <c r="J249" s="24"/>
      <c r="K249" s="35">
        <f t="shared" si="34"/>
        <v>5000</v>
      </c>
      <c r="L249" s="26">
        <f>VLOOKUP(K249,Наценка!$A$1:$B$8,2,1)</f>
        <v>1.35</v>
      </c>
      <c r="M249" s="27">
        <f t="shared" si="35"/>
        <v>6750</v>
      </c>
      <c r="N249" s="28">
        <f t="shared" si="36"/>
        <v>6790</v>
      </c>
      <c r="O249" s="24">
        <f>VLOOKUP($B249,'Выгр Торг'!$B:$Q,O$1,0)</f>
        <v>5000</v>
      </c>
      <c r="P249" s="24">
        <f>VLOOKUP($B249,'Выгр Торг'!$B:$Q,P$1,0)</f>
        <v>6890</v>
      </c>
      <c r="Q249" s="18">
        <f t="shared" si="37"/>
        <v>0</v>
      </c>
      <c r="R249" s="18">
        <f t="shared" si="38"/>
        <v>100</v>
      </c>
      <c r="S249" s="29">
        <f t="shared" si="39"/>
        <v>6790</v>
      </c>
      <c r="T249" s="30">
        <f t="shared" si="40"/>
        <v>0.3580000000000001</v>
      </c>
      <c r="U249" s="30">
        <f t="shared" si="41"/>
        <v>0.11346128737433085</v>
      </c>
      <c r="V249" s="30">
        <f t="shared" si="42"/>
        <v>0.53180000000000005</v>
      </c>
      <c r="W249" s="13">
        <f t="shared" si="43"/>
        <v>7659</v>
      </c>
      <c r="X249" s="32">
        <f>IFERROR((VLOOKUP($B249,'Из ГУГЛа'!$B:$Z,X$1,0)+Z249)*Y249,VLOOKUP($B249,'Из ГУГЛа'!$B:$Z,X$1,0))</f>
        <v>0</v>
      </c>
      <c r="Y249" s="33">
        <v>1</v>
      </c>
      <c r="Z249" s="33"/>
      <c r="AA249" s="31">
        <v>7659</v>
      </c>
      <c r="AB249" s="31" t="s">
        <v>4208</v>
      </c>
    </row>
    <row r="250" spans="1:28" ht="45" x14ac:dyDescent="0.25">
      <c r="A250" s="25" t="str">
        <f>INDEX('Выгр Торг'!$A:$A,MATCH($B250,'Выгр Торг'!$B:$B,0))</f>
        <v>Передний бампер "АвтоВАЗ" для Лада Калина</v>
      </c>
      <c r="B250" s="24">
        <v>250760</v>
      </c>
      <c r="C250" s="24">
        <f>VLOOKUP($B250,'Выгр Торг'!$B:$Q,C$1,0)</f>
        <v>174194</v>
      </c>
      <c r="D250" s="25" t="str">
        <f>VLOOKUP($B250,'Выгр Торг'!$B:$Q,D$1,0)</f>
        <v>Оригинальный передний бампер "Люкс" для Лада Калина (Без покраски, Без отверстий под ПТФ)</v>
      </c>
      <c r="E250" s="24" t="str">
        <f>VLOOKUP($B250,'Выгр Торг'!$B:$Q,E$1,0)</f>
        <v>Y</v>
      </c>
      <c r="F250" s="24">
        <f>VLOOKUP($B250,'Выгр Торг'!$B:$Q,F$1,0)</f>
        <v>0</v>
      </c>
      <c r="G250" s="24" t="str">
        <f>VLOOKUP($B250,'Выгр Торг'!$B:$Q,G$1,0)</f>
        <v>11180280301500</v>
      </c>
      <c r="H250" s="24" t="str">
        <f>IF(VLOOKUP($B250,'Выгр Торг'!$B:$Q,H$1,0)=0,"",VLOOKUP($B250,'Выгр Торг'!$B:$Q,H$1,0))</f>
        <v>https://motorring.ru/product/16080-peredniy-bamper-norma-bez-ptf-lada-kalina</v>
      </c>
      <c r="I250" s="24"/>
      <c r="J250" s="24"/>
      <c r="K250" s="35">
        <f t="shared" si="34"/>
        <v>2953</v>
      </c>
      <c r="L250" s="26">
        <f>VLOOKUP(K250,Наценка!$A$1:$B$8,2,1)</f>
        <v>1.4</v>
      </c>
      <c r="M250" s="27">
        <f t="shared" si="35"/>
        <v>4134.2</v>
      </c>
      <c r="N250" s="28">
        <f t="shared" si="36"/>
        <v>4190</v>
      </c>
      <c r="O250" s="24">
        <f>VLOOKUP($B250,'Выгр Торг'!$B:$Q,O$1,0)</f>
        <v>2953</v>
      </c>
      <c r="P250" s="24">
        <f>VLOOKUP($B250,'Выгр Торг'!$B:$Q,P$1,0)</f>
        <v>4290</v>
      </c>
      <c r="Q250" s="18">
        <f t="shared" si="37"/>
        <v>0</v>
      </c>
      <c r="R250" s="18">
        <f t="shared" si="38"/>
        <v>100</v>
      </c>
      <c r="S250" s="29">
        <f t="shared" si="39"/>
        <v>4190</v>
      </c>
      <c r="T250" s="30">
        <f t="shared" si="40"/>
        <v>0.41889603792753127</v>
      </c>
      <c r="U250" s="30" t="str">
        <f t="shared" si="41"/>
        <v/>
      </c>
      <c r="V250" s="30">
        <f t="shared" si="42"/>
        <v>-1</v>
      </c>
      <c r="W250" s="13">
        <f t="shared" si="43"/>
        <v>0</v>
      </c>
      <c r="X250" s="32">
        <f>IFERROR((VLOOKUP($B250,'Из ГУГЛа'!$B:$Z,X$1,0)+Z250)*Y250,VLOOKUP($B250,'Из ГУГЛа'!$B:$Z,X$1,0))</f>
        <v>0</v>
      </c>
      <c r="Y250" s="33">
        <v>1</v>
      </c>
      <c r="Z250" s="33"/>
      <c r="AA250" s="31"/>
      <c r="AB250" s="31" t="s">
        <v>4045</v>
      </c>
    </row>
    <row r="251" spans="1:28" ht="45" x14ac:dyDescent="0.25">
      <c r="A251" s="25" t="str">
        <f>INDEX('Выгр Торг'!$A:$A,MATCH($B251,'Выгр Торг'!$B:$B,0))</f>
        <v>Передний бампер "АвтоВАЗ" для Лада Калина</v>
      </c>
      <c r="B251" s="24">
        <v>268465</v>
      </c>
      <c r="C251" s="24">
        <f>VLOOKUP($B251,'Выгр Торг'!$B:$Q,C$1,0)</f>
        <v>216089</v>
      </c>
      <c r="D251" s="25" t="str">
        <f>VLOOKUP($B251,'Выгр Торг'!$B:$Q,D$1,0)</f>
        <v>Оригинальный передний бампер "Люкс" для Лада Калина (Без покраски, С отверстиями под ПТФ)</v>
      </c>
      <c r="E251" s="24" t="str">
        <f>VLOOKUP($B251,'Выгр Торг'!$B:$Q,E$1,0)</f>
        <v>Y</v>
      </c>
      <c r="F251" s="24">
        <f>VLOOKUP($B251,'Выгр Торг'!$B:$Q,F$1,0)</f>
        <v>0</v>
      </c>
      <c r="G251" s="24" t="str">
        <f>VLOOKUP($B251,'Выгр Торг'!$B:$Q,G$1,0)</f>
        <v>11180280301500</v>
      </c>
      <c r="H251" s="24" t="str">
        <f>IF(VLOOKUP($B251,'Выгр Торг'!$B:$Q,H$1,0)=0,"",VLOOKUP($B251,'Выгр Торг'!$B:$Q,H$1,0))</f>
        <v>https://motorring.ru/product/10489-peredniy-bamper-lyuks-ptf-lada-kalina</v>
      </c>
      <c r="I251" s="24"/>
      <c r="J251" s="24"/>
      <c r="K251" s="35">
        <f t="shared" si="34"/>
        <v>2953</v>
      </c>
      <c r="L251" s="26">
        <f>VLOOKUP(K251,Наценка!$A$1:$B$8,2,1)</f>
        <v>1.4</v>
      </c>
      <c r="M251" s="27">
        <f t="shared" si="35"/>
        <v>4134.2</v>
      </c>
      <c r="N251" s="28">
        <f t="shared" si="36"/>
        <v>4190</v>
      </c>
      <c r="O251" s="24">
        <f>VLOOKUP($B251,'Выгр Торг'!$B:$Q,O$1,0)</f>
        <v>2953</v>
      </c>
      <c r="P251" s="24">
        <f>VLOOKUP($B251,'Выгр Торг'!$B:$Q,P$1,0)</f>
        <v>4290</v>
      </c>
      <c r="Q251" s="18">
        <f t="shared" si="37"/>
        <v>0</v>
      </c>
      <c r="R251" s="18">
        <f t="shared" si="38"/>
        <v>100</v>
      </c>
      <c r="S251" s="29">
        <f t="shared" si="39"/>
        <v>4190</v>
      </c>
      <c r="T251" s="30">
        <f t="shared" si="40"/>
        <v>0.41889603792753127</v>
      </c>
      <c r="U251" s="30" t="str">
        <f t="shared" si="41"/>
        <v/>
      </c>
      <c r="V251" s="30">
        <f t="shared" si="42"/>
        <v>-1</v>
      </c>
      <c r="W251" s="13">
        <f t="shared" si="43"/>
        <v>0</v>
      </c>
      <c r="X251" s="32">
        <f>IFERROR((VLOOKUP($B251,'Из ГУГЛа'!$B:$Z,X$1,0)+Z251)*Y251,VLOOKUP($B251,'Из ГУГЛа'!$B:$Z,X$1,0))</f>
        <v>0</v>
      </c>
      <c r="Y251" s="33">
        <v>1</v>
      </c>
      <c r="Z251" s="33"/>
      <c r="AA251" s="31"/>
      <c r="AB251" s="31" t="s">
        <v>2540</v>
      </c>
    </row>
    <row r="252" spans="1:28" ht="30" x14ac:dyDescent="0.25">
      <c r="A252" s="25" t="str">
        <f>INDEX('Выгр Торг'!$A:$A,MATCH($B252,'Выгр Торг'!$B:$B,0))</f>
        <v>Передний бампер "АвтоВАЗ" Н/О для Лада Калина</v>
      </c>
      <c r="B252" s="24">
        <v>251137</v>
      </c>
      <c r="C252" s="24">
        <f>VLOOKUP($B252,'Выгр Торг'!$B:$Q,C$1,0)</f>
        <v>174815</v>
      </c>
      <c r="D252" s="25" t="str">
        <f>VLOOKUP($B252,'Выгр Торг'!$B:$Q,D$1,0)</f>
        <v>Передний бампер "АвтоВАЗ" Н/О для Лада Калина (Без покраски)</v>
      </c>
      <c r="E252" s="24" t="str">
        <f>VLOOKUP($B252,'Выгр Торг'!$B:$Q,E$1,0)</f>
        <v>Y</v>
      </c>
      <c r="F252" s="24">
        <f>VLOOKUP($B252,'Выгр Торг'!$B:$Q,F$1,0)</f>
        <v>0</v>
      </c>
      <c r="G252" s="24" t="str">
        <f>VLOOKUP($B252,'Выгр Торг'!$B:$Q,G$1,0)</f>
        <v>11180280301500</v>
      </c>
      <c r="H252" s="24" t="str">
        <f>IF(VLOOKUP($B252,'Выгр Торг'!$B:$Q,H$1,0)=0,"",VLOOKUP($B252,'Выгр Торг'!$B:$Q,H$1,0))</f>
        <v/>
      </c>
      <c r="I252" s="24"/>
      <c r="J252" s="24"/>
      <c r="K252" s="35">
        <f t="shared" si="34"/>
        <v>2953</v>
      </c>
      <c r="L252" s="26">
        <f>VLOOKUP(K252,Наценка!$A$1:$B$8,2,1)</f>
        <v>1.4</v>
      </c>
      <c r="M252" s="27">
        <f t="shared" si="35"/>
        <v>4134.2</v>
      </c>
      <c r="N252" s="28">
        <f t="shared" si="36"/>
        <v>4190</v>
      </c>
      <c r="O252" s="24">
        <f>VLOOKUP($B252,'Выгр Торг'!$B:$Q,O$1,0)</f>
        <v>2953</v>
      </c>
      <c r="P252" s="24">
        <f>VLOOKUP($B252,'Выгр Торг'!$B:$Q,P$1,0)</f>
        <v>4290</v>
      </c>
      <c r="Q252" s="18">
        <f t="shared" si="37"/>
        <v>0</v>
      </c>
      <c r="R252" s="18">
        <f t="shared" si="38"/>
        <v>100</v>
      </c>
      <c r="S252" s="29">
        <f t="shared" si="39"/>
        <v>4190</v>
      </c>
      <c r="T252" s="30">
        <f t="shared" si="40"/>
        <v>0.41889603792753127</v>
      </c>
      <c r="U252" s="30" t="str">
        <f t="shared" si="41"/>
        <v/>
      </c>
      <c r="V252" s="30" t="str">
        <f t="shared" si="42"/>
        <v/>
      </c>
      <c r="W252" s="31"/>
      <c r="X252" s="32">
        <f>IFERROR((VLOOKUP($B252,'Из ГУГЛа'!$B:$Z,X$1,0)+Z252)*Y252,VLOOKUP($B252,'Из ГУГЛа'!$B:$Z,X$1,0))</f>
        <v>0</v>
      </c>
      <c r="Y252" s="33">
        <v>1</v>
      </c>
      <c r="Z252" s="33"/>
      <c r="AA252" s="63" t="s">
        <v>4170</v>
      </c>
      <c r="AB252" s="31" t="s">
        <v>4167</v>
      </c>
    </row>
    <row r="253" spans="1:28" ht="45" x14ac:dyDescent="0.25">
      <c r="A253" s="25" t="str">
        <f>INDEX('Выгр Торг'!$A:$A,MATCH($B253,'Выгр Торг'!$B:$B,0))</f>
        <v>Передний бампер "АвтоВАЗ" с кронштейнами под парктроник для Лада Веста NG</v>
      </c>
      <c r="B253" s="24">
        <v>189334</v>
      </c>
      <c r="C253" s="24">
        <f>VLOOKUP($B253,'Выгр Торг'!$B:$Q,C$1,0)</f>
        <v>169516</v>
      </c>
      <c r="D253" s="25" t="str">
        <f>VLOOKUP($B253,'Выгр Торг'!$B:$Q,D$1,0)</f>
        <v>Передний бампер "АвтоВАЗ" с кронштейнами под парктроник для Лада Веста NG (Без покраски)</v>
      </c>
      <c r="E253" s="24" t="str">
        <f>VLOOKUP($B253,'Выгр Торг'!$B:$Q,E$1,0)</f>
        <v>Y</v>
      </c>
      <c r="F253" s="24">
        <f>VLOOKUP($B253,'Выгр Торг'!$B:$Q,F$1,0)</f>
        <v>0</v>
      </c>
      <c r="G253" s="24" t="str">
        <f>VLOOKUP($B253,'Выгр Торг'!$B:$Q,G$1,0)</f>
        <v>8460008782</v>
      </c>
      <c r="H253" s="24" t="str">
        <f>IF(VLOOKUP($B253,'Выгр Торг'!$B:$Q,H$1,0)=0,"",VLOOKUP($B253,'Выгр Торг'!$B:$Q,H$1,0))</f>
        <v>https://motorring.ru/product/36857-bamper-peredniy-otverstiyami-kronshteynami-vesta-ng</v>
      </c>
      <c r="I253" s="24"/>
      <c r="J253" s="24"/>
      <c r="K253" s="35">
        <f t="shared" si="34"/>
        <v>6385</v>
      </c>
      <c r="L253" s="26">
        <f>VLOOKUP(K253,Наценка!$A$1:$B$8,2,1)</f>
        <v>1.35</v>
      </c>
      <c r="M253" s="27">
        <f t="shared" si="35"/>
        <v>8619.75</v>
      </c>
      <c r="N253" s="28">
        <f t="shared" si="36"/>
        <v>8690</v>
      </c>
      <c r="O253" s="24">
        <f>VLOOKUP($B253,'Выгр Торг'!$B:$Q,O$1,0)</f>
        <v>6385</v>
      </c>
      <c r="P253" s="24">
        <f>VLOOKUP($B253,'Выгр Торг'!$B:$Q,P$1,0)</f>
        <v>8990</v>
      </c>
      <c r="Q253" s="18">
        <f t="shared" si="37"/>
        <v>0</v>
      </c>
      <c r="R253" s="18">
        <f t="shared" si="38"/>
        <v>300</v>
      </c>
      <c r="S253" s="29">
        <f t="shared" si="39"/>
        <v>8690</v>
      </c>
      <c r="T253" s="30">
        <f t="shared" si="40"/>
        <v>0.361002349256069</v>
      </c>
      <c r="U253" s="30" t="str">
        <f t="shared" si="41"/>
        <v/>
      </c>
      <c r="V253" s="30">
        <f t="shared" si="42"/>
        <v>-1</v>
      </c>
      <c r="W253" s="13">
        <f t="shared" ref="W253:W264" si="44">AA253</f>
        <v>0</v>
      </c>
      <c r="X253" s="32">
        <f>IFERROR((VLOOKUP($B253,'Из ГУГЛа'!$B:$Z,X$1,0)+Z253)*Y253,VLOOKUP($B253,'Из ГУГЛа'!$B:$Z,X$1,0))</f>
        <v>0</v>
      </c>
      <c r="Y253" s="33">
        <v>1</v>
      </c>
      <c r="Z253" s="33"/>
      <c r="AA253" s="31"/>
      <c r="AB253" s="31" t="s">
        <v>4067</v>
      </c>
    </row>
    <row r="254" spans="1:28" ht="60" x14ac:dyDescent="0.25">
      <c r="A254" s="25" t="str">
        <f>INDEX('Выгр Торг'!$A:$A,MATCH($B254,'Выгр Торг'!$B:$B,0))</f>
        <v>Передний бампер "кооператив" нового образца (голый) для Лада Приора 2</v>
      </c>
      <c r="B254" s="24">
        <v>268496</v>
      </c>
      <c r="C254" s="24">
        <f>VLOOKUP($B254,'Выгр Торг'!$B:$Q,C$1,0)</f>
        <v>173424</v>
      </c>
      <c r="D254" s="25" t="str">
        <f>VLOOKUP($B254,'Выгр Торг'!$B:$Q,D$1,0)</f>
        <v>Передний бампер "кооператив" нового образца (голый) для Лада Приора 2 (Без покраски, Без отверстий под ПТФ)</v>
      </c>
      <c r="E254" s="24" t="str">
        <f>VLOOKUP($B254,'Выгр Торг'!$B:$Q,E$1,0)</f>
        <v>Y</v>
      </c>
      <c r="F254" s="24">
        <f>VLOOKUP($B254,'Выгр Торг'!$B:$Q,F$1,0)</f>
        <v>0</v>
      </c>
      <c r="G254" s="24" t="str">
        <f>VLOOKUP($B254,'Выгр Торг'!$B:$Q,G$1,0)</f>
        <v>21704280301530</v>
      </c>
      <c r="H254" s="24" t="str">
        <f>IF(VLOOKUP($B254,'Выгр Торг'!$B:$Q,H$1,0)=0,"",VLOOKUP($B254,'Выгр Торг'!$B:$Q,H$1,0))</f>
        <v>https://motorring.ru/product/26656-peredniy-bamper-restayling-bez-ptf-lada-priora</v>
      </c>
      <c r="I254" s="24"/>
      <c r="J254" s="24"/>
      <c r="K254" s="35">
        <f t="shared" si="34"/>
        <v>990</v>
      </c>
      <c r="L254" s="26">
        <f>VLOOKUP(K254,Наценка!$A$1:$B$8,2,1)</f>
        <v>1.55</v>
      </c>
      <c r="M254" s="27">
        <f t="shared" si="35"/>
        <v>1534.5</v>
      </c>
      <c r="N254" s="28">
        <f t="shared" si="36"/>
        <v>1590</v>
      </c>
      <c r="O254" s="24">
        <f>VLOOKUP($B254,'Выгр Торг'!$B:$Q,O$1,0)</f>
        <v>990</v>
      </c>
      <c r="P254" s="24">
        <f>VLOOKUP($B254,'Выгр Торг'!$B:$Q,P$1,0)</f>
        <v>3690</v>
      </c>
      <c r="Q254" s="18">
        <f t="shared" si="37"/>
        <v>0</v>
      </c>
      <c r="R254" s="18">
        <f t="shared" si="38"/>
        <v>2100</v>
      </c>
      <c r="S254" s="29">
        <f t="shared" si="39"/>
        <v>1590</v>
      </c>
      <c r="T254" s="30">
        <f t="shared" si="40"/>
        <v>0.60606060606060597</v>
      </c>
      <c r="U254" s="30" t="str">
        <f t="shared" si="41"/>
        <v/>
      </c>
      <c r="V254" s="30">
        <f t="shared" si="42"/>
        <v>-1</v>
      </c>
      <c r="W254" s="13">
        <f t="shared" si="44"/>
        <v>0</v>
      </c>
      <c r="X254" s="32">
        <f>IFERROR((VLOOKUP($B254,'Из ГУГЛа'!$B:$Z,X$1,0)+Z254)*Y254,VLOOKUP($B254,'Из ГУГЛа'!$B:$Z,X$1,0))</f>
        <v>0</v>
      </c>
      <c r="Y254" s="33">
        <v>1</v>
      </c>
      <c r="Z254" s="33"/>
      <c r="AA254" s="31"/>
      <c r="AB254" s="31" t="s">
        <v>4075</v>
      </c>
    </row>
    <row r="255" spans="1:28" ht="60" x14ac:dyDescent="0.25">
      <c r="A255" s="25" t="str">
        <f>INDEX('Выгр Торг'!$A:$A,MATCH($B255,'Выгр Торг'!$B:$B,0))</f>
        <v>Передний бампер "кооператив" нового образца (голый) для Лада Приора 2</v>
      </c>
      <c r="B255" s="24">
        <v>268497</v>
      </c>
      <c r="C255" s="24">
        <f>VLOOKUP($B255,'Выгр Торг'!$B:$Q,C$1,0)</f>
        <v>214099</v>
      </c>
      <c r="D255" s="25" t="str">
        <f>VLOOKUP($B255,'Выгр Торг'!$B:$Q,D$1,0)</f>
        <v>Передний бампер "кооператив" нового образца (голый) для Лада Приора 2 (Без покраски, С отверстиями под ПТФ)</v>
      </c>
      <c r="E255" s="24" t="str">
        <f>VLOOKUP($B255,'Выгр Торг'!$B:$Q,E$1,0)</f>
        <v>Y</v>
      </c>
      <c r="F255" s="24">
        <f>VLOOKUP($B255,'Выгр Торг'!$B:$Q,F$1,0)</f>
        <v>0</v>
      </c>
      <c r="G255" s="24" t="str">
        <f>VLOOKUP($B255,'Выгр Торг'!$B:$Q,G$1,0)</f>
        <v>21704280301530</v>
      </c>
      <c r="H255" s="24" t="str">
        <f>IF(VLOOKUP($B255,'Выгр Торг'!$B:$Q,H$1,0)=0,"",VLOOKUP($B255,'Выгр Торг'!$B:$Q,H$1,0))</f>
        <v>https://motorring.ru/product/16098-peredniy-bamper-restayling-lada-priora</v>
      </c>
      <c r="I255" s="24"/>
      <c r="J255" s="24"/>
      <c r="K255" s="35">
        <f t="shared" si="34"/>
        <v>990</v>
      </c>
      <c r="L255" s="26">
        <f>VLOOKUP(K255,Наценка!$A$1:$B$8,2,1)</f>
        <v>1.55</v>
      </c>
      <c r="M255" s="27">
        <f t="shared" si="35"/>
        <v>1534.5</v>
      </c>
      <c r="N255" s="28">
        <f t="shared" si="36"/>
        <v>1590</v>
      </c>
      <c r="O255" s="24">
        <f>VLOOKUP($B255,'Выгр Торг'!$B:$Q,O$1,0)</f>
        <v>990</v>
      </c>
      <c r="P255" s="24">
        <f>VLOOKUP($B255,'Выгр Торг'!$B:$Q,P$1,0)</f>
        <v>3790</v>
      </c>
      <c r="Q255" s="18">
        <f t="shared" si="37"/>
        <v>0</v>
      </c>
      <c r="R255" s="18">
        <f t="shared" si="38"/>
        <v>2200</v>
      </c>
      <c r="S255" s="29">
        <f t="shared" si="39"/>
        <v>1590</v>
      </c>
      <c r="T255" s="30">
        <f t="shared" si="40"/>
        <v>0.60606060606060597</v>
      </c>
      <c r="U255" s="30" t="str">
        <f t="shared" si="41"/>
        <v/>
      </c>
      <c r="V255" s="30">
        <f t="shared" si="42"/>
        <v>-1</v>
      </c>
      <c r="W255" s="13">
        <f t="shared" si="44"/>
        <v>0</v>
      </c>
      <c r="X255" s="32">
        <f>IFERROR((VLOOKUP($B255,'Из ГУГЛа'!$B:$Z,X$1,0)+Z255)*Y255,VLOOKUP($B255,'Из ГУГЛа'!$B:$Z,X$1,0))</f>
        <v>0</v>
      </c>
      <c r="Y255" s="33">
        <v>1</v>
      </c>
      <c r="Z255" s="33"/>
      <c r="AA255" s="31"/>
      <c r="AB255" s="31" t="s">
        <v>4083</v>
      </c>
    </row>
    <row r="256" spans="1:28" ht="30" x14ac:dyDescent="0.25">
      <c r="A256" s="25" t="str">
        <f>INDEX('Выгр Торг'!$A:$A,MATCH($B256,'Выгр Торг'!$B:$B,0))</f>
        <v>Передний бампер (голый) для Лада Веста SW Cross</v>
      </c>
      <c r="B256" s="24">
        <v>190309</v>
      </c>
      <c r="C256" s="24">
        <f>VLOOKUP($B256,'Выгр Торг'!$B:$Q,C$1,0)</f>
        <v>152065</v>
      </c>
      <c r="D256" s="25" t="str">
        <f>VLOOKUP($B256,'Выгр Торг'!$B:$Q,D$1,0)</f>
        <v>Передний бампер (голый) для Лада Веста SW Cross (Без покраски)</v>
      </c>
      <c r="E256" s="24" t="str">
        <f>VLOOKUP($B256,'Выгр Торг'!$B:$Q,E$1,0)</f>
        <v>Y</v>
      </c>
      <c r="F256" s="24">
        <f>VLOOKUP($B256,'Выгр Торг'!$B:$Q,F$1,0)</f>
        <v>0</v>
      </c>
      <c r="G256" s="24" t="str">
        <f>VLOOKUP($B256,'Выгр Торг'!$B:$Q,G$1,0)</f>
        <v>8450033685</v>
      </c>
      <c r="H256" s="24" t="str">
        <f>IF(VLOOKUP($B256,'Выгр Торг'!$B:$Q,H$1,0)=0,"",VLOOKUP($B256,'Выгр Торг'!$B:$Q,H$1,0))</f>
        <v>https://motorring.ru/product/21202-peredniy-bamper-golyy-lada-vesta-cross</v>
      </c>
      <c r="I256" s="24"/>
      <c r="J256" s="24"/>
      <c r="K256" s="35">
        <f t="shared" si="34"/>
        <v>6523</v>
      </c>
      <c r="L256" s="26">
        <f>VLOOKUP(K256,Наценка!$A$1:$B$8,2,1)</f>
        <v>1.35</v>
      </c>
      <c r="M256" s="27">
        <f t="shared" si="35"/>
        <v>8806.0500000000011</v>
      </c>
      <c r="N256" s="28">
        <f t="shared" si="36"/>
        <v>8890</v>
      </c>
      <c r="O256" s="24">
        <f>VLOOKUP($B256,'Выгр Торг'!$B:$Q,O$1,0)</f>
        <v>6523</v>
      </c>
      <c r="P256" s="24">
        <f>VLOOKUP($B256,'Выгр Торг'!$B:$Q,P$1,0)</f>
        <v>9290</v>
      </c>
      <c r="Q256" s="18">
        <f t="shared" si="37"/>
        <v>0</v>
      </c>
      <c r="R256" s="18">
        <f t="shared" si="38"/>
        <v>400</v>
      </c>
      <c r="S256" s="29">
        <f t="shared" si="39"/>
        <v>8890</v>
      </c>
      <c r="T256" s="30">
        <f t="shared" si="40"/>
        <v>0.36286984516326837</v>
      </c>
      <c r="U256" s="30" t="str">
        <f t="shared" si="41"/>
        <v/>
      </c>
      <c r="V256" s="30">
        <f t="shared" si="42"/>
        <v>-1</v>
      </c>
      <c r="W256" s="13">
        <f t="shared" si="44"/>
        <v>0</v>
      </c>
      <c r="X256" s="32">
        <f>IFERROR((VLOOKUP($B256,'Из ГУГЛа'!$B:$Z,X$1,0)+Z256)*Y256,VLOOKUP($B256,'Из ГУГЛа'!$B:$Z,X$1,0))</f>
        <v>0</v>
      </c>
      <c r="Y256" s="33">
        <v>1</v>
      </c>
      <c r="Z256" s="33"/>
      <c r="AA256" s="31"/>
      <c r="AB256" s="31" t="s">
        <v>4091</v>
      </c>
    </row>
    <row r="257" spans="1:28" ht="30" x14ac:dyDescent="0.25">
      <c r="A257" s="25" t="str">
        <f>INDEX('Выгр Торг'!$A:$A,MATCH($B257,'Выгр Торг'!$B:$B,0))</f>
        <v>Передний бампер (под ПТФ) для ВАЗ 2113-2115</v>
      </c>
      <c r="B257" s="24">
        <v>250826</v>
      </c>
      <c r="C257" s="24">
        <f>VLOOKUP($B257,'Выгр Торг'!$B:$Q,C$1,0)</f>
        <v>173539</v>
      </c>
      <c r="D257" s="25" t="str">
        <f>VLOOKUP($B257,'Выгр Торг'!$B:$Q,D$1,0)</f>
        <v>Передний бампер (под ПТФ) для ВАЗ 2113-2115 (Без покраски)</v>
      </c>
      <c r="E257" s="24" t="str">
        <f>VLOOKUP($B257,'Выгр Торг'!$B:$Q,E$1,0)</f>
        <v>Y</v>
      </c>
      <c r="F257" s="24">
        <f>VLOOKUP($B257,'Выгр Торг'!$B:$Q,F$1,0)</f>
        <v>0</v>
      </c>
      <c r="G257" s="24" t="str">
        <f>VLOOKUP($B257,'Выгр Торг'!$B:$Q,G$1,0)</f>
        <v>21130280301530</v>
      </c>
      <c r="H257" s="24" t="str">
        <f>IF(VLOOKUP($B257,'Выгр Торг'!$B:$Q,H$1,0)=0,"",VLOOKUP($B257,'Выгр Торг'!$B:$Q,H$1,0))</f>
        <v>https://motorring.ru/product/16087-peredniy-bamper-ptf-vaz-2113-2115</v>
      </c>
      <c r="I257" s="24"/>
      <c r="J257" s="24"/>
      <c r="K257" s="35">
        <f t="shared" si="34"/>
        <v>980</v>
      </c>
      <c r="L257" s="26">
        <f>VLOOKUP(K257,Наценка!$A$1:$B$8,2,1)</f>
        <v>1.55</v>
      </c>
      <c r="M257" s="27">
        <f t="shared" si="35"/>
        <v>1519</v>
      </c>
      <c r="N257" s="28">
        <f t="shared" si="36"/>
        <v>1590</v>
      </c>
      <c r="O257" s="24">
        <f>VLOOKUP($B257,'Выгр Торг'!$B:$Q,O$1,0)</f>
        <v>980</v>
      </c>
      <c r="P257" s="24">
        <f>VLOOKUP($B257,'Выгр Торг'!$B:$Q,P$1,0)</f>
        <v>2290</v>
      </c>
      <c r="Q257" s="18">
        <f t="shared" si="37"/>
        <v>0</v>
      </c>
      <c r="R257" s="18">
        <f t="shared" si="38"/>
        <v>700</v>
      </c>
      <c r="S257" s="29">
        <f t="shared" si="39"/>
        <v>1590</v>
      </c>
      <c r="T257" s="30">
        <f t="shared" si="40"/>
        <v>0.62244897959183665</v>
      </c>
      <c r="U257" s="30" t="str">
        <f t="shared" si="41"/>
        <v/>
      </c>
      <c r="V257" s="30">
        <f t="shared" si="42"/>
        <v>-1</v>
      </c>
      <c r="W257" s="13">
        <f t="shared" si="44"/>
        <v>0</v>
      </c>
      <c r="X257" s="32">
        <f>IFERROR((VLOOKUP($B257,'Из ГУГЛа'!$B:$Z,X$1,0)+Z257)*Y257,VLOOKUP($B257,'Из ГУГЛа'!$B:$Z,X$1,0))</f>
        <v>0</v>
      </c>
      <c r="Y257" s="33">
        <v>1</v>
      </c>
      <c r="Z257" s="33"/>
      <c r="AA257" s="31"/>
      <c r="AB257" s="31" t="s">
        <v>4099</v>
      </c>
    </row>
    <row r="258" spans="1:28" ht="30" x14ac:dyDescent="0.25">
      <c r="A258" s="25" t="str">
        <f>INDEX('Выгр Торг'!$A:$A,MATCH($B258,'Выгр Торг'!$B:$B,0))</f>
        <v>Передний бампер без ПТФ для ВАЗ 2113-2115</v>
      </c>
      <c r="B258" s="24">
        <v>250914</v>
      </c>
      <c r="C258" s="24">
        <f>VLOOKUP($B258,'Выгр Торг'!$B:$Q,C$1,0)</f>
        <v>173033</v>
      </c>
      <c r="D258" s="25" t="str">
        <f>VLOOKUP($B258,'Выгр Торг'!$B:$Q,D$1,0)</f>
        <v>Передний бампер без ПТФ для ВАЗ 2113-2115 (Без покраски)</v>
      </c>
      <c r="E258" s="24" t="str">
        <f>VLOOKUP($B258,'Выгр Торг'!$B:$Q,E$1,0)</f>
        <v>Y</v>
      </c>
      <c r="F258" s="24">
        <f>VLOOKUP($B258,'Выгр Торг'!$B:$Q,F$1,0)</f>
        <v>0</v>
      </c>
      <c r="G258" s="24" t="str">
        <f>VLOOKUP($B258,'Выгр Торг'!$B:$Q,G$1,0)</f>
        <v>21130280301520</v>
      </c>
      <c r="H258" s="24" t="str">
        <f>IF(VLOOKUP($B258,'Выгр Торг'!$B:$Q,H$1,0)=0,"",VLOOKUP($B258,'Выгр Торг'!$B:$Q,H$1,0))</f>
        <v>https://motorring.ru/product/16088-peredniy-bamper-bez-ptf-vaz-2113-2115</v>
      </c>
      <c r="I258" s="24"/>
      <c r="J258" s="24"/>
      <c r="K258" s="35">
        <f t="shared" si="34"/>
        <v>990</v>
      </c>
      <c r="L258" s="26">
        <f>VLOOKUP(K258,Наценка!$A$1:$B$8,2,1)</f>
        <v>1.55</v>
      </c>
      <c r="M258" s="27">
        <f t="shared" si="35"/>
        <v>1534.5</v>
      </c>
      <c r="N258" s="28">
        <f t="shared" si="36"/>
        <v>1590</v>
      </c>
      <c r="O258" s="24">
        <f>VLOOKUP($B258,'Выгр Торг'!$B:$Q,O$1,0)</f>
        <v>990</v>
      </c>
      <c r="P258" s="24">
        <f>VLOOKUP($B258,'Выгр Торг'!$B:$Q,P$1,0)</f>
        <v>1890</v>
      </c>
      <c r="Q258" s="18">
        <f t="shared" si="37"/>
        <v>0</v>
      </c>
      <c r="R258" s="18">
        <f t="shared" si="38"/>
        <v>300</v>
      </c>
      <c r="S258" s="29">
        <f t="shared" si="39"/>
        <v>1590</v>
      </c>
      <c r="T258" s="30">
        <f t="shared" si="40"/>
        <v>0.60606060606060597</v>
      </c>
      <c r="U258" s="30" t="str">
        <f t="shared" si="41"/>
        <v/>
      </c>
      <c r="V258" s="30">
        <f t="shared" si="42"/>
        <v>-1</v>
      </c>
      <c r="W258" s="13">
        <f t="shared" si="44"/>
        <v>0</v>
      </c>
      <c r="X258" s="32">
        <f>IFERROR((VLOOKUP($B258,'Из ГУГЛа'!$B:$Z,X$1,0)+Z258)*Y258,VLOOKUP($B258,'Из ГУГЛа'!$B:$Z,X$1,0))</f>
        <v>0</v>
      </c>
      <c r="Y258" s="33">
        <v>1</v>
      </c>
      <c r="Z258" s="33"/>
      <c r="AA258" s="31"/>
      <c r="AB258" s="31" t="s">
        <v>4107</v>
      </c>
    </row>
    <row r="259" spans="1:28" ht="30" x14ac:dyDescent="0.25">
      <c r="A259" s="25" t="str">
        <f>INDEX('Выгр Торг'!$A:$A,MATCH($B259,'Выгр Торг'!$B:$B,0))</f>
        <v>Передний бампер для ВАЗ 2110-2112</v>
      </c>
      <c r="B259" s="24">
        <v>250949</v>
      </c>
      <c r="C259" s="24">
        <f>VLOOKUP($B259,'Выгр Торг'!$B:$Q,C$1,0)</f>
        <v>173610</v>
      </c>
      <c r="D259" s="25" t="str">
        <f>VLOOKUP($B259,'Выгр Торг'!$B:$Q,D$1,0)</f>
        <v>Передний бампер для ВАЗ 2110-2112 (Без покраски)</v>
      </c>
      <c r="E259" s="24" t="str">
        <f>VLOOKUP($B259,'Выгр Торг'!$B:$Q,E$1,0)</f>
        <v>Y</v>
      </c>
      <c r="F259" s="24">
        <f>VLOOKUP($B259,'Выгр Торг'!$B:$Q,F$1,0)</f>
        <v>0</v>
      </c>
      <c r="G259" s="24" t="str">
        <f>VLOOKUP($B259,'Выгр Торг'!$B:$Q,G$1,0)</f>
        <v>21100280301530</v>
      </c>
      <c r="H259" s="24" t="str">
        <f>IF(VLOOKUP($B259,'Выгр Торг'!$B:$Q,H$1,0)=0,"",VLOOKUP($B259,'Выгр Торг'!$B:$Q,H$1,0))</f>
        <v>https://motorring.ru/product/27741-peredniy-bamper-vaz-bez-balki-2110-2112</v>
      </c>
      <c r="I259" s="24"/>
      <c r="J259" s="24"/>
      <c r="K259" s="35">
        <f t="shared" ref="K259:K264" si="45">O259</f>
        <v>1400</v>
      </c>
      <c r="L259" s="26">
        <f>VLOOKUP(K259,Наценка!$A$1:$B$8,2,1)</f>
        <v>1.5</v>
      </c>
      <c r="M259" s="27">
        <f t="shared" si="35"/>
        <v>2100</v>
      </c>
      <c r="N259" s="28">
        <f t="shared" si="36"/>
        <v>2090</v>
      </c>
      <c r="O259" s="24">
        <f>VLOOKUP($B259,'Выгр Торг'!$B:$Q,O$1,0)</f>
        <v>1400</v>
      </c>
      <c r="P259" s="24">
        <f>VLOOKUP($B259,'Выгр Торг'!$B:$Q,P$1,0)</f>
        <v>2290</v>
      </c>
      <c r="Q259" s="18">
        <f t="shared" si="37"/>
        <v>0</v>
      </c>
      <c r="R259" s="18">
        <f t="shared" si="38"/>
        <v>200</v>
      </c>
      <c r="S259" s="29">
        <f t="shared" si="39"/>
        <v>2090</v>
      </c>
      <c r="T259" s="30">
        <f t="shared" si="40"/>
        <v>0.49285714285714288</v>
      </c>
      <c r="U259" s="30" t="str">
        <f t="shared" si="41"/>
        <v/>
      </c>
      <c r="V259" s="30">
        <f t="shared" si="42"/>
        <v>-1</v>
      </c>
      <c r="W259" s="13">
        <f t="shared" si="44"/>
        <v>0</v>
      </c>
      <c r="X259" s="32">
        <f>IFERROR((VLOOKUP($B259,'Из ГУГЛа'!$B:$Z,X$1,0)+Z259)*Y259,VLOOKUP($B259,'Из ГУГЛа'!$B:$Z,X$1,0))</f>
        <v>0</v>
      </c>
      <c r="Y259" s="33">
        <v>1</v>
      </c>
      <c r="Z259" s="33"/>
      <c r="AA259" s="31"/>
      <c r="AB259" s="31" t="s">
        <v>4115</v>
      </c>
    </row>
    <row r="260" spans="1:28" ht="30" x14ac:dyDescent="0.25">
      <c r="A260" s="25" t="str">
        <f>INDEX('Выгр Торг'!$A:$A,MATCH($B260,'Выгр Торг'!$B:$B,0))</f>
        <v>Передний бампер для ВАЗ 2110-2112М</v>
      </c>
      <c r="B260" s="24">
        <v>250976</v>
      </c>
      <c r="C260" s="24">
        <f>VLOOKUP($B260,'Выгр Торг'!$B:$Q,C$1,0)</f>
        <v>174989</v>
      </c>
      <c r="D260" s="25" t="str">
        <f>VLOOKUP($B260,'Выгр Торг'!$B:$Q,D$1,0)</f>
        <v>Передний бампер для ВАЗ 2110-2112М (Без покраски)</v>
      </c>
      <c r="E260" s="24" t="str">
        <f>VLOOKUP($B260,'Выгр Торг'!$B:$Q,E$1,0)</f>
        <v>Y</v>
      </c>
      <c r="F260" s="24">
        <f>VLOOKUP($B260,'Выгр Торг'!$B:$Q,F$1,0)</f>
        <v>0</v>
      </c>
      <c r="G260" s="24">
        <f>VLOOKUP($B260,'Выгр Торг'!$B:$Q,G$1,0)</f>
        <v>0</v>
      </c>
      <c r="H260" s="24" t="str">
        <f>IF(VLOOKUP($B260,'Выгр Торг'!$B:$Q,H$1,0)=0,"",VLOOKUP($B260,'Выгр Торг'!$B:$Q,H$1,0))</f>
        <v/>
      </c>
      <c r="I260" s="24"/>
      <c r="J260" s="24"/>
      <c r="K260" s="35">
        <f t="shared" si="45"/>
        <v>5600</v>
      </c>
      <c r="L260" s="26">
        <f>VLOOKUP(K260,Наценка!$A$1:$B$8,2,1)</f>
        <v>1.35</v>
      </c>
      <c r="M260" s="27">
        <f t="shared" ref="M260:M264" si="46">K260*L260</f>
        <v>7560.0000000000009</v>
      </c>
      <c r="N260" s="28">
        <f t="shared" ref="N260:N264" si="47">IF(M260&lt;=1000,(ROUNDUP(M260,-1)-1),(ROUNDUP(M260,-2)-10))</f>
        <v>7590</v>
      </c>
      <c r="O260" s="24">
        <f>VLOOKUP($B260,'Выгр Торг'!$B:$Q,O$1,0)</f>
        <v>5600</v>
      </c>
      <c r="P260" s="24">
        <f>VLOOKUP($B260,'Выгр Торг'!$B:$Q,P$1,0)</f>
        <v>7790</v>
      </c>
      <c r="Q260" s="18">
        <f t="shared" ref="Q260:Q264" si="48">O260-K260</f>
        <v>0</v>
      </c>
      <c r="R260" s="18">
        <f t="shared" ref="R260:R264" si="49">P260-N260</f>
        <v>200</v>
      </c>
      <c r="S260" s="29">
        <f t="shared" ref="S260:S264" si="50">IFERROR(ROUND(N260*(1-$S$2),),"")</f>
        <v>7590</v>
      </c>
      <c r="T260" s="30">
        <f t="shared" ref="T260:T264" si="51">IFERROR(S260/K260-1,"")</f>
        <v>0.35535714285714293</v>
      </c>
      <c r="U260" s="30">
        <f t="shared" ref="U260:U264" si="52">IFERROR((W260-S260)/W260,"")</f>
        <v>-2.7063599458728011E-2</v>
      </c>
      <c r="V260" s="30">
        <f t="shared" ref="V260:V264" si="53">IFERROR(IF(W260="","",W260/K260-1),"")</f>
        <v>0.31964285714285712</v>
      </c>
      <c r="W260" s="13">
        <f t="shared" si="44"/>
        <v>7390</v>
      </c>
      <c r="X260" s="32">
        <f>IFERROR((VLOOKUP($B260,'Из ГУГЛа'!$B:$Z,X$1,0)+Z260)*Y260,VLOOKUP($B260,'Из ГУГЛа'!$B:$Z,X$1,0))</f>
        <v>0</v>
      </c>
      <c r="Y260" s="33">
        <v>1</v>
      </c>
      <c r="Z260" s="33"/>
      <c r="AA260" s="31">
        <v>7390</v>
      </c>
      <c r="AB260" s="31" t="s">
        <v>4205</v>
      </c>
    </row>
    <row r="261" spans="1:28" ht="30" x14ac:dyDescent="0.25">
      <c r="A261" s="25" t="str">
        <f>INDEX('Выгр Торг'!$A:$A,MATCH($B261,'Выгр Торг'!$B:$B,0))</f>
        <v>Передний бампер для Лада Калина 2</v>
      </c>
      <c r="B261" s="24">
        <v>251003</v>
      </c>
      <c r="C261" s="24">
        <f>VLOOKUP($B261,'Выгр Торг'!$B:$Q,C$1,0)</f>
        <v>173996</v>
      </c>
      <c r="D261" s="25" t="str">
        <f>VLOOKUP($B261,'Выгр Торг'!$B:$Q,D$1,0)</f>
        <v>Передний бампер для Лада Калина 2 (Без покраски)</v>
      </c>
      <c r="E261" s="24" t="str">
        <f>VLOOKUP($B261,'Выгр Торг'!$B:$Q,E$1,0)</f>
        <v>Y</v>
      </c>
      <c r="F261" s="24">
        <f>VLOOKUP($B261,'Выгр Торг'!$B:$Q,F$1,0)</f>
        <v>0</v>
      </c>
      <c r="G261" s="24" t="str">
        <f>VLOOKUP($B261,'Выгр Торг'!$B:$Q,G$1,0)</f>
        <v>21920280301501</v>
      </c>
      <c r="H261" s="24" t="str">
        <f>IF(VLOOKUP($B261,'Выгр Торг'!$B:$Q,H$1,0)=0,"",VLOOKUP($B261,'Выгр Торг'!$B:$Q,H$1,0))</f>
        <v>https://motorring.ru/product/16103-peredniy-bamper-lada-kalina-2</v>
      </c>
      <c r="I261" s="24"/>
      <c r="J261" s="24"/>
      <c r="K261" s="35">
        <f t="shared" si="45"/>
        <v>2622</v>
      </c>
      <c r="L261" s="26">
        <f>VLOOKUP(K261,Наценка!$A$1:$B$8,2,1)</f>
        <v>1.4</v>
      </c>
      <c r="M261" s="27">
        <f t="shared" si="46"/>
        <v>3670.7999999999997</v>
      </c>
      <c r="N261" s="28">
        <f t="shared" si="47"/>
        <v>3690</v>
      </c>
      <c r="O261" s="24">
        <f>VLOOKUP($B261,'Выгр Торг'!$B:$Q,O$1,0)</f>
        <v>2622</v>
      </c>
      <c r="P261" s="24">
        <f>VLOOKUP($B261,'Выгр Торг'!$B:$Q,P$1,0)</f>
        <v>3790</v>
      </c>
      <c r="Q261" s="18">
        <f t="shared" si="48"/>
        <v>0</v>
      </c>
      <c r="R261" s="18">
        <f t="shared" si="49"/>
        <v>100</v>
      </c>
      <c r="S261" s="29">
        <f t="shared" si="50"/>
        <v>3690</v>
      </c>
      <c r="T261" s="30">
        <f t="shared" si="51"/>
        <v>0.40732265446224258</v>
      </c>
      <c r="U261" s="30" t="str">
        <f t="shared" si="52"/>
        <v/>
      </c>
      <c r="V261" s="30">
        <f t="shared" si="53"/>
        <v>-1</v>
      </c>
      <c r="W261" s="13">
        <f t="shared" si="44"/>
        <v>0</v>
      </c>
      <c r="X261" s="32">
        <f>IFERROR((VLOOKUP($B261,'Из ГУГЛа'!$B:$Z,X$1,0)+Z261)*Y261,VLOOKUP($B261,'Из ГУГЛа'!$B:$Z,X$1,0))</f>
        <v>0</v>
      </c>
      <c r="Y261" s="33">
        <v>1</v>
      </c>
      <c r="Z261" s="33"/>
      <c r="AA261" s="31"/>
      <c r="AB261" s="31" t="s">
        <v>4128</v>
      </c>
    </row>
    <row r="262" spans="1:28" ht="30" x14ac:dyDescent="0.25">
      <c r="A262" s="25" t="str">
        <f>INDEX('Выгр Торг'!$A:$A,MATCH($B262,'Выгр Торг'!$B:$B,0))</f>
        <v>Передний бампер для Лада Ларгус</v>
      </c>
      <c r="B262" s="24">
        <v>251034</v>
      </c>
      <c r="C262" s="24">
        <f>VLOOKUP($B262,'Выгр Торг'!$B:$Q,C$1,0)</f>
        <v>173480</v>
      </c>
      <c r="D262" s="25" t="str">
        <f>VLOOKUP($B262,'Выгр Торг'!$B:$Q,D$1,0)</f>
        <v>Передний бампер для Лада Ларгус (Без покраски)</v>
      </c>
      <c r="E262" s="24" t="str">
        <f>VLOOKUP($B262,'Выгр Торг'!$B:$Q,E$1,0)</f>
        <v>Y</v>
      </c>
      <c r="F262" s="24">
        <f>VLOOKUP($B262,'Выгр Торг'!$B:$Q,F$1,0)</f>
        <v>0</v>
      </c>
      <c r="G262" s="24" t="str">
        <f>VLOOKUP($B262,'Выгр Торг'!$B:$Q,G$1,0)</f>
        <v>8450000245</v>
      </c>
      <c r="H262" s="24" t="str">
        <f>IF(VLOOKUP($B262,'Выгр Торг'!$B:$Q,H$1,0)=0,"",VLOOKUP($B262,'Выгр Торг'!$B:$Q,H$1,0))</f>
        <v>https://motorring.ru/product/16106-peredniy-bamper-lada-largus</v>
      </c>
      <c r="I262" s="24"/>
      <c r="J262" s="24"/>
      <c r="K262" s="35">
        <f t="shared" si="45"/>
        <v>3654</v>
      </c>
      <c r="L262" s="26">
        <f>VLOOKUP(K262,Наценка!$A$1:$B$8,2,1)</f>
        <v>1.4</v>
      </c>
      <c r="M262" s="27">
        <f t="shared" si="46"/>
        <v>5115.5999999999995</v>
      </c>
      <c r="N262" s="28">
        <f t="shared" si="47"/>
        <v>5190</v>
      </c>
      <c r="O262" s="24">
        <f>VLOOKUP($B262,'Выгр Торг'!$B:$Q,O$1,0)</f>
        <v>3654</v>
      </c>
      <c r="P262" s="24">
        <f>VLOOKUP($B262,'Выгр Торг'!$B:$Q,P$1,0)</f>
        <v>5290</v>
      </c>
      <c r="Q262" s="18">
        <f t="shared" si="48"/>
        <v>0</v>
      </c>
      <c r="R262" s="18">
        <f t="shared" si="49"/>
        <v>100</v>
      </c>
      <c r="S262" s="29">
        <f t="shared" si="50"/>
        <v>5190</v>
      </c>
      <c r="T262" s="30">
        <f t="shared" si="51"/>
        <v>0.42036124794745477</v>
      </c>
      <c r="U262" s="30" t="str">
        <f t="shared" si="52"/>
        <v/>
      </c>
      <c r="V262" s="30">
        <f t="shared" si="53"/>
        <v>-1</v>
      </c>
      <c r="W262" s="13">
        <f t="shared" si="44"/>
        <v>0</v>
      </c>
      <c r="X262" s="32">
        <f>IFERROR((VLOOKUP($B262,'Из ГУГЛа'!$B:$Z,X$1,0)+Z262)*Y262,VLOOKUP($B262,'Из ГУГЛа'!$B:$Z,X$1,0))</f>
        <v>0</v>
      </c>
      <c r="Y262" s="33">
        <v>1</v>
      </c>
      <c r="Z262" s="33"/>
      <c r="AA262" s="31"/>
      <c r="AB262" s="31" t="s">
        <v>4136</v>
      </c>
    </row>
    <row r="263" spans="1:28" ht="45" x14ac:dyDescent="0.25">
      <c r="A263" s="25" t="str">
        <f>INDEX('Выгр Торг'!$A:$A,MATCH($B263,'Выгр Торг'!$B:$B,0))</f>
        <v>Передний бампер с серой полосой (без ПТФ) для ВАЗ 2113-2115</v>
      </c>
      <c r="B263" s="24">
        <v>251066</v>
      </c>
      <c r="C263" s="24">
        <f>VLOOKUP($B263,'Выгр Торг'!$B:$Q,C$1,0)</f>
        <v>173498</v>
      </c>
      <c r="D263" s="25" t="str">
        <f>VLOOKUP($B263,'Выгр Торг'!$B:$Q,D$1,0)</f>
        <v>Передний бампер с серой полосой (без ПТФ) для ВАЗ 2113-2115 (Без покраски)</v>
      </c>
      <c r="E263" s="24" t="str">
        <f>VLOOKUP($B263,'Выгр Торг'!$B:$Q,E$1,0)</f>
        <v>Y</v>
      </c>
      <c r="F263" s="24">
        <f>VLOOKUP($B263,'Выгр Торг'!$B:$Q,F$1,0)</f>
        <v>0</v>
      </c>
      <c r="G263" s="24" t="str">
        <f>VLOOKUP($B263,'Выгр Торг'!$B:$Q,G$1,0)</f>
        <v>21130280301520</v>
      </c>
      <c r="H263" s="24" t="str">
        <f>IF(VLOOKUP($B263,'Выгр Торг'!$B:$Q,H$1,0)=0,"",VLOOKUP($B263,'Выгр Торг'!$B:$Q,H$1,0))</f>
        <v>https://motorring.ru/product/16088-peredniy-bamper-bez-ptf-vaz-2113-2115</v>
      </c>
      <c r="I263" s="24"/>
      <c r="J263" s="24"/>
      <c r="K263" s="35">
        <f t="shared" si="45"/>
        <v>990</v>
      </c>
      <c r="L263" s="26">
        <f>VLOOKUP(K263,Наценка!$A$1:$B$8,2,1)</f>
        <v>1.55</v>
      </c>
      <c r="M263" s="27">
        <f t="shared" si="46"/>
        <v>1534.5</v>
      </c>
      <c r="N263" s="28">
        <f t="shared" si="47"/>
        <v>1590</v>
      </c>
      <c r="O263" s="24">
        <f>VLOOKUP($B263,'Выгр Торг'!$B:$Q,O$1,0)</f>
        <v>990</v>
      </c>
      <c r="P263" s="24">
        <f>VLOOKUP($B263,'Выгр Торг'!$B:$Q,P$1,0)</f>
        <v>1890</v>
      </c>
      <c r="Q263" s="18">
        <f t="shared" si="48"/>
        <v>0</v>
      </c>
      <c r="R263" s="18">
        <f t="shared" si="49"/>
        <v>300</v>
      </c>
      <c r="S263" s="29">
        <f t="shared" si="50"/>
        <v>1590</v>
      </c>
      <c r="T263" s="30">
        <f t="shared" si="51"/>
        <v>0.60606060606060597</v>
      </c>
      <c r="U263" s="30" t="str">
        <f t="shared" si="52"/>
        <v/>
      </c>
      <c r="V263" s="30">
        <f t="shared" si="53"/>
        <v>-1</v>
      </c>
      <c r="W263" s="13">
        <f t="shared" si="44"/>
        <v>0</v>
      </c>
      <c r="X263" s="32">
        <f>IFERROR((VLOOKUP($B263,'Из ГУГЛа'!$B:$Z,X$1,0)+Z263)*Y263,VLOOKUP($B263,'Из ГУГЛа'!$B:$Z,X$1,0))</f>
        <v>0</v>
      </c>
      <c r="Y263" s="33">
        <v>1</v>
      </c>
      <c r="Z263" s="33"/>
      <c r="AA263" s="31"/>
      <c r="AB263" s="31" t="s">
        <v>4107</v>
      </c>
    </row>
    <row r="264" spans="1:28" ht="45" x14ac:dyDescent="0.25">
      <c r="A264" s="25" t="str">
        <f>INDEX('Выгр Торг'!$A:$A,MATCH($B264,'Выгр Торг'!$B:$B,0))</f>
        <v>Передний бампер с серой полосой под ПТФ для ВАЗ 2113-2115</v>
      </c>
      <c r="B264" s="24">
        <v>251101</v>
      </c>
      <c r="C264" s="24">
        <f>VLOOKUP($B264,'Выгр Торг'!$B:$Q,C$1,0)</f>
        <v>173236</v>
      </c>
      <c r="D264" s="25" t="str">
        <f>VLOOKUP($B264,'Выгр Торг'!$B:$Q,D$1,0)</f>
        <v>Передний бампер с серой полосой под ПТФ для ВАЗ 2113-2115 (Без покраски)</v>
      </c>
      <c r="E264" s="24" t="str">
        <f>VLOOKUP($B264,'Выгр Торг'!$B:$Q,E$1,0)</f>
        <v>Y</v>
      </c>
      <c r="F264" s="24">
        <f>VLOOKUP($B264,'Выгр Торг'!$B:$Q,F$1,0)</f>
        <v>0</v>
      </c>
      <c r="G264" s="24" t="str">
        <f>VLOOKUP($B264,'Выгр Торг'!$B:$Q,G$1,0)</f>
        <v>211502803015</v>
      </c>
      <c r="H264" s="24" t="str">
        <f>IF(VLOOKUP($B264,'Выгр Торг'!$B:$Q,H$1,0)=0,"",VLOOKUP($B264,'Выгр Торг'!$B:$Q,H$1,0))</f>
        <v>https://motorring.ru/product/16087-peredniy-bamper-ptf-vaz-2113-2115</v>
      </c>
      <c r="I264" s="24"/>
      <c r="J264" s="24"/>
      <c r="K264" s="35">
        <f t="shared" si="45"/>
        <v>800</v>
      </c>
      <c r="L264" s="26">
        <f>VLOOKUP(K264,Наценка!$A$1:$B$8,2,1)</f>
        <v>1.55</v>
      </c>
      <c r="M264" s="27">
        <f t="shared" si="46"/>
        <v>1240</v>
      </c>
      <c r="N264" s="28">
        <f t="shared" si="47"/>
        <v>1290</v>
      </c>
      <c r="O264" s="24">
        <f>VLOOKUP($B264,'Выгр Торг'!$B:$Q,O$1,0)</f>
        <v>800</v>
      </c>
      <c r="P264" s="24">
        <f>VLOOKUP($B264,'Выгр Торг'!$B:$Q,P$1,0)</f>
        <v>2290</v>
      </c>
      <c r="Q264" s="18">
        <f t="shared" si="48"/>
        <v>0</v>
      </c>
      <c r="R264" s="18">
        <f t="shared" si="49"/>
        <v>1000</v>
      </c>
      <c r="S264" s="29">
        <f t="shared" si="50"/>
        <v>1290</v>
      </c>
      <c r="T264" s="30">
        <f t="shared" si="51"/>
        <v>0.61250000000000004</v>
      </c>
      <c r="U264" s="30" t="str">
        <f t="shared" si="52"/>
        <v/>
      </c>
      <c r="V264" s="30">
        <f t="shared" si="53"/>
        <v>-1</v>
      </c>
      <c r="W264" s="13">
        <f t="shared" si="44"/>
        <v>0</v>
      </c>
      <c r="X264" s="32">
        <f>IFERROR((VLOOKUP($B264,'Из ГУГЛа'!$B:$Z,X$1,0)+Z264)*Y264,VLOOKUP($B264,'Из ГУГЛа'!$B:$Z,X$1,0))</f>
        <v>0</v>
      </c>
      <c r="Y264" s="33">
        <v>1</v>
      </c>
      <c r="Z264" s="33"/>
      <c r="AA264" s="31"/>
      <c r="AB264" s="31" t="s">
        <v>4099</v>
      </c>
    </row>
  </sheetData>
  <autoFilter ref="A2:AB264" xr:uid="{F3985357-F945-4D5A-AAB6-C9530077673D}"/>
  <conditionalFormatting sqref="U3:U264">
    <cfRule type="cellIs" dxfId="8" priority="4" operator="lessThan">
      <formula>0</formula>
    </cfRule>
  </conditionalFormatting>
  <conditionalFormatting sqref="V3:V264 T3:T264">
    <cfRule type="cellIs" dxfId="7" priority="3" operator="lessThan">
      <formula>$S$1</formula>
    </cfRule>
  </conditionalFormatting>
  <conditionalFormatting sqref="D3:D264">
    <cfRule type="expression" dxfId="6" priority="2">
      <formula>OR(E3="N",F3="0")</formula>
    </cfRule>
  </conditionalFormatting>
  <conditionalFormatting sqref="B3:B264">
    <cfRule type="expression" dxfId="5" priority="1">
      <formula>AND(ROUNDDOWN($Q3,0)=0,ROUNDDOWN($R3,0)=0)</formula>
    </cfRule>
  </conditionalFormatting>
  <conditionalFormatting sqref="X3:X264">
    <cfRule type="expression" dxfId="4" priority="5">
      <formula>VALUE(X3)&lt;&gt;AA3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FDFC9-EA2F-462C-B827-06DE9CA78521}">
  <sheetPr codeName="Лист8"/>
  <dimension ref="A1:B8"/>
  <sheetViews>
    <sheetView workbookViewId="0">
      <selection activeCell="C5" sqref="C5"/>
    </sheetView>
  </sheetViews>
  <sheetFormatPr defaultRowHeight="15" x14ac:dyDescent="0.25"/>
  <cols>
    <col min="1" max="16384" width="9.140625" style="34"/>
  </cols>
  <sheetData>
    <row r="1" spans="1:2" x14ac:dyDescent="0.25">
      <c r="A1" s="67">
        <v>0.1</v>
      </c>
      <c r="B1" s="67">
        <v>2</v>
      </c>
    </row>
    <row r="2" spans="1:2" x14ac:dyDescent="0.25">
      <c r="A2" s="67">
        <v>100</v>
      </c>
      <c r="B2" s="67">
        <v>1.8</v>
      </c>
    </row>
    <row r="3" spans="1:2" x14ac:dyDescent="0.25">
      <c r="A3" s="67">
        <v>300</v>
      </c>
      <c r="B3" s="67">
        <v>1.6</v>
      </c>
    </row>
    <row r="4" spans="1:2" x14ac:dyDescent="0.25">
      <c r="A4" s="67">
        <v>500</v>
      </c>
      <c r="B4" s="67">
        <v>1.55</v>
      </c>
    </row>
    <row r="5" spans="1:2" x14ac:dyDescent="0.25">
      <c r="A5" s="67">
        <v>1000</v>
      </c>
      <c r="B5" s="67">
        <v>1.5</v>
      </c>
    </row>
    <row r="6" spans="1:2" x14ac:dyDescent="0.25">
      <c r="A6" s="67">
        <v>2000</v>
      </c>
      <c r="B6" s="67">
        <v>1.4</v>
      </c>
    </row>
    <row r="7" spans="1:2" x14ac:dyDescent="0.25">
      <c r="A7" s="67">
        <v>5000</v>
      </c>
      <c r="B7" s="67">
        <v>1.35</v>
      </c>
    </row>
    <row r="8" spans="1:2" x14ac:dyDescent="0.25">
      <c r="A8" s="67">
        <v>10000</v>
      </c>
      <c r="B8" s="67">
        <v>1.3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O804"/>
  <sheetViews>
    <sheetView showRuler="0" zoomScaleNormal="100" workbookViewId="0">
      <pane ySplit="1" topLeftCell="A2" activePane="bottomLeft" state="frozen"/>
      <selection pane="bottomLeft" activeCell="Q3" sqref="Q3"/>
    </sheetView>
  </sheetViews>
  <sheetFormatPr defaultRowHeight="15" x14ac:dyDescent="0.25"/>
  <cols>
    <col min="1" max="2" width="7.7109375" customWidth="1"/>
    <col min="3" max="3" width="33.28515625" customWidth="1"/>
    <col min="4" max="4" width="3.28515625" customWidth="1"/>
    <col min="5" max="6" width="22.28515625" customWidth="1"/>
    <col min="7" max="7" width="8.85546875" customWidth="1"/>
    <col min="8" max="9" width="7.7109375" customWidth="1"/>
    <col min="10" max="10" width="22.28515625" customWidth="1"/>
    <col min="11" max="13" width="5.5703125" customWidth="1"/>
    <col min="14" max="15" width="4.140625" customWidth="1"/>
  </cols>
  <sheetData>
    <row r="1" spans="1:15" s="1" customFormat="1" ht="45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2105</v>
      </c>
      <c r="M1" s="72" t="s">
        <v>11</v>
      </c>
      <c r="N1" s="71"/>
      <c r="O1" s="71"/>
    </row>
    <row r="2" spans="1:15" ht="45" x14ac:dyDescent="0.25">
      <c r="A2" s="73">
        <v>214085</v>
      </c>
      <c r="B2" s="73">
        <v>23556</v>
      </c>
      <c r="C2" s="74" t="s">
        <v>4278</v>
      </c>
      <c r="D2" s="74" t="s">
        <v>4279</v>
      </c>
      <c r="E2" s="74" t="s">
        <v>1712</v>
      </c>
      <c r="F2" s="74" t="s">
        <v>1712</v>
      </c>
      <c r="G2" s="74" t="s">
        <v>15</v>
      </c>
      <c r="H2" s="75">
        <v>212</v>
      </c>
      <c r="I2" s="75">
        <v>389</v>
      </c>
      <c r="J2" s="74"/>
      <c r="K2" s="74" t="s">
        <v>16</v>
      </c>
      <c r="L2" s="74"/>
      <c r="M2" s="74" t="s">
        <v>13</v>
      </c>
      <c r="N2" s="71" t="str">
        <f>_xlfn.CONCAT(K2,IF(L2&lt;&gt;"",_xlfn.CONCAT("ск",L2),""))</f>
        <v>1</v>
      </c>
      <c r="O2" s="71" t="str">
        <f>INDEX(Кат!$D:$D,MATCH($A2,Кат!$A:$A,0))</f>
        <v>N</v>
      </c>
    </row>
    <row r="3" spans="1:15" ht="60" x14ac:dyDescent="0.25">
      <c r="A3" s="73">
        <v>214086</v>
      </c>
      <c r="B3" s="73">
        <v>23543</v>
      </c>
      <c r="C3" s="74" t="s">
        <v>4280</v>
      </c>
      <c r="D3" s="74" t="s">
        <v>4279</v>
      </c>
      <c r="E3" s="74" t="s">
        <v>1714</v>
      </c>
      <c r="F3" s="74" t="s">
        <v>1714</v>
      </c>
      <c r="G3" s="74" t="s">
        <v>15</v>
      </c>
      <c r="H3" s="75">
        <v>70</v>
      </c>
      <c r="I3" s="75">
        <v>139</v>
      </c>
      <c r="J3" s="74"/>
      <c r="K3" s="74" t="s">
        <v>16</v>
      </c>
      <c r="L3" s="74"/>
      <c r="M3" s="74" t="s">
        <v>13</v>
      </c>
      <c r="N3" s="71" t="str">
        <f t="shared" ref="N3:N66" si="0">_xlfn.CONCAT(K3,IF(L3&lt;&gt;"",_xlfn.CONCAT("ск",L3),""))</f>
        <v>1</v>
      </c>
      <c r="O3" s="71" t="str">
        <f>INDEX(Кат!$D:$D,MATCH($A3,Кат!$A:$A,0))</f>
        <v>N</v>
      </c>
    </row>
    <row r="4" spans="1:15" ht="45" x14ac:dyDescent="0.25">
      <c r="A4" s="73">
        <v>132876</v>
      </c>
      <c r="B4" s="73">
        <v>23530</v>
      </c>
      <c r="C4" s="74" t="s">
        <v>12</v>
      </c>
      <c r="D4" s="74" t="s">
        <v>13</v>
      </c>
      <c r="E4" s="74" t="s">
        <v>14</v>
      </c>
      <c r="F4" s="74" t="s">
        <v>14</v>
      </c>
      <c r="G4" s="74" t="s">
        <v>15</v>
      </c>
      <c r="H4" s="75">
        <v>3083.09</v>
      </c>
      <c r="I4" s="75">
        <v>4390</v>
      </c>
      <c r="J4" s="74"/>
      <c r="K4" s="74" t="s">
        <v>16</v>
      </c>
      <c r="L4" s="74"/>
      <c r="M4" s="74" t="s">
        <v>13</v>
      </c>
      <c r="N4" s="71" t="str">
        <f t="shared" si="0"/>
        <v>1</v>
      </c>
      <c r="O4" s="71" t="str">
        <f>INDEX(Кат!$D:$D,MATCH($A4,Кат!$A:$A,0))</f>
        <v>Y</v>
      </c>
    </row>
    <row r="5" spans="1:15" ht="60" x14ac:dyDescent="0.25">
      <c r="A5" s="73">
        <v>132877</v>
      </c>
      <c r="B5" s="73">
        <v>23524</v>
      </c>
      <c r="C5" s="74" t="s">
        <v>17</v>
      </c>
      <c r="D5" s="74" t="s">
        <v>13</v>
      </c>
      <c r="E5" s="74" t="s">
        <v>18</v>
      </c>
      <c r="F5" s="74" t="s">
        <v>18</v>
      </c>
      <c r="G5" s="74" t="s">
        <v>15</v>
      </c>
      <c r="H5" s="75">
        <v>2969</v>
      </c>
      <c r="I5" s="75">
        <v>4190</v>
      </c>
      <c r="J5" s="74" t="s">
        <v>19</v>
      </c>
      <c r="K5" s="74" t="s">
        <v>16</v>
      </c>
      <c r="L5" s="74"/>
      <c r="M5" s="74" t="s">
        <v>13</v>
      </c>
      <c r="N5" s="71" t="str">
        <f t="shared" si="0"/>
        <v>1</v>
      </c>
      <c r="O5" s="71" t="str">
        <f>INDEX(Кат!$D:$D,MATCH($A5,Кат!$A:$A,0))</f>
        <v>Y</v>
      </c>
    </row>
    <row r="6" spans="1:15" ht="60" x14ac:dyDescent="0.25">
      <c r="A6" s="73">
        <v>132878</v>
      </c>
      <c r="B6" s="73">
        <v>31478</v>
      </c>
      <c r="C6" s="74" t="s">
        <v>20</v>
      </c>
      <c r="D6" s="74" t="s">
        <v>13</v>
      </c>
      <c r="E6" s="74" t="s">
        <v>21</v>
      </c>
      <c r="F6" s="74" t="s">
        <v>21</v>
      </c>
      <c r="G6" s="74" t="s">
        <v>15</v>
      </c>
      <c r="H6" s="75">
        <v>2997.58</v>
      </c>
      <c r="I6" s="75">
        <v>4190</v>
      </c>
      <c r="J6" s="74"/>
      <c r="K6" s="74" t="s">
        <v>16</v>
      </c>
      <c r="L6" s="74"/>
      <c r="M6" s="74" t="s">
        <v>13</v>
      </c>
      <c r="N6" s="71" t="str">
        <f t="shared" si="0"/>
        <v>1</v>
      </c>
      <c r="O6" s="71" t="str">
        <f>INDEX(Кат!$D:$D,MATCH($A6,Кат!$A:$A,0))</f>
        <v>Y</v>
      </c>
    </row>
    <row r="7" spans="1:15" ht="75" x14ac:dyDescent="0.25">
      <c r="A7" s="73">
        <v>132879</v>
      </c>
      <c r="B7" s="73">
        <v>31728</v>
      </c>
      <c r="C7" s="74" t="s">
        <v>22</v>
      </c>
      <c r="D7" s="74" t="s">
        <v>13</v>
      </c>
      <c r="E7" s="74" t="s">
        <v>23</v>
      </c>
      <c r="F7" s="74" t="s">
        <v>23</v>
      </c>
      <c r="G7" s="74" t="s">
        <v>15</v>
      </c>
      <c r="H7" s="75">
        <v>3312</v>
      </c>
      <c r="I7" s="75">
        <v>4690</v>
      </c>
      <c r="J7" s="74" t="s">
        <v>24</v>
      </c>
      <c r="K7" s="74" t="s">
        <v>16</v>
      </c>
      <c r="L7" s="74"/>
      <c r="M7" s="74" t="s">
        <v>13</v>
      </c>
      <c r="N7" s="71" t="str">
        <f t="shared" si="0"/>
        <v>1</v>
      </c>
      <c r="O7" s="71" t="str">
        <f>INDEX(Кат!$D:$D,MATCH($A7,Кат!$A:$A,0))</f>
        <v>Y</v>
      </c>
    </row>
    <row r="8" spans="1:15" ht="75" x14ac:dyDescent="0.25">
      <c r="A8" s="73">
        <v>132880</v>
      </c>
      <c r="B8" s="73">
        <v>44778</v>
      </c>
      <c r="C8" s="74" t="s">
        <v>25</v>
      </c>
      <c r="D8" s="74" t="s">
        <v>13</v>
      </c>
      <c r="E8" s="74" t="s">
        <v>26</v>
      </c>
      <c r="F8" s="74" t="s">
        <v>27</v>
      </c>
      <c r="G8" s="74" t="s">
        <v>15</v>
      </c>
      <c r="H8" s="75">
        <v>3082</v>
      </c>
      <c r="I8" s="75">
        <v>4390</v>
      </c>
      <c r="J8" s="74" t="s">
        <v>28</v>
      </c>
      <c r="K8" s="74" t="s">
        <v>16</v>
      </c>
      <c r="L8" s="74"/>
      <c r="M8" s="74"/>
      <c r="N8" s="71" t="str">
        <f t="shared" si="0"/>
        <v>1</v>
      </c>
      <c r="O8" s="71" t="str">
        <f>INDEX(Кат!$D:$D,MATCH($A8,Кат!$A:$A,0))</f>
        <v>Y</v>
      </c>
    </row>
    <row r="9" spans="1:15" ht="75" x14ac:dyDescent="0.25">
      <c r="A9" s="73">
        <v>132881</v>
      </c>
      <c r="B9" s="73">
        <v>31727</v>
      </c>
      <c r="C9" s="74" t="s">
        <v>29</v>
      </c>
      <c r="D9" s="74" t="s">
        <v>13</v>
      </c>
      <c r="E9" s="74" t="s">
        <v>30</v>
      </c>
      <c r="F9" s="74" t="s">
        <v>30</v>
      </c>
      <c r="G9" s="74" t="s">
        <v>15</v>
      </c>
      <c r="H9" s="75">
        <v>3408</v>
      </c>
      <c r="I9" s="75">
        <v>4790</v>
      </c>
      <c r="J9" s="74" t="s">
        <v>31</v>
      </c>
      <c r="K9" s="74" t="s">
        <v>16</v>
      </c>
      <c r="L9" s="74"/>
      <c r="M9" s="74" t="s">
        <v>13</v>
      </c>
      <c r="N9" s="71" t="str">
        <f t="shared" si="0"/>
        <v>1</v>
      </c>
      <c r="O9" s="71" t="str">
        <f>INDEX(Кат!$D:$D,MATCH($A9,Кат!$A:$A,0))</f>
        <v>Y</v>
      </c>
    </row>
    <row r="10" spans="1:15" ht="60" x14ac:dyDescent="0.25">
      <c r="A10" s="73">
        <v>132882</v>
      </c>
      <c r="B10" s="73">
        <v>32480</v>
      </c>
      <c r="C10" s="74" t="s">
        <v>32</v>
      </c>
      <c r="D10" s="74" t="s">
        <v>13</v>
      </c>
      <c r="E10" s="74" t="s">
        <v>33</v>
      </c>
      <c r="F10" s="74" t="s">
        <v>33</v>
      </c>
      <c r="G10" s="74" t="s">
        <v>15</v>
      </c>
      <c r="H10" s="75">
        <v>2100</v>
      </c>
      <c r="I10" s="75">
        <v>2990</v>
      </c>
      <c r="J10" s="74" t="s">
        <v>34</v>
      </c>
      <c r="K10" s="74" t="s">
        <v>16</v>
      </c>
      <c r="L10" s="74"/>
      <c r="M10" s="74" t="s">
        <v>13</v>
      </c>
      <c r="N10" s="71" t="str">
        <f t="shared" si="0"/>
        <v>1</v>
      </c>
      <c r="O10" s="71" t="str">
        <f>INDEX(Кат!$D:$D,MATCH($A10,Кат!$A:$A,0))</f>
        <v>Y</v>
      </c>
    </row>
    <row r="11" spans="1:15" ht="45" x14ac:dyDescent="0.25">
      <c r="A11" s="73">
        <v>132883</v>
      </c>
      <c r="B11" s="73">
        <v>31954</v>
      </c>
      <c r="C11" s="74" t="s">
        <v>35</v>
      </c>
      <c r="D11" s="74" t="s">
        <v>13</v>
      </c>
      <c r="E11" s="74" t="s">
        <v>36</v>
      </c>
      <c r="F11" s="74" t="s">
        <v>36</v>
      </c>
      <c r="G11" s="74" t="s">
        <v>15</v>
      </c>
      <c r="H11" s="75">
        <v>3208</v>
      </c>
      <c r="I11" s="75">
        <v>4490</v>
      </c>
      <c r="J11" s="74"/>
      <c r="K11" s="74" t="s">
        <v>37</v>
      </c>
      <c r="L11" s="74"/>
      <c r="M11" s="74" t="s">
        <v>13</v>
      </c>
      <c r="N11" s="71" t="str">
        <f t="shared" si="0"/>
        <v>0</v>
      </c>
      <c r="O11" s="71" t="str">
        <f>INDEX(Кат!$D:$D,MATCH($A11,Кат!$A:$A,0))</f>
        <v>Y</v>
      </c>
    </row>
    <row r="12" spans="1:15" ht="75" x14ac:dyDescent="0.25">
      <c r="A12" s="73">
        <v>132884</v>
      </c>
      <c r="B12" s="73">
        <v>50814</v>
      </c>
      <c r="C12" s="74" t="s">
        <v>38</v>
      </c>
      <c r="D12" s="74" t="s">
        <v>13</v>
      </c>
      <c r="E12" s="74" t="s">
        <v>39</v>
      </c>
      <c r="F12" s="74" t="s">
        <v>40</v>
      </c>
      <c r="G12" s="74" t="s">
        <v>15</v>
      </c>
      <c r="H12" s="75">
        <v>1536</v>
      </c>
      <c r="I12" s="75">
        <v>2390</v>
      </c>
      <c r="J12" s="74" t="s">
        <v>41</v>
      </c>
      <c r="K12" s="74" t="s">
        <v>16</v>
      </c>
      <c r="L12" s="74"/>
      <c r="M12" s="74" t="s">
        <v>13</v>
      </c>
      <c r="N12" s="71" t="str">
        <f t="shared" si="0"/>
        <v>1</v>
      </c>
      <c r="O12" s="71" t="str">
        <f>INDEX(Кат!$D:$D,MATCH($A12,Кат!$A:$A,0))</f>
        <v>Y</v>
      </c>
    </row>
    <row r="13" spans="1:15" ht="45" x14ac:dyDescent="0.25">
      <c r="A13" s="73">
        <v>132885</v>
      </c>
      <c r="B13" s="73">
        <v>32478</v>
      </c>
      <c r="C13" s="74" t="s">
        <v>42</v>
      </c>
      <c r="D13" s="74" t="s">
        <v>13</v>
      </c>
      <c r="E13" s="74" t="s">
        <v>43</v>
      </c>
      <c r="F13" s="74" t="s">
        <v>43</v>
      </c>
      <c r="G13" s="74" t="s">
        <v>15</v>
      </c>
      <c r="H13" s="75">
        <v>1870.94</v>
      </c>
      <c r="I13" s="75">
        <v>2890</v>
      </c>
      <c r="J13" s="74"/>
      <c r="K13" s="74" t="s">
        <v>16</v>
      </c>
      <c r="L13" s="74" t="s">
        <v>16</v>
      </c>
      <c r="M13" s="74" t="s">
        <v>13</v>
      </c>
      <c r="N13" s="71" t="str">
        <f t="shared" si="0"/>
        <v>1ск1</v>
      </c>
      <c r="O13" s="71" t="str">
        <f>INDEX(Кат!$D:$D,MATCH($A13,Кат!$A:$A,0))</f>
        <v>Y</v>
      </c>
    </row>
    <row r="14" spans="1:15" ht="45" x14ac:dyDescent="0.25">
      <c r="A14" s="73">
        <v>132886</v>
      </c>
      <c r="B14" s="73">
        <v>32710</v>
      </c>
      <c r="C14" s="74" t="s">
        <v>44</v>
      </c>
      <c r="D14" s="74" t="s">
        <v>13</v>
      </c>
      <c r="E14" s="74" t="s">
        <v>45</v>
      </c>
      <c r="F14" s="74" t="s">
        <v>45</v>
      </c>
      <c r="G14" s="74" t="s">
        <v>15</v>
      </c>
      <c r="H14" s="75">
        <v>2232</v>
      </c>
      <c r="I14" s="75">
        <v>3190</v>
      </c>
      <c r="J14" s="74"/>
      <c r="K14" s="74" t="s">
        <v>16</v>
      </c>
      <c r="L14" s="74"/>
      <c r="M14" s="74" t="s">
        <v>13</v>
      </c>
      <c r="N14" s="71" t="str">
        <f t="shared" si="0"/>
        <v>1</v>
      </c>
      <c r="O14" s="71" t="str">
        <f>INDEX(Кат!$D:$D,MATCH($A14,Кат!$A:$A,0))</f>
        <v>Y</v>
      </c>
    </row>
    <row r="15" spans="1:15" ht="45" x14ac:dyDescent="0.25">
      <c r="A15" s="73">
        <v>132887</v>
      </c>
      <c r="B15" s="73">
        <v>31085</v>
      </c>
      <c r="C15" s="74" t="s">
        <v>46</v>
      </c>
      <c r="D15" s="74" t="s">
        <v>13</v>
      </c>
      <c r="E15" s="74" t="s">
        <v>47</v>
      </c>
      <c r="F15" s="74" t="s">
        <v>47</v>
      </c>
      <c r="G15" s="74" t="s">
        <v>15</v>
      </c>
      <c r="H15" s="75">
        <v>3657</v>
      </c>
      <c r="I15" s="75">
        <v>5190</v>
      </c>
      <c r="J15" s="74"/>
      <c r="K15" s="74" t="s">
        <v>16</v>
      </c>
      <c r="L15" s="74"/>
      <c r="M15" s="74" t="s">
        <v>13</v>
      </c>
      <c r="N15" s="71" t="str">
        <f t="shared" si="0"/>
        <v>1</v>
      </c>
      <c r="O15" s="71" t="str">
        <f>INDEX(Кат!$D:$D,MATCH($A15,Кат!$A:$A,0))</f>
        <v>Y</v>
      </c>
    </row>
    <row r="16" spans="1:15" ht="75" x14ac:dyDescent="0.25">
      <c r="A16" s="73">
        <v>132888</v>
      </c>
      <c r="B16" s="73">
        <v>31191</v>
      </c>
      <c r="C16" s="74" t="s">
        <v>48</v>
      </c>
      <c r="D16" s="74" t="s">
        <v>13</v>
      </c>
      <c r="E16" s="74" t="s">
        <v>49</v>
      </c>
      <c r="F16" s="74" t="s">
        <v>49</v>
      </c>
      <c r="G16" s="74" t="s">
        <v>15</v>
      </c>
      <c r="H16" s="75">
        <v>4017</v>
      </c>
      <c r="I16" s="75">
        <v>5690</v>
      </c>
      <c r="J16" s="74" t="s">
        <v>50</v>
      </c>
      <c r="K16" s="74" t="s">
        <v>16</v>
      </c>
      <c r="L16" s="74"/>
      <c r="M16" s="74" t="s">
        <v>13</v>
      </c>
      <c r="N16" s="71" t="str">
        <f t="shared" si="0"/>
        <v>1</v>
      </c>
      <c r="O16" s="71" t="str">
        <f>INDEX(Кат!$D:$D,MATCH($A16,Кат!$A:$A,0))</f>
        <v>Y</v>
      </c>
    </row>
    <row r="17" spans="1:15" ht="75" x14ac:dyDescent="0.25">
      <c r="A17" s="73">
        <v>132889</v>
      </c>
      <c r="B17" s="73">
        <v>32728</v>
      </c>
      <c r="C17" s="74" t="s">
        <v>51</v>
      </c>
      <c r="D17" s="74" t="s">
        <v>13</v>
      </c>
      <c r="E17" s="74" t="s">
        <v>52</v>
      </c>
      <c r="F17" s="74" t="s">
        <v>52</v>
      </c>
      <c r="G17" s="74" t="s">
        <v>15</v>
      </c>
      <c r="H17" s="75">
        <v>2242</v>
      </c>
      <c r="I17" s="75">
        <v>3190</v>
      </c>
      <c r="J17" s="74" t="s">
        <v>53</v>
      </c>
      <c r="K17" s="74" t="s">
        <v>16</v>
      </c>
      <c r="L17" s="74"/>
      <c r="M17" s="74" t="s">
        <v>13</v>
      </c>
      <c r="N17" s="71" t="str">
        <f t="shared" si="0"/>
        <v>1</v>
      </c>
      <c r="O17" s="71" t="str">
        <f>INDEX(Кат!$D:$D,MATCH($A17,Кат!$A:$A,0))</f>
        <v>Y</v>
      </c>
    </row>
    <row r="18" spans="1:15" ht="75" x14ac:dyDescent="0.25">
      <c r="A18" s="73">
        <v>132890</v>
      </c>
      <c r="B18" s="73">
        <v>31187</v>
      </c>
      <c r="C18" s="74" t="s">
        <v>54</v>
      </c>
      <c r="D18" s="74" t="s">
        <v>13</v>
      </c>
      <c r="E18" s="74" t="s">
        <v>55</v>
      </c>
      <c r="F18" s="74" t="s">
        <v>55</v>
      </c>
      <c r="G18" s="74" t="s">
        <v>15</v>
      </c>
      <c r="H18" s="75">
        <v>4079</v>
      </c>
      <c r="I18" s="75">
        <v>5790</v>
      </c>
      <c r="J18" s="74" t="s">
        <v>56</v>
      </c>
      <c r="K18" s="74" t="s">
        <v>16</v>
      </c>
      <c r="L18" s="74"/>
      <c r="M18" s="74" t="s">
        <v>13</v>
      </c>
      <c r="N18" s="71" t="str">
        <f t="shared" si="0"/>
        <v>1</v>
      </c>
      <c r="O18" s="71" t="str">
        <f>INDEX(Кат!$D:$D,MATCH($A18,Кат!$A:$A,0))</f>
        <v>Y</v>
      </c>
    </row>
    <row r="19" spans="1:15" ht="75" x14ac:dyDescent="0.25">
      <c r="A19" s="73">
        <v>132891</v>
      </c>
      <c r="B19" s="73">
        <v>31091</v>
      </c>
      <c r="C19" s="74" t="s">
        <v>57</v>
      </c>
      <c r="D19" s="74" t="s">
        <v>13</v>
      </c>
      <c r="E19" s="74" t="s">
        <v>58</v>
      </c>
      <c r="F19" s="74" t="s">
        <v>58</v>
      </c>
      <c r="G19" s="74" t="s">
        <v>15</v>
      </c>
      <c r="H19" s="75">
        <v>2575</v>
      </c>
      <c r="I19" s="75">
        <v>3690</v>
      </c>
      <c r="J19" s="74" t="s">
        <v>59</v>
      </c>
      <c r="K19" s="74" t="s">
        <v>16</v>
      </c>
      <c r="L19" s="74"/>
      <c r="M19" s="74" t="s">
        <v>13</v>
      </c>
      <c r="N19" s="71" t="str">
        <f t="shared" si="0"/>
        <v>1</v>
      </c>
      <c r="O19" s="71" t="str">
        <f>INDEX(Кат!$D:$D,MATCH($A19,Кат!$A:$A,0))</f>
        <v>Y</v>
      </c>
    </row>
    <row r="20" spans="1:15" ht="75" x14ac:dyDescent="0.25">
      <c r="A20" s="73">
        <v>132892</v>
      </c>
      <c r="B20" s="73">
        <v>31092</v>
      </c>
      <c r="C20" s="74" t="s">
        <v>60</v>
      </c>
      <c r="D20" s="74" t="s">
        <v>13</v>
      </c>
      <c r="E20" s="74" t="s">
        <v>61</v>
      </c>
      <c r="F20" s="74" t="s">
        <v>61</v>
      </c>
      <c r="G20" s="74" t="s">
        <v>15</v>
      </c>
      <c r="H20" s="75">
        <v>4800</v>
      </c>
      <c r="I20" s="75">
        <v>6790</v>
      </c>
      <c r="J20" s="74" t="s">
        <v>62</v>
      </c>
      <c r="K20" s="74" t="s">
        <v>16</v>
      </c>
      <c r="L20" s="74"/>
      <c r="M20" s="74" t="s">
        <v>13</v>
      </c>
      <c r="N20" s="71" t="str">
        <f t="shared" si="0"/>
        <v>1</v>
      </c>
      <c r="O20" s="71" t="str">
        <f>INDEX(Кат!$D:$D,MATCH($A20,Кат!$A:$A,0))</f>
        <v>Y</v>
      </c>
    </row>
    <row r="21" spans="1:15" ht="45" x14ac:dyDescent="0.25">
      <c r="A21" s="73">
        <v>132893</v>
      </c>
      <c r="B21" s="73">
        <v>31288</v>
      </c>
      <c r="C21" s="74" t="s">
        <v>63</v>
      </c>
      <c r="D21" s="74" t="s">
        <v>13</v>
      </c>
      <c r="E21" s="74" t="s">
        <v>64</v>
      </c>
      <c r="F21" s="74" t="s">
        <v>64</v>
      </c>
      <c r="G21" s="74" t="s">
        <v>15</v>
      </c>
      <c r="H21" s="75">
        <v>855</v>
      </c>
      <c r="I21" s="75">
        <v>1390</v>
      </c>
      <c r="J21" s="74"/>
      <c r="K21" s="74" t="s">
        <v>37</v>
      </c>
      <c r="L21" s="74"/>
      <c r="M21" s="74" t="s">
        <v>13</v>
      </c>
      <c r="N21" s="71" t="str">
        <f t="shared" si="0"/>
        <v>0</v>
      </c>
      <c r="O21" s="71" t="str">
        <f>INDEX(Кат!$D:$D,MATCH($A21,Кат!$A:$A,0))</f>
        <v>Y</v>
      </c>
    </row>
    <row r="22" spans="1:15" ht="60" x14ac:dyDescent="0.25">
      <c r="A22" s="73">
        <v>132894</v>
      </c>
      <c r="B22" s="73">
        <v>31289</v>
      </c>
      <c r="C22" s="74" t="s">
        <v>65</v>
      </c>
      <c r="D22" s="74" t="s">
        <v>13</v>
      </c>
      <c r="E22" s="74" t="s">
        <v>66</v>
      </c>
      <c r="F22" s="74" t="s">
        <v>66</v>
      </c>
      <c r="G22" s="74" t="s">
        <v>15</v>
      </c>
      <c r="H22" s="75">
        <v>3255</v>
      </c>
      <c r="I22" s="75">
        <v>4590</v>
      </c>
      <c r="J22" s="74" t="s">
        <v>67</v>
      </c>
      <c r="K22" s="74" t="s">
        <v>37</v>
      </c>
      <c r="L22" s="74"/>
      <c r="M22" s="74" t="s">
        <v>13</v>
      </c>
      <c r="N22" s="71" t="str">
        <f t="shared" si="0"/>
        <v>0</v>
      </c>
      <c r="O22" s="71" t="str">
        <f>INDEX(Кат!$D:$D,MATCH($A22,Кат!$A:$A,0))</f>
        <v>Y</v>
      </c>
    </row>
    <row r="23" spans="1:15" ht="45" x14ac:dyDescent="0.25">
      <c r="A23" s="73">
        <v>132895</v>
      </c>
      <c r="B23" s="73">
        <v>25092</v>
      </c>
      <c r="C23" s="74" t="s">
        <v>68</v>
      </c>
      <c r="D23" s="74" t="s">
        <v>13</v>
      </c>
      <c r="E23" s="74" t="s">
        <v>69</v>
      </c>
      <c r="F23" s="74" t="s">
        <v>70</v>
      </c>
      <c r="G23" s="74" t="s">
        <v>15</v>
      </c>
      <c r="H23" s="75">
        <v>1254</v>
      </c>
      <c r="I23" s="75">
        <v>1890</v>
      </c>
      <c r="J23" s="74"/>
      <c r="K23" s="74" t="s">
        <v>37</v>
      </c>
      <c r="L23" s="74"/>
      <c r="M23" s="74" t="s">
        <v>13</v>
      </c>
      <c r="N23" s="71" t="str">
        <f t="shared" si="0"/>
        <v>0</v>
      </c>
      <c r="O23" s="71" t="str">
        <f>INDEX(Кат!$D:$D,MATCH($A23,Кат!$A:$A,0))</f>
        <v>Y</v>
      </c>
    </row>
    <row r="24" spans="1:15" ht="75" x14ac:dyDescent="0.25">
      <c r="A24" s="73">
        <v>132896</v>
      </c>
      <c r="B24" s="73">
        <v>32640</v>
      </c>
      <c r="C24" s="74" t="s">
        <v>71</v>
      </c>
      <c r="D24" s="74" t="s">
        <v>13</v>
      </c>
      <c r="E24" s="74" t="s">
        <v>72</v>
      </c>
      <c r="F24" s="74" t="s">
        <v>72</v>
      </c>
      <c r="G24" s="74" t="s">
        <v>15</v>
      </c>
      <c r="H24" s="75">
        <v>1872</v>
      </c>
      <c r="I24" s="75">
        <v>2890</v>
      </c>
      <c r="J24" s="74" t="s">
        <v>73</v>
      </c>
      <c r="K24" s="74" t="s">
        <v>16</v>
      </c>
      <c r="L24" s="74"/>
      <c r="M24" s="74" t="s">
        <v>13</v>
      </c>
      <c r="N24" s="71" t="str">
        <f t="shared" si="0"/>
        <v>1</v>
      </c>
      <c r="O24" s="71" t="str">
        <f>INDEX(Кат!$D:$D,MATCH($A24,Кат!$A:$A,0))</f>
        <v>Y</v>
      </c>
    </row>
    <row r="25" spans="1:15" ht="60" x14ac:dyDescent="0.25">
      <c r="A25" s="73">
        <v>132897</v>
      </c>
      <c r="B25" s="73">
        <v>31305</v>
      </c>
      <c r="C25" s="74" t="s">
        <v>74</v>
      </c>
      <c r="D25" s="74" t="s">
        <v>13</v>
      </c>
      <c r="E25" s="74" t="s">
        <v>75</v>
      </c>
      <c r="F25" s="74" t="s">
        <v>75</v>
      </c>
      <c r="G25" s="74" t="s">
        <v>15</v>
      </c>
      <c r="H25" s="75">
        <v>2256</v>
      </c>
      <c r="I25" s="75">
        <v>3190</v>
      </c>
      <c r="J25" s="74" t="s">
        <v>76</v>
      </c>
      <c r="K25" s="74" t="s">
        <v>16</v>
      </c>
      <c r="L25" s="74"/>
      <c r="M25" s="74" t="s">
        <v>13</v>
      </c>
      <c r="N25" s="71" t="str">
        <f t="shared" si="0"/>
        <v>1</v>
      </c>
      <c r="O25" s="71" t="str">
        <f>INDEX(Кат!$D:$D,MATCH($A25,Кат!$A:$A,0))</f>
        <v>Y</v>
      </c>
    </row>
    <row r="26" spans="1:15" ht="45" x14ac:dyDescent="0.25">
      <c r="A26" s="73">
        <v>132899</v>
      </c>
      <c r="B26" s="73">
        <v>31434</v>
      </c>
      <c r="C26" s="74" t="s">
        <v>77</v>
      </c>
      <c r="D26" s="74" t="s">
        <v>13</v>
      </c>
      <c r="E26" s="74" t="s">
        <v>78</v>
      </c>
      <c r="F26" s="74" t="s">
        <v>78</v>
      </c>
      <c r="G26" s="74" t="s">
        <v>15</v>
      </c>
      <c r="H26" s="75">
        <v>2266</v>
      </c>
      <c r="I26" s="75">
        <v>3190</v>
      </c>
      <c r="J26" s="74"/>
      <c r="K26" s="74" t="s">
        <v>16</v>
      </c>
      <c r="L26" s="74"/>
      <c r="M26" s="74" t="s">
        <v>13</v>
      </c>
      <c r="N26" s="71" t="str">
        <f t="shared" si="0"/>
        <v>1</v>
      </c>
      <c r="O26" s="71" t="str">
        <f>INDEX(Кат!$D:$D,MATCH($A26,Кат!$A:$A,0))</f>
        <v>Y</v>
      </c>
    </row>
    <row r="27" spans="1:15" ht="45" x14ac:dyDescent="0.25">
      <c r="A27" s="73">
        <v>132900</v>
      </c>
      <c r="B27" s="73">
        <v>32779</v>
      </c>
      <c r="C27" s="74" t="s">
        <v>79</v>
      </c>
      <c r="D27" s="74" t="s">
        <v>13</v>
      </c>
      <c r="E27" s="74" t="s">
        <v>80</v>
      </c>
      <c r="F27" s="74" t="s">
        <v>80</v>
      </c>
      <c r="G27" s="74" t="s">
        <v>15</v>
      </c>
      <c r="H27" s="75">
        <v>8232</v>
      </c>
      <c r="I27" s="75">
        <v>11590</v>
      </c>
      <c r="J27" s="74"/>
      <c r="K27" s="74" t="s">
        <v>16</v>
      </c>
      <c r="L27" s="74"/>
      <c r="M27" s="74" t="s">
        <v>13</v>
      </c>
      <c r="N27" s="71" t="str">
        <f t="shared" si="0"/>
        <v>1</v>
      </c>
      <c r="O27" s="71" t="str">
        <f>INDEX(Кат!$D:$D,MATCH($A27,Кат!$A:$A,0))</f>
        <v>Y</v>
      </c>
    </row>
    <row r="28" spans="1:15" ht="45" x14ac:dyDescent="0.25">
      <c r="A28" s="73">
        <v>132901</v>
      </c>
      <c r="B28" s="73">
        <v>32777</v>
      </c>
      <c r="C28" s="74" t="s">
        <v>81</v>
      </c>
      <c r="D28" s="74" t="s">
        <v>13</v>
      </c>
      <c r="E28" s="74" t="s">
        <v>82</v>
      </c>
      <c r="F28" s="74" t="s">
        <v>82</v>
      </c>
      <c r="G28" s="74" t="s">
        <v>15</v>
      </c>
      <c r="H28" s="75">
        <v>5186</v>
      </c>
      <c r="I28" s="75">
        <v>7290</v>
      </c>
      <c r="J28" s="74"/>
      <c r="K28" s="74" t="s">
        <v>16</v>
      </c>
      <c r="L28" s="74"/>
      <c r="M28" s="74" t="s">
        <v>13</v>
      </c>
      <c r="N28" s="71" t="str">
        <f t="shared" si="0"/>
        <v>1</v>
      </c>
      <c r="O28" s="71" t="str">
        <f>INDEX(Кат!$D:$D,MATCH($A28,Кат!$A:$A,0))</f>
        <v>Y</v>
      </c>
    </row>
    <row r="29" spans="1:15" ht="45" x14ac:dyDescent="0.25">
      <c r="A29" s="73">
        <v>132902</v>
      </c>
      <c r="B29" s="73">
        <v>32694</v>
      </c>
      <c r="C29" s="74" t="s">
        <v>83</v>
      </c>
      <c r="D29" s="74" t="s">
        <v>13</v>
      </c>
      <c r="E29" s="74" t="s">
        <v>84</v>
      </c>
      <c r="F29" s="74" t="s">
        <v>84</v>
      </c>
      <c r="G29" s="74" t="s">
        <v>15</v>
      </c>
      <c r="H29" s="75">
        <v>1256</v>
      </c>
      <c r="I29" s="75">
        <v>1890</v>
      </c>
      <c r="J29" s="74"/>
      <c r="K29" s="74" t="s">
        <v>37</v>
      </c>
      <c r="L29" s="74"/>
      <c r="M29" s="74" t="s">
        <v>13</v>
      </c>
      <c r="N29" s="71" t="str">
        <f t="shared" si="0"/>
        <v>0</v>
      </c>
      <c r="O29" s="71" t="str">
        <f>INDEX(Кат!$D:$D,MATCH($A29,Кат!$A:$A,0))</f>
        <v>Y</v>
      </c>
    </row>
    <row r="30" spans="1:15" ht="30" x14ac:dyDescent="0.25">
      <c r="A30" s="73">
        <v>132903</v>
      </c>
      <c r="B30" s="73">
        <v>31016</v>
      </c>
      <c r="C30" s="74" t="s">
        <v>85</v>
      </c>
      <c r="D30" s="74" t="s">
        <v>13</v>
      </c>
      <c r="E30" s="74" t="s">
        <v>86</v>
      </c>
      <c r="F30" s="74" t="s">
        <v>86</v>
      </c>
      <c r="G30" s="74" t="s">
        <v>15</v>
      </c>
      <c r="H30" s="75">
        <v>2933</v>
      </c>
      <c r="I30" s="75">
        <v>4190</v>
      </c>
      <c r="J30" s="74" t="s">
        <v>87</v>
      </c>
      <c r="K30" s="74" t="s">
        <v>16</v>
      </c>
      <c r="L30" s="74"/>
      <c r="M30" s="74" t="s">
        <v>13</v>
      </c>
      <c r="N30" s="71" t="str">
        <f t="shared" si="0"/>
        <v>1</v>
      </c>
      <c r="O30" s="71" t="str">
        <f>INDEX(Кат!$D:$D,MATCH($A30,Кат!$A:$A,0))</f>
        <v>Y</v>
      </c>
    </row>
    <row r="31" spans="1:15" ht="45" x14ac:dyDescent="0.25">
      <c r="A31" s="73">
        <v>132898</v>
      </c>
      <c r="B31" s="73">
        <v>31433</v>
      </c>
      <c r="C31" s="74" t="s">
        <v>88</v>
      </c>
      <c r="D31" s="74" t="s">
        <v>13</v>
      </c>
      <c r="E31" s="74" t="s">
        <v>89</v>
      </c>
      <c r="F31" s="74" t="s">
        <v>89</v>
      </c>
      <c r="G31" s="74" t="s">
        <v>15</v>
      </c>
      <c r="H31" s="75">
        <v>2250</v>
      </c>
      <c r="I31" s="75">
        <v>3190</v>
      </c>
      <c r="J31" s="74"/>
      <c r="K31" s="74" t="s">
        <v>16</v>
      </c>
      <c r="L31" s="74"/>
      <c r="M31" s="74" t="s">
        <v>13</v>
      </c>
      <c r="N31" s="71" t="str">
        <f t="shared" si="0"/>
        <v>1</v>
      </c>
      <c r="O31" s="71" t="str">
        <f>INDEX(Кат!$D:$D,MATCH($A31,Кат!$A:$A,0))</f>
        <v>Y</v>
      </c>
    </row>
    <row r="32" spans="1:15" ht="75" x14ac:dyDescent="0.25">
      <c r="A32" s="73">
        <v>242804</v>
      </c>
      <c r="B32" s="73">
        <v>170671</v>
      </c>
      <c r="C32" s="74" t="s">
        <v>90</v>
      </c>
      <c r="D32" s="74" t="s">
        <v>13</v>
      </c>
      <c r="E32" s="74" t="s">
        <v>91</v>
      </c>
      <c r="F32" s="74" t="s">
        <v>91</v>
      </c>
      <c r="G32" s="74" t="s">
        <v>15</v>
      </c>
      <c r="H32" s="75">
        <v>3223</v>
      </c>
      <c r="I32" s="75">
        <v>4590</v>
      </c>
      <c r="J32" s="74" t="s">
        <v>92</v>
      </c>
      <c r="K32" s="74" t="s">
        <v>16</v>
      </c>
      <c r="L32" s="74" t="s">
        <v>16</v>
      </c>
      <c r="M32" s="74" t="s">
        <v>13</v>
      </c>
      <c r="N32" s="71" t="str">
        <f t="shared" si="0"/>
        <v>1ск1</v>
      </c>
      <c r="O32" s="71" t="str">
        <f>INDEX(Кат!$D:$D,MATCH($A32,Кат!$A:$A,0))</f>
        <v>Y</v>
      </c>
    </row>
    <row r="33" spans="1:15" ht="75" x14ac:dyDescent="0.25">
      <c r="A33" s="73">
        <v>133219</v>
      </c>
      <c r="B33" s="73">
        <v>31297</v>
      </c>
      <c r="C33" s="74" t="s">
        <v>93</v>
      </c>
      <c r="D33" s="74" t="s">
        <v>13</v>
      </c>
      <c r="E33" s="74" t="s">
        <v>94</v>
      </c>
      <c r="F33" s="74" t="s">
        <v>94</v>
      </c>
      <c r="G33" s="74" t="s">
        <v>15</v>
      </c>
      <c r="H33" s="75">
        <v>4276</v>
      </c>
      <c r="I33" s="75">
        <v>5990</v>
      </c>
      <c r="J33" s="74" t="s">
        <v>95</v>
      </c>
      <c r="K33" s="74" t="s">
        <v>16</v>
      </c>
      <c r="L33" s="74" t="s">
        <v>16</v>
      </c>
      <c r="M33" s="74" t="s">
        <v>13</v>
      </c>
      <c r="N33" s="71" t="str">
        <f t="shared" si="0"/>
        <v>1ск1</v>
      </c>
      <c r="O33" s="71" t="str">
        <f>INDEX(Кат!$D:$D,MATCH($A33,Кат!$A:$A,0))</f>
        <v>Y</v>
      </c>
    </row>
    <row r="34" spans="1:15" ht="30" x14ac:dyDescent="0.25">
      <c r="A34" s="73">
        <v>133289</v>
      </c>
      <c r="B34" s="73">
        <v>32645</v>
      </c>
      <c r="C34" s="74" t="s">
        <v>96</v>
      </c>
      <c r="D34" s="74" t="s">
        <v>13</v>
      </c>
      <c r="E34" s="74" t="s">
        <v>97</v>
      </c>
      <c r="F34" s="74" t="s">
        <v>97</v>
      </c>
      <c r="G34" s="74" t="s">
        <v>15</v>
      </c>
      <c r="H34" s="75">
        <v>324.38</v>
      </c>
      <c r="I34" s="75">
        <v>519</v>
      </c>
      <c r="J34" s="74"/>
      <c r="K34" s="74" t="s">
        <v>16</v>
      </c>
      <c r="L34" s="74"/>
      <c r="M34" s="74" t="s">
        <v>13</v>
      </c>
      <c r="N34" s="71" t="str">
        <f t="shared" si="0"/>
        <v>1</v>
      </c>
      <c r="O34" s="71" t="str">
        <f>INDEX(Кат!$D:$D,MATCH($A34,Кат!$A:$A,0))</f>
        <v>Y</v>
      </c>
    </row>
    <row r="35" spans="1:15" ht="60" x14ac:dyDescent="0.25">
      <c r="A35" s="73">
        <v>133300</v>
      </c>
      <c r="B35" s="73">
        <v>31387</v>
      </c>
      <c r="C35" s="74" t="s">
        <v>98</v>
      </c>
      <c r="D35" s="74" t="s">
        <v>13</v>
      </c>
      <c r="E35" s="74" t="s">
        <v>99</v>
      </c>
      <c r="F35" s="74" t="s">
        <v>99</v>
      </c>
      <c r="G35" s="74" t="s">
        <v>15</v>
      </c>
      <c r="H35" s="75">
        <v>290</v>
      </c>
      <c r="I35" s="75">
        <v>529</v>
      </c>
      <c r="J35" s="74" t="s">
        <v>100</v>
      </c>
      <c r="K35" s="74" t="s">
        <v>16</v>
      </c>
      <c r="L35" s="74"/>
      <c r="M35" s="74" t="s">
        <v>13</v>
      </c>
      <c r="N35" s="71" t="str">
        <f t="shared" si="0"/>
        <v>1</v>
      </c>
      <c r="O35" s="71" t="str">
        <f>INDEX(Кат!$D:$D,MATCH($A35,Кат!$A:$A,0))</f>
        <v>Y</v>
      </c>
    </row>
    <row r="36" spans="1:15" ht="60" x14ac:dyDescent="0.25">
      <c r="A36" s="73">
        <v>133301</v>
      </c>
      <c r="B36" s="73">
        <v>31261</v>
      </c>
      <c r="C36" s="74" t="s">
        <v>101</v>
      </c>
      <c r="D36" s="74" t="s">
        <v>13</v>
      </c>
      <c r="E36" s="74" t="s">
        <v>102</v>
      </c>
      <c r="F36" s="74" t="s">
        <v>102</v>
      </c>
      <c r="G36" s="74" t="s">
        <v>15</v>
      </c>
      <c r="H36" s="75">
        <v>547</v>
      </c>
      <c r="I36" s="75">
        <v>849</v>
      </c>
      <c r="J36" s="74" t="s">
        <v>103</v>
      </c>
      <c r="K36" s="74" t="s">
        <v>16</v>
      </c>
      <c r="L36" s="74"/>
      <c r="M36" s="74" t="s">
        <v>13</v>
      </c>
      <c r="N36" s="71" t="str">
        <f t="shared" si="0"/>
        <v>1</v>
      </c>
      <c r="O36" s="71" t="str">
        <f>INDEX(Кат!$D:$D,MATCH($A36,Кат!$A:$A,0))</f>
        <v>Y</v>
      </c>
    </row>
    <row r="37" spans="1:15" ht="30" x14ac:dyDescent="0.25">
      <c r="A37" s="73">
        <v>133302</v>
      </c>
      <c r="B37" s="73">
        <v>52994</v>
      </c>
      <c r="C37" s="74" t="s">
        <v>104</v>
      </c>
      <c r="D37" s="74" t="s">
        <v>13</v>
      </c>
      <c r="E37" s="74" t="s">
        <v>105</v>
      </c>
      <c r="F37" s="74" t="s">
        <v>106</v>
      </c>
      <c r="G37" s="74" t="s">
        <v>15</v>
      </c>
      <c r="H37" s="75">
        <v>1434</v>
      </c>
      <c r="I37" s="75">
        <v>2190</v>
      </c>
      <c r="J37" s="74"/>
      <c r="K37" s="74" t="s">
        <v>16</v>
      </c>
      <c r="L37" s="74" t="s">
        <v>16</v>
      </c>
      <c r="M37" s="74" t="s">
        <v>13</v>
      </c>
      <c r="N37" s="71" t="str">
        <f t="shared" si="0"/>
        <v>1ск1</v>
      </c>
      <c r="O37" s="71" t="str">
        <f>INDEX(Кат!$D:$D,MATCH($A37,Кат!$A:$A,0))</f>
        <v>Y</v>
      </c>
    </row>
    <row r="38" spans="1:15" ht="30" x14ac:dyDescent="0.25">
      <c r="A38" s="73">
        <v>133303</v>
      </c>
      <c r="B38" s="73">
        <v>52755</v>
      </c>
      <c r="C38" s="74" t="s">
        <v>107</v>
      </c>
      <c r="D38" s="74" t="s">
        <v>13</v>
      </c>
      <c r="E38" s="74" t="s">
        <v>108</v>
      </c>
      <c r="F38" s="74" t="s">
        <v>109</v>
      </c>
      <c r="G38" s="74" t="s">
        <v>15</v>
      </c>
      <c r="H38" s="75">
        <v>5841</v>
      </c>
      <c r="I38" s="75">
        <v>8190</v>
      </c>
      <c r="J38" s="74"/>
      <c r="K38" s="74" t="s">
        <v>16</v>
      </c>
      <c r="L38" s="74"/>
      <c r="M38" s="74" t="s">
        <v>13</v>
      </c>
      <c r="N38" s="71" t="str">
        <f t="shared" si="0"/>
        <v>1</v>
      </c>
      <c r="O38" s="71" t="str">
        <f>INDEX(Кат!$D:$D,MATCH($A38,Кат!$A:$A,0))</f>
        <v>Y</v>
      </c>
    </row>
    <row r="39" spans="1:15" ht="75" x14ac:dyDescent="0.25">
      <c r="A39" s="73">
        <v>133304</v>
      </c>
      <c r="B39" s="73">
        <v>31400</v>
      </c>
      <c r="C39" s="74" t="s">
        <v>110</v>
      </c>
      <c r="D39" s="74" t="s">
        <v>13</v>
      </c>
      <c r="E39" s="74" t="s">
        <v>111</v>
      </c>
      <c r="F39" s="74" t="s">
        <v>111</v>
      </c>
      <c r="G39" s="74" t="s">
        <v>15</v>
      </c>
      <c r="H39" s="75">
        <v>104</v>
      </c>
      <c r="I39" s="75">
        <v>189</v>
      </c>
      <c r="J39" s="74" t="s">
        <v>112</v>
      </c>
      <c r="K39" s="74" t="s">
        <v>16</v>
      </c>
      <c r="L39" s="74"/>
      <c r="M39" s="74" t="s">
        <v>13</v>
      </c>
      <c r="N39" s="71" t="str">
        <f t="shared" si="0"/>
        <v>1</v>
      </c>
      <c r="O39" s="71" t="str">
        <f>INDEX(Кат!$D:$D,MATCH($A39,Кат!$A:$A,0))</f>
        <v>Y</v>
      </c>
    </row>
    <row r="40" spans="1:15" ht="45" x14ac:dyDescent="0.25">
      <c r="A40" s="73">
        <v>133305</v>
      </c>
      <c r="B40" s="73">
        <v>31116</v>
      </c>
      <c r="C40" s="74" t="s">
        <v>113</v>
      </c>
      <c r="D40" s="74" t="s">
        <v>13</v>
      </c>
      <c r="E40" s="74" t="s">
        <v>114</v>
      </c>
      <c r="F40" s="74" t="s">
        <v>114</v>
      </c>
      <c r="G40" s="74" t="s">
        <v>15</v>
      </c>
      <c r="H40" s="75">
        <v>3168</v>
      </c>
      <c r="I40" s="75">
        <v>4490</v>
      </c>
      <c r="J40" s="74"/>
      <c r="K40" s="74" t="s">
        <v>16</v>
      </c>
      <c r="L40" s="74"/>
      <c r="M40" s="74" t="s">
        <v>13</v>
      </c>
      <c r="N40" s="71" t="str">
        <f t="shared" si="0"/>
        <v>1</v>
      </c>
      <c r="O40" s="71" t="str">
        <f>INDEX(Кат!$D:$D,MATCH($A40,Кат!$A:$A,0))</f>
        <v>Y</v>
      </c>
    </row>
    <row r="41" spans="1:15" ht="45" x14ac:dyDescent="0.25">
      <c r="A41" s="73">
        <v>133306</v>
      </c>
      <c r="B41" s="73">
        <v>31264</v>
      </c>
      <c r="C41" s="74" t="s">
        <v>115</v>
      </c>
      <c r="D41" s="74" t="s">
        <v>13</v>
      </c>
      <c r="E41" s="74" t="s">
        <v>116</v>
      </c>
      <c r="F41" s="74" t="s">
        <v>116</v>
      </c>
      <c r="G41" s="74" t="s">
        <v>15</v>
      </c>
      <c r="H41" s="75">
        <v>990</v>
      </c>
      <c r="I41" s="75">
        <v>1590</v>
      </c>
      <c r="J41" s="74"/>
      <c r="K41" s="74" t="s">
        <v>16</v>
      </c>
      <c r="L41" s="74"/>
      <c r="M41" s="74" t="s">
        <v>13</v>
      </c>
      <c r="N41" s="71" t="str">
        <f t="shared" si="0"/>
        <v>1</v>
      </c>
      <c r="O41" s="71" t="str">
        <f>INDEX(Кат!$D:$D,MATCH($A41,Кат!$A:$A,0))</f>
        <v>Y</v>
      </c>
    </row>
    <row r="42" spans="1:15" ht="60" x14ac:dyDescent="0.25">
      <c r="A42" s="73">
        <v>133324</v>
      </c>
      <c r="B42" s="73">
        <v>41847</v>
      </c>
      <c r="C42" s="74" t="s">
        <v>117</v>
      </c>
      <c r="D42" s="74" t="s">
        <v>13</v>
      </c>
      <c r="E42" s="74" t="s">
        <v>118</v>
      </c>
      <c r="F42" s="74" t="s">
        <v>119</v>
      </c>
      <c r="G42" s="74" t="s">
        <v>15</v>
      </c>
      <c r="H42" s="75">
        <v>12800</v>
      </c>
      <c r="I42" s="75">
        <v>17990</v>
      </c>
      <c r="J42" s="74" t="s">
        <v>120</v>
      </c>
      <c r="K42" s="74" t="s">
        <v>16</v>
      </c>
      <c r="L42" s="74"/>
      <c r="M42" s="74" t="s">
        <v>13</v>
      </c>
      <c r="N42" s="71" t="str">
        <f t="shared" si="0"/>
        <v>1</v>
      </c>
      <c r="O42" s="71" t="str">
        <f>INDEX(Кат!$D:$D,MATCH($A42,Кат!$A:$A,0))</f>
        <v>Y</v>
      </c>
    </row>
    <row r="43" spans="1:15" ht="75" x14ac:dyDescent="0.25">
      <c r="A43" s="73">
        <v>133325</v>
      </c>
      <c r="B43" s="73">
        <v>51771</v>
      </c>
      <c r="C43" s="74" t="s">
        <v>121</v>
      </c>
      <c r="D43" s="74" t="s">
        <v>13</v>
      </c>
      <c r="E43" s="74" t="s">
        <v>122</v>
      </c>
      <c r="F43" s="74" t="s">
        <v>123</v>
      </c>
      <c r="G43" s="74" t="s">
        <v>15</v>
      </c>
      <c r="H43" s="75">
        <v>4750</v>
      </c>
      <c r="I43" s="75">
        <v>6690</v>
      </c>
      <c r="J43" s="74" t="s">
        <v>124</v>
      </c>
      <c r="K43" s="74" t="s">
        <v>16</v>
      </c>
      <c r="L43" s="74"/>
      <c r="M43" s="74" t="s">
        <v>13</v>
      </c>
      <c r="N43" s="71" t="str">
        <f t="shared" si="0"/>
        <v>1</v>
      </c>
      <c r="O43" s="71" t="str">
        <f>INDEX(Кат!$D:$D,MATCH($A43,Кат!$A:$A,0))</f>
        <v>Y</v>
      </c>
    </row>
    <row r="44" spans="1:15" ht="75" x14ac:dyDescent="0.25">
      <c r="A44" s="73">
        <v>133329</v>
      </c>
      <c r="B44" s="73">
        <v>6012</v>
      </c>
      <c r="C44" s="74" t="s">
        <v>125</v>
      </c>
      <c r="D44" s="74" t="s">
        <v>13</v>
      </c>
      <c r="E44" s="74" t="s">
        <v>126</v>
      </c>
      <c r="F44" s="74" t="s">
        <v>126</v>
      </c>
      <c r="G44" s="74" t="s">
        <v>15</v>
      </c>
      <c r="H44" s="75">
        <v>2731</v>
      </c>
      <c r="I44" s="75">
        <v>3890</v>
      </c>
      <c r="J44" s="74" t="s">
        <v>127</v>
      </c>
      <c r="K44" s="74" t="s">
        <v>16</v>
      </c>
      <c r="L44" s="74" t="s">
        <v>16</v>
      </c>
      <c r="M44" s="74"/>
      <c r="N44" s="71" t="str">
        <f t="shared" si="0"/>
        <v>1ск1</v>
      </c>
      <c r="O44" s="71" t="str">
        <f>INDEX(Кат!$D:$D,MATCH($A44,Кат!$A:$A,0))</f>
        <v>Y</v>
      </c>
    </row>
    <row r="45" spans="1:15" ht="45" x14ac:dyDescent="0.25">
      <c r="A45" s="73">
        <v>133351</v>
      </c>
      <c r="B45" s="73">
        <v>169538</v>
      </c>
      <c r="C45" s="74" t="s">
        <v>128</v>
      </c>
      <c r="D45" s="74" t="s">
        <v>13</v>
      </c>
      <c r="E45" s="74" t="s">
        <v>129</v>
      </c>
      <c r="F45" s="74" t="s">
        <v>129</v>
      </c>
      <c r="G45" s="74" t="s">
        <v>15</v>
      </c>
      <c r="H45" s="75">
        <v>6240</v>
      </c>
      <c r="I45" s="75">
        <v>8790</v>
      </c>
      <c r="J45" s="74"/>
      <c r="K45" s="74" t="s">
        <v>16</v>
      </c>
      <c r="L45" s="74"/>
      <c r="M45" s="74"/>
      <c r="N45" s="71" t="str">
        <f t="shared" si="0"/>
        <v>1</v>
      </c>
      <c r="O45" s="71" t="str">
        <f>INDEX(Кат!$D:$D,MATCH($A45,Кат!$A:$A,0))</f>
        <v>Y</v>
      </c>
    </row>
    <row r="46" spans="1:15" ht="45" x14ac:dyDescent="0.25">
      <c r="A46" s="73">
        <v>357544</v>
      </c>
      <c r="B46" s="73">
        <v>357544</v>
      </c>
      <c r="C46" s="74" t="s">
        <v>130</v>
      </c>
      <c r="D46" s="74" t="s">
        <v>13</v>
      </c>
      <c r="E46" s="74" t="s">
        <v>131</v>
      </c>
      <c r="F46" s="74"/>
      <c r="G46" s="74" t="s">
        <v>15</v>
      </c>
      <c r="H46" s="75">
        <v>2375</v>
      </c>
      <c r="I46" s="75">
        <v>3390</v>
      </c>
      <c r="J46" s="74"/>
      <c r="K46" s="74" t="s">
        <v>16</v>
      </c>
      <c r="L46" s="74"/>
      <c r="M46" s="74"/>
      <c r="N46" s="71" t="str">
        <f t="shared" si="0"/>
        <v>1</v>
      </c>
      <c r="O46" s="71" t="str">
        <f>INDEX(Кат!$D:$D,MATCH($A46,Кат!$A:$A,0))</f>
        <v>Y</v>
      </c>
    </row>
    <row r="47" spans="1:15" ht="45" x14ac:dyDescent="0.25">
      <c r="A47" s="73">
        <v>357550</v>
      </c>
      <c r="B47" s="73">
        <v>357550</v>
      </c>
      <c r="C47" s="74" t="s">
        <v>132</v>
      </c>
      <c r="D47" s="74" t="s">
        <v>13</v>
      </c>
      <c r="E47" s="74" t="s">
        <v>133</v>
      </c>
      <c r="F47" s="74"/>
      <c r="G47" s="74" t="s">
        <v>15</v>
      </c>
      <c r="H47" s="75">
        <v>2375</v>
      </c>
      <c r="I47" s="75">
        <v>3390</v>
      </c>
      <c r="J47" s="74"/>
      <c r="K47" s="74" t="s">
        <v>16</v>
      </c>
      <c r="L47" s="74"/>
      <c r="M47" s="74"/>
      <c r="N47" s="71" t="str">
        <f t="shared" si="0"/>
        <v>1</v>
      </c>
      <c r="O47" s="71" t="str">
        <f>INDEX(Кат!$D:$D,MATCH($A47,Кат!$A:$A,0))</f>
        <v>Y</v>
      </c>
    </row>
    <row r="48" spans="1:15" ht="30" x14ac:dyDescent="0.25">
      <c r="A48" s="73">
        <v>137073</v>
      </c>
      <c r="B48" s="73">
        <v>23523</v>
      </c>
      <c r="C48" s="74" t="s">
        <v>134</v>
      </c>
      <c r="D48" s="74" t="s">
        <v>13</v>
      </c>
      <c r="E48" s="74" t="s">
        <v>135</v>
      </c>
      <c r="F48" s="74" t="s">
        <v>135</v>
      </c>
      <c r="G48" s="74" t="s">
        <v>15</v>
      </c>
      <c r="H48" s="75">
        <v>915</v>
      </c>
      <c r="I48" s="75">
        <v>1490</v>
      </c>
      <c r="J48" s="74" t="s">
        <v>136</v>
      </c>
      <c r="K48" s="74" t="s">
        <v>16</v>
      </c>
      <c r="L48" s="74"/>
      <c r="M48" s="74" t="s">
        <v>13</v>
      </c>
      <c r="N48" s="71" t="str">
        <f t="shared" si="0"/>
        <v>1</v>
      </c>
      <c r="O48" s="71" t="str">
        <f>INDEX(Кат!$D:$D,MATCH($A48,Кат!$A:$A,0))</f>
        <v>Y</v>
      </c>
    </row>
    <row r="49" spans="1:15" ht="30" x14ac:dyDescent="0.25">
      <c r="A49" s="73">
        <v>137074</v>
      </c>
      <c r="B49" s="73">
        <v>23529</v>
      </c>
      <c r="C49" s="74" t="s">
        <v>137</v>
      </c>
      <c r="D49" s="74" t="s">
        <v>13</v>
      </c>
      <c r="E49" s="74" t="s">
        <v>138</v>
      </c>
      <c r="F49" s="74" t="s">
        <v>138</v>
      </c>
      <c r="G49" s="74" t="s">
        <v>15</v>
      </c>
      <c r="H49" s="75">
        <v>1404</v>
      </c>
      <c r="I49" s="75">
        <v>2190</v>
      </c>
      <c r="J49" s="74"/>
      <c r="K49" s="74" t="s">
        <v>16</v>
      </c>
      <c r="L49" s="74"/>
      <c r="M49" s="74" t="s">
        <v>13</v>
      </c>
      <c r="N49" s="71" t="str">
        <f t="shared" si="0"/>
        <v>1</v>
      </c>
      <c r="O49" s="71" t="str">
        <f>INDEX(Кат!$D:$D,MATCH($A49,Кат!$A:$A,0))</f>
        <v>Y</v>
      </c>
    </row>
    <row r="50" spans="1:15" ht="45" x14ac:dyDescent="0.25">
      <c r="A50" s="73">
        <v>137075</v>
      </c>
      <c r="B50" s="73">
        <v>52985</v>
      </c>
      <c r="C50" s="74" t="s">
        <v>139</v>
      </c>
      <c r="D50" s="74" t="s">
        <v>13</v>
      </c>
      <c r="E50" s="74" t="s">
        <v>140</v>
      </c>
      <c r="F50" s="74" t="s">
        <v>141</v>
      </c>
      <c r="G50" s="74" t="s">
        <v>15</v>
      </c>
      <c r="H50" s="75">
        <v>11543</v>
      </c>
      <c r="I50" s="75">
        <v>16190</v>
      </c>
      <c r="J50" s="74"/>
      <c r="K50" s="74" t="s">
        <v>16</v>
      </c>
      <c r="L50" s="74"/>
      <c r="M50" s="74" t="s">
        <v>13</v>
      </c>
      <c r="N50" s="71" t="str">
        <f t="shared" si="0"/>
        <v>1</v>
      </c>
      <c r="O50" s="71" t="str">
        <f>INDEX(Кат!$D:$D,MATCH($A50,Кат!$A:$A,0))</f>
        <v>Y</v>
      </c>
    </row>
    <row r="51" spans="1:15" ht="45" x14ac:dyDescent="0.25">
      <c r="A51" s="73">
        <v>137076</v>
      </c>
      <c r="B51" s="73">
        <v>32515</v>
      </c>
      <c r="C51" s="74" t="s">
        <v>142</v>
      </c>
      <c r="D51" s="74" t="s">
        <v>13</v>
      </c>
      <c r="E51" s="74" t="s">
        <v>143</v>
      </c>
      <c r="F51" s="74" t="s">
        <v>143</v>
      </c>
      <c r="G51" s="74" t="s">
        <v>15</v>
      </c>
      <c r="H51" s="75">
        <v>5220</v>
      </c>
      <c r="I51" s="75">
        <v>7390</v>
      </c>
      <c r="J51" s="74"/>
      <c r="K51" s="74" t="s">
        <v>16</v>
      </c>
      <c r="L51" s="74"/>
      <c r="M51" s="74" t="s">
        <v>13</v>
      </c>
      <c r="N51" s="71" t="str">
        <f t="shared" si="0"/>
        <v>1</v>
      </c>
      <c r="O51" s="71" t="str">
        <f>INDEX(Кат!$D:$D,MATCH($A51,Кат!$A:$A,0))</f>
        <v>Y</v>
      </c>
    </row>
    <row r="52" spans="1:15" ht="30" x14ac:dyDescent="0.25">
      <c r="A52" s="73">
        <v>333228</v>
      </c>
      <c r="B52" s="73">
        <v>333228</v>
      </c>
      <c r="C52" s="74" t="s">
        <v>144</v>
      </c>
      <c r="D52" s="74" t="s">
        <v>13</v>
      </c>
      <c r="E52" s="74" t="s">
        <v>135</v>
      </c>
      <c r="F52" s="74"/>
      <c r="G52" s="74" t="s">
        <v>15</v>
      </c>
      <c r="H52" s="75">
        <v>2595</v>
      </c>
      <c r="I52" s="75">
        <v>3690</v>
      </c>
      <c r="J52" s="74" t="s">
        <v>136</v>
      </c>
      <c r="K52" s="74" t="s">
        <v>16</v>
      </c>
      <c r="L52" s="74"/>
      <c r="M52" s="74" t="s">
        <v>13</v>
      </c>
      <c r="N52" s="71" t="str">
        <f t="shared" si="0"/>
        <v>1</v>
      </c>
      <c r="O52" s="71" t="str">
        <f>INDEX(Кат!$D:$D,MATCH($A52,Кат!$A:$A,0))</f>
        <v>Y</v>
      </c>
    </row>
    <row r="53" spans="1:15" ht="75" x14ac:dyDescent="0.25">
      <c r="A53" s="73">
        <v>137077</v>
      </c>
      <c r="B53" s="73">
        <v>32513</v>
      </c>
      <c r="C53" s="74" t="s">
        <v>145</v>
      </c>
      <c r="D53" s="74" t="s">
        <v>13</v>
      </c>
      <c r="E53" s="74" t="s">
        <v>146</v>
      </c>
      <c r="F53" s="74" t="s">
        <v>146</v>
      </c>
      <c r="G53" s="74" t="s">
        <v>15</v>
      </c>
      <c r="H53" s="75">
        <v>5783</v>
      </c>
      <c r="I53" s="75">
        <v>8090</v>
      </c>
      <c r="J53" s="74" t="s">
        <v>147</v>
      </c>
      <c r="K53" s="74" t="s">
        <v>16</v>
      </c>
      <c r="L53" s="74"/>
      <c r="M53" s="74" t="s">
        <v>13</v>
      </c>
      <c r="N53" s="71" t="str">
        <f t="shared" si="0"/>
        <v>1</v>
      </c>
      <c r="O53" s="71" t="str">
        <f>INDEX(Кат!$D:$D,MATCH($A53,Кат!$A:$A,0))</f>
        <v>Y</v>
      </c>
    </row>
    <row r="54" spans="1:15" ht="60" x14ac:dyDescent="0.25">
      <c r="A54" s="73">
        <v>137078</v>
      </c>
      <c r="B54" s="73">
        <v>46272</v>
      </c>
      <c r="C54" s="74" t="s">
        <v>148</v>
      </c>
      <c r="D54" s="74" t="s">
        <v>13</v>
      </c>
      <c r="E54" s="74" t="s">
        <v>149</v>
      </c>
      <c r="F54" s="74" t="s">
        <v>150</v>
      </c>
      <c r="G54" s="74" t="s">
        <v>15</v>
      </c>
      <c r="H54" s="75">
        <v>8243</v>
      </c>
      <c r="I54" s="75">
        <v>11190</v>
      </c>
      <c r="J54" s="74" t="s">
        <v>151</v>
      </c>
      <c r="K54" s="74" t="s">
        <v>16</v>
      </c>
      <c r="L54" s="74"/>
      <c r="M54" s="74" t="s">
        <v>13</v>
      </c>
      <c r="N54" s="71" t="str">
        <f t="shared" si="0"/>
        <v>1</v>
      </c>
      <c r="O54" s="71" t="str">
        <f>INDEX(Кат!$D:$D,MATCH($A54,Кат!$A:$A,0))</f>
        <v>Y</v>
      </c>
    </row>
    <row r="55" spans="1:15" ht="30" x14ac:dyDescent="0.25">
      <c r="A55" s="73">
        <v>137079</v>
      </c>
      <c r="B55" s="73">
        <v>32740</v>
      </c>
      <c r="C55" s="74" t="s">
        <v>152</v>
      </c>
      <c r="D55" s="74" t="s">
        <v>13</v>
      </c>
      <c r="E55" s="74" t="s">
        <v>153</v>
      </c>
      <c r="F55" s="74" t="s">
        <v>153</v>
      </c>
      <c r="G55" s="74" t="s">
        <v>15</v>
      </c>
      <c r="H55" s="75">
        <v>25945</v>
      </c>
      <c r="I55" s="75">
        <v>36390</v>
      </c>
      <c r="J55" s="74"/>
      <c r="K55" s="74" t="s">
        <v>16</v>
      </c>
      <c r="L55" s="74"/>
      <c r="M55" s="74" t="s">
        <v>13</v>
      </c>
      <c r="N55" s="71" t="str">
        <f t="shared" si="0"/>
        <v>1</v>
      </c>
      <c r="O55" s="71" t="str">
        <f>INDEX(Кат!$D:$D,MATCH($A55,Кат!$A:$A,0))</f>
        <v>Y</v>
      </c>
    </row>
    <row r="56" spans="1:15" ht="30" x14ac:dyDescent="0.25">
      <c r="A56" s="73">
        <v>137080</v>
      </c>
      <c r="B56" s="73">
        <v>32934</v>
      </c>
      <c r="C56" s="74" t="s">
        <v>154</v>
      </c>
      <c r="D56" s="74" t="s">
        <v>13</v>
      </c>
      <c r="E56" s="74" t="s">
        <v>155</v>
      </c>
      <c r="F56" s="74"/>
      <c r="G56" s="74" t="s">
        <v>15</v>
      </c>
      <c r="H56" s="75">
        <v>10143</v>
      </c>
      <c r="I56" s="75">
        <v>13190</v>
      </c>
      <c r="J56" s="74" t="s">
        <v>156</v>
      </c>
      <c r="K56" s="74" t="s">
        <v>37</v>
      </c>
      <c r="L56" s="74" t="s">
        <v>16</v>
      </c>
      <c r="M56" s="74" t="s">
        <v>13</v>
      </c>
      <c r="N56" s="71" t="str">
        <f t="shared" si="0"/>
        <v>0ск1</v>
      </c>
      <c r="O56" s="71" t="str">
        <f>INDEX(Кат!$D:$D,MATCH($A56,Кат!$A:$A,0))</f>
        <v>Y</v>
      </c>
    </row>
    <row r="57" spans="1:15" ht="30" x14ac:dyDescent="0.25">
      <c r="A57" s="73">
        <v>137081</v>
      </c>
      <c r="B57" s="73">
        <v>32768</v>
      </c>
      <c r="C57" s="74" t="s">
        <v>157</v>
      </c>
      <c r="D57" s="74" t="s">
        <v>13</v>
      </c>
      <c r="E57" s="74" t="s">
        <v>158</v>
      </c>
      <c r="F57" s="74" t="s">
        <v>158</v>
      </c>
      <c r="G57" s="74" t="s">
        <v>15</v>
      </c>
      <c r="H57" s="75">
        <v>31990</v>
      </c>
      <c r="I57" s="75">
        <v>44790</v>
      </c>
      <c r="J57" s="74"/>
      <c r="K57" s="74" t="s">
        <v>16</v>
      </c>
      <c r="L57" s="74"/>
      <c r="M57" s="74" t="s">
        <v>13</v>
      </c>
      <c r="N57" s="71" t="str">
        <f t="shared" si="0"/>
        <v>1</v>
      </c>
      <c r="O57" s="71" t="str">
        <f>INDEX(Кат!$D:$D,MATCH($A57,Кат!$A:$A,0))</f>
        <v>Y</v>
      </c>
    </row>
    <row r="58" spans="1:15" ht="45" x14ac:dyDescent="0.25">
      <c r="A58" s="73">
        <v>137082</v>
      </c>
      <c r="B58" s="73">
        <v>32937</v>
      </c>
      <c r="C58" s="74" t="s">
        <v>159</v>
      </c>
      <c r="D58" s="74" t="s">
        <v>13</v>
      </c>
      <c r="E58" s="74" t="s">
        <v>160</v>
      </c>
      <c r="F58" s="74" t="s">
        <v>160</v>
      </c>
      <c r="G58" s="74" t="s">
        <v>15</v>
      </c>
      <c r="H58" s="75">
        <v>8970</v>
      </c>
      <c r="I58" s="75">
        <v>12590</v>
      </c>
      <c r="J58" s="74"/>
      <c r="K58" s="74" t="s">
        <v>16</v>
      </c>
      <c r="L58" s="74"/>
      <c r="M58" s="74" t="s">
        <v>13</v>
      </c>
      <c r="N58" s="71" t="str">
        <f t="shared" si="0"/>
        <v>1</v>
      </c>
      <c r="O58" s="71" t="str">
        <f>INDEX(Кат!$D:$D,MATCH($A58,Кат!$A:$A,0))</f>
        <v>Y</v>
      </c>
    </row>
    <row r="59" spans="1:15" ht="30" x14ac:dyDescent="0.25">
      <c r="A59" s="73">
        <v>137083</v>
      </c>
      <c r="B59" s="73">
        <v>32759</v>
      </c>
      <c r="C59" s="74" t="s">
        <v>161</v>
      </c>
      <c r="D59" s="74" t="s">
        <v>13</v>
      </c>
      <c r="E59" s="74" t="s">
        <v>162</v>
      </c>
      <c r="F59" s="74" t="s">
        <v>162</v>
      </c>
      <c r="G59" s="74" t="s">
        <v>15</v>
      </c>
      <c r="H59" s="75">
        <v>16817</v>
      </c>
      <c r="I59" s="75">
        <v>23590</v>
      </c>
      <c r="J59" s="74"/>
      <c r="K59" s="74" t="s">
        <v>16</v>
      </c>
      <c r="L59" s="74"/>
      <c r="M59" s="74" t="s">
        <v>13</v>
      </c>
      <c r="N59" s="71" t="str">
        <f t="shared" si="0"/>
        <v>1</v>
      </c>
      <c r="O59" s="71" t="str">
        <f>INDEX(Кат!$D:$D,MATCH($A59,Кат!$A:$A,0))</f>
        <v>Y</v>
      </c>
    </row>
    <row r="60" spans="1:15" ht="60" x14ac:dyDescent="0.25">
      <c r="A60" s="73">
        <v>137084</v>
      </c>
      <c r="B60" s="73">
        <v>32766</v>
      </c>
      <c r="C60" s="74" t="s">
        <v>163</v>
      </c>
      <c r="D60" s="74" t="s">
        <v>13</v>
      </c>
      <c r="E60" s="74" t="s">
        <v>164</v>
      </c>
      <c r="F60" s="74" t="s">
        <v>164</v>
      </c>
      <c r="G60" s="74" t="s">
        <v>15</v>
      </c>
      <c r="H60" s="75">
        <v>9720</v>
      </c>
      <c r="I60" s="75">
        <v>13690</v>
      </c>
      <c r="J60" s="74"/>
      <c r="K60" s="74" t="s">
        <v>16</v>
      </c>
      <c r="L60" s="74"/>
      <c r="M60" s="74" t="s">
        <v>13</v>
      </c>
      <c r="N60" s="71" t="str">
        <f t="shared" si="0"/>
        <v>1</v>
      </c>
      <c r="O60" s="71" t="str">
        <f>INDEX(Кат!$D:$D,MATCH($A60,Кат!$A:$A,0))</f>
        <v>Y</v>
      </c>
    </row>
    <row r="61" spans="1:15" ht="60" x14ac:dyDescent="0.25">
      <c r="A61" s="73">
        <v>137085</v>
      </c>
      <c r="B61" s="73">
        <v>32765</v>
      </c>
      <c r="C61" s="74" t="s">
        <v>165</v>
      </c>
      <c r="D61" s="74" t="s">
        <v>13</v>
      </c>
      <c r="E61" s="74" t="s">
        <v>166</v>
      </c>
      <c r="F61" s="74" t="s">
        <v>166</v>
      </c>
      <c r="G61" s="74" t="s">
        <v>15</v>
      </c>
      <c r="H61" s="75">
        <v>8973.86</v>
      </c>
      <c r="I61" s="75">
        <v>12190</v>
      </c>
      <c r="J61" s="74"/>
      <c r="K61" s="74" t="s">
        <v>16</v>
      </c>
      <c r="L61" s="74"/>
      <c r="M61" s="74" t="s">
        <v>13</v>
      </c>
      <c r="N61" s="71" t="str">
        <f t="shared" si="0"/>
        <v>1</v>
      </c>
      <c r="O61" s="71" t="str">
        <f>INDEX(Кат!$D:$D,MATCH($A61,Кат!$A:$A,0))</f>
        <v>Y</v>
      </c>
    </row>
    <row r="62" spans="1:15" ht="30" x14ac:dyDescent="0.25">
      <c r="A62" s="73">
        <v>137086</v>
      </c>
      <c r="B62" s="73">
        <v>32539</v>
      </c>
      <c r="C62" s="74" t="s">
        <v>167</v>
      </c>
      <c r="D62" s="74" t="s">
        <v>13</v>
      </c>
      <c r="E62" s="74" t="s">
        <v>168</v>
      </c>
      <c r="F62" s="74" t="s">
        <v>168</v>
      </c>
      <c r="G62" s="74" t="s">
        <v>15</v>
      </c>
      <c r="H62" s="75">
        <v>3676</v>
      </c>
      <c r="I62" s="75">
        <v>5190</v>
      </c>
      <c r="J62" s="74" t="s">
        <v>169</v>
      </c>
      <c r="K62" s="74" t="s">
        <v>16</v>
      </c>
      <c r="L62" s="74"/>
      <c r="M62" s="74" t="s">
        <v>13</v>
      </c>
      <c r="N62" s="71" t="str">
        <f t="shared" si="0"/>
        <v>1</v>
      </c>
      <c r="O62" s="71" t="str">
        <f>INDEX(Кат!$D:$D,MATCH($A62,Кат!$A:$A,0))</f>
        <v>Y</v>
      </c>
    </row>
    <row r="63" spans="1:15" ht="75" x14ac:dyDescent="0.25">
      <c r="A63" s="73">
        <v>137087</v>
      </c>
      <c r="B63" s="73">
        <v>32512</v>
      </c>
      <c r="C63" s="74" t="s">
        <v>170</v>
      </c>
      <c r="D63" s="74" t="s">
        <v>13</v>
      </c>
      <c r="E63" s="74" t="s">
        <v>171</v>
      </c>
      <c r="F63" s="74" t="s">
        <v>171</v>
      </c>
      <c r="G63" s="74" t="s">
        <v>15</v>
      </c>
      <c r="H63" s="75">
        <v>5947</v>
      </c>
      <c r="I63" s="75">
        <v>8390</v>
      </c>
      <c r="J63" s="74" t="s">
        <v>172</v>
      </c>
      <c r="K63" s="74" t="s">
        <v>16</v>
      </c>
      <c r="L63" s="74"/>
      <c r="M63" s="74" t="s">
        <v>13</v>
      </c>
      <c r="N63" s="71" t="str">
        <f t="shared" si="0"/>
        <v>1</v>
      </c>
      <c r="O63" s="71" t="str">
        <f>INDEX(Кат!$D:$D,MATCH($A63,Кат!$A:$A,0))</f>
        <v>Y</v>
      </c>
    </row>
    <row r="64" spans="1:15" ht="45" x14ac:dyDescent="0.25">
      <c r="A64" s="73">
        <v>137088</v>
      </c>
      <c r="B64" s="73">
        <v>32739</v>
      </c>
      <c r="C64" s="74" t="s">
        <v>173</v>
      </c>
      <c r="D64" s="74" t="s">
        <v>13</v>
      </c>
      <c r="E64" s="74" t="s">
        <v>174</v>
      </c>
      <c r="F64" s="74" t="s">
        <v>174</v>
      </c>
      <c r="G64" s="74" t="s">
        <v>15</v>
      </c>
      <c r="H64" s="75">
        <v>32115</v>
      </c>
      <c r="I64" s="75">
        <v>44990</v>
      </c>
      <c r="J64" s="74"/>
      <c r="K64" s="74" t="s">
        <v>16</v>
      </c>
      <c r="L64" s="74"/>
      <c r="M64" s="74" t="s">
        <v>13</v>
      </c>
      <c r="N64" s="71" t="str">
        <f t="shared" si="0"/>
        <v>1</v>
      </c>
      <c r="O64" s="71" t="str">
        <f>INDEX(Кат!$D:$D,MATCH($A64,Кат!$A:$A,0))</f>
        <v>Y</v>
      </c>
    </row>
    <row r="65" spans="1:15" ht="45" x14ac:dyDescent="0.25">
      <c r="A65" s="73">
        <v>137089</v>
      </c>
      <c r="B65" s="73">
        <v>32933</v>
      </c>
      <c r="C65" s="74" t="s">
        <v>175</v>
      </c>
      <c r="D65" s="74" t="s">
        <v>13</v>
      </c>
      <c r="E65" s="74" t="s">
        <v>176</v>
      </c>
      <c r="F65" s="74" t="s">
        <v>176</v>
      </c>
      <c r="G65" s="74" t="s">
        <v>15</v>
      </c>
      <c r="H65" s="75">
        <v>10279</v>
      </c>
      <c r="I65" s="75">
        <v>13390</v>
      </c>
      <c r="J65" s="74"/>
      <c r="K65" s="74" t="s">
        <v>16</v>
      </c>
      <c r="L65" s="74"/>
      <c r="M65" s="74" t="s">
        <v>13</v>
      </c>
      <c r="N65" s="71" t="str">
        <f t="shared" si="0"/>
        <v>1</v>
      </c>
      <c r="O65" s="71" t="str">
        <f>INDEX(Кат!$D:$D,MATCH($A65,Кат!$A:$A,0))</f>
        <v>Y</v>
      </c>
    </row>
    <row r="66" spans="1:15" ht="45" x14ac:dyDescent="0.25">
      <c r="A66" s="73">
        <v>137090</v>
      </c>
      <c r="B66" s="73">
        <v>32767</v>
      </c>
      <c r="C66" s="74" t="s">
        <v>177</v>
      </c>
      <c r="D66" s="74" t="s">
        <v>13</v>
      </c>
      <c r="E66" s="74" t="s">
        <v>178</v>
      </c>
      <c r="F66" s="74" t="s">
        <v>178</v>
      </c>
      <c r="G66" s="74" t="s">
        <v>15</v>
      </c>
      <c r="H66" s="75">
        <v>31990</v>
      </c>
      <c r="I66" s="75">
        <v>44790</v>
      </c>
      <c r="J66" s="74"/>
      <c r="K66" s="74" t="s">
        <v>16</v>
      </c>
      <c r="L66" s="74"/>
      <c r="M66" s="74" t="s">
        <v>13</v>
      </c>
      <c r="N66" s="71" t="str">
        <f t="shared" si="0"/>
        <v>1</v>
      </c>
      <c r="O66" s="71" t="str">
        <f>INDEX(Кат!$D:$D,MATCH($A66,Кат!$A:$A,0))</f>
        <v>Y</v>
      </c>
    </row>
    <row r="67" spans="1:15" ht="30" x14ac:dyDescent="0.25">
      <c r="A67" s="73">
        <v>137091</v>
      </c>
      <c r="B67" s="73">
        <v>32754</v>
      </c>
      <c r="C67" s="74" t="s">
        <v>179</v>
      </c>
      <c r="D67" s="74" t="s">
        <v>13</v>
      </c>
      <c r="E67" s="74" t="s">
        <v>180</v>
      </c>
      <c r="F67" s="74" t="s">
        <v>180</v>
      </c>
      <c r="G67" s="74" t="s">
        <v>15</v>
      </c>
      <c r="H67" s="75">
        <v>16407</v>
      </c>
      <c r="I67" s="75">
        <v>22990</v>
      </c>
      <c r="J67" s="74"/>
      <c r="K67" s="74" t="s">
        <v>16</v>
      </c>
      <c r="L67" s="74"/>
      <c r="M67" s="74" t="s">
        <v>13</v>
      </c>
      <c r="N67" s="71" t="str">
        <f t="shared" ref="N67:N130" si="1">_xlfn.CONCAT(K67,IF(L67&lt;&gt;"",_xlfn.CONCAT("ск",L67),""))</f>
        <v>1</v>
      </c>
      <c r="O67" s="71" t="str">
        <f>INDEX(Кат!$D:$D,MATCH($A67,Кат!$A:$A,0))</f>
        <v>Y</v>
      </c>
    </row>
    <row r="68" spans="1:15" ht="30" x14ac:dyDescent="0.25">
      <c r="A68" s="73">
        <v>137092</v>
      </c>
      <c r="B68" s="73">
        <v>32632</v>
      </c>
      <c r="C68" s="74" t="s">
        <v>181</v>
      </c>
      <c r="D68" s="74" t="s">
        <v>13</v>
      </c>
      <c r="E68" s="74" t="s">
        <v>182</v>
      </c>
      <c r="F68" s="74" t="s">
        <v>182</v>
      </c>
      <c r="G68" s="74" t="s">
        <v>15</v>
      </c>
      <c r="H68" s="75">
        <v>2175</v>
      </c>
      <c r="I68" s="75">
        <v>3090</v>
      </c>
      <c r="J68" s="74" t="s">
        <v>183</v>
      </c>
      <c r="K68" s="74" t="s">
        <v>16</v>
      </c>
      <c r="L68" s="74"/>
      <c r="M68" s="74" t="s">
        <v>13</v>
      </c>
      <c r="N68" s="71" t="str">
        <f t="shared" si="1"/>
        <v>1</v>
      </c>
      <c r="O68" s="71" t="str">
        <f>INDEX(Кат!$D:$D,MATCH($A68,Кат!$A:$A,0))</f>
        <v>Y</v>
      </c>
    </row>
    <row r="69" spans="1:15" ht="30" x14ac:dyDescent="0.25">
      <c r="A69" s="73">
        <v>137094</v>
      </c>
      <c r="B69" s="73">
        <v>32631</v>
      </c>
      <c r="C69" s="74" t="s">
        <v>184</v>
      </c>
      <c r="D69" s="74" t="s">
        <v>13</v>
      </c>
      <c r="E69" s="74" t="s">
        <v>185</v>
      </c>
      <c r="F69" s="74" t="s">
        <v>185</v>
      </c>
      <c r="G69" s="74" t="s">
        <v>15</v>
      </c>
      <c r="H69" s="75">
        <v>1983</v>
      </c>
      <c r="I69" s="75">
        <v>2990</v>
      </c>
      <c r="J69" s="74"/>
      <c r="K69" s="74" t="s">
        <v>16</v>
      </c>
      <c r="L69" s="74"/>
      <c r="M69" s="74" t="s">
        <v>13</v>
      </c>
      <c r="N69" s="71" t="str">
        <f t="shared" si="1"/>
        <v>1</v>
      </c>
      <c r="O69" s="71" t="str">
        <f>INDEX(Кат!$D:$D,MATCH($A69,Кат!$A:$A,0))</f>
        <v>Y</v>
      </c>
    </row>
    <row r="70" spans="1:15" ht="60" x14ac:dyDescent="0.25">
      <c r="A70" s="73">
        <v>137095</v>
      </c>
      <c r="B70" s="73">
        <v>32659</v>
      </c>
      <c r="C70" s="74" t="s">
        <v>186</v>
      </c>
      <c r="D70" s="74" t="s">
        <v>13</v>
      </c>
      <c r="E70" s="74" t="s">
        <v>187</v>
      </c>
      <c r="F70" s="74" t="s">
        <v>187</v>
      </c>
      <c r="G70" s="74" t="s">
        <v>15</v>
      </c>
      <c r="H70" s="75">
        <v>8104</v>
      </c>
      <c r="I70" s="75">
        <v>11390</v>
      </c>
      <c r="J70" s="74" t="s">
        <v>188</v>
      </c>
      <c r="K70" s="74" t="s">
        <v>16</v>
      </c>
      <c r="L70" s="74"/>
      <c r="M70" s="74" t="s">
        <v>13</v>
      </c>
      <c r="N70" s="71" t="str">
        <f t="shared" si="1"/>
        <v>1</v>
      </c>
      <c r="O70" s="71" t="str">
        <f>INDEX(Кат!$D:$D,MATCH($A70,Кат!$A:$A,0))</f>
        <v>Y</v>
      </c>
    </row>
    <row r="71" spans="1:15" ht="45" x14ac:dyDescent="0.25">
      <c r="A71" s="73">
        <v>137096</v>
      </c>
      <c r="B71" s="73">
        <v>31002</v>
      </c>
      <c r="C71" s="74" t="s">
        <v>189</v>
      </c>
      <c r="D71" s="74" t="s">
        <v>13</v>
      </c>
      <c r="E71" s="74" t="s">
        <v>190</v>
      </c>
      <c r="F71" s="74" t="s">
        <v>190</v>
      </c>
      <c r="G71" s="74" t="s">
        <v>15</v>
      </c>
      <c r="H71" s="75">
        <v>21080</v>
      </c>
      <c r="I71" s="75">
        <v>27490</v>
      </c>
      <c r="J71" s="74"/>
      <c r="K71" s="74" t="s">
        <v>16</v>
      </c>
      <c r="L71" s="74"/>
      <c r="M71" s="74" t="s">
        <v>13</v>
      </c>
      <c r="N71" s="71" t="str">
        <f t="shared" si="1"/>
        <v>1</v>
      </c>
      <c r="O71" s="71" t="str">
        <f>INDEX(Кат!$D:$D,MATCH($A71,Кат!$A:$A,0))</f>
        <v>Y</v>
      </c>
    </row>
    <row r="72" spans="1:15" ht="45" x14ac:dyDescent="0.25">
      <c r="A72" s="73">
        <v>137097</v>
      </c>
      <c r="B72" s="73">
        <v>31001</v>
      </c>
      <c r="C72" s="74" t="s">
        <v>191</v>
      </c>
      <c r="D72" s="74" t="s">
        <v>13</v>
      </c>
      <c r="E72" s="74" t="s">
        <v>192</v>
      </c>
      <c r="F72" s="74" t="s">
        <v>192</v>
      </c>
      <c r="G72" s="74" t="s">
        <v>15</v>
      </c>
      <c r="H72" s="75">
        <v>21932</v>
      </c>
      <c r="I72" s="75">
        <v>30790</v>
      </c>
      <c r="J72" s="74"/>
      <c r="K72" s="74" t="s">
        <v>16</v>
      </c>
      <c r="L72" s="74"/>
      <c r="M72" s="74" t="s">
        <v>13</v>
      </c>
      <c r="N72" s="71" t="str">
        <f t="shared" si="1"/>
        <v>1</v>
      </c>
      <c r="O72" s="71" t="str">
        <f>INDEX(Кат!$D:$D,MATCH($A72,Кат!$A:$A,0))</f>
        <v>Y</v>
      </c>
    </row>
    <row r="73" spans="1:15" ht="45" x14ac:dyDescent="0.25">
      <c r="A73" s="73">
        <v>137098</v>
      </c>
      <c r="B73" s="73">
        <v>31003</v>
      </c>
      <c r="C73" s="74" t="s">
        <v>193</v>
      </c>
      <c r="D73" s="74" t="s">
        <v>13</v>
      </c>
      <c r="E73" s="74" t="s">
        <v>194</v>
      </c>
      <c r="F73" s="74" t="s">
        <v>194</v>
      </c>
      <c r="G73" s="74" t="s">
        <v>15</v>
      </c>
      <c r="H73" s="75">
        <v>26301</v>
      </c>
      <c r="I73" s="75">
        <v>36890</v>
      </c>
      <c r="J73" s="74"/>
      <c r="K73" s="74" t="s">
        <v>16</v>
      </c>
      <c r="L73" s="74"/>
      <c r="M73" s="74" t="s">
        <v>13</v>
      </c>
      <c r="N73" s="71" t="str">
        <f t="shared" si="1"/>
        <v>1</v>
      </c>
      <c r="O73" s="71" t="str">
        <f>INDEX(Кат!$D:$D,MATCH($A73,Кат!$A:$A,0))</f>
        <v>Y</v>
      </c>
    </row>
    <row r="74" spans="1:15" ht="45" x14ac:dyDescent="0.25">
      <c r="A74" s="73">
        <v>137099</v>
      </c>
      <c r="B74" s="73">
        <v>31000</v>
      </c>
      <c r="C74" s="74" t="s">
        <v>195</v>
      </c>
      <c r="D74" s="74" t="s">
        <v>13</v>
      </c>
      <c r="E74" s="74" t="s">
        <v>196</v>
      </c>
      <c r="F74" s="74" t="s">
        <v>196</v>
      </c>
      <c r="G74" s="74" t="s">
        <v>15</v>
      </c>
      <c r="H74" s="75">
        <v>26832</v>
      </c>
      <c r="I74" s="75">
        <v>34890</v>
      </c>
      <c r="J74" s="74"/>
      <c r="K74" s="74" t="s">
        <v>16</v>
      </c>
      <c r="L74" s="74"/>
      <c r="M74" s="74" t="s">
        <v>13</v>
      </c>
      <c r="N74" s="71" t="str">
        <f t="shared" si="1"/>
        <v>1</v>
      </c>
      <c r="O74" s="71" t="str">
        <f>INDEX(Кат!$D:$D,MATCH($A74,Кат!$A:$A,0))</f>
        <v>Y</v>
      </c>
    </row>
    <row r="75" spans="1:15" ht="45" x14ac:dyDescent="0.25">
      <c r="A75" s="73">
        <v>137100</v>
      </c>
      <c r="B75" s="73">
        <v>48403</v>
      </c>
      <c r="C75" s="74" t="s">
        <v>197</v>
      </c>
      <c r="D75" s="74" t="s">
        <v>13</v>
      </c>
      <c r="E75" s="74" t="s">
        <v>198</v>
      </c>
      <c r="F75" s="74" t="s">
        <v>199</v>
      </c>
      <c r="G75" s="74" t="s">
        <v>15</v>
      </c>
      <c r="H75" s="75">
        <v>8970</v>
      </c>
      <c r="I75" s="75">
        <v>12590</v>
      </c>
      <c r="J75" s="74"/>
      <c r="K75" s="74" t="s">
        <v>16</v>
      </c>
      <c r="L75" s="74"/>
      <c r="M75" s="74" t="s">
        <v>13</v>
      </c>
      <c r="N75" s="71" t="str">
        <f t="shared" si="1"/>
        <v>1</v>
      </c>
      <c r="O75" s="71" t="str">
        <f>INDEX(Кат!$D:$D,MATCH($A75,Кат!$A:$A,0))</f>
        <v>Y</v>
      </c>
    </row>
    <row r="76" spans="1:15" ht="60" x14ac:dyDescent="0.25">
      <c r="A76" s="73">
        <v>138722</v>
      </c>
      <c r="B76" s="73">
        <v>32676</v>
      </c>
      <c r="C76" s="74" t="s">
        <v>200</v>
      </c>
      <c r="D76" s="74" t="s">
        <v>13</v>
      </c>
      <c r="E76" s="74" t="s">
        <v>201</v>
      </c>
      <c r="F76" s="74" t="s">
        <v>202</v>
      </c>
      <c r="G76" s="74" t="s">
        <v>15</v>
      </c>
      <c r="H76" s="75">
        <v>3408</v>
      </c>
      <c r="I76" s="75">
        <v>4790</v>
      </c>
      <c r="J76" s="74" t="s">
        <v>203</v>
      </c>
      <c r="K76" s="74" t="s">
        <v>16</v>
      </c>
      <c r="L76" s="74" t="s">
        <v>16</v>
      </c>
      <c r="M76" s="74" t="s">
        <v>13</v>
      </c>
      <c r="N76" s="71" t="str">
        <f t="shared" si="1"/>
        <v>1ск1</v>
      </c>
      <c r="O76" s="71" t="str">
        <f>INDEX(Кат!$D:$D,MATCH($A76,Кат!$A:$A,0))</f>
        <v>Y</v>
      </c>
    </row>
    <row r="77" spans="1:15" ht="75" x14ac:dyDescent="0.25">
      <c r="A77" s="73">
        <v>138723</v>
      </c>
      <c r="B77" s="73">
        <v>31247</v>
      </c>
      <c r="C77" s="74" t="s">
        <v>204</v>
      </c>
      <c r="D77" s="74" t="s">
        <v>13</v>
      </c>
      <c r="E77" s="74" t="s">
        <v>205</v>
      </c>
      <c r="F77" s="74" t="s">
        <v>205</v>
      </c>
      <c r="G77" s="74" t="s">
        <v>15</v>
      </c>
      <c r="H77" s="75">
        <v>2847</v>
      </c>
      <c r="I77" s="75">
        <v>3990</v>
      </c>
      <c r="J77" s="74" t="s">
        <v>206</v>
      </c>
      <c r="K77" s="74" t="s">
        <v>16</v>
      </c>
      <c r="L77" s="74"/>
      <c r="M77" s="74" t="s">
        <v>13</v>
      </c>
      <c r="N77" s="71" t="str">
        <f t="shared" si="1"/>
        <v>1</v>
      </c>
      <c r="O77" s="71" t="str">
        <f>INDEX(Кат!$D:$D,MATCH($A77,Кат!$A:$A,0))</f>
        <v>Y</v>
      </c>
    </row>
    <row r="78" spans="1:15" ht="30" x14ac:dyDescent="0.25">
      <c r="A78" s="73">
        <v>138727</v>
      </c>
      <c r="B78" s="73">
        <v>48415</v>
      </c>
      <c r="C78" s="74" t="s">
        <v>207</v>
      </c>
      <c r="D78" s="74" t="s">
        <v>13</v>
      </c>
      <c r="E78" s="74" t="s">
        <v>208</v>
      </c>
      <c r="F78" s="74" t="s">
        <v>209</v>
      </c>
      <c r="G78" s="74" t="s">
        <v>15</v>
      </c>
      <c r="H78" s="75">
        <v>1413</v>
      </c>
      <c r="I78" s="75">
        <v>2190</v>
      </c>
      <c r="J78" s="74"/>
      <c r="K78" s="74" t="s">
        <v>16</v>
      </c>
      <c r="L78" s="74"/>
      <c r="M78" s="74" t="s">
        <v>13</v>
      </c>
      <c r="N78" s="71" t="str">
        <f t="shared" si="1"/>
        <v>1</v>
      </c>
      <c r="O78" s="71" t="e">
        <f>INDEX(Кат!$D:$D,MATCH($A78,Кат!$A:$A,0))</f>
        <v>#N/A</v>
      </c>
    </row>
    <row r="79" spans="1:15" ht="45" x14ac:dyDescent="0.25">
      <c r="A79" s="73">
        <v>138728</v>
      </c>
      <c r="B79" s="73">
        <v>31194</v>
      </c>
      <c r="C79" s="74" t="s">
        <v>210</v>
      </c>
      <c r="D79" s="74" t="s">
        <v>13</v>
      </c>
      <c r="E79" s="74" t="s">
        <v>211</v>
      </c>
      <c r="F79" s="74" t="s">
        <v>211</v>
      </c>
      <c r="G79" s="74" t="s">
        <v>15</v>
      </c>
      <c r="H79" s="75">
        <v>941</v>
      </c>
      <c r="I79" s="75">
        <v>1490</v>
      </c>
      <c r="J79" s="74"/>
      <c r="K79" s="74" t="s">
        <v>16</v>
      </c>
      <c r="L79" s="74"/>
      <c r="M79" s="74" t="s">
        <v>13</v>
      </c>
      <c r="N79" s="71" t="str">
        <f t="shared" si="1"/>
        <v>1</v>
      </c>
      <c r="O79" s="71" t="e">
        <f>INDEX(Кат!$D:$D,MATCH($A79,Кат!$A:$A,0))</f>
        <v>#N/A</v>
      </c>
    </row>
    <row r="80" spans="1:15" ht="45" x14ac:dyDescent="0.25">
      <c r="A80" s="73">
        <v>138733</v>
      </c>
      <c r="B80" s="73">
        <v>48021</v>
      </c>
      <c r="C80" s="74" t="s">
        <v>212</v>
      </c>
      <c r="D80" s="74" t="s">
        <v>13</v>
      </c>
      <c r="E80" s="74" t="s">
        <v>213</v>
      </c>
      <c r="F80" s="74" t="s">
        <v>214</v>
      </c>
      <c r="G80" s="74" t="s">
        <v>15</v>
      </c>
      <c r="H80" s="75">
        <v>3450</v>
      </c>
      <c r="I80" s="75">
        <v>4890</v>
      </c>
      <c r="J80" s="74"/>
      <c r="K80" s="74" t="s">
        <v>16</v>
      </c>
      <c r="L80" s="74"/>
      <c r="M80" s="74" t="s">
        <v>13</v>
      </c>
      <c r="N80" s="71" t="str">
        <f t="shared" si="1"/>
        <v>1</v>
      </c>
      <c r="O80" s="71" t="str">
        <f>INDEX(Кат!$D:$D,MATCH($A80,Кат!$A:$A,0))</f>
        <v>Y</v>
      </c>
    </row>
    <row r="81" spans="1:15" ht="75" x14ac:dyDescent="0.25">
      <c r="A81" s="73">
        <v>138734</v>
      </c>
      <c r="B81" s="73">
        <v>45931</v>
      </c>
      <c r="C81" s="74" t="s">
        <v>215</v>
      </c>
      <c r="D81" s="74" t="s">
        <v>13</v>
      </c>
      <c r="E81" s="74" t="s">
        <v>216</v>
      </c>
      <c r="F81" s="74" t="s">
        <v>217</v>
      </c>
      <c r="G81" s="74" t="s">
        <v>15</v>
      </c>
      <c r="H81" s="75">
        <v>7285</v>
      </c>
      <c r="I81" s="75">
        <v>10190</v>
      </c>
      <c r="J81" s="74" t="s">
        <v>218</v>
      </c>
      <c r="K81" s="74" t="s">
        <v>16</v>
      </c>
      <c r="L81" s="74"/>
      <c r="M81" s="74" t="s">
        <v>13</v>
      </c>
      <c r="N81" s="71" t="str">
        <f t="shared" si="1"/>
        <v>1</v>
      </c>
      <c r="O81" s="71" t="str">
        <f>INDEX(Кат!$D:$D,MATCH($A81,Кат!$A:$A,0))</f>
        <v>Y</v>
      </c>
    </row>
    <row r="82" spans="1:15" ht="75" x14ac:dyDescent="0.25">
      <c r="A82" s="73">
        <v>138736</v>
      </c>
      <c r="B82" s="73">
        <v>48647</v>
      </c>
      <c r="C82" s="74" t="s">
        <v>219</v>
      </c>
      <c r="D82" s="74" t="s">
        <v>13</v>
      </c>
      <c r="E82" s="74" t="s">
        <v>220</v>
      </c>
      <c r="F82" s="74" t="s">
        <v>221</v>
      </c>
      <c r="G82" s="74" t="s">
        <v>15</v>
      </c>
      <c r="H82" s="75">
        <v>1258</v>
      </c>
      <c r="I82" s="75">
        <v>1890</v>
      </c>
      <c r="J82" s="74" t="s">
        <v>222</v>
      </c>
      <c r="K82" s="74" t="s">
        <v>16</v>
      </c>
      <c r="L82" s="74"/>
      <c r="M82" s="74" t="s">
        <v>13</v>
      </c>
      <c r="N82" s="71" t="str">
        <f t="shared" si="1"/>
        <v>1</v>
      </c>
      <c r="O82" s="71" t="str">
        <f>INDEX(Кат!$D:$D,MATCH($A82,Кат!$A:$A,0))</f>
        <v>Y</v>
      </c>
    </row>
    <row r="83" spans="1:15" ht="60" x14ac:dyDescent="0.25">
      <c r="A83" s="73">
        <v>138737</v>
      </c>
      <c r="B83" s="73">
        <v>31421</v>
      </c>
      <c r="C83" s="74" t="s">
        <v>223</v>
      </c>
      <c r="D83" s="74" t="s">
        <v>13</v>
      </c>
      <c r="E83" s="74" t="s">
        <v>224</v>
      </c>
      <c r="F83" s="74" t="s">
        <v>224</v>
      </c>
      <c r="G83" s="74" t="s">
        <v>15</v>
      </c>
      <c r="H83" s="75">
        <v>1831</v>
      </c>
      <c r="I83" s="75">
        <v>2790</v>
      </c>
      <c r="J83" s="74"/>
      <c r="K83" s="74" t="s">
        <v>37</v>
      </c>
      <c r="L83" s="74"/>
      <c r="M83" s="74" t="s">
        <v>13</v>
      </c>
      <c r="N83" s="71" t="str">
        <f t="shared" si="1"/>
        <v>0</v>
      </c>
      <c r="O83" s="71" t="str">
        <f>INDEX(Кат!$D:$D,MATCH($A83,Кат!$A:$A,0))</f>
        <v>Y</v>
      </c>
    </row>
    <row r="84" spans="1:15" ht="75" x14ac:dyDescent="0.25">
      <c r="A84" s="73">
        <v>138738</v>
      </c>
      <c r="B84" s="73">
        <v>32703</v>
      </c>
      <c r="C84" s="74" t="s">
        <v>225</v>
      </c>
      <c r="D84" s="74" t="s">
        <v>13</v>
      </c>
      <c r="E84" s="74" t="s">
        <v>226</v>
      </c>
      <c r="F84" s="74" t="s">
        <v>226</v>
      </c>
      <c r="G84" s="74" t="s">
        <v>15</v>
      </c>
      <c r="H84" s="75">
        <v>2000</v>
      </c>
      <c r="I84" s="75">
        <v>2790</v>
      </c>
      <c r="J84" s="74" t="s">
        <v>227</v>
      </c>
      <c r="K84" s="74" t="s">
        <v>16</v>
      </c>
      <c r="L84" s="74"/>
      <c r="M84" s="74" t="s">
        <v>13</v>
      </c>
      <c r="N84" s="71" t="str">
        <f t="shared" si="1"/>
        <v>1</v>
      </c>
      <c r="O84" s="71" t="str">
        <f>INDEX(Кат!$D:$D,MATCH($A84,Кат!$A:$A,0))</f>
        <v>Y</v>
      </c>
    </row>
    <row r="85" spans="1:15" ht="75" x14ac:dyDescent="0.25">
      <c r="A85" s="73">
        <v>138739</v>
      </c>
      <c r="B85" s="73">
        <v>31304</v>
      </c>
      <c r="C85" s="74" t="s">
        <v>228</v>
      </c>
      <c r="D85" s="74" t="s">
        <v>13</v>
      </c>
      <c r="E85" s="74" t="s">
        <v>229</v>
      </c>
      <c r="F85" s="74" t="s">
        <v>229</v>
      </c>
      <c r="G85" s="74" t="s">
        <v>15</v>
      </c>
      <c r="H85" s="75">
        <v>7846</v>
      </c>
      <c r="I85" s="75">
        <v>10990</v>
      </c>
      <c r="J85" s="74" t="s">
        <v>230</v>
      </c>
      <c r="K85" s="74" t="s">
        <v>16</v>
      </c>
      <c r="L85" s="74"/>
      <c r="M85" s="74" t="s">
        <v>13</v>
      </c>
      <c r="N85" s="71" t="str">
        <f t="shared" si="1"/>
        <v>1</v>
      </c>
      <c r="O85" s="71" t="str">
        <f>INDEX(Кат!$D:$D,MATCH($A85,Кат!$A:$A,0))</f>
        <v>Y</v>
      </c>
    </row>
    <row r="86" spans="1:15" ht="60" x14ac:dyDescent="0.25">
      <c r="A86" s="73">
        <v>138740</v>
      </c>
      <c r="B86" s="73">
        <v>31173</v>
      </c>
      <c r="C86" s="74" t="s">
        <v>231</v>
      </c>
      <c r="D86" s="74" t="s">
        <v>13</v>
      </c>
      <c r="E86" s="74" t="s">
        <v>232</v>
      </c>
      <c r="F86" s="74" t="s">
        <v>232</v>
      </c>
      <c r="G86" s="74" t="s">
        <v>15</v>
      </c>
      <c r="H86" s="75">
        <v>27934</v>
      </c>
      <c r="I86" s="75">
        <v>39190</v>
      </c>
      <c r="J86" s="74"/>
      <c r="K86" s="74" t="s">
        <v>16</v>
      </c>
      <c r="L86" s="74"/>
      <c r="M86" s="74" t="s">
        <v>13</v>
      </c>
      <c r="N86" s="71" t="str">
        <f t="shared" si="1"/>
        <v>1</v>
      </c>
      <c r="O86" s="71" t="str">
        <f>INDEX(Кат!$D:$D,MATCH($A86,Кат!$A:$A,0))</f>
        <v>Y</v>
      </c>
    </row>
    <row r="87" spans="1:15" ht="75" x14ac:dyDescent="0.25">
      <c r="A87" s="73">
        <v>138741</v>
      </c>
      <c r="B87" s="73">
        <v>31174</v>
      </c>
      <c r="C87" s="74" t="s">
        <v>233</v>
      </c>
      <c r="D87" s="74" t="s">
        <v>13</v>
      </c>
      <c r="E87" s="74" t="s">
        <v>234</v>
      </c>
      <c r="F87" s="74" t="s">
        <v>234</v>
      </c>
      <c r="G87" s="74" t="s">
        <v>15</v>
      </c>
      <c r="H87" s="75">
        <v>24185</v>
      </c>
      <c r="I87" s="75">
        <v>33890</v>
      </c>
      <c r="J87" s="74" t="s">
        <v>235</v>
      </c>
      <c r="K87" s="74" t="s">
        <v>16</v>
      </c>
      <c r="L87" s="74"/>
      <c r="M87" s="74" t="s">
        <v>13</v>
      </c>
      <c r="N87" s="71" t="str">
        <f t="shared" si="1"/>
        <v>1</v>
      </c>
      <c r="O87" s="71" t="str">
        <f>INDEX(Кат!$D:$D,MATCH($A87,Кат!$A:$A,0))</f>
        <v>Y</v>
      </c>
    </row>
    <row r="88" spans="1:15" ht="45" x14ac:dyDescent="0.25">
      <c r="A88" s="73">
        <v>138742</v>
      </c>
      <c r="B88" s="73">
        <v>41673</v>
      </c>
      <c r="C88" s="74" t="s">
        <v>236</v>
      </c>
      <c r="D88" s="74" t="s">
        <v>13</v>
      </c>
      <c r="E88" s="74" t="s">
        <v>237</v>
      </c>
      <c r="F88" s="74" t="s">
        <v>238</v>
      </c>
      <c r="G88" s="74" t="s">
        <v>15</v>
      </c>
      <c r="H88" s="75">
        <v>13306</v>
      </c>
      <c r="I88" s="75">
        <v>17290</v>
      </c>
      <c r="J88" s="74"/>
      <c r="K88" s="74" t="s">
        <v>16</v>
      </c>
      <c r="L88" s="74"/>
      <c r="M88" s="74" t="s">
        <v>13</v>
      </c>
      <c r="N88" s="71" t="str">
        <f t="shared" si="1"/>
        <v>1</v>
      </c>
      <c r="O88" s="71" t="str">
        <f>INDEX(Кат!$D:$D,MATCH($A88,Кат!$A:$A,0))</f>
        <v>Y</v>
      </c>
    </row>
    <row r="89" spans="1:15" ht="45" x14ac:dyDescent="0.25">
      <c r="A89" s="73">
        <v>138743</v>
      </c>
      <c r="B89" s="73">
        <v>53044</v>
      </c>
      <c r="C89" s="74" t="s">
        <v>239</v>
      </c>
      <c r="D89" s="74" t="s">
        <v>13</v>
      </c>
      <c r="E89" s="74" t="s">
        <v>240</v>
      </c>
      <c r="F89" s="74" t="s">
        <v>241</v>
      </c>
      <c r="G89" s="74" t="s">
        <v>15</v>
      </c>
      <c r="H89" s="75">
        <v>12291</v>
      </c>
      <c r="I89" s="75">
        <v>15990</v>
      </c>
      <c r="J89" s="74"/>
      <c r="K89" s="74" t="s">
        <v>16</v>
      </c>
      <c r="L89" s="74"/>
      <c r="M89" s="74" t="s">
        <v>13</v>
      </c>
      <c r="N89" s="71" t="str">
        <f t="shared" si="1"/>
        <v>1</v>
      </c>
      <c r="O89" s="71" t="str">
        <f>INDEX(Кат!$D:$D,MATCH($A89,Кат!$A:$A,0))</f>
        <v>Y</v>
      </c>
    </row>
    <row r="90" spans="1:15" ht="45" x14ac:dyDescent="0.25">
      <c r="A90" s="73">
        <v>138744</v>
      </c>
      <c r="B90" s="73">
        <v>50999</v>
      </c>
      <c r="C90" s="74" t="s">
        <v>242</v>
      </c>
      <c r="D90" s="74" t="s">
        <v>13</v>
      </c>
      <c r="E90" s="74" t="s">
        <v>243</v>
      </c>
      <c r="F90" s="74" t="s">
        <v>244</v>
      </c>
      <c r="G90" s="74" t="s">
        <v>15</v>
      </c>
      <c r="H90" s="75">
        <v>9088</v>
      </c>
      <c r="I90" s="75">
        <v>12790</v>
      </c>
      <c r="J90" s="74"/>
      <c r="K90" s="74" t="s">
        <v>16</v>
      </c>
      <c r="L90" s="74"/>
      <c r="M90" s="74" t="s">
        <v>13</v>
      </c>
      <c r="N90" s="71" t="str">
        <f t="shared" si="1"/>
        <v>1</v>
      </c>
      <c r="O90" s="71" t="str">
        <f>INDEX(Кат!$D:$D,MATCH($A90,Кат!$A:$A,0))</f>
        <v>Y</v>
      </c>
    </row>
    <row r="91" spans="1:15" ht="45" x14ac:dyDescent="0.25">
      <c r="A91" s="73">
        <v>138745</v>
      </c>
      <c r="B91" s="73">
        <v>51763</v>
      </c>
      <c r="C91" s="74" t="s">
        <v>245</v>
      </c>
      <c r="D91" s="74" t="s">
        <v>13</v>
      </c>
      <c r="E91" s="74" t="s">
        <v>246</v>
      </c>
      <c r="F91" s="74" t="s">
        <v>247</v>
      </c>
      <c r="G91" s="74" t="s">
        <v>15</v>
      </c>
      <c r="H91" s="75">
        <v>14066</v>
      </c>
      <c r="I91" s="75">
        <v>19690</v>
      </c>
      <c r="J91" s="74"/>
      <c r="K91" s="74" t="s">
        <v>16</v>
      </c>
      <c r="L91" s="74"/>
      <c r="M91" s="74" t="s">
        <v>13</v>
      </c>
      <c r="N91" s="71" t="str">
        <f t="shared" si="1"/>
        <v>1</v>
      </c>
      <c r="O91" s="71" t="str">
        <f>INDEX(Кат!$D:$D,MATCH($A91,Кат!$A:$A,0))</f>
        <v>Y</v>
      </c>
    </row>
    <row r="92" spans="1:15" ht="60" x14ac:dyDescent="0.25">
      <c r="A92" s="73">
        <v>138746</v>
      </c>
      <c r="B92" s="73">
        <v>31110</v>
      </c>
      <c r="C92" s="74" t="s">
        <v>248</v>
      </c>
      <c r="D92" s="74" t="s">
        <v>13</v>
      </c>
      <c r="E92" s="74" t="s">
        <v>249</v>
      </c>
      <c r="F92" s="74" t="s">
        <v>249</v>
      </c>
      <c r="G92" s="74" t="s">
        <v>15</v>
      </c>
      <c r="H92" s="75">
        <v>21777</v>
      </c>
      <c r="I92" s="75">
        <v>30490</v>
      </c>
      <c r="J92" s="74" t="s">
        <v>250</v>
      </c>
      <c r="K92" s="74" t="s">
        <v>16</v>
      </c>
      <c r="L92" s="74"/>
      <c r="M92" s="74" t="s">
        <v>13</v>
      </c>
      <c r="N92" s="71" t="str">
        <f t="shared" si="1"/>
        <v>1</v>
      </c>
      <c r="O92" s="71" t="str">
        <f>INDEX(Кат!$D:$D,MATCH($A92,Кат!$A:$A,0))</f>
        <v>Y</v>
      </c>
    </row>
    <row r="93" spans="1:15" ht="45" x14ac:dyDescent="0.25">
      <c r="A93" s="73">
        <v>138747</v>
      </c>
      <c r="B93" s="73">
        <v>51765</v>
      </c>
      <c r="C93" s="74" t="s">
        <v>251</v>
      </c>
      <c r="D93" s="74" t="s">
        <v>13</v>
      </c>
      <c r="E93" s="74" t="s">
        <v>252</v>
      </c>
      <c r="F93" s="74" t="s">
        <v>253</v>
      </c>
      <c r="G93" s="74" t="s">
        <v>15</v>
      </c>
      <c r="H93" s="75">
        <v>15840</v>
      </c>
      <c r="I93" s="75">
        <v>22190</v>
      </c>
      <c r="J93" s="74"/>
      <c r="K93" s="74" t="s">
        <v>16</v>
      </c>
      <c r="L93" s="74"/>
      <c r="M93" s="74" t="s">
        <v>13</v>
      </c>
      <c r="N93" s="71" t="str">
        <f t="shared" si="1"/>
        <v>1</v>
      </c>
      <c r="O93" s="71" t="str">
        <f>INDEX(Кат!$D:$D,MATCH($A93,Кат!$A:$A,0))</f>
        <v>Y</v>
      </c>
    </row>
    <row r="94" spans="1:15" ht="75" x14ac:dyDescent="0.25">
      <c r="A94" s="73">
        <v>138748</v>
      </c>
      <c r="B94" s="73">
        <v>31083</v>
      </c>
      <c r="C94" s="74" t="s">
        <v>254</v>
      </c>
      <c r="D94" s="74" t="s">
        <v>13</v>
      </c>
      <c r="E94" s="74" t="s">
        <v>255</v>
      </c>
      <c r="F94" s="74" t="s">
        <v>255</v>
      </c>
      <c r="G94" s="74" t="s">
        <v>15</v>
      </c>
      <c r="H94" s="75">
        <v>8298</v>
      </c>
      <c r="I94" s="75">
        <v>11690</v>
      </c>
      <c r="J94" s="74" t="s">
        <v>256</v>
      </c>
      <c r="K94" s="74" t="s">
        <v>16</v>
      </c>
      <c r="L94" s="74"/>
      <c r="M94" s="74" t="s">
        <v>13</v>
      </c>
      <c r="N94" s="71" t="str">
        <f t="shared" si="1"/>
        <v>1</v>
      </c>
      <c r="O94" s="71" t="str">
        <f>INDEX(Кат!$D:$D,MATCH($A94,Кат!$A:$A,0))</f>
        <v>Y</v>
      </c>
    </row>
    <row r="95" spans="1:15" ht="75" x14ac:dyDescent="0.25">
      <c r="A95" s="73">
        <v>138749</v>
      </c>
      <c r="B95" s="73">
        <v>31203</v>
      </c>
      <c r="C95" s="74" t="s">
        <v>257</v>
      </c>
      <c r="D95" s="74" t="s">
        <v>13</v>
      </c>
      <c r="E95" s="74" t="s">
        <v>258</v>
      </c>
      <c r="F95" s="74" t="s">
        <v>258</v>
      </c>
      <c r="G95" s="74" t="s">
        <v>15</v>
      </c>
      <c r="H95" s="75">
        <v>16655</v>
      </c>
      <c r="I95" s="75">
        <v>21690</v>
      </c>
      <c r="J95" s="74" t="s">
        <v>259</v>
      </c>
      <c r="K95" s="74" t="s">
        <v>16</v>
      </c>
      <c r="L95" s="74"/>
      <c r="M95" s="74" t="s">
        <v>13</v>
      </c>
      <c r="N95" s="71" t="str">
        <f t="shared" si="1"/>
        <v>1</v>
      </c>
      <c r="O95" s="71" t="str">
        <f>INDEX(Кат!$D:$D,MATCH($A95,Кат!$A:$A,0))</f>
        <v>Y</v>
      </c>
    </row>
    <row r="96" spans="1:15" ht="75" x14ac:dyDescent="0.25">
      <c r="A96" s="73">
        <v>138750</v>
      </c>
      <c r="B96" s="73">
        <v>31204</v>
      </c>
      <c r="C96" s="74" t="s">
        <v>260</v>
      </c>
      <c r="D96" s="74" t="s">
        <v>13</v>
      </c>
      <c r="E96" s="74" t="s">
        <v>261</v>
      </c>
      <c r="F96" s="74" t="s">
        <v>261</v>
      </c>
      <c r="G96" s="74" t="s">
        <v>15</v>
      </c>
      <c r="H96" s="75">
        <v>13362</v>
      </c>
      <c r="I96" s="75">
        <v>18790</v>
      </c>
      <c r="J96" s="74" t="s">
        <v>262</v>
      </c>
      <c r="K96" s="74" t="s">
        <v>16</v>
      </c>
      <c r="L96" s="74"/>
      <c r="M96" s="74"/>
      <c r="N96" s="71" t="str">
        <f t="shared" si="1"/>
        <v>1</v>
      </c>
      <c r="O96" s="71" t="str">
        <f>INDEX(Кат!$D:$D,MATCH($A96,Кат!$A:$A,0))</f>
        <v>Y</v>
      </c>
    </row>
    <row r="97" spans="1:15" ht="75" x14ac:dyDescent="0.25">
      <c r="A97" s="73">
        <v>138838</v>
      </c>
      <c r="B97" s="73">
        <v>6697</v>
      </c>
      <c r="C97" s="74" t="s">
        <v>263</v>
      </c>
      <c r="D97" s="74" t="s">
        <v>13</v>
      </c>
      <c r="E97" s="74"/>
      <c r="F97" s="74"/>
      <c r="G97" s="74" t="s">
        <v>15</v>
      </c>
      <c r="H97" s="75">
        <v>650</v>
      </c>
      <c r="I97" s="75">
        <v>950</v>
      </c>
      <c r="J97" s="74" t="s">
        <v>264</v>
      </c>
      <c r="K97" s="74" t="s">
        <v>16</v>
      </c>
      <c r="L97" s="74"/>
      <c r="M97" s="74" t="s">
        <v>13</v>
      </c>
      <c r="N97" s="71" t="str">
        <f t="shared" si="1"/>
        <v>1</v>
      </c>
      <c r="O97" s="71" t="str">
        <f>INDEX(Кат!$D:$D,MATCH($A97,Кат!$A:$A,0))</f>
        <v>Y</v>
      </c>
    </row>
    <row r="98" spans="1:15" ht="75" x14ac:dyDescent="0.25">
      <c r="A98" s="73">
        <v>139262</v>
      </c>
      <c r="B98" s="73">
        <v>23627</v>
      </c>
      <c r="C98" s="74" t="s">
        <v>265</v>
      </c>
      <c r="D98" s="74" t="s">
        <v>13</v>
      </c>
      <c r="E98" s="74" t="s">
        <v>266</v>
      </c>
      <c r="F98" s="74" t="s">
        <v>266</v>
      </c>
      <c r="G98" s="74" t="s">
        <v>15</v>
      </c>
      <c r="H98" s="75">
        <v>1810</v>
      </c>
      <c r="I98" s="75">
        <v>2790</v>
      </c>
      <c r="J98" s="74" t="s">
        <v>267</v>
      </c>
      <c r="K98" s="74" t="s">
        <v>16</v>
      </c>
      <c r="L98" s="74"/>
      <c r="M98" s="74"/>
      <c r="N98" s="71" t="str">
        <f t="shared" si="1"/>
        <v>1</v>
      </c>
      <c r="O98" s="71" t="str">
        <f>INDEX(Кат!$D:$D,MATCH($A98,Кат!$A:$A,0))</f>
        <v>Y</v>
      </c>
    </row>
    <row r="99" spans="1:15" ht="75" x14ac:dyDescent="0.25">
      <c r="A99" s="73">
        <v>139619</v>
      </c>
      <c r="B99" s="73">
        <v>42933</v>
      </c>
      <c r="C99" s="74" t="s">
        <v>268</v>
      </c>
      <c r="D99" s="74" t="s">
        <v>13</v>
      </c>
      <c r="E99" s="74" t="s">
        <v>269</v>
      </c>
      <c r="F99" s="74" t="s">
        <v>270</v>
      </c>
      <c r="G99" s="74" t="s">
        <v>15</v>
      </c>
      <c r="H99" s="75">
        <v>880</v>
      </c>
      <c r="I99" s="75">
        <v>1390</v>
      </c>
      <c r="J99" s="74" t="s">
        <v>271</v>
      </c>
      <c r="K99" s="74" t="s">
        <v>16</v>
      </c>
      <c r="L99" s="74"/>
      <c r="M99" s="74" t="s">
        <v>13</v>
      </c>
      <c r="N99" s="71" t="str">
        <f t="shared" si="1"/>
        <v>1</v>
      </c>
      <c r="O99" s="71" t="str">
        <f>INDEX(Кат!$D:$D,MATCH($A99,Кат!$A:$A,0))</f>
        <v>Y</v>
      </c>
    </row>
    <row r="100" spans="1:15" ht="30" x14ac:dyDescent="0.25">
      <c r="A100" s="73">
        <v>142251</v>
      </c>
      <c r="B100" s="73">
        <v>30061</v>
      </c>
      <c r="C100" s="74" t="s">
        <v>272</v>
      </c>
      <c r="D100" s="74" t="s">
        <v>13</v>
      </c>
      <c r="E100" s="74" t="s">
        <v>273</v>
      </c>
      <c r="F100" s="74"/>
      <c r="G100" s="74" t="s">
        <v>15</v>
      </c>
      <c r="H100" s="75">
        <v>9410</v>
      </c>
      <c r="I100" s="75">
        <v>12790</v>
      </c>
      <c r="J100" s="74"/>
      <c r="K100" s="74" t="s">
        <v>16</v>
      </c>
      <c r="L100" s="74"/>
      <c r="M100" s="74" t="s">
        <v>13</v>
      </c>
      <c r="N100" s="71" t="str">
        <f t="shared" si="1"/>
        <v>1</v>
      </c>
      <c r="O100" s="71" t="str">
        <f>INDEX(Кат!$D:$D,MATCH($A100,Кат!$A:$A,0))</f>
        <v>Y</v>
      </c>
    </row>
    <row r="101" spans="1:15" ht="30" x14ac:dyDescent="0.25">
      <c r="A101" s="73">
        <v>142253</v>
      </c>
      <c r="B101" s="73">
        <v>8470</v>
      </c>
      <c r="C101" s="74" t="s">
        <v>274</v>
      </c>
      <c r="D101" s="74" t="s">
        <v>13</v>
      </c>
      <c r="E101" s="74" t="s">
        <v>275</v>
      </c>
      <c r="F101" s="74"/>
      <c r="G101" s="74" t="s">
        <v>15</v>
      </c>
      <c r="H101" s="75">
        <v>9608</v>
      </c>
      <c r="I101" s="75">
        <v>12990</v>
      </c>
      <c r="J101" s="74"/>
      <c r="K101" s="74" t="s">
        <v>16</v>
      </c>
      <c r="L101" s="74"/>
      <c r="M101" s="74" t="s">
        <v>13</v>
      </c>
      <c r="N101" s="71" t="str">
        <f t="shared" si="1"/>
        <v>1</v>
      </c>
      <c r="O101" s="71" t="str">
        <f>INDEX(Кат!$D:$D,MATCH($A101,Кат!$A:$A,0))</f>
        <v>Y</v>
      </c>
    </row>
    <row r="102" spans="1:15" ht="30" x14ac:dyDescent="0.25">
      <c r="A102" s="73">
        <v>142285</v>
      </c>
      <c r="B102" s="73">
        <v>17439</v>
      </c>
      <c r="C102" s="74" t="s">
        <v>276</v>
      </c>
      <c r="D102" s="74" t="s">
        <v>13</v>
      </c>
      <c r="E102" s="74" t="s">
        <v>277</v>
      </c>
      <c r="F102" s="74" t="s">
        <v>277</v>
      </c>
      <c r="G102" s="74" t="s">
        <v>15</v>
      </c>
      <c r="H102" s="75">
        <v>7800</v>
      </c>
      <c r="I102" s="75">
        <v>10590</v>
      </c>
      <c r="J102" s="74"/>
      <c r="K102" s="74" t="s">
        <v>37</v>
      </c>
      <c r="L102" s="74"/>
      <c r="M102" s="74" t="s">
        <v>13</v>
      </c>
      <c r="N102" s="71" t="str">
        <f t="shared" si="1"/>
        <v>0</v>
      </c>
      <c r="O102" s="71" t="str">
        <f>INDEX(Кат!$D:$D,MATCH($A102,Кат!$A:$A,0))</f>
        <v>Y</v>
      </c>
    </row>
    <row r="103" spans="1:15" ht="30" x14ac:dyDescent="0.25">
      <c r="A103" s="73">
        <v>142289</v>
      </c>
      <c r="B103" s="73">
        <v>8469</v>
      </c>
      <c r="C103" s="74" t="s">
        <v>278</v>
      </c>
      <c r="D103" s="74" t="s">
        <v>13</v>
      </c>
      <c r="E103" s="74" t="s">
        <v>279</v>
      </c>
      <c r="F103" s="74" t="s">
        <v>279</v>
      </c>
      <c r="G103" s="74" t="s">
        <v>15</v>
      </c>
      <c r="H103" s="75">
        <v>6800</v>
      </c>
      <c r="I103" s="75">
        <v>9190</v>
      </c>
      <c r="J103" s="74"/>
      <c r="K103" s="74" t="s">
        <v>37</v>
      </c>
      <c r="L103" s="74"/>
      <c r="M103" s="74" t="s">
        <v>13</v>
      </c>
      <c r="N103" s="71" t="str">
        <f t="shared" si="1"/>
        <v>0</v>
      </c>
      <c r="O103" s="71" t="str">
        <f>INDEX(Кат!$D:$D,MATCH($A103,Кат!$A:$A,0))</f>
        <v>Y</v>
      </c>
    </row>
    <row r="104" spans="1:15" ht="45" x14ac:dyDescent="0.25">
      <c r="A104" s="73">
        <v>145010</v>
      </c>
      <c r="B104" s="73">
        <v>50827</v>
      </c>
      <c r="C104" s="74" t="s">
        <v>280</v>
      </c>
      <c r="D104" s="74" t="s">
        <v>13</v>
      </c>
      <c r="E104" s="74" t="s">
        <v>281</v>
      </c>
      <c r="F104" s="74" t="s">
        <v>282</v>
      </c>
      <c r="G104" s="74" t="s">
        <v>15</v>
      </c>
      <c r="H104" s="75">
        <v>1576</v>
      </c>
      <c r="I104" s="75">
        <v>2390</v>
      </c>
      <c r="J104" s="74"/>
      <c r="K104" s="74" t="s">
        <v>16</v>
      </c>
      <c r="L104" s="74"/>
      <c r="M104" s="74" t="s">
        <v>13</v>
      </c>
      <c r="N104" s="71" t="str">
        <f t="shared" si="1"/>
        <v>1</v>
      </c>
      <c r="O104" s="71" t="str">
        <f>INDEX(Кат!$D:$D,MATCH($A104,Кат!$A:$A,0))</f>
        <v>Y</v>
      </c>
    </row>
    <row r="105" spans="1:15" ht="45" x14ac:dyDescent="0.25">
      <c r="A105" s="73">
        <v>145011</v>
      </c>
      <c r="B105" s="73">
        <v>31446</v>
      </c>
      <c r="C105" s="74" t="s">
        <v>283</v>
      </c>
      <c r="D105" s="74" t="s">
        <v>13</v>
      </c>
      <c r="E105" s="74" t="s">
        <v>284</v>
      </c>
      <c r="F105" s="74" t="s">
        <v>284</v>
      </c>
      <c r="G105" s="74" t="s">
        <v>15</v>
      </c>
      <c r="H105" s="75">
        <v>62</v>
      </c>
      <c r="I105" s="75">
        <v>129</v>
      </c>
      <c r="J105" s="74"/>
      <c r="K105" s="74" t="s">
        <v>16</v>
      </c>
      <c r="L105" s="74"/>
      <c r="M105" s="74" t="s">
        <v>13</v>
      </c>
      <c r="N105" s="71" t="str">
        <f t="shared" si="1"/>
        <v>1</v>
      </c>
      <c r="O105" s="71" t="str">
        <f>INDEX(Кат!$D:$D,MATCH($A105,Кат!$A:$A,0))</f>
        <v>Y</v>
      </c>
    </row>
    <row r="106" spans="1:15" ht="45" x14ac:dyDescent="0.25">
      <c r="A106" s="73">
        <v>145012</v>
      </c>
      <c r="B106" s="73">
        <v>31447</v>
      </c>
      <c r="C106" s="74" t="s">
        <v>285</v>
      </c>
      <c r="D106" s="74" t="s">
        <v>13</v>
      </c>
      <c r="E106" s="74" t="s">
        <v>286</v>
      </c>
      <c r="F106" s="74" t="s">
        <v>286</v>
      </c>
      <c r="G106" s="74" t="s">
        <v>15</v>
      </c>
      <c r="H106" s="75">
        <v>77</v>
      </c>
      <c r="I106" s="75">
        <v>159</v>
      </c>
      <c r="J106" s="74"/>
      <c r="K106" s="74" t="s">
        <v>16</v>
      </c>
      <c r="L106" s="74"/>
      <c r="M106" s="74" t="s">
        <v>13</v>
      </c>
      <c r="N106" s="71" t="str">
        <f t="shared" si="1"/>
        <v>1</v>
      </c>
      <c r="O106" s="71" t="str">
        <f>INDEX(Кат!$D:$D,MATCH($A106,Кат!$A:$A,0))</f>
        <v>Y</v>
      </c>
    </row>
    <row r="107" spans="1:15" ht="60" x14ac:dyDescent="0.25">
      <c r="A107" s="73">
        <v>145013</v>
      </c>
      <c r="B107" s="73">
        <v>50226</v>
      </c>
      <c r="C107" s="74" t="s">
        <v>287</v>
      </c>
      <c r="D107" s="74" t="s">
        <v>13</v>
      </c>
      <c r="E107" s="74" t="s">
        <v>288</v>
      </c>
      <c r="F107" s="74" t="s">
        <v>289</v>
      </c>
      <c r="G107" s="74" t="s">
        <v>15</v>
      </c>
      <c r="H107" s="75">
        <v>1725</v>
      </c>
      <c r="I107" s="75">
        <v>2490</v>
      </c>
      <c r="J107" s="74" t="s">
        <v>290</v>
      </c>
      <c r="K107" s="74" t="s">
        <v>16</v>
      </c>
      <c r="L107" s="74"/>
      <c r="M107" s="74" t="s">
        <v>13</v>
      </c>
      <c r="N107" s="71" t="str">
        <f t="shared" si="1"/>
        <v>1</v>
      </c>
      <c r="O107" s="71" t="str">
        <f>INDEX(Кат!$D:$D,MATCH($A107,Кат!$A:$A,0))</f>
        <v>Y</v>
      </c>
    </row>
    <row r="108" spans="1:15" ht="45" x14ac:dyDescent="0.25">
      <c r="A108" s="73">
        <v>145014</v>
      </c>
      <c r="B108" s="73">
        <v>48566</v>
      </c>
      <c r="C108" s="74" t="s">
        <v>291</v>
      </c>
      <c r="D108" s="74" t="s">
        <v>13</v>
      </c>
      <c r="E108" s="74" t="s">
        <v>292</v>
      </c>
      <c r="F108" s="74" t="s">
        <v>293</v>
      </c>
      <c r="G108" s="74" t="s">
        <v>15</v>
      </c>
      <c r="H108" s="75">
        <v>1730</v>
      </c>
      <c r="I108" s="75">
        <v>2590</v>
      </c>
      <c r="J108" s="74"/>
      <c r="K108" s="74" t="s">
        <v>16</v>
      </c>
      <c r="L108" s="74"/>
      <c r="M108" s="74" t="s">
        <v>13</v>
      </c>
      <c r="N108" s="71" t="str">
        <f t="shared" si="1"/>
        <v>1</v>
      </c>
      <c r="O108" s="71" t="str">
        <f>INDEX(Кат!$D:$D,MATCH($A108,Кат!$A:$A,0))</f>
        <v>Y</v>
      </c>
    </row>
    <row r="109" spans="1:15" ht="30" x14ac:dyDescent="0.25">
      <c r="A109" s="73">
        <v>145015</v>
      </c>
      <c r="B109" s="73">
        <v>50215</v>
      </c>
      <c r="C109" s="74" t="s">
        <v>294</v>
      </c>
      <c r="D109" s="74" t="s">
        <v>13</v>
      </c>
      <c r="E109" s="74" t="s">
        <v>295</v>
      </c>
      <c r="F109" s="74" t="s">
        <v>296</v>
      </c>
      <c r="G109" s="74" t="s">
        <v>15</v>
      </c>
      <c r="H109" s="75">
        <v>1479</v>
      </c>
      <c r="I109" s="75">
        <v>2290</v>
      </c>
      <c r="J109" s="74" t="s">
        <v>297</v>
      </c>
      <c r="K109" s="74" t="s">
        <v>16</v>
      </c>
      <c r="L109" s="74"/>
      <c r="M109" s="74" t="s">
        <v>13</v>
      </c>
      <c r="N109" s="71" t="str">
        <f t="shared" si="1"/>
        <v>1</v>
      </c>
      <c r="O109" s="71" t="str">
        <f>INDEX(Кат!$D:$D,MATCH($A109,Кат!$A:$A,0))</f>
        <v>Y</v>
      </c>
    </row>
    <row r="110" spans="1:15" ht="45" x14ac:dyDescent="0.25">
      <c r="A110" s="73">
        <v>145016</v>
      </c>
      <c r="B110" s="73">
        <v>31269</v>
      </c>
      <c r="C110" s="74" t="s">
        <v>298</v>
      </c>
      <c r="D110" s="74" t="s">
        <v>13</v>
      </c>
      <c r="E110" s="74" t="s">
        <v>299</v>
      </c>
      <c r="F110" s="74" t="s">
        <v>299</v>
      </c>
      <c r="G110" s="74" t="s">
        <v>15</v>
      </c>
      <c r="H110" s="75">
        <v>26</v>
      </c>
      <c r="I110" s="75">
        <v>59</v>
      </c>
      <c r="J110" s="74"/>
      <c r="K110" s="74" t="s">
        <v>16</v>
      </c>
      <c r="L110" s="74"/>
      <c r="M110" s="74" t="s">
        <v>13</v>
      </c>
      <c r="N110" s="71" t="str">
        <f t="shared" si="1"/>
        <v>1</v>
      </c>
      <c r="O110" s="71" t="str">
        <f>INDEX(Кат!$D:$D,MATCH($A110,Кат!$A:$A,0))</f>
        <v>Y</v>
      </c>
    </row>
    <row r="111" spans="1:15" ht="75" x14ac:dyDescent="0.25">
      <c r="A111" s="73">
        <v>145017</v>
      </c>
      <c r="B111" s="73">
        <v>32707</v>
      </c>
      <c r="C111" s="74" t="s">
        <v>300</v>
      </c>
      <c r="D111" s="74" t="s">
        <v>13</v>
      </c>
      <c r="E111" s="74" t="s">
        <v>301</v>
      </c>
      <c r="F111" s="74" t="s">
        <v>301</v>
      </c>
      <c r="G111" s="74" t="s">
        <v>15</v>
      </c>
      <c r="H111" s="75">
        <v>2956</v>
      </c>
      <c r="I111" s="75">
        <v>4190</v>
      </c>
      <c r="J111" s="74" t="s">
        <v>302</v>
      </c>
      <c r="K111" s="74" t="s">
        <v>16</v>
      </c>
      <c r="L111" s="74"/>
      <c r="M111" s="74" t="s">
        <v>13</v>
      </c>
      <c r="N111" s="71" t="str">
        <f t="shared" si="1"/>
        <v>1</v>
      </c>
      <c r="O111" s="71" t="str">
        <f>INDEX(Кат!$D:$D,MATCH($A111,Кат!$A:$A,0))</f>
        <v>Y</v>
      </c>
    </row>
    <row r="112" spans="1:15" ht="45" x14ac:dyDescent="0.25">
      <c r="A112" s="73">
        <v>145018</v>
      </c>
      <c r="B112" s="73">
        <v>31222</v>
      </c>
      <c r="C112" s="74" t="s">
        <v>303</v>
      </c>
      <c r="D112" s="74" t="s">
        <v>13</v>
      </c>
      <c r="E112" s="74" t="s">
        <v>304</v>
      </c>
      <c r="F112" s="74" t="s">
        <v>304</v>
      </c>
      <c r="G112" s="74" t="s">
        <v>15</v>
      </c>
      <c r="H112" s="75">
        <v>658</v>
      </c>
      <c r="I112" s="75">
        <v>1090</v>
      </c>
      <c r="J112" s="74"/>
      <c r="K112" s="74" t="s">
        <v>16</v>
      </c>
      <c r="L112" s="74"/>
      <c r="M112" s="74" t="s">
        <v>13</v>
      </c>
      <c r="N112" s="71" t="str">
        <f t="shared" si="1"/>
        <v>1</v>
      </c>
      <c r="O112" s="71" t="str">
        <f>INDEX(Кат!$D:$D,MATCH($A112,Кат!$A:$A,0))</f>
        <v>Y</v>
      </c>
    </row>
    <row r="113" spans="1:15" ht="75" x14ac:dyDescent="0.25">
      <c r="A113" s="73">
        <v>145019</v>
      </c>
      <c r="B113" s="73">
        <v>31215</v>
      </c>
      <c r="C113" s="74" t="s">
        <v>305</v>
      </c>
      <c r="D113" s="74" t="s">
        <v>13</v>
      </c>
      <c r="E113" s="74" t="s">
        <v>306</v>
      </c>
      <c r="F113" s="74" t="s">
        <v>306</v>
      </c>
      <c r="G113" s="74" t="s">
        <v>15</v>
      </c>
      <c r="H113" s="75">
        <v>480</v>
      </c>
      <c r="I113" s="75">
        <v>769</v>
      </c>
      <c r="J113" s="74" t="s">
        <v>307</v>
      </c>
      <c r="K113" s="74" t="s">
        <v>16</v>
      </c>
      <c r="L113" s="74"/>
      <c r="M113" s="74" t="s">
        <v>13</v>
      </c>
      <c r="N113" s="71" t="str">
        <f t="shared" si="1"/>
        <v>1</v>
      </c>
      <c r="O113" s="71" t="str">
        <f>INDEX(Кат!$D:$D,MATCH($A113,Кат!$A:$A,0))</f>
        <v>Y</v>
      </c>
    </row>
    <row r="114" spans="1:15" ht="75" x14ac:dyDescent="0.25">
      <c r="A114" s="73">
        <v>145020</v>
      </c>
      <c r="B114" s="73">
        <v>31223</v>
      </c>
      <c r="C114" s="74" t="s">
        <v>308</v>
      </c>
      <c r="D114" s="74" t="s">
        <v>13</v>
      </c>
      <c r="E114" s="74" t="s">
        <v>309</v>
      </c>
      <c r="F114" s="74" t="s">
        <v>309</v>
      </c>
      <c r="G114" s="74" t="s">
        <v>15</v>
      </c>
      <c r="H114" s="75">
        <v>1503</v>
      </c>
      <c r="I114" s="75">
        <v>2290</v>
      </c>
      <c r="J114" s="74" t="s">
        <v>310</v>
      </c>
      <c r="K114" s="74" t="s">
        <v>16</v>
      </c>
      <c r="L114" s="74"/>
      <c r="M114" s="74" t="s">
        <v>13</v>
      </c>
      <c r="N114" s="71" t="str">
        <f t="shared" si="1"/>
        <v>1</v>
      </c>
      <c r="O114" s="71" t="str">
        <f>INDEX(Кат!$D:$D,MATCH($A114,Кат!$A:$A,0))</f>
        <v>Y</v>
      </c>
    </row>
    <row r="115" spans="1:15" ht="75" x14ac:dyDescent="0.25">
      <c r="A115" s="73">
        <v>145021</v>
      </c>
      <c r="B115" s="73">
        <v>31216</v>
      </c>
      <c r="C115" s="74" t="s">
        <v>311</v>
      </c>
      <c r="D115" s="74" t="s">
        <v>13</v>
      </c>
      <c r="E115" s="74" t="s">
        <v>312</v>
      </c>
      <c r="F115" s="74" t="s">
        <v>312</v>
      </c>
      <c r="G115" s="74" t="s">
        <v>15</v>
      </c>
      <c r="H115" s="75">
        <v>377</v>
      </c>
      <c r="I115" s="75">
        <v>609</v>
      </c>
      <c r="J115" s="74" t="s">
        <v>313</v>
      </c>
      <c r="K115" s="74" t="s">
        <v>16</v>
      </c>
      <c r="L115" s="74"/>
      <c r="M115" s="74" t="s">
        <v>13</v>
      </c>
      <c r="N115" s="71" t="str">
        <f t="shared" si="1"/>
        <v>1</v>
      </c>
      <c r="O115" s="71" t="str">
        <f>INDEX(Кат!$D:$D,MATCH($A115,Кат!$A:$A,0))</f>
        <v>Y</v>
      </c>
    </row>
    <row r="116" spans="1:15" ht="60" x14ac:dyDescent="0.25">
      <c r="A116" s="73">
        <v>145022</v>
      </c>
      <c r="B116" s="73">
        <v>31183</v>
      </c>
      <c r="C116" s="74" t="s">
        <v>314</v>
      </c>
      <c r="D116" s="74" t="s">
        <v>13</v>
      </c>
      <c r="E116" s="74" t="s">
        <v>315</v>
      </c>
      <c r="F116" s="74" t="s">
        <v>315</v>
      </c>
      <c r="G116" s="74" t="s">
        <v>15</v>
      </c>
      <c r="H116" s="75">
        <v>3100</v>
      </c>
      <c r="I116" s="75">
        <v>4390</v>
      </c>
      <c r="J116" s="74" t="s">
        <v>316</v>
      </c>
      <c r="K116" s="74" t="s">
        <v>16</v>
      </c>
      <c r="L116" s="74" t="s">
        <v>16</v>
      </c>
      <c r="M116" s="74" t="s">
        <v>13</v>
      </c>
      <c r="N116" s="71" t="str">
        <f t="shared" si="1"/>
        <v>1ск1</v>
      </c>
      <c r="O116" s="71" t="str">
        <f>INDEX(Кат!$D:$D,MATCH($A116,Кат!$A:$A,0))</f>
        <v>Y</v>
      </c>
    </row>
    <row r="117" spans="1:15" ht="75" x14ac:dyDescent="0.25">
      <c r="A117" s="73">
        <v>145023</v>
      </c>
      <c r="B117" s="73">
        <v>31182</v>
      </c>
      <c r="C117" s="74" t="s">
        <v>317</v>
      </c>
      <c r="D117" s="74" t="s">
        <v>13</v>
      </c>
      <c r="E117" s="74" t="s">
        <v>318</v>
      </c>
      <c r="F117" s="74" t="s">
        <v>318</v>
      </c>
      <c r="G117" s="74" t="s">
        <v>15</v>
      </c>
      <c r="H117" s="75">
        <v>5301</v>
      </c>
      <c r="I117" s="75">
        <v>7190</v>
      </c>
      <c r="J117" s="74" t="s">
        <v>319</v>
      </c>
      <c r="K117" s="74" t="s">
        <v>16</v>
      </c>
      <c r="L117" s="74" t="s">
        <v>16</v>
      </c>
      <c r="M117" s="74" t="s">
        <v>13</v>
      </c>
      <c r="N117" s="71" t="str">
        <f t="shared" si="1"/>
        <v>1ск1</v>
      </c>
      <c r="O117" s="71" t="str">
        <f>INDEX(Кат!$D:$D,MATCH($A117,Кат!$A:$A,0))</f>
        <v>Y</v>
      </c>
    </row>
    <row r="118" spans="1:15" ht="45" x14ac:dyDescent="0.25">
      <c r="A118" s="73">
        <v>145024</v>
      </c>
      <c r="B118" s="73">
        <v>31427</v>
      </c>
      <c r="C118" s="74" t="s">
        <v>320</v>
      </c>
      <c r="D118" s="74" t="s">
        <v>13</v>
      </c>
      <c r="E118" s="74" t="s">
        <v>321</v>
      </c>
      <c r="F118" s="74" t="s">
        <v>321</v>
      </c>
      <c r="G118" s="74" t="s">
        <v>15</v>
      </c>
      <c r="H118" s="75">
        <v>130</v>
      </c>
      <c r="I118" s="75">
        <v>239</v>
      </c>
      <c r="J118" s="74" t="s">
        <v>322</v>
      </c>
      <c r="K118" s="74" t="s">
        <v>16</v>
      </c>
      <c r="L118" s="74"/>
      <c r="M118" s="74" t="s">
        <v>13</v>
      </c>
      <c r="N118" s="71" t="str">
        <f t="shared" si="1"/>
        <v>1</v>
      </c>
      <c r="O118" s="71" t="str">
        <f>INDEX(Кат!$D:$D,MATCH($A118,Кат!$A:$A,0))</f>
        <v>Y</v>
      </c>
    </row>
    <row r="119" spans="1:15" ht="60" x14ac:dyDescent="0.25">
      <c r="A119" s="73">
        <v>145025</v>
      </c>
      <c r="B119" s="73">
        <v>31392</v>
      </c>
      <c r="C119" s="74" t="s">
        <v>323</v>
      </c>
      <c r="D119" s="74" t="s">
        <v>13</v>
      </c>
      <c r="E119" s="74" t="s">
        <v>324</v>
      </c>
      <c r="F119" s="74" t="s">
        <v>324</v>
      </c>
      <c r="G119" s="74" t="s">
        <v>15</v>
      </c>
      <c r="H119" s="75">
        <v>106</v>
      </c>
      <c r="I119" s="75">
        <v>199</v>
      </c>
      <c r="J119" s="74" t="s">
        <v>325</v>
      </c>
      <c r="K119" s="74" t="s">
        <v>16</v>
      </c>
      <c r="L119" s="74"/>
      <c r="M119" s="74" t="s">
        <v>13</v>
      </c>
      <c r="N119" s="71" t="str">
        <f t="shared" si="1"/>
        <v>1</v>
      </c>
      <c r="O119" s="71" t="str">
        <f>INDEX(Кат!$D:$D,MATCH($A119,Кат!$A:$A,0))</f>
        <v>Y</v>
      </c>
    </row>
    <row r="120" spans="1:15" ht="75" x14ac:dyDescent="0.25">
      <c r="A120" s="73">
        <v>145026</v>
      </c>
      <c r="B120" s="73">
        <v>30988</v>
      </c>
      <c r="C120" s="74" t="s">
        <v>326</v>
      </c>
      <c r="D120" s="74" t="s">
        <v>13</v>
      </c>
      <c r="E120" s="74" t="s">
        <v>327</v>
      </c>
      <c r="F120" s="74" t="s">
        <v>327</v>
      </c>
      <c r="G120" s="74" t="s">
        <v>15</v>
      </c>
      <c r="H120" s="75">
        <v>211</v>
      </c>
      <c r="I120" s="75">
        <v>379</v>
      </c>
      <c r="J120" s="74" t="s">
        <v>328</v>
      </c>
      <c r="K120" s="74" t="s">
        <v>16</v>
      </c>
      <c r="L120" s="74"/>
      <c r="M120" s="74" t="s">
        <v>13</v>
      </c>
      <c r="N120" s="71" t="str">
        <f t="shared" si="1"/>
        <v>1</v>
      </c>
      <c r="O120" s="71" t="str">
        <f>INDEX(Кат!$D:$D,MATCH($A120,Кат!$A:$A,0))</f>
        <v>Y</v>
      </c>
    </row>
    <row r="121" spans="1:15" ht="60" x14ac:dyDescent="0.25">
      <c r="A121" s="73">
        <v>145027</v>
      </c>
      <c r="B121" s="73">
        <v>31393</v>
      </c>
      <c r="C121" s="74" t="s">
        <v>329</v>
      </c>
      <c r="D121" s="74" t="s">
        <v>13</v>
      </c>
      <c r="E121" s="74" t="s">
        <v>330</v>
      </c>
      <c r="F121" s="74" t="s">
        <v>330</v>
      </c>
      <c r="G121" s="74" t="s">
        <v>15</v>
      </c>
      <c r="H121" s="75">
        <v>113</v>
      </c>
      <c r="I121" s="75">
        <v>209</v>
      </c>
      <c r="J121" s="74" t="s">
        <v>331</v>
      </c>
      <c r="K121" s="74" t="s">
        <v>16</v>
      </c>
      <c r="L121" s="74"/>
      <c r="M121" s="74" t="s">
        <v>13</v>
      </c>
      <c r="N121" s="71" t="str">
        <f t="shared" si="1"/>
        <v>1</v>
      </c>
      <c r="O121" s="71" t="str">
        <f>INDEX(Кат!$D:$D,MATCH($A121,Кат!$A:$A,0))</f>
        <v>Y</v>
      </c>
    </row>
    <row r="122" spans="1:15" ht="60" x14ac:dyDescent="0.25">
      <c r="A122" s="73">
        <v>145028</v>
      </c>
      <c r="B122" s="73">
        <v>30987</v>
      </c>
      <c r="C122" s="74" t="s">
        <v>332</v>
      </c>
      <c r="D122" s="74" t="s">
        <v>13</v>
      </c>
      <c r="E122" s="74" t="s">
        <v>333</v>
      </c>
      <c r="F122" s="74" t="s">
        <v>333</v>
      </c>
      <c r="G122" s="74" t="s">
        <v>15</v>
      </c>
      <c r="H122" s="75">
        <v>267</v>
      </c>
      <c r="I122" s="75">
        <v>489</v>
      </c>
      <c r="J122" s="74" t="s">
        <v>334</v>
      </c>
      <c r="K122" s="74" t="s">
        <v>16</v>
      </c>
      <c r="L122" s="74"/>
      <c r="M122" s="74" t="s">
        <v>13</v>
      </c>
      <c r="N122" s="71" t="str">
        <f t="shared" si="1"/>
        <v>1</v>
      </c>
      <c r="O122" s="71" t="str">
        <f>INDEX(Кат!$D:$D,MATCH($A122,Кат!$A:$A,0))</f>
        <v>Y</v>
      </c>
    </row>
    <row r="123" spans="1:15" ht="75" x14ac:dyDescent="0.25">
      <c r="A123" s="73">
        <v>145029</v>
      </c>
      <c r="B123" s="73">
        <v>32691</v>
      </c>
      <c r="C123" s="74" t="s">
        <v>335</v>
      </c>
      <c r="D123" s="74" t="s">
        <v>13</v>
      </c>
      <c r="E123" s="74" t="s">
        <v>336</v>
      </c>
      <c r="F123" s="74" t="s">
        <v>336</v>
      </c>
      <c r="G123" s="74" t="s">
        <v>15</v>
      </c>
      <c r="H123" s="75">
        <v>3266</v>
      </c>
      <c r="I123" s="75">
        <v>4590</v>
      </c>
      <c r="J123" s="74" t="s">
        <v>337</v>
      </c>
      <c r="K123" s="74" t="s">
        <v>16</v>
      </c>
      <c r="L123" s="74"/>
      <c r="M123" s="74" t="s">
        <v>13</v>
      </c>
      <c r="N123" s="71" t="str">
        <f t="shared" si="1"/>
        <v>1</v>
      </c>
      <c r="O123" s="71" t="str">
        <f>INDEX(Кат!$D:$D,MATCH($A123,Кат!$A:$A,0))</f>
        <v>Y</v>
      </c>
    </row>
    <row r="124" spans="1:15" ht="60" x14ac:dyDescent="0.25">
      <c r="A124" s="73">
        <v>145030</v>
      </c>
      <c r="B124" s="73">
        <v>31213</v>
      </c>
      <c r="C124" s="74" t="s">
        <v>338</v>
      </c>
      <c r="D124" s="74" t="s">
        <v>13</v>
      </c>
      <c r="E124" s="74" t="s">
        <v>339</v>
      </c>
      <c r="F124" s="74" t="s">
        <v>339</v>
      </c>
      <c r="G124" s="74" t="s">
        <v>15</v>
      </c>
      <c r="H124" s="75">
        <v>1792.39</v>
      </c>
      <c r="I124" s="75">
        <v>2690</v>
      </c>
      <c r="J124" s="74" t="s">
        <v>340</v>
      </c>
      <c r="K124" s="74" t="s">
        <v>16</v>
      </c>
      <c r="L124" s="74"/>
      <c r="M124" s="74" t="s">
        <v>13</v>
      </c>
      <c r="N124" s="71" t="str">
        <f t="shared" si="1"/>
        <v>1</v>
      </c>
      <c r="O124" s="71" t="str">
        <f>INDEX(Кат!$D:$D,MATCH($A124,Кат!$A:$A,0))</f>
        <v>Y</v>
      </c>
    </row>
    <row r="125" spans="1:15" ht="75" x14ac:dyDescent="0.25">
      <c r="A125" s="73">
        <v>145031</v>
      </c>
      <c r="B125" s="73">
        <v>31202</v>
      </c>
      <c r="C125" s="74" t="s">
        <v>341</v>
      </c>
      <c r="D125" s="74" t="s">
        <v>13</v>
      </c>
      <c r="E125" s="74" t="s">
        <v>342</v>
      </c>
      <c r="F125" s="74" t="s">
        <v>342</v>
      </c>
      <c r="G125" s="74" t="s">
        <v>15</v>
      </c>
      <c r="H125" s="75">
        <v>2517</v>
      </c>
      <c r="I125" s="75">
        <v>3590</v>
      </c>
      <c r="J125" s="74" t="s">
        <v>343</v>
      </c>
      <c r="K125" s="74" t="s">
        <v>16</v>
      </c>
      <c r="L125" s="74"/>
      <c r="M125" s="74" t="s">
        <v>13</v>
      </c>
      <c r="N125" s="71" t="str">
        <f t="shared" si="1"/>
        <v>1</v>
      </c>
      <c r="O125" s="71" t="str">
        <f>INDEX(Кат!$D:$D,MATCH($A125,Кат!$A:$A,0))</f>
        <v>Y</v>
      </c>
    </row>
    <row r="126" spans="1:15" ht="75" x14ac:dyDescent="0.25">
      <c r="A126" s="73">
        <v>145032</v>
      </c>
      <c r="B126" s="73">
        <v>31229</v>
      </c>
      <c r="C126" s="74" t="s">
        <v>344</v>
      </c>
      <c r="D126" s="74" t="s">
        <v>13</v>
      </c>
      <c r="E126" s="74" t="s">
        <v>345</v>
      </c>
      <c r="F126" s="74" t="s">
        <v>345</v>
      </c>
      <c r="G126" s="74" t="s">
        <v>15</v>
      </c>
      <c r="H126" s="75">
        <v>3266</v>
      </c>
      <c r="I126" s="75">
        <v>4590</v>
      </c>
      <c r="J126" s="74" t="s">
        <v>346</v>
      </c>
      <c r="K126" s="74" t="s">
        <v>16</v>
      </c>
      <c r="L126" s="74"/>
      <c r="M126" s="74" t="s">
        <v>13</v>
      </c>
      <c r="N126" s="71" t="str">
        <f t="shared" si="1"/>
        <v>1</v>
      </c>
      <c r="O126" s="71" t="str">
        <f>INDEX(Кат!$D:$D,MATCH($A126,Кат!$A:$A,0))</f>
        <v>Y</v>
      </c>
    </row>
    <row r="127" spans="1:15" ht="30" x14ac:dyDescent="0.25">
      <c r="A127" s="73">
        <v>152866</v>
      </c>
      <c r="B127" s="73">
        <v>31415</v>
      </c>
      <c r="C127" s="74" t="s">
        <v>347</v>
      </c>
      <c r="D127" s="74" t="s">
        <v>13</v>
      </c>
      <c r="E127" s="74" t="s">
        <v>348</v>
      </c>
      <c r="F127" s="74" t="s">
        <v>348</v>
      </c>
      <c r="G127" s="74" t="s">
        <v>15</v>
      </c>
      <c r="H127" s="75">
        <v>265</v>
      </c>
      <c r="I127" s="75">
        <v>479</v>
      </c>
      <c r="J127" s="74"/>
      <c r="K127" s="74" t="s">
        <v>16</v>
      </c>
      <c r="L127" s="74"/>
      <c r="M127" s="74" t="s">
        <v>13</v>
      </c>
      <c r="N127" s="71" t="str">
        <f t="shared" si="1"/>
        <v>1</v>
      </c>
      <c r="O127" s="71" t="str">
        <f>INDEX(Кат!$D:$D,MATCH($A127,Кат!$A:$A,0))</f>
        <v>Y</v>
      </c>
    </row>
    <row r="128" spans="1:15" ht="45" x14ac:dyDescent="0.25">
      <c r="A128" s="73">
        <v>155727</v>
      </c>
      <c r="B128" s="73">
        <v>32729</v>
      </c>
      <c r="C128" s="74" t="s">
        <v>349</v>
      </c>
      <c r="D128" s="74" t="s">
        <v>13</v>
      </c>
      <c r="E128" s="74" t="s">
        <v>350</v>
      </c>
      <c r="F128" s="74" t="s">
        <v>350</v>
      </c>
      <c r="G128" s="74" t="s">
        <v>15</v>
      </c>
      <c r="H128" s="75">
        <v>10601</v>
      </c>
      <c r="I128" s="75">
        <v>14890</v>
      </c>
      <c r="J128" s="74"/>
      <c r="K128" s="74" t="s">
        <v>16</v>
      </c>
      <c r="L128" s="74"/>
      <c r="M128" s="74" t="s">
        <v>13</v>
      </c>
      <c r="N128" s="71" t="str">
        <f t="shared" si="1"/>
        <v>1</v>
      </c>
      <c r="O128" s="71" t="str">
        <f>INDEX(Кат!$D:$D,MATCH($A128,Кат!$A:$A,0))</f>
        <v>Y</v>
      </c>
    </row>
    <row r="129" spans="1:15" ht="75" x14ac:dyDescent="0.25">
      <c r="A129" s="73">
        <v>155729</v>
      </c>
      <c r="B129" s="73">
        <v>32648</v>
      </c>
      <c r="C129" s="74" t="s">
        <v>351</v>
      </c>
      <c r="D129" s="74" t="s">
        <v>13</v>
      </c>
      <c r="E129" s="74" t="s">
        <v>352</v>
      </c>
      <c r="F129" s="74" t="s">
        <v>352</v>
      </c>
      <c r="G129" s="74" t="s">
        <v>15</v>
      </c>
      <c r="H129" s="75">
        <v>5291</v>
      </c>
      <c r="I129" s="75">
        <v>7490</v>
      </c>
      <c r="J129" s="74" t="s">
        <v>353</v>
      </c>
      <c r="K129" s="74" t="s">
        <v>16</v>
      </c>
      <c r="L129" s="74"/>
      <c r="M129" s="74" t="s">
        <v>13</v>
      </c>
      <c r="N129" s="71" t="str">
        <f t="shared" si="1"/>
        <v>1</v>
      </c>
      <c r="O129" s="71" t="str">
        <f>INDEX(Кат!$D:$D,MATCH($A129,Кат!$A:$A,0))</f>
        <v>Y</v>
      </c>
    </row>
    <row r="130" spans="1:15" ht="75" x14ac:dyDescent="0.25">
      <c r="A130" s="73">
        <v>155730</v>
      </c>
      <c r="B130" s="73">
        <v>31296</v>
      </c>
      <c r="C130" s="74" t="s">
        <v>354</v>
      </c>
      <c r="D130" s="74" t="s">
        <v>13</v>
      </c>
      <c r="E130" s="74" t="s">
        <v>355</v>
      </c>
      <c r="F130" s="74" t="s">
        <v>355</v>
      </c>
      <c r="G130" s="74" t="s">
        <v>15</v>
      </c>
      <c r="H130" s="75">
        <v>5291</v>
      </c>
      <c r="I130" s="75">
        <v>7490</v>
      </c>
      <c r="J130" s="74" t="s">
        <v>356</v>
      </c>
      <c r="K130" s="74" t="s">
        <v>16</v>
      </c>
      <c r="L130" s="74"/>
      <c r="M130" s="74" t="s">
        <v>13</v>
      </c>
      <c r="N130" s="71" t="str">
        <f t="shared" si="1"/>
        <v>1</v>
      </c>
      <c r="O130" s="71" t="str">
        <f>INDEX(Кат!$D:$D,MATCH($A130,Кат!$A:$A,0))</f>
        <v>Y</v>
      </c>
    </row>
    <row r="131" spans="1:15" ht="30" x14ac:dyDescent="0.25">
      <c r="A131" s="73">
        <v>160331</v>
      </c>
      <c r="B131" s="73">
        <v>31444</v>
      </c>
      <c r="C131" s="74" t="s">
        <v>357</v>
      </c>
      <c r="D131" s="74" t="s">
        <v>13</v>
      </c>
      <c r="E131" s="74" t="s">
        <v>358</v>
      </c>
      <c r="F131" s="74" t="s">
        <v>358</v>
      </c>
      <c r="G131" s="74" t="s">
        <v>15</v>
      </c>
      <c r="H131" s="75">
        <v>86</v>
      </c>
      <c r="I131" s="75">
        <v>179</v>
      </c>
      <c r="J131" s="74"/>
      <c r="K131" s="74" t="s">
        <v>16</v>
      </c>
      <c r="L131" s="74"/>
      <c r="M131" s="74" t="s">
        <v>13</v>
      </c>
      <c r="N131" s="71" t="str">
        <f t="shared" ref="N131:N194" si="2">_xlfn.CONCAT(K131,IF(L131&lt;&gt;"",_xlfn.CONCAT("ск",L131),""))</f>
        <v>1</v>
      </c>
      <c r="O131" s="71" t="str">
        <f>INDEX(Кат!$D:$D,MATCH($A131,Кат!$A:$A,0))</f>
        <v>Y</v>
      </c>
    </row>
    <row r="132" spans="1:15" ht="45" x14ac:dyDescent="0.25">
      <c r="A132" s="73">
        <v>160632</v>
      </c>
      <c r="B132" s="73">
        <v>31381</v>
      </c>
      <c r="C132" s="74" t="s">
        <v>359</v>
      </c>
      <c r="D132" s="74" t="s">
        <v>13</v>
      </c>
      <c r="E132" s="74" t="s">
        <v>360</v>
      </c>
      <c r="F132" s="74" t="s">
        <v>360</v>
      </c>
      <c r="G132" s="74" t="s">
        <v>15</v>
      </c>
      <c r="H132" s="75">
        <v>1066</v>
      </c>
      <c r="I132" s="75">
        <v>1590</v>
      </c>
      <c r="J132" s="74"/>
      <c r="K132" s="74" t="s">
        <v>16</v>
      </c>
      <c r="L132" s="74"/>
      <c r="M132" s="74" t="s">
        <v>13</v>
      </c>
      <c r="N132" s="71" t="str">
        <f t="shared" si="2"/>
        <v>1</v>
      </c>
      <c r="O132" s="71" t="str">
        <f>INDEX(Кат!$D:$D,MATCH($A132,Кат!$A:$A,0))</f>
        <v>Y</v>
      </c>
    </row>
    <row r="133" spans="1:15" ht="45" x14ac:dyDescent="0.25">
      <c r="A133" s="73">
        <v>160633</v>
      </c>
      <c r="B133" s="73">
        <v>31382</v>
      </c>
      <c r="C133" s="74" t="s">
        <v>361</v>
      </c>
      <c r="D133" s="74" t="s">
        <v>13</v>
      </c>
      <c r="E133" s="74" t="s">
        <v>362</v>
      </c>
      <c r="F133" s="74" t="s">
        <v>362</v>
      </c>
      <c r="G133" s="74" t="s">
        <v>15</v>
      </c>
      <c r="H133" s="75">
        <v>198</v>
      </c>
      <c r="I133" s="75">
        <v>359</v>
      </c>
      <c r="J133" s="74"/>
      <c r="K133" s="74" t="s">
        <v>16</v>
      </c>
      <c r="L133" s="74"/>
      <c r="M133" s="74" t="s">
        <v>13</v>
      </c>
      <c r="N133" s="71" t="str">
        <f t="shared" si="2"/>
        <v>1</v>
      </c>
      <c r="O133" s="71" t="str">
        <f>INDEX(Кат!$D:$D,MATCH($A133,Кат!$A:$A,0))</f>
        <v>Y</v>
      </c>
    </row>
    <row r="134" spans="1:15" ht="45" x14ac:dyDescent="0.25">
      <c r="A134" s="73">
        <v>160634</v>
      </c>
      <c r="B134" s="73">
        <v>31383</v>
      </c>
      <c r="C134" s="74" t="s">
        <v>363</v>
      </c>
      <c r="D134" s="74" t="s">
        <v>13</v>
      </c>
      <c r="E134" s="74" t="s">
        <v>364</v>
      </c>
      <c r="F134" s="74" t="s">
        <v>364</v>
      </c>
      <c r="G134" s="74" t="s">
        <v>15</v>
      </c>
      <c r="H134" s="75">
        <v>311</v>
      </c>
      <c r="I134" s="75">
        <v>499</v>
      </c>
      <c r="J134" s="74"/>
      <c r="K134" s="74" t="s">
        <v>16</v>
      </c>
      <c r="L134" s="74"/>
      <c r="M134" s="74" t="s">
        <v>13</v>
      </c>
      <c r="N134" s="71" t="str">
        <f t="shared" si="2"/>
        <v>1</v>
      </c>
      <c r="O134" s="71" t="str">
        <f>INDEX(Кат!$D:$D,MATCH($A134,Кат!$A:$A,0))</f>
        <v>Y</v>
      </c>
    </row>
    <row r="135" spans="1:15" ht="45" x14ac:dyDescent="0.25">
      <c r="A135" s="73">
        <v>160635</v>
      </c>
      <c r="B135" s="73">
        <v>45962</v>
      </c>
      <c r="C135" s="74" t="s">
        <v>365</v>
      </c>
      <c r="D135" s="74" t="s">
        <v>13</v>
      </c>
      <c r="E135" s="74" t="s">
        <v>366</v>
      </c>
      <c r="F135" s="74" t="s">
        <v>367</v>
      </c>
      <c r="G135" s="74" t="s">
        <v>15</v>
      </c>
      <c r="H135" s="75">
        <v>698</v>
      </c>
      <c r="I135" s="75">
        <v>1090</v>
      </c>
      <c r="J135" s="74"/>
      <c r="K135" s="74" t="s">
        <v>16</v>
      </c>
      <c r="L135" s="74"/>
      <c r="M135" s="74"/>
      <c r="N135" s="71" t="str">
        <f t="shared" si="2"/>
        <v>1</v>
      </c>
      <c r="O135" s="71" t="str">
        <f>INDEX(Кат!$D:$D,MATCH($A135,Кат!$A:$A,0))</f>
        <v>Y</v>
      </c>
    </row>
    <row r="136" spans="1:15" ht="45" x14ac:dyDescent="0.25">
      <c r="A136" s="73">
        <v>160636</v>
      </c>
      <c r="B136" s="73">
        <v>45961</v>
      </c>
      <c r="C136" s="74" t="s">
        <v>368</v>
      </c>
      <c r="D136" s="74" t="s">
        <v>13</v>
      </c>
      <c r="E136" s="74" t="s">
        <v>369</v>
      </c>
      <c r="F136" s="74" t="s">
        <v>370</v>
      </c>
      <c r="G136" s="74" t="s">
        <v>15</v>
      </c>
      <c r="H136" s="75">
        <v>1143</v>
      </c>
      <c r="I136" s="75">
        <v>1790</v>
      </c>
      <c r="J136" s="74"/>
      <c r="K136" s="74" t="s">
        <v>16</v>
      </c>
      <c r="L136" s="74"/>
      <c r="M136" s="74" t="s">
        <v>13</v>
      </c>
      <c r="N136" s="71" t="str">
        <f t="shared" si="2"/>
        <v>1</v>
      </c>
      <c r="O136" s="71" t="str">
        <f>INDEX(Кат!$D:$D,MATCH($A136,Кат!$A:$A,0))</f>
        <v>Y</v>
      </c>
    </row>
    <row r="137" spans="1:15" ht="30" x14ac:dyDescent="0.25">
      <c r="A137" s="73">
        <v>160637</v>
      </c>
      <c r="B137" s="73">
        <v>32761</v>
      </c>
      <c r="C137" s="74" t="s">
        <v>371</v>
      </c>
      <c r="D137" s="74" t="s">
        <v>13</v>
      </c>
      <c r="E137" s="74" t="s">
        <v>372</v>
      </c>
      <c r="F137" s="74" t="s">
        <v>372</v>
      </c>
      <c r="G137" s="74" t="s">
        <v>15</v>
      </c>
      <c r="H137" s="75">
        <v>730</v>
      </c>
      <c r="I137" s="75">
        <v>1190</v>
      </c>
      <c r="J137" s="74"/>
      <c r="K137" s="74" t="s">
        <v>16</v>
      </c>
      <c r="L137" s="74"/>
      <c r="M137" s="74" t="s">
        <v>13</v>
      </c>
      <c r="N137" s="71" t="str">
        <f t="shared" si="2"/>
        <v>1</v>
      </c>
      <c r="O137" s="71" t="str">
        <f>INDEX(Кат!$D:$D,MATCH($A137,Кат!$A:$A,0))</f>
        <v>Y</v>
      </c>
    </row>
    <row r="138" spans="1:15" ht="30" x14ac:dyDescent="0.25">
      <c r="A138" s="73">
        <v>160638</v>
      </c>
      <c r="B138" s="73">
        <v>31078</v>
      </c>
      <c r="C138" s="74" t="s">
        <v>373</v>
      </c>
      <c r="D138" s="74" t="s">
        <v>13</v>
      </c>
      <c r="E138" s="74" t="s">
        <v>374</v>
      </c>
      <c r="F138" s="74" t="s">
        <v>374</v>
      </c>
      <c r="G138" s="74" t="s">
        <v>15</v>
      </c>
      <c r="H138" s="75">
        <v>755</v>
      </c>
      <c r="I138" s="75">
        <v>1190</v>
      </c>
      <c r="J138" s="74"/>
      <c r="K138" s="74" t="s">
        <v>16</v>
      </c>
      <c r="L138" s="74"/>
      <c r="M138" s="74" t="s">
        <v>13</v>
      </c>
      <c r="N138" s="71" t="str">
        <f t="shared" si="2"/>
        <v>1</v>
      </c>
      <c r="O138" s="71" t="str">
        <f>INDEX(Кат!$D:$D,MATCH($A138,Кат!$A:$A,0))</f>
        <v>Y</v>
      </c>
    </row>
    <row r="139" spans="1:15" ht="60" x14ac:dyDescent="0.25">
      <c r="A139" s="73">
        <v>160649</v>
      </c>
      <c r="B139" s="73">
        <v>47959</v>
      </c>
      <c r="C139" s="74" t="s">
        <v>375</v>
      </c>
      <c r="D139" s="74" t="s">
        <v>13</v>
      </c>
      <c r="E139" s="74" t="s">
        <v>376</v>
      </c>
      <c r="F139" s="74" t="s">
        <v>377</v>
      </c>
      <c r="G139" s="74" t="s">
        <v>15</v>
      </c>
      <c r="H139" s="75">
        <v>407</v>
      </c>
      <c r="I139" s="75">
        <v>659</v>
      </c>
      <c r="J139" s="74"/>
      <c r="K139" s="74" t="s">
        <v>16</v>
      </c>
      <c r="L139" s="74"/>
      <c r="M139" s="74" t="s">
        <v>13</v>
      </c>
      <c r="N139" s="71" t="str">
        <f t="shared" si="2"/>
        <v>1</v>
      </c>
      <c r="O139" s="71" t="str">
        <f>INDEX(Кат!$D:$D,MATCH($A139,Кат!$A:$A,0))</f>
        <v>Y</v>
      </c>
    </row>
    <row r="140" spans="1:15" ht="60" x14ac:dyDescent="0.25">
      <c r="A140" s="73">
        <v>160650</v>
      </c>
      <c r="B140" s="73">
        <v>47955</v>
      </c>
      <c r="C140" s="74" t="s">
        <v>378</v>
      </c>
      <c r="D140" s="74" t="s">
        <v>13</v>
      </c>
      <c r="E140" s="74" t="s">
        <v>379</v>
      </c>
      <c r="F140" s="74" t="s">
        <v>380</v>
      </c>
      <c r="G140" s="74" t="s">
        <v>15</v>
      </c>
      <c r="H140" s="75">
        <v>407</v>
      </c>
      <c r="I140" s="75">
        <v>659</v>
      </c>
      <c r="J140" s="74"/>
      <c r="K140" s="74" t="s">
        <v>16</v>
      </c>
      <c r="L140" s="74"/>
      <c r="M140" s="74" t="s">
        <v>13</v>
      </c>
      <c r="N140" s="71" t="str">
        <f t="shared" si="2"/>
        <v>1</v>
      </c>
      <c r="O140" s="71" t="str">
        <f>INDEX(Кат!$D:$D,MATCH($A140,Кат!$A:$A,0))</f>
        <v>Y</v>
      </c>
    </row>
    <row r="141" spans="1:15" ht="75" x14ac:dyDescent="0.25">
      <c r="A141" s="73">
        <v>160678</v>
      </c>
      <c r="B141" s="73">
        <v>32713</v>
      </c>
      <c r="C141" s="74" t="s">
        <v>381</v>
      </c>
      <c r="D141" s="74" t="s">
        <v>13</v>
      </c>
      <c r="E141" s="74" t="s">
        <v>382</v>
      </c>
      <c r="F141" s="74" t="s">
        <v>382</v>
      </c>
      <c r="G141" s="74" t="s">
        <v>15</v>
      </c>
      <c r="H141" s="75">
        <v>340</v>
      </c>
      <c r="I141" s="75">
        <v>549</v>
      </c>
      <c r="J141" s="74" t="s">
        <v>383</v>
      </c>
      <c r="K141" s="74" t="s">
        <v>16</v>
      </c>
      <c r="L141" s="74"/>
      <c r="M141" s="74" t="s">
        <v>13</v>
      </c>
      <c r="N141" s="71" t="str">
        <f t="shared" si="2"/>
        <v>1</v>
      </c>
      <c r="O141" s="71" t="str">
        <f>INDEX(Кат!$D:$D,MATCH($A141,Кат!$A:$A,0))</f>
        <v>Y</v>
      </c>
    </row>
    <row r="142" spans="1:15" ht="45" x14ac:dyDescent="0.25">
      <c r="A142" s="73">
        <v>160695</v>
      </c>
      <c r="B142" s="73">
        <v>19407</v>
      </c>
      <c r="C142" s="74" t="s">
        <v>384</v>
      </c>
      <c r="D142" s="74" t="s">
        <v>13</v>
      </c>
      <c r="E142" s="74" t="s">
        <v>385</v>
      </c>
      <c r="F142" s="74" t="s">
        <v>385</v>
      </c>
      <c r="G142" s="74" t="s">
        <v>15</v>
      </c>
      <c r="H142" s="75">
        <v>108</v>
      </c>
      <c r="I142" s="75">
        <v>199</v>
      </c>
      <c r="J142" s="74"/>
      <c r="K142" s="74" t="s">
        <v>16</v>
      </c>
      <c r="L142" s="74"/>
      <c r="M142" s="74" t="s">
        <v>13</v>
      </c>
      <c r="N142" s="71" t="str">
        <f t="shared" si="2"/>
        <v>1</v>
      </c>
      <c r="O142" s="71" t="str">
        <f>INDEX(Кат!$D:$D,MATCH($A142,Кат!$A:$A,0))</f>
        <v>Y</v>
      </c>
    </row>
    <row r="143" spans="1:15" ht="45" x14ac:dyDescent="0.25">
      <c r="A143" s="73">
        <v>160696</v>
      </c>
      <c r="B143" s="73">
        <v>31199</v>
      </c>
      <c r="C143" s="74" t="s">
        <v>386</v>
      </c>
      <c r="D143" s="74" t="s">
        <v>13</v>
      </c>
      <c r="E143" s="74" t="s">
        <v>387</v>
      </c>
      <c r="F143" s="74" t="s">
        <v>387</v>
      </c>
      <c r="G143" s="74" t="s">
        <v>15</v>
      </c>
      <c r="H143" s="75">
        <v>1370</v>
      </c>
      <c r="I143" s="75">
        <v>2090</v>
      </c>
      <c r="J143" s="74"/>
      <c r="K143" s="74" t="s">
        <v>16</v>
      </c>
      <c r="L143" s="74"/>
      <c r="M143" s="74" t="s">
        <v>13</v>
      </c>
      <c r="N143" s="71" t="str">
        <f t="shared" si="2"/>
        <v>1</v>
      </c>
      <c r="O143" s="71" t="str">
        <f>INDEX(Кат!$D:$D,MATCH($A143,Кат!$A:$A,0))</f>
        <v>Y</v>
      </c>
    </row>
    <row r="144" spans="1:15" ht="45" x14ac:dyDescent="0.25">
      <c r="A144" s="73">
        <v>160704</v>
      </c>
      <c r="B144" s="73">
        <v>45976</v>
      </c>
      <c r="C144" s="74" t="s">
        <v>388</v>
      </c>
      <c r="D144" s="74" t="s">
        <v>13</v>
      </c>
      <c r="E144" s="74" t="s">
        <v>389</v>
      </c>
      <c r="F144" s="74" t="s">
        <v>390</v>
      </c>
      <c r="G144" s="74" t="s">
        <v>15</v>
      </c>
      <c r="H144" s="75">
        <v>435</v>
      </c>
      <c r="I144" s="75">
        <v>699</v>
      </c>
      <c r="J144" s="74"/>
      <c r="K144" s="74" t="s">
        <v>16</v>
      </c>
      <c r="L144" s="74"/>
      <c r="M144" s="74" t="s">
        <v>13</v>
      </c>
      <c r="N144" s="71" t="str">
        <f t="shared" si="2"/>
        <v>1</v>
      </c>
      <c r="O144" s="71" t="str">
        <f>INDEX(Кат!$D:$D,MATCH($A144,Кат!$A:$A,0))</f>
        <v>Y</v>
      </c>
    </row>
    <row r="145" spans="1:15" ht="45" x14ac:dyDescent="0.25">
      <c r="A145" s="73">
        <v>160705</v>
      </c>
      <c r="B145" s="73">
        <v>45974</v>
      </c>
      <c r="C145" s="74" t="s">
        <v>391</v>
      </c>
      <c r="D145" s="74" t="s">
        <v>13</v>
      </c>
      <c r="E145" s="74" t="s">
        <v>392</v>
      </c>
      <c r="F145" s="74" t="s">
        <v>393</v>
      </c>
      <c r="G145" s="74" t="s">
        <v>15</v>
      </c>
      <c r="H145" s="75">
        <v>435</v>
      </c>
      <c r="I145" s="75">
        <v>699</v>
      </c>
      <c r="J145" s="74"/>
      <c r="K145" s="74" t="s">
        <v>16</v>
      </c>
      <c r="L145" s="74"/>
      <c r="M145" s="74" t="s">
        <v>13</v>
      </c>
      <c r="N145" s="71" t="str">
        <f t="shared" si="2"/>
        <v>1</v>
      </c>
      <c r="O145" s="71" t="str">
        <f>INDEX(Кат!$D:$D,MATCH($A145,Кат!$A:$A,0))</f>
        <v>Y</v>
      </c>
    </row>
    <row r="146" spans="1:15" ht="45" x14ac:dyDescent="0.25">
      <c r="A146" s="73">
        <v>160706</v>
      </c>
      <c r="B146" s="73">
        <v>31253</v>
      </c>
      <c r="C146" s="74" t="s">
        <v>394</v>
      </c>
      <c r="D146" s="74" t="s">
        <v>13</v>
      </c>
      <c r="E146" s="74" t="s">
        <v>395</v>
      </c>
      <c r="F146" s="74" t="s">
        <v>395</v>
      </c>
      <c r="G146" s="74" t="s">
        <v>15</v>
      </c>
      <c r="H146" s="75">
        <v>142</v>
      </c>
      <c r="I146" s="75">
        <v>259</v>
      </c>
      <c r="J146" s="74"/>
      <c r="K146" s="74" t="s">
        <v>37</v>
      </c>
      <c r="L146" s="74"/>
      <c r="M146" s="74" t="s">
        <v>13</v>
      </c>
      <c r="N146" s="71" t="str">
        <f t="shared" si="2"/>
        <v>0</v>
      </c>
      <c r="O146" s="71" t="str">
        <f>INDEX(Кат!$D:$D,MATCH($A146,Кат!$A:$A,0))</f>
        <v>Y</v>
      </c>
    </row>
    <row r="147" spans="1:15" ht="75" x14ac:dyDescent="0.25">
      <c r="A147" s="73">
        <v>160708</v>
      </c>
      <c r="B147" s="73">
        <v>19611</v>
      </c>
      <c r="C147" s="74" t="s">
        <v>396</v>
      </c>
      <c r="D147" s="74" t="s">
        <v>13</v>
      </c>
      <c r="E147" s="74" t="s">
        <v>397</v>
      </c>
      <c r="F147" s="74" t="s">
        <v>397</v>
      </c>
      <c r="G147" s="74" t="s">
        <v>15</v>
      </c>
      <c r="H147" s="75">
        <v>202</v>
      </c>
      <c r="I147" s="75">
        <v>369</v>
      </c>
      <c r="J147" s="74" t="s">
        <v>398</v>
      </c>
      <c r="K147" s="74" t="s">
        <v>16</v>
      </c>
      <c r="L147" s="74"/>
      <c r="M147" s="74" t="s">
        <v>13</v>
      </c>
      <c r="N147" s="71" t="str">
        <f t="shared" si="2"/>
        <v>1</v>
      </c>
      <c r="O147" s="71" t="str">
        <f>INDEX(Кат!$D:$D,MATCH($A147,Кат!$A:$A,0))</f>
        <v>Y</v>
      </c>
    </row>
    <row r="148" spans="1:15" ht="45" x14ac:dyDescent="0.25">
      <c r="A148" s="73">
        <v>160721</v>
      </c>
      <c r="B148" s="73">
        <v>31007</v>
      </c>
      <c r="C148" s="74" t="s">
        <v>399</v>
      </c>
      <c r="D148" s="74" t="s">
        <v>13</v>
      </c>
      <c r="E148" s="74" t="s">
        <v>400</v>
      </c>
      <c r="F148" s="74" t="s">
        <v>400</v>
      </c>
      <c r="G148" s="74" t="s">
        <v>15</v>
      </c>
      <c r="H148" s="75">
        <v>2561</v>
      </c>
      <c r="I148" s="75">
        <v>3590</v>
      </c>
      <c r="J148" s="74"/>
      <c r="K148" s="74" t="s">
        <v>16</v>
      </c>
      <c r="L148" s="74"/>
      <c r="M148" s="74" t="s">
        <v>13</v>
      </c>
      <c r="N148" s="71" t="str">
        <f t="shared" si="2"/>
        <v>1</v>
      </c>
      <c r="O148" s="71" t="str">
        <f>INDEX(Кат!$D:$D,MATCH($A148,Кат!$A:$A,0))</f>
        <v>Y</v>
      </c>
    </row>
    <row r="149" spans="1:15" ht="45" x14ac:dyDescent="0.25">
      <c r="A149" s="73">
        <v>160724</v>
      </c>
      <c r="B149" s="73">
        <v>48010</v>
      </c>
      <c r="C149" s="74" t="s">
        <v>401</v>
      </c>
      <c r="D149" s="74" t="s">
        <v>13</v>
      </c>
      <c r="E149" s="74" t="s">
        <v>402</v>
      </c>
      <c r="F149" s="74" t="s">
        <v>403</v>
      </c>
      <c r="G149" s="74" t="s">
        <v>15</v>
      </c>
      <c r="H149" s="75">
        <v>544</v>
      </c>
      <c r="I149" s="75">
        <v>849</v>
      </c>
      <c r="J149" s="74"/>
      <c r="K149" s="74" t="s">
        <v>16</v>
      </c>
      <c r="L149" s="74"/>
      <c r="M149" s="74" t="s">
        <v>13</v>
      </c>
      <c r="N149" s="71" t="str">
        <f t="shared" si="2"/>
        <v>1</v>
      </c>
      <c r="O149" s="71" t="str">
        <f>INDEX(Кат!$D:$D,MATCH($A149,Кат!$A:$A,0))</f>
        <v>Y</v>
      </c>
    </row>
    <row r="150" spans="1:15" ht="45" x14ac:dyDescent="0.25">
      <c r="A150" s="73">
        <v>160725</v>
      </c>
      <c r="B150" s="73">
        <v>48014</v>
      </c>
      <c r="C150" s="74" t="s">
        <v>404</v>
      </c>
      <c r="D150" s="74" t="s">
        <v>13</v>
      </c>
      <c r="E150" s="74" t="s">
        <v>405</v>
      </c>
      <c r="F150" s="74" t="s">
        <v>406</v>
      </c>
      <c r="G150" s="74" t="s">
        <v>15</v>
      </c>
      <c r="H150" s="75">
        <v>544</v>
      </c>
      <c r="I150" s="75">
        <v>849</v>
      </c>
      <c r="J150" s="74"/>
      <c r="K150" s="74" t="s">
        <v>16</v>
      </c>
      <c r="L150" s="74"/>
      <c r="M150" s="74" t="s">
        <v>13</v>
      </c>
      <c r="N150" s="71" t="str">
        <f t="shared" si="2"/>
        <v>1</v>
      </c>
      <c r="O150" s="71" t="str">
        <f>INDEX(Кат!$D:$D,MATCH($A150,Кат!$A:$A,0))</f>
        <v>Y</v>
      </c>
    </row>
    <row r="151" spans="1:15" ht="45" x14ac:dyDescent="0.25">
      <c r="A151" s="73">
        <v>160728</v>
      </c>
      <c r="B151" s="73">
        <v>31309</v>
      </c>
      <c r="C151" s="74" t="s">
        <v>407</v>
      </c>
      <c r="D151" s="74" t="s">
        <v>13</v>
      </c>
      <c r="E151" s="74" t="s">
        <v>408</v>
      </c>
      <c r="F151" s="74" t="s">
        <v>408</v>
      </c>
      <c r="G151" s="74" t="s">
        <v>15</v>
      </c>
      <c r="H151" s="75">
        <v>82</v>
      </c>
      <c r="I151" s="75">
        <v>169</v>
      </c>
      <c r="J151" s="74"/>
      <c r="K151" s="74" t="s">
        <v>16</v>
      </c>
      <c r="L151" s="74"/>
      <c r="M151" s="74" t="s">
        <v>13</v>
      </c>
      <c r="N151" s="71" t="str">
        <f t="shared" si="2"/>
        <v>1</v>
      </c>
      <c r="O151" s="71" t="str">
        <f>INDEX(Кат!$D:$D,MATCH($A151,Кат!$A:$A,0))</f>
        <v>Y</v>
      </c>
    </row>
    <row r="152" spans="1:15" ht="75" x14ac:dyDescent="0.25">
      <c r="A152" s="73">
        <v>160754</v>
      </c>
      <c r="B152" s="73">
        <v>50663</v>
      </c>
      <c r="C152" s="74" t="s">
        <v>409</v>
      </c>
      <c r="D152" s="74" t="s">
        <v>13</v>
      </c>
      <c r="E152" s="74" t="s">
        <v>410</v>
      </c>
      <c r="F152" s="74" t="s">
        <v>411</v>
      </c>
      <c r="G152" s="74" t="s">
        <v>15</v>
      </c>
      <c r="H152" s="75">
        <v>1086</v>
      </c>
      <c r="I152" s="75">
        <v>1690</v>
      </c>
      <c r="J152" s="74"/>
      <c r="K152" s="74" t="s">
        <v>16</v>
      </c>
      <c r="L152" s="74"/>
      <c r="M152" s="74" t="s">
        <v>13</v>
      </c>
      <c r="N152" s="71" t="str">
        <f t="shared" si="2"/>
        <v>1</v>
      </c>
      <c r="O152" s="71" t="str">
        <f>INDEX(Кат!$D:$D,MATCH($A152,Кат!$A:$A,0))</f>
        <v>Y</v>
      </c>
    </row>
    <row r="153" spans="1:15" ht="45" x14ac:dyDescent="0.25">
      <c r="A153" s="73">
        <v>160783</v>
      </c>
      <c r="B153" s="73">
        <v>31063</v>
      </c>
      <c r="C153" s="74" t="s">
        <v>412</v>
      </c>
      <c r="D153" s="74" t="s">
        <v>13</v>
      </c>
      <c r="E153" s="74" t="s">
        <v>413</v>
      </c>
      <c r="F153" s="74" t="s">
        <v>413</v>
      </c>
      <c r="G153" s="74" t="s">
        <v>15</v>
      </c>
      <c r="H153" s="75">
        <v>1854</v>
      </c>
      <c r="I153" s="75">
        <v>2790</v>
      </c>
      <c r="J153" s="74"/>
      <c r="K153" s="74" t="s">
        <v>16</v>
      </c>
      <c r="L153" s="74"/>
      <c r="M153" s="74" t="s">
        <v>13</v>
      </c>
      <c r="N153" s="71" t="str">
        <f t="shared" si="2"/>
        <v>1</v>
      </c>
      <c r="O153" s="71" t="str">
        <f>INDEX(Кат!$D:$D,MATCH($A153,Кат!$A:$A,0))</f>
        <v>Y</v>
      </c>
    </row>
    <row r="154" spans="1:15" ht="30" x14ac:dyDescent="0.25">
      <c r="A154" s="73">
        <v>160894</v>
      </c>
      <c r="B154" s="73">
        <v>45773</v>
      </c>
      <c r="C154" s="74" t="s">
        <v>414</v>
      </c>
      <c r="D154" s="74" t="s">
        <v>13</v>
      </c>
      <c r="E154" s="74" t="s">
        <v>415</v>
      </c>
      <c r="F154" s="74" t="s">
        <v>415</v>
      </c>
      <c r="G154" s="74" t="s">
        <v>15</v>
      </c>
      <c r="H154" s="75">
        <v>9624</v>
      </c>
      <c r="I154" s="75">
        <v>13490</v>
      </c>
      <c r="J154" s="74"/>
      <c r="K154" s="74" t="s">
        <v>16</v>
      </c>
      <c r="L154" s="74"/>
      <c r="M154" s="74" t="s">
        <v>13</v>
      </c>
      <c r="N154" s="71" t="str">
        <f t="shared" si="2"/>
        <v>1</v>
      </c>
      <c r="O154" s="71" t="str">
        <f>INDEX(Кат!$D:$D,MATCH($A154,Кат!$A:$A,0))</f>
        <v>Y</v>
      </c>
    </row>
    <row r="155" spans="1:15" ht="30" x14ac:dyDescent="0.25">
      <c r="A155" s="73">
        <v>160895</v>
      </c>
      <c r="B155" s="73">
        <v>45777</v>
      </c>
      <c r="C155" s="74" t="s">
        <v>416</v>
      </c>
      <c r="D155" s="74" t="s">
        <v>13</v>
      </c>
      <c r="E155" s="74" t="s">
        <v>417</v>
      </c>
      <c r="F155" s="74" t="s">
        <v>418</v>
      </c>
      <c r="G155" s="74" t="s">
        <v>15</v>
      </c>
      <c r="H155" s="75">
        <v>4215</v>
      </c>
      <c r="I155" s="75">
        <v>5990</v>
      </c>
      <c r="J155" s="74"/>
      <c r="K155" s="74" t="s">
        <v>16</v>
      </c>
      <c r="L155" s="74"/>
      <c r="M155" s="74" t="s">
        <v>13</v>
      </c>
      <c r="N155" s="71" t="str">
        <f t="shared" si="2"/>
        <v>1</v>
      </c>
      <c r="O155" s="71" t="str">
        <f>INDEX(Кат!$D:$D,MATCH($A155,Кат!$A:$A,0))</f>
        <v>Y</v>
      </c>
    </row>
    <row r="156" spans="1:15" ht="45" x14ac:dyDescent="0.25">
      <c r="A156" s="73">
        <v>160896</v>
      </c>
      <c r="B156" s="73">
        <v>48548</v>
      </c>
      <c r="C156" s="74" t="s">
        <v>419</v>
      </c>
      <c r="D156" s="74" t="s">
        <v>13</v>
      </c>
      <c r="E156" s="74" t="s">
        <v>420</v>
      </c>
      <c r="F156" s="74" t="s">
        <v>421</v>
      </c>
      <c r="G156" s="74" t="s">
        <v>15</v>
      </c>
      <c r="H156" s="75">
        <v>11552</v>
      </c>
      <c r="I156" s="75">
        <v>16190</v>
      </c>
      <c r="J156" s="74"/>
      <c r="K156" s="74" t="s">
        <v>16</v>
      </c>
      <c r="L156" s="74"/>
      <c r="M156" s="74" t="s">
        <v>13</v>
      </c>
      <c r="N156" s="71" t="str">
        <f t="shared" si="2"/>
        <v>1</v>
      </c>
      <c r="O156" s="71" t="str">
        <f>INDEX(Кат!$D:$D,MATCH($A156,Кат!$A:$A,0))</f>
        <v>Y</v>
      </c>
    </row>
    <row r="157" spans="1:15" ht="45" x14ac:dyDescent="0.25">
      <c r="A157" s="73">
        <v>160897</v>
      </c>
      <c r="B157" s="73">
        <v>50172</v>
      </c>
      <c r="C157" s="74" t="s">
        <v>422</v>
      </c>
      <c r="D157" s="74" t="s">
        <v>13</v>
      </c>
      <c r="E157" s="74" t="s">
        <v>423</v>
      </c>
      <c r="F157" s="74" t="s">
        <v>424</v>
      </c>
      <c r="G157" s="74" t="s">
        <v>15</v>
      </c>
      <c r="H157" s="75">
        <v>11462</v>
      </c>
      <c r="I157" s="75">
        <v>16090</v>
      </c>
      <c r="J157" s="74"/>
      <c r="K157" s="74" t="s">
        <v>16</v>
      </c>
      <c r="L157" s="74"/>
      <c r="M157" s="74" t="s">
        <v>13</v>
      </c>
      <c r="N157" s="71" t="str">
        <f t="shared" si="2"/>
        <v>1</v>
      </c>
      <c r="O157" s="71" t="str">
        <f>INDEX(Кат!$D:$D,MATCH($A157,Кат!$A:$A,0))</f>
        <v>Y</v>
      </c>
    </row>
    <row r="158" spans="1:15" ht="45" x14ac:dyDescent="0.25">
      <c r="A158" s="73">
        <v>160900</v>
      </c>
      <c r="B158" s="73">
        <v>50298</v>
      </c>
      <c r="C158" s="74" t="s">
        <v>425</v>
      </c>
      <c r="D158" s="74" t="s">
        <v>13</v>
      </c>
      <c r="E158" s="74" t="s">
        <v>426</v>
      </c>
      <c r="F158" s="74" t="s">
        <v>427</v>
      </c>
      <c r="G158" s="74" t="s">
        <v>15</v>
      </c>
      <c r="H158" s="75">
        <v>14216</v>
      </c>
      <c r="I158" s="75">
        <v>19990</v>
      </c>
      <c r="J158" s="74"/>
      <c r="K158" s="74" t="s">
        <v>16</v>
      </c>
      <c r="L158" s="74"/>
      <c r="M158" s="74" t="s">
        <v>13</v>
      </c>
      <c r="N158" s="71" t="str">
        <f t="shared" si="2"/>
        <v>1</v>
      </c>
      <c r="O158" s="71" t="str">
        <f>INDEX(Кат!$D:$D,MATCH($A158,Кат!$A:$A,0))</f>
        <v>Y</v>
      </c>
    </row>
    <row r="159" spans="1:15" ht="45" x14ac:dyDescent="0.25">
      <c r="A159" s="73">
        <v>160899</v>
      </c>
      <c r="B159" s="73">
        <v>50293</v>
      </c>
      <c r="C159" s="74" t="s">
        <v>428</v>
      </c>
      <c r="D159" s="74" t="s">
        <v>13</v>
      </c>
      <c r="E159" s="74" t="s">
        <v>429</v>
      </c>
      <c r="F159" s="74" t="s">
        <v>430</v>
      </c>
      <c r="G159" s="74" t="s">
        <v>15</v>
      </c>
      <c r="H159" s="75">
        <v>14270</v>
      </c>
      <c r="I159" s="75">
        <v>19990</v>
      </c>
      <c r="J159" s="74"/>
      <c r="K159" s="74" t="s">
        <v>16</v>
      </c>
      <c r="L159" s="74"/>
      <c r="M159" s="74" t="s">
        <v>13</v>
      </c>
      <c r="N159" s="71" t="str">
        <f t="shared" si="2"/>
        <v>1</v>
      </c>
      <c r="O159" s="71" t="str">
        <f>INDEX(Кат!$D:$D,MATCH($A159,Кат!$A:$A,0))</f>
        <v>Y</v>
      </c>
    </row>
    <row r="160" spans="1:15" ht="45" x14ac:dyDescent="0.25">
      <c r="A160" s="73">
        <v>160901</v>
      </c>
      <c r="B160" s="73">
        <v>45481</v>
      </c>
      <c r="C160" s="74" t="s">
        <v>431</v>
      </c>
      <c r="D160" s="74" t="s">
        <v>13</v>
      </c>
      <c r="E160" s="74" t="s">
        <v>432</v>
      </c>
      <c r="F160" s="74" t="s">
        <v>433</v>
      </c>
      <c r="G160" s="74" t="s">
        <v>15</v>
      </c>
      <c r="H160" s="75">
        <v>10260</v>
      </c>
      <c r="I160" s="75">
        <v>14390</v>
      </c>
      <c r="J160" s="74"/>
      <c r="K160" s="74" t="s">
        <v>16</v>
      </c>
      <c r="L160" s="74"/>
      <c r="M160" s="74" t="s">
        <v>13</v>
      </c>
      <c r="N160" s="71" t="str">
        <f t="shared" si="2"/>
        <v>1</v>
      </c>
      <c r="O160" s="71" t="str">
        <f>INDEX(Кат!$D:$D,MATCH($A160,Кат!$A:$A,0))</f>
        <v>Y</v>
      </c>
    </row>
    <row r="161" spans="1:15" ht="45" x14ac:dyDescent="0.25">
      <c r="A161" s="73">
        <v>160902</v>
      </c>
      <c r="B161" s="73">
        <v>44761</v>
      </c>
      <c r="C161" s="74" t="s">
        <v>434</v>
      </c>
      <c r="D161" s="74" t="s">
        <v>13</v>
      </c>
      <c r="E161" s="74" t="s">
        <v>435</v>
      </c>
      <c r="F161" s="74" t="s">
        <v>436</v>
      </c>
      <c r="G161" s="74" t="s">
        <v>15</v>
      </c>
      <c r="H161" s="75">
        <v>9708</v>
      </c>
      <c r="I161" s="75">
        <v>13590</v>
      </c>
      <c r="J161" s="74"/>
      <c r="K161" s="74" t="s">
        <v>16</v>
      </c>
      <c r="L161" s="74"/>
      <c r="M161" s="74" t="s">
        <v>13</v>
      </c>
      <c r="N161" s="71" t="str">
        <f t="shared" si="2"/>
        <v>1</v>
      </c>
      <c r="O161" s="71" t="str">
        <f>INDEX(Кат!$D:$D,MATCH($A161,Кат!$A:$A,0))</f>
        <v>Y</v>
      </c>
    </row>
    <row r="162" spans="1:15" ht="45" x14ac:dyDescent="0.25">
      <c r="A162" s="73">
        <v>160898</v>
      </c>
      <c r="B162" s="73">
        <v>45491</v>
      </c>
      <c r="C162" s="74" t="s">
        <v>437</v>
      </c>
      <c r="D162" s="74" t="s">
        <v>13</v>
      </c>
      <c r="E162" s="74" t="s">
        <v>438</v>
      </c>
      <c r="F162" s="74" t="s">
        <v>439</v>
      </c>
      <c r="G162" s="74" t="s">
        <v>15</v>
      </c>
      <c r="H162" s="75">
        <v>10513</v>
      </c>
      <c r="I162" s="75">
        <v>14790</v>
      </c>
      <c r="J162" s="74"/>
      <c r="K162" s="74" t="s">
        <v>16</v>
      </c>
      <c r="L162" s="74"/>
      <c r="M162" s="74" t="s">
        <v>13</v>
      </c>
      <c r="N162" s="71" t="str">
        <f t="shared" si="2"/>
        <v>1</v>
      </c>
      <c r="O162" s="71" t="str">
        <f>INDEX(Кат!$D:$D,MATCH($A162,Кат!$A:$A,0))</f>
        <v>Y</v>
      </c>
    </row>
    <row r="163" spans="1:15" ht="45" x14ac:dyDescent="0.25">
      <c r="A163" s="73">
        <v>160903</v>
      </c>
      <c r="B163" s="73">
        <v>48351</v>
      </c>
      <c r="C163" s="74" t="s">
        <v>440</v>
      </c>
      <c r="D163" s="74" t="s">
        <v>13</v>
      </c>
      <c r="E163" s="74" t="s">
        <v>441</v>
      </c>
      <c r="F163" s="74" t="s">
        <v>442</v>
      </c>
      <c r="G163" s="74" t="s">
        <v>15</v>
      </c>
      <c r="H163" s="75">
        <v>12001</v>
      </c>
      <c r="I163" s="75">
        <v>16890</v>
      </c>
      <c r="J163" s="74"/>
      <c r="K163" s="74" t="s">
        <v>16</v>
      </c>
      <c r="L163" s="74"/>
      <c r="M163" s="74" t="s">
        <v>13</v>
      </c>
      <c r="N163" s="71" t="str">
        <f t="shared" si="2"/>
        <v>1</v>
      </c>
      <c r="O163" s="71" t="str">
        <f>INDEX(Кат!$D:$D,MATCH($A163,Кат!$A:$A,0))</f>
        <v>Y</v>
      </c>
    </row>
    <row r="164" spans="1:15" ht="30" x14ac:dyDescent="0.25">
      <c r="A164" s="73">
        <v>160904</v>
      </c>
      <c r="B164" s="73">
        <v>48098</v>
      </c>
      <c r="C164" s="74" t="s">
        <v>443</v>
      </c>
      <c r="D164" s="74" t="s">
        <v>13</v>
      </c>
      <c r="E164" s="74" t="s">
        <v>444</v>
      </c>
      <c r="F164" s="74" t="s">
        <v>445</v>
      </c>
      <c r="G164" s="74" t="s">
        <v>15</v>
      </c>
      <c r="H164" s="75">
        <v>13646</v>
      </c>
      <c r="I164" s="75">
        <v>17790</v>
      </c>
      <c r="J164" s="74"/>
      <c r="K164" s="74" t="s">
        <v>16</v>
      </c>
      <c r="L164" s="74"/>
      <c r="M164" s="74" t="s">
        <v>13</v>
      </c>
      <c r="N164" s="71" t="str">
        <f t="shared" si="2"/>
        <v>1</v>
      </c>
      <c r="O164" s="71" t="str">
        <f>INDEX(Кат!$D:$D,MATCH($A164,Кат!$A:$A,0))</f>
        <v>Y</v>
      </c>
    </row>
    <row r="165" spans="1:15" ht="30" x14ac:dyDescent="0.25">
      <c r="A165" s="73">
        <v>160905</v>
      </c>
      <c r="B165" s="73">
        <v>48532</v>
      </c>
      <c r="C165" s="74" t="s">
        <v>446</v>
      </c>
      <c r="D165" s="74" t="s">
        <v>13</v>
      </c>
      <c r="E165" s="74" t="s">
        <v>447</v>
      </c>
      <c r="F165" s="74" t="s">
        <v>448</v>
      </c>
      <c r="G165" s="74" t="s">
        <v>15</v>
      </c>
      <c r="H165" s="75">
        <v>4350</v>
      </c>
      <c r="I165" s="75">
        <v>6090</v>
      </c>
      <c r="J165" s="74"/>
      <c r="K165" s="74" t="s">
        <v>37</v>
      </c>
      <c r="L165" s="74"/>
      <c r="M165" s="74" t="s">
        <v>13</v>
      </c>
      <c r="N165" s="71" t="str">
        <f t="shared" si="2"/>
        <v>0</v>
      </c>
      <c r="O165" s="71" t="str">
        <f>INDEX(Кат!$D:$D,MATCH($A165,Кат!$A:$A,0))</f>
        <v>Y</v>
      </c>
    </row>
    <row r="166" spans="1:15" ht="45" x14ac:dyDescent="0.25">
      <c r="A166" s="73">
        <v>160906</v>
      </c>
      <c r="B166" s="73">
        <v>48121</v>
      </c>
      <c r="C166" s="74" t="s">
        <v>449</v>
      </c>
      <c r="D166" s="74" t="s">
        <v>13</v>
      </c>
      <c r="E166" s="74" t="s">
        <v>450</v>
      </c>
      <c r="F166" s="74" t="s">
        <v>451</v>
      </c>
      <c r="G166" s="74" t="s">
        <v>15</v>
      </c>
      <c r="H166" s="75">
        <v>11619</v>
      </c>
      <c r="I166" s="75">
        <v>16290</v>
      </c>
      <c r="J166" s="74"/>
      <c r="K166" s="74" t="s">
        <v>16</v>
      </c>
      <c r="L166" s="74"/>
      <c r="M166" s="74" t="s">
        <v>13</v>
      </c>
      <c r="N166" s="71" t="str">
        <f t="shared" si="2"/>
        <v>1</v>
      </c>
      <c r="O166" s="71" t="str">
        <f>INDEX(Кат!$D:$D,MATCH($A166,Кат!$A:$A,0))</f>
        <v>Y</v>
      </c>
    </row>
    <row r="167" spans="1:15" ht="30" x14ac:dyDescent="0.25">
      <c r="A167" s="73">
        <v>160907</v>
      </c>
      <c r="B167" s="73">
        <v>45759</v>
      </c>
      <c r="C167" s="74" t="s">
        <v>452</v>
      </c>
      <c r="D167" s="74" t="s">
        <v>13</v>
      </c>
      <c r="E167" s="74" t="s">
        <v>453</v>
      </c>
      <c r="F167" s="74" t="s">
        <v>453</v>
      </c>
      <c r="G167" s="74" t="s">
        <v>15</v>
      </c>
      <c r="H167" s="75">
        <v>10328</v>
      </c>
      <c r="I167" s="75">
        <v>14490</v>
      </c>
      <c r="J167" s="74"/>
      <c r="K167" s="74" t="s">
        <v>16</v>
      </c>
      <c r="L167" s="74"/>
      <c r="M167" s="74" t="s">
        <v>13</v>
      </c>
      <c r="N167" s="71" t="str">
        <f t="shared" si="2"/>
        <v>1</v>
      </c>
      <c r="O167" s="71" t="str">
        <f>INDEX(Кат!$D:$D,MATCH($A167,Кат!$A:$A,0))</f>
        <v>Y</v>
      </c>
    </row>
    <row r="168" spans="1:15" ht="30" x14ac:dyDescent="0.25">
      <c r="A168" s="73">
        <v>160908</v>
      </c>
      <c r="B168" s="73">
        <v>45775</v>
      </c>
      <c r="C168" s="74" t="s">
        <v>454</v>
      </c>
      <c r="D168" s="74" t="s">
        <v>13</v>
      </c>
      <c r="E168" s="74" t="s">
        <v>455</v>
      </c>
      <c r="F168" s="74" t="s">
        <v>456</v>
      </c>
      <c r="G168" s="74" t="s">
        <v>15</v>
      </c>
      <c r="H168" s="75">
        <v>4125</v>
      </c>
      <c r="I168" s="75">
        <v>5790</v>
      </c>
      <c r="J168" s="74"/>
      <c r="K168" s="74" t="s">
        <v>16</v>
      </c>
      <c r="L168" s="74"/>
      <c r="M168" s="74" t="s">
        <v>13</v>
      </c>
      <c r="N168" s="71" t="str">
        <f t="shared" si="2"/>
        <v>1</v>
      </c>
      <c r="O168" s="71" t="str">
        <f>INDEX(Кат!$D:$D,MATCH($A168,Кат!$A:$A,0))</f>
        <v>Y</v>
      </c>
    </row>
    <row r="169" spans="1:15" ht="45" x14ac:dyDescent="0.25">
      <c r="A169" s="73">
        <v>160909</v>
      </c>
      <c r="B169" s="73">
        <v>48542</v>
      </c>
      <c r="C169" s="74" t="s">
        <v>457</v>
      </c>
      <c r="D169" s="74" t="s">
        <v>13</v>
      </c>
      <c r="E169" s="74" t="s">
        <v>458</v>
      </c>
      <c r="F169" s="74" t="s">
        <v>459</v>
      </c>
      <c r="G169" s="74" t="s">
        <v>15</v>
      </c>
      <c r="H169" s="75">
        <v>11906</v>
      </c>
      <c r="I169" s="75">
        <v>16690</v>
      </c>
      <c r="J169" s="74"/>
      <c r="K169" s="74" t="s">
        <v>16</v>
      </c>
      <c r="L169" s="74"/>
      <c r="M169" s="74" t="s">
        <v>13</v>
      </c>
      <c r="N169" s="71" t="str">
        <f t="shared" si="2"/>
        <v>1</v>
      </c>
      <c r="O169" s="71" t="str">
        <f>INDEX(Кат!$D:$D,MATCH($A169,Кат!$A:$A,0))</f>
        <v>Y</v>
      </c>
    </row>
    <row r="170" spans="1:15" ht="45" x14ac:dyDescent="0.25">
      <c r="A170" s="73">
        <v>160910</v>
      </c>
      <c r="B170" s="73">
        <v>48692</v>
      </c>
      <c r="C170" s="74" t="s">
        <v>460</v>
      </c>
      <c r="D170" s="74" t="s">
        <v>13</v>
      </c>
      <c r="E170" s="74" t="s">
        <v>461</v>
      </c>
      <c r="F170" s="74"/>
      <c r="G170" s="74" t="s">
        <v>15</v>
      </c>
      <c r="H170" s="75">
        <v>11350</v>
      </c>
      <c r="I170" s="75">
        <v>15890</v>
      </c>
      <c r="J170" s="74"/>
      <c r="K170" s="74" t="s">
        <v>16</v>
      </c>
      <c r="L170" s="74"/>
      <c r="M170" s="74" t="s">
        <v>13</v>
      </c>
      <c r="N170" s="71" t="str">
        <f t="shared" si="2"/>
        <v>1</v>
      </c>
      <c r="O170" s="71" t="str">
        <f>INDEX(Кат!$D:$D,MATCH($A170,Кат!$A:$A,0))</f>
        <v>Y</v>
      </c>
    </row>
    <row r="171" spans="1:15" ht="45" x14ac:dyDescent="0.25">
      <c r="A171" s="73">
        <v>160911</v>
      </c>
      <c r="B171" s="73">
        <v>45476</v>
      </c>
      <c r="C171" s="74" t="s">
        <v>462</v>
      </c>
      <c r="D171" s="74" t="s">
        <v>13</v>
      </c>
      <c r="E171" s="74" t="s">
        <v>463</v>
      </c>
      <c r="F171" s="74" t="s">
        <v>464</v>
      </c>
      <c r="G171" s="74" t="s">
        <v>15</v>
      </c>
      <c r="H171" s="75">
        <v>9322</v>
      </c>
      <c r="I171" s="75">
        <v>13090</v>
      </c>
      <c r="J171" s="74"/>
      <c r="K171" s="74" t="s">
        <v>16</v>
      </c>
      <c r="L171" s="74"/>
      <c r="M171" s="74" t="s">
        <v>13</v>
      </c>
      <c r="N171" s="71" t="str">
        <f t="shared" si="2"/>
        <v>1</v>
      </c>
      <c r="O171" s="71" t="str">
        <f>INDEX(Кат!$D:$D,MATCH($A171,Кат!$A:$A,0))</f>
        <v>Y</v>
      </c>
    </row>
    <row r="172" spans="1:15" ht="45" x14ac:dyDescent="0.25">
      <c r="A172" s="73">
        <v>160912</v>
      </c>
      <c r="B172" s="73">
        <v>44509</v>
      </c>
      <c r="C172" s="74" t="s">
        <v>465</v>
      </c>
      <c r="D172" s="74" t="s">
        <v>13</v>
      </c>
      <c r="E172" s="74" t="s">
        <v>466</v>
      </c>
      <c r="F172" s="74" t="s">
        <v>467</v>
      </c>
      <c r="G172" s="74" t="s">
        <v>15</v>
      </c>
      <c r="H172" s="75">
        <v>9452</v>
      </c>
      <c r="I172" s="75">
        <v>12790</v>
      </c>
      <c r="J172" s="74"/>
      <c r="K172" s="74" t="s">
        <v>16</v>
      </c>
      <c r="L172" s="74"/>
      <c r="M172" s="74" t="s">
        <v>13</v>
      </c>
      <c r="N172" s="71" t="str">
        <f t="shared" si="2"/>
        <v>1</v>
      </c>
      <c r="O172" s="71" t="str">
        <f>INDEX(Кат!$D:$D,MATCH($A172,Кат!$A:$A,0))</f>
        <v>Y</v>
      </c>
    </row>
    <row r="173" spans="1:15" ht="45" x14ac:dyDescent="0.25">
      <c r="A173" s="73">
        <v>160913</v>
      </c>
      <c r="B173" s="73">
        <v>45488</v>
      </c>
      <c r="C173" s="74" t="s">
        <v>468</v>
      </c>
      <c r="D173" s="74" t="s">
        <v>13</v>
      </c>
      <c r="E173" s="74" t="s">
        <v>469</v>
      </c>
      <c r="F173" s="74" t="s">
        <v>470</v>
      </c>
      <c r="G173" s="74" t="s">
        <v>15</v>
      </c>
      <c r="H173" s="75">
        <v>9141</v>
      </c>
      <c r="I173" s="75">
        <v>12790</v>
      </c>
      <c r="J173" s="74"/>
      <c r="K173" s="74" t="s">
        <v>16</v>
      </c>
      <c r="L173" s="74"/>
      <c r="M173" s="74" t="s">
        <v>13</v>
      </c>
      <c r="N173" s="71" t="str">
        <f t="shared" si="2"/>
        <v>1</v>
      </c>
      <c r="O173" s="71" t="str">
        <f>INDEX(Кат!$D:$D,MATCH($A173,Кат!$A:$A,0))</f>
        <v>Y</v>
      </c>
    </row>
    <row r="174" spans="1:15" ht="45" x14ac:dyDescent="0.25">
      <c r="A174" s="73">
        <v>160914</v>
      </c>
      <c r="B174" s="73">
        <v>48346</v>
      </c>
      <c r="C174" s="74" t="s">
        <v>471</v>
      </c>
      <c r="D174" s="74" t="s">
        <v>13</v>
      </c>
      <c r="E174" s="74" t="s">
        <v>472</v>
      </c>
      <c r="F174" s="74" t="s">
        <v>473</v>
      </c>
      <c r="G174" s="74" t="s">
        <v>15</v>
      </c>
      <c r="H174" s="75">
        <v>12001</v>
      </c>
      <c r="I174" s="75">
        <v>16890</v>
      </c>
      <c r="J174" s="74"/>
      <c r="K174" s="74" t="s">
        <v>16</v>
      </c>
      <c r="L174" s="74"/>
      <c r="M174" s="74" t="s">
        <v>13</v>
      </c>
      <c r="N174" s="71" t="str">
        <f t="shared" si="2"/>
        <v>1</v>
      </c>
      <c r="O174" s="71" t="str">
        <f>INDEX(Кат!$D:$D,MATCH($A174,Кат!$A:$A,0))</f>
        <v>Y</v>
      </c>
    </row>
    <row r="175" spans="1:15" ht="45" x14ac:dyDescent="0.25">
      <c r="A175" s="73">
        <v>160915</v>
      </c>
      <c r="B175" s="73">
        <v>48422</v>
      </c>
      <c r="C175" s="74" t="s">
        <v>474</v>
      </c>
      <c r="D175" s="74" t="s">
        <v>13</v>
      </c>
      <c r="E175" s="74" t="s">
        <v>475</v>
      </c>
      <c r="F175" s="74" t="s">
        <v>476</v>
      </c>
      <c r="G175" s="74" t="s">
        <v>15</v>
      </c>
      <c r="H175" s="75">
        <v>11526</v>
      </c>
      <c r="I175" s="75">
        <v>14990</v>
      </c>
      <c r="J175" s="74"/>
      <c r="K175" s="74" t="s">
        <v>16</v>
      </c>
      <c r="L175" s="74"/>
      <c r="M175" s="74" t="s">
        <v>13</v>
      </c>
      <c r="N175" s="71" t="str">
        <f t="shared" si="2"/>
        <v>1</v>
      </c>
      <c r="O175" s="71" t="str">
        <f>INDEX(Кат!$D:$D,MATCH($A175,Кат!$A:$A,0))</f>
        <v>Y</v>
      </c>
    </row>
    <row r="176" spans="1:15" ht="45" x14ac:dyDescent="0.25">
      <c r="A176" s="73">
        <v>160917</v>
      </c>
      <c r="B176" s="73">
        <v>50291</v>
      </c>
      <c r="C176" s="74" t="s">
        <v>477</v>
      </c>
      <c r="D176" s="74" t="s">
        <v>13</v>
      </c>
      <c r="E176" s="74" t="s">
        <v>478</v>
      </c>
      <c r="F176" s="74" t="s">
        <v>479</v>
      </c>
      <c r="G176" s="74" t="s">
        <v>15</v>
      </c>
      <c r="H176" s="75">
        <v>13232</v>
      </c>
      <c r="I176" s="75">
        <v>18590</v>
      </c>
      <c r="J176" s="74"/>
      <c r="K176" s="74" t="s">
        <v>16</v>
      </c>
      <c r="L176" s="74"/>
      <c r="M176" s="74" t="s">
        <v>13</v>
      </c>
      <c r="N176" s="71" t="str">
        <f t="shared" si="2"/>
        <v>1</v>
      </c>
      <c r="O176" s="71" t="str">
        <f>INDEX(Кат!$D:$D,MATCH($A176,Кат!$A:$A,0))</f>
        <v>Y</v>
      </c>
    </row>
    <row r="177" spans="1:15" ht="45" x14ac:dyDescent="0.25">
      <c r="A177" s="73">
        <v>160916</v>
      </c>
      <c r="B177" s="73">
        <v>50288</v>
      </c>
      <c r="C177" s="74" t="s">
        <v>480</v>
      </c>
      <c r="D177" s="74" t="s">
        <v>13</v>
      </c>
      <c r="E177" s="74" t="s">
        <v>481</v>
      </c>
      <c r="F177" s="74" t="s">
        <v>482</v>
      </c>
      <c r="G177" s="74" t="s">
        <v>15</v>
      </c>
      <c r="H177" s="75">
        <v>13075</v>
      </c>
      <c r="I177" s="75">
        <v>18390</v>
      </c>
      <c r="J177" s="74"/>
      <c r="K177" s="74" t="s">
        <v>16</v>
      </c>
      <c r="L177" s="74"/>
      <c r="M177" s="74" t="s">
        <v>13</v>
      </c>
      <c r="N177" s="71" t="str">
        <f t="shared" si="2"/>
        <v>1</v>
      </c>
      <c r="O177" s="71" t="str">
        <f>INDEX(Кат!$D:$D,MATCH($A177,Кат!$A:$A,0))</f>
        <v>Y</v>
      </c>
    </row>
    <row r="178" spans="1:15" ht="30" x14ac:dyDescent="0.25">
      <c r="A178" s="73">
        <v>160918</v>
      </c>
      <c r="B178" s="73">
        <v>48520</v>
      </c>
      <c r="C178" s="74" t="s">
        <v>483</v>
      </c>
      <c r="D178" s="74" t="s">
        <v>13</v>
      </c>
      <c r="E178" s="74" t="s">
        <v>484</v>
      </c>
      <c r="F178" s="74" t="s">
        <v>485</v>
      </c>
      <c r="G178" s="74" t="s">
        <v>15</v>
      </c>
      <c r="H178" s="75">
        <v>16242</v>
      </c>
      <c r="I178" s="75">
        <v>22790</v>
      </c>
      <c r="J178" s="74"/>
      <c r="K178" s="74" t="s">
        <v>16</v>
      </c>
      <c r="L178" s="74"/>
      <c r="M178" s="74"/>
      <c r="N178" s="71" t="str">
        <f t="shared" si="2"/>
        <v>1</v>
      </c>
      <c r="O178" s="71" t="str">
        <f>INDEX(Кат!$D:$D,MATCH($A178,Кат!$A:$A,0))</f>
        <v>Y</v>
      </c>
    </row>
    <row r="179" spans="1:15" ht="45" x14ac:dyDescent="0.25">
      <c r="A179" s="73">
        <v>160919</v>
      </c>
      <c r="B179" s="73">
        <v>48039</v>
      </c>
      <c r="C179" s="74" t="s">
        <v>486</v>
      </c>
      <c r="D179" s="74" t="s">
        <v>13</v>
      </c>
      <c r="E179" s="74" t="s">
        <v>487</v>
      </c>
      <c r="F179" s="74" t="s">
        <v>488</v>
      </c>
      <c r="G179" s="74" t="s">
        <v>15</v>
      </c>
      <c r="H179" s="75">
        <v>14251</v>
      </c>
      <c r="I179" s="75">
        <v>19990</v>
      </c>
      <c r="J179" s="74"/>
      <c r="K179" s="74" t="s">
        <v>16</v>
      </c>
      <c r="L179" s="74"/>
      <c r="M179" s="74" t="s">
        <v>13</v>
      </c>
      <c r="N179" s="71" t="str">
        <f t="shared" si="2"/>
        <v>1</v>
      </c>
      <c r="O179" s="71" t="str">
        <f>INDEX(Кат!$D:$D,MATCH($A179,Кат!$A:$A,0))</f>
        <v>Y</v>
      </c>
    </row>
    <row r="180" spans="1:15" ht="30" x14ac:dyDescent="0.25">
      <c r="A180" s="73">
        <v>160922</v>
      </c>
      <c r="B180" s="73">
        <v>19454</v>
      </c>
      <c r="C180" s="74" t="s">
        <v>489</v>
      </c>
      <c r="D180" s="74" t="s">
        <v>13</v>
      </c>
      <c r="E180" s="74" t="s">
        <v>490</v>
      </c>
      <c r="F180" s="74" t="s">
        <v>490</v>
      </c>
      <c r="G180" s="74" t="s">
        <v>15</v>
      </c>
      <c r="H180" s="75">
        <v>4721</v>
      </c>
      <c r="I180" s="75">
        <v>6690</v>
      </c>
      <c r="J180" s="74"/>
      <c r="K180" s="74" t="s">
        <v>16</v>
      </c>
      <c r="L180" s="74"/>
      <c r="M180" s="74" t="s">
        <v>13</v>
      </c>
      <c r="N180" s="71" t="str">
        <f t="shared" si="2"/>
        <v>1</v>
      </c>
      <c r="O180" s="71" t="str">
        <f>INDEX(Кат!$D:$D,MATCH($A180,Кат!$A:$A,0))</f>
        <v>Y</v>
      </c>
    </row>
    <row r="181" spans="1:15" ht="30" x14ac:dyDescent="0.25">
      <c r="A181" s="73">
        <v>160923</v>
      </c>
      <c r="B181" s="73">
        <v>19455</v>
      </c>
      <c r="C181" s="74" t="s">
        <v>491</v>
      </c>
      <c r="D181" s="74" t="s">
        <v>13</v>
      </c>
      <c r="E181" s="74" t="s">
        <v>492</v>
      </c>
      <c r="F181" s="74" t="s">
        <v>492</v>
      </c>
      <c r="G181" s="74" t="s">
        <v>15</v>
      </c>
      <c r="H181" s="75">
        <v>9140</v>
      </c>
      <c r="I181" s="75">
        <v>12790</v>
      </c>
      <c r="J181" s="74"/>
      <c r="K181" s="74" t="s">
        <v>16</v>
      </c>
      <c r="L181" s="74"/>
      <c r="M181" s="74" t="s">
        <v>13</v>
      </c>
      <c r="N181" s="71" t="str">
        <f t="shared" si="2"/>
        <v>1</v>
      </c>
      <c r="O181" s="71" t="str">
        <f>INDEX(Кат!$D:$D,MATCH($A181,Кат!$A:$A,0))</f>
        <v>Y</v>
      </c>
    </row>
    <row r="182" spans="1:15" ht="30" x14ac:dyDescent="0.25">
      <c r="A182" s="73">
        <v>160925</v>
      </c>
      <c r="B182" s="73">
        <v>19450</v>
      </c>
      <c r="C182" s="74" t="s">
        <v>493</v>
      </c>
      <c r="D182" s="74" t="s">
        <v>13</v>
      </c>
      <c r="E182" s="74" t="s">
        <v>494</v>
      </c>
      <c r="F182" s="74" t="s">
        <v>494</v>
      </c>
      <c r="G182" s="74" t="s">
        <v>15</v>
      </c>
      <c r="H182" s="75">
        <v>5088</v>
      </c>
      <c r="I182" s="75">
        <v>7190</v>
      </c>
      <c r="J182" s="74"/>
      <c r="K182" s="74" t="s">
        <v>16</v>
      </c>
      <c r="L182" s="74"/>
      <c r="M182" s="74" t="s">
        <v>13</v>
      </c>
      <c r="N182" s="71" t="str">
        <f t="shared" si="2"/>
        <v>1</v>
      </c>
      <c r="O182" s="71" t="str">
        <f>INDEX(Кат!$D:$D,MATCH($A182,Кат!$A:$A,0))</f>
        <v>Y</v>
      </c>
    </row>
    <row r="183" spans="1:15" ht="30" x14ac:dyDescent="0.25">
      <c r="A183" s="73">
        <v>160926</v>
      </c>
      <c r="B183" s="73">
        <v>19456</v>
      </c>
      <c r="C183" s="74" t="s">
        <v>495</v>
      </c>
      <c r="D183" s="74" t="s">
        <v>13</v>
      </c>
      <c r="E183" s="74" t="s">
        <v>496</v>
      </c>
      <c r="F183" s="74" t="s">
        <v>496</v>
      </c>
      <c r="G183" s="74" t="s">
        <v>15</v>
      </c>
      <c r="H183" s="75">
        <v>10599</v>
      </c>
      <c r="I183" s="75">
        <v>13790</v>
      </c>
      <c r="J183" s="74"/>
      <c r="K183" s="74" t="s">
        <v>16</v>
      </c>
      <c r="L183" s="74"/>
      <c r="M183" s="74" t="s">
        <v>13</v>
      </c>
      <c r="N183" s="71" t="str">
        <f t="shared" si="2"/>
        <v>1</v>
      </c>
      <c r="O183" s="71" t="str">
        <f>INDEX(Кат!$D:$D,MATCH($A183,Кат!$A:$A,0))</f>
        <v>Y</v>
      </c>
    </row>
    <row r="184" spans="1:15" ht="30" x14ac:dyDescent="0.25">
      <c r="A184" s="73">
        <v>161096</v>
      </c>
      <c r="B184" s="73"/>
      <c r="C184" s="74" t="s">
        <v>497</v>
      </c>
      <c r="D184" s="74" t="s">
        <v>13</v>
      </c>
      <c r="E184" s="74" t="s">
        <v>498</v>
      </c>
      <c r="F184" s="74" t="s">
        <v>498</v>
      </c>
      <c r="G184" s="74" t="s">
        <v>15</v>
      </c>
      <c r="H184" s="75">
        <v>1789</v>
      </c>
      <c r="I184" s="75">
        <v>2690</v>
      </c>
      <c r="J184" s="74"/>
      <c r="K184" s="74" t="s">
        <v>16</v>
      </c>
      <c r="L184" s="74"/>
      <c r="M184" s="74" t="s">
        <v>13</v>
      </c>
      <c r="N184" s="71" t="str">
        <f t="shared" si="2"/>
        <v>1</v>
      </c>
      <c r="O184" s="71" t="str">
        <f>INDEX(Кат!$D:$D,MATCH($A184,Кат!$A:$A,0))</f>
        <v>Y</v>
      </c>
    </row>
    <row r="185" spans="1:15" ht="45" x14ac:dyDescent="0.25">
      <c r="A185" s="73">
        <v>161128</v>
      </c>
      <c r="B185" s="73">
        <v>18737</v>
      </c>
      <c r="C185" s="74" t="s">
        <v>499</v>
      </c>
      <c r="D185" s="74" t="s">
        <v>13</v>
      </c>
      <c r="E185" s="74" t="s">
        <v>500</v>
      </c>
      <c r="F185" s="74" t="s">
        <v>501</v>
      </c>
      <c r="G185" s="74" t="s">
        <v>15</v>
      </c>
      <c r="H185" s="75">
        <v>1789</v>
      </c>
      <c r="I185" s="75">
        <v>2690</v>
      </c>
      <c r="J185" s="74"/>
      <c r="K185" s="74" t="s">
        <v>16</v>
      </c>
      <c r="L185" s="74"/>
      <c r="M185" s="74" t="s">
        <v>13</v>
      </c>
      <c r="N185" s="71" t="str">
        <f t="shared" si="2"/>
        <v>1</v>
      </c>
      <c r="O185" s="71" t="str">
        <f>INDEX(Кат!$D:$D,MATCH($A185,Кат!$A:$A,0))</f>
        <v>Y</v>
      </c>
    </row>
    <row r="186" spans="1:15" ht="30" x14ac:dyDescent="0.25">
      <c r="A186" s="73">
        <v>162327</v>
      </c>
      <c r="B186" s="73">
        <v>32753</v>
      </c>
      <c r="C186" s="74" t="s">
        <v>502</v>
      </c>
      <c r="D186" s="74" t="s">
        <v>13</v>
      </c>
      <c r="E186" s="74" t="s">
        <v>503</v>
      </c>
      <c r="F186" s="74" t="s">
        <v>503</v>
      </c>
      <c r="G186" s="74" t="s">
        <v>15</v>
      </c>
      <c r="H186" s="75">
        <v>6610</v>
      </c>
      <c r="I186" s="75">
        <v>9290</v>
      </c>
      <c r="J186" s="74"/>
      <c r="K186" s="74" t="s">
        <v>16</v>
      </c>
      <c r="L186" s="74"/>
      <c r="M186" s="74" t="s">
        <v>13</v>
      </c>
      <c r="N186" s="71" t="str">
        <f t="shared" si="2"/>
        <v>1</v>
      </c>
      <c r="O186" s="71" t="str">
        <f>INDEX(Кат!$D:$D,MATCH($A186,Кат!$A:$A,0))</f>
        <v>Y</v>
      </c>
    </row>
    <row r="187" spans="1:15" ht="75" x14ac:dyDescent="0.25">
      <c r="A187" s="73">
        <v>162914</v>
      </c>
      <c r="B187" s="73">
        <v>15449</v>
      </c>
      <c r="C187" s="74" t="s">
        <v>504</v>
      </c>
      <c r="D187" s="74" t="s">
        <v>13</v>
      </c>
      <c r="E187" s="74" t="s">
        <v>505</v>
      </c>
      <c r="F187" s="74" t="s">
        <v>505</v>
      </c>
      <c r="G187" s="74" t="s">
        <v>15</v>
      </c>
      <c r="H187" s="75">
        <v>100</v>
      </c>
      <c r="I187" s="75">
        <v>179</v>
      </c>
      <c r="J187" s="74" t="s">
        <v>506</v>
      </c>
      <c r="K187" s="74" t="s">
        <v>16</v>
      </c>
      <c r="L187" s="74"/>
      <c r="M187" s="74" t="s">
        <v>13</v>
      </c>
      <c r="N187" s="71" t="str">
        <f t="shared" si="2"/>
        <v>1</v>
      </c>
      <c r="O187" s="71" t="str">
        <f>INDEX(Кат!$D:$D,MATCH($A187,Кат!$A:$A,0))</f>
        <v>Y</v>
      </c>
    </row>
    <row r="188" spans="1:15" ht="45" x14ac:dyDescent="0.25">
      <c r="A188" s="73">
        <v>214050</v>
      </c>
      <c r="B188" s="73">
        <v>15445</v>
      </c>
      <c r="C188" s="74" t="s">
        <v>507</v>
      </c>
      <c r="D188" s="74" t="s">
        <v>13</v>
      </c>
      <c r="E188" s="74" t="s">
        <v>508</v>
      </c>
      <c r="F188" s="74" t="s">
        <v>508</v>
      </c>
      <c r="G188" s="74" t="s">
        <v>15</v>
      </c>
      <c r="H188" s="75">
        <v>159</v>
      </c>
      <c r="I188" s="75">
        <v>289</v>
      </c>
      <c r="J188" s="74"/>
      <c r="K188" s="74" t="s">
        <v>16</v>
      </c>
      <c r="L188" s="74"/>
      <c r="M188" s="74"/>
      <c r="N188" s="71" t="str">
        <f t="shared" si="2"/>
        <v>1</v>
      </c>
      <c r="O188" s="71" t="str">
        <f>INDEX(Кат!$D:$D,MATCH($A188,Кат!$A:$A,0))</f>
        <v>Y</v>
      </c>
    </row>
    <row r="189" spans="1:15" ht="45" x14ac:dyDescent="0.25">
      <c r="A189" s="73">
        <v>162917</v>
      </c>
      <c r="B189" s="73">
        <v>15447</v>
      </c>
      <c r="C189" s="74" t="s">
        <v>509</v>
      </c>
      <c r="D189" s="74" t="s">
        <v>13</v>
      </c>
      <c r="E189" s="74" t="s">
        <v>510</v>
      </c>
      <c r="F189" s="74" t="s">
        <v>510</v>
      </c>
      <c r="G189" s="74" t="s">
        <v>15</v>
      </c>
      <c r="H189" s="75">
        <v>162</v>
      </c>
      <c r="I189" s="75">
        <v>299</v>
      </c>
      <c r="J189" s="74"/>
      <c r="K189" s="74" t="s">
        <v>16</v>
      </c>
      <c r="L189" s="74"/>
      <c r="M189" s="74" t="s">
        <v>13</v>
      </c>
      <c r="N189" s="71" t="str">
        <f t="shared" si="2"/>
        <v>1</v>
      </c>
      <c r="O189" s="71" t="str">
        <f>INDEX(Кат!$D:$D,MATCH($A189,Кат!$A:$A,0))</f>
        <v>Y</v>
      </c>
    </row>
    <row r="190" spans="1:15" ht="45" x14ac:dyDescent="0.25">
      <c r="A190" s="73">
        <v>163474</v>
      </c>
      <c r="B190" s="73">
        <v>48031</v>
      </c>
      <c r="C190" s="74" t="s">
        <v>511</v>
      </c>
      <c r="D190" s="74" t="s">
        <v>13</v>
      </c>
      <c r="E190" s="74" t="s">
        <v>512</v>
      </c>
      <c r="F190" s="74" t="s">
        <v>512</v>
      </c>
      <c r="G190" s="74" t="s">
        <v>15</v>
      </c>
      <c r="H190" s="75">
        <v>8640</v>
      </c>
      <c r="I190" s="75">
        <v>11690</v>
      </c>
      <c r="J190" s="74"/>
      <c r="K190" s="74" t="s">
        <v>16</v>
      </c>
      <c r="L190" s="74"/>
      <c r="M190" s="74" t="s">
        <v>13</v>
      </c>
      <c r="N190" s="71" t="str">
        <f t="shared" si="2"/>
        <v>1</v>
      </c>
      <c r="O190" s="71" t="str">
        <f>INDEX(Кат!$D:$D,MATCH($A190,Кат!$A:$A,0))</f>
        <v>Y</v>
      </c>
    </row>
    <row r="191" spans="1:15" ht="30" x14ac:dyDescent="0.25">
      <c r="A191" s="73">
        <v>163475</v>
      </c>
      <c r="B191" s="73">
        <v>52996</v>
      </c>
      <c r="C191" s="74" t="s">
        <v>513</v>
      </c>
      <c r="D191" s="74" t="s">
        <v>13</v>
      </c>
      <c r="E191" s="74" t="s">
        <v>514</v>
      </c>
      <c r="F191" s="74" t="s">
        <v>515</v>
      </c>
      <c r="G191" s="74" t="s">
        <v>15</v>
      </c>
      <c r="H191" s="75">
        <v>11603.11</v>
      </c>
      <c r="I191" s="75">
        <v>15090</v>
      </c>
      <c r="J191" s="74"/>
      <c r="K191" s="74" t="s">
        <v>16</v>
      </c>
      <c r="L191" s="74"/>
      <c r="M191" s="74" t="s">
        <v>13</v>
      </c>
      <c r="N191" s="71" t="str">
        <f t="shared" si="2"/>
        <v>1</v>
      </c>
      <c r="O191" s="71" t="str">
        <f>INDEX(Кат!$D:$D,MATCH($A191,Кат!$A:$A,0))</f>
        <v>Y</v>
      </c>
    </row>
    <row r="192" spans="1:15" ht="45" x14ac:dyDescent="0.25">
      <c r="A192" s="73">
        <v>163476</v>
      </c>
      <c r="B192" s="73">
        <v>48028</v>
      </c>
      <c r="C192" s="74" t="s">
        <v>516</v>
      </c>
      <c r="D192" s="74" t="s">
        <v>13</v>
      </c>
      <c r="E192" s="74" t="s">
        <v>517</v>
      </c>
      <c r="F192" s="74" t="s">
        <v>517</v>
      </c>
      <c r="G192" s="74" t="s">
        <v>15</v>
      </c>
      <c r="H192" s="75">
        <v>9200</v>
      </c>
      <c r="I192" s="75">
        <v>12490</v>
      </c>
      <c r="J192" s="74"/>
      <c r="K192" s="74" t="s">
        <v>16</v>
      </c>
      <c r="L192" s="74"/>
      <c r="M192" s="74" t="s">
        <v>13</v>
      </c>
      <c r="N192" s="71" t="str">
        <f t="shared" si="2"/>
        <v>1</v>
      </c>
      <c r="O192" s="71" t="str">
        <f>INDEX(Кат!$D:$D,MATCH($A192,Кат!$A:$A,0))</f>
        <v>Y</v>
      </c>
    </row>
    <row r="193" spans="1:15" ht="45" x14ac:dyDescent="0.25">
      <c r="A193" s="73">
        <v>163477</v>
      </c>
      <c r="B193" s="73">
        <v>32529</v>
      </c>
      <c r="C193" s="74" t="s">
        <v>518</v>
      </c>
      <c r="D193" s="74" t="s">
        <v>13</v>
      </c>
      <c r="E193" s="74" t="s">
        <v>519</v>
      </c>
      <c r="F193" s="74" t="s">
        <v>519</v>
      </c>
      <c r="G193" s="74" t="s">
        <v>15</v>
      </c>
      <c r="H193" s="75">
        <v>2292</v>
      </c>
      <c r="I193" s="75">
        <v>3290</v>
      </c>
      <c r="J193" s="74"/>
      <c r="K193" s="74" t="s">
        <v>16</v>
      </c>
      <c r="L193" s="74"/>
      <c r="M193" s="74" t="s">
        <v>13</v>
      </c>
      <c r="N193" s="71" t="str">
        <f t="shared" si="2"/>
        <v>1</v>
      </c>
      <c r="O193" s="71" t="str">
        <f>INDEX(Кат!$D:$D,MATCH($A193,Кат!$A:$A,0))</f>
        <v>Y</v>
      </c>
    </row>
    <row r="194" spans="1:15" ht="45" x14ac:dyDescent="0.25">
      <c r="A194" s="73">
        <v>163478</v>
      </c>
      <c r="B194" s="73">
        <v>31416</v>
      </c>
      <c r="C194" s="74" t="s">
        <v>520</v>
      </c>
      <c r="D194" s="74" t="s">
        <v>13</v>
      </c>
      <c r="E194" s="74" t="s">
        <v>521</v>
      </c>
      <c r="F194" s="74" t="s">
        <v>521</v>
      </c>
      <c r="G194" s="74" t="s">
        <v>15</v>
      </c>
      <c r="H194" s="75">
        <v>3102</v>
      </c>
      <c r="I194" s="75">
        <v>4390</v>
      </c>
      <c r="J194" s="74"/>
      <c r="K194" s="74" t="s">
        <v>16</v>
      </c>
      <c r="L194" s="74" t="s">
        <v>16</v>
      </c>
      <c r="M194" s="74" t="s">
        <v>13</v>
      </c>
      <c r="N194" s="71" t="str">
        <f t="shared" si="2"/>
        <v>1ск1</v>
      </c>
      <c r="O194" s="71" t="str">
        <f>INDEX(Кат!$D:$D,MATCH($A194,Кат!$A:$A,0))</f>
        <v>Y</v>
      </c>
    </row>
    <row r="195" spans="1:15" ht="30" x14ac:dyDescent="0.25">
      <c r="A195" s="73">
        <v>363635</v>
      </c>
      <c r="B195" s="73">
        <v>363635</v>
      </c>
      <c r="C195" s="74" t="s">
        <v>522</v>
      </c>
      <c r="D195" s="74" t="s">
        <v>13</v>
      </c>
      <c r="E195" s="74" t="s">
        <v>523</v>
      </c>
      <c r="F195" s="74"/>
      <c r="G195" s="74" t="s">
        <v>15</v>
      </c>
      <c r="H195" s="75"/>
      <c r="I195" s="75">
        <v>0</v>
      </c>
      <c r="J195" s="74"/>
      <c r="K195" s="74" t="s">
        <v>16</v>
      </c>
      <c r="L195" s="74" t="s">
        <v>16</v>
      </c>
      <c r="M195" s="74"/>
      <c r="N195" s="71" t="str">
        <f t="shared" ref="N195:N258" si="3">_xlfn.CONCAT(K195,IF(L195&lt;&gt;"",_xlfn.CONCAT("ск",L195),""))</f>
        <v>1ск1</v>
      </c>
      <c r="O195" s="71" t="str">
        <f>INDEX(Кат!$D:$D,MATCH($A195,Кат!$A:$A,0))</f>
        <v>Y</v>
      </c>
    </row>
    <row r="196" spans="1:15" ht="45" x14ac:dyDescent="0.25">
      <c r="A196" s="73">
        <v>163479</v>
      </c>
      <c r="B196" s="73">
        <v>31006</v>
      </c>
      <c r="C196" s="74" t="s">
        <v>524</v>
      </c>
      <c r="D196" s="74" t="s">
        <v>13</v>
      </c>
      <c r="E196" s="74" t="s">
        <v>525</v>
      </c>
      <c r="F196" s="74" t="s">
        <v>525</v>
      </c>
      <c r="G196" s="74" t="s">
        <v>15</v>
      </c>
      <c r="H196" s="75">
        <v>25746.82</v>
      </c>
      <c r="I196" s="75">
        <v>33490</v>
      </c>
      <c r="J196" s="74"/>
      <c r="K196" s="74" t="s">
        <v>16</v>
      </c>
      <c r="L196" s="74"/>
      <c r="M196" s="74" t="s">
        <v>13</v>
      </c>
      <c r="N196" s="71" t="str">
        <f t="shared" si="3"/>
        <v>1</v>
      </c>
      <c r="O196" s="71" t="str">
        <f>INDEX(Кат!$D:$D,MATCH($A196,Кат!$A:$A,0))</f>
        <v>Y</v>
      </c>
    </row>
    <row r="197" spans="1:15" ht="75" x14ac:dyDescent="0.25">
      <c r="A197" s="73">
        <v>163480</v>
      </c>
      <c r="B197" s="73">
        <v>31095</v>
      </c>
      <c r="C197" s="74" t="s">
        <v>526</v>
      </c>
      <c r="D197" s="74" t="s">
        <v>13</v>
      </c>
      <c r="E197" s="74" t="s">
        <v>527</v>
      </c>
      <c r="F197" s="74" t="s">
        <v>527</v>
      </c>
      <c r="G197" s="74" t="s">
        <v>15</v>
      </c>
      <c r="H197" s="75">
        <v>18000</v>
      </c>
      <c r="I197" s="75">
        <v>25190</v>
      </c>
      <c r="J197" s="74" t="s">
        <v>528</v>
      </c>
      <c r="K197" s="74" t="s">
        <v>16</v>
      </c>
      <c r="L197" s="74"/>
      <c r="M197" s="74" t="s">
        <v>13</v>
      </c>
      <c r="N197" s="71" t="str">
        <f t="shared" si="3"/>
        <v>1</v>
      </c>
      <c r="O197" s="71" t="str">
        <f>INDEX(Кат!$D:$D,MATCH($A197,Кат!$A:$A,0))</f>
        <v>Y</v>
      </c>
    </row>
    <row r="198" spans="1:15" ht="60" x14ac:dyDescent="0.25">
      <c r="A198" s="73">
        <v>163481</v>
      </c>
      <c r="B198" s="73">
        <v>23549</v>
      </c>
      <c r="C198" s="74" t="s">
        <v>529</v>
      </c>
      <c r="D198" s="74" t="s">
        <v>13</v>
      </c>
      <c r="E198" s="74" t="s">
        <v>530</v>
      </c>
      <c r="F198" s="74" t="s">
        <v>530</v>
      </c>
      <c r="G198" s="74" t="s">
        <v>15</v>
      </c>
      <c r="H198" s="75">
        <v>7413</v>
      </c>
      <c r="I198" s="75">
        <v>10390</v>
      </c>
      <c r="J198" s="74" t="s">
        <v>531</v>
      </c>
      <c r="K198" s="74" t="s">
        <v>16</v>
      </c>
      <c r="L198" s="74"/>
      <c r="M198" s="74" t="s">
        <v>13</v>
      </c>
      <c r="N198" s="71" t="str">
        <f t="shared" si="3"/>
        <v>1</v>
      </c>
      <c r="O198" s="71" t="str">
        <f>INDEX(Кат!$D:$D,MATCH($A198,Кат!$A:$A,0))</f>
        <v>Y</v>
      </c>
    </row>
    <row r="199" spans="1:15" ht="45" x14ac:dyDescent="0.25">
      <c r="A199" s="73">
        <v>163482</v>
      </c>
      <c r="B199" s="73">
        <v>53047</v>
      </c>
      <c r="C199" s="74" t="s">
        <v>532</v>
      </c>
      <c r="D199" s="74" t="s">
        <v>13</v>
      </c>
      <c r="E199" s="74" t="s">
        <v>533</v>
      </c>
      <c r="F199" s="74" t="s">
        <v>534</v>
      </c>
      <c r="G199" s="74" t="s">
        <v>15</v>
      </c>
      <c r="H199" s="75">
        <v>5064.42</v>
      </c>
      <c r="I199" s="75">
        <v>6890</v>
      </c>
      <c r="J199" s="74"/>
      <c r="K199" s="74" t="s">
        <v>16</v>
      </c>
      <c r="L199" s="74"/>
      <c r="M199" s="74" t="s">
        <v>13</v>
      </c>
      <c r="N199" s="71" t="str">
        <f t="shared" si="3"/>
        <v>1</v>
      </c>
      <c r="O199" s="71" t="str">
        <f>INDEX(Кат!$D:$D,MATCH($A199,Кат!$A:$A,0))</f>
        <v>Y</v>
      </c>
    </row>
    <row r="200" spans="1:15" ht="30" x14ac:dyDescent="0.25">
      <c r="A200" s="73">
        <v>163483</v>
      </c>
      <c r="B200" s="73">
        <v>31094</v>
      </c>
      <c r="C200" s="74" t="s">
        <v>535</v>
      </c>
      <c r="D200" s="74" t="s">
        <v>13</v>
      </c>
      <c r="E200" s="74" t="s">
        <v>536</v>
      </c>
      <c r="F200" s="74" t="s">
        <v>536</v>
      </c>
      <c r="G200" s="74" t="s">
        <v>15</v>
      </c>
      <c r="H200" s="75">
        <v>12401</v>
      </c>
      <c r="I200" s="75">
        <v>17390</v>
      </c>
      <c r="J200" s="74"/>
      <c r="K200" s="74" t="s">
        <v>16</v>
      </c>
      <c r="L200" s="74"/>
      <c r="M200" s="74" t="s">
        <v>13</v>
      </c>
      <c r="N200" s="71" t="str">
        <f t="shared" si="3"/>
        <v>1</v>
      </c>
      <c r="O200" s="71" t="str">
        <f>INDEX(Кат!$D:$D,MATCH($A200,Кат!$A:$A,0))</f>
        <v>Y</v>
      </c>
    </row>
    <row r="201" spans="1:15" ht="45" x14ac:dyDescent="0.25">
      <c r="A201" s="73">
        <v>163484</v>
      </c>
      <c r="B201" s="73">
        <v>41676</v>
      </c>
      <c r="C201" s="74" t="s">
        <v>537</v>
      </c>
      <c r="D201" s="74" t="s">
        <v>13</v>
      </c>
      <c r="E201" s="74" t="s">
        <v>538</v>
      </c>
      <c r="F201" s="74" t="s">
        <v>539</v>
      </c>
      <c r="G201" s="74" t="s">
        <v>15</v>
      </c>
      <c r="H201" s="75">
        <v>5597</v>
      </c>
      <c r="I201" s="75">
        <v>7890</v>
      </c>
      <c r="J201" s="74"/>
      <c r="K201" s="74" t="s">
        <v>16</v>
      </c>
      <c r="L201" s="74"/>
      <c r="M201" s="74" t="s">
        <v>13</v>
      </c>
      <c r="N201" s="71" t="str">
        <f t="shared" si="3"/>
        <v>1</v>
      </c>
      <c r="O201" s="71" t="str">
        <f>INDEX(Кат!$D:$D,MATCH($A201,Кат!$A:$A,0))</f>
        <v>Y</v>
      </c>
    </row>
    <row r="202" spans="1:15" ht="45" x14ac:dyDescent="0.25">
      <c r="A202" s="73">
        <v>163485</v>
      </c>
      <c r="B202" s="73">
        <v>31420</v>
      </c>
      <c r="C202" s="74" t="s">
        <v>540</v>
      </c>
      <c r="D202" s="74" t="s">
        <v>13</v>
      </c>
      <c r="E202" s="74" t="s">
        <v>541</v>
      </c>
      <c r="F202" s="74" t="s">
        <v>541</v>
      </c>
      <c r="G202" s="74" t="s">
        <v>15</v>
      </c>
      <c r="H202" s="75">
        <v>6020</v>
      </c>
      <c r="I202" s="75">
        <v>8490</v>
      </c>
      <c r="J202" s="74"/>
      <c r="K202" s="74" t="s">
        <v>16</v>
      </c>
      <c r="L202" s="74"/>
      <c r="M202" s="74" t="s">
        <v>13</v>
      </c>
      <c r="N202" s="71" t="str">
        <f t="shared" si="3"/>
        <v>1</v>
      </c>
      <c r="O202" s="71" t="str">
        <f>INDEX(Кат!$D:$D,MATCH($A202,Кат!$A:$A,0))</f>
        <v>Y</v>
      </c>
    </row>
    <row r="203" spans="1:15" ht="45" x14ac:dyDescent="0.25">
      <c r="A203" s="73">
        <v>163486</v>
      </c>
      <c r="B203" s="73">
        <v>23914</v>
      </c>
      <c r="C203" s="74" t="s">
        <v>542</v>
      </c>
      <c r="D203" s="74" t="s">
        <v>13</v>
      </c>
      <c r="E203" s="74" t="s">
        <v>543</v>
      </c>
      <c r="F203" s="74" t="s">
        <v>543</v>
      </c>
      <c r="G203" s="74" t="s">
        <v>15</v>
      </c>
      <c r="H203" s="75">
        <v>1921</v>
      </c>
      <c r="I203" s="75">
        <v>2890</v>
      </c>
      <c r="J203" s="74"/>
      <c r="K203" s="74" t="s">
        <v>37</v>
      </c>
      <c r="L203" s="74"/>
      <c r="M203" s="74" t="s">
        <v>13</v>
      </c>
      <c r="N203" s="71" t="str">
        <f t="shared" si="3"/>
        <v>0</v>
      </c>
      <c r="O203" s="71" t="str">
        <f>INDEX(Кат!$D:$D,MATCH($A203,Кат!$A:$A,0))</f>
        <v>Y</v>
      </c>
    </row>
    <row r="204" spans="1:15" ht="75" x14ac:dyDescent="0.25">
      <c r="A204" s="73">
        <v>163487</v>
      </c>
      <c r="B204" s="73">
        <v>32677</v>
      </c>
      <c r="C204" s="74" t="s">
        <v>544</v>
      </c>
      <c r="D204" s="74" t="s">
        <v>13</v>
      </c>
      <c r="E204" s="74" t="s">
        <v>545</v>
      </c>
      <c r="F204" s="74" t="s">
        <v>545</v>
      </c>
      <c r="G204" s="74" t="s">
        <v>15</v>
      </c>
      <c r="H204" s="75">
        <v>9500</v>
      </c>
      <c r="I204" s="75">
        <v>13290</v>
      </c>
      <c r="J204" s="74" t="s">
        <v>546</v>
      </c>
      <c r="K204" s="74" t="s">
        <v>16</v>
      </c>
      <c r="L204" s="74"/>
      <c r="M204" s="74" t="s">
        <v>13</v>
      </c>
      <c r="N204" s="71" t="str">
        <f t="shared" si="3"/>
        <v>1</v>
      </c>
      <c r="O204" s="71" t="str">
        <f>INDEX(Кат!$D:$D,MATCH($A204,Кат!$A:$A,0))</f>
        <v>Y</v>
      </c>
    </row>
    <row r="205" spans="1:15" ht="75" x14ac:dyDescent="0.25">
      <c r="A205" s="73">
        <v>163488</v>
      </c>
      <c r="B205" s="73">
        <v>31246</v>
      </c>
      <c r="C205" s="74" t="s">
        <v>547</v>
      </c>
      <c r="D205" s="74" t="s">
        <v>13</v>
      </c>
      <c r="E205" s="74" t="s">
        <v>548</v>
      </c>
      <c r="F205" s="74" t="s">
        <v>548</v>
      </c>
      <c r="G205" s="74" t="s">
        <v>15</v>
      </c>
      <c r="H205" s="75">
        <v>8582.4</v>
      </c>
      <c r="I205" s="75">
        <v>11590</v>
      </c>
      <c r="J205" s="74" t="s">
        <v>549</v>
      </c>
      <c r="K205" s="74" t="s">
        <v>16</v>
      </c>
      <c r="L205" s="74"/>
      <c r="M205" s="74" t="s">
        <v>13</v>
      </c>
      <c r="N205" s="71" t="str">
        <f t="shared" si="3"/>
        <v>1</v>
      </c>
      <c r="O205" s="71" t="str">
        <f>INDEX(Кат!$D:$D,MATCH($A205,Кат!$A:$A,0))</f>
        <v>Y</v>
      </c>
    </row>
    <row r="206" spans="1:15" ht="75" x14ac:dyDescent="0.25">
      <c r="A206" s="73">
        <v>163489</v>
      </c>
      <c r="B206" s="73">
        <v>32523</v>
      </c>
      <c r="C206" s="74" t="s">
        <v>550</v>
      </c>
      <c r="D206" s="74" t="s">
        <v>13</v>
      </c>
      <c r="E206" s="74" t="s">
        <v>551</v>
      </c>
      <c r="F206" s="74" t="s">
        <v>551</v>
      </c>
      <c r="G206" s="74" t="s">
        <v>15</v>
      </c>
      <c r="H206" s="75">
        <v>7444.17</v>
      </c>
      <c r="I206" s="75">
        <v>10090</v>
      </c>
      <c r="J206" s="74" t="s">
        <v>552</v>
      </c>
      <c r="K206" s="74" t="s">
        <v>16</v>
      </c>
      <c r="L206" s="74"/>
      <c r="M206" s="74" t="s">
        <v>13</v>
      </c>
      <c r="N206" s="71" t="str">
        <f t="shared" si="3"/>
        <v>1</v>
      </c>
      <c r="O206" s="71" t="str">
        <f>INDEX(Кат!$D:$D,MATCH($A206,Кат!$A:$A,0))</f>
        <v>Y</v>
      </c>
    </row>
    <row r="207" spans="1:15" ht="75" x14ac:dyDescent="0.25">
      <c r="A207" s="73">
        <v>163490</v>
      </c>
      <c r="B207" s="73">
        <v>32724</v>
      </c>
      <c r="C207" s="74" t="s">
        <v>553</v>
      </c>
      <c r="D207" s="74" t="s">
        <v>13</v>
      </c>
      <c r="E207" s="74" t="s">
        <v>554</v>
      </c>
      <c r="F207" s="74" t="s">
        <v>554</v>
      </c>
      <c r="G207" s="74" t="s">
        <v>15</v>
      </c>
      <c r="H207" s="75">
        <v>18147</v>
      </c>
      <c r="I207" s="75">
        <v>25490</v>
      </c>
      <c r="J207" s="74" t="s">
        <v>555</v>
      </c>
      <c r="K207" s="74" t="s">
        <v>16</v>
      </c>
      <c r="L207" s="74"/>
      <c r="M207" s="74" t="s">
        <v>13</v>
      </c>
      <c r="N207" s="71" t="str">
        <f t="shared" si="3"/>
        <v>1</v>
      </c>
      <c r="O207" s="71" t="str">
        <f>INDEX(Кат!$D:$D,MATCH($A207,Кат!$A:$A,0))</f>
        <v>Y</v>
      </c>
    </row>
    <row r="208" spans="1:15" ht="75" x14ac:dyDescent="0.25">
      <c r="A208" s="73">
        <v>163491</v>
      </c>
      <c r="B208" s="73">
        <v>31367</v>
      </c>
      <c r="C208" s="74" t="s">
        <v>556</v>
      </c>
      <c r="D208" s="74" t="s">
        <v>13</v>
      </c>
      <c r="E208" s="74" t="s">
        <v>557</v>
      </c>
      <c r="F208" s="74" t="s">
        <v>557</v>
      </c>
      <c r="G208" s="74" t="s">
        <v>15</v>
      </c>
      <c r="H208" s="75">
        <v>3178</v>
      </c>
      <c r="I208" s="75">
        <v>4490</v>
      </c>
      <c r="J208" s="74" t="s">
        <v>558</v>
      </c>
      <c r="K208" s="74" t="s">
        <v>16</v>
      </c>
      <c r="L208" s="74"/>
      <c r="M208" s="74" t="s">
        <v>13</v>
      </c>
      <c r="N208" s="71" t="str">
        <f t="shared" si="3"/>
        <v>1</v>
      </c>
      <c r="O208" s="71" t="str">
        <f>INDEX(Кат!$D:$D,MATCH($A208,Кат!$A:$A,0))</f>
        <v>Y</v>
      </c>
    </row>
    <row r="209" spans="1:15" ht="75" x14ac:dyDescent="0.25">
      <c r="A209" s="73">
        <v>163492</v>
      </c>
      <c r="B209" s="73">
        <v>31456</v>
      </c>
      <c r="C209" s="74" t="s">
        <v>559</v>
      </c>
      <c r="D209" s="74" t="s">
        <v>13</v>
      </c>
      <c r="E209" s="74" t="s">
        <v>560</v>
      </c>
      <c r="F209" s="74" t="s">
        <v>560</v>
      </c>
      <c r="G209" s="74" t="s">
        <v>15</v>
      </c>
      <c r="H209" s="75">
        <v>7444</v>
      </c>
      <c r="I209" s="75">
        <v>10490</v>
      </c>
      <c r="J209" s="74" t="s">
        <v>561</v>
      </c>
      <c r="K209" s="74" t="s">
        <v>16</v>
      </c>
      <c r="L209" s="74"/>
      <c r="M209" s="74" t="s">
        <v>13</v>
      </c>
      <c r="N209" s="71" t="str">
        <f t="shared" si="3"/>
        <v>1</v>
      </c>
      <c r="O209" s="71" t="str">
        <f>INDEX(Кат!$D:$D,MATCH($A209,Кат!$A:$A,0))</f>
        <v>Y</v>
      </c>
    </row>
    <row r="210" spans="1:15" ht="75" x14ac:dyDescent="0.25">
      <c r="A210" s="73">
        <v>163493</v>
      </c>
      <c r="B210" s="73">
        <v>31172</v>
      </c>
      <c r="C210" s="74" t="s">
        <v>562</v>
      </c>
      <c r="D210" s="74" t="s">
        <v>13</v>
      </c>
      <c r="E210" s="74" t="s">
        <v>563</v>
      </c>
      <c r="F210" s="74" t="s">
        <v>563</v>
      </c>
      <c r="G210" s="74" t="s">
        <v>15</v>
      </c>
      <c r="H210" s="75">
        <v>14208</v>
      </c>
      <c r="I210" s="75">
        <v>19890</v>
      </c>
      <c r="J210" s="74" t="s">
        <v>564</v>
      </c>
      <c r="K210" s="74" t="s">
        <v>16</v>
      </c>
      <c r="L210" s="74"/>
      <c r="M210" s="74" t="s">
        <v>13</v>
      </c>
      <c r="N210" s="71" t="str">
        <f t="shared" si="3"/>
        <v>1</v>
      </c>
      <c r="O210" s="71" t="str">
        <f>INDEX(Кат!$D:$D,MATCH($A210,Кат!$A:$A,0))</f>
        <v>Y</v>
      </c>
    </row>
    <row r="211" spans="1:15" ht="75" x14ac:dyDescent="0.25">
      <c r="A211" s="73">
        <v>163494</v>
      </c>
      <c r="B211" s="73">
        <v>31368</v>
      </c>
      <c r="C211" s="74" t="s">
        <v>565</v>
      </c>
      <c r="D211" s="74" t="s">
        <v>13</v>
      </c>
      <c r="E211" s="74" t="s">
        <v>566</v>
      </c>
      <c r="F211" s="74" t="s">
        <v>566</v>
      </c>
      <c r="G211" s="74" t="s">
        <v>15</v>
      </c>
      <c r="H211" s="75">
        <v>3154</v>
      </c>
      <c r="I211" s="75">
        <v>4490</v>
      </c>
      <c r="J211" s="74" t="s">
        <v>567</v>
      </c>
      <c r="K211" s="74" t="s">
        <v>16</v>
      </c>
      <c r="L211" s="74"/>
      <c r="M211" s="74" t="s">
        <v>13</v>
      </c>
      <c r="N211" s="71" t="str">
        <f t="shared" si="3"/>
        <v>1</v>
      </c>
      <c r="O211" s="71" t="str">
        <f>INDEX(Кат!$D:$D,MATCH($A211,Кат!$A:$A,0))</f>
        <v>Y</v>
      </c>
    </row>
    <row r="212" spans="1:15" ht="45" x14ac:dyDescent="0.25">
      <c r="A212" s="73">
        <v>163495</v>
      </c>
      <c r="B212" s="73">
        <v>52943</v>
      </c>
      <c r="C212" s="74" t="s">
        <v>568</v>
      </c>
      <c r="D212" s="74" t="s">
        <v>13</v>
      </c>
      <c r="E212" s="74" t="s">
        <v>569</v>
      </c>
      <c r="F212" s="74" t="s">
        <v>570</v>
      </c>
      <c r="G212" s="74" t="s">
        <v>15</v>
      </c>
      <c r="H212" s="75">
        <v>11857</v>
      </c>
      <c r="I212" s="75">
        <v>16590</v>
      </c>
      <c r="J212" s="74"/>
      <c r="K212" s="74" t="s">
        <v>16</v>
      </c>
      <c r="L212" s="74"/>
      <c r="M212" s="74" t="s">
        <v>13</v>
      </c>
      <c r="N212" s="71" t="str">
        <f t="shared" si="3"/>
        <v>1</v>
      </c>
      <c r="O212" s="71" t="str">
        <f>INDEX(Кат!$D:$D,MATCH($A212,Кат!$A:$A,0))</f>
        <v>Y</v>
      </c>
    </row>
    <row r="213" spans="1:15" ht="45" x14ac:dyDescent="0.25">
      <c r="A213" s="73">
        <v>163496</v>
      </c>
      <c r="B213" s="73">
        <v>52940</v>
      </c>
      <c r="C213" s="74" t="s">
        <v>571</v>
      </c>
      <c r="D213" s="74" t="s">
        <v>13</v>
      </c>
      <c r="E213" s="74" t="s">
        <v>572</v>
      </c>
      <c r="F213" s="74" t="s">
        <v>573</v>
      </c>
      <c r="G213" s="74" t="s">
        <v>15</v>
      </c>
      <c r="H213" s="75">
        <v>18806</v>
      </c>
      <c r="I213" s="75">
        <v>24490</v>
      </c>
      <c r="J213" s="74"/>
      <c r="K213" s="74" t="s">
        <v>16</v>
      </c>
      <c r="L213" s="74"/>
      <c r="M213" s="74" t="s">
        <v>13</v>
      </c>
      <c r="N213" s="71" t="str">
        <f t="shared" si="3"/>
        <v>1</v>
      </c>
      <c r="O213" s="71" t="str">
        <f>INDEX(Кат!$D:$D,MATCH($A213,Кат!$A:$A,0))</f>
        <v>Y</v>
      </c>
    </row>
    <row r="214" spans="1:15" ht="60" x14ac:dyDescent="0.25">
      <c r="A214" s="73">
        <v>163497</v>
      </c>
      <c r="B214" s="73">
        <v>50434</v>
      </c>
      <c r="C214" s="74" t="s">
        <v>574</v>
      </c>
      <c r="D214" s="74" t="s">
        <v>13</v>
      </c>
      <c r="E214" s="74" t="s">
        <v>575</v>
      </c>
      <c r="F214" s="74" t="s">
        <v>575</v>
      </c>
      <c r="G214" s="74" t="s">
        <v>15</v>
      </c>
      <c r="H214" s="75">
        <v>4071</v>
      </c>
      <c r="I214" s="75">
        <v>5690</v>
      </c>
      <c r="J214" s="74" t="s">
        <v>576</v>
      </c>
      <c r="K214" s="74" t="s">
        <v>16</v>
      </c>
      <c r="L214" s="74" t="s">
        <v>16</v>
      </c>
      <c r="M214" s="74"/>
      <c r="N214" s="71" t="str">
        <f t="shared" si="3"/>
        <v>1ск1</v>
      </c>
      <c r="O214" s="71" t="str">
        <f>INDEX(Кат!$D:$D,MATCH($A214,Кат!$A:$A,0))</f>
        <v>Y</v>
      </c>
    </row>
    <row r="215" spans="1:15" ht="60" x14ac:dyDescent="0.25">
      <c r="A215" s="73">
        <v>163498</v>
      </c>
      <c r="B215" s="73">
        <v>31193</v>
      </c>
      <c r="C215" s="74" t="s">
        <v>577</v>
      </c>
      <c r="D215" s="74" t="s">
        <v>13</v>
      </c>
      <c r="E215" s="74" t="s">
        <v>578</v>
      </c>
      <c r="F215" s="74" t="s">
        <v>578</v>
      </c>
      <c r="G215" s="74" t="s">
        <v>15</v>
      </c>
      <c r="H215" s="75">
        <v>3132</v>
      </c>
      <c r="I215" s="75">
        <v>4390</v>
      </c>
      <c r="J215" s="74"/>
      <c r="K215" s="74" t="s">
        <v>37</v>
      </c>
      <c r="L215" s="74"/>
      <c r="M215" s="74" t="s">
        <v>13</v>
      </c>
      <c r="N215" s="71" t="str">
        <f t="shared" si="3"/>
        <v>0</v>
      </c>
      <c r="O215" s="71" t="str">
        <f>INDEX(Кат!$D:$D,MATCH($A215,Кат!$A:$A,0))</f>
        <v>Y</v>
      </c>
    </row>
    <row r="216" spans="1:15" ht="75" x14ac:dyDescent="0.25">
      <c r="A216" s="73">
        <v>163499</v>
      </c>
      <c r="B216" s="73">
        <v>23531</v>
      </c>
      <c r="C216" s="74" t="s">
        <v>579</v>
      </c>
      <c r="D216" s="74" t="s">
        <v>13</v>
      </c>
      <c r="E216" s="74" t="s">
        <v>580</v>
      </c>
      <c r="F216" s="74" t="s">
        <v>580</v>
      </c>
      <c r="G216" s="74" t="s">
        <v>15</v>
      </c>
      <c r="H216" s="75">
        <v>159</v>
      </c>
      <c r="I216" s="75">
        <v>289</v>
      </c>
      <c r="J216" s="74" t="s">
        <v>581</v>
      </c>
      <c r="K216" s="74" t="s">
        <v>16</v>
      </c>
      <c r="L216" s="74" t="s">
        <v>16</v>
      </c>
      <c r="M216" s="74" t="s">
        <v>13</v>
      </c>
      <c r="N216" s="71" t="str">
        <f t="shared" si="3"/>
        <v>1ск1</v>
      </c>
      <c r="O216" s="71" t="str">
        <f>INDEX(Кат!$D:$D,MATCH($A216,Кат!$A:$A,0))</f>
        <v>Y</v>
      </c>
    </row>
    <row r="217" spans="1:15" ht="45" x14ac:dyDescent="0.25">
      <c r="A217" s="73">
        <v>163500</v>
      </c>
      <c r="B217" s="73">
        <v>56793</v>
      </c>
      <c r="C217" s="74" t="s">
        <v>582</v>
      </c>
      <c r="D217" s="74" t="s">
        <v>13</v>
      </c>
      <c r="E217" s="74" t="s">
        <v>583</v>
      </c>
      <c r="F217" s="74"/>
      <c r="G217" s="74" t="s">
        <v>15</v>
      </c>
      <c r="H217" s="75">
        <v>120</v>
      </c>
      <c r="I217" s="75">
        <v>219</v>
      </c>
      <c r="J217" s="74"/>
      <c r="K217" s="74" t="s">
        <v>16</v>
      </c>
      <c r="L217" s="74" t="s">
        <v>16</v>
      </c>
      <c r="M217" s="74" t="s">
        <v>13</v>
      </c>
      <c r="N217" s="71" t="str">
        <f t="shared" si="3"/>
        <v>1ск1</v>
      </c>
      <c r="O217" s="71" t="str">
        <f>INDEX(Кат!$D:$D,MATCH($A217,Кат!$A:$A,0))</f>
        <v>Y</v>
      </c>
    </row>
    <row r="218" spans="1:15" ht="75" x14ac:dyDescent="0.25">
      <c r="A218" s="73">
        <v>163501</v>
      </c>
      <c r="B218" s="73">
        <v>24058</v>
      </c>
      <c r="C218" s="74" t="s">
        <v>584</v>
      </c>
      <c r="D218" s="74" t="s">
        <v>13</v>
      </c>
      <c r="E218" s="74" t="s">
        <v>585</v>
      </c>
      <c r="F218" s="74" t="s">
        <v>585</v>
      </c>
      <c r="G218" s="74" t="s">
        <v>15</v>
      </c>
      <c r="H218" s="75">
        <v>151</v>
      </c>
      <c r="I218" s="75">
        <v>279</v>
      </c>
      <c r="J218" s="74" t="s">
        <v>586</v>
      </c>
      <c r="K218" s="74" t="s">
        <v>16</v>
      </c>
      <c r="L218" s="74"/>
      <c r="M218" s="74"/>
      <c r="N218" s="71" t="str">
        <f t="shared" si="3"/>
        <v>1</v>
      </c>
      <c r="O218" s="71" t="str">
        <f>INDEX(Кат!$D:$D,MATCH($A218,Кат!$A:$A,0))</f>
        <v>Y</v>
      </c>
    </row>
    <row r="219" spans="1:15" ht="45" x14ac:dyDescent="0.25">
      <c r="A219" s="73">
        <v>163502</v>
      </c>
      <c r="B219" s="73">
        <v>56792</v>
      </c>
      <c r="C219" s="74" t="s">
        <v>587</v>
      </c>
      <c r="D219" s="74" t="s">
        <v>13</v>
      </c>
      <c r="E219" s="74" t="s">
        <v>588</v>
      </c>
      <c r="F219" s="74"/>
      <c r="G219" s="74" t="s">
        <v>15</v>
      </c>
      <c r="H219" s="75">
        <v>120</v>
      </c>
      <c r="I219" s="75">
        <v>219</v>
      </c>
      <c r="J219" s="74"/>
      <c r="K219" s="74" t="s">
        <v>16</v>
      </c>
      <c r="L219" s="74"/>
      <c r="M219" s="74" t="s">
        <v>13</v>
      </c>
      <c r="N219" s="71" t="str">
        <f t="shared" si="3"/>
        <v>1</v>
      </c>
      <c r="O219" s="71" t="str">
        <f>INDEX(Кат!$D:$D,MATCH($A219,Кат!$A:$A,0))</f>
        <v>Y</v>
      </c>
    </row>
    <row r="220" spans="1:15" ht="45" x14ac:dyDescent="0.25">
      <c r="A220" s="73">
        <v>163503</v>
      </c>
      <c r="B220" s="73">
        <v>23528</v>
      </c>
      <c r="C220" s="74" t="s">
        <v>589</v>
      </c>
      <c r="D220" s="74" t="s">
        <v>13</v>
      </c>
      <c r="E220" s="74" t="s">
        <v>590</v>
      </c>
      <c r="F220" s="74" t="s">
        <v>590</v>
      </c>
      <c r="G220" s="74" t="s">
        <v>15</v>
      </c>
      <c r="H220" s="75">
        <v>2362.3200000000002</v>
      </c>
      <c r="I220" s="75">
        <v>3390</v>
      </c>
      <c r="J220" s="74"/>
      <c r="K220" s="74" t="s">
        <v>16</v>
      </c>
      <c r="L220" s="74"/>
      <c r="M220" s="74" t="s">
        <v>13</v>
      </c>
      <c r="N220" s="71" t="str">
        <f t="shared" si="3"/>
        <v>1</v>
      </c>
      <c r="O220" s="71" t="str">
        <f>INDEX(Кат!$D:$D,MATCH($A220,Кат!$A:$A,0))</f>
        <v>Y</v>
      </c>
    </row>
    <row r="221" spans="1:15" ht="45" x14ac:dyDescent="0.25">
      <c r="A221" s="73">
        <v>315545</v>
      </c>
      <c r="B221" s="73">
        <v>315545</v>
      </c>
      <c r="C221" s="74" t="s">
        <v>591</v>
      </c>
      <c r="D221" s="74" t="s">
        <v>13</v>
      </c>
      <c r="E221" s="74" t="s">
        <v>590</v>
      </c>
      <c r="F221" s="74" t="s">
        <v>590</v>
      </c>
      <c r="G221" s="74" t="s">
        <v>15</v>
      </c>
      <c r="H221" s="75">
        <v>2448</v>
      </c>
      <c r="I221" s="75">
        <v>3490</v>
      </c>
      <c r="J221" s="74"/>
      <c r="K221" s="74" t="s">
        <v>16</v>
      </c>
      <c r="L221" s="74"/>
      <c r="M221" s="74" t="s">
        <v>13</v>
      </c>
      <c r="N221" s="71" t="str">
        <f t="shared" si="3"/>
        <v>1</v>
      </c>
      <c r="O221" s="71" t="str">
        <f>INDEX(Кат!$D:$D,MATCH($A221,Кат!$A:$A,0))</f>
        <v>Y</v>
      </c>
    </row>
    <row r="222" spans="1:15" ht="45" x14ac:dyDescent="0.25">
      <c r="A222" s="73">
        <v>163504</v>
      </c>
      <c r="B222" s="73">
        <v>50842</v>
      </c>
      <c r="C222" s="74" t="s">
        <v>592</v>
      </c>
      <c r="D222" s="74" t="s">
        <v>13</v>
      </c>
      <c r="E222" s="74" t="s">
        <v>593</v>
      </c>
      <c r="F222" s="74" t="s">
        <v>594</v>
      </c>
      <c r="G222" s="74" t="s">
        <v>15</v>
      </c>
      <c r="H222" s="75">
        <v>701</v>
      </c>
      <c r="I222" s="75">
        <v>1090</v>
      </c>
      <c r="J222" s="74"/>
      <c r="K222" s="74" t="s">
        <v>16</v>
      </c>
      <c r="L222" s="74"/>
      <c r="M222" s="74" t="s">
        <v>13</v>
      </c>
      <c r="N222" s="71" t="str">
        <f t="shared" si="3"/>
        <v>1</v>
      </c>
      <c r="O222" s="71" t="str">
        <f>INDEX(Кат!$D:$D,MATCH($A222,Кат!$A:$A,0))</f>
        <v>Y</v>
      </c>
    </row>
    <row r="223" spans="1:15" ht="45" x14ac:dyDescent="0.25">
      <c r="A223" s="73">
        <v>163505</v>
      </c>
      <c r="B223" s="73">
        <v>41814</v>
      </c>
      <c r="C223" s="74" t="s">
        <v>595</v>
      </c>
      <c r="D223" s="74" t="s">
        <v>13</v>
      </c>
      <c r="E223" s="74" t="s">
        <v>596</v>
      </c>
      <c r="F223" s="74" t="s">
        <v>597</v>
      </c>
      <c r="G223" s="74" t="s">
        <v>15</v>
      </c>
      <c r="H223" s="75">
        <v>1619</v>
      </c>
      <c r="I223" s="75">
        <v>2490</v>
      </c>
      <c r="J223" s="74"/>
      <c r="K223" s="74" t="s">
        <v>16</v>
      </c>
      <c r="L223" s="74"/>
      <c r="M223" s="74" t="s">
        <v>13</v>
      </c>
      <c r="N223" s="71" t="str">
        <f t="shared" si="3"/>
        <v>1</v>
      </c>
      <c r="O223" s="71" t="str">
        <f>INDEX(Кат!$D:$D,MATCH($A223,Кат!$A:$A,0))</f>
        <v>Y</v>
      </c>
    </row>
    <row r="224" spans="1:15" ht="45" x14ac:dyDescent="0.25">
      <c r="A224" s="73">
        <v>163506</v>
      </c>
      <c r="B224" s="73">
        <v>48656</v>
      </c>
      <c r="C224" s="74" t="s">
        <v>598</v>
      </c>
      <c r="D224" s="74" t="s">
        <v>13</v>
      </c>
      <c r="E224" s="74" t="s">
        <v>599</v>
      </c>
      <c r="F224" s="74" t="s">
        <v>600</v>
      </c>
      <c r="G224" s="74" t="s">
        <v>15</v>
      </c>
      <c r="H224" s="75">
        <v>994</v>
      </c>
      <c r="I224" s="75">
        <v>1590</v>
      </c>
      <c r="J224" s="74"/>
      <c r="K224" s="74" t="s">
        <v>16</v>
      </c>
      <c r="L224" s="74"/>
      <c r="M224" s="74" t="s">
        <v>13</v>
      </c>
      <c r="N224" s="71" t="str">
        <f t="shared" si="3"/>
        <v>1</v>
      </c>
      <c r="O224" s="71" t="str">
        <f>INDEX(Кат!$D:$D,MATCH($A224,Кат!$A:$A,0))</f>
        <v>Y</v>
      </c>
    </row>
    <row r="225" spans="1:15" ht="45" x14ac:dyDescent="0.25">
      <c r="A225" s="73">
        <v>163507</v>
      </c>
      <c r="B225" s="73">
        <v>41698</v>
      </c>
      <c r="C225" s="74" t="s">
        <v>601</v>
      </c>
      <c r="D225" s="74" t="s">
        <v>13</v>
      </c>
      <c r="E225" s="74" t="s">
        <v>602</v>
      </c>
      <c r="F225" s="74" t="s">
        <v>603</v>
      </c>
      <c r="G225" s="74" t="s">
        <v>15</v>
      </c>
      <c r="H225" s="75">
        <v>1600</v>
      </c>
      <c r="I225" s="75">
        <v>2490</v>
      </c>
      <c r="J225" s="74"/>
      <c r="K225" s="74" t="s">
        <v>16</v>
      </c>
      <c r="L225" s="74"/>
      <c r="M225" s="74" t="s">
        <v>13</v>
      </c>
      <c r="N225" s="71" t="str">
        <f t="shared" si="3"/>
        <v>1</v>
      </c>
      <c r="O225" s="71" t="str">
        <f>INDEX(Кат!$D:$D,MATCH($A225,Кат!$A:$A,0))</f>
        <v>Y</v>
      </c>
    </row>
    <row r="226" spans="1:15" ht="60" x14ac:dyDescent="0.25">
      <c r="A226" s="73">
        <v>163508</v>
      </c>
      <c r="B226" s="73">
        <v>46235</v>
      </c>
      <c r="C226" s="74" t="s">
        <v>604</v>
      </c>
      <c r="D226" s="74" t="s">
        <v>13</v>
      </c>
      <c r="E226" s="74" t="s">
        <v>605</v>
      </c>
      <c r="F226" s="74" t="s">
        <v>606</v>
      </c>
      <c r="G226" s="74" t="s">
        <v>15</v>
      </c>
      <c r="H226" s="75">
        <v>1241</v>
      </c>
      <c r="I226" s="75">
        <v>1890</v>
      </c>
      <c r="J226" s="74" t="s">
        <v>607</v>
      </c>
      <c r="K226" s="74" t="s">
        <v>16</v>
      </c>
      <c r="L226" s="74"/>
      <c r="M226" s="74" t="s">
        <v>13</v>
      </c>
      <c r="N226" s="71" t="str">
        <f t="shared" si="3"/>
        <v>1</v>
      </c>
      <c r="O226" s="71" t="str">
        <f>INDEX(Кат!$D:$D,MATCH($A226,Кат!$A:$A,0))</f>
        <v>Y</v>
      </c>
    </row>
    <row r="227" spans="1:15" ht="60" x14ac:dyDescent="0.25">
      <c r="A227" s="73">
        <v>163509</v>
      </c>
      <c r="B227" s="73">
        <v>50705</v>
      </c>
      <c r="C227" s="74" t="s">
        <v>608</v>
      </c>
      <c r="D227" s="74" t="s">
        <v>13</v>
      </c>
      <c r="E227" s="74" t="s">
        <v>609</v>
      </c>
      <c r="F227" s="74" t="s">
        <v>610</v>
      </c>
      <c r="G227" s="74" t="s">
        <v>15</v>
      </c>
      <c r="H227" s="75">
        <v>790</v>
      </c>
      <c r="I227" s="75">
        <v>1290</v>
      </c>
      <c r="J227" s="74" t="s">
        <v>611</v>
      </c>
      <c r="K227" s="74" t="s">
        <v>16</v>
      </c>
      <c r="L227" s="74"/>
      <c r="M227" s="74" t="s">
        <v>13</v>
      </c>
      <c r="N227" s="71" t="str">
        <f t="shared" si="3"/>
        <v>1</v>
      </c>
      <c r="O227" s="71" t="str">
        <f>INDEX(Кат!$D:$D,MATCH($A227,Кат!$A:$A,0))</f>
        <v>Y</v>
      </c>
    </row>
    <row r="228" spans="1:15" ht="75" x14ac:dyDescent="0.25">
      <c r="A228" s="73">
        <v>163510</v>
      </c>
      <c r="B228" s="73">
        <v>46233</v>
      </c>
      <c r="C228" s="74" t="s">
        <v>612</v>
      </c>
      <c r="D228" s="74" t="s">
        <v>13</v>
      </c>
      <c r="E228" s="74" t="s">
        <v>613</v>
      </c>
      <c r="F228" s="74" t="s">
        <v>614</v>
      </c>
      <c r="G228" s="74" t="s">
        <v>15</v>
      </c>
      <c r="H228" s="75">
        <v>1157</v>
      </c>
      <c r="I228" s="75">
        <v>1790</v>
      </c>
      <c r="J228" s="74" t="s">
        <v>615</v>
      </c>
      <c r="K228" s="74" t="s">
        <v>16</v>
      </c>
      <c r="L228" s="74" t="s">
        <v>16</v>
      </c>
      <c r="M228" s="74" t="s">
        <v>13</v>
      </c>
      <c r="N228" s="71" t="str">
        <f t="shared" si="3"/>
        <v>1ск1</v>
      </c>
      <c r="O228" s="71" t="str">
        <f>INDEX(Кат!$D:$D,MATCH($A228,Кат!$A:$A,0))</f>
        <v>Y</v>
      </c>
    </row>
    <row r="229" spans="1:15" ht="60" x14ac:dyDescent="0.25">
      <c r="A229" s="73">
        <v>163511</v>
      </c>
      <c r="B229" s="73">
        <v>44790</v>
      </c>
      <c r="C229" s="74" t="s">
        <v>616</v>
      </c>
      <c r="D229" s="74" t="s">
        <v>13</v>
      </c>
      <c r="E229" s="74" t="s">
        <v>617</v>
      </c>
      <c r="F229" s="74" t="s">
        <v>618</v>
      </c>
      <c r="G229" s="74" t="s">
        <v>15</v>
      </c>
      <c r="H229" s="75">
        <v>345</v>
      </c>
      <c r="I229" s="75">
        <v>559</v>
      </c>
      <c r="J229" s="74" t="s">
        <v>619</v>
      </c>
      <c r="K229" s="74" t="s">
        <v>16</v>
      </c>
      <c r="L229" s="74"/>
      <c r="M229" s="74" t="s">
        <v>13</v>
      </c>
      <c r="N229" s="71" t="str">
        <f t="shared" si="3"/>
        <v>1</v>
      </c>
      <c r="O229" s="71" t="str">
        <f>INDEX(Кат!$D:$D,MATCH($A229,Кат!$A:$A,0))</f>
        <v>Y</v>
      </c>
    </row>
    <row r="230" spans="1:15" ht="75" x14ac:dyDescent="0.25">
      <c r="A230" s="73">
        <v>163512</v>
      </c>
      <c r="B230" s="73">
        <v>37972</v>
      </c>
      <c r="C230" s="74" t="s">
        <v>620</v>
      </c>
      <c r="D230" s="74" t="s">
        <v>13</v>
      </c>
      <c r="E230" s="74" t="s">
        <v>621</v>
      </c>
      <c r="F230" s="74" t="s">
        <v>622</v>
      </c>
      <c r="G230" s="74" t="s">
        <v>15</v>
      </c>
      <c r="H230" s="75">
        <v>10728</v>
      </c>
      <c r="I230" s="75">
        <v>15090</v>
      </c>
      <c r="J230" s="74" t="s">
        <v>623</v>
      </c>
      <c r="K230" s="74" t="s">
        <v>16</v>
      </c>
      <c r="L230" s="74"/>
      <c r="M230" s="74" t="s">
        <v>13</v>
      </c>
      <c r="N230" s="71" t="str">
        <f t="shared" si="3"/>
        <v>1</v>
      </c>
      <c r="O230" s="71" t="str">
        <f>INDEX(Кат!$D:$D,MATCH($A230,Кат!$A:$A,0))</f>
        <v>Y</v>
      </c>
    </row>
    <row r="231" spans="1:15" ht="45" x14ac:dyDescent="0.25">
      <c r="A231" s="73">
        <v>163513</v>
      </c>
      <c r="B231" s="73">
        <v>41692</v>
      </c>
      <c r="C231" s="74" t="s">
        <v>624</v>
      </c>
      <c r="D231" s="74" t="s">
        <v>13</v>
      </c>
      <c r="E231" s="74" t="s">
        <v>625</v>
      </c>
      <c r="F231" s="74" t="s">
        <v>626</v>
      </c>
      <c r="G231" s="74" t="s">
        <v>15</v>
      </c>
      <c r="H231" s="75">
        <v>6114</v>
      </c>
      <c r="I231" s="75">
        <v>8590</v>
      </c>
      <c r="J231" s="74"/>
      <c r="K231" s="74" t="s">
        <v>16</v>
      </c>
      <c r="L231" s="74"/>
      <c r="M231" s="74" t="s">
        <v>13</v>
      </c>
      <c r="N231" s="71" t="str">
        <f t="shared" si="3"/>
        <v>1</v>
      </c>
      <c r="O231" s="71" t="str">
        <f>INDEX(Кат!$D:$D,MATCH($A231,Кат!$A:$A,0))</f>
        <v>Y</v>
      </c>
    </row>
    <row r="232" spans="1:15" ht="60" x14ac:dyDescent="0.25">
      <c r="A232" s="73">
        <v>163514</v>
      </c>
      <c r="B232" s="73">
        <v>50614</v>
      </c>
      <c r="C232" s="74" t="s">
        <v>627</v>
      </c>
      <c r="D232" s="74" t="s">
        <v>13</v>
      </c>
      <c r="E232" s="74" t="s">
        <v>628</v>
      </c>
      <c r="F232" s="74" t="s">
        <v>629</v>
      </c>
      <c r="G232" s="74" t="s">
        <v>15</v>
      </c>
      <c r="H232" s="75">
        <v>8370</v>
      </c>
      <c r="I232" s="75">
        <v>11790</v>
      </c>
      <c r="J232" s="74" t="s">
        <v>630</v>
      </c>
      <c r="K232" s="74" t="s">
        <v>16</v>
      </c>
      <c r="L232" s="74"/>
      <c r="M232" s="74" t="s">
        <v>13</v>
      </c>
      <c r="N232" s="71" t="str">
        <f t="shared" si="3"/>
        <v>1</v>
      </c>
      <c r="O232" s="71" t="str">
        <f>INDEX(Кат!$D:$D,MATCH($A232,Кат!$A:$A,0))</f>
        <v>Y</v>
      </c>
    </row>
    <row r="233" spans="1:15" ht="45" x14ac:dyDescent="0.25">
      <c r="A233" s="73">
        <v>163515</v>
      </c>
      <c r="B233" s="73">
        <v>41690</v>
      </c>
      <c r="C233" s="74" t="s">
        <v>631</v>
      </c>
      <c r="D233" s="74" t="s">
        <v>13</v>
      </c>
      <c r="E233" s="74" t="s">
        <v>632</v>
      </c>
      <c r="F233" s="74" t="s">
        <v>633</v>
      </c>
      <c r="G233" s="74" t="s">
        <v>15</v>
      </c>
      <c r="H233" s="75">
        <v>5254</v>
      </c>
      <c r="I233" s="75">
        <v>7390</v>
      </c>
      <c r="J233" s="74"/>
      <c r="K233" s="74" t="s">
        <v>16</v>
      </c>
      <c r="L233" s="74"/>
      <c r="M233" s="74" t="s">
        <v>13</v>
      </c>
      <c r="N233" s="71" t="str">
        <f t="shared" si="3"/>
        <v>1</v>
      </c>
      <c r="O233" s="71" t="str">
        <f>INDEX(Кат!$D:$D,MATCH($A233,Кат!$A:$A,0))</f>
        <v>Y</v>
      </c>
    </row>
    <row r="234" spans="1:15" ht="75" x14ac:dyDescent="0.25">
      <c r="A234" s="73">
        <v>163516</v>
      </c>
      <c r="B234" s="73">
        <v>136813</v>
      </c>
      <c r="C234" s="74" t="s">
        <v>634</v>
      </c>
      <c r="D234" s="74" t="s">
        <v>13</v>
      </c>
      <c r="E234" s="74" t="s">
        <v>635</v>
      </c>
      <c r="F234" s="74" t="s">
        <v>635</v>
      </c>
      <c r="G234" s="74" t="s">
        <v>15</v>
      </c>
      <c r="H234" s="75">
        <v>565</v>
      </c>
      <c r="I234" s="75">
        <v>879</v>
      </c>
      <c r="J234" s="74" t="s">
        <v>636</v>
      </c>
      <c r="K234" s="74" t="s">
        <v>16</v>
      </c>
      <c r="L234" s="74"/>
      <c r="M234" s="74" t="s">
        <v>13</v>
      </c>
      <c r="N234" s="71" t="str">
        <f t="shared" si="3"/>
        <v>1</v>
      </c>
      <c r="O234" s="71" t="str">
        <f>INDEX(Кат!$D:$D,MATCH($A234,Кат!$A:$A,0))</f>
        <v>Y</v>
      </c>
    </row>
    <row r="235" spans="1:15" ht="30" x14ac:dyDescent="0.25">
      <c r="A235" s="73">
        <v>163517</v>
      </c>
      <c r="B235" s="73">
        <v>32700</v>
      </c>
      <c r="C235" s="74" t="s">
        <v>637</v>
      </c>
      <c r="D235" s="74" t="s">
        <v>13</v>
      </c>
      <c r="E235" s="74" t="s">
        <v>638</v>
      </c>
      <c r="F235" s="74" t="s">
        <v>638</v>
      </c>
      <c r="G235" s="74" t="s">
        <v>15</v>
      </c>
      <c r="H235" s="75">
        <v>1148</v>
      </c>
      <c r="I235" s="75">
        <v>1790</v>
      </c>
      <c r="J235" s="74"/>
      <c r="K235" s="74" t="s">
        <v>16</v>
      </c>
      <c r="L235" s="74"/>
      <c r="M235" s="74" t="s">
        <v>13</v>
      </c>
      <c r="N235" s="71" t="str">
        <f t="shared" si="3"/>
        <v>1</v>
      </c>
      <c r="O235" s="71" t="str">
        <f>INDEX(Кат!$D:$D,MATCH($A235,Кат!$A:$A,0))</f>
        <v>Y</v>
      </c>
    </row>
    <row r="236" spans="1:15" ht="45" x14ac:dyDescent="0.25">
      <c r="A236" s="73">
        <v>163518</v>
      </c>
      <c r="B236" s="73">
        <v>31411</v>
      </c>
      <c r="C236" s="74" t="s">
        <v>639</v>
      </c>
      <c r="D236" s="74" t="s">
        <v>13</v>
      </c>
      <c r="E236" s="74" t="s">
        <v>640</v>
      </c>
      <c r="F236" s="74" t="s">
        <v>640</v>
      </c>
      <c r="G236" s="74" t="s">
        <v>15</v>
      </c>
      <c r="H236" s="75">
        <v>730</v>
      </c>
      <c r="I236" s="75">
        <v>1190</v>
      </c>
      <c r="J236" s="74"/>
      <c r="K236" s="74" t="s">
        <v>16</v>
      </c>
      <c r="L236" s="74"/>
      <c r="M236" s="74" t="s">
        <v>13</v>
      </c>
      <c r="N236" s="71" t="str">
        <f t="shared" si="3"/>
        <v>1</v>
      </c>
      <c r="O236" s="71" t="str">
        <f>INDEX(Кат!$D:$D,MATCH($A236,Кат!$A:$A,0))</f>
        <v>Y</v>
      </c>
    </row>
    <row r="237" spans="1:15" ht="45" x14ac:dyDescent="0.25">
      <c r="A237" s="73">
        <v>163519</v>
      </c>
      <c r="B237" s="73">
        <v>31391</v>
      </c>
      <c r="C237" s="74" t="s">
        <v>641</v>
      </c>
      <c r="D237" s="74" t="s">
        <v>13</v>
      </c>
      <c r="E237" s="74" t="s">
        <v>635</v>
      </c>
      <c r="F237" s="74" t="s">
        <v>635</v>
      </c>
      <c r="G237" s="74" t="s">
        <v>15</v>
      </c>
      <c r="H237" s="75">
        <v>680</v>
      </c>
      <c r="I237" s="75">
        <v>1090</v>
      </c>
      <c r="J237" s="74"/>
      <c r="K237" s="74" t="s">
        <v>16</v>
      </c>
      <c r="L237" s="74"/>
      <c r="M237" s="74"/>
      <c r="N237" s="71" t="str">
        <f t="shared" si="3"/>
        <v>1</v>
      </c>
      <c r="O237" s="71" t="str">
        <f>INDEX(Кат!$D:$D,MATCH($A237,Кат!$A:$A,0))</f>
        <v>Y</v>
      </c>
    </row>
    <row r="238" spans="1:15" ht="75" x14ac:dyDescent="0.25">
      <c r="A238" s="73">
        <v>163520</v>
      </c>
      <c r="B238" s="73">
        <v>31284</v>
      </c>
      <c r="C238" s="74" t="s">
        <v>642</v>
      </c>
      <c r="D238" s="74" t="s">
        <v>13</v>
      </c>
      <c r="E238" s="74" t="s">
        <v>643</v>
      </c>
      <c r="F238" s="74" t="s">
        <v>643</v>
      </c>
      <c r="G238" s="74" t="s">
        <v>15</v>
      </c>
      <c r="H238" s="75">
        <v>1988</v>
      </c>
      <c r="I238" s="75">
        <v>2990</v>
      </c>
      <c r="J238" s="74" t="s">
        <v>644</v>
      </c>
      <c r="K238" s="74" t="s">
        <v>16</v>
      </c>
      <c r="L238" s="74"/>
      <c r="M238" s="74" t="s">
        <v>13</v>
      </c>
      <c r="N238" s="71" t="str">
        <f t="shared" si="3"/>
        <v>1</v>
      </c>
      <c r="O238" s="71" t="str">
        <f>INDEX(Кат!$D:$D,MATCH($A238,Кат!$A:$A,0))</f>
        <v>Y</v>
      </c>
    </row>
    <row r="239" spans="1:15" ht="75" x14ac:dyDescent="0.25">
      <c r="A239" s="73">
        <v>163521</v>
      </c>
      <c r="B239" s="73">
        <v>31410</v>
      </c>
      <c r="C239" s="74" t="s">
        <v>645</v>
      </c>
      <c r="D239" s="74" t="s">
        <v>13</v>
      </c>
      <c r="E239" s="74" t="s">
        <v>646</v>
      </c>
      <c r="F239" s="74" t="s">
        <v>646</v>
      </c>
      <c r="G239" s="74" t="s">
        <v>15</v>
      </c>
      <c r="H239" s="75">
        <v>513</v>
      </c>
      <c r="I239" s="75">
        <v>799</v>
      </c>
      <c r="J239" s="74" t="s">
        <v>647</v>
      </c>
      <c r="K239" s="74" t="s">
        <v>16</v>
      </c>
      <c r="L239" s="74"/>
      <c r="M239" s="74" t="s">
        <v>13</v>
      </c>
      <c r="N239" s="71" t="str">
        <f t="shared" si="3"/>
        <v>1</v>
      </c>
      <c r="O239" s="71" t="str">
        <f>INDEX(Кат!$D:$D,MATCH($A239,Кат!$A:$A,0))</f>
        <v>Y</v>
      </c>
    </row>
    <row r="240" spans="1:15" ht="45" x14ac:dyDescent="0.25">
      <c r="A240" s="73">
        <v>163522</v>
      </c>
      <c r="B240" s="73">
        <v>31390</v>
      </c>
      <c r="C240" s="74" t="s">
        <v>648</v>
      </c>
      <c r="D240" s="74" t="s">
        <v>13</v>
      </c>
      <c r="E240" s="74" t="s">
        <v>649</v>
      </c>
      <c r="F240" s="74" t="s">
        <v>649</v>
      </c>
      <c r="G240" s="74" t="s">
        <v>15</v>
      </c>
      <c r="H240" s="75">
        <v>678</v>
      </c>
      <c r="I240" s="75">
        <v>1090</v>
      </c>
      <c r="J240" s="74"/>
      <c r="K240" s="74" t="s">
        <v>16</v>
      </c>
      <c r="L240" s="74" t="s">
        <v>16</v>
      </c>
      <c r="M240" s="74" t="s">
        <v>13</v>
      </c>
      <c r="N240" s="71" t="str">
        <f t="shared" si="3"/>
        <v>1ск1</v>
      </c>
      <c r="O240" s="71" t="str">
        <f>INDEX(Кат!$D:$D,MATCH($A240,Кат!$A:$A,0))</f>
        <v>Y</v>
      </c>
    </row>
    <row r="241" spans="1:15" ht="75" x14ac:dyDescent="0.25">
      <c r="A241" s="73">
        <v>163523</v>
      </c>
      <c r="B241" s="73">
        <v>31473</v>
      </c>
      <c r="C241" s="74" t="s">
        <v>650</v>
      </c>
      <c r="D241" s="74" t="s">
        <v>13</v>
      </c>
      <c r="E241" s="74" t="s">
        <v>651</v>
      </c>
      <c r="F241" s="74" t="s">
        <v>651</v>
      </c>
      <c r="G241" s="74" t="s">
        <v>15</v>
      </c>
      <c r="H241" s="75">
        <v>1213</v>
      </c>
      <c r="I241" s="75">
        <v>1890</v>
      </c>
      <c r="J241" s="74" t="s">
        <v>652</v>
      </c>
      <c r="K241" s="74" t="s">
        <v>16</v>
      </c>
      <c r="L241" s="74"/>
      <c r="M241" s="74" t="s">
        <v>13</v>
      </c>
      <c r="N241" s="71" t="str">
        <f t="shared" si="3"/>
        <v>1</v>
      </c>
      <c r="O241" s="71" t="str">
        <f>INDEX(Кат!$D:$D,MATCH($A241,Кат!$A:$A,0))</f>
        <v>Y</v>
      </c>
    </row>
    <row r="242" spans="1:15" ht="75" x14ac:dyDescent="0.25">
      <c r="A242" s="73">
        <v>163524</v>
      </c>
      <c r="B242" s="73">
        <v>32653</v>
      </c>
      <c r="C242" s="74" t="s">
        <v>653</v>
      </c>
      <c r="D242" s="74" t="s">
        <v>13</v>
      </c>
      <c r="E242" s="74" t="s">
        <v>654</v>
      </c>
      <c r="F242" s="74" t="s">
        <v>654</v>
      </c>
      <c r="G242" s="74" t="s">
        <v>15</v>
      </c>
      <c r="H242" s="75">
        <v>2026</v>
      </c>
      <c r="I242" s="75">
        <v>2890</v>
      </c>
      <c r="J242" s="74" t="s">
        <v>655</v>
      </c>
      <c r="K242" s="74" t="s">
        <v>16</v>
      </c>
      <c r="L242" s="74"/>
      <c r="M242" s="74" t="s">
        <v>13</v>
      </c>
      <c r="N242" s="71" t="str">
        <f t="shared" si="3"/>
        <v>1</v>
      </c>
      <c r="O242" s="71" t="str">
        <f>INDEX(Кат!$D:$D,MATCH($A242,Кат!$A:$A,0))</f>
        <v>Y</v>
      </c>
    </row>
    <row r="243" spans="1:15" ht="75" x14ac:dyDescent="0.25">
      <c r="A243" s="73">
        <v>163525</v>
      </c>
      <c r="B243" s="73">
        <v>31451</v>
      </c>
      <c r="C243" s="74" t="s">
        <v>656</v>
      </c>
      <c r="D243" s="74" t="s">
        <v>13</v>
      </c>
      <c r="E243" s="74" t="s">
        <v>657</v>
      </c>
      <c r="F243" s="74" t="s">
        <v>657</v>
      </c>
      <c r="G243" s="74" t="s">
        <v>15</v>
      </c>
      <c r="H243" s="75">
        <v>731</v>
      </c>
      <c r="I243" s="75">
        <v>1190</v>
      </c>
      <c r="J243" s="74" t="s">
        <v>658</v>
      </c>
      <c r="K243" s="74" t="s">
        <v>16</v>
      </c>
      <c r="L243" s="74"/>
      <c r="M243" s="74" t="s">
        <v>13</v>
      </c>
      <c r="N243" s="71" t="str">
        <f t="shared" si="3"/>
        <v>1</v>
      </c>
      <c r="O243" s="71" t="str">
        <f>INDEX(Кат!$D:$D,MATCH($A243,Кат!$A:$A,0))</f>
        <v>Y</v>
      </c>
    </row>
    <row r="244" spans="1:15" ht="45" x14ac:dyDescent="0.25">
      <c r="A244" s="73">
        <v>163526</v>
      </c>
      <c r="B244" s="73">
        <v>37955</v>
      </c>
      <c r="C244" s="74" t="s">
        <v>659</v>
      </c>
      <c r="D244" s="74" t="s">
        <v>13</v>
      </c>
      <c r="E244" s="74" t="s">
        <v>660</v>
      </c>
      <c r="F244" s="74" t="s">
        <v>660</v>
      </c>
      <c r="G244" s="74" t="s">
        <v>15</v>
      </c>
      <c r="H244" s="75">
        <v>1889</v>
      </c>
      <c r="I244" s="75">
        <v>2890</v>
      </c>
      <c r="J244" s="74"/>
      <c r="K244" s="74" t="s">
        <v>16</v>
      </c>
      <c r="L244" s="74"/>
      <c r="M244" s="74" t="s">
        <v>13</v>
      </c>
      <c r="N244" s="71" t="str">
        <f t="shared" si="3"/>
        <v>1</v>
      </c>
      <c r="O244" s="71" t="str">
        <f>INDEX(Кат!$D:$D,MATCH($A244,Кат!$A:$A,0))</f>
        <v>Y</v>
      </c>
    </row>
    <row r="245" spans="1:15" ht="75" x14ac:dyDescent="0.25">
      <c r="A245" s="73">
        <v>163527</v>
      </c>
      <c r="B245" s="73">
        <v>31452</v>
      </c>
      <c r="C245" s="74" t="s">
        <v>661</v>
      </c>
      <c r="D245" s="74" t="s">
        <v>13</v>
      </c>
      <c r="E245" s="74" t="s">
        <v>662</v>
      </c>
      <c r="F245" s="74" t="s">
        <v>662</v>
      </c>
      <c r="G245" s="74" t="s">
        <v>15</v>
      </c>
      <c r="H245" s="75">
        <v>1566</v>
      </c>
      <c r="I245" s="75">
        <v>2390</v>
      </c>
      <c r="J245" s="74" t="s">
        <v>663</v>
      </c>
      <c r="K245" s="74" t="s">
        <v>16</v>
      </c>
      <c r="L245" s="74"/>
      <c r="M245" s="74" t="s">
        <v>13</v>
      </c>
      <c r="N245" s="71" t="str">
        <f t="shared" si="3"/>
        <v>1</v>
      </c>
      <c r="O245" s="71" t="str">
        <f>INDEX(Кат!$D:$D,MATCH($A245,Кат!$A:$A,0))</f>
        <v>Y</v>
      </c>
    </row>
    <row r="246" spans="1:15" ht="60" x14ac:dyDescent="0.25">
      <c r="A246" s="73">
        <v>163528</v>
      </c>
      <c r="B246" s="73">
        <v>31165</v>
      </c>
      <c r="C246" s="74" t="s">
        <v>664</v>
      </c>
      <c r="D246" s="74" t="s">
        <v>13</v>
      </c>
      <c r="E246" s="74" t="s">
        <v>665</v>
      </c>
      <c r="F246" s="74" t="s">
        <v>665</v>
      </c>
      <c r="G246" s="74" t="s">
        <v>15</v>
      </c>
      <c r="H246" s="75">
        <v>1241</v>
      </c>
      <c r="I246" s="75">
        <v>1890</v>
      </c>
      <c r="J246" s="74" t="s">
        <v>666</v>
      </c>
      <c r="K246" s="74" t="s">
        <v>16</v>
      </c>
      <c r="L246" s="74"/>
      <c r="M246" s="74" t="s">
        <v>13</v>
      </c>
      <c r="N246" s="71" t="str">
        <f t="shared" si="3"/>
        <v>1</v>
      </c>
      <c r="O246" s="71" t="str">
        <f>INDEX(Кат!$D:$D,MATCH($A246,Кат!$A:$A,0))</f>
        <v>Y</v>
      </c>
    </row>
    <row r="247" spans="1:15" ht="60" x14ac:dyDescent="0.25">
      <c r="A247" s="73">
        <v>163529</v>
      </c>
      <c r="B247" s="73">
        <v>31285</v>
      </c>
      <c r="C247" s="74" t="s">
        <v>667</v>
      </c>
      <c r="D247" s="74" t="s">
        <v>13</v>
      </c>
      <c r="E247" s="74" t="s">
        <v>668</v>
      </c>
      <c r="F247" s="74" t="s">
        <v>668</v>
      </c>
      <c r="G247" s="74" t="s">
        <v>15</v>
      </c>
      <c r="H247" s="75">
        <v>1092</v>
      </c>
      <c r="I247" s="75">
        <v>1690</v>
      </c>
      <c r="J247" s="74" t="s">
        <v>669</v>
      </c>
      <c r="K247" s="74" t="s">
        <v>16</v>
      </c>
      <c r="L247" s="74"/>
      <c r="M247" s="74" t="s">
        <v>13</v>
      </c>
      <c r="N247" s="71" t="str">
        <f t="shared" si="3"/>
        <v>1</v>
      </c>
      <c r="O247" s="71" t="str">
        <f>INDEX(Кат!$D:$D,MATCH($A247,Кат!$A:$A,0))</f>
        <v>Y</v>
      </c>
    </row>
    <row r="248" spans="1:15" ht="45" x14ac:dyDescent="0.25">
      <c r="A248" s="73">
        <v>163530</v>
      </c>
      <c r="B248" s="73">
        <v>31286</v>
      </c>
      <c r="C248" s="74" t="s">
        <v>670</v>
      </c>
      <c r="D248" s="74" t="s">
        <v>13</v>
      </c>
      <c r="E248" s="74" t="s">
        <v>671</v>
      </c>
      <c r="F248" s="74" t="s">
        <v>671</v>
      </c>
      <c r="G248" s="74" t="s">
        <v>15</v>
      </c>
      <c r="H248" s="75">
        <v>1012</v>
      </c>
      <c r="I248" s="75">
        <v>1590</v>
      </c>
      <c r="J248" s="74"/>
      <c r="K248" s="74" t="s">
        <v>16</v>
      </c>
      <c r="L248" s="74"/>
      <c r="M248" s="74" t="s">
        <v>13</v>
      </c>
      <c r="N248" s="71" t="str">
        <f t="shared" si="3"/>
        <v>1</v>
      </c>
      <c r="O248" s="71" t="str">
        <f>INDEX(Кат!$D:$D,MATCH($A248,Кат!$A:$A,0))</f>
        <v>Y</v>
      </c>
    </row>
    <row r="249" spans="1:15" ht="60" x14ac:dyDescent="0.25">
      <c r="A249" s="73">
        <v>163531</v>
      </c>
      <c r="B249" s="73">
        <v>23550</v>
      </c>
      <c r="C249" s="74" t="s">
        <v>672</v>
      </c>
      <c r="D249" s="74" t="s">
        <v>13</v>
      </c>
      <c r="E249" s="74" t="s">
        <v>673</v>
      </c>
      <c r="F249" s="74" t="s">
        <v>673</v>
      </c>
      <c r="G249" s="74" t="s">
        <v>15</v>
      </c>
      <c r="H249" s="75">
        <v>2903</v>
      </c>
      <c r="I249" s="75">
        <v>4090</v>
      </c>
      <c r="J249" s="74"/>
      <c r="K249" s="74" t="s">
        <v>16</v>
      </c>
      <c r="L249" s="74"/>
      <c r="M249" s="74" t="s">
        <v>13</v>
      </c>
      <c r="N249" s="71" t="str">
        <f t="shared" si="3"/>
        <v>1</v>
      </c>
      <c r="O249" s="71" t="str">
        <f>INDEX(Кат!$D:$D,MATCH($A249,Кат!$A:$A,0))</f>
        <v>Y</v>
      </c>
    </row>
    <row r="250" spans="1:15" ht="45" x14ac:dyDescent="0.25">
      <c r="A250" s="73">
        <v>315561</v>
      </c>
      <c r="B250" s="73">
        <v>315561</v>
      </c>
      <c r="C250" s="74" t="s">
        <v>674</v>
      </c>
      <c r="D250" s="74" t="s">
        <v>13</v>
      </c>
      <c r="E250" s="74" t="s">
        <v>673</v>
      </c>
      <c r="F250" s="74" t="s">
        <v>673</v>
      </c>
      <c r="G250" s="74" t="s">
        <v>15</v>
      </c>
      <c r="H250" s="75">
        <v>2352</v>
      </c>
      <c r="I250" s="75">
        <v>3290</v>
      </c>
      <c r="J250" s="74"/>
      <c r="K250" s="74" t="s">
        <v>16</v>
      </c>
      <c r="L250" s="74"/>
      <c r="M250" s="74" t="s">
        <v>13</v>
      </c>
      <c r="N250" s="71" t="str">
        <f t="shared" si="3"/>
        <v>1</v>
      </c>
      <c r="O250" s="71" t="str">
        <f>INDEX(Кат!$D:$D,MATCH($A250,Кат!$A:$A,0))</f>
        <v>Y</v>
      </c>
    </row>
    <row r="251" spans="1:15" ht="75" x14ac:dyDescent="0.25">
      <c r="A251" s="73">
        <v>163532</v>
      </c>
      <c r="B251" s="73">
        <v>31474</v>
      </c>
      <c r="C251" s="74" t="s">
        <v>675</v>
      </c>
      <c r="D251" s="74" t="s">
        <v>13</v>
      </c>
      <c r="E251" s="74" t="s">
        <v>676</v>
      </c>
      <c r="F251" s="74" t="s">
        <v>676</v>
      </c>
      <c r="G251" s="74" t="s">
        <v>15</v>
      </c>
      <c r="H251" s="75">
        <v>3646</v>
      </c>
      <c r="I251" s="75">
        <v>5190</v>
      </c>
      <c r="J251" s="74" t="s">
        <v>677</v>
      </c>
      <c r="K251" s="74" t="s">
        <v>16</v>
      </c>
      <c r="L251" s="74"/>
      <c r="M251" s="74" t="s">
        <v>13</v>
      </c>
      <c r="N251" s="71" t="str">
        <f t="shared" si="3"/>
        <v>1</v>
      </c>
      <c r="O251" s="71" t="str">
        <f>INDEX(Кат!$D:$D,MATCH($A251,Кат!$A:$A,0))</f>
        <v>Y</v>
      </c>
    </row>
    <row r="252" spans="1:15" ht="45" x14ac:dyDescent="0.25">
      <c r="A252" s="73">
        <v>267660</v>
      </c>
      <c r="B252" s="73">
        <v>220336</v>
      </c>
      <c r="C252" s="74" t="s">
        <v>678</v>
      </c>
      <c r="D252" s="74" t="s">
        <v>13</v>
      </c>
      <c r="E252" s="74"/>
      <c r="F252" s="74" t="s">
        <v>679</v>
      </c>
      <c r="G252" s="74" t="s">
        <v>15</v>
      </c>
      <c r="H252" s="75">
        <v>577</v>
      </c>
      <c r="I252" s="75">
        <v>899</v>
      </c>
      <c r="J252" s="74"/>
      <c r="K252" s="74" t="s">
        <v>16</v>
      </c>
      <c r="L252" s="74"/>
      <c r="M252" s="74" t="s">
        <v>13</v>
      </c>
      <c r="N252" s="71" t="str">
        <f t="shared" si="3"/>
        <v>1</v>
      </c>
      <c r="O252" s="71" t="str">
        <f>INDEX(Кат!$D:$D,MATCH($A252,Кат!$A:$A,0))</f>
        <v>Y</v>
      </c>
    </row>
    <row r="253" spans="1:15" ht="45" x14ac:dyDescent="0.25">
      <c r="A253" s="73">
        <v>164803</v>
      </c>
      <c r="B253" s="73">
        <v>31228</v>
      </c>
      <c r="C253" s="74" t="s">
        <v>680</v>
      </c>
      <c r="D253" s="74" t="s">
        <v>13</v>
      </c>
      <c r="E253" s="74" t="s">
        <v>681</v>
      </c>
      <c r="F253" s="74" t="s">
        <v>681</v>
      </c>
      <c r="G253" s="74" t="s">
        <v>15</v>
      </c>
      <c r="H253" s="75">
        <v>414</v>
      </c>
      <c r="I253" s="75">
        <v>669</v>
      </c>
      <c r="J253" s="74"/>
      <c r="K253" s="74" t="s">
        <v>16</v>
      </c>
      <c r="L253" s="74"/>
      <c r="M253" s="74" t="s">
        <v>13</v>
      </c>
      <c r="N253" s="71" t="str">
        <f t="shared" si="3"/>
        <v>1</v>
      </c>
      <c r="O253" s="71" t="str">
        <f>INDEX(Кат!$D:$D,MATCH($A253,Кат!$A:$A,0))</f>
        <v>Y</v>
      </c>
    </row>
    <row r="254" spans="1:15" ht="45" x14ac:dyDescent="0.25">
      <c r="A254" s="73">
        <v>164804</v>
      </c>
      <c r="B254" s="73">
        <v>32693</v>
      </c>
      <c r="C254" s="74" t="s">
        <v>682</v>
      </c>
      <c r="D254" s="74" t="s">
        <v>13</v>
      </c>
      <c r="E254" s="74" t="s">
        <v>683</v>
      </c>
      <c r="F254" s="74" t="s">
        <v>683</v>
      </c>
      <c r="G254" s="74" t="s">
        <v>15</v>
      </c>
      <c r="H254" s="75">
        <v>313</v>
      </c>
      <c r="I254" s="75">
        <v>509</v>
      </c>
      <c r="J254" s="74" t="s">
        <v>684</v>
      </c>
      <c r="K254" s="74" t="s">
        <v>16</v>
      </c>
      <c r="L254" s="74"/>
      <c r="M254" s="74" t="s">
        <v>13</v>
      </c>
      <c r="N254" s="71" t="str">
        <f t="shared" si="3"/>
        <v>1</v>
      </c>
      <c r="O254" s="71" t="str">
        <f>INDEX(Кат!$D:$D,MATCH($A254,Кат!$A:$A,0))</f>
        <v>Y</v>
      </c>
    </row>
    <row r="255" spans="1:15" ht="45" x14ac:dyDescent="0.25">
      <c r="A255" s="73">
        <v>164805</v>
      </c>
      <c r="B255" s="73">
        <v>31251</v>
      </c>
      <c r="C255" s="74" t="s">
        <v>685</v>
      </c>
      <c r="D255" s="74" t="s">
        <v>13</v>
      </c>
      <c r="E255" s="74" t="s">
        <v>686</v>
      </c>
      <c r="F255" s="74" t="s">
        <v>686</v>
      </c>
      <c r="G255" s="74" t="s">
        <v>15</v>
      </c>
      <c r="H255" s="75">
        <v>35</v>
      </c>
      <c r="I255" s="75">
        <v>69</v>
      </c>
      <c r="J255" s="74"/>
      <c r="K255" s="74" t="s">
        <v>16</v>
      </c>
      <c r="L255" s="74"/>
      <c r="M255" s="74" t="s">
        <v>13</v>
      </c>
      <c r="N255" s="71" t="str">
        <f t="shared" si="3"/>
        <v>1</v>
      </c>
      <c r="O255" s="71" t="str">
        <f>INDEX(Кат!$D:$D,MATCH($A255,Кат!$A:$A,0))</f>
        <v>Y</v>
      </c>
    </row>
    <row r="256" spans="1:15" ht="45" x14ac:dyDescent="0.25">
      <c r="A256" s="73">
        <v>164806</v>
      </c>
      <c r="B256" s="73">
        <v>31252</v>
      </c>
      <c r="C256" s="74" t="s">
        <v>687</v>
      </c>
      <c r="D256" s="74" t="s">
        <v>13</v>
      </c>
      <c r="E256" s="74" t="s">
        <v>688</v>
      </c>
      <c r="F256" s="74" t="s">
        <v>688</v>
      </c>
      <c r="G256" s="74" t="s">
        <v>15</v>
      </c>
      <c r="H256" s="75">
        <v>40</v>
      </c>
      <c r="I256" s="75">
        <v>79</v>
      </c>
      <c r="J256" s="74"/>
      <c r="K256" s="74" t="s">
        <v>16</v>
      </c>
      <c r="L256" s="74"/>
      <c r="M256" s="74" t="s">
        <v>13</v>
      </c>
      <c r="N256" s="71" t="str">
        <f t="shared" si="3"/>
        <v>1</v>
      </c>
      <c r="O256" s="71" t="str">
        <f>INDEX(Кат!$D:$D,MATCH($A256,Кат!$A:$A,0))</f>
        <v>Y</v>
      </c>
    </row>
    <row r="257" spans="1:15" ht="45" x14ac:dyDescent="0.25">
      <c r="A257" s="73">
        <v>165357</v>
      </c>
      <c r="B257" s="73">
        <v>50423</v>
      </c>
      <c r="C257" s="74" t="s">
        <v>689</v>
      </c>
      <c r="D257" s="74" t="s">
        <v>13</v>
      </c>
      <c r="E257" s="74" t="s">
        <v>690</v>
      </c>
      <c r="F257" s="74" t="s">
        <v>691</v>
      </c>
      <c r="G257" s="74" t="s">
        <v>15</v>
      </c>
      <c r="H257" s="75">
        <v>662</v>
      </c>
      <c r="I257" s="75">
        <v>1090</v>
      </c>
      <c r="J257" s="74"/>
      <c r="K257" s="74" t="s">
        <v>16</v>
      </c>
      <c r="L257" s="74"/>
      <c r="M257" s="74" t="s">
        <v>13</v>
      </c>
      <c r="N257" s="71" t="str">
        <f t="shared" si="3"/>
        <v>1</v>
      </c>
      <c r="O257" s="71" t="str">
        <f>INDEX(Кат!$D:$D,MATCH($A257,Кат!$A:$A,0))</f>
        <v>Y</v>
      </c>
    </row>
    <row r="258" spans="1:15" ht="75" x14ac:dyDescent="0.25">
      <c r="A258" s="73">
        <v>165359</v>
      </c>
      <c r="B258" s="73">
        <v>30975</v>
      </c>
      <c r="C258" s="74" t="s">
        <v>692</v>
      </c>
      <c r="D258" s="74" t="s">
        <v>13</v>
      </c>
      <c r="E258" s="74" t="s">
        <v>693</v>
      </c>
      <c r="F258" s="74" t="s">
        <v>693</v>
      </c>
      <c r="G258" s="74" t="s">
        <v>15</v>
      </c>
      <c r="H258" s="75">
        <v>182</v>
      </c>
      <c r="I258" s="75">
        <v>329</v>
      </c>
      <c r="J258" s="74"/>
      <c r="K258" s="74" t="s">
        <v>16</v>
      </c>
      <c r="L258" s="74"/>
      <c r="M258" s="74" t="s">
        <v>13</v>
      </c>
      <c r="N258" s="71" t="str">
        <f t="shared" si="3"/>
        <v>1</v>
      </c>
      <c r="O258" s="71" t="str">
        <f>INDEX(Кат!$D:$D,MATCH($A258,Кат!$A:$A,0))</f>
        <v>Y</v>
      </c>
    </row>
    <row r="259" spans="1:15" ht="60" x14ac:dyDescent="0.25">
      <c r="A259" s="73">
        <v>165360</v>
      </c>
      <c r="B259" s="73">
        <v>30974</v>
      </c>
      <c r="C259" s="74" t="s">
        <v>694</v>
      </c>
      <c r="D259" s="74" t="s">
        <v>13</v>
      </c>
      <c r="E259" s="74" t="s">
        <v>695</v>
      </c>
      <c r="F259" s="74" t="s">
        <v>695</v>
      </c>
      <c r="G259" s="74" t="s">
        <v>15</v>
      </c>
      <c r="H259" s="75">
        <v>152</v>
      </c>
      <c r="I259" s="75">
        <v>279</v>
      </c>
      <c r="J259" s="74"/>
      <c r="K259" s="74" t="s">
        <v>16</v>
      </c>
      <c r="L259" s="74"/>
      <c r="M259" s="74" t="s">
        <v>13</v>
      </c>
      <c r="N259" s="71" t="str">
        <f t="shared" ref="N259:N322" si="4">_xlfn.CONCAT(K259,IF(L259&lt;&gt;"",_xlfn.CONCAT("ск",L259),""))</f>
        <v>1</v>
      </c>
      <c r="O259" s="71" t="str">
        <f>INDEX(Кат!$D:$D,MATCH($A259,Кат!$A:$A,0))</f>
        <v>Y</v>
      </c>
    </row>
    <row r="260" spans="1:15" ht="75" x14ac:dyDescent="0.25">
      <c r="A260" s="73">
        <v>165361</v>
      </c>
      <c r="B260" s="73">
        <v>30973</v>
      </c>
      <c r="C260" s="74" t="s">
        <v>696</v>
      </c>
      <c r="D260" s="74" t="s">
        <v>13</v>
      </c>
      <c r="E260" s="74" t="s">
        <v>697</v>
      </c>
      <c r="F260" s="74" t="s">
        <v>697</v>
      </c>
      <c r="G260" s="74" t="s">
        <v>15</v>
      </c>
      <c r="H260" s="75">
        <v>181</v>
      </c>
      <c r="I260" s="75">
        <v>329</v>
      </c>
      <c r="J260" s="74"/>
      <c r="K260" s="74" t="s">
        <v>16</v>
      </c>
      <c r="L260" s="74"/>
      <c r="M260" s="74" t="s">
        <v>13</v>
      </c>
      <c r="N260" s="71" t="str">
        <f t="shared" si="4"/>
        <v>1</v>
      </c>
      <c r="O260" s="71" t="str">
        <f>INDEX(Кат!$D:$D,MATCH($A260,Кат!$A:$A,0))</f>
        <v>Y</v>
      </c>
    </row>
    <row r="261" spans="1:15" ht="60" x14ac:dyDescent="0.25">
      <c r="A261" s="73">
        <v>165362</v>
      </c>
      <c r="B261" s="73">
        <v>30972</v>
      </c>
      <c r="C261" s="74" t="s">
        <v>698</v>
      </c>
      <c r="D261" s="74" t="s">
        <v>13</v>
      </c>
      <c r="E261" s="74" t="s">
        <v>699</v>
      </c>
      <c r="F261" s="74" t="s">
        <v>699</v>
      </c>
      <c r="G261" s="74" t="s">
        <v>15</v>
      </c>
      <c r="H261" s="75">
        <v>116</v>
      </c>
      <c r="I261" s="75">
        <v>209</v>
      </c>
      <c r="J261" s="74"/>
      <c r="K261" s="74" t="s">
        <v>16</v>
      </c>
      <c r="L261" s="74"/>
      <c r="M261" s="74" t="s">
        <v>13</v>
      </c>
      <c r="N261" s="71" t="str">
        <f t="shared" si="4"/>
        <v>1</v>
      </c>
      <c r="O261" s="71" t="str">
        <f>INDEX(Кат!$D:$D,MATCH($A261,Кат!$A:$A,0))</f>
        <v>Y</v>
      </c>
    </row>
    <row r="262" spans="1:15" ht="45" x14ac:dyDescent="0.25">
      <c r="A262" s="73">
        <v>165363</v>
      </c>
      <c r="B262" s="73">
        <v>31429</v>
      </c>
      <c r="C262" s="74" t="s">
        <v>700</v>
      </c>
      <c r="D262" s="74" t="s">
        <v>13</v>
      </c>
      <c r="E262" s="74" t="s">
        <v>701</v>
      </c>
      <c r="F262" s="74" t="s">
        <v>701</v>
      </c>
      <c r="G262" s="74" t="s">
        <v>15</v>
      </c>
      <c r="H262" s="75">
        <v>378</v>
      </c>
      <c r="I262" s="75">
        <v>609</v>
      </c>
      <c r="J262" s="74"/>
      <c r="K262" s="74" t="s">
        <v>16</v>
      </c>
      <c r="L262" s="74"/>
      <c r="M262" s="74" t="s">
        <v>13</v>
      </c>
      <c r="N262" s="71" t="str">
        <f t="shared" si="4"/>
        <v>1</v>
      </c>
      <c r="O262" s="71" t="str">
        <f>INDEX(Кат!$D:$D,MATCH($A262,Кат!$A:$A,0))</f>
        <v>Y</v>
      </c>
    </row>
    <row r="263" spans="1:15" ht="45" x14ac:dyDescent="0.25">
      <c r="A263" s="73">
        <v>165364</v>
      </c>
      <c r="B263" s="73">
        <v>32783</v>
      </c>
      <c r="C263" s="74" t="s">
        <v>702</v>
      </c>
      <c r="D263" s="74" t="s">
        <v>13</v>
      </c>
      <c r="E263" s="74" t="s">
        <v>703</v>
      </c>
      <c r="F263" s="74" t="s">
        <v>703</v>
      </c>
      <c r="G263" s="74" t="s">
        <v>15</v>
      </c>
      <c r="H263" s="75">
        <v>37</v>
      </c>
      <c r="I263" s="75">
        <v>79</v>
      </c>
      <c r="J263" s="74"/>
      <c r="K263" s="74" t="s">
        <v>16</v>
      </c>
      <c r="L263" s="74"/>
      <c r="M263" s="74" t="s">
        <v>13</v>
      </c>
      <c r="N263" s="71" t="str">
        <f t="shared" si="4"/>
        <v>1</v>
      </c>
      <c r="O263" s="71" t="str">
        <f>INDEX(Кат!$D:$D,MATCH($A263,Кат!$A:$A,0))</f>
        <v>Y</v>
      </c>
    </row>
    <row r="264" spans="1:15" ht="45" x14ac:dyDescent="0.25">
      <c r="A264" s="73">
        <v>165365</v>
      </c>
      <c r="B264" s="73">
        <v>32706</v>
      </c>
      <c r="C264" s="74" t="s">
        <v>704</v>
      </c>
      <c r="D264" s="74" t="s">
        <v>13</v>
      </c>
      <c r="E264" s="74" t="s">
        <v>705</v>
      </c>
      <c r="F264" s="74" t="s">
        <v>705</v>
      </c>
      <c r="G264" s="74" t="s">
        <v>15</v>
      </c>
      <c r="H264" s="75">
        <v>669</v>
      </c>
      <c r="I264" s="75">
        <v>1090</v>
      </c>
      <c r="J264" s="74"/>
      <c r="K264" s="74" t="s">
        <v>16</v>
      </c>
      <c r="L264" s="74"/>
      <c r="M264" s="74" t="s">
        <v>13</v>
      </c>
      <c r="N264" s="71" t="str">
        <f t="shared" si="4"/>
        <v>1</v>
      </c>
      <c r="O264" s="71" t="str">
        <f>INDEX(Кат!$D:$D,MATCH($A264,Кат!$A:$A,0))</f>
        <v>Y</v>
      </c>
    </row>
    <row r="265" spans="1:15" ht="45" x14ac:dyDescent="0.25">
      <c r="A265" s="73">
        <v>165366</v>
      </c>
      <c r="B265" s="73">
        <v>32782</v>
      </c>
      <c r="C265" s="74" t="s">
        <v>706</v>
      </c>
      <c r="D265" s="74" t="s">
        <v>13</v>
      </c>
      <c r="E265" s="74" t="s">
        <v>707</v>
      </c>
      <c r="F265" s="74" t="s">
        <v>707</v>
      </c>
      <c r="G265" s="74" t="s">
        <v>15</v>
      </c>
      <c r="H265" s="75">
        <v>37</v>
      </c>
      <c r="I265" s="75">
        <v>79</v>
      </c>
      <c r="J265" s="74"/>
      <c r="K265" s="74" t="s">
        <v>16</v>
      </c>
      <c r="L265" s="74"/>
      <c r="M265" s="74" t="s">
        <v>13</v>
      </c>
      <c r="N265" s="71" t="str">
        <f t="shared" si="4"/>
        <v>1</v>
      </c>
      <c r="O265" s="71" t="str">
        <f>INDEX(Кат!$D:$D,MATCH($A265,Кат!$A:$A,0))</f>
        <v>Y</v>
      </c>
    </row>
    <row r="266" spans="1:15" ht="75" x14ac:dyDescent="0.25">
      <c r="A266" s="73">
        <v>165368</v>
      </c>
      <c r="B266" s="73">
        <v>50192</v>
      </c>
      <c r="C266" s="74" t="s">
        <v>708</v>
      </c>
      <c r="D266" s="74" t="s">
        <v>13</v>
      </c>
      <c r="E266" s="74" t="s">
        <v>709</v>
      </c>
      <c r="F266" s="74" t="s">
        <v>710</v>
      </c>
      <c r="G266" s="74" t="s">
        <v>15</v>
      </c>
      <c r="H266" s="75">
        <v>1147</v>
      </c>
      <c r="I266" s="75">
        <v>1790</v>
      </c>
      <c r="J266" s="74" t="s">
        <v>711</v>
      </c>
      <c r="K266" s="74" t="s">
        <v>16</v>
      </c>
      <c r="L266" s="74"/>
      <c r="M266" s="74"/>
      <c r="N266" s="71" t="str">
        <f t="shared" si="4"/>
        <v>1</v>
      </c>
      <c r="O266" s="71" t="str">
        <f>INDEX(Кат!$D:$D,MATCH($A266,Кат!$A:$A,0))</f>
        <v>Y</v>
      </c>
    </row>
    <row r="267" spans="1:15" ht="60" x14ac:dyDescent="0.25">
      <c r="A267" s="73">
        <v>165369</v>
      </c>
      <c r="B267" s="73">
        <v>31152</v>
      </c>
      <c r="C267" s="74" t="s">
        <v>712</v>
      </c>
      <c r="D267" s="74" t="s">
        <v>13</v>
      </c>
      <c r="E267" s="74" t="s">
        <v>713</v>
      </c>
      <c r="F267" s="74" t="s">
        <v>713</v>
      </c>
      <c r="G267" s="74" t="s">
        <v>15</v>
      </c>
      <c r="H267" s="75">
        <v>312</v>
      </c>
      <c r="I267" s="75">
        <v>499</v>
      </c>
      <c r="J267" s="74" t="s">
        <v>714</v>
      </c>
      <c r="K267" s="74" t="s">
        <v>16</v>
      </c>
      <c r="L267" s="74"/>
      <c r="M267" s="74" t="s">
        <v>13</v>
      </c>
      <c r="N267" s="71" t="str">
        <f t="shared" si="4"/>
        <v>1</v>
      </c>
      <c r="O267" s="71" t="str">
        <f>INDEX(Кат!$D:$D,MATCH($A267,Кат!$A:$A,0))</f>
        <v>Y</v>
      </c>
    </row>
    <row r="268" spans="1:15" ht="75" x14ac:dyDescent="0.25">
      <c r="A268" s="73">
        <v>165370</v>
      </c>
      <c r="B268" s="73">
        <v>31151</v>
      </c>
      <c r="C268" s="74" t="s">
        <v>715</v>
      </c>
      <c r="D268" s="74" t="s">
        <v>13</v>
      </c>
      <c r="E268" s="74" t="s">
        <v>716</v>
      </c>
      <c r="F268" s="74" t="s">
        <v>716</v>
      </c>
      <c r="G268" s="74" t="s">
        <v>15</v>
      </c>
      <c r="H268" s="75">
        <v>1212</v>
      </c>
      <c r="I268" s="75">
        <v>1890</v>
      </c>
      <c r="J268" s="74" t="s">
        <v>717</v>
      </c>
      <c r="K268" s="74" t="s">
        <v>16</v>
      </c>
      <c r="L268" s="74"/>
      <c r="M268" s="74" t="s">
        <v>13</v>
      </c>
      <c r="N268" s="71" t="str">
        <f t="shared" si="4"/>
        <v>1</v>
      </c>
      <c r="O268" s="71" t="str">
        <f>INDEX(Кат!$D:$D,MATCH($A268,Кат!$A:$A,0))</f>
        <v>Y</v>
      </c>
    </row>
    <row r="269" spans="1:15" ht="60" x14ac:dyDescent="0.25">
      <c r="A269" s="73">
        <v>165371</v>
      </c>
      <c r="B269" s="73">
        <v>31153</v>
      </c>
      <c r="C269" s="74" t="s">
        <v>718</v>
      </c>
      <c r="D269" s="74" t="s">
        <v>13</v>
      </c>
      <c r="E269" s="74" t="s">
        <v>719</v>
      </c>
      <c r="F269" s="74" t="s">
        <v>719</v>
      </c>
      <c r="G269" s="74" t="s">
        <v>15</v>
      </c>
      <c r="H269" s="75">
        <v>166</v>
      </c>
      <c r="I269" s="75">
        <v>299</v>
      </c>
      <c r="J269" s="74" t="s">
        <v>720</v>
      </c>
      <c r="K269" s="74" t="s">
        <v>16</v>
      </c>
      <c r="L269" s="74"/>
      <c r="M269" s="74" t="s">
        <v>13</v>
      </c>
      <c r="N269" s="71" t="str">
        <f t="shared" si="4"/>
        <v>1</v>
      </c>
      <c r="O269" s="71" t="str">
        <f>INDEX(Кат!$D:$D,MATCH($A269,Кат!$A:$A,0))</f>
        <v>Y</v>
      </c>
    </row>
    <row r="270" spans="1:15" ht="75" x14ac:dyDescent="0.25">
      <c r="A270" s="73">
        <v>165372</v>
      </c>
      <c r="B270" s="73">
        <v>31217</v>
      </c>
      <c r="C270" s="74" t="s">
        <v>721</v>
      </c>
      <c r="D270" s="74" t="s">
        <v>13</v>
      </c>
      <c r="E270" s="74" t="s">
        <v>722</v>
      </c>
      <c r="F270" s="74" t="s">
        <v>722</v>
      </c>
      <c r="G270" s="74" t="s">
        <v>15</v>
      </c>
      <c r="H270" s="75">
        <v>691</v>
      </c>
      <c r="I270" s="75">
        <v>1090</v>
      </c>
      <c r="J270" s="74" t="s">
        <v>723</v>
      </c>
      <c r="K270" s="74" t="s">
        <v>16</v>
      </c>
      <c r="L270" s="74"/>
      <c r="M270" s="74" t="s">
        <v>13</v>
      </c>
      <c r="N270" s="71" t="str">
        <f t="shared" si="4"/>
        <v>1</v>
      </c>
      <c r="O270" s="71" t="str">
        <f>INDEX(Кат!$D:$D,MATCH($A270,Кат!$A:$A,0))</f>
        <v>Y</v>
      </c>
    </row>
    <row r="271" spans="1:15" ht="30" x14ac:dyDescent="0.25">
      <c r="A271" s="73">
        <v>165373</v>
      </c>
      <c r="B271" s="73">
        <v>31428</v>
      </c>
      <c r="C271" s="74" t="s">
        <v>724</v>
      </c>
      <c r="D271" s="74" t="s">
        <v>13</v>
      </c>
      <c r="E271" s="74" t="s">
        <v>725</v>
      </c>
      <c r="F271" s="74" t="s">
        <v>725</v>
      </c>
      <c r="G271" s="74" t="s">
        <v>15</v>
      </c>
      <c r="H271" s="75">
        <v>137</v>
      </c>
      <c r="I271" s="75">
        <v>249</v>
      </c>
      <c r="J271" s="74"/>
      <c r="K271" s="74" t="s">
        <v>16</v>
      </c>
      <c r="L271" s="74"/>
      <c r="M271" s="74" t="s">
        <v>13</v>
      </c>
      <c r="N271" s="71" t="str">
        <f t="shared" si="4"/>
        <v>1</v>
      </c>
      <c r="O271" s="71" t="str">
        <f>INDEX(Кат!$D:$D,MATCH($A271,Кат!$A:$A,0))</f>
        <v>Y</v>
      </c>
    </row>
    <row r="272" spans="1:15" ht="45" x14ac:dyDescent="0.25">
      <c r="A272" s="73">
        <v>165375</v>
      </c>
      <c r="B272" s="73">
        <v>32686</v>
      </c>
      <c r="C272" s="74" t="s">
        <v>726</v>
      </c>
      <c r="D272" s="74" t="s">
        <v>13</v>
      </c>
      <c r="E272" s="74" t="s">
        <v>727</v>
      </c>
      <c r="F272" s="74" t="s">
        <v>727</v>
      </c>
      <c r="G272" s="74" t="s">
        <v>15</v>
      </c>
      <c r="H272" s="75">
        <v>81.45</v>
      </c>
      <c r="I272" s="75">
        <v>169</v>
      </c>
      <c r="J272" s="74"/>
      <c r="K272" s="74" t="s">
        <v>16</v>
      </c>
      <c r="L272" s="74"/>
      <c r="M272" s="74" t="s">
        <v>13</v>
      </c>
      <c r="N272" s="71" t="str">
        <f t="shared" si="4"/>
        <v>1</v>
      </c>
      <c r="O272" s="71" t="str">
        <f>INDEX(Кат!$D:$D,MATCH($A272,Кат!$A:$A,0))</f>
        <v>Y</v>
      </c>
    </row>
    <row r="273" spans="1:15" ht="45" x14ac:dyDescent="0.25">
      <c r="A273" s="73">
        <v>165376</v>
      </c>
      <c r="B273" s="73">
        <v>32685</v>
      </c>
      <c r="C273" s="74" t="s">
        <v>728</v>
      </c>
      <c r="D273" s="74" t="s">
        <v>13</v>
      </c>
      <c r="E273" s="74" t="s">
        <v>729</v>
      </c>
      <c r="F273" s="74" t="s">
        <v>729</v>
      </c>
      <c r="G273" s="74" t="s">
        <v>15</v>
      </c>
      <c r="H273" s="75">
        <v>80</v>
      </c>
      <c r="I273" s="75">
        <v>159</v>
      </c>
      <c r="J273" s="74"/>
      <c r="K273" s="74" t="s">
        <v>16</v>
      </c>
      <c r="L273" s="74"/>
      <c r="M273" s="74" t="s">
        <v>13</v>
      </c>
      <c r="N273" s="71" t="str">
        <f t="shared" si="4"/>
        <v>1</v>
      </c>
      <c r="O273" s="71" t="str">
        <f>INDEX(Кат!$D:$D,MATCH($A273,Кат!$A:$A,0))</f>
        <v>Y</v>
      </c>
    </row>
    <row r="274" spans="1:15" ht="75" x14ac:dyDescent="0.25">
      <c r="A274" s="73">
        <v>165377</v>
      </c>
      <c r="B274" s="73">
        <v>45863</v>
      </c>
      <c r="C274" s="74" t="s">
        <v>730</v>
      </c>
      <c r="D274" s="74" t="s">
        <v>13</v>
      </c>
      <c r="E274" s="74" t="s">
        <v>731</v>
      </c>
      <c r="F274" s="74" t="s">
        <v>732</v>
      </c>
      <c r="G274" s="74" t="s">
        <v>15</v>
      </c>
      <c r="H274" s="75">
        <v>888</v>
      </c>
      <c r="I274" s="75">
        <v>1390</v>
      </c>
      <c r="J274" s="74" t="s">
        <v>733</v>
      </c>
      <c r="K274" s="74" t="s">
        <v>16</v>
      </c>
      <c r="L274" s="74"/>
      <c r="M274" s="74" t="s">
        <v>13</v>
      </c>
      <c r="N274" s="71" t="str">
        <f t="shared" si="4"/>
        <v>1</v>
      </c>
      <c r="O274" s="71" t="str">
        <f>INDEX(Кат!$D:$D,MATCH($A274,Кат!$A:$A,0))</f>
        <v>Y</v>
      </c>
    </row>
    <row r="275" spans="1:15" ht="60" x14ac:dyDescent="0.25">
      <c r="A275" s="73">
        <v>165378</v>
      </c>
      <c r="B275" s="73">
        <v>45792</v>
      </c>
      <c r="C275" s="74" t="s">
        <v>734</v>
      </c>
      <c r="D275" s="74" t="s">
        <v>13</v>
      </c>
      <c r="E275" s="74" t="s">
        <v>735</v>
      </c>
      <c r="F275" s="74" t="s">
        <v>736</v>
      </c>
      <c r="G275" s="74" t="s">
        <v>15</v>
      </c>
      <c r="H275" s="75">
        <v>883</v>
      </c>
      <c r="I275" s="75">
        <v>1390</v>
      </c>
      <c r="J275" s="74" t="s">
        <v>737</v>
      </c>
      <c r="K275" s="74" t="s">
        <v>16</v>
      </c>
      <c r="L275" s="74"/>
      <c r="M275" s="74"/>
      <c r="N275" s="71" t="str">
        <f t="shared" si="4"/>
        <v>1</v>
      </c>
      <c r="O275" s="71" t="str">
        <f>INDEX(Кат!$D:$D,MATCH($A275,Кат!$A:$A,0))</f>
        <v>Y</v>
      </c>
    </row>
    <row r="276" spans="1:15" ht="45" x14ac:dyDescent="0.25">
      <c r="A276" s="73">
        <v>165379</v>
      </c>
      <c r="B276" s="73">
        <v>31412</v>
      </c>
      <c r="C276" s="74" t="s">
        <v>738</v>
      </c>
      <c r="D276" s="74" t="s">
        <v>13</v>
      </c>
      <c r="E276" s="74" t="s">
        <v>739</v>
      </c>
      <c r="F276" s="74" t="s">
        <v>739</v>
      </c>
      <c r="G276" s="74" t="s">
        <v>15</v>
      </c>
      <c r="H276" s="75">
        <v>552</v>
      </c>
      <c r="I276" s="75">
        <v>859</v>
      </c>
      <c r="J276" s="74"/>
      <c r="K276" s="74" t="s">
        <v>16</v>
      </c>
      <c r="L276" s="74" t="s">
        <v>16</v>
      </c>
      <c r="M276" s="74" t="s">
        <v>13</v>
      </c>
      <c r="N276" s="71" t="str">
        <f t="shared" si="4"/>
        <v>1ск1</v>
      </c>
      <c r="O276" s="71" t="str">
        <f>INDEX(Кат!$D:$D,MATCH($A276,Кат!$A:$A,0))</f>
        <v>Y</v>
      </c>
    </row>
    <row r="277" spans="1:15" ht="60" x14ac:dyDescent="0.25">
      <c r="A277" s="73">
        <v>165380</v>
      </c>
      <c r="B277" s="73">
        <v>31413</v>
      </c>
      <c r="C277" s="74" t="s">
        <v>740</v>
      </c>
      <c r="D277" s="74" t="s">
        <v>13</v>
      </c>
      <c r="E277" s="74" t="s">
        <v>741</v>
      </c>
      <c r="F277" s="74" t="s">
        <v>741</v>
      </c>
      <c r="G277" s="74" t="s">
        <v>15</v>
      </c>
      <c r="H277" s="75">
        <v>534.65</v>
      </c>
      <c r="I277" s="75">
        <v>829</v>
      </c>
      <c r="J277" s="74"/>
      <c r="K277" s="74" t="s">
        <v>16</v>
      </c>
      <c r="L277" s="74" t="s">
        <v>16</v>
      </c>
      <c r="M277" s="74"/>
      <c r="N277" s="71" t="str">
        <f t="shared" si="4"/>
        <v>1ск1</v>
      </c>
      <c r="O277" s="71" t="str">
        <f>INDEX(Кат!$D:$D,MATCH($A277,Кат!$A:$A,0))</f>
        <v>Y</v>
      </c>
    </row>
    <row r="278" spans="1:15" ht="30" x14ac:dyDescent="0.25">
      <c r="A278" s="73">
        <v>165381</v>
      </c>
      <c r="B278" s="73">
        <v>31317</v>
      </c>
      <c r="C278" s="74" t="s">
        <v>742</v>
      </c>
      <c r="D278" s="74" t="s">
        <v>13</v>
      </c>
      <c r="E278" s="74" t="s">
        <v>743</v>
      </c>
      <c r="F278" s="74" t="s">
        <v>743</v>
      </c>
      <c r="G278" s="74" t="s">
        <v>15</v>
      </c>
      <c r="H278" s="75">
        <v>835</v>
      </c>
      <c r="I278" s="75">
        <v>1290</v>
      </c>
      <c r="J278" s="74"/>
      <c r="K278" s="74" t="s">
        <v>16</v>
      </c>
      <c r="L278" s="74"/>
      <c r="M278" s="74"/>
      <c r="N278" s="71" t="str">
        <f t="shared" si="4"/>
        <v>1</v>
      </c>
      <c r="O278" s="71" t="str">
        <f>INDEX(Кат!$D:$D,MATCH($A278,Кат!$A:$A,0))</f>
        <v>Y</v>
      </c>
    </row>
    <row r="279" spans="1:15" ht="75" x14ac:dyDescent="0.25">
      <c r="A279" s="73">
        <v>165724</v>
      </c>
      <c r="B279" s="73">
        <v>30978</v>
      </c>
      <c r="C279" s="74" t="s">
        <v>744</v>
      </c>
      <c r="D279" s="74" t="s">
        <v>13</v>
      </c>
      <c r="E279" s="74" t="s">
        <v>745</v>
      </c>
      <c r="F279" s="74" t="s">
        <v>745</v>
      </c>
      <c r="G279" s="74" t="s">
        <v>15</v>
      </c>
      <c r="H279" s="75">
        <v>127</v>
      </c>
      <c r="I279" s="75">
        <v>229</v>
      </c>
      <c r="J279" s="74" t="s">
        <v>746</v>
      </c>
      <c r="K279" s="74" t="s">
        <v>16</v>
      </c>
      <c r="L279" s="74"/>
      <c r="M279" s="74" t="s">
        <v>13</v>
      </c>
      <c r="N279" s="71" t="str">
        <f t="shared" si="4"/>
        <v>1</v>
      </c>
      <c r="O279" s="71" t="str">
        <f>INDEX(Кат!$D:$D,MATCH($A279,Кат!$A:$A,0))</f>
        <v>Y</v>
      </c>
    </row>
    <row r="280" spans="1:15" ht="75" x14ac:dyDescent="0.25">
      <c r="A280" s="73">
        <v>165725</v>
      </c>
      <c r="B280" s="73">
        <v>30977</v>
      </c>
      <c r="C280" s="74" t="s">
        <v>747</v>
      </c>
      <c r="D280" s="74" t="s">
        <v>13</v>
      </c>
      <c r="E280" s="74" t="s">
        <v>748</v>
      </c>
      <c r="F280" s="74" t="s">
        <v>748</v>
      </c>
      <c r="G280" s="74" t="s">
        <v>15</v>
      </c>
      <c r="H280" s="75">
        <v>71</v>
      </c>
      <c r="I280" s="75">
        <v>149</v>
      </c>
      <c r="J280" s="74" t="s">
        <v>749</v>
      </c>
      <c r="K280" s="74" t="s">
        <v>16</v>
      </c>
      <c r="L280" s="74"/>
      <c r="M280" s="74" t="s">
        <v>13</v>
      </c>
      <c r="N280" s="71" t="str">
        <f t="shared" si="4"/>
        <v>1</v>
      </c>
      <c r="O280" s="71" t="str">
        <f>INDEX(Кат!$D:$D,MATCH($A280,Кат!$A:$A,0))</f>
        <v>Y</v>
      </c>
    </row>
    <row r="281" spans="1:15" ht="45" x14ac:dyDescent="0.25">
      <c r="A281" s="73">
        <v>165726</v>
      </c>
      <c r="B281" s="73">
        <v>48681</v>
      </c>
      <c r="C281" s="74" t="s">
        <v>750</v>
      </c>
      <c r="D281" s="74" t="s">
        <v>13</v>
      </c>
      <c r="E281" s="74" t="s">
        <v>751</v>
      </c>
      <c r="F281" s="74" t="s">
        <v>752</v>
      </c>
      <c r="G281" s="74" t="s">
        <v>15</v>
      </c>
      <c r="H281" s="75">
        <v>2525</v>
      </c>
      <c r="I281" s="75">
        <v>3590</v>
      </c>
      <c r="J281" s="74"/>
      <c r="K281" s="74" t="s">
        <v>16</v>
      </c>
      <c r="L281" s="74"/>
      <c r="M281" s="74" t="s">
        <v>13</v>
      </c>
      <c r="N281" s="71" t="str">
        <f t="shared" si="4"/>
        <v>1</v>
      </c>
      <c r="O281" s="71" t="str">
        <f>INDEX(Кат!$D:$D,MATCH($A281,Кат!$A:$A,0))</f>
        <v>Y</v>
      </c>
    </row>
    <row r="282" spans="1:15" ht="45" x14ac:dyDescent="0.25">
      <c r="A282" s="73">
        <v>165727</v>
      </c>
      <c r="B282" s="73">
        <v>46301</v>
      </c>
      <c r="C282" s="74" t="s">
        <v>753</v>
      </c>
      <c r="D282" s="74" t="s">
        <v>13</v>
      </c>
      <c r="E282" s="74" t="s">
        <v>754</v>
      </c>
      <c r="F282" s="74" t="s">
        <v>755</v>
      </c>
      <c r="G282" s="74" t="s">
        <v>15</v>
      </c>
      <c r="H282" s="75">
        <v>1352</v>
      </c>
      <c r="I282" s="75">
        <v>2090</v>
      </c>
      <c r="J282" s="74"/>
      <c r="K282" s="74" t="s">
        <v>16</v>
      </c>
      <c r="L282" s="74"/>
      <c r="M282" s="74"/>
      <c r="N282" s="71" t="str">
        <f t="shared" si="4"/>
        <v>1</v>
      </c>
      <c r="O282" s="71" t="str">
        <f>INDEX(Кат!$D:$D,MATCH($A282,Кат!$A:$A,0))</f>
        <v>Y</v>
      </c>
    </row>
    <row r="283" spans="1:15" ht="45" x14ac:dyDescent="0.25">
      <c r="A283" s="73">
        <v>165728</v>
      </c>
      <c r="B283" s="73">
        <v>48211</v>
      </c>
      <c r="C283" s="74" t="s">
        <v>756</v>
      </c>
      <c r="D283" s="74" t="s">
        <v>13</v>
      </c>
      <c r="E283" s="74" t="s">
        <v>757</v>
      </c>
      <c r="F283" s="74" t="s">
        <v>758</v>
      </c>
      <c r="G283" s="74" t="s">
        <v>15</v>
      </c>
      <c r="H283" s="75">
        <v>848</v>
      </c>
      <c r="I283" s="75">
        <v>1390</v>
      </c>
      <c r="J283" s="74"/>
      <c r="K283" s="74" t="s">
        <v>16</v>
      </c>
      <c r="L283" s="74"/>
      <c r="M283" s="74" t="s">
        <v>13</v>
      </c>
      <c r="N283" s="71" t="str">
        <f t="shared" si="4"/>
        <v>1</v>
      </c>
      <c r="O283" s="71" t="str">
        <f>INDEX(Кат!$D:$D,MATCH($A283,Кат!$A:$A,0))</f>
        <v>Y</v>
      </c>
    </row>
    <row r="284" spans="1:15" ht="45" x14ac:dyDescent="0.25">
      <c r="A284" s="73">
        <v>165729</v>
      </c>
      <c r="B284" s="73">
        <v>32771</v>
      </c>
      <c r="C284" s="74" t="s">
        <v>759</v>
      </c>
      <c r="D284" s="74" t="s">
        <v>13</v>
      </c>
      <c r="E284" s="74" t="s">
        <v>760</v>
      </c>
      <c r="F284" s="74" t="s">
        <v>760</v>
      </c>
      <c r="G284" s="74" t="s">
        <v>15</v>
      </c>
      <c r="H284" s="75">
        <v>408</v>
      </c>
      <c r="I284" s="75">
        <v>659</v>
      </c>
      <c r="J284" s="74"/>
      <c r="K284" s="74" t="s">
        <v>16</v>
      </c>
      <c r="L284" s="74"/>
      <c r="M284" s="74" t="s">
        <v>13</v>
      </c>
      <c r="N284" s="71" t="str">
        <f t="shared" si="4"/>
        <v>1</v>
      </c>
      <c r="O284" s="71" t="str">
        <f>INDEX(Кат!$D:$D,MATCH($A284,Кат!$A:$A,0))</f>
        <v>Y</v>
      </c>
    </row>
    <row r="285" spans="1:15" ht="75" x14ac:dyDescent="0.25">
      <c r="A285" s="73">
        <v>165730</v>
      </c>
      <c r="B285" s="73">
        <v>31274</v>
      </c>
      <c r="C285" s="74" t="s">
        <v>761</v>
      </c>
      <c r="D285" s="74" t="s">
        <v>13</v>
      </c>
      <c r="E285" s="74" t="s">
        <v>762</v>
      </c>
      <c r="F285" s="74" t="s">
        <v>762</v>
      </c>
      <c r="G285" s="74" t="s">
        <v>15</v>
      </c>
      <c r="H285" s="75">
        <v>319</v>
      </c>
      <c r="I285" s="75">
        <v>519</v>
      </c>
      <c r="J285" s="74" t="s">
        <v>763</v>
      </c>
      <c r="K285" s="74" t="s">
        <v>16</v>
      </c>
      <c r="L285" s="74"/>
      <c r="M285" s="74" t="s">
        <v>13</v>
      </c>
      <c r="N285" s="71" t="str">
        <f t="shared" si="4"/>
        <v>1</v>
      </c>
      <c r="O285" s="71" t="str">
        <f>INDEX(Кат!$D:$D,MATCH($A285,Кат!$A:$A,0))</f>
        <v>Y</v>
      </c>
    </row>
    <row r="286" spans="1:15" ht="45" x14ac:dyDescent="0.25">
      <c r="A286" s="73">
        <v>165731</v>
      </c>
      <c r="B286" s="73">
        <v>32773</v>
      </c>
      <c r="C286" s="74" t="s">
        <v>764</v>
      </c>
      <c r="D286" s="74" t="s">
        <v>13</v>
      </c>
      <c r="E286" s="74" t="s">
        <v>765</v>
      </c>
      <c r="F286" s="74" t="s">
        <v>765</v>
      </c>
      <c r="G286" s="74" t="s">
        <v>15</v>
      </c>
      <c r="H286" s="75">
        <v>672</v>
      </c>
      <c r="I286" s="75">
        <v>1090</v>
      </c>
      <c r="J286" s="74"/>
      <c r="K286" s="74" t="s">
        <v>16</v>
      </c>
      <c r="L286" s="74"/>
      <c r="M286" s="74" t="s">
        <v>13</v>
      </c>
      <c r="N286" s="71" t="str">
        <f t="shared" si="4"/>
        <v>1</v>
      </c>
      <c r="O286" s="71" t="str">
        <f>INDEX(Кат!$D:$D,MATCH($A286,Кат!$A:$A,0))</f>
        <v>Y</v>
      </c>
    </row>
    <row r="287" spans="1:15" ht="45" x14ac:dyDescent="0.25">
      <c r="A287" s="73">
        <v>165732</v>
      </c>
      <c r="B287" s="73">
        <v>32769</v>
      </c>
      <c r="C287" s="74" t="s">
        <v>766</v>
      </c>
      <c r="D287" s="74" t="s">
        <v>13</v>
      </c>
      <c r="E287" s="74" t="s">
        <v>767</v>
      </c>
      <c r="F287" s="74" t="s">
        <v>767</v>
      </c>
      <c r="G287" s="74" t="s">
        <v>15</v>
      </c>
      <c r="H287" s="75">
        <v>408</v>
      </c>
      <c r="I287" s="75">
        <v>659</v>
      </c>
      <c r="J287" s="74"/>
      <c r="K287" s="74" t="s">
        <v>16</v>
      </c>
      <c r="L287" s="74"/>
      <c r="M287" s="74" t="s">
        <v>13</v>
      </c>
      <c r="N287" s="71" t="str">
        <f t="shared" si="4"/>
        <v>1</v>
      </c>
      <c r="O287" s="71" t="str">
        <f>INDEX(Кат!$D:$D,MATCH($A287,Кат!$A:$A,0))</f>
        <v>Y</v>
      </c>
    </row>
    <row r="288" spans="1:15" ht="75" x14ac:dyDescent="0.25">
      <c r="A288" s="73">
        <v>165733</v>
      </c>
      <c r="B288" s="73">
        <v>31275</v>
      </c>
      <c r="C288" s="74" t="s">
        <v>768</v>
      </c>
      <c r="D288" s="74" t="s">
        <v>13</v>
      </c>
      <c r="E288" s="74" t="s">
        <v>769</v>
      </c>
      <c r="F288" s="74" t="s">
        <v>769</v>
      </c>
      <c r="G288" s="74" t="s">
        <v>15</v>
      </c>
      <c r="H288" s="75">
        <v>319</v>
      </c>
      <c r="I288" s="75">
        <v>519</v>
      </c>
      <c r="J288" s="74" t="s">
        <v>770</v>
      </c>
      <c r="K288" s="74" t="s">
        <v>16</v>
      </c>
      <c r="L288" s="74"/>
      <c r="M288" s="74" t="s">
        <v>13</v>
      </c>
      <c r="N288" s="71" t="str">
        <f t="shared" si="4"/>
        <v>1</v>
      </c>
      <c r="O288" s="71" t="str">
        <f>INDEX(Кат!$D:$D,MATCH($A288,Кат!$A:$A,0))</f>
        <v>Y</v>
      </c>
    </row>
    <row r="289" spans="1:15" ht="45" x14ac:dyDescent="0.25">
      <c r="A289" s="73">
        <v>165734</v>
      </c>
      <c r="B289" s="73">
        <v>32772</v>
      </c>
      <c r="C289" s="74" t="s">
        <v>771</v>
      </c>
      <c r="D289" s="74" t="s">
        <v>13</v>
      </c>
      <c r="E289" s="74" t="s">
        <v>772</v>
      </c>
      <c r="F289" s="74" t="s">
        <v>772</v>
      </c>
      <c r="G289" s="74" t="s">
        <v>15</v>
      </c>
      <c r="H289" s="75">
        <v>672</v>
      </c>
      <c r="I289" s="75">
        <v>1090</v>
      </c>
      <c r="J289" s="74"/>
      <c r="K289" s="74" t="s">
        <v>16</v>
      </c>
      <c r="L289" s="74"/>
      <c r="M289" s="74" t="s">
        <v>13</v>
      </c>
      <c r="N289" s="71" t="str">
        <f t="shared" si="4"/>
        <v>1</v>
      </c>
      <c r="O289" s="71" t="str">
        <f>INDEX(Кат!$D:$D,MATCH($A289,Кат!$A:$A,0))</f>
        <v>Y</v>
      </c>
    </row>
    <row r="290" spans="1:15" ht="75" x14ac:dyDescent="0.25">
      <c r="A290" s="73">
        <v>165735</v>
      </c>
      <c r="B290" s="73">
        <v>32663</v>
      </c>
      <c r="C290" s="74" t="s">
        <v>773</v>
      </c>
      <c r="D290" s="74" t="s">
        <v>13</v>
      </c>
      <c r="E290" s="74" t="s">
        <v>774</v>
      </c>
      <c r="F290" s="74" t="s">
        <v>774</v>
      </c>
      <c r="G290" s="74" t="s">
        <v>15</v>
      </c>
      <c r="H290" s="75">
        <v>145</v>
      </c>
      <c r="I290" s="75">
        <v>269</v>
      </c>
      <c r="J290" s="74" t="s">
        <v>775</v>
      </c>
      <c r="K290" s="74" t="s">
        <v>16</v>
      </c>
      <c r="L290" s="74"/>
      <c r="M290" s="74" t="s">
        <v>13</v>
      </c>
      <c r="N290" s="71" t="str">
        <f t="shared" si="4"/>
        <v>1</v>
      </c>
      <c r="O290" s="71" t="str">
        <f>INDEX(Кат!$D:$D,MATCH($A290,Кат!$A:$A,0))</f>
        <v>Y</v>
      </c>
    </row>
    <row r="291" spans="1:15" ht="75" x14ac:dyDescent="0.25">
      <c r="A291" s="73">
        <v>165736</v>
      </c>
      <c r="B291" s="73">
        <v>32662</v>
      </c>
      <c r="C291" s="74" t="s">
        <v>776</v>
      </c>
      <c r="D291" s="74" t="s">
        <v>13</v>
      </c>
      <c r="E291" s="74" t="s">
        <v>777</v>
      </c>
      <c r="F291" s="74" t="s">
        <v>777</v>
      </c>
      <c r="G291" s="74" t="s">
        <v>15</v>
      </c>
      <c r="H291" s="75">
        <v>145</v>
      </c>
      <c r="I291" s="75">
        <v>269</v>
      </c>
      <c r="J291" s="74" t="s">
        <v>778</v>
      </c>
      <c r="K291" s="74" t="s">
        <v>16</v>
      </c>
      <c r="L291" s="74"/>
      <c r="M291" s="74" t="s">
        <v>13</v>
      </c>
      <c r="N291" s="71" t="str">
        <f t="shared" si="4"/>
        <v>1</v>
      </c>
      <c r="O291" s="71" t="str">
        <f>INDEX(Кат!$D:$D,MATCH($A291,Кат!$A:$A,0))</f>
        <v>Y</v>
      </c>
    </row>
    <row r="292" spans="1:15" ht="45" x14ac:dyDescent="0.25">
      <c r="A292" s="73">
        <v>165737</v>
      </c>
      <c r="B292" s="73">
        <v>31192</v>
      </c>
      <c r="C292" s="74" t="s">
        <v>779</v>
      </c>
      <c r="D292" s="74" t="s">
        <v>13</v>
      </c>
      <c r="E292" s="74" t="s">
        <v>780</v>
      </c>
      <c r="F292" s="74" t="s">
        <v>780</v>
      </c>
      <c r="G292" s="74" t="s">
        <v>15</v>
      </c>
      <c r="H292" s="75">
        <v>258</v>
      </c>
      <c r="I292" s="75">
        <v>469</v>
      </c>
      <c r="J292" s="74"/>
      <c r="K292" s="74" t="s">
        <v>16</v>
      </c>
      <c r="L292" s="74"/>
      <c r="M292" s="74" t="s">
        <v>13</v>
      </c>
      <c r="N292" s="71" t="str">
        <f t="shared" si="4"/>
        <v>1</v>
      </c>
      <c r="O292" s="71" t="str">
        <f>INDEX(Кат!$D:$D,MATCH($A292,Кат!$A:$A,0))</f>
        <v>Y</v>
      </c>
    </row>
    <row r="293" spans="1:15" ht="45" x14ac:dyDescent="0.25">
      <c r="A293" s="73">
        <v>165738</v>
      </c>
      <c r="B293" s="73">
        <v>31210</v>
      </c>
      <c r="C293" s="74" t="s">
        <v>781</v>
      </c>
      <c r="D293" s="74" t="s">
        <v>13</v>
      </c>
      <c r="E293" s="74" t="s">
        <v>782</v>
      </c>
      <c r="F293" s="74" t="s">
        <v>782</v>
      </c>
      <c r="G293" s="74" t="s">
        <v>15</v>
      </c>
      <c r="H293" s="75">
        <v>1980.33</v>
      </c>
      <c r="I293" s="75">
        <v>2990</v>
      </c>
      <c r="J293" s="74"/>
      <c r="K293" s="74" t="s">
        <v>16</v>
      </c>
      <c r="L293" s="74"/>
      <c r="M293" s="74" t="s">
        <v>13</v>
      </c>
      <c r="N293" s="71" t="str">
        <f t="shared" si="4"/>
        <v>1</v>
      </c>
      <c r="O293" s="71" t="str">
        <f>INDEX(Кат!$D:$D,MATCH($A293,Кат!$A:$A,0))</f>
        <v>Y</v>
      </c>
    </row>
    <row r="294" spans="1:15" ht="75" x14ac:dyDescent="0.25">
      <c r="A294" s="73">
        <v>165739</v>
      </c>
      <c r="B294" s="73">
        <v>31271</v>
      </c>
      <c r="C294" s="74" t="s">
        <v>783</v>
      </c>
      <c r="D294" s="74" t="s">
        <v>13</v>
      </c>
      <c r="E294" s="74" t="s">
        <v>784</v>
      </c>
      <c r="F294" s="74" t="s">
        <v>784</v>
      </c>
      <c r="G294" s="74" t="s">
        <v>15</v>
      </c>
      <c r="H294" s="75">
        <v>1339</v>
      </c>
      <c r="I294" s="75">
        <v>2090</v>
      </c>
      <c r="J294" s="74" t="s">
        <v>785</v>
      </c>
      <c r="K294" s="74" t="s">
        <v>16</v>
      </c>
      <c r="L294" s="74"/>
      <c r="M294" s="74" t="s">
        <v>13</v>
      </c>
      <c r="N294" s="71" t="str">
        <f t="shared" si="4"/>
        <v>1</v>
      </c>
      <c r="O294" s="71" t="str">
        <f>INDEX(Кат!$D:$D,MATCH($A294,Кат!$A:$A,0))</f>
        <v>Y</v>
      </c>
    </row>
    <row r="295" spans="1:15" ht="60" x14ac:dyDescent="0.25">
      <c r="A295" s="73">
        <v>165740</v>
      </c>
      <c r="B295" s="73">
        <v>31178</v>
      </c>
      <c r="C295" s="74" t="s">
        <v>786</v>
      </c>
      <c r="D295" s="74" t="s">
        <v>13</v>
      </c>
      <c r="E295" s="74" t="s">
        <v>787</v>
      </c>
      <c r="F295" s="74" t="s">
        <v>787</v>
      </c>
      <c r="G295" s="74" t="s">
        <v>15</v>
      </c>
      <c r="H295" s="75">
        <v>1982</v>
      </c>
      <c r="I295" s="75">
        <v>2990</v>
      </c>
      <c r="J295" s="74" t="s">
        <v>788</v>
      </c>
      <c r="K295" s="74" t="s">
        <v>16</v>
      </c>
      <c r="L295" s="74"/>
      <c r="M295" s="74" t="s">
        <v>13</v>
      </c>
      <c r="N295" s="71" t="str">
        <f t="shared" si="4"/>
        <v>1</v>
      </c>
      <c r="O295" s="71" t="str">
        <f>INDEX(Кат!$D:$D,MATCH($A295,Кат!$A:$A,0))</f>
        <v>Y</v>
      </c>
    </row>
    <row r="296" spans="1:15" ht="60" x14ac:dyDescent="0.25">
      <c r="A296" s="73">
        <v>165741</v>
      </c>
      <c r="B296" s="73">
        <v>31179</v>
      </c>
      <c r="C296" s="74" t="s">
        <v>789</v>
      </c>
      <c r="D296" s="74" t="s">
        <v>13</v>
      </c>
      <c r="E296" s="74" t="s">
        <v>790</v>
      </c>
      <c r="F296" s="74" t="s">
        <v>790</v>
      </c>
      <c r="G296" s="74" t="s">
        <v>15</v>
      </c>
      <c r="H296" s="75">
        <v>2105</v>
      </c>
      <c r="I296" s="75">
        <v>2990</v>
      </c>
      <c r="J296" s="74" t="s">
        <v>791</v>
      </c>
      <c r="K296" s="74" t="s">
        <v>16</v>
      </c>
      <c r="L296" s="74"/>
      <c r="M296" s="74" t="s">
        <v>13</v>
      </c>
      <c r="N296" s="71" t="str">
        <f t="shared" si="4"/>
        <v>1</v>
      </c>
      <c r="O296" s="71" t="str">
        <f>INDEX(Кат!$D:$D,MATCH($A296,Кат!$A:$A,0))</f>
        <v>Y</v>
      </c>
    </row>
    <row r="297" spans="1:15" ht="60" x14ac:dyDescent="0.25">
      <c r="A297" s="73">
        <v>165746</v>
      </c>
      <c r="B297" s="73">
        <v>44818</v>
      </c>
      <c r="C297" s="74" t="s">
        <v>792</v>
      </c>
      <c r="D297" s="74" t="s">
        <v>13</v>
      </c>
      <c r="E297" s="74" t="s">
        <v>793</v>
      </c>
      <c r="F297" s="74" t="s">
        <v>794</v>
      </c>
      <c r="G297" s="74" t="s">
        <v>15</v>
      </c>
      <c r="H297" s="75">
        <v>610</v>
      </c>
      <c r="I297" s="75">
        <v>949</v>
      </c>
      <c r="J297" s="74"/>
      <c r="K297" s="74" t="s">
        <v>16</v>
      </c>
      <c r="L297" s="74"/>
      <c r="M297" s="74" t="s">
        <v>13</v>
      </c>
      <c r="N297" s="71" t="str">
        <f t="shared" si="4"/>
        <v>1</v>
      </c>
      <c r="O297" s="71" t="str">
        <f>INDEX(Кат!$D:$D,MATCH($A297,Кат!$A:$A,0))</f>
        <v>Y</v>
      </c>
    </row>
    <row r="298" spans="1:15" ht="60" x14ac:dyDescent="0.25">
      <c r="A298" s="73">
        <v>165747</v>
      </c>
      <c r="B298" s="73">
        <v>32518</v>
      </c>
      <c r="C298" s="74" t="s">
        <v>795</v>
      </c>
      <c r="D298" s="74" t="s">
        <v>13</v>
      </c>
      <c r="E298" s="74" t="s">
        <v>796</v>
      </c>
      <c r="F298" s="74" t="s">
        <v>796</v>
      </c>
      <c r="G298" s="74" t="s">
        <v>15</v>
      </c>
      <c r="H298" s="75">
        <v>606</v>
      </c>
      <c r="I298" s="75">
        <v>939</v>
      </c>
      <c r="J298" s="74" t="s">
        <v>797</v>
      </c>
      <c r="K298" s="74" t="s">
        <v>16</v>
      </c>
      <c r="L298" s="74"/>
      <c r="M298" s="74" t="s">
        <v>13</v>
      </c>
      <c r="N298" s="71" t="str">
        <f t="shared" si="4"/>
        <v>1</v>
      </c>
      <c r="O298" s="71" t="str">
        <f>INDEX(Кат!$D:$D,MATCH($A298,Кат!$A:$A,0))</f>
        <v>Y</v>
      </c>
    </row>
    <row r="299" spans="1:15" ht="45" x14ac:dyDescent="0.25">
      <c r="A299" s="73">
        <v>165748</v>
      </c>
      <c r="B299" s="73">
        <v>32517</v>
      </c>
      <c r="C299" s="74" t="s">
        <v>798</v>
      </c>
      <c r="D299" s="74" t="s">
        <v>13</v>
      </c>
      <c r="E299" s="74" t="s">
        <v>799</v>
      </c>
      <c r="F299" s="74" t="s">
        <v>799</v>
      </c>
      <c r="G299" s="74" t="s">
        <v>15</v>
      </c>
      <c r="H299" s="75">
        <v>501</v>
      </c>
      <c r="I299" s="75">
        <v>779</v>
      </c>
      <c r="J299" s="74"/>
      <c r="K299" s="74" t="s">
        <v>16</v>
      </c>
      <c r="L299" s="74"/>
      <c r="M299" s="74" t="s">
        <v>13</v>
      </c>
      <c r="N299" s="71" t="str">
        <f t="shared" si="4"/>
        <v>1</v>
      </c>
      <c r="O299" s="71" t="str">
        <f>INDEX(Кат!$D:$D,MATCH($A299,Кат!$A:$A,0))</f>
        <v>Y</v>
      </c>
    </row>
    <row r="300" spans="1:15" ht="30" x14ac:dyDescent="0.25">
      <c r="A300" s="73">
        <v>165750</v>
      </c>
      <c r="B300" s="73">
        <v>50880</v>
      </c>
      <c r="C300" s="74" t="s">
        <v>800</v>
      </c>
      <c r="D300" s="74" t="s">
        <v>13</v>
      </c>
      <c r="E300" s="74" t="s">
        <v>801</v>
      </c>
      <c r="F300" s="74" t="s">
        <v>802</v>
      </c>
      <c r="G300" s="74" t="s">
        <v>15</v>
      </c>
      <c r="H300" s="75">
        <v>842</v>
      </c>
      <c r="I300" s="75">
        <v>1390</v>
      </c>
      <c r="J300" s="74"/>
      <c r="K300" s="74" t="s">
        <v>16</v>
      </c>
      <c r="L300" s="74"/>
      <c r="M300" s="74" t="s">
        <v>13</v>
      </c>
      <c r="N300" s="71" t="str">
        <f t="shared" si="4"/>
        <v>1</v>
      </c>
      <c r="O300" s="71" t="str">
        <f>INDEX(Кат!$D:$D,MATCH($A300,Кат!$A:$A,0))</f>
        <v>Y</v>
      </c>
    </row>
    <row r="301" spans="1:15" ht="30" x14ac:dyDescent="0.25">
      <c r="A301" s="73">
        <v>166245</v>
      </c>
      <c r="B301" s="73">
        <v>31303</v>
      </c>
      <c r="C301" s="74" t="s">
        <v>803</v>
      </c>
      <c r="D301" s="74" t="s">
        <v>13</v>
      </c>
      <c r="E301" s="74" t="s">
        <v>804</v>
      </c>
      <c r="F301" s="74" t="s">
        <v>804</v>
      </c>
      <c r="G301" s="74" t="s">
        <v>15</v>
      </c>
      <c r="H301" s="75">
        <v>697.66</v>
      </c>
      <c r="I301" s="75">
        <v>1090</v>
      </c>
      <c r="J301" s="74"/>
      <c r="K301" s="74" t="s">
        <v>16</v>
      </c>
      <c r="L301" s="74"/>
      <c r="M301" s="74" t="s">
        <v>13</v>
      </c>
      <c r="N301" s="71" t="str">
        <f t="shared" si="4"/>
        <v>1</v>
      </c>
      <c r="O301" s="71" t="str">
        <f>INDEX(Кат!$D:$D,MATCH($A301,Кат!$A:$A,0))</f>
        <v>Y</v>
      </c>
    </row>
    <row r="302" spans="1:15" ht="30" x14ac:dyDescent="0.25">
      <c r="A302" s="73">
        <v>167463</v>
      </c>
      <c r="B302" s="73">
        <v>31067</v>
      </c>
      <c r="C302" s="74" t="s">
        <v>805</v>
      </c>
      <c r="D302" s="74" t="s">
        <v>13</v>
      </c>
      <c r="E302" s="74" t="s">
        <v>806</v>
      </c>
      <c r="F302" s="74" t="s">
        <v>806</v>
      </c>
      <c r="G302" s="74" t="s">
        <v>15</v>
      </c>
      <c r="H302" s="75">
        <v>11575</v>
      </c>
      <c r="I302" s="75">
        <v>16290</v>
      </c>
      <c r="J302" s="74"/>
      <c r="K302" s="74" t="s">
        <v>16</v>
      </c>
      <c r="L302" s="74"/>
      <c r="M302" s="74" t="s">
        <v>13</v>
      </c>
      <c r="N302" s="71" t="str">
        <f t="shared" si="4"/>
        <v>1</v>
      </c>
      <c r="O302" s="71" t="str">
        <f>INDEX(Кат!$D:$D,MATCH($A302,Кат!$A:$A,0))</f>
        <v>Y</v>
      </c>
    </row>
    <row r="303" spans="1:15" ht="45" x14ac:dyDescent="0.25">
      <c r="A303" s="73">
        <v>167487</v>
      </c>
      <c r="B303" s="73">
        <v>32516</v>
      </c>
      <c r="C303" s="74" t="s">
        <v>807</v>
      </c>
      <c r="D303" s="74" t="s">
        <v>13</v>
      </c>
      <c r="E303" s="74" t="s">
        <v>808</v>
      </c>
      <c r="F303" s="74" t="s">
        <v>808</v>
      </c>
      <c r="G303" s="74" t="s">
        <v>15</v>
      </c>
      <c r="H303" s="75">
        <v>215</v>
      </c>
      <c r="I303" s="75">
        <v>389</v>
      </c>
      <c r="J303" s="74"/>
      <c r="K303" s="74" t="s">
        <v>37</v>
      </c>
      <c r="L303" s="74"/>
      <c r="M303" s="74" t="s">
        <v>13</v>
      </c>
      <c r="N303" s="71" t="str">
        <f t="shared" si="4"/>
        <v>0</v>
      </c>
      <c r="O303" s="71" t="str">
        <f>INDEX(Кат!$D:$D,MATCH($A303,Кат!$A:$A,0))</f>
        <v>Y</v>
      </c>
    </row>
    <row r="304" spans="1:15" ht="45" x14ac:dyDescent="0.25">
      <c r="A304" s="73">
        <v>167489</v>
      </c>
      <c r="B304" s="73">
        <v>31093</v>
      </c>
      <c r="C304" s="74" t="s">
        <v>809</v>
      </c>
      <c r="D304" s="74" t="s">
        <v>13</v>
      </c>
      <c r="E304" s="74" t="s">
        <v>810</v>
      </c>
      <c r="F304" s="74" t="s">
        <v>810</v>
      </c>
      <c r="G304" s="74" t="s">
        <v>15</v>
      </c>
      <c r="H304" s="75">
        <v>316</v>
      </c>
      <c r="I304" s="75">
        <v>509</v>
      </c>
      <c r="J304" s="74"/>
      <c r="K304" s="74" t="s">
        <v>16</v>
      </c>
      <c r="L304" s="74"/>
      <c r="M304" s="74" t="s">
        <v>13</v>
      </c>
      <c r="N304" s="71" t="str">
        <f t="shared" si="4"/>
        <v>1</v>
      </c>
      <c r="O304" s="71" t="str">
        <f>INDEX(Кат!$D:$D,MATCH($A304,Кат!$A:$A,0))</f>
        <v>Y</v>
      </c>
    </row>
    <row r="305" spans="1:15" ht="45" x14ac:dyDescent="0.25">
      <c r="A305" s="73">
        <v>167492</v>
      </c>
      <c r="B305" s="73">
        <v>31237</v>
      </c>
      <c r="C305" s="74" t="s">
        <v>811</v>
      </c>
      <c r="D305" s="74" t="s">
        <v>13</v>
      </c>
      <c r="E305" s="74" t="s">
        <v>812</v>
      </c>
      <c r="F305" s="74" t="s">
        <v>812</v>
      </c>
      <c r="G305" s="74" t="s">
        <v>15</v>
      </c>
      <c r="H305" s="75">
        <v>162</v>
      </c>
      <c r="I305" s="75">
        <v>299</v>
      </c>
      <c r="J305" s="74"/>
      <c r="K305" s="74" t="s">
        <v>16</v>
      </c>
      <c r="L305" s="74"/>
      <c r="M305" s="74"/>
      <c r="N305" s="71" t="str">
        <f t="shared" si="4"/>
        <v>1</v>
      </c>
      <c r="O305" s="71" t="str">
        <f>INDEX(Кат!$D:$D,MATCH($A305,Кат!$A:$A,0))</f>
        <v>Y</v>
      </c>
    </row>
    <row r="306" spans="1:15" ht="45" x14ac:dyDescent="0.25">
      <c r="A306" s="73">
        <v>167493</v>
      </c>
      <c r="B306" s="73">
        <v>31238</v>
      </c>
      <c r="C306" s="74" t="s">
        <v>813</v>
      </c>
      <c r="D306" s="74" t="s">
        <v>13</v>
      </c>
      <c r="E306" s="74" t="s">
        <v>814</v>
      </c>
      <c r="F306" s="74" t="s">
        <v>814</v>
      </c>
      <c r="G306" s="74" t="s">
        <v>15</v>
      </c>
      <c r="H306" s="75">
        <v>393</v>
      </c>
      <c r="I306" s="75">
        <v>629</v>
      </c>
      <c r="J306" s="74"/>
      <c r="K306" s="74" t="s">
        <v>16</v>
      </c>
      <c r="L306" s="74"/>
      <c r="M306" s="74" t="s">
        <v>13</v>
      </c>
      <c r="N306" s="71" t="str">
        <f t="shared" si="4"/>
        <v>1</v>
      </c>
      <c r="O306" s="71" t="str">
        <f>INDEX(Кат!$D:$D,MATCH($A306,Кат!$A:$A,0))</f>
        <v>Y</v>
      </c>
    </row>
    <row r="307" spans="1:15" ht="60" x14ac:dyDescent="0.25">
      <c r="A307" s="73">
        <v>167494</v>
      </c>
      <c r="B307" s="73">
        <v>32712</v>
      </c>
      <c r="C307" s="74" t="s">
        <v>815</v>
      </c>
      <c r="D307" s="74" t="s">
        <v>13</v>
      </c>
      <c r="E307" s="74" t="s">
        <v>816</v>
      </c>
      <c r="F307" s="74" t="s">
        <v>816</v>
      </c>
      <c r="G307" s="74" t="s">
        <v>15</v>
      </c>
      <c r="H307" s="75">
        <v>48</v>
      </c>
      <c r="I307" s="75">
        <v>99</v>
      </c>
      <c r="J307" s="74"/>
      <c r="K307" s="74" t="s">
        <v>16</v>
      </c>
      <c r="L307" s="74"/>
      <c r="M307" s="74" t="s">
        <v>13</v>
      </c>
      <c r="N307" s="71" t="str">
        <f t="shared" si="4"/>
        <v>1</v>
      </c>
      <c r="O307" s="71" t="str">
        <f>INDEX(Кат!$D:$D,MATCH($A307,Кат!$A:$A,0))</f>
        <v>Y</v>
      </c>
    </row>
    <row r="308" spans="1:15" ht="75" x14ac:dyDescent="0.25">
      <c r="A308" s="73">
        <v>167495</v>
      </c>
      <c r="B308" s="73">
        <v>31460</v>
      </c>
      <c r="C308" s="74" t="s">
        <v>817</v>
      </c>
      <c r="D308" s="74" t="s">
        <v>13</v>
      </c>
      <c r="E308" s="74" t="s">
        <v>818</v>
      </c>
      <c r="F308" s="74" t="s">
        <v>818</v>
      </c>
      <c r="G308" s="74" t="s">
        <v>15</v>
      </c>
      <c r="H308" s="75">
        <v>516</v>
      </c>
      <c r="I308" s="75">
        <v>799</v>
      </c>
      <c r="J308" s="74" t="s">
        <v>819</v>
      </c>
      <c r="K308" s="74" t="s">
        <v>16</v>
      </c>
      <c r="L308" s="74"/>
      <c r="M308" s="74" t="s">
        <v>13</v>
      </c>
      <c r="N308" s="71" t="str">
        <f t="shared" si="4"/>
        <v>1</v>
      </c>
      <c r="O308" s="71" t="str">
        <f>INDEX(Кат!$D:$D,MATCH($A308,Кат!$A:$A,0))</f>
        <v>Y</v>
      </c>
    </row>
    <row r="309" spans="1:15" ht="75" x14ac:dyDescent="0.25">
      <c r="A309" s="73">
        <v>167496</v>
      </c>
      <c r="B309" s="73">
        <v>31461</v>
      </c>
      <c r="C309" s="74" t="s">
        <v>820</v>
      </c>
      <c r="D309" s="74" t="s">
        <v>13</v>
      </c>
      <c r="E309" s="74" t="s">
        <v>821</v>
      </c>
      <c r="F309" s="74" t="s">
        <v>821</v>
      </c>
      <c r="G309" s="74" t="s">
        <v>15</v>
      </c>
      <c r="H309" s="75">
        <v>871</v>
      </c>
      <c r="I309" s="75">
        <v>1390</v>
      </c>
      <c r="J309" s="74" t="s">
        <v>822</v>
      </c>
      <c r="K309" s="74" t="s">
        <v>16</v>
      </c>
      <c r="L309" s="74"/>
      <c r="M309" s="74" t="s">
        <v>13</v>
      </c>
      <c r="N309" s="71" t="str">
        <f t="shared" si="4"/>
        <v>1</v>
      </c>
      <c r="O309" s="71" t="str">
        <f>INDEX(Кат!$D:$D,MATCH($A309,Кат!$A:$A,0))</f>
        <v>Y</v>
      </c>
    </row>
    <row r="310" spans="1:15" ht="45" x14ac:dyDescent="0.25">
      <c r="A310" s="73">
        <v>171177</v>
      </c>
      <c r="B310" s="73">
        <v>31045</v>
      </c>
      <c r="C310" s="74" t="s">
        <v>823</v>
      </c>
      <c r="D310" s="74" t="s">
        <v>13</v>
      </c>
      <c r="E310" s="74" t="s">
        <v>824</v>
      </c>
      <c r="F310" s="74" t="s">
        <v>824</v>
      </c>
      <c r="G310" s="74" t="s">
        <v>15</v>
      </c>
      <c r="H310" s="75">
        <v>3820</v>
      </c>
      <c r="I310" s="75">
        <v>5390</v>
      </c>
      <c r="J310" s="74"/>
      <c r="K310" s="74" t="s">
        <v>16</v>
      </c>
      <c r="L310" s="74"/>
      <c r="M310" s="74" t="s">
        <v>13</v>
      </c>
      <c r="N310" s="71" t="str">
        <f t="shared" si="4"/>
        <v>1</v>
      </c>
      <c r="O310" s="71" t="str">
        <f>INDEX(Кат!$D:$D,MATCH($A310,Кат!$A:$A,0))</f>
        <v>Y</v>
      </c>
    </row>
    <row r="311" spans="1:15" ht="45" x14ac:dyDescent="0.25">
      <c r="A311" s="73">
        <v>171178</v>
      </c>
      <c r="B311" s="73">
        <v>31044</v>
      </c>
      <c r="C311" s="74" t="s">
        <v>825</v>
      </c>
      <c r="D311" s="74" t="s">
        <v>13</v>
      </c>
      <c r="E311" s="74" t="s">
        <v>826</v>
      </c>
      <c r="F311" s="74" t="s">
        <v>826</v>
      </c>
      <c r="G311" s="74" t="s">
        <v>15</v>
      </c>
      <c r="H311" s="75">
        <v>2628</v>
      </c>
      <c r="I311" s="75">
        <v>3690</v>
      </c>
      <c r="J311" s="74"/>
      <c r="K311" s="74" t="s">
        <v>16</v>
      </c>
      <c r="L311" s="74"/>
      <c r="M311" s="74" t="s">
        <v>13</v>
      </c>
      <c r="N311" s="71" t="str">
        <f t="shared" si="4"/>
        <v>1</v>
      </c>
      <c r="O311" s="71" t="str">
        <f>INDEX(Кат!$D:$D,MATCH($A311,Кат!$A:$A,0))</f>
        <v>Y</v>
      </c>
    </row>
    <row r="312" spans="1:15" ht="45" x14ac:dyDescent="0.25">
      <c r="A312" s="73">
        <v>171179</v>
      </c>
      <c r="B312" s="73">
        <v>31086</v>
      </c>
      <c r="C312" s="74" t="s">
        <v>827</v>
      </c>
      <c r="D312" s="74" t="s">
        <v>13</v>
      </c>
      <c r="E312" s="74" t="s">
        <v>828</v>
      </c>
      <c r="F312" s="74" t="s">
        <v>828</v>
      </c>
      <c r="G312" s="74" t="s">
        <v>15</v>
      </c>
      <c r="H312" s="75">
        <v>523</v>
      </c>
      <c r="I312" s="75">
        <v>819</v>
      </c>
      <c r="J312" s="74"/>
      <c r="K312" s="74" t="s">
        <v>16</v>
      </c>
      <c r="L312" s="74"/>
      <c r="M312" s="74" t="s">
        <v>13</v>
      </c>
      <c r="N312" s="71" t="str">
        <f t="shared" si="4"/>
        <v>1</v>
      </c>
      <c r="O312" s="71" t="str">
        <f>INDEX(Кат!$D:$D,MATCH($A312,Кат!$A:$A,0))</f>
        <v>Y</v>
      </c>
    </row>
    <row r="313" spans="1:15" ht="75" x14ac:dyDescent="0.25">
      <c r="A313" s="73">
        <v>171994</v>
      </c>
      <c r="B313" s="73">
        <v>45758</v>
      </c>
      <c r="C313" s="74" t="s">
        <v>829</v>
      </c>
      <c r="D313" s="74" t="s">
        <v>13</v>
      </c>
      <c r="E313" s="74" t="s">
        <v>830</v>
      </c>
      <c r="F313" s="74" t="s">
        <v>831</v>
      </c>
      <c r="G313" s="74" t="s">
        <v>15</v>
      </c>
      <c r="H313" s="75">
        <v>5623</v>
      </c>
      <c r="I313" s="75">
        <v>7590</v>
      </c>
      <c r="J313" s="74" t="s">
        <v>832</v>
      </c>
      <c r="K313" s="74" t="s">
        <v>37</v>
      </c>
      <c r="L313" s="74"/>
      <c r="M313" s="74" t="s">
        <v>13</v>
      </c>
      <c r="N313" s="71" t="str">
        <f t="shared" si="4"/>
        <v>0</v>
      </c>
      <c r="O313" s="71" t="str">
        <f>INDEX(Кат!$D:$D,MATCH($A313,Кат!$A:$A,0))</f>
        <v>Y</v>
      </c>
    </row>
    <row r="314" spans="1:15" ht="75" x14ac:dyDescent="0.25">
      <c r="A314" s="73">
        <v>171995</v>
      </c>
      <c r="B314" s="73">
        <v>31409</v>
      </c>
      <c r="C314" s="74" t="s">
        <v>833</v>
      </c>
      <c r="D314" s="74" t="s">
        <v>13</v>
      </c>
      <c r="E314" s="74" t="s">
        <v>834</v>
      </c>
      <c r="F314" s="74" t="s">
        <v>834</v>
      </c>
      <c r="G314" s="74" t="s">
        <v>15</v>
      </c>
      <c r="H314" s="75">
        <v>2733</v>
      </c>
      <c r="I314" s="75">
        <v>3890</v>
      </c>
      <c r="J314" s="74" t="s">
        <v>835</v>
      </c>
      <c r="K314" s="74" t="s">
        <v>37</v>
      </c>
      <c r="L314" s="74"/>
      <c r="M314" s="74" t="s">
        <v>13</v>
      </c>
      <c r="N314" s="71" t="str">
        <f t="shared" si="4"/>
        <v>0</v>
      </c>
      <c r="O314" s="71" t="str">
        <f>INDEX(Кат!$D:$D,MATCH($A314,Кат!$A:$A,0))</f>
        <v>Y</v>
      </c>
    </row>
    <row r="315" spans="1:15" ht="45" x14ac:dyDescent="0.25">
      <c r="A315" s="73">
        <v>181685</v>
      </c>
      <c r="B315" s="73">
        <v>31385</v>
      </c>
      <c r="C315" s="74" t="s">
        <v>836</v>
      </c>
      <c r="D315" s="74" t="s">
        <v>13</v>
      </c>
      <c r="E315" s="74" t="s">
        <v>837</v>
      </c>
      <c r="F315" s="74" t="s">
        <v>837</v>
      </c>
      <c r="G315" s="74" t="s">
        <v>15</v>
      </c>
      <c r="H315" s="75">
        <v>1142</v>
      </c>
      <c r="I315" s="75">
        <v>1790</v>
      </c>
      <c r="J315" s="74"/>
      <c r="K315" s="74" t="s">
        <v>16</v>
      </c>
      <c r="L315" s="74"/>
      <c r="M315" s="74" t="s">
        <v>13</v>
      </c>
      <c r="N315" s="71" t="str">
        <f t="shared" si="4"/>
        <v>1</v>
      </c>
      <c r="O315" s="71" t="str">
        <f>INDEX(Кат!$D:$D,MATCH($A315,Кат!$A:$A,0))</f>
        <v>Y</v>
      </c>
    </row>
    <row r="316" spans="1:15" ht="45" x14ac:dyDescent="0.25">
      <c r="A316" s="73">
        <v>181686</v>
      </c>
      <c r="B316" s="73">
        <v>31730</v>
      </c>
      <c r="C316" s="74" t="s">
        <v>838</v>
      </c>
      <c r="D316" s="74" t="s">
        <v>13</v>
      </c>
      <c r="E316" s="74" t="s">
        <v>839</v>
      </c>
      <c r="F316" s="74" t="s">
        <v>839</v>
      </c>
      <c r="G316" s="74" t="s">
        <v>15</v>
      </c>
      <c r="H316" s="75">
        <v>1246.25</v>
      </c>
      <c r="I316" s="75">
        <v>1890</v>
      </c>
      <c r="J316" s="74"/>
      <c r="K316" s="74" t="s">
        <v>16</v>
      </c>
      <c r="L316" s="74"/>
      <c r="M316" s="74" t="s">
        <v>13</v>
      </c>
      <c r="N316" s="71" t="str">
        <f t="shared" si="4"/>
        <v>1</v>
      </c>
      <c r="O316" s="71" t="str">
        <f>INDEX(Кат!$D:$D,MATCH($A316,Кат!$A:$A,0))</f>
        <v>Y</v>
      </c>
    </row>
    <row r="317" spans="1:15" ht="45" x14ac:dyDescent="0.25">
      <c r="A317" s="73">
        <v>181687</v>
      </c>
      <c r="B317" s="73">
        <v>31729</v>
      </c>
      <c r="C317" s="74" t="s">
        <v>840</v>
      </c>
      <c r="D317" s="74" t="s">
        <v>13</v>
      </c>
      <c r="E317" s="74" t="s">
        <v>841</v>
      </c>
      <c r="F317" s="74" t="s">
        <v>841</v>
      </c>
      <c r="G317" s="74" t="s">
        <v>15</v>
      </c>
      <c r="H317" s="75">
        <v>1313</v>
      </c>
      <c r="I317" s="75">
        <v>1990</v>
      </c>
      <c r="J317" s="74"/>
      <c r="K317" s="74" t="s">
        <v>37</v>
      </c>
      <c r="L317" s="74"/>
      <c r="M317" s="74" t="s">
        <v>13</v>
      </c>
      <c r="N317" s="71" t="str">
        <f t="shared" si="4"/>
        <v>0</v>
      </c>
      <c r="O317" s="71" t="str">
        <f>INDEX(Кат!$D:$D,MATCH($A317,Кат!$A:$A,0))</f>
        <v>Y</v>
      </c>
    </row>
    <row r="318" spans="1:15" ht="45" x14ac:dyDescent="0.25">
      <c r="A318" s="73">
        <v>181688</v>
      </c>
      <c r="B318" s="73">
        <v>31394</v>
      </c>
      <c r="C318" s="74" t="s">
        <v>842</v>
      </c>
      <c r="D318" s="74" t="s">
        <v>13</v>
      </c>
      <c r="E318" s="74" t="s">
        <v>843</v>
      </c>
      <c r="F318" s="74" t="s">
        <v>843</v>
      </c>
      <c r="G318" s="74" t="s">
        <v>15</v>
      </c>
      <c r="H318" s="75">
        <v>1037</v>
      </c>
      <c r="I318" s="75">
        <v>1590</v>
      </c>
      <c r="J318" s="74"/>
      <c r="K318" s="74" t="s">
        <v>37</v>
      </c>
      <c r="L318" s="74"/>
      <c r="M318" s="74" t="s">
        <v>13</v>
      </c>
      <c r="N318" s="71" t="str">
        <f t="shared" si="4"/>
        <v>0</v>
      </c>
      <c r="O318" s="71" t="str">
        <f>INDEX(Кат!$D:$D,MATCH($A318,Кат!$A:$A,0))</f>
        <v>Y</v>
      </c>
    </row>
    <row r="319" spans="1:15" ht="45" x14ac:dyDescent="0.25">
      <c r="A319" s="73">
        <v>181689</v>
      </c>
      <c r="B319" s="73">
        <v>32633</v>
      </c>
      <c r="C319" s="74" t="s">
        <v>844</v>
      </c>
      <c r="D319" s="74" t="s">
        <v>13</v>
      </c>
      <c r="E319" s="74" t="s">
        <v>845</v>
      </c>
      <c r="F319" s="74" t="s">
        <v>845</v>
      </c>
      <c r="G319" s="74" t="s">
        <v>15</v>
      </c>
      <c r="H319" s="75">
        <v>1296</v>
      </c>
      <c r="I319" s="75">
        <v>1990</v>
      </c>
      <c r="J319" s="74"/>
      <c r="K319" s="74" t="s">
        <v>16</v>
      </c>
      <c r="L319" s="74"/>
      <c r="M319" s="74" t="s">
        <v>13</v>
      </c>
      <c r="N319" s="71" t="str">
        <f t="shared" si="4"/>
        <v>1</v>
      </c>
      <c r="O319" s="71" t="str">
        <f>INDEX(Кат!$D:$D,MATCH($A319,Кат!$A:$A,0))</f>
        <v>Y</v>
      </c>
    </row>
    <row r="320" spans="1:15" ht="75" x14ac:dyDescent="0.25">
      <c r="A320" s="73">
        <v>183900</v>
      </c>
      <c r="B320" s="73">
        <v>17908</v>
      </c>
      <c r="C320" s="74" t="s">
        <v>846</v>
      </c>
      <c r="D320" s="74" t="s">
        <v>13</v>
      </c>
      <c r="E320" s="74" t="s">
        <v>847</v>
      </c>
      <c r="F320" s="74" t="s">
        <v>847</v>
      </c>
      <c r="G320" s="74" t="s">
        <v>15</v>
      </c>
      <c r="H320" s="75">
        <v>4929</v>
      </c>
      <c r="I320" s="75">
        <v>6990</v>
      </c>
      <c r="J320" s="74" t="s">
        <v>848</v>
      </c>
      <c r="K320" s="74" t="s">
        <v>37</v>
      </c>
      <c r="L320" s="74"/>
      <c r="M320" s="74" t="s">
        <v>13</v>
      </c>
      <c r="N320" s="71" t="str">
        <f t="shared" si="4"/>
        <v>0</v>
      </c>
      <c r="O320" s="71" t="str">
        <f>INDEX(Кат!$D:$D,MATCH($A320,Кат!$A:$A,0))</f>
        <v>Y</v>
      </c>
    </row>
    <row r="321" spans="1:15" ht="60" x14ac:dyDescent="0.25">
      <c r="A321" s="73">
        <v>186098</v>
      </c>
      <c r="B321" s="73">
        <v>32650</v>
      </c>
      <c r="C321" s="74" t="s">
        <v>849</v>
      </c>
      <c r="D321" s="74" t="s">
        <v>13</v>
      </c>
      <c r="E321" s="74" t="s">
        <v>850</v>
      </c>
      <c r="F321" s="74" t="s">
        <v>850</v>
      </c>
      <c r="G321" s="74" t="s">
        <v>15</v>
      </c>
      <c r="H321" s="75">
        <v>1500</v>
      </c>
      <c r="I321" s="75">
        <v>2290</v>
      </c>
      <c r="J321" s="74" t="s">
        <v>851</v>
      </c>
      <c r="K321" s="74" t="s">
        <v>16</v>
      </c>
      <c r="L321" s="74"/>
      <c r="M321" s="74" t="s">
        <v>13</v>
      </c>
      <c r="N321" s="71" t="str">
        <f t="shared" si="4"/>
        <v>1</v>
      </c>
      <c r="O321" s="71" t="str">
        <f>INDEX(Кат!$D:$D,MATCH($A321,Кат!$A:$A,0))</f>
        <v>Y</v>
      </c>
    </row>
    <row r="322" spans="1:15" ht="30" x14ac:dyDescent="0.25">
      <c r="A322" s="73">
        <v>186099</v>
      </c>
      <c r="B322" s="73">
        <v>32649</v>
      </c>
      <c r="C322" s="74" t="s">
        <v>852</v>
      </c>
      <c r="D322" s="74" t="s">
        <v>13</v>
      </c>
      <c r="E322" s="74" t="s">
        <v>853</v>
      </c>
      <c r="F322" s="74" t="s">
        <v>853</v>
      </c>
      <c r="G322" s="74" t="s">
        <v>15</v>
      </c>
      <c r="H322" s="75">
        <v>830.78</v>
      </c>
      <c r="I322" s="75">
        <v>1290</v>
      </c>
      <c r="J322" s="74"/>
      <c r="K322" s="74" t="s">
        <v>16</v>
      </c>
      <c r="L322" s="74"/>
      <c r="M322" s="74" t="s">
        <v>13</v>
      </c>
      <c r="N322" s="71" t="str">
        <f t="shared" si="4"/>
        <v>1</v>
      </c>
      <c r="O322" s="71" t="str">
        <f>INDEX(Кат!$D:$D,MATCH($A322,Кат!$A:$A,0))</f>
        <v>Y</v>
      </c>
    </row>
    <row r="323" spans="1:15" ht="75" x14ac:dyDescent="0.25">
      <c r="A323" s="73">
        <v>186100</v>
      </c>
      <c r="B323" s="73">
        <v>31294</v>
      </c>
      <c r="C323" s="74" t="s">
        <v>854</v>
      </c>
      <c r="D323" s="74" t="s">
        <v>13</v>
      </c>
      <c r="E323" s="74" t="s">
        <v>855</v>
      </c>
      <c r="F323" s="74" t="s">
        <v>855</v>
      </c>
      <c r="G323" s="74" t="s">
        <v>15</v>
      </c>
      <c r="H323" s="75">
        <v>3688</v>
      </c>
      <c r="I323" s="75">
        <v>5190</v>
      </c>
      <c r="J323" s="74" t="s">
        <v>856</v>
      </c>
      <c r="K323" s="74" t="s">
        <v>16</v>
      </c>
      <c r="L323" s="74" t="s">
        <v>16</v>
      </c>
      <c r="M323" s="74" t="s">
        <v>13</v>
      </c>
      <c r="N323" s="71" t="str">
        <f t="shared" ref="N323:N386" si="5">_xlfn.CONCAT(K323,IF(L323&lt;&gt;"",_xlfn.CONCAT("ск",L323),""))</f>
        <v>1ск1</v>
      </c>
      <c r="O323" s="71" t="str">
        <f>INDEX(Кат!$D:$D,MATCH($A323,Кат!$A:$A,0))</f>
        <v>Y</v>
      </c>
    </row>
    <row r="324" spans="1:15" ht="75" x14ac:dyDescent="0.25">
      <c r="A324" s="73">
        <v>186101</v>
      </c>
      <c r="B324" s="73">
        <v>31295</v>
      </c>
      <c r="C324" s="74" t="s">
        <v>857</v>
      </c>
      <c r="D324" s="74" t="s">
        <v>13</v>
      </c>
      <c r="E324" s="74" t="s">
        <v>858</v>
      </c>
      <c r="F324" s="74" t="s">
        <v>858</v>
      </c>
      <c r="G324" s="74" t="s">
        <v>15</v>
      </c>
      <c r="H324" s="75">
        <v>1346</v>
      </c>
      <c r="I324" s="75">
        <v>2090</v>
      </c>
      <c r="J324" s="74" t="s">
        <v>859</v>
      </c>
      <c r="K324" s="74" t="s">
        <v>16</v>
      </c>
      <c r="L324" s="74"/>
      <c r="M324" s="74" t="s">
        <v>13</v>
      </c>
      <c r="N324" s="71" t="str">
        <f t="shared" si="5"/>
        <v>1</v>
      </c>
      <c r="O324" s="71" t="str">
        <f>INDEX(Кат!$D:$D,MATCH($A324,Кат!$A:$A,0))</f>
        <v>Y</v>
      </c>
    </row>
    <row r="325" spans="1:15" ht="45" x14ac:dyDescent="0.25">
      <c r="A325" s="73">
        <v>186102</v>
      </c>
      <c r="B325" s="73">
        <v>31482</v>
      </c>
      <c r="C325" s="74" t="s">
        <v>860</v>
      </c>
      <c r="D325" s="74" t="s">
        <v>13</v>
      </c>
      <c r="E325" s="74" t="s">
        <v>861</v>
      </c>
      <c r="F325" s="74" t="s">
        <v>861</v>
      </c>
      <c r="G325" s="74" t="s">
        <v>15</v>
      </c>
      <c r="H325" s="75">
        <v>3234</v>
      </c>
      <c r="I325" s="75">
        <v>4590</v>
      </c>
      <c r="J325" s="74"/>
      <c r="K325" s="74" t="s">
        <v>16</v>
      </c>
      <c r="L325" s="74"/>
      <c r="M325" s="74" t="s">
        <v>13</v>
      </c>
      <c r="N325" s="71" t="str">
        <f t="shared" si="5"/>
        <v>1</v>
      </c>
      <c r="O325" s="71" t="str">
        <f>INDEX(Кат!$D:$D,MATCH($A325,Кат!$A:$A,0))</f>
        <v>Y</v>
      </c>
    </row>
    <row r="326" spans="1:15" ht="45" x14ac:dyDescent="0.25">
      <c r="A326" s="73">
        <v>186138</v>
      </c>
      <c r="B326" s="73">
        <v>45526</v>
      </c>
      <c r="C326" s="74" t="s">
        <v>862</v>
      </c>
      <c r="D326" s="74" t="s">
        <v>13</v>
      </c>
      <c r="E326" s="74" t="s">
        <v>863</v>
      </c>
      <c r="F326" s="74" t="s">
        <v>864</v>
      </c>
      <c r="G326" s="74" t="s">
        <v>15</v>
      </c>
      <c r="H326" s="75">
        <v>1854</v>
      </c>
      <c r="I326" s="75">
        <v>2790</v>
      </c>
      <c r="J326" s="74"/>
      <c r="K326" s="74" t="s">
        <v>16</v>
      </c>
      <c r="L326" s="74"/>
      <c r="M326" s="74" t="s">
        <v>13</v>
      </c>
      <c r="N326" s="71" t="str">
        <f t="shared" si="5"/>
        <v>1</v>
      </c>
      <c r="O326" s="71" t="str">
        <f>INDEX(Кат!$D:$D,MATCH($A326,Кат!$A:$A,0))</f>
        <v>Y</v>
      </c>
    </row>
    <row r="327" spans="1:15" ht="45" x14ac:dyDescent="0.25">
      <c r="A327" s="73">
        <v>186139</v>
      </c>
      <c r="B327" s="73">
        <v>31430</v>
      </c>
      <c r="C327" s="74" t="s">
        <v>865</v>
      </c>
      <c r="D327" s="74" t="s">
        <v>13</v>
      </c>
      <c r="E327" s="74" t="s">
        <v>866</v>
      </c>
      <c r="F327" s="74" t="s">
        <v>866</v>
      </c>
      <c r="G327" s="74" t="s">
        <v>15</v>
      </c>
      <c r="H327" s="75">
        <v>1692</v>
      </c>
      <c r="I327" s="75">
        <v>2590</v>
      </c>
      <c r="J327" s="74"/>
      <c r="K327" s="74" t="s">
        <v>16</v>
      </c>
      <c r="L327" s="74"/>
      <c r="M327" s="74" t="s">
        <v>13</v>
      </c>
      <c r="N327" s="71" t="str">
        <f t="shared" si="5"/>
        <v>1</v>
      </c>
      <c r="O327" s="71" t="str">
        <f>INDEX(Кат!$D:$D,MATCH($A327,Кат!$A:$A,0))</f>
        <v>Y</v>
      </c>
    </row>
    <row r="328" spans="1:15" ht="45" x14ac:dyDescent="0.25">
      <c r="A328" s="73">
        <v>186143</v>
      </c>
      <c r="B328" s="73">
        <v>31276</v>
      </c>
      <c r="C328" s="74" t="s">
        <v>867</v>
      </c>
      <c r="D328" s="74" t="s">
        <v>13</v>
      </c>
      <c r="E328" s="74" t="s">
        <v>868</v>
      </c>
      <c r="F328" s="74" t="s">
        <v>868</v>
      </c>
      <c r="G328" s="74" t="s">
        <v>15</v>
      </c>
      <c r="H328" s="75">
        <v>254</v>
      </c>
      <c r="I328" s="75">
        <v>459</v>
      </c>
      <c r="J328" s="74"/>
      <c r="K328" s="74" t="s">
        <v>16</v>
      </c>
      <c r="L328" s="74"/>
      <c r="M328" s="74" t="s">
        <v>13</v>
      </c>
      <c r="N328" s="71" t="str">
        <f t="shared" si="5"/>
        <v>1</v>
      </c>
      <c r="O328" s="71" t="str">
        <f>INDEX(Кат!$D:$D,MATCH($A328,Кат!$A:$A,0))</f>
        <v>Y</v>
      </c>
    </row>
    <row r="329" spans="1:15" ht="75" x14ac:dyDescent="0.25">
      <c r="A329" s="73">
        <v>186144</v>
      </c>
      <c r="B329" s="73">
        <v>32657</v>
      </c>
      <c r="C329" s="74" t="s">
        <v>869</v>
      </c>
      <c r="D329" s="74" t="s">
        <v>13</v>
      </c>
      <c r="E329" s="74" t="s">
        <v>870</v>
      </c>
      <c r="F329" s="74" t="s">
        <v>870</v>
      </c>
      <c r="G329" s="74" t="s">
        <v>15</v>
      </c>
      <c r="H329" s="75">
        <v>175</v>
      </c>
      <c r="I329" s="75">
        <v>319</v>
      </c>
      <c r="J329" s="74" t="s">
        <v>871</v>
      </c>
      <c r="K329" s="74" t="s">
        <v>16</v>
      </c>
      <c r="L329" s="74"/>
      <c r="M329" s="74" t="s">
        <v>13</v>
      </c>
      <c r="N329" s="71" t="str">
        <f t="shared" si="5"/>
        <v>1</v>
      </c>
      <c r="O329" s="71" t="str">
        <f>INDEX(Кат!$D:$D,MATCH($A329,Кат!$A:$A,0))</f>
        <v>Y</v>
      </c>
    </row>
    <row r="330" spans="1:15" ht="45" x14ac:dyDescent="0.25">
      <c r="A330" s="73">
        <v>186145</v>
      </c>
      <c r="B330" s="73">
        <v>31277</v>
      </c>
      <c r="C330" s="74" t="s">
        <v>872</v>
      </c>
      <c r="D330" s="74" t="s">
        <v>13</v>
      </c>
      <c r="E330" s="74" t="s">
        <v>873</v>
      </c>
      <c r="F330" s="74" t="s">
        <v>873</v>
      </c>
      <c r="G330" s="74" t="s">
        <v>15</v>
      </c>
      <c r="H330" s="75">
        <v>505</v>
      </c>
      <c r="I330" s="75">
        <v>789</v>
      </c>
      <c r="J330" s="74"/>
      <c r="K330" s="74" t="s">
        <v>16</v>
      </c>
      <c r="L330" s="74"/>
      <c r="M330" s="74"/>
      <c r="N330" s="71" t="str">
        <f t="shared" si="5"/>
        <v>1</v>
      </c>
      <c r="O330" s="71" t="str">
        <f>INDEX(Кат!$D:$D,MATCH($A330,Кат!$A:$A,0))</f>
        <v>Y</v>
      </c>
    </row>
    <row r="331" spans="1:15" ht="45" x14ac:dyDescent="0.25">
      <c r="A331" s="73">
        <v>186146</v>
      </c>
      <c r="B331" s="73">
        <v>31013</v>
      </c>
      <c r="C331" s="74" t="s">
        <v>874</v>
      </c>
      <c r="D331" s="74" t="s">
        <v>13</v>
      </c>
      <c r="E331" s="74" t="s">
        <v>875</v>
      </c>
      <c r="F331" s="74" t="s">
        <v>875</v>
      </c>
      <c r="G331" s="74" t="s">
        <v>15</v>
      </c>
      <c r="H331" s="75">
        <v>11061.46</v>
      </c>
      <c r="I331" s="75">
        <v>14390</v>
      </c>
      <c r="J331" s="74"/>
      <c r="K331" s="74" t="s">
        <v>16</v>
      </c>
      <c r="L331" s="74"/>
      <c r="M331" s="74" t="s">
        <v>13</v>
      </c>
      <c r="N331" s="71" t="str">
        <f t="shared" si="5"/>
        <v>1</v>
      </c>
      <c r="O331" s="71" t="str">
        <f>INDEX(Кат!$D:$D,MATCH($A331,Кат!$A:$A,0))</f>
        <v>Y</v>
      </c>
    </row>
    <row r="332" spans="1:15" ht="45" x14ac:dyDescent="0.25">
      <c r="A332" s="73">
        <v>186147</v>
      </c>
      <c r="B332" s="73">
        <v>31014</v>
      </c>
      <c r="C332" s="74" t="s">
        <v>876</v>
      </c>
      <c r="D332" s="74" t="s">
        <v>13</v>
      </c>
      <c r="E332" s="74" t="s">
        <v>877</v>
      </c>
      <c r="F332" s="74" t="s">
        <v>877</v>
      </c>
      <c r="G332" s="74" t="s">
        <v>15</v>
      </c>
      <c r="H332" s="75">
        <v>8378</v>
      </c>
      <c r="I332" s="75">
        <v>11790</v>
      </c>
      <c r="J332" s="74"/>
      <c r="K332" s="74" t="s">
        <v>16</v>
      </c>
      <c r="L332" s="74"/>
      <c r="M332" s="74" t="s">
        <v>13</v>
      </c>
      <c r="N332" s="71" t="str">
        <f t="shared" si="5"/>
        <v>1</v>
      </c>
      <c r="O332" s="71" t="str">
        <f>INDEX(Кат!$D:$D,MATCH($A332,Кат!$A:$A,0))</f>
        <v>Y</v>
      </c>
    </row>
    <row r="333" spans="1:15" ht="75" x14ac:dyDescent="0.25">
      <c r="A333" s="73">
        <v>186148</v>
      </c>
      <c r="B333" s="73">
        <v>46295</v>
      </c>
      <c r="C333" s="74" t="s">
        <v>878</v>
      </c>
      <c r="D333" s="74" t="s">
        <v>13</v>
      </c>
      <c r="E333" s="74" t="s">
        <v>879</v>
      </c>
      <c r="F333" s="74" t="s">
        <v>880</v>
      </c>
      <c r="G333" s="74" t="s">
        <v>15</v>
      </c>
      <c r="H333" s="75">
        <v>6300</v>
      </c>
      <c r="I333" s="75">
        <v>8590</v>
      </c>
      <c r="J333" s="74" t="s">
        <v>881</v>
      </c>
      <c r="K333" s="74" t="s">
        <v>16</v>
      </c>
      <c r="L333" s="74"/>
      <c r="M333" s="74" t="s">
        <v>13</v>
      </c>
      <c r="N333" s="71" t="str">
        <f t="shared" si="5"/>
        <v>1</v>
      </c>
      <c r="O333" s="71" t="str">
        <f>INDEX(Кат!$D:$D,MATCH($A333,Кат!$A:$A,0))</f>
        <v>Y</v>
      </c>
    </row>
    <row r="334" spans="1:15" ht="45" x14ac:dyDescent="0.25">
      <c r="A334" s="73">
        <v>186149</v>
      </c>
      <c r="B334" s="73">
        <v>46170</v>
      </c>
      <c r="C334" s="74" t="s">
        <v>882</v>
      </c>
      <c r="D334" s="74" t="s">
        <v>13</v>
      </c>
      <c r="E334" s="74" t="s">
        <v>883</v>
      </c>
      <c r="F334" s="74" t="s">
        <v>884</v>
      </c>
      <c r="G334" s="74" t="s">
        <v>15</v>
      </c>
      <c r="H334" s="75">
        <v>2855</v>
      </c>
      <c r="I334" s="75">
        <v>3990</v>
      </c>
      <c r="J334" s="74"/>
      <c r="K334" s="74" t="s">
        <v>16</v>
      </c>
      <c r="L334" s="74"/>
      <c r="M334" s="74" t="s">
        <v>13</v>
      </c>
      <c r="N334" s="71" t="str">
        <f t="shared" si="5"/>
        <v>1</v>
      </c>
      <c r="O334" s="71" t="str">
        <f>INDEX(Кат!$D:$D,MATCH($A334,Кат!$A:$A,0))</f>
        <v>Y</v>
      </c>
    </row>
    <row r="335" spans="1:15" ht="60" x14ac:dyDescent="0.25">
      <c r="A335" s="73">
        <v>186150</v>
      </c>
      <c r="B335" s="73">
        <v>50271</v>
      </c>
      <c r="C335" s="74" t="s">
        <v>885</v>
      </c>
      <c r="D335" s="74" t="s">
        <v>13</v>
      </c>
      <c r="E335" s="74" t="s">
        <v>886</v>
      </c>
      <c r="F335" s="74" t="s">
        <v>887</v>
      </c>
      <c r="G335" s="74" t="s">
        <v>15</v>
      </c>
      <c r="H335" s="75">
        <v>5386</v>
      </c>
      <c r="I335" s="75">
        <v>7590</v>
      </c>
      <c r="J335" s="74"/>
      <c r="K335" s="74" t="s">
        <v>16</v>
      </c>
      <c r="L335" s="74"/>
      <c r="M335" s="74" t="s">
        <v>13</v>
      </c>
      <c r="N335" s="71" t="str">
        <f t="shared" si="5"/>
        <v>1</v>
      </c>
      <c r="O335" s="71" t="str">
        <f>INDEX(Кат!$D:$D,MATCH($A335,Кат!$A:$A,0))</f>
        <v>Y</v>
      </c>
    </row>
    <row r="336" spans="1:15" ht="30" x14ac:dyDescent="0.25">
      <c r="A336" s="73">
        <v>186151</v>
      </c>
      <c r="B336" s="73">
        <v>48251</v>
      </c>
      <c r="C336" s="74" t="s">
        <v>888</v>
      </c>
      <c r="D336" s="74" t="s">
        <v>13</v>
      </c>
      <c r="E336" s="74" t="s">
        <v>889</v>
      </c>
      <c r="F336" s="74" t="s">
        <v>890</v>
      </c>
      <c r="G336" s="74" t="s">
        <v>15</v>
      </c>
      <c r="H336" s="75">
        <v>3632</v>
      </c>
      <c r="I336" s="75">
        <v>5090</v>
      </c>
      <c r="J336" s="74"/>
      <c r="K336" s="74" t="s">
        <v>16</v>
      </c>
      <c r="L336" s="74"/>
      <c r="M336" s="74" t="s">
        <v>13</v>
      </c>
      <c r="N336" s="71" t="str">
        <f t="shared" si="5"/>
        <v>1</v>
      </c>
      <c r="O336" s="71" t="str">
        <f>INDEX(Кат!$D:$D,MATCH($A336,Кат!$A:$A,0))</f>
        <v>Y</v>
      </c>
    </row>
    <row r="337" spans="1:15" ht="45" x14ac:dyDescent="0.25">
      <c r="A337" s="73">
        <v>186152</v>
      </c>
      <c r="B337" s="73">
        <v>45888</v>
      </c>
      <c r="C337" s="74" t="s">
        <v>891</v>
      </c>
      <c r="D337" s="74" t="s">
        <v>13</v>
      </c>
      <c r="E337" s="74" t="s">
        <v>892</v>
      </c>
      <c r="F337" s="74" t="s">
        <v>893</v>
      </c>
      <c r="G337" s="74" t="s">
        <v>15</v>
      </c>
      <c r="H337" s="75">
        <v>7850</v>
      </c>
      <c r="I337" s="75">
        <v>10590</v>
      </c>
      <c r="J337" s="74"/>
      <c r="K337" s="74" t="s">
        <v>16</v>
      </c>
      <c r="L337" s="74"/>
      <c r="M337" s="74" t="s">
        <v>13</v>
      </c>
      <c r="N337" s="71" t="str">
        <f t="shared" si="5"/>
        <v>1</v>
      </c>
      <c r="O337" s="71" t="str">
        <f>INDEX(Кат!$D:$D,MATCH($A337,Кат!$A:$A,0))</f>
        <v>Y</v>
      </c>
    </row>
    <row r="338" spans="1:15" ht="45" x14ac:dyDescent="0.25">
      <c r="A338" s="73">
        <v>186140</v>
      </c>
      <c r="B338" s="73">
        <v>32689</v>
      </c>
      <c r="C338" s="74" t="s">
        <v>894</v>
      </c>
      <c r="D338" s="74" t="s">
        <v>13</v>
      </c>
      <c r="E338" s="74" t="s">
        <v>895</v>
      </c>
      <c r="F338" s="74" t="s">
        <v>895</v>
      </c>
      <c r="G338" s="74" t="s">
        <v>15</v>
      </c>
      <c r="H338" s="75">
        <v>2283</v>
      </c>
      <c r="I338" s="75">
        <v>3190</v>
      </c>
      <c r="J338" s="74"/>
      <c r="K338" s="74" t="s">
        <v>16</v>
      </c>
      <c r="L338" s="74"/>
      <c r="M338" s="74" t="s">
        <v>13</v>
      </c>
      <c r="N338" s="71" t="str">
        <f t="shared" si="5"/>
        <v>1</v>
      </c>
      <c r="O338" s="71" t="str">
        <f>INDEX(Кат!$D:$D,MATCH($A338,Кат!$A:$A,0))</f>
        <v>Y</v>
      </c>
    </row>
    <row r="339" spans="1:15" ht="45" x14ac:dyDescent="0.25">
      <c r="A339" s="73">
        <v>186153</v>
      </c>
      <c r="B339" s="73">
        <v>48391</v>
      </c>
      <c r="C339" s="74" t="s">
        <v>896</v>
      </c>
      <c r="D339" s="74" t="s">
        <v>13</v>
      </c>
      <c r="E339" s="74" t="s">
        <v>897</v>
      </c>
      <c r="F339" s="74" t="s">
        <v>898</v>
      </c>
      <c r="G339" s="74" t="s">
        <v>15</v>
      </c>
      <c r="H339" s="75">
        <v>2054</v>
      </c>
      <c r="I339" s="75">
        <v>2890</v>
      </c>
      <c r="J339" s="74"/>
      <c r="K339" s="74" t="s">
        <v>16</v>
      </c>
      <c r="L339" s="74"/>
      <c r="M339" s="74" t="s">
        <v>13</v>
      </c>
      <c r="N339" s="71" t="str">
        <f t="shared" si="5"/>
        <v>1</v>
      </c>
      <c r="O339" s="71" t="str">
        <f>INDEX(Кат!$D:$D,MATCH($A339,Кат!$A:$A,0))</f>
        <v>Y</v>
      </c>
    </row>
    <row r="340" spans="1:15" ht="45" x14ac:dyDescent="0.25">
      <c r="A340" s="73">
        <v>186154</v>
      </c>
      <c r="B340" s="73">
        <v>48389</v>
      </c>
      <c r="C340" s="74" t="s">
        <v>899</v>
      </c>
      <c r="D340" s="74" t="s">
        <v>13</v>
      </c>
      <c r="E340" s="74" t="s">
        <v>900</v>
      </c>
      <c r="F340" s="74" t="s">
        <v>901</v>
      </c>
      <c r="G340" s="74" t="s">
        <v>15</v>
      </c>
      <c r="H340" s="75">
        <v>2054</v>
      </c>
      <c r="I340" s="75">
        <v>2890</v>
      </c>
      <c r="J340" s="74"/>
      <c r="K340" s="74" t="s">
        <v>16</v>
      </c>
      <c r="L340" s="74"/>
      <c r="M340" s="74" t="s">
        <v>13</v>
      </c>
      <c r="N340" s="71" t="str">
        <f t="shared" si="5"/>
        <v>1</v>
      </c>
      <c r="O340" s="71" t="str">
        <f>INDEX(Кат!$D:$D,MATCH($A340,Кат!$A:$A,0))</f>
        <v>Y</v>
      </c>
    </row>
    <row r="341" spans="1:15" ht="45" x14ac:dyDescent="0.25">
      <c r="A341" s="73">
        <v>186155</v>
      </c>
      <c r="B341" s="73">
        <v>45884</v>
      </c>
      <c r="C341" s="74" t="s">
        <v>902</v>
      </c>
      <c r="D341" s="74" t="s">
        <v>13</v>
      </c>
      <c r="E341" s="74" t="s">
        <v>903</v>
      </c>
      <c r="F341" s="74" t="s">
        <v>904</v>
      </c>
      <c r="G341" s="74" t="s">
        <v>15</v>
      </c>
      <c r="H341" s="75">
        <v>6950</v>
      </c>
      <c r="I341" s="75">
        <v>9390</v>
      </c>
      <c r="J341" s="74"/>
      <c r="K341" s="74" t="s">
        <v>16</v>
      </c>
      <c r="L341" s="74"/>
      <c r="M341" s="74" t="s">
        <v>13</v>
      </c>
      <c r="N341" s="71" t="str">
        <f t="shared" si="5"/>
        <v>1</v>
      </c>
      <c r="O341" s="71" t="str">
        <f>INDEX(Кат!$D:$D,MATCH($A341,Кат!$A:$A,0))</f>
        <v>Y</v>
      </c>
    </row>
    <row r="342" spans="1:15" ht="45" x14ac:dyDescent="0.25">
      <c r="A342" s="73">
        <v>186141</v>
      </c>
      <c r="B342" s="73">
        <v>32683</v>
      </c>
      <c r="C342" s="74" t="s">
        <v>905</v>
      </c>
      <c r="D342" s="74" t="s">
        <v>13</v>
      </c>
      <c r="E342" s="74" t="s">
        <v>906</v>
      </c>
      <c r="F342" s="74" t="s">
        <v>906</v>
      </c>
      <c r="G342" s="74" t="s">
        <v>15</v>
      </c>
      <c r="H342" s="75">
        <v>5789</v>
      </c>
      <c r="I342" s="75">
        <v>8190</v>
      </c>
      <c r="J342" s="74"/>
      <c r="K342" s="74" t="s">
        <v>16</v>
      </c>
      <c r="L342" s="74"/>
      <c r="M342" s="74" t="s">
        <v>13</v>
      </c>
      <c r="N342" s="71" t="str">
        <f t="shared" si="5"/>
        <v>1</v>
      </c>
      <c r="O342" s="71" t="str">
        <f>INDEX(Кат!$D:$D,MATCH($A342,Кат!$A:$A,0))</f>
        <v>Y</v>
      </c>
    </row>
    <row r="343" spans="1:15" ht="45" x14ac:dyDescent="0.25">
      <c r="A343" s="73">
        <v>186142</v>
      </c>
      <c r="B343" s="73">
        <v>32682</v>
      </c>
      <c r="C343" s="74" t="s">
        <v>907</v>
      </c>
      <c r="D343" s="74" t="s">
        <v>13</v>
      </c>
      <c r="E343" s="74" t="s">
        <v>908</v>
      </c>
      <c r="F343" s="74" t="s">
        <v>908</v>
      </c>
      <c r="G343" s="74" t="s">
        <v>15</v>
      </c>
      <c r="H343" s="75">
        <v>4351.7299999999996</v>
      </c>
      <c r="I343" s="75">
        <v>6090</v>
      </c>
      <c r="J343" s="74"/>
      <c r="K343" s="74" t="s">
        <v>16</v>
      </c>
      <c r="L343" s="74"/>
      <c r="M343" s="74" t="s">
        <v>13</v>
      </c>
      <c r="N343" s="71" t="str">
        <f t="shared" si="5"/>
        <v>1</v>
      </c>
      <c r="O343" s="71" t="str">
        <f>INDEX(Кат!$D:$D,MATCH($A343,Кат!$A:$A,0))</f>
        <v>Y</v>
      </c>
    </row>
    <row r="344" spans="1:15" ht="75" x14ac:dyDescent="0.25">
      <c r="A344" s="73">
        <v>186156</v>
      </c>
      <c r="B344" s="73">
        <v>31450</v>
      </c>
      <c r="C344" s="74" t="s">
        <v>909</v>
      </c>
      <c r="D344" s="74" t="s">
        <v>13</v>
      </c>
      <c r="E344" s="74" t="s">
        <v>910</v>
      </c>
      <c r="F344" s="74" t="s">
        <v>910</v>
      </c>
      <c r="G344" s="74" t="s">
        <v>15</v>
      </c>
      <c r="H344" s="75">
        <v>3837</v>
      </c>
      <c r="I344" s="75">
        <v>5390</v>
      </c>
      <c r="J344" s="74" t="s">
        <v>911</v>
      </c>
      <c r="K344" s="74" t="s">
        <v>16</v>
      </c>
      <c r="L344" s="74"/>
      <c r="M344" s="74" t="s">
        <v>13</v>
      </c>
      <c r="N344" s="71" t="str">
        <f t="shared" si="5"/>
        <v>1</v>
      </c>
      <c r="O344" s="71" t="str">
        <f>INDEX(Кат!$D:$D,MATCH($A344,Кат!$A:$A,0))</f>
        <v>Y</v>
      </c>
    </row>
    <row r="345" spans="1:15" ht="45" x14ac:dyDescent="0.25">
      <c r="A345" s="73">
        <v>186157</v>
      </c>
      <c r="B345" s="73">
        <v>32696</v>
      </c>
      <c r="C345" s="74" t="s">
        <v>912</v>
      </c>
      <c r="D345" s="74" t="s">
        <v>13</v>
      </c>
      <c r="E345" s="74" t="s">
        <v>913</v>
      </c>
      <c r="F345" s="74" t="s">
        <v>913</v>
      </c>
      <c r="G345" s="74" t="s">
        <v>15</v>
      </c>
      <c r="H345" s="75">
        <v>101</v>
      </c>
      <c r="I345" s="75">
        <v>189</v>
      </c>
      <c r="J345" s="74"/>
      <c r="K345" s="74" t="s">
        <v>16</v>
      </c>
      <c r="L345" s="74"/>
      <c r="M345" s="74" t="s">
        <v>13</v>
      </c>
      <c r="N345" s="71" t="str">
        <f t="shared" si="5"/>
        <v>1</v>
      </c>
      <c r="O345" s="71" t="str">
        <f>INDEX(Кат!$D:$D,MATCH($A345,Кат!$A:$A,0))</f>
        <v>Y</v>
      </c>
    </row>
    <row r="346" spans="1:15" ht="75" x14ac:dyDescent="0.25">
      <c r="A346" s="73">
        <v>186158</v>
      </c>
      <c r="B346" s="73">
        <v>23522</v>
      </c>
      <c r="C346" s="74" t="s">
        <v>914</v>
      </c>
      <c r="D346" s="74" t="s">
        <v>13</v>
      </c>
      <c r="E346" s="74" t="s">
        <v>915</v>
      </c>
      <c r="F346" s="74" t="s">
        <v>915</v>
      </c>
      <c r="G346" s="74" t="s">
        <v>15</v>
      </c>
      <c r="H346" s="75">
        <v>114</v>
      </c>
      <c r="I346" s="75">
        <v>209</v>
      </c>
      <c r="J346" s="74" t="s">
        <v>916</v>
      </c>
      <c r="K346" s="74" t="s">
        <v>16</v>
      </c>
      <c r="L346" s="74"/>
      <c r="M346" s="74" t="s">
        <v>13</v>
      </c>
      <c r="N346" s="71" t="str">
        <f t="shared" si="5"/>
        <v>1</v>
      </c>
      <c r="O346" s="71" t="str">
        <f>INDEX(Кат!$D:$D,MATCH($A346,Кат!$A:$A,0))</f>
        <v>Y</v>
      </c>
    </row>
    <row r="347" spans="1:15" ht="45" x14ac:dyDescent="0.25">
      <c r="A347" s="73">
        <v>186159</v>
      </c>
      <c r="B347" s="73">
        <v>23521</v>
      </c>
      <c r="C347" s="74" t="s">
        <v>917</v>
      </c>
      <c r="D347" s="74" t="s">
        <v>13</v>
      </c>
      <c r="E347" s="74" t="s">
        <v>918</v>
      </c>
      <c r="F347" s="74" t="s">
        <v>918</v>
      </c>
      <c r="G347" s="74" t="s">
        <v>15</v>
      </c>
      <c r="H347" s="75">
        <v>114</v>
      </c>
      <c r="I347" s="75">
        <v>209</v>
      </c>
      <c r="J347" s="74"/>
      <c r="K347" s="74" t="s">
        <v>16</v>
      </c>
      <c r="L347" s="74"/>
      <c r="M347" s="74" t="s">
        <v>13</v>
      </c>
      <c r="N347" s="71" t="str">
        <f t="shared" si="5"/>
        <v>1</v>
      </c>
      <c r="O347" s="71" t="str">
        <f>INDEX(Кат!$D:$D,MATCH($A347,Кат!$A:$A,0))</f>
        <v>Y</v>
      </c>
    </row>
    <row r="348" spans="1:15" ht="45" x14ac:dyDescent="0.25">
      <c r="A348" s="73">
        <v>186160</v>
      </c>
      <c r="B348" s="73">
        <v>50731</v>
      </c>
      <c r="C348" s="74" t="s">
        <v>919</v>
      </c>
      <c r="D348" s="74" t="s">
        <v>13</v>
      </c>
      <c r="E348" s="74" t="s">
        <v>920</v>
      </c>
      <c r="F348" s="74" t="s">
        <v>921</v>
      </c>
      <c r="G348" s="74" t="s">
        <v>15</v>
      </c>
      <c r="H348" s="75">
        <v>18446</v>
      </c>
      <c r="I348" s="75">
        <v>25890</v>
      </c>
      <c r="J348" s="74"/>
      <c r="K348" s="74" t="s">
        <v>16</v>
      </c>
      <c r="L348" s="74"/>
      <c r="M348" s="74" t="s">
        <v>13</v>
      </c>
      <c r="N348" s="71" t="str">
        <f t="shared" si="5"/>
        <v>1</v>
      </c>
      <c r="O348" s="71" t="str">
        <f>INDEX(Кат!$D:$D,MATCH($A348,Кат!$A:$A,0))</f>
        <v>Y</v>
      </c>
    </row>
    <row r="349" spans="1:15" ht="45" x14ac:dyDescent="0.25">
      <c r="A349" s="73">
        <v>186161</v>
      </c>
      <c r="B349" s="73">
        <v>32764</v>
      </c>
      <c r="C349" s="74" t="s">
        <v>922</v>
      </c>
      <c r="D349" s="74" t="s">
        <v>13</v>
      </c>
      <c r="E349" s="74" t="s">
        <v>923</v>
      </c>
      <c r="F349" s="74" t="s">
        <v>923</v>
      </c>
      <c r="G349" s="74" t="s">
        <v>15</v>
      </c>
      <c r="H349" s="75">
        <v>15080</v>
      </c>
      <c r="I349" s="75">
        <v>19690</v>
      </c>
      <c r="J349" s="74"/>
      <c r="K349" s="74" t="s">
        <v>16</v>
      </c>
      <c r="L349" s="74"/>
      <c r="M349" s="74" t="s">
        <v>13</v>
      </c>
      <c r="N349" s="71" t="str">
        <f t="shared" si="5"/>
        <v>1</v>
      </c>
      <c r="O349" s="71" t="str">
        <f>INDEX(Кат!$D:$D,MATCH($A349,Кат!$A:$A,0))</f>
        <v>Y</v>
      </c>
    </row>
    <row r="350" spans="1:15" ht="75" x14ac:dyDescent="0.25">
      <c r="A350" s="73">
        <v>186162</v>
      </c>
      <c r="B350" s="73">
        <v>32664</v>
      </c>
      <c r="C350" s="74" t="s">
        <v>924</v>
      </c>
      <c r="D350" s="74" t="s">
        <v>13</v>
      </c>
      <c r="E350" s="74" t="s">
        <v>925</v>
      </c>
      <c r="F350" s="74" t="s">
        <v>925</v>
      </c>
      <c r="G350" s="74" t="s">
        <v>15</v>
      </c>
      <c r="H350" s="75">
        <v>5596</v>
      </c>
      <c r="I350" s="75">
        <v>7890</v>
      </c>
      <c r="J350" s="74" t="s">
        <v>926</v>
      </c>
      <c r="K350" s="74" t="s">
        <v>16</v>
      </c>
      <c r="L350" s="74"/>
      <c r="M350" s="74" t="s">
        <v>13</v>
      </c>
      <c r="N350" s="71" t="str">
        <f t="shared" si="5"/>
        <v>1</v>
      </c>
      <c r="O350" s="71" t="str">
        <f>INDEX(Кат!$D:$D,MATCH($A350,Кат!$A:$A,0))</f>
        <v>Y</v>
      </c>
    </row>
    <row r="351" spans="1:15" ht="45" x14ac:dyDescent="0.25">
      <c r="A351" s="73">
        <v>268424</v>
      </c>
      <c r="B351" s="73">
        <v>220335</v>
      </c>
      <c r="C351" s="74" t="s">
        <v>927</v>
      </c>
      <c r="D351" s="74" t="s">
        <v>13</v>
      </c>
      <c r="E351" s="74" t="s">
        <v>928</v>
      </c>
      <c r="F351" s="74" t="s">
        <v>928</v>
      </c>
      <c r="G351" s="74" t="s">
        <v>15</v>
      </c>
      <c r="H351" s="75">
        <v>6012</v>
      </c>
      <c r="I351" s="75">
        <v>8190</v>
      </c>
      <c r="J351" s="74"/>
      <c r="K351" s="74" t="s">
        <v>16</v>
      </c>
      <c r="L351" s="74"/>
      <c r="M351" s="74" t="s">
        <v>13</v>
      </c>
      <c r="N351" s="71" t="str">
        <f t="shared" si="5"/>
        <v>1</v>
      </c>
      <c r="O351" s="71" t="str">
        <f>INDEX(Кат!$D:$D,MATCH($A351,Кат!$A:$A,0))</f>
        <v>Y</v>
      </c>
    </row>
    <row r="352" spans="1:15" ht="45" x14ac:dyDescent="0.25">
      <c r="A352" s="73">
        <v>186163</v>
      </c>
      <c r="B352" s="73">
        <v>32701</v>
      </c>
      <c r="C352" s="74" t="s">
        <v>929</v>
      </c>
      <c r="D352" s="74" t="s">
        <v>13</v>
      </c>
      <c r="E352" s="74" t="s">
        <v>930</v>
      </c>
      <c r="F352" s="74" t="s">
        <v>930</v>
      </c>
      <c r="G352" s="74" t="s">
        <v>15</v>
      </c>
      <c r="H352" s="75">
        <v>4735</v>
      </c>
      <c r="I352" s="75">
        <v>6690</v>
      </c>
      <c r="J352" s="74"/>
      <c r="K352" s="74" t="s">
        <v>16</v>
      </c>
      <c r="L352" s="74"/>
      <c r="M352" s="74" t="s">
        <v>13</v>
      </c>
      <c r="N352" s="71" t="str">
        <f t="shared" si="5"/>
        <v>1</v>
      </c>
      <c r="O352" s="71" t="str">
        <f>INDEX(Кат!$D:$D,MATCH($A352,Кат!$A:$A,0))</f>
        <v>Y</v>
      </c>
    </row>
    <row r="353" spans="1:15" ht="45" x14ac:dyDescent="0.25">
      <c r="A353" s="73">
        <v>186164</v>
      </c>
      <c r="B353" s="73">
        <v>32695</v>
      </c>
      <c r="C353" s="74" t="s">
        <v>931</v>
      </c>
      <c r="D353" s="74" t="s">
        <v>13</v>
      </c>
      <c r="E353" s="74" t="s">
        <v>932</v>
      </c>
      <c r="F353" s="74" t="s">
        <v>932</v>
      </c>
      <c r="G353" s="74" t="s">
        <v>15</v>
      </c>
      <c r="H353" s="75">
        <v>265</v>
      </c>
      <c r="I353" s="75">
        <v>479</v>
      </c>
      <c r="J353" s="74"/>
      <c r="K353" s="74" t="s">
        <v>16</v>
      </c>
      <c r="L353" s="74"/>
      <c r="M353" s="74" t="s">
        <v>13</v>
      </c>
      <c r="N353" s="71" t="str">
        <f t="shared" si="5"/>
        <v>1</v>
      </c>
      <c r="O353" s="71" t="str">
        <f>INDEX(Кат!$D:$D,MATCH($A353,Кат!$A:$A,0))</f>
        <v>Y</v>
      </c>
    </row>
    <row r="354" spans="1:15" ht="45" x14ac:dyDescent="0.25">
      <c r="A354" s="73">
        <v>186165</v>
      </c>
      <c r="B354" s="73">
        <v>31043</v>
      </c>
      <c r="C354" s="74" t="s">
        <v>933</v>
      </c>
      <c r="D354" s="74" t="s">
        <v>13</v>
      </c>
      <c r="E354" s="74" t="s">
        <v>934</v>
      </c>
      <c r="F354" s="74" t="s">
        <v>934</v>
      </c>
      <c r="G354" s="74" t="s">
        <v>15</v>
      </c>
      <c r="H354" s="75">
        <v>19652</v>
      </c>
      <c r="I354" s="75">
        <v>27590</v>
      </c>
      <c r="J354" s="74"/>
      <c r="K354" s="74" t="s">
        <v>16</v>
      </c>
      <c r="L354" s="74"/>
      <c r="M354" s="74" t="s">
        <v>13</v>
      </c>
      <c r="N354" s="71" t="str">
        <f t="shared" si="5"/>
        <v>1</v>
      </c>
      <c r="O354" s="71" t="str">
        <f>INDEX(Кат!$D:$D,MATCH($A354,Кат!$A:$A,0))</f>
        <v>Y</v>
      </c>
    </row>
    <row r="355" spans="1:15" ht="45" x14ac:dyDescent="0.25">
      <c r="A355" s="73">
        <v>186166</v>
      </c>
      <c r="B355" s="73">
        <v>31046</v>
      </c>
      <c r="C355" s="74" t="s">
        <v>935</v>
      </c>
      <c r="D355" s="74" t="s">
        <v>13</v>
      </c>
      <c r="E355" s="74" t="s">
        <v>936</v>
      </c>
      <c r="F355" s="74" t="s">
        <v>936</v>
      </c>
      <c r="G355" s="74" t="s">
        <v>15</v>
      </c>
      <c r="H355" s="75">
        <v>1653</v>
      </c>
      <c r="I355" s="75">
        <v>2490</v>
      </c>
      <c r="J355" s="74" t="s">
        <v>937</v>
      </c>
      <c r="K355" s="74" t="s">
        <v>16</v>
      </c>
      <c r="L355" s="74"/>
      <c r="M355" s="74" t="s">
        <v>13</v>
      </c>
      <c r="N355" s="71" t="str">
        <f t="shared" si="5"/>
        <v>1</v>
      </c>
      <c r="O355" s="71" t="str">
        <f>INDEX(Кат!$D:$D,MATCH($A355,Кат!$A:$A,0))</f>
        <v>Y</v>
      </c>
    </row>
    <row r="356" spans="1:15" ht="45" x14ac:dyDescent="0.25">
      <c r="A356" s="73">
        <v>186167</v>
      </c>
      <c r="B356" s="73">
        <v>31008</v>
      </c>
      <c r="C356" s="74" t="s">
        <v>938</v>
      </c>
      <c r="D356" s="74" t="s">
        <v>13</v>
      </c>
      <c r="E356" s="74" t="s">
        <v>939</v>
      </c>
      <c r="F356" s="74" t="s">
        <v>939</v>
      </c>
      <c r="G356" s="74" t="s">
        <v>15</v>
      </c>
      <c r="H356" s="75">
        <v>15279</v>
      </c>
      <c r="I356" s="75">
        <v>21390</v>
      </c>
      <c r="J356" s="74"/>
      <c r="K356" s="74" t="s">
        <v>16</v>
      </c>
      <c r="L356" s="74"/>
      <c r="M356" s="74" t="s">
        <v>13</v>
      </c>
      <c r="N356" s="71" t="str">
        <f t="shared" si="5"/>
        <v>1</v>
      </c>
      <c r="O356" s="71" t="str">
        <f>INDEX(Кат!$D:$D,MATCH($A356,Кат!$A:$A,0))</f>
        <v>Y</v>
      </c>
    </row>
    <row r="357" spans="1:15" ht="45" x14ac:dyDescent="0.25">
      <c r="A357" s="73">
        <v>186168</v>
      </c>
      <c r="B357" s="73">
        <v>32711</v>
      </c>
      <c r="C357" s="74" t="s">
        <v>940</v>
      </c>
      <c r="D357" s="74" t="s">
        <v>13</v>
      </c>
      <c r="E357" s="74" t="s">
        <v>941</v>
      </c>
      <c r="F357" s="74" t="s">
        <v>941</v>
      </c>
      <c r="G357" s="74" t="s">
        <v>15</v>
      </c>
      <c r="H357" s="75">
        <v>5638</v>
      </c>
      <c r="I357" s="75">
        <v>7890</v>
      </c>
      <c r="J357" s="74"/>
      <c r="K357" s="74" t="s">
        <v>16</v>
      </c>
      <c r="L357" s="74"/>
      <c r="M357" s="74" t="s">
        <v>13</v>
      </c>
      <c r="N357" s="71" t="str">
        <f t="shared" si="5"/>
        <v>1</v>
      </c>
      <c r="O357" s="71" t="str">
        <f>INDEX(Кат!$D:$D,MATCH($A357,Кат!$A:$A,0))</f>
        <v>Y</v>
      </c>
    </row>
    <row r="358" spans="1:15" ht="45" x14ac:dyDescent="0.25">
      <c r="A358" s="73">
        <v>186169</v>
      </c>
      <c r="B358" s="73">
        <v>31009</v>
      </c>
      <c r="C358" s="74" t="s">
        <v>942</v>
      </c>
      <c r="D358" s="74" t="s">
        <v>13</v>
      </c>
      <c r="E358" s="74" t="s">
        <v>943</v>
      </c>
      <c r="F358" s="74" t="s">
        <v>943</v>
      </c>
      <c r="G358" s="74" t="s">
        <v>15</v>
      </c>
      <c r="H358" s="75">
        <v>13264</v>
      </c>
      <c r="I358" s="75">
        <v>18590</v>
      </c>
      <c r="J358" s="74"/>
      <c r="K358" s="74" t="s">
        <v>16</v>
      </c>
      <c r="L358" s="74"/>
      <c r="M358" s="74" t="s">
        <v>13</v>
      </c>
      <c r="N358" s="71" t="str">
        <f t="shared" si="5"/>
        <v>1</v>
      </c>
      <c r="O358" s="71" t="str">
        <f>INDEX(Кат!$D:$D,MATCH($A358,Кат!$A:$A,0))</f>
        <v>Y</v>
      </c>
    </row>
    <row r="359" spans="1:15" ht="75" x14ac:dyDescent="0.25">
      <c r="A359" s="73">
        <v>186170</v>
      </c>
      <c r="B359" s="73">
        <v>31186</v>
      </c>
      <c r="C359" s="74" t="s">
        <v>944</v>
      </c>
      <c r="D359" s="74" t="s">
        <v>13</v>
      </c>
      <c r="E359" s="74" t="s">
        <v>945</v>
      </c>
      <c r="F359" s="74" t="s">
        <v>945</v>
      </c>
      <c r="G359" s="74" t="s">
        <v>15</v>
      </c>
      <c r="H359" s="75">
        <v>13003</v>
      </c>
      <c r="I359" s="75">
        <v>18290</v>
      </c>
      <c r="J359" s="74" t="s">
        <v>946</v>
      </c>
      <c r="K359" s="74" t="s">
        <v>16</v>
      </c>
      <c r="L359" s="74"/>
      <c r="M359" s="74" t="s">
        <v>13</v>
      </c>
      <c r="N359" s="71" t="str">
        <f t="shared" si="5"/>
        <v>1</v>
      </c>
      <c r="O359" s="71" t="str">
        <f>INDEX(Кат!$D:$D,MATCH($A359,Кат!$A:$A,0))</f>
        <v>Y</v>
      </c>
    </row>
    <row r="360" spans="1:15" ht="60" x14ac:dyDescent="0.25">
      <c r="A360" s="73">
        <v>186171</v>
      </c>
      <c r="B360" s="73">
        <v>31225</v>
      </c>
      <c r="C360" s="74" t="s">
        <v>947</v>
      </c>
      <c r="D360" s="74" t="s">
        <v>13</v>
      </c>
      <c r="E360" s="74" t="s">
        <v>948</v>
      </c>
      <c r="F360" s="74" t="s">
        <v>948</v>
      </c>
      <c r="G360" s="74" t="s">
        <v>15</v>
      </c>
      <c r="H360" s="75">
        <v>299</v>
      </c>
      <c r="I360" s="75">
        <v>539</v>
      </c>
      <c r="J360" s="74"/>
      <c r="K360" s="74" t="s">
        <v>16</v>
      </c>
      <c r="L360" s="74"/>
      <c r="M360" s="74" t="s">
        <v>13</v>
      </c>
      <c r="N360" s="71" t="str">
        <f t="shared" si="5"/>
        <v>1</v>
      </c>
      <c r="O360" s="71" t="str">
        <f>INDEX(Кат!$D:$D,MATCH($A360,Кат!$A:$A,0))</f>
        <v>Y</v>
      </c>
    </row>
    <row r="361" spans="1:15" ht="60" x14ac:dyDescent="0.25">
      <c r="A361" s="73">
        <v>186172</v>
      </c>
      <c r="B361" s="73">
        <v>31226</v>
      </c>
      <c r="C361" s="74" t="s">
        <v>949</v>
      </c>
      <c r="D361" s="74" t="s">
        <v>13</v>
      </c>
      <c r="E361" s="74" t="s">
        <v>950</v>
      </c>
      <c r="F361" s="74" t="s">
        <v>950</v>
      </c>
      <c r="G361" s="74" t="s">
        <v>15</v>
      </c>
      <c r="H361" s="75">
        <v>569</v>
      </c>
      <c r="I361" s="75">
        <v>889</v>
      </c>
      <c r="J361" s="74"/>
      <c r="K361" s="74" t="s">
        <v>16</v>
      </c>
      <c r="L361" s="74"/>
      <c r="M361" s="74" t="s">
        <v>13</v>
      </c>
      <c r="N361" s="71" t="str">
        <f t="shared" si="5"/>
        <v>1</v>
      </c>
      <c r="O361" s="71" t="str">
        <f>INDEX(Кат!$D:$D,MATCH($A361,Кат!$A:$A,0))</f>
        <v>Y</v>
      </c>
    </row>
    <row r="362" spans="1:15" ht="60" x14ac:dyDescent="0.25">
      <c r="A362" s="73">
        <v>186173</v>
      </c>
      <c r="B362" s="73">
        <v>45523</v>
      </c>
      <c r="C362" s="74" t="s">
        <v>951</v>
      </c>
      <c r="D362" s="74" t="s">
        <v>13</v>
      </c>
      <c r="E362" s="74" t="s">
        <v>952</v>
      </c>
      <c r="F362" s="74" t="s">
        <v>953</v>
      </c>
      <c r="G362" s="74" t="s">
        <v>15</v>
      </c>
      <c r="H362" s="75">
        <v>8659</v>
      </c>
      <c r="I362" s="75">
        <v>12190</v>
      </c>
      <c r="J362" s="74"/>
      <c r="K362" s="74" t="s">
        <v>16</v>
      </c>
      <c r="L362" s="74"/>
      <c r="M362" s="74" t="s">
        <v>13</v>
      </c>
      <c r="N362" s="71" t="str">
        <f t="shared" si="5"/>
        <v>1</v>
      </c>
      <c r="O362" s="71" t="str">
        <f>INDEX(Кат!$D:$D,MATCH($A362,Кат!$A:$A,0))</f>
        <v>Y</v>
      </c>
    </row>
    <row r="363" spans="1:15" ht="75" x14ac:dyDescent="0.25">
      <c r="A363" s="73">
        <v>186174</v>
      </c>
      <c r="B363" s="73">
        <v>32733</v>
      </c>
      <c r="C363" s="74" t="s">
        <v>954</v>
      </c>
      <c r="D363" s="74" t="s">
        <v>13</v>
      </c>
      <c r="E363" s="74" t="s">
        <v>955</v>
      </c>
      <c r="F363" s="74" t="s">
        <v>955</v>
      </c>
      <c r="G363" s="74" t="s">
        <v>15</v>
      </c>
      <c r="H363" s="75">
        <v>19454</v>
      </c>
      <c r="I363" s="75">
        <v>25290</v>
      </c>
      <c r="J363" s="74" t="s">
        <v>956</v>
      </c>
      <c r="K363" s="74" t="s">
        <v>16</v>
      </c>
      <c r="L363" s="74"/>
      <c r="M363" s="74" t="s">
        <v>13</v>
      </c>
      <c r="N363" s="71" t="str">
        <f t="shared" si="5"/>
        <v>1</v>
      </c>
      <c r="O363" s="71" t="str">
        <f>INDEX(Кат!$D:$D,MATCH($A363,Кат!$A:$A,0))</f>
        <v>Y</v>
      </c>
    </row>
    <row r="364" spans="1:15" ht="45" x14ac:dyDescent="0.25">
      <c r="A364" s="73">
        <v>186175</v>
      </c>
      <c r="B364" s="73">
        <v>32734</v>
      </c>
      <c r="C364" s="74" t="s">
        <v>957</v>
      </c>
      <c r="D364" s="74" t="s">
        <v>13</v>
      </c>
      <c r="E364" s="74" t="s">
        <v>958</v>
      </c>
      <c r="F364" s="74" t="s">
        <v>958</v>
      </c>
      <c r="G364" s="74" t="s">
        <v>15</v>
      </c>
      <c r="H364" s="75">
        <v>11424</v>
      </c>
      <c r="I364" s="75">
        <v>14890</v>
      </c>
      <c r="J364" s="74"/>
      <c r="K364" s="74" t="s">
        <v>37</v>
      </c>
      <c r="L364" s="74"/>
      <c r="M364" s="74" t="s">
        <v>13</v>
      </c>
      <c r="N364" s="71" t="str">
        <f t="shared" si="5"/>
        <v>0</v>
      </c>
      <c r="O364" s="71" t="str">
        <f>INDEX(Кат!$D:$D,MATCH($A364,Кат!$A:$A,0))</f>
        <v>Y</v>
      </c>
    </row>
    <row r="365" spans="1:15" ht="75" x14ac:dyDescent="0.25">
      <c r="A365" s="73">
        <v>186176</v>
      </c>
      <c r="B365" s="73">
        <v>32732</v>
      </c>
      <c r="C365" s="74" t="s">
        <v>959</v>
      </c>
      <c r="D365" s="74" t="s">
        <v>13</v>
      </c>
      <c r="E365" s="74" t="s">
        <v>960</v>
      </c>
      <c r="F365" s="74" t="s">
        <v>960</v>
      </c>
      <c r="G365" s="74" t="s">
        <v>15</v>
      </c>
      <c r="H365" s="75">
        <v>11232</v>
      </c>
      <c r="I365" s="75">
        <v>14690</v>
      </c>
      <c r="J365" s="74" t="s">
        <v>961</v>
      </c>
      <c r="K365" s="74" t="s">
        <v>16</v>
      </c>
      <c r="L365" s="74"/>
      <c r="M365" s="74" t="s">
        <v>13</v>
      </c>
      <c r="N365" s="71" t="str">
        <f t="shared" si="5"/>
        <v>1</v>
      </c>
      <c r="O365" s="71" t="str">
        <f>INDEX(Кат!$D:$D,MATCH($A365,Кат!$A:$A,0))</f>
        <v>Y</v>
      </c>
    </row>
    <row r="366" spans="1:15" ht="75" x14ac:dyDescent="0.25">
      <c r="A366" s="73">
        <v>186177</v>
      </c>
      <c r="B366" s="73">
        <v>45507</v>
      </c>
      <c r="C366" s="74" t="s">
        <v>962</v>
      </c>
      <c r="D366" s="74" t="s">
        <v>13</v>
      </c>
      <c r="E366" s="74" t="s">
        <v>963</v>
      </c>
      <c r="F366" s="74" t="s">
        <v>964</v>
      </c>
      <c r="G366" s="74" t="s">
        <v>15</v>
      </c>
      <c r="H366" s="75">
        <v>7400</v>
      </c>
      <c r="I366" s="75">
        <v>10390</v>
      </c>
      <c r="J366" s="74" t="s">
        <v>965</v>
      </c>
      <c r="K366" s="74" t="s">
        <v>16</v>
      </c>
      <c r="L366" s="74"/>
      <c r="M366" s="74"/>
      <c r="N366" s="71" t="str">
        <f t="shared" si="5"/>
        <v>1</v>
      </c>
      <c r="O366" s="71" t="str">
        <f>INDEX(Кат!$D:$D,MATCH($A366,Кат!$A:$A,0))</f>
        <v>Y</v>
      </c>
    </row>
    <row r="367" spans="1:15" ht="75" x14ac:dyDescent="0.25">
      <c r="A367" s="73">
        <v>186178</v>
      </c>
      <c r="B367" s="73">
        <v>32730</v>
      </c>
      <c r="C367" s="74" t="s">
        <v>966</v>
      </c>
      <c r="D367" s="74" t="s">
        <v>13</v>
      </c>
      <c r="E367" s="74" t="s">
        <v>967</v>
      </c>
      <c r="F367" s="74" t="s">
        <v>967</v>
      </c>
      <c r="G367" s="74" t="s">
        <v>15</v>
      </c>
      <c r="H367" s="75">
        <v>27065</v>
      </c>
      <c r="I367" s="75">
        <v>35190</v>
      </c>
      <c r="J367" s="74" t="s">
        <v>968</v>
      </c>
      <c r="K367" s="74" t="s">
        <v>16</v>
      </c>
      <c r="L367" s="74"/>
      <c r="M367" s="74" t="s">
        <v>13</v>
      </c>
      <c r="N367" s="71" t="str">
        <f t="shared" si="5"/>
        <v>1</v>
      </c>
      <c r="O367" s="71" t="str">
        <f>INDEX(Кат!$D:$D,MATCH($A367,Кат!$A:$A,0))</f>
        <v>Y</v>
      </c>
    </row>
    <row r="368" spans="1:15" ht="75" x14ac:dyDescent="0.25">
      <c r="A368" s="73">
        <v>186179</v>
      </c>
      <c r="B368" s="73">
        <v>32738</v>
      </c>
      <c r="C368" s="74" t="s">
        <v>969</v>
      </c>
      <c r="D368" s="74" t="s">
        <v>13</v>
      </c>
      <c r="E368" s="74" t="s">
        <v>970</v>
      </c>
      <c r="F368" s="74" t="s">
        <v>970</v>
      </c>
      <c r="G368" s="74" t="s">
        <v>15</v>
      </c>
      <c r="H368" s="75">
        <v>36567</v>
      </c>
      <c r="I368" s="75">
        <v>51190</v>
      </c>
      <c r="J368" s="74"/>
      <c r="K368" s="74" t="s">
        <v>16</v>
      </c>
      <c r="L368" s="74"/>
      <c r="M368" s="74" t="s">
        <v>13</v>
      </c>
      <c r="N368" s="71" t="str">
        <f t="shared" si="5"/>
        <v>1</v>
      </c>
      <c r="O368" s="71" t="str">
        <f>INDEX(Кат!$D:$D,MATCH($A368,Кат!$A:$A,0))</f>
        <v>Y</v>
      </c>
    </row>
    <row r="369" spans="1:15" ht="60" x14ac:dyDescent="0.25">
      <c r="A369" s="73">
        <v>186180</v>
      </c>
      <c r="B369" s="73">
        <v>32746</v>
      </c>
      <c r="C369" s="74" t="s">
        <v>971</v>
      </c>
      <c r="D369" s="74" t="s">
        <v>13</v>
      </c>
      <c r="E369" s="74" t="s">
        <v>972</v>
      </c>
      <c r="F369" s="74" t="s">
        <v>972</v>
      </c>
      <c r="G369" s="74" t="s">
        <v>15</v>
      </c>
      <c r="H369" s="75">
        <v>17808</v>
      </c>
      <c r="I369" s="75">
        <v>24990</v>
      </c>
      <c r="J369" s="74" t="s">
        <v>973</v>
      </c>
      <c r="K369" s="74" t="s">
        <v>16</v>
      </c>
      <c r="L369" s="74"/>
      <c r="M369" s="74" t="s">
        <v>13</v>
      </c>
      <c r="N369" s="71" t="str">
        <f t="shared" si="5"/>
        <v>1</v>
      </c>
      <c r="O369" s="71" t="str">
        <f>INDEX(Кат!$D:$D,MATCH($A369,Кат!$A:$A,0))</f>
        <v>Y</v>
      </c>
    </row>
    <row r="370" spans="1:15" ht="60" x14ac:dyDescent="0.25">
      <c r="A370" s="73">
        <v>186181</v>
      </c>
      <c r="B370" s="73">
        <v>32745</v>
      </c>
      <c r="C370" s="74" t="s">
        <v>974</v>
      </c>
      <c r="D370" s="74" t="s">
        <v>13</v>
      </c>
      <c r="E370" s="74" t="s">
        <v>975</v>
      </c>
      <c r="F370" s="74" t="s">
        <v>975</v>
      </c>
      <c r="G370" s="74" t="s">
        <v>15</v>
      </c>
      <c r="H370" s="75">
        <v>17663</v>
      </c>
      <c r="I370" s="75">
        <v>22990</v>
      </c>
      <c r="J370" s="74" t="s">
        <v>976</v>
      </c>
      <c r="K370" s="74" t="s">
        <v>16</v>
      </c>
      <c r="L370" s="74"/>
      <c r="M370" s="74" t="s">
        <v>13</v>
      </c>
      <c r="N370" s="71" t="str">
        <f t="shared" si="5"/>
        <v>1</v>
      </c>
      <c r="O370" s="71" t="str">
        <f>INDEX(Кат!$D:$D,MATCH($A370,Кат!$A:$A,0))</f>
        <v>Y</v>
      </c>
    </row>
    <row r="371" spans="1:15" ht="30" x14ac:dyDescent="0.25">
      <c r="A371" s="73">
        <v>186182</v>
      </c>
      <c r="B371" s="73">
        <v>31389</v>
      </c>
      <c r="C371" s="74" t="s">
        <v>977</v>
      </c>
      <c r="D371" s="74" t="s">
        <v>13</v>
      </c>
      <c r="E371" s="74" t="s">
        <v>978</v>
      </c>
      <c r="F371" s="74" t="s">
        <v>978</v>
      </c>
      <c r="G371" s="74" t="s">
        <v>15</v>
      </c>
      <c r="H371" s="75">
        <v>709</v>
      </c>
      <c r="I371" s="75">
        <v>1090</v>
      </c>
      <c r="J371" s="74"/>
      <c r="K371" s="74" t="s">
        <v>16</v>
      </c>
      <c r="L371" s="74"/>
      <c r="M371" s="74" t="s">
        <v>13</v>
      </c>
      <c r="N371" s="71" t="str">
        <f t="shared" si="5"/>
        <v>1</v>
      </c>
      <c r="O371" s="71" t="str">
        <f>INDEX(Кат!$D:$D,MATCH($A371,Кат!$A:$A,0))</f>
        <v>Y</v>
      </c>
    </row>
    <row r="372" spans="1:15" ht="75" x14ac:dyDescent="0.25">
      <c r="A372" s="73">
        <v>186183</v>
      </c>
      <c r="B372" s="73">
        <v>32781</v>
      </c>
      <c r="C372" s="74" t="s">
        <v>979</v>
      </c>
      <c r="D372" s="74" t="s">
        <v>13</v>
      </c>
      <c r="E372" s="74" t="s">
        <v>980</v>
      </c>
      <c r="F372" s="74" t="s">
        <v>980</v>
      </c>
      <c r="G372" s="74" t="s">
        <v>15</v>
      </c>
      <c r="H372" s="75">
        <v>124</v>
      </c>
      <c r="I372" s="75">
        <v>229</v>
      </c>
      <c r="J372" s="74" t="s">
        <v>981</v>
      </c>
      <c r="K372" s="74" t="s">
        <v>16</v>
      </c>
      <c r="L372" s="74"/>
      <c r="M372" s="74" t="s">
        <v>13</v>
      </c>
      <c r="N372" s="71" t="str">
        <f t="shared" si="5"/>
        <v>1</v>
      </c>
      <c r="O372" s="71" t="str">
        <f>INDEX(Кат!$D:$D,MATCH($A372,Кат!$A:$A,0))</f>
        <v>Y</v>
      </c>
    </row>
    <row r="373" spans="1:15" ht="45" x14ac:dyDescent="0.25">
      <c r="A373" s="73">
        <v>186184</v>
      </c>
      <c r="B373" s="73">
        <v>31118</v>
      </c>
      <c r="C373" s="74" t="s">
        <v>982</v>
      </c>
      <c r="D373" s="74" t="s">
        <v>13</v>
      </c>
      <c r="E373" s="74" t="s">
        <v>983</v>
      </c>
      <c r="F373" s="74" t="s">
        <v>983</v>
      </c>
      <c r="G373" s="74" t="s">
        <v>15</v>
      </c>
      <c r="H373" s="75">
        <v>1335</v>
      </c>
      <c r="I373" s="75">
        <v>2090</v>
      </c>
      <c r="J373" s="74"/>
      <c r="K373" s="74" t="s">
        <v>16</v>
      </c>
      <c r="L373" s="74"/>
      <c r="M373" s="74"/>
      <c r="N373" s="71" t="str">
        <f t="shared" si="5"/>
        <v>1</v>
      </c>
      <c r="O373" s="71" t="str">
        <f>INDEX(Кат!$D:$D,MATCH($A373,Кат!$A:$A,0))</f>
        <v>Y</v>
      </c>
    </row>
    <row r="374" spans="1:15" ht="60" x14ac:dyDescent="0.25">
      <c r="A374" s="73">
        <v>186185</v>
      </c>
      <c r="B374" s="73">
        <v>31115</v>
      </c>
      <c r="C374" s="74" t="s">
        <v>984</v>
      </c>
      <c r="D374" s="74" t="s">
        <v>13</v>
      </c>
      <c r="E374" s="74" t="s">
        <v>985</v>
      </c>
      <c r="F374" s="74" t="s">
        <v>985</v>
      </c>
      <c r="G374" s="74" t="s">
        <v>15</v>
      </c>
      <c r="H374" s="75">
        <v>2722</v>
      </c>
      <c r="I374" s="75">
        <v>3890</v>
      </c>
      <c r="J374" s="74"/>
      <c r="K374" s="74" t="s">
        <v>16</v>
      </c>
      <c r="L374" s="74"/>
      <c r="M374" s="74" t="s">
        <v>13</v>
      </c>
      <c r="N374" s="71" t="str">
        <f t="shared" si="5"/>
        <v>1</v>
      </c>
      <c r="O374" s="71" t="str">
        <f>INDEX(Кат!$D:$D,MATCH($A374,Кат!$A:$A,0))</f>
        <v>Y</v>
      </c>
    </row>
    <row r="375" spans="1:15" ht="45" x14ac:dyDescent="0.25">
      <c r="A375" s="73">
        <v>186186</v>
      </c>
      <c r="B375" s="73">
        <v>31130</v>
      </c>
      <c r="C375" s="74" t="s">
        <v>986</v>
      </c>
      <c r="D375" s="74" t="s">
        <v>13</v>
      </c>
      <c r="E375" s="74" t="s">
        <v>987</v>
      </c>
      <c r="F375" s="74" t="s">
        <v>987</v>
      </c>
      <c r="G375" s="74" t="s">
        <v>15</v>
      </c>
      <c r="H375" s="75">
        <v>1680</v>
      </c>
      <c r="I375" s="75">
        <v>2590</v>
      </c>
      <c r="J375" s="74"/>
      <c r="K375" s="74" t="s">
        <v>16</v>
      </c>
      <c r="L375" s="74"/>
      <c r="M375" s="74"/>
      <c r="N375" s="71" t="str">
        <f t="shared" si="5"/>
        <v>1</v>
      </c>
      <c r="O375" s="71" t="str">
        <f>INDEX(Кат!$D:$D,MATCH($A375,Кат!$A:$A,0))</f>
        <v>Y</v>
      </c>
    </row>
    <row r="376" spans="1:15" ht="60" x14ac:dyDescent="0.25">
      <c r="A376" s="73">
        <v>186187</v>
      </c>
      <c r="B376" s="73">
        <v>31114</v>
      </c>
      <c r="C376" s="74" t="s">
        <v>988</v>
      </c>
      <c r="D376" s="74" t="s">
        <v>13</v>
      </c>
      <c r="E376" s="74" t="s">
        <v>989</v>
      </c>
      <c r="F376" s="74" t="s">
        <v>989</v>
      </c>
      <c r="G376" s="74" t="s">
        <v>15</v>
      </c>
      <c r="H376" s="75">
        <v>1187.5</v>
      </c>
      <c r="I376" s="75">
        <v>1790</v>
      </c>
      <c r="J376" s="74"/>
      <c r="K376" s="74" t="s">
        <v>16</v>
      </c>
      <c r="L376" s="74"/>
      <c r="M376" s="74" t="s">
        <v>13</v>
      </c>
      <c r="N376" s="71" t="str">
        <f t="shared" si="5"/>
        <v>1</v>
      </c>
      <c r="O376" s="71" t="str">
        <f>INDEX(Кат!$D:$D,MATCH($A376,Кат!$A:$A,0))</f>
        <v>Y</v>
      </c>
    </row>
    <row r="377" spans="1:15" ht="45" x14ac:dyDescent="0.25">
      <c r="A377" s="73">
        <v>186188</v>
      </c>
      <c r="B377" s="73">
        <v>31402</v>
      </c>
      <c r="C377" s="74" t="s">
        <v>990</v>
      </c>
      <c r="D377" s="74" t="s">
        <v>13</v>
      </c>
      <c r="E377" s="74" t="s">
        <v>991</v>
      </c>
      <c r="F377" s="74" t="s">
        <v>991</v>
      </c>
      <c r="G377" s="74" t="s">
        <v>15</v>
      </c>
      <c r="H377" s="75">
        <v>348</v>
      </c>
      <c r="I377" s="75">
        <v>559</v>
      </c>
      <c r="J377" s="74"/>
      <c r="K377" s="74" t="s">
        <v>16</v>
      </c>
      <c r="L377" s="74"/>
      <c r="M377" s="74" t="s">
        <v>13</v>
      </c>
      <c r="N377" s="71" t="str">
        <f t="shared" si="5"/>
        <v>1</v>
      </c>
      <c r="O377" s="71" t="str">
        <f>INDEX(Кат!$D:$D,MATCH($A377,Кат!$A:$A,0))</f>
        <v>Y</v>
      </c>
    </row>
    <row r="378" spans="1:15" ht="45" x14ac:dyDescent="0.25">
      <c r="A378" s="73">
        <v>186189</v>
      </c>
      <c r="B378" s="73">
        <v>31406</v>
      </c>
      <c r="C378" s="74" t="s">
        <v>992</v>
      </c>
      <c r="D378" s="74" t="s">
        <v>13</v>
      </c>
      <c r="E378" s="74" t="s">
        <v>993</v>
      </c>
      <c r="F378" s="74" t="s">
        <v>993</v>
      </c>
      <c r="G378" s="74" t="s">
        <v>15</v>
      </c>
      <c r="H378" s="75">
        <v>257</v>
      </c>
      <c r="I378" s="75">
        <v>469</v>
      </c>
      <c r="J378" s="74"/>
      <c r="K378" s="74" t="s">
        <v>16</v>
      </c>
      <c r="L378" s="74"/>
      <c r="M378" s="74" t="s">
        <v>13</v>
      </c>
      <c r="N378" s="71" t="str">
        <f t="shared" si="5"/>
        <v>1</v>
      </c>
      <c r="O378" s="71" t="str">
        <f>INDEX(Кат!$D:$D,MATCH($A378,Кат!$A:$A,0))</f>
        <v>Y</v>
      </c>
    </row>
    <row r="379" spans="1:15" ht="60" x14ac:dyDescent="0.25">
      <c r="A379" s="73">
        <v>186190</v>
      </c>
      <c r="B379" s="73">
        <v>31230</v>
      </c>
      <c r="C379" s="74" t="s">
        <v>994</v>
      </c>
      <c r="D379" s="74" t="s">
        <v>13</v>
      </c>
      <c r="E379" s="74" t="s">
        <v>995</v>
      </c>
      <c r="F379" s="74" t="s">
        <v>995</v>
      </c>
      <c r="G379" s="74" t="s">
        <v>15</v>
      </c>
      <c r="H379" s="75">
        <v>632</v>
      </c>
      <c r="I379" s="75">
        <v>979</v>
      </c>
      <c r="J379" s="74"/>
      <c r="K379" s="74" t="s">
        <v>16</v>
      </c>
      <c r="L379" s="74"/>
      <c r="M379" s="74" t="s">
        <v>13</v>
      </c>
      <c r="N379" s="71" t="str">
        <f t="shared" si="5"/>
        <v>1</v>
      </c>
      <c r="O379" s="71" t="str">
        <f>INDEX(Кат!$D:$D,MATCH($A379,Кат!$A:$A,0))</f>
        <v>Y</v>
      </c>
    </row>
    <row r="380" spans="1:15" ht="75" x14ac:dyDescent="0.25">
      <c r="A380" s="73">
        <v>186191</v>
      </c>
      <c r="B380" s="73">
        <v>31221</v>
      </c>
      <c r="C380" s="74" t="s">
        <v>996</v>
      </c>
      <c r="D380" s="74" t="s">
        <v>13</v>
      </c>
      <c r="E380" s="74" t="s">
        <v>997</v>
      </c>
      <c r="F380" s="74" t="s">
        <v>997</v>
      </c>
      <c r="G380" s="74" t="s">
        <v>15</v>
      </c>
      <c r="H380" s="75">
        <v>814</v>
      </c>
      <c r="I380" s="75">
        <v>1290</v>
      </c>
      <c r="J380" s="74" t="s">
        <v>998</v>
      </c>
      <c r="K380" s="74" t="s">
        <v>16</v>
      </c>
      <c r="L380" s="74"/>
      <c r="M380" s="74" t="s">
        <v>13</v>
      </c>
      <c r="N380" s="71" t="str">
        <f t="shared" si="5"/>
        <v>1</v>
      </c>
      <c r="O380" s="71" t="str">
        <f>INDEX(Кат!$D:$D,MATCH($A380,Кат!$A:$A,0))</f>
        <v>Y</v>
      </c>
    </row>
    <row r="381" spans="1:15" ht="60" x14ac:dyDescent="0.25">
      <c r="A381" s="73">
        <v>186192</v>
      </c>
      <c r="B381" s="73">
        <v>31231</v>
      </c>
      <c r="C381" s="74" t="s">
        <v>999</v>
      </c>
      <c r="D381" s="74" t="s">
        <v>13</v>
      </c>
      <c r="E381" s="74" t="s">
        <v>1000</v>
      </c>
      <c r="F381" s="74" t="s">
        <v>1000</v>
      </c>
      <c r="G381" s="74" t="s">
        <v>15</v>
      </c>
      <c r="H381" s="75">
        <v>383</v>
      </c>
      <c r="I381" s="75">
        <v>619</v>
      </c>
      <c r="J381" s="74"/>
      <c r="K381" s="74" t="s">
        <v>16</v>
      </c>
      <c r="L381" s="74"/>
      <c r="M381" s="74" t="s">
        <v>13</v>
      </c>
      <c r="N381" s="71" t="str">
        <f t="shared" si="5"/>
        <v>1</v>
      </c>
      <c r="O381" s="71" t="str">
        <f>INDEX(Кат!$D:$D,MATCH($A381,Кат!$A:$A,0))</f>
        <v>Y</v>
      </c>
    </row>
    <row r="382" spans="1:15" ht="45" x14ac:dyDescent="0.25">
      <c r="A382" s="73">
        <v>186193</v>
      </c>
      <c r="B382" s="73">
        <v>31180</v>
      </c>
      <c r="C382" s="74" t="s">
        <v>1001</v>
      </c>
      <c r="D382" s="74" t="s">
        <v>13</v>
      </c>
      <c r="E382" s="74" t="s">
        <v>1002</v>
      </c>
      <c r="F382" s="74" t="s">
        <v>1002</v>
      </c>
      <c r="G382" s="74" t="s">
        <v>15</v>
      </c>
      <c r="H382" s="75">
        <v>1388</v>
      </c>
      <c r="I382" s="75">
        <v>2090</v>
      </c>
      <c r="J382" s="74"/>
      <c r="K382" s="74" t="s">
        <v>16</v>
      </c>
      <c r="L382" s="74"/>
      <c r="M382" s="74" t="s">
        <v>13</v>
      </c>
      <c r="N382" s="71" t="str">
        <f t="shared" si="5"/>
        <v>1</v>
      </c>
      <c r="O382" s="71" t="str">
        <f>INDEX(Кат!$D:$D,MATCH($A382,Кат!$A:$A,0))</f>
        <v>Y</v>
      </c>
    </row>
    <row r="383" spans="1:15" ht="45" x14ac:dyDescent="0.25">
      <c r="A383" s="73">
        <v>186194</v>
      </c>
      <c r="B383" s="73">
        <v>31181</v>
      </c>
      <c r="C383" s="74" t="s">
        <v>1003</v>
      </c>
      <c r="D383" s="74" t="s">
        <v>13</v>
      </c>
      <c r="E383" s="74" t="s">
        <v>1004</v>
      </c>
      <c r="F383" s="74" t="s">
        <v>1004</v>
      </c>
      <c r="G383" s="74" t="s">
        <v>15</v>
      </c>
      <c r="H383" s="75">
        <v>575</v>
      </c>
      <c r="I383" s="75">
        <v>899</v>
      </c>
      <c r="J383" s="74"/>
      <c r="K383" s="74" t="s">
        <v>16</v>
      </c>
      <c r="L383" s="74"/>
      <c r="M383" s="74" t="s">
        <v>13</v>
      </c>
      <c r="N383" s="71" t="str">
        <f t="shared" si="5"/>
        <v>1</v>
      </c>
      <c r="O383" s="71" t="str">
        <f>INDEX(Кат!$D:$D,MATCH($A383,Кат!$A:$A,0))</f>
        <v>Y</v>
      </c>
    </row>
    <row r="384" spans="1:15" ht="30" x14ac:dyDescent="0.25">
      <c r="A384" s="73">
        <v>186195</v>
      </c>
      <c r="B384" s="73">
        <v>50914</v>
      </c>
      <c r="C384" s="74" t="s">
        <v>1005</v>
      </c>
      <c r="D384" s="74" t="s">
        <v>13</v>
      </c>
      <c r="E384" s="74" t="s">
        <v>1006</v>
      </c>
      <c r="F384" s="74" t="s">
        <v>1007</v>
      </c>
      <c r="G384" s="74" t="s">
        <v>15</v>
      </c>
      <c r="H384" s="75">
        <v>8676</v>
      </c>
      <c r="I384" s="75">
        <v>12190</v>
      </c>
      <c r="J384" s="74"/>
      <c r="K384" s="74" t="s">
        <v>16</v>
      </c>
      <c r="L384" s="74"/>
      <c r="M384" s="74" t="s">
        <v>13</v>
      </c>
      <c r="N384" s="71" t="str">
        <f t="shared" si="5"/>
        <v>1</v>
      </c>
      <c r="O384" s="71" t="str">
        <f>INDEX(Кат!$D:$D,MATCH($A384,Кат!$A:$A,0))</f>
        <v>Y</v>
      </c>
    </row>
    <row r="385" spans="1:15" ht="30" x14ac:dyDescent="0.25">
      <c r="A385" s="73">
        <v>186196</v>
      </c>
      <c r="B385" s="73">
        <v>51711</v>
      </c>
      <c r="C385" s="74" t="s">
        <v>1008</v>
      </c>
      <c r="D385" s="74" t="s">
        <v>13</v>
      </c>
      <c r="E385" s="74" t="s">
        <v>1009</v>
      </c>
      <c r="F385" s="74" t="s">
        <v>1010</v>
      </c>
      <c r="G385" s="74" t="s">
        <v>15</v>
      </c>
      <c r="H385" s="75">
        <v>2152</v>
      </c>
      <c r="I385" s="75">
        <v>3090</v>
      </c>
      <c r="J385" s="74"/>
      <c r="K385" s="74" t="s">
        <v>16</v>
      </c>
      <c r="L385" s="74"/>
      <c r="M385" s="74" t="s">
        <v>13</v>
      </c>
      <c r="N385" s="71" t="str">
        <f t="shared" si="5"/>
        <v>1</v>
      </c>
      <c r="O385" s="71" t="str">
        <f>INDEX(Кат!$D:$D,MATCH($A385,Кат!$A:$A,0))</f>
        <v>Y</v>
      </c>
    </row>
    <row r="386" spans="1:15" ht="30" x14ac:dyDescent="0.25">
      <c r="A386" s="73">
        <v>186197</v>
      </c>
      <c r="B386" s="73">
        <v>31018</v>
      </c>
      <c r="C386" s="74" t="s">
        <v>1011</v>
      </c>
      <c r="D386" s="74" t="s">
        <v>13</v>
      </c>
      <c r="E386" s="74" t="s">
        <v>1012</v>
      </c>
      <c r="F386" s="74" t="s">
        <v>1012</v>
      </c>
      <c r="G386" s="74" t="s">
        <v>15</v>
      </c>
      <c r="H386" s="75">
        <v>4374</v>
      </c>
      <c r="I386" s="75">
        <v>6190</v>
      </c>
      <c r="J386" s="74"/>
      <c r="K386" s="74" t="s">
        <v>16</v>
      </c>
      <c r="L386" s="74"/>
      <c r="M386" s="74" t="s">
        <v>13</v>
      </c>
      <c r="N386" s="71" t="str">
        <f t="shared" si="5"/>
        <v>1</v>
      </c>
      <c r="O386" s="71" t="str">
        <f>INDEX(Кат!$D:$D,MATCH($A386,Кат!$A:$A,0))</f>
        <v>Y</v>
      </c>
    </row>
    <row r="387" spans="1:15" ht="60" x14ac:dyDescent="0.25">
      <c r="A387" s="73">
        <v>186198</v>
      </c>
      <c r="B387" s="73">
        <v>31176</v>
      </c>
      <c r="C387" s="74" t="s">
        <v>1013</v>
      </c>
      <c r="D387" s="74" t="s">
        <v>13</v>
      </c>
      <c r="E387" s="74" t="s">
        <v>1014</v>
      </c>
      <c r="F387" s="74" t="s">
        <v>1014</v>
      </c>
      <c r="G387" s="74" t="s">
        <v>15</v>
      </c>
      <c r="H387" s="75">
        <v>5950</v>
      </c>
      <c r="I387" s="75">
        <v>8390</v>
      </c>
      <c r="J387" s="74" t="s">
        <v>1015</v>
      </c>
      <c r="K387" s="74" t="s">
        <v>16</v>
      </c>
      <c r="L387" s="74"/>
      <c r="M387" s="74" t="s">
        <v>13</v>
      </c>
      <c r="N387" s="71" t="str">
        <f t="shared" ref="N387:N450" si="6">_xlfn.CONCAT(K387,IF(L387&lt;&gt;"",_xlfn.CONCAT("ск",L387),""))</f>
        <v>1</v>
      </c>
      <c r="O387" s="71" t="str">
        <f>INDEX(Кат!$D:$D,MATCH($A387,Кат!$A:$A,0))</f>
        <v>Y</v>
      </c>
    </row>
    <row r="388" spans="1:15" ht="60" x14ac:dyDescent="0.25">
      <c r="A388" s="73">
        <v>186199</v>
      </c>
      <c r="B388" s="73">
        <v>31175</v>
      </c>
      <c r="C388" s="74" t="s">
        <v>1016</v>
      </c>
      <c r="D388" s="74" t="s">
        <v>13</v>
      </c>
      <c r="E388" s="74" t="s">
        <v>1017</v>
      </c>
      <c r="F388" s="74" t="s">
        <v>1017</v>
      </c>
      <c r="G388" s="74" t="s">
        <v>15</v>
      </c>
      <c r="H388" s="75">
        <v>4340.53</v>
      </c>
      <c r="I388" s="75">
        <v>6090</v>
      </c>
      <c r="J388" s="74" t="s">
        <v>1018</v>
      </c>
      <c r="K388" s="74" t="s">
        <v>16</v>
      </c>
      <c r="L388" s="74"/>
      <c r="M388" s="74" t="s">
        <v>13</v>
      </c>
      <c r="N388" s="71" t="str">
        <f t="shared" si="6"/>
        <v>1</v>
      </c>
      <c r="O388" s="71" t="str">
        <f>INDEX(Кат!$D:$D,MATCH($A388,Кат!$A:$A,0))</f>
        <v>Y</v>
      </c>
    </row>
    <row r="389" spans="1:15" ht="45" x14ac:dyDescent="0.25">
      <c r="A389" s="73">
        <v>186201</v>
      </c>
      <c r="B389" s="73">
        <v>32670</v>
      </c>
      <c r="C389" s="74" t="s">
        <v>1019</v>
      </c>
      <c r="D389" s="74" t="s">
        <v>13</v>
      </c>
      <c r="E389" s="74" t="s">
        <v>1020</v>
      </c>
      <c r="F389" s="74" t="s">
        <v>1020</v>
      </c>
      <c r="G389" s="74" t="s">
        <v>15</v>
      </c>
      <c r="H389" s="75">
        <v>9709</v>
      </c>
      <c r="I389" s="75">
        <v>13590</v>
      </c>
      <c r="J389" s="74"/>
      <c r="K389" s="74" t="s">
        <v>16</v>
      </c>
      <c r="L389" s="74"/>
      <c r="M389" s="74" t="s">
        <v>13</v>
      </c>
      <c r="N389" s="71" t="str">
        <f t="shared" si="6"/>
        <v>1</v>
      </c>
      <c r="O389" s="71" t="str">
        <f>INDEX(Кат!$D:$D,MATCH($A389,Кат!$A:$A,0))</f>
        <v>Y</v>
      </c>
    </row>
    <row r="390" spans="1:15" ht="60" x14ac:dyDescent="0.25">
      <c r="A390" s="73">
        <v>186202</v>
      </c>
      <c r="B390" s="73">
        <v>31064</v>
      </c>
      <c r="C390" s="74" t="s">
        <v>1021</v>
      </c>
      <c r="D390" s="74" t="s">
        <v>13</v>
      </c>
      <c r="E390" s="74" t="s">
        <v>1022</v>
      </c>
      <c r="F390" s="74" t="s">
        <v>1022</v>
      </c>
      <c r="G390" s="74" t="s">
        <v>15</v>
      </c>
      <c r="H390" s="75">
        <v>20200</v>
      </c>
      <c r="I390" s="75">
        <v>28290</v>
      </c>
      <c r="J390" s="74" t="s">
        <v>1023</v>
      </c>
      <c r="K390" s="74" t="s">
        <v>16</v>
      </c>
      <c r="L390" s="74"/>
      <c r="M390" s="74" t="s">
        <v>13</v>
      </c>
      <c r="N390" s="71" t="str">
        <f t="shared" si="6"/>
        <v>1</v>
      </c>
      <c r="O390" s="71" t="str">
        <f>INDEX(Кат!$D:$D,MATCH($A390,Кат!$A:$A,0))</f>
        <v>Y</v>
      </c>
    </row>
    <row r="391" spans="1:15" ht="30" x14ac:dyDescent="0.25">
      <c r="A391" s="73">
        <v>186203</v>
      </c>
      <c r="B391" s="73">
        <v>31050</v>
      </c>
      <c r="C391" s="74" t="s">
        <v>1024</v>
      </c>
      <c r="D391" s="74" t="s">
        <v>13</v>
      </c>
      <c r="E391" s="74" t="s">
        <v>1025</v>
      </c>
      <c r="F391" s="74" t="s">
        <v>1025</v>
      </c>
      <c r="G391" s="74" t="s">
        <v>15</v>
      </c>
      <c r="H391" s="75">
        <v>3080</v>
      </c>
      <c r="I391" s="75">
        <v>4390</v>
      </c>
      <c r="J391" s="74"/>
      <c r="K391" s="74" t="s">
        <v>16</v>
      </c>
      <c r="L391" s="74"/>
      <c r="M391" s="74" t="s">
        <v>13</v>
      </c>
      <c r="N391" s="71" t="str">
        <f t="shared" si="6"/>
        <v>1</v>
      </c>
      <c r="O391" s="71" t="str">
        <f>INDEX(Кат!$D:$D,MATCH($A391,Кат!$A:$A,0))</f>
        <v>Y</v>
      </c>
    </row>
    <row r="392" spans="1:15" ht="30" x14ac:dyDescent="0.25">
      <c r="A392" s="73">
        <v>186204</v>
      </c>
      <c r="B392" s="73">
        <v>31049</v>
      </c>
      <c r="C392" s="74" t="s">
        <v>1026</v>
      </c>
      <c r="D392" s="74" t="s">
        <v>13</v>
      </c>
      <c r="E392" s="74" t="s">
        <v>1027</v>
      </c>
      <c r="F392" s="74" t="s">
        <v>1027</v>
      </c>
      <c r="G392" s="74" t="s">
        <v>15</v>
      </c>
      <c r="H392" s="75">
        <v>5249</v>
      </c>
      <c r="I392" s="75">
        <v>7090</v>
      </c>
      <c r="J392" s="74"/>
      <c r="K392" s="74" t="s">
        <v>16</v>
      </c>
      <c r="L392" s="74"/>
      <c r="M392" s="74" t="s">
        <v>13</v>
      </c>
      <c r="N392" s="71" t="str">
        <f t="shared" si="6"/>
        <v>1</v>
      </c>
      <c r="O392" s="71" t="str">
        <f>INDEX(Кат!$D:$D,MATCH($A392,Кат!$A:$A,0))</f>
        <v>Y</v>
      </c>
    </row>
    <row r="393" spans="1:15" ht="30" x14ac:dyDescent="0.25">
      <c r="A393" s="73">
        <v>186205</v>
      </c>
      <c r="B393" s="73">
        <v>23546</v>
      </c>
      <c r="C393" s="74" t="s">
        <v>1028</v>
      </c>
      <c r="D393" s="74" t="s">
        <v>13</v>
      </c>
      <c r="E393" s="74" t="s">
        <v>1029</v>
      </c>
      <c r="F393" s="74" t="s">
        <v>1029</v>
      </c>
      <c r="G393" s="74" t="s">
        <v>15</v>
      </c>
      <c r="H393" s="75">
        <v>891.54</v>
      </c>
      <c r="I393" s="75">
        <v>1390</v>
      </c>
      <c r="J393" s="74"/>
      <c r="K393" s="74" t="s">
        <v>16</v>
      </c>
      <c r="L393" s="74"/>
      <c r="M393" s="74" t="s">
        <v>13</v>
      </c>
      <c r="N393" s="71" t="str">
        <f t="shared" si="6"/>
        <v>1</v>
      </c>
      <c r="O393" s="71" t="str">
        <f>INDEX(Кат!$D:$D,MATCH($A393,Кат!$A:$A,0))</f>
        <v>Y</v>
      </c>
    </row>
    <row r="394" spans="1:15" ht="75" x14ac:dyDescent="0.25">
      <c r="A394" s="73">
        <v>186206</v>
      </c>
      <c r="B394" s="73">
        <v>50601</v>
      </c>
      <c r="C394" s="74" t="s">
        <v>1030</v>
      </c>
      <c r="D394" s="74" t="s">
        <v>13</v>
      </c>
      <c r="E394" s="74" t="s">
        <v>1031</v>
      </c>
      <c r="F394" s="74" t="s">
        <v>1032</v>
      </c>
      <c r="G394" s="74" t="s">
        <v>15</v>
      </c>
      <c r="H394" s="75">
        <v>3830</v>
      </c>
      <c r="I394" s="75">
        <v>5390</v>
      </c>
      <c r="J394" s="74" t="s">
        <v>1033</v>
      </c>
      <c r="K394" s="74" t="s">
        <v>16</v>
      </c>
      <c r="L394" s="74" t="s">
        <v>16</v>
      </c>
      <c r="M394" s="74" t="s">
        <v>13</v>
      </c>
      <c r="N394" s="71" t="str">
        <f t="shared" si="6"/>
        <v>1ск1</v>
      </c>
      <c r="O394" s="71" t="str">
        <f>INDEX(Кат!$D:$D,MATCH($A394,Кат!$A:$A,0))</f>
        <v>Y</v>
      </c>
    </row>
    <row r="395" spans="1:15" ht="60" x14ac:dyDescent="0.25">
      <c r="A395" s="73">
        <v>186207</v>
      </c>
      <c r="B395" s="73">
        <v>32737</v>
      </c>
      <c r="C395" s="74" t="s">
        <v>1034</v>
      </c>
      <c r="D395" s="74" t="s">
        <v>13</v>
      </c>
      <c r="E395" s="74" t="s">
        <v>1035</v>
      </c>
      <c r="F395" s="74" t="s">
        <v>1035</v>
      </c>
      <c r="G395" s="74" t="s">
        <v>15</v>
      </c>
      <c r="H395" s="75">
        <v>4641</v>
      </c>
      <c r="I395" s="75">
        <v>6490</v>
      </c>
      <c r="J395" s="74" t="s">
        <v>1036</v>
      </c>
      <c r="K395" s="74" t="s">
        <v>16</v>
      </c>
      <c r="L395" s="74"/>
      <c r="M395" s="74" t="s">
        <v>13</v>
      </c>
      <c r="N395" s="71" t="str">
        <f t="shared" si="6"/>
        <v>1</v>
      </c>
      <c r="O395" s="71" t="str">
        <f>INDEX(Кат!$D:$D,MATCH($A395,Кат!$A:$A,0))</f>
        <v>Y</v>
      </c>
    </row>
    <row r="396" spans="1:15" ht="90" x14ac:dyDescent="0.25">
      <c r="A396" s="73">
        <v>186208</v>
      </c>
      <c r="B396" s="73">
        <v>31087</v>
      </c>
      <c r="C396" s="74" t="s">
        <v>1037</v>
      </c>
      <c r="D396" s="74" t="s">
        <v>13</v>
      </c>
      <c r="E396" s="74" t="s">
        <v>1038</v>
      </c>
      <c r="F396" s="74" t="s">
        <v>1038</v>
      </c>
      <c r="G396" s="74" t="s">
        <v>15</v>
      </c>
      <c r="H396" s="75">
        <v>5323</v>
      </c>
      <c r="I396" s="75">
        <v>7190</v>
      </c>
      <c r="J396" s="74" t="s">
        <v>1039</v>
      </c>
      <c r="K396" s="74" t="s">
        <v>16</v>
      </c>
      <c r="L396" s="74"/>
      <c r="M396" s="74" t="s">
        <v>13</v>
      </c>
      <c r="N396" s="71" t="str">
        <f t="shared" si="6"/>
        <v>1</v>
      </c>
      <c r="O396" s="71" t="str">
        <f>INDEX(Кат!$D:$D,MATCH($A396,Кат!$A:$A,0))</f>
        <v>Y</v>
      </c>
    </row>
    <row r="397" spans="1:15" ht="75" x14ac:dyDescent="0.25">
      <c r="A397" s="73">
        <v>186209</v>
      </c>
      <c r="B397" s="73">
        <v>31077</v>
      </c>
      <c r="C397" s="74" t="s">
        <v>1040</v>
      </c>
      <c r="D397" s="74" t="s">
        <v>13</v>
      </c>
      <c r="E397" s="74" t="s">
        <v>1041</v>
      </c>
      <c r="F397" s="74" t="s">
        <v>1041</v>
      </c>
      <c r="G397" s="74" t="s">
        <v>15</v>
      </c>
      <c r="H397" s="75">
        <v>6082</v>
      </c>
      <c r="I397" s="75">
        <v>8290</v>
      </c>
      <c r="J397" s="74" t="s">
        <v>1042</v>
      </c>
      <c r="K397" s="74" t="s">
        <v>16</v>
      </c>
      <c r="L397" s="74"/>
      <c r="M397" s="74" t="s">
        <v>13</v>
      </c>
      <c r="N397" s="71" t="str">
        <f t="shared" si="6"/>
        <v>1</v>
      </c>
      <c r="O397" s="71" t="str">
        <f>INDEX(Кат!$D:$D,MATCH($A397,Кат!$A:$A,0))</f>
        <v>Y</v>
      </c>
    </row>
    <row r="398" spans="1:15" ht="30" x14ac:dyDescent="0.25">
      <c r="A398" s="73">
        <v>186210</v>
      </c>
      <c r="B398" s="73">
        <v>31088</v>
      </c>
      <c r="C398" s="74" t="s">
        <v>1043</v>
      </c>
      <c r="D398" s="74" t="s">
        <v>13</v>
      </c>
      <c r="E398" s="74" t="s">
        <v>1044</v>
      </c>
      <c r="F398" s="74" t="s">
        <v>1044</v>
      </c>
      <c r="G398" s="74" t="s">
        <v>15</v>
      </c>
      <c r="H398" s="75">
        <v>3381</v>
      </c>
      <c r="I398" s="75">
        <v>4790</v>
      </c>
      <c r="J398" s="74"/>
      <c r="K398" s="74" t="s">
        <v>16</v>
      </c>
      <c r="L398" s="74"/>
      <c r="M398" s="74" t="s">
        <v>13</v>
      </c>
      <c r="N398" s="71" t="str">
        <f t="shared" si="6"/>
        <v>1</v>
      </c>
      <c r="O398" s="71" t="str">
        <f>INDEX(Кат!$D:$D,MATCH($A398,Кат!$A:$A,0))</f>
        <v>Y</v>
      </c>
    </row>
    <row r="399" spans="1:15" ht="75" x14ac:dyDescent="0.25">
      <c r="A399" s="73">
        <v>186211</v>
      </c>
      <c r="B399" s="73">
        <v>32547</v>
      </c>
      <c r="C399" s="74" t="s">
        <v>1045</v>
      </c>
      <c r="D399" s="74" t="s">
        <v>13</v>
      </c>
      <c r="E399" s="74" t="s">
        <v>1046</v>
      </c>
      <c r="F399" s="74" t="s">
        <v>1046</v>
      </c>
      <c r="G399" s="74" t="s">
        <v>15</v>
      </c>
      <c r="H399" s="75">
        <v>2900</v>
      </c>
      <c r="I399" s="75">
        <v>4090</v>
      </c>
      <c r="J399" s="74" t="s">
        <v>1047</v>
      </c>
      <c r="K399" s="74" t="s">
        <v>16</v>
      </c>
      <c r="L399" s="74"/>
      <c r="M399" s="74" t="s">
        <v>13</v>
      </c>
      <c r="N399" s="71" t="str">
        <f t="shared" si="6"/>
        <v>1</v>
      </c>
      <c r="O399" s="71" t="str">
        <f>INDEX(Кат!$D:$D,MATCH($A399,Кат!$A:$A,0))</f>
        <v>Y</v>
      </c>
    </row>
    <row r="400" spans="1:15" ht="75" x14ac:dyDescent="0.25">
      <c r="A400" s="73">
        <v>186212</v>
      </c>
      <c r="B400" s="73">
        <v>48683</v>
      </c>
      <c r="C400" s="74" t="s">
        <v>1048</v>
      </c>
      <c r="D400" s="74" t="s">
        <v>13</v>
      </c>
      <c r="E400" s="74" t="s">
        <v>1049</v>
      </c>
      <c r="F400" s="74" t="s">
        <v>1050</v>
      </c>
      <c r="G400" s="74" t="s">
        <v>15</v>
      </c>
      <c r="H400" s="75">
        <v>3500</v>
      </c>
      <c r="I400" s="75">
        <v>4890</v>
      </c>
      <c r="J400" s="74" t="s">
        <v>1051</v>
      </c>
      <c r="K400" s="74" t="s">
        <v>16</v>
      </c>
      <c r="L400" s="74"/>
      <c r="M400" s="74" t="s">
        <v>13</v>
      </c>
      <c r="N400" s="71" t="str">
        <f t="shared" si="6"/>
        <v>1</v>
      </c>
      <c r="O400" s="71" t="str">
        <f>INDEX(Кат!$D:$D,MATCH($A400,Кат!$A:$A,0))</f>
        <v>Y</v>
      </c>
    </row>
    <row r="401" spans="1:15" ht="75" x14ac:dyDescent="0.25">
      <c r="A401" s="73">
        <v>186213</v>
      </c>
      <c r="B401" s="73">
        <v>44496</v>
      </c>
      <c r="C401" s="74" t="s">
        <v>1052</v>
      </c>
      <c r="D401" s="74" t="s">
        <v>13</v>
      </c>
      <c r="E401" s="74" t="s">
        <v>1053</v>
      </c>
      <c r="F401" s="74" t="s">
        <v>1054</v>
      </c>
      <c r="G401" s="74" t="s">
        <v>15</v>
      </c>
      <c r="H401" s="75">
        <v>2475</v>
      </c>
      <c r="I401" s="75">
        <v>3490</v>
      </c>
      <c r="J401" s="74" t="s">
        <v>1055</v>
      </c>
      <c r="K401" s="74" t="s">
        <v>16</v>
      </c>
      <c r="L401" s="74"/>
      <c r="M401" s="74" t="s">
        <v>13</v>
      </c>
      <c r="N401" s="71" t="str">
        <f t="shared" si="6"/>
        <v>1</v>
      </c>
      <c r="O401" s="71" t="str">
        <f>INDEX(Кат!$D:$D,MATCH($A401,Кат!$A:$A,0))</f>
        <v>Y</v>
      </c>
    </row>
    <row r="402" spans="1:15" ht="60" x14ac:dyDescent="0.25">
      <c r="A402" s="73">
        <v>186214</v>
      </c>
      <c r="B402" s="73">
        <v>31403</v>
      </c>
      <c r="C402" s="74" t="s">
        <v>1056</v>
      </c>
      <c r="D402" s="74" t="s">
        <v>13</v>
      </c>
      <c r="E402" s="74" t="s">
        <v>1057</v>
      </c>
      <c r="F402" s="74" t="s">
        <v>1057</v>
      </c>
      <c r="G402" s="74" t="s">
        <v>15</v>
      </c>
      <c r="H402" s="75">
        <v>705</v>
      </c>
      <c r="I402" s="75">
        <v>1090</v>
      </c>
      <c r="J402" s="74" t="s">
        <v>1058</v>
      </c>
      <c r="K402" s="74" t="s">
        <v>16</v>
      </c>
      <c r="L402" s="74" t="s">
        <v>16</v>
      </c>
      <c r="M402" s="74" t="s">
        <v>13</v>
      </c>
      <c r="N402" s="71" t="str">
        <f t="shared" si="6"/>
        <v>1ск1</v>
      </c>
      <c r="O402" s="71" t="str">
        <f>INDEX(Кат!$D:$D,MATCH($A402,Кат!$A:$A,0))</f>
        <v>Y</v>
      </c>
    </row>
    <row r="403" spans="1:15" ht="60" x14ac:dyDescent="0.25">
      <c r="A403" s="73">
        <v>186215</v>
      </c>
      <c r="B403" s="73">
        <v>32553</v>
      </c>
      <c r="C403" s="74" t="s">
        <v>1059</v>
      </c>
      <c r="D403" s="74" t="s">
        <v>13</v>
      </c>
      <c r="E403" s="74" t="s">
        <v>1060</v>
      </c>
      <c r="F403" s="74" t="s">
        <v>1060</v>
      </c>
      <c r="G403" s="74" t="s">
        <v>15</v>
      </c>
      <c r="H403" s="75">
        <v>1639</v>
      </c>
      <c r="I403" s="75">
        <v>2490</v>
      </c>
      <c r="J403" s="74" t="s">
        <v>1061</v>
      </c>
      <c r="K403" s="74" t="s">
        <v>16</v>
      </c>
      <c r="L403" s="74"/>
      <c r="M403" s="74" t="s">
        <v>13</v>
      </c>
      <c r="N403" s="71" t="str">
        <f t="shared" si="6"/>
        <v>1</v>
      </c>
      <c r="O403" s="71" t="str">
        <f>INDEX(Кат!$D:$D,MATCH($A403,Кат!$A:$A,0))</f>
        <v>Y</v>
      </c>
    </row>
    <row r="404" spans="1:15" ht="90" x14ac:dyDescent="0.25">
      <c r="A404" s="73">
        <v>186216</v>
      </c>
      <c r="B404" s="73">
        <v>31388</v>
      </c>
      <c r="C404" s="74" t="s">
        <v>1062</v>
      </c>
      <c r="D404" s="74" t="s">
        <v>13</v>
      </c>
      <c r="E404" s="74" t="s">
        <v>1063</v>
      </c>
      <c r="F404" s="74" t="s">
        <v>1063</v>
      </c>
      <c r="G404" s="74" t="s">
        <v>15</v>
      </c>
      <c r="H404" s="75">
        <v>1326</v>
      </c>
      <c r="I404" s="75">
        <v>1990</v>
      </c>
      <c r="J404" s="74" t="s">
        <v>1064</v>
      </c>
      <c r="K404" s="74" t="s">
        <v>16</v>
      </c>
      <c r="L404" s="74"/>
      <c r="M404" s="74" t="s">
        <v>13</v>
      </c>
      <c r="N404" s="71" t="str">
        <f t="shared" si="6"/>
        <v>1</v>
      </c>
      <c r="O404" s="71" t="str">
        <f>INDEX(Кат!$D:$D,MATCH($A404,Кат!$A:$A,0))</f>
        <v>Y</v>
      </c>
    </row>
    <row r="405" spans="1:15" ht="75" x14ac:dyDescent="0.25">
      <c r="A405" s="73">
        <v>186218</v>
      </c>
      <c r="B405" s="73">
        <v>31224</v>
      </c>
      <c r="C405" s="74" t="s">
        <v>1065</v>
      </c>
      <c r="D405" s="74" t="s">
        <v>13</v>
      </c>
      <c r="E405" s="74" t="s">
        <v>1066</v>
      </c>
      <c r="F405" s="74" t="s">
        <v>1066</v>
      </c>
      <c r="G405" s="74" t="s">
        <v>15</v>
      </c>
      <c r="H405" s="75">
        <v>1413</v>
      </c>
      <c r="I405" s="75">
        <v>2190</v>
      </c>
      <c r="J405" s="74" t="s">
        <v>1067</v>
      </c>
      <c r="K405" s="74" t="s">
        <v>16</v>
      </c>
      <c r="L405" s="74"/>
      <c r="M405" s="74" t="s">
        <v>13</v>
      </c>
      <c r="N405" s="71" t="str">
        <f t="shared" si="6"/>
        <v>1</v>
      </c>
      <c r="O405" s="71" t="str">
        <f>INDEX(Кат!$D:$D,MATCH($A405,Кат!$A:$A,0))</f>
        <v>Y</v>
      </c>
    </row>
    <row r="406" spans="1:15" ht="45" x14ac:dyDescent="0.25">
      <c r="A406" s="73">
        <v>186219</v>
      </c>
      <c r="B406" s="73">
        <v>31218</v>
      </c>
      <c r="C406" s="74" t="s">
        <v>1068</v>
      </c>
      <c r="D406" s="74" t="s">
        <v>13</v>
      </c>
      <c r="E406" s="74" t="s">
        <v>1069</v>
      </c>
      <c r="F406" s="74" t="s">
        <v>1069</v>
      </c>
      <c r="G406" s="74" t="s">
        <v>15</v>
      </c>
      <c r="H406" s="75">
        <v>1796</v>
      </c>
      <c r="I406" s="75">
        <v>2690</v>
      </c>
      <c r="J406" s="74" t="s">
        <v>1070</v>
      </c>
      <c r="K406" s="74" t="s">
        <v>16</v>
      </c>
      <c r="L406" s="74"/>
      <c r="M406" s="74" t="s">
        <v>13</v>
      </c>
      <c r="N406" s="71" t="str">
        <f t="shared" si="6"/>
        <v>1</v>
      </c>
      <c r="O406" s="71" t="str">
        <f>INDEX(Кат!$D:$D,MATCH($A406,Кат!$A:$A,0))</f>
        <v>Y</v>
      </c>
    </row>
    <row r="407" spans="1:15" ht="75" x14ac:dyDescent="0.25">
      <c r="A407" s="73">
        <v>186217</v>
      </c>
      <c r="B407" s="73">
        <v>31426</v>
      </c>
      <c r="C407" s="74" t="s">
        <v>1071</v>
      </c>
      <c r="D407" s="74" t="s">
        <v>13</v>
      </c>
      <c r="E407" s="74" t="s">
        <v>1072</v>
      </c>
      <c r="F407" s="74" t="s">
        <v>1072</v>
      </c>
      <c r="G407" s="74" t="s">
        <v>15</v>
      </c>
      <c r="H407" s="75">
        <v>1575</v>
      </c>
      <c r="I407" s="75">
        <v>2390</v>
      </c>
      <c r="J407" s="74" t="s">
        <v>1073</v>
      </c>
      <c r="K407" s="74" t="s">
        <v>16</v>
      </c>
      <c r="L407" s="74"/>
      <c r="M407" s="74" t="s">
        <v>13</v>
      </c>
      <c r="N407" s="71" t="str">
        <f t="shared" si="6"/>
        <v>1</v>
      </c>
      <c r="O407" s="71" t="str">
        <f>INDEX(Кат!$D:$D,MATCH($A407,Кат!$A:$A,0))</f>
        <v>Y</v>
      </c>
    </row>
    <row r="408" spans="1:15" ht="60" x14ac:dyDescent="0.25">
      <c r="A408" s="73">
        <v>186220</v>
      </c>
      <c r="B408" s="73">
        <v>36313</v>
      </c>
      <c r="C408" s="74" t="s">
        <v>1074</v>
      </c>
      <c r="D408" s="74" t="s">
        <v>13</v>
      </c>
      <c r="E408" s="74" t="s">
        <v>1075</v>
      </c>
      <c r="F408" s="74" t="s">
        <v>1075</v>
      </c>
      <c r="G408" s="74" t="s">
        <v>15</v>
      </c>
      <c r="H408" s="75">
        <v>3250</v>
      </c>
      <c r="I408" s="75">
        <v>4590</v>
      </c>
      <c r="J408" s="74" t="s">
        <v>1076</v>
      </c>
      <c r="K408" s="74" t="s">
        <v>16</v>
      </c>
      <c r="L408" s="74"/>
      <c r="M408" s="74" t="s">
        <v>13</v>
      </c>
      <c r="N408" s="71" t="str">
        <f t="shared" si="6"/>
        <v>1</v>
      </c>
      <c r="O408" s="71" t="str">
        <f>INDEX(Кат!$D:$D,MATCH($A408,Кат!$A:$A,0))</f>
        <v>Y</v>
      </c>
    </row>
    <row r="409" spans="1:15" ht="75" x14ac:dyDescent="0.25">
      <c r="A409" s="73">
        <v>186221</v>
      </c>
      <c r="B409" s="73">
        <v>32520</v>
      </c>
      <c r="C409" s="74" t="s">
        <v>1077</v>
      </c>
      <c r="D409" s="74" t="s">
        <v>13</v>
      </c>
      <c r="E409" s="74" t="s">
        <v>1078</v>
      </c>
      <c r="F409" s="74" t="s">
        <v>1078</v>
      </c>
      <c r="G409" s="74" t="s">
        <v>15</v>
      </c>
      <c r="H409" s="75">
        <v>3355</v>
      </c>
      <c r="I409" s="75">
        <v>4690</v>
      </c>
      <c r="J409" s="74" t="s">
        <v>1079</v>
      </c>
      <c r="K409" s="74" t="s">
        <v>16</v>
      </c>
      <c r="L409" s="74"/>
      <c r="M409" s="74" t="s">
        <v>13</v>
      </c>
      <c r="N409" s="71" t="str">
        <f t="shared" si="6"/>
        <v>1</v>
      </c>
      <c r="O409" s="71" t="str">
        <f>INDEX(Кат!$D:$D,MATCH($A409,Кат!$A:$A,0))</f>
        <v>Y</v>
      </c>
    </row>
    <row r="410" spans="1:15" ht="75" x14ac:dyDescent="0.25">
      <c r="A410" s="73">
        <v>186222</v>
      </c>
      <c r="B410" s="73">
        <v>31449</v>
      </c>
      <c r="C410" s="74" t="s">
        <v>1080</v>
      </c>
      <c r="D410" s="74" t="s">
        <v>13</v>
      </c>
      <c r="E410" s="74" t="s">
        <v>1081</v>
      </c>
      <c r="F410" s="74" t="s">
        <v>1081</v>
      </c>
      <c r="G410" s="74" t="s">
        <v>15</v>
      </c>
      <c r="H410" s="75">
        <v>3027</v>
      </c>
      <c r="I410" s="75">
        <v>4290</v>
      </c>
      <c r="J410" s="74" t="s">
        <v>1082</v>
      </c>
      <c r="K410" s="74" t="s">
        <v>16</v>
      </c>
      <c r="L410" s="74"/>
      <c r="M410" s="74" t="s">
        <v>13</v>
      </c>
      <c r="N410" s="71" t="str">
        <f t="shared" si="6"/>
        <v>1</v>
      </c>
      <c r="O410" s="71" t="str">
        <f>INDEX(Кат!$D:$D,MATCH($A410,Кат!$A:$A,0))</f>
        <v>Y</v>
      </c>
    </row>
    <row r="411" spans="1:15" ht="75" x14ac:dyDescent="0.25">
      <c r="A411" s="73">
        <v>186223</v>
      </c>
      <c r="B411" s="73">
        <v>31312</v>
      </c>
      <c r="C411" s="74" t="s">
        <v>1083</v>
      </c>
      <c r="D411" s="74" t="s">
        <v>13</v>
      </c>
      <c r="E411" s="74" t="s">
        <v>1084</v>
      </c>
      <c r="F411" s="74" t="s">
        <v>1084</v>
      </c>
      <c r="G411" s="74" t="s">
        <v>15</v>
      </c>
      <c r="H411" s="75">
        <v>1106</v>
      </c>
      <c r="I411" s="75">
        <v>1690</v>
      </c>
      <c r="J411" s="74" t="s">
        <v>1085</v>
      </c>
      <c r="K411" s="74" t="s">
        <v>16</v>
      </c>
      <c r="L411" s="74"/>
      <c r="M411" s="74" t="s">
        <v>13</v>
      </c>
      <c r="N411" s="71" t="str">
        <f t="shared" si="6"/>
        <v>1</v>
      </c>
      <c r="O411" s="71" t="str">
        <f>INDEX(Кат!$D:$D,MATCH($A411,Кат!$A:$A,0))</f>
        <v>Y</v>
      </c>
    </row>
    <row r="412" spans="1:15" ht="75" x14ac:dyDescent="0.25">
      <c r="A412" s="73">
        <v>186224</v>
      </c>
      <c r="B412" s="73">
        <v>31313</v>
      </c>
      <c r="C412" s="74" t="s">
        <v>1086</v>
      </c>
      <c r="D412" s="74" t="s">
        <v>13</v>
      </c>
      <c r="E412" s="74" t="s">
        <v>1087</v>
      </c>
      <c r="F412" s="74" t="s">
        <v>1087</v>
      </c>
      <c r="G412" s="74" t="s">
        <v>15</v>
      </c>
      <c r="H412" s="75">
        <v>393</v>
      </c>
      <c r="I412" s="75">
        <v>629</v>
      </c>
      <c r="J412" s="74" t="s">
        <v>1088</v>
      </c>
      <c r="K412" s="74" t="s">
        <v>16</v>
      </c>
      <c r="L412" s="74"/>
      <c r="M412" s="74" t="s">
        <v>13</v>
      </c>
      <c r="N412" s="71" t="str">
        <f t="shared" si="6"/>
        <v>1</v>
      </c>
      <c r="O412" s="71" t="str">
        <f>INDEX(Кат!$D:$D,MATCH($A412,Кат!$A:$A,0))</f>
        <v>Y</v>
      </c>
    </row>
    <row r="413" spans="1:15" ht="45" x14ac:dyDescent="0.25">
      <c r="A413" s="73">
        <v>186225</v>
      </c>
      <c r="B413" s="73">
        <v>31208</v>
      </c>
      <c r="C413" s="74" t="s">
        <v>1089</v>
      </c>
      <c r="D413" s="74" t="s">
        <v>13</v>
      </c>
      <c r="E413" s="74" t="s">
        <v>1090</v>
      </c>
      <c r="F413" s="74" t="s">
        <v>1090</v>
      </c>
      <c r="G413" s="74" t="s">
        <v>15</v>
      </c>
      <c r="H413" s="75">
        <v>456</v>
      </c>
      <c r="I413" s="75">
        <v>729</v>
      </c>
      <c r="J413" s="74"/>
      <c r="K413" s="74" t="s">
        <v>16</v>
      </c>
      <c r="L413" s="74"/>
      <c r="M413" s="74" t="s">
        <v>13</v>
      </c>
      <c r="N413" s="71" t="str">
        <f t="shared" si="6"/>
        <v>1</v>
      </c>
      <c r="O413" s="71" t="str">
        <f>INDEX(Кат!$D:$D,MATCH($A413,Кат!$A:$A,0))</f>
        <v>Y</v>
      </c>
    </row>
    <row r="414" spans="1:15" ht="45" x14ac:dyDescent="0.25">
      <c r="A414" s="73">
        <v>186226</v>
      </c>
      <c r="B414" s="73">
        <v>31209</v>
      </c>
      <c r="C414" s="74" t="s">
        <v>1091</v>
      </c>
      <c r="D414" s="74" t="s">
        <v>13</v>
      </c>
      <c r="E414" s="74" t="s">
        <v>1092</v>
      </c>
      <c r="F414" s="74" t="s">
        <v>1092</v>
      </c>
      <c r="G414" s="74" t="s">
        <v>15</v>
      </c>
      <c r="H414" s="75">
        <v>456</v>
      </c>
      <c r="I414" s="75">
        <v>729</v>
      </c>
      <c r="J414" s="74"/>
      <c r="K414" s="74" t="s">
        <v>16</v>
      </c>
      <c r="L414" s="74"/>
      <c r="M414" s="74" t="s">
        <v>13</v>
      </c>
      <c r="N414" s="71" t="str">
        <f t="shared" si="6"/>
        <v>1</v>
      </c>
      <c r="O414" s="71" t="str">
        <f>INDEX(Кат!$D:$D,MATCH($A414,Кат!$A:$A,0))</f>
        <v>Y</v>
      </c>
    </row>
    <row r="415" spans="1:15" ht="75" x14ac:dyDescent="0.25">
      <c r="A415" s="73">
        <v>186227</v>
      </c>
      <c r="B415" s="73">
        <v>31066</v>
      </c>
      <c r="C415" s="74" t="s">
        <v>1093</v>
      </c>
      <c r="D415" s="74" t="s">
        <v>13</v>
      </c>
      <c r="E415" s="74" t="s">
        <v>1094</v>
      </c>
      <c r="F415" s="74" t="s">
        <v>1094</v>
      </c>
      <c r="G415" s="74" t="s">
        <v>15</v>
      </c>
      <c r="H415" s="75">
        <v>9083</v>
      </c>
      <c r="I415" s="75">
        <v>12790</v>
      </c>
      <c r="J415" s="74" t="s">
        <v>1095</v>
      </c>
      <c r="K415" s="74" t="s">
        <v>16</v>
      </c>
      <c r="L415" s="74"/>
      <c r="M415" s="74" t="s">
        <v>13</v>
      </c>
      <c r="N415" s="71" t="str">
        <f t="shared" si="6"/>
        <v>1</v>
      </c>
      <c r="O415" s="71" t="str">
        <f>INDEX(Кат!$D:$D,MATCH($A415,Кат!$A:$A,0))</f>
        <v>Y</v>
      </c>
    </row>
    <row r="416" spans="1:15" ht="45" x14ac:dyDescent="0.25">
      <c r="A416" s="73">
        <v>186228</v>
      </c>
      <c r="B416" s="73">
        <v>32569</v>
      </c>
      <c r="C416" s="74" t="s">
        <v>1096</v>
      </c>
      <c r="D416" s="74" t="s">
        <v>13</v>
      </c>
      <c r="E416" s="74" t="s">
        <v>1097</v>
      </c>
      <c r="F416" s="74" t="s">
        <v>1097</v>
      </c>
      <c r="G416" s="74" t="s">
        <v>15</v>
      </c>
      <c r="H416" s="75">
        <v>310</v>
      </c>
      <c r="I416" s="75">
        <v>499</v>
      </c>
      <c r="J416" s="74"/>
      <c r="K416" s="74" t="s">
        <v>16</v>
      </c>
      <c r="L416" s="74"/>
      <c r="M416" s="74" t="s">
        <v>13</v>
      </c>
      <c r="N416" s="71" t="str">
        <f t="shared" si="6"/>
        <v>1</v>
      </c>
      <c r="O416" s="71" t="str">
        <f>INDEX(Кат!$D:$D,MATCH($A416,Кат!$A:$A,0))</f>
        <v>Y</v>
      </c>
    </row>
    <row r="417" spans="1:15" ht="75" x14ac:dyDescent="0.25">
      <c r="A417" s="73">
        <v>186229</v>
      </c>
      <c r="B417" s="73">
        <v>32545</v>
      </c>
      <c r="C417" s="74" t="s">
        <v>1098</v>
      </c>
      <c r="D417" s="74" t="s">
        <v>13</v>
      </c>
      <c r="E417" s="74" t="s">
        <v>1099</v>
      </c>
      <c r="F417" s="74" t="s">
        <v>1099</v>
      </c>
      <c r="G417" s="74" t="s">
        <v>15</v>
      </c>
      <c r="H417" s="75">
        <v>216</v>
      </c>
      <c r="I417" s="75">
        <v>389</v>
      </c>
      <c r="J417" s="74" t="s">
        <v>1100</v>
      </c>
      <c r="K417" s="74" t="s">
        <v>16</v>
      </c>
      <c r="L417" s="74"/>
      <c r="M417" s="74" t="s">
        <v>13</v>
      </c>
      <c r="N417" s="71" t="str">
        <f t="shared" si="6"/>
        <v>1</v>
      </c>
      <c r="O417" s="71" t="str">
        <f>INDEX(Кат!$D:$D,MATCH($A417,Кат!$A:$A,0))</f>
        <v>Y</v>
      </c>
    </row>
    <row r="418" spans="1:15" ht="75" x14ac:dyDescent="0.25">
      <c r="A418" s="73">
        <v>186230</v>
      </c>
      <c r="B418" s="73">
        <v>32543</v>
      </c>
      <c r="C418" s="74" t="s">
        <v>1101</v>
      </c>
      <c r="D418" s="74" t="s">
        <v>13</v>
      </c>
      <c r="E418" s="74" t="s">
        <v>1102</v>
      </c>
      <c r="F418" s="74" t="s">
        <v>1102</v>
      </c>
      <c r="G418" s="74" t="s">
        <v>15</v>
      </c>
      <c r="H418" s="75">
        <v>200</v>
      </c>
      <c r="I418" s="75">
        <v>359</v>
      </c>
      <c r="J418" s="74" t="s">
        <v>1103</v>
      </c>
      <c r="K418" s="74" t="s">
        <v>16</v>
      </c>
      <c r="L418" s="74"/>
      <c r="M418" s="74" t="s">
        <v>13</v>
      </c>
      <c r="N418" s="71" t="str">
        <f t="shared" si="6"/>
        <v>1</v>
      </c>
      <c r="O418" s="71" t="str">
        <f>INDEX(Кат!$D:$D,MATCH($A418,Кат!$A:$A,0))</f>
        <v>Y</v>
      </c>
    </row>
    <row r="419" spans="1:15" ht="45" x14ac:dyDescent="0.25">
      <c r="A419" s="73">
        <v>186235</v>
      </c>
      <c r="B419" s="73">
        <v>32735</v>
      </c>
      <c r="C419" s="74" t="s">
        <v>1104</v>
      </c>
      <c r="D419" s="74" t="s">
        <v>13</v>
      </c>
      <c r="E419" s="74" t="s">
        <v>1105</v>
      </c>
      <c r="F419" s="74" t="s">
        <v>1105</v>
      </c>
      <c r="G419" s="74" t="s">
        <v>15</v>
      </c>
      <c r="H419" s="75">
        <v>17971</v>
      </c>
      <c r="I419" s="75">
        <v>23390</v>
      </c>
      <c r="J419" s="74"/>
      <c r="K419" s="74" t="s">
        <v>16</v>
      </c>
      <c r="L419" s="74"/>
      <c r="M419" s="74" t="s">
        <v>13</v>
      </c>
      <c r="N419" s="71" t="str">
        <f t="shared" si="6"/>
        <v>1</v>
      </c>
      <c r="O419" s="71" t="str">
        <f>INDEX(Кат!$D:$D,MATCH($A419,Кат!$A:$A,0))</f>
        <v>Y</v>
      </c>
    </row>
    <row r="420" spans="1:15" ht="45" x14ac:dyDescent="0.25">
      <c r="A420" s="73">
        <v>186231</v>
      </c>
      <c r="B420" s="73">
        <v>50583</v>
      </c>
      <c r="C420" s="74" t="s">
        <v>1106</v>
      </c>
      <c r="D420" s="74" t="s">
        <v>13</v>
      </c>
      <c r="E420" s="74" t="s">
        <v>1107</v>
      </c>
      <c r="F420" s="74" t="s">
        <v>1107</v>
      </c>
      <c r="G420" s="74" t="s">
        <v>15</v>
      </c>
      <c r="H420" s="75">
        <v>4488.8999999999996</v>
      </c>
      <c r="I420" s="75">
        <v>6290</v>
      </c>
      <c r="J420" s="74"/>
      <c r="K420" s="74" t="s">
        <v>16</v>
      </c>
      <c r="L420" s="74"/>
      <c r="M420" s="74" t="s">
        <v>13</v>
      </c>
      <c r="N420" s="71" t="str">
        <f t="shared" si="6"/>
        <v>1</v>
      </c>
      <c r="O420" s="71" t="str">
        <f>INDEX(Кат!$D:$D,MATCH($A420,Кат!$A:$A,0))</f>
        <v>Y</v>
      </c>
    </row>
    <row r="421" spans="1:15" ht="45" x14ac:dyDescent="0.25">
      <c r="A421" s="73">
        <v>186232</v>
      </c>
      <c r="B421" s="73">
        <v>44879</v>
      </c>
      <c r="C421" s="74" t="s">
        <v>1108</v>
      </c>
      <c r="D421" s="74" t="s">
        <v>13</v>
      </c>
      <c r="E421" s="74" t="s">
        <v>1109</v>
      </c>
      <c r="F421" s="74" t="s">
        <v>1110</v>
      </c>
      <c r="G421" s="74" t="s">
        <v>15</v>
      </c>
      <c r="H421" s="75">
        <v>5260</v>
      </c>
      <c r="I421" s="75">
        <v>7390</v>
      </c>
      <c r="J421" s="74"/>
      <c r="K421" s="74" t="s">
        <v>16</v>
      </c>
      <c r="L421" s="74"/>
      <c r="M421" s="74" t="s">
        <v>13</v>
      </c>
      <c r="N421" s="71" t="str">
        <f t="shared" si="6"/>
        <v>1</v>
      </c>
      <c r="O421" s="71" t="str">
        <f>INDEX(Кат!$D:$D,MATCH($A421,Кат!$A:$A,0))</f>
        <v>Y</v>
      </c>
    </row>
    <row r="422" spans="1:15" ht="45" x14ac:dyDescent="0.25">
      <c r="A422" s="73">
        <v>186233</v>
      </c>
      <c r="B422" s="73">
        <v>48331</v>
      </c>
      <c r="C422" s="74" t="s">
        <v>1111</v>
      </c>
      <c r="D422" s="74" t="s">
        <v>13</v>
      </c>
      <c r="E422" s="74" t="s">
        <v>1112</v>
      </c>
      <c r="F422" s="74" t="s">
        <v>1113</v>
      </c>
      <c r="G422" s="74" t="s">
        <v>15</v>
      </c>
      <c r="H422" s="75">
        <v>7578</v>
      </c>
      <c r="I422" s="75">
        <v>10690</v>
      </c>
      <c r="J422" s="74"/>
      <c r="K422" s="74" t="s">
        <v>16</v>
      </c>
      <c r="L422" s="74"/>
      <c r="M422" s="74" t="s">
        <v>13</v>
      </c>
      <c r="N422" s="71" t="str">
        <f t="shared" si="6"/>
        <v>1</v>
      </c>
      <c r="O422" s="71" t="str">
        <f>INDEX(Кат!$D:$D,MATCH($A422,Кат!$A:$A,0))</f>
        <v>Y</v>
      </c>
    </row>
    <row r="423" spans="1:15" ht="30" x14ac:dyDescent="0.25">
      <c r="A423" s="73">
        <v>186234</v>
      </c>
      <c r="B423" s="73">
        <v>47910</v>
      </c>
      <c r="C423" s="74" t="s">
        <v>1114</v>
      </c>
      <c r="D423" s="74" t="s">
        <v>13</v>
      </c>
      <c r="E423" s="74" t="s">
        <v>1115</v>
      </c>
      <c r="F423" s="74" t="s">
        <v>1116</v>
      </c>
      <c r="G423" s="74" t="s">
        <v>15</v>
      </c>
      <c r="H423" s="75">
        <v>14602</v>
      </c>
      <c r="I423" s="75">
        <v>20490</v>
      </c>
      <c r="J423" s="74"/>
      <c r="K423" s="74" t="s">
        <v>16</v>
      </c>
      <c r="L423" s="74"/>
      <c r="M423" s="74" t="s">
        <v>13</v>
      </c>
      <c r="N423" s="71" t="str">
        <f t="shared" si="6"/>
        <v>1</v>
      </c>
      <c r="O423" s="71" t="str">
        <f>INDEX(Кат!$D:$D,MATCH($A423,Кат!$A:$A,0))</f>
        <v>Y</v>
      </c>
    </row>
    <row r="424" spans="1:15" ht="30" x14ac:dyDescent="0.25">
      <c r="A424" s="73">
        <v>186236</v>
      </c>
      <c r="B424" s="73">
        <v>32744</v>
      </c>
      <c r="C424" s="74" t="s">
        <v>1117</v>
      </c>
      <c r="D424" s="74" t="s">
        <v>13</v>
      </c>
      <c r="E424" s="74" t="s">
        <v>1118</v>
      </c>
      <c r="F424" s="74" t="s">
        <v>1118</v>
      </c>
      <c r="G424" s="74" t="s">
        <v>15</v>
      </c>
      <c r="H424" s="75">
        <v>7854</v>
      </c>
      <c r="I424" s="75">
        <v>10990</v>
      </c>
      <c r="J424" s="74"/>
      <c r="K424" s="74" t="s">
        <v>16</v>
      </c>
      <c r="L424" s="74"/>
      <c r="M424" s="74" t="s">
        <v>13</v>
      </c>
      <c r="N424" s="71" t="str">
        <f t="shared" si="6"/>
        <v>1</v>
      </c>
      <c r="O424" s="71" t="str">
        <f>INDEX(Кат!$D:$D,MATCH($A424,Кат!$A:$A,0))</f>
        <v>Y</v>
      </c>
    </row>
    <row r="425" spans="1:15" ht="30" x14ac:dyDescent="0.25">
      <c r="A425" s="73">
        <v>186237</v>
      </c>
      <c r="B425" s="73">
        <v>51421</v>
      </c>
      <c r="C425" s="74" t="s">
        <v>1119</v>
      </c>
      <c r="D425" s="74" t="s">
        <v>13</v>
      </c>
      <c r="E425" s="74" t="s">
        <v>1120</v>
      </c>
      <c r="F425" s="74" t="s">
        <v>1121</v>
      </c>
      <c r="G425" s="74" t="s">
        <v>15</v>
      </c>
      <c r="H425" s="75">
        <v>28919</v>
      </c>
      <c r="I425" s="75">
        <v>40490</v>
      </c>
      <c r="J425" s="74"/>
      <c r="K425" s="74" t="s">
        <v>16</v>
      </c>
      <c r="L425" s="74"/>
      <c r="M425" s="74" t="s">
        <v>13</v>
      </c>
      <c r="N425" s="71" t="str">
        <f t="shared" si="6"/>
        <v>1</v>
      </c>
      <c r="O425" s="71" t="str">
        <f>INDEX(Кат!$D:$D,MATCH($A425,Кат!$A:$A,0))</f>
        <v>Y</v>
      </c>
    </row>
    <row r="426" spans="1:15" ht="30" x14ac:dyDescent="0.25">
      <c r="A426" s="73">
        <v>186238</v>
      </c>
      <c r="B426" s="73">
        <v>45778</v>
      </c>
      <c r="C426" s="74" t="s">
        <v>1122</v>
      </c>
      <c r="D426" s="74" t="s">
        <v>13</v>
      </c>
      <c r="E426" s="74" t="s">
        <v>1123</v>
      </c>
      <c r="F426" s="74" t="s">
        <v>1124</v>
      </c>
      <c r="G426" s="74" t="s">
        <v>15</v>
      </c>
      <c r="H426" s="75">
        <v>3280</v>
      </c>
      <c r="I426" s="75">
        <v>4590</v>
      </c>
      <c r="J426" s="74"/>
      <c r="K426" s="74" t="s">
        <v>16</v>
      </c>
      <c r="L426" s="74"/>
      <c r="M426" s="74" t="s">
        <v>13</v>
      </c>
      <c r="N426" s="71" t="str">
        <f t="shared" si="6"/>
        <v>1</v>
      </c>
      <c r="O426" s="71" t="str">
        <f>INDEX(Кат!$D:$D,MATCH($A426,Кат!$A:$A,0))</f>
        <v>Y</v>
      </c>
    </row>
    <row r="427" spans="1:15" ht="45" x14ac:dyDescent="0.25">
      <c r="A427" s="73">
        <v>186239</v>
      </c>
      <c r="B427" s="73">
        <v>48234</v>
      </c>
      <c r="C427" s="74" t="s">
        <v>1125</v>
      </c>
      <c r="D427" s="74" t="s">
        <v>13</v>
      </c>
      <c r="E427" s="74" t="s">
        <v>1126</v>
      </c>
      <c r="F427" s="74" t="s">
        <v>1127</v>
      </c>
      <c r="G427" s="74" t="s">
        <v>15</v>
      </c>
      <c r="H427" s="75">
        <v>4712</v>
      </c>
      <c r="I427" s="75">
        <v>6590</v>
      </c>
      <c r="J427" s="74"/>
      <c r="K427" s="74" t="s">
        <v>16</v>
      </c>
      <c r="L427" s="74"/>
      <c r="M427" s="74" t="s">
        <v>13</v>
      </c>
      <c r="N427" s="71" t="str">
        <f t="shared" si="6"/>
        <v>1</v>
      </c>
      <c r="O427" s="71" t="str">
        <f>INDEX(Кат!$D:$D,MATCH($A427,Кат!$A:$A,0))</f>
        <v>Y</v>
      </c>
    </row>
    <row r="428" spans="1:15" ht="60" x14ac:dyDescent="0.25">
      <c r="A428" s="73">
        <v>186240</v>
      </c>
      <c r="B428" s="73">
        <v>30981</v>
      </c>
      <c r="C428" s="74" t="s">
        <v>1128</v>
      </c>
      <c r="D428" s="74" t="s">
        <v>13</v>
      </c>
      <c r="E428" s="74" t="s">
        <v>1129</v>
      </c>
      <c r="F428" s="74" t="s">
        <v>1129</v>
      </c>
      <c r="G428" s="74" t="s">
        <v>15</v>
      </c>
      <c r="H428" s="75">
        <v>9296</v>
      </c>
      <c r="I428" s="75">
        <v>13090</v>
      </c>
      <c r="J428" s="74"/>
      <c r="K428" s="74" t="s">
        <v>16</v>
      </c>
      <c r="L428" s="74"/>
      <c r="M428" s="74" t="s">
        <v>13</v>
      </c>
      <c r="N428" s="71" t="str">
        <f t="shared" si="6"/>
        <v>1</v>
      </c>
      <c r="O428" s="71" t="str">
        <f>INDEX(Кат!$D:$D,MATCH($A428,Кат!$A:$A,0))</f>
        <v>Y</v>
      </c>
    </row>
    <row r="429" spans="1:15" ht="30" x14ac:dyDescent="0.25">
      <c r="A429" s="73">
        <v>186241</v>
      </c>
      <c r="B429" s="73">
        <v>32687</v>
      </c>
      <c r="C429" s="74" t="s">
        <v>1130</v>
      </c>
      <c r="D429" s="74" t="s">
        <v>13</v>
      </c>
      <c r="E429" s="74" t="s">
        <v>1131</v>
      </c>
      <c r="F429" s="74" t="s">
        <v>1131</v>
      </c>
      <c r="G429" s="74" t="s">
        <v>15</v>
      </c>
      <c r="H429" s="75">
        <v>8090</v>
      </c>
      <c r="I429" s="75">
        <v>11390</v>
      </c>
      <c r="J429" s="74"/>
      <c r="K429" s="74" t="s">
        <v>16</v>
      </c>
      <c r="L429" s="74"/>
      <c r="M429" s="74" t="s">
        <v>13</v>
      </c>
      <c r="N429" s="71" t="str">
        <f t="shared" si="6"/>
        <v>1</v>
      </c>
      <c r="O429" s="71" t="str">
        <f>INDEX(Кат!$D:$D,MATCH($A429,Кат!$A:$A,0))</f>
        <v>Y</v>
      </c>
    </row>
    <row r="430" spans="1:15" ht="45" x14ac:dyDescent="0.25">
      <c r="A430" s="73">
        <v>186242</v>
      </c>
      <c r="B430" s="73">
        <v>32531</v>
      </c>
      <c r="C430" s="74" t="s">
        <v>1132</v>
      </c>
      <c r="D430" s="74" t="s">
        <v>13</v>
      </c>
      <c r="E430" s="74" t="s">
        <v>1133</v>
      </c>
      <c r="F430" s="74" t="s">
        <v>1133</v>
      </c>
      <c r="G430" s="74" t="s">
        <v>15</v>
      </c>
      <c r="H430" s="75">
        <v>4666</v>
      </c>
      <c r="I430" s="75">
        <v>6590</v>
      </c>
      <c r="J430" s="74"/>
      <c r="K430" s="74" t="s">
        <v>16</v>
      </c>
      <c r="L430" s="74"/>
      <c r="M430" s="74" t="s">
        <v>13</v>
      </c>
      <c r="N430" s="71" t="str">
        <f t="shared" si="6"/>
        <v>1</v>
      </c>
      <c r="O430" s="71" t="str">
        <f>INDEX(Кат!$D:$D,MATCH($A430,Кат!$A:$A,0))</f>
        <v>Y</v>
      </c>
    </row>
    <row r="431" spans="1:15" ht="30" x14ac:dyDescent="0.25">
      <c r="A431" s="73">
        <v>186243</v>
      </c>
      <c r="B431" s="73">
        <v>32534</v>
      </c>
      <c r="C431" s="74" t="s">
        <v>1134</v>
      </c>
      <c r="D431" s="74" t="s">
        <v>13</v>
      </c>
      <c r="E431" s="74" t="s">
        <v>1135</v>
      </c>
      <c r="F431" s="74" t="s">
        <v>1135</v>
      </c>
      <c r="G431" s="74" t="s">
        <v>15</v>
      </c>
      <c r="H431" s="75">
        <v>8400</v>
      </c>
      <c r="I431" s="75">
        <v>11790</v>
      </c>
      <c r="J431" s="74"/>
      <c r="K431" s="74" t="s">
        <v>16</v>
      </c>
      <c r="L431" s="74"/>
      <c r="M431" s="74" t="s">
        <v>13</v>
      </c>
      <c r="N431" s="71" t="str">
        <f t="shared" si="6"/>
        <v>1</v>
      </c>
      <c r="O431" s="71" t="str">
        <f>INDEX(Кат!$D:$D,MATCH($A431,Кат!$A:$A,0))</f>
        <v>Y</v>
      </c>
    </row>
    <row r="432" spans="1:15" ht="30" x14ac:dyDescent="0.25">
      <c r="A432" s="73">
        <v>186244</v>
      </c>
      <c r="B432" s="73">
        <v>32549</v>
      </c>
      <c r="C432" s="74" t="s">
        <v>1136</v>
      </c>
      <c r="D432" s="74" t="s">
        <v>13</v>
      </c>
      <c r="E432" s="74" t="s">
        <v>1137</v>
      </c>
      <c r="F432" s="74" t="s">
        <v>1137</v>
      </c>
      <c r="G432" s="74" t="s">
        <v>15</v>
      </c>
      <c r="H432" s="75">
        <v>1583</v>
      </c>
      <c r="I432" s="75">
        <v>2390</v>
      </c>
      <c r="J432" s="74"/>
      <c r="K432" s="74" t="s">
        <v>16</v>
      </c>
      <c r="L432" s="74"/>
      <c r="M432" s="74" t="s">
        <v>13</v>
      </c>
      <c r="N432" s="71" t="str">
        <f t="shared" si="6"/>
        <v>1</v>
      </c>
      <c r="O432" s="71" t="str">
        <f>INDEX(Кат!$D:$D,MATCH($A432,Кат!$A:$A,0))</f>
        <v>Y</v>
      </c>
    </row>
    <row r="433" spans="1:15" ht="30" x14ac:dyDescent="0.25">
      <c r="A433" s="73">
        <v>186245</v>
      </c>
      <c r="B433" s="73">
        <v>32561</v>
      </c>
      <c r="C433" s="74" t="s">
        <v>1138</v>
      </c>
      <c r="D433" s="74" t="s">
        <v>13</v>
      </c>
      <c r="E433" s="74" t="s">
        <v>1139</v>
      </c>
      <c r="F433" s="74" t="s">
        <v>1139</v>
      </c>
      <c r="G433" s="74" t="s">
        <v>15</v>
      </c>
      <c r="H433" s="75">
        <v>4162</v>
      </c>
      <c r="I433" s="75">
        <v>5890</v>
      </c>
      <c r="J433" s="74"/>
      <c r="K433" s="74" t="s">
        <v>16</v>
      </c>
      <c r="L433" s="74"/>
      <c r="M433" s="74" t="s">
        <v>13</v>
      </c>
      <c r="N433" s="71" t="str">
        <f t="shared" si="6"/>
        <v>1</v>
      </c>
      <c r="O433" s="71" t="str">
        <f>INDEX(Кат!$D:$D,MATCH($A433,Кат!$A:$A,0))</f>
        <v>Y</v>
      </c>
    </row>
    <row r="434" spans="1:15" ht="30" x14ac:dyDescent="0.25">
      <c r="A434" s="73">
        <v>186246</v>
      </c>
      <c r="B434" s="73">
        <v>32570</v>
      </c>
      <c r="C434" s="74" t="s">
        <v>1140</v>
      </c>
      <c r="D434" s="74" t="s">
        <v>13</v>
      </c>
      <c r="E434" s="74" t="s">
        <v>1141</v>
      </c>
      <c r="F434" s="74" t="s">
        <v>1141</v>
      </c>
      <c r="G434" s="74" t="s">
        <v>15</v>
      </c>
      <c r="H434" s="75">
        <v>5832</v>
      </c>
      <c r="I434" s="75">
        <v>8190</v>
      </c>
      <c r="J434" s="74"/>
      <c r="K434" s="74" t="s">
        <v>16</v>
      </c>
      <c r="L434" s="74"/>
      <c r="M434" s="74" t="s">
        <v>13</v>
      </c>
      <c r="N434" s="71" t="str">
        <f t="shared" si="6"/>
        <v>1</v>
      </c>
      <c r="O434" s="71" t="str">
        <f>INDEX(Кат!$D:$D,MATCH($A434,Кат!$A:$A,0))</f>
        <v>Y</v>
      </c>
    </row>
    <row r="435" spans="1:15" ht="45" x14ac:dyDescent="0.25">
      <c r="A435" s="73">
        <v>186247</v>
      </c>
      <c r="B435" s="73">
        <v>32524</v>
      </c>
      <c r="C435" s="74" t="s">
        <v>1142</v>
      </c>
      <c r="D435" s="74" t="s">
        <v>13</v>
      </c>
      <c r="E435" s="74" t="s">
        <v>1143</v>
      </c>
      <c r="F435" s="74" t="s">
        <v>1143</v>
      </c>
      <c r="G435" s="74" t="s">
        <v>15</v>
      </c>
      <c r="H435" s="75">
        <v>6363</v>
      </c>
      <c r="I435" s="75">
        <v>8990</v>
      </c>
      <c r="J435" s="74"/>
      <c r="K435" s="74" t="s">
        <v>16</v>
      </c>
      <c r="L435" s="74"/>
      <c r="M435" s="74" t="s">
        <v>13</v>
      </c>
      <c r="N435" s="71" t="str">
        <f t="shared" si="6"/>
        <v>1</v>
      </c>
      <c r="O435" s="71" t="str">
        <f>INDEX(Кат!$D:$D,MATCH($A435,Кат!$A:$A,0))</f>
        <v>Y</v>
      </c>
    </row>
    <row r="436" spans="1:15" ht="30" x14ac:dyDescent="0.25">
      <c r="A436" s="73">
        <v>186248</v>
      </c>
      <c r="B436" s="73">
        <v>32636</v>
      </c>
      <c r="C436" s="74" t="s">
        <v>1144</v>
      </c>
      <c r="D436" s="74" t="s">
        <v>13</v>
      </c>
      <c r="E436" s="74" t="s">
        <v>1145</v>
      </c>
      <c r="F436" s="74" t="s">
        <v>1145</v>
      </c>
      <c r="G436" s="74" t="s">
        <v>15</v>
      </c>
      <c r="H436" s="75">
        <v>9120</v>
      </c>
      <c r="I436" s="75">
        <v>12790</v>
      </c>
      <c r="J436" s="74"/>
      <c r="K436" s="74" t="s">
        <v>16</v>
      </c>
      <c r="L436" s="74"/>
      <c r="M436" s="74" t="s">
        <v>13</v>
      </c>
      <c r="N436" s="71" t="str">
        <f t="shared" si="6"/>
        <v>1</v>
      </c>
      <c r="O436" s="71" t="str">
        <f>INDEX(Кат!$D:$D,MATCH($A436,Кат!$A:$A,0))</f>
        <v>Y</v>
      </c>
    </row>
    <row r="437" spans="1:15" ht="45" x14ac:dyDescent="0.25">
      <c r="A437" s="73">
        <v>186249</v>
      </c>
      <c r="B437" s="73">
        <v>32698</v>
      </c>
      <c r="C437" s="74" t="s">
        <v>1146</v>
      </c>
      <c r="D437" s="74" t="s">
        <v>13</v>
      </c>
      <c r="E437" s="74" t="s">
        <v>1147</v>
      </c>
      <c r="F437" s="74" t="s">
        <v>1147</v>
      </c>
      <c r="G437" s="74" t="s">
        <v>15</v>
      </c>
      <c r="H437" s="75">
        <v>6124</v>
      </c>
      <c r="I437" s="75">
        <v>8590</v>
      </c>
      <c r="J437" s="74"/>
      <c r="K437" s="74" t="s">
        <v>16</v>
      </c>
      <c r="L437" s="74"/>
      <c r="M437" s="74" t="s">
        <v>13</v>
      </c>
      <c r="N437" s="71" t="str">
        <f t="shared" si="6"/>
        <v>1</v>
      </c>
      <c r="O437" s="71" t="str">
        <f>INDEX(Кат!$D:$D,MATCH($A437,Кат!$A:$A,0))</f>
        <v>Y</v>
      </c>
    </row>
    <row r="438" spans="1:15" ht="60" x14ac:dyDescent="0.25">
      <c r="A438" s="73">
        <v>186250</v>
      </c>
      <c r="B438" s="73">
        <v>32665</v>
      </c>
      <c r="C438" s="74" t="s">
        <v>1148</v>
      </c>
      <c r="D438" s="74" t="s">
        <v>13</v>
      </c>
      <c r="E438" s="74" t="s">
        <v>1149</v>
      </c>
      <c r="F438" s="74" t="s">
        <v>1149</v>
      </c>
      <c r="G438" s="74" t="s">
        <v>15</v>
      </c>
      <c r="H438" s="75">
        <v>16574</v>
      </c>
      <c r="I438" s="75">
        <v>23290</v>
      </c>
      <c r="J438" s="74"/>
      <c r="K438" s="74" t="s">
        <v>16</v>
      </c>
      <c r="L438" s="74"/>
      <c r="M438" s="74" t="s">
        <v>13</v>
      </c>
      <c r="N438" s="71" t="str">
        <f t="shared" si="6"/>
        <v>1</v>
      </c>
      <c r="O438" s="71" t="str">
        <f>INDEX(Кат!$D:$D,MATCH($A438,Кат!$A:$A,0))</f>
        <v>Y</v>
      </c>
    </row>
    <row r="439" spans="1:15" ht="45" x14ac:dyDescent="0.25">
      <c r="A439" s="73">
        <v>186251</v>
      </c>
      <c r="B439" s="73">
        <v>32639</v>
      </c>
      <c r="C439" s="74" t="s">
        <v>1150</v>
      </c>
      <c r="D439" s="74" t="s">
        <v>13</v>
      </c>
      <c r="E439" s="74" t="s">
        <v>1151</v>
      </c>
      <c r="F439" s="74" t="s">
        <v>1151</v>
      </c>
      <c r="G439" s="74" t="s">
        <v>15</v>
      </c>
      <c r="H439" s="75">
        <v>4247</v>
      </c>
      <c r="I439" s="75">
        <v>5990</v>
      </c>
      <c r="J439" s="74"/>
      <c r="K439" s="74" t="s">
        <v>16</v>
      </c>
      <c r="L439" s="74"/>
      <c r="M439" s="74" t="s">
        <v>13</v>
      </c>
      <c r="N439" s="71" t="str">
        <f t="shared" si="6"/>
        <v>1</v>
      </c>
      <c r="O439" s="71" t="str">
        <f>INDEX(Кат!$D:$D,MATCH($A439,Кат!$A:$A,0))</f>
        <v>Y</v>
      </c>
    </row>
    <row r="440" spans="1:15" ht="60" x14ac:dyDescent="0.25">
      <c r="A440" s="73">
        <v>186252</v>
      </c>
      <c r="B440" s="73">
        <v>46246</v>
      </c>
      <c r="C440" s="74" t="s">
        <v>1152</v>
      </c>
      <c r="D440" s="74" t="s">
        <v>13</v>
      </c>
      <c r="E440" s="74" t="s">
        <v>1153</v>
      </c>
      <c r="F440" s="74" t="s">
        <v>1154</v>
      </c>
      <c r="G440" s="74" t="s">
        <v>15</v>
      </c>
      <c r="H440" s="75">
        <v>488</v>
      </c>
      <c r="I440" s="75">
        <v>789</v>
      </c>
      <c r="J440" s="74"/>
      <c r="K440" s="74" t="s">
        <v>16</v>
      </c>
      <c r="L440" s="74"/>
      <c r="M440" s="74" t="s">
        <v>13</v>
      </c>
      <c r="N440" s="71" t="str">
        <f t="shared" si="6"/>
        <v>1</v>
      </c>
      <c r="O440" s="71" t="str">
        <f>INDEX(Кат!$D:$D,MATCH($A440,Кат!$A:$A,0))</f>
        <v>Y</v>
      </c>
    </row>
    <row r="441" spans="1:15" ht="45" x14ac:dyDescent="0.25">
      <c r="A441" s="73">
        <v>186254</v>
      </c>
      <c r="B441" s="73">
        <v>46184</v>
      </c>
      <c r="C441" s="74" t="s">
        <v>1155</v>
      </c>
      <c r="D441" s="74" t="s">
        <v>13</v>
      </c>
      <c r="E441" s="74" t="s">
        <v>1156</v>
      </c>
      <c r="F441" s="74" t="s">
        <v>1157</v>
      </c>
      <c r="G441" s="74" t="s">
        <v>15</v>
      </c>
      <c r="H441" s="75">
        <v>479</v>
      </c>
      <c r="I441" s="75">
        <v>769</v>
      </c>
      <c r="J441" s="74"/>
      <c r="K441" s="74" t="s">
        <v>16</v>
      </c>
      <c r="L441" s="74"/>
      <c r="M441" s="74" t="s">
        <v>13</v>
      </c>
      <c r="N441" s="71" t="str">
        <f t="shared" si="6"/>
        <v>1</v>
      </c>
      <c r="O441" s="71" t="str">
        <f>INDEX(Кат!$D:$D,MATCH($A441,Кат!$A:$A,0))</f>
        <v>Y</v>
      </c>
    </row>
    <row r="442" spans="1:15" ht="45" x14ac:dyDescent="0.25">
      <c r="A442" s="73">
        <v>347105</v>
      </c>
      <c r="B442" s="73">
        <v>347105</v>
      </c>
      <c r="C442" s="74" t="s">
        <v>1158</v>
      </c>
      <c r="D442" s="74" t="s">
        <v>13</v>
      </c>
      <c r="E442" s="74" t="s">
        <v>1159</v>
      </c>
      <c r="F442" s="74"/>
      <c r="G442" s="74" t="s">
        <v>15</v>
      </c>
      <c r="H442" s="75">
        <v>15856</v>
      </c>
      <c r="I442" s="75">
        <v>20690</v>
      </c>
      <c r="J442" s="74"/>
      <c r="K442" s="74" t="s">
        <v>16</v>
      </c>
      <c r="L442" s="74"/>
      <c r="M442" s="74"/>
      <c r="N442" s="71" t="str">
        <f t="shared" si="6"/>
        <v>1</v>
      </c>
      <c r="O442" s="71" t="str">
        <f>INDEX(Кат!$D:$D,MATCH($A442,Кат!$A:$A,0))</f>
        <v>Y</v>
      </c>
    </row>
    <row r="443" spans="1:15" ht="45" x14ac:dyDescent="0.25">
      <c r="A443" s="73">
        <v>186257</v>
      </c>
      <c r="B443" s="73">
        <v>26481</v>
      </c>
      <c r="C443" s="74" t="s">
        <v>1160</v>
      </c>
      <c r="D443" s="74" t="s">
        <v>13</v>
      </c>
      <c r="E443" s="74" t="s">
        <v>1161</v>
      </c>
      <c r="F443" s="74" t="s">
        <v>1161</v>
      </c>
      <c r="G443" s="74" t="s">
        <v>15</v>
      </c>
      <c r="H443" s="75">
        <v>719</v>
      </c>
      <c r="I443" s="75">
        <v>1190</v>
      </c>
      <c r="J443" s="74"/>
      <c r="K443" s="74" t="s">
        <v>16</v>
      </c>
      <c r="L443" s="74"/>
      <c r="M443" s="74"/>
      <c r="N443" s="71" t="str">
        <f t="shared" si="6"/>
        <v>1</v>
      </c>
      <c r="O443" s="71" t="str">
        <f>INDEX(Кат!$D:$D,MATCH($A443,Кат!$A:$A,0))</f>
        <v>Y</v>
      </c>
    </row>
    <row r="444" spans="1:15" ht="45" x14ac:dyDescent="0.25">
      <c r="A444" s="73">
        <v>186258</v>
      </c>
      <c r="B444" s="73">
        <v>23629</v>
      </c>
      <c r="C444" s="74" t="s">
        <v>1162</v>
      </c>
      <c r="D444" s="74" t="s">
        <v>13</v>
      </c>
      <c r="E444" s="74" t="s">
        <v>1163</v>
      </c>
      <c r="F444" s="74" t="s">
        <v>1163</v>
      </c>
      <c r="G444" s="74" t="s">
        <v>15</v>
      </c>
      <c r="H444" s="75">
        <v>1224</v>
      </c>
      <c r="I444" s="75">
        <v>1890</v>
      </c>
      <c r="J444" s="74"/>
      <c r="K444" s="74" t="s">
        <v>16</v>
      </c>
      <c r="L444" s="74"/>
      <c r="M444" s="74"/>
      <c r="N444" s="71" t="str">
        <f t="shared" si="6"/>
        <v>1</v>
      </c>
      <c r="O444" s="71" t="str">
        <f>INDEX(Кат!$D:$D,MATCH($A444,Кат!$A:$A,0))</f>
        <v>Y</v>
      </c>
    </row>
    <row r="445" spans="1:15" ht="45" x14ac:dyDescent="0.25">
      <c r="A445" s="73">
        <v>186256</v>
      </c>
      <c r="B445" s="73">
        <v>45755</v>
      </c>
      <c r="C445" s="74" t="s">
        <v>1164</v>
      </c>
      <c r="D445" s="74" t="s">
        <v>13</v>
      </c>
      <c r="E445" s="74" t="s">
        <v>1165</v>
      </c>
      <c r="F445" s="74" t="s">
        <v>1166</v>
      </c>
      <c r="G445" s="74" t="s">
        <v>15</v>
      </c>
      <c r="H445" s="75">
        <v>785.76</v>
      </c>
      <c r="I445" s="75">
        <v>1290</v>
      </c>
      <c r="J445" s="74"/>
      <c r="K445" s="74" t="s">
        <v>16</v>
      </c>
      <c r="L445" s="74"/>
      <c r="M445" s="74" t="s">
        <v>13</v>
      </c>
      <c r="N445" s="71" t="str">
        <f t="shared" si="6"/>
        <v>1</v>
      </c>
      <c r="O445" s="71" t="str">
        <f>INDEX(Кат!$D:$D,MATCH($A445,Кат!$A:$A,0))</f>
        <v>Y</v>
      </c>
    </row>
    <row r="446" spans="1:15" ht="30" x14ac:dyDescent="0.25">
      <c r="A446" s="73">
        <v>186260</v>
      </c>
      <c r="B446" s="73">
        <v>41662</v>
      </c>
      <c r="C446" s="74" t="s">
        <v>1167</v>
      </c>
      <c r="D446" s="74" t="s">
        <v>13</v>
      </c>
      <c r="E446" s="74" t="s">
        <v>1168</v>
      </c>
      <c r="F446" s="74" t="s">
        <v>1169</v>
      </c>
      <c r="G446" s="74" t="s">
        <v>15</v>
      </c>
      <c r="H446" s="75">
        <v>6858</v>
      </c>
      <c r="I446" s="75">
        <v>9290</v>
      </c>
      <c r="J446" s="74"/>
      <c r="K446" s="74" t="s">
        <v>16</v>
      </c>
      <c r="L446" s="74"/>
      <c r="M446" s="74" t="s">
        <v>13</v>
      </c>
      <c r="N446" s="71" t="str">
        <f t="shared" si="6"/>
        <v>1</v>
      </c>
      <c r="O446" s="71" t="str">
        <f>INDEX(Кат!$D:$D,MATCH($A446,Кат!$A:$A,0))</f>
        <v>Y</v>
      </c>
    </row>
    <row r="447" spans="1:15" ht="60" x14ac:dyDescent="0.25">
      <c r="A447" s="73">
        <v>186261</v>
      </c>
      <c r="B447" s="73">
        <v>41681</v>
      </c>
      <c r="C447" s="74" t="s">
        <v>1170</v>
      </c>
      <c r="D447" s="74" t="s">
        <v>13</v>
      </c>
      <c r="E447" s="74" t="s">
        <v>1171</v>
      </c>
      <c r="F447" s="74" t="s">
        <v>1172</v>
      </c>
      <c r="G447" s="74" t="s">
        <v>15</v>
      </c>
      <c r="H447" s="75">
        <v>27321</v>
      </c>
      <c r="I447" s="75">
        <v>38290</v>
      </c>
      <c r="J447" s="74"/>
      <c r="K447" s="74" t="s">
        <v>16</v>
      </c>
      <c r="L447" s="74"/>
      <c r="M447" s="74" t="s">
        <v>13</v>
      </c>
      <c r="N447" s="71" t="str">
        <f t="shared" si="6"/>
        <v>1</v>
      </c>
      <c r="O447" s="71" t="str">
        <f>INDEX(Кат!$D:$D,MATCH($A447,Кат!$A:$A,0))</f>
        <v>Y</v>
      </c>
    </row>
    <row r="448" spans="1:15" ht="45" x14ac:dyDescent="0.25">
      <c r="A448" s="73">
        <v>186262</v>
      </c>
      <c r="B448" s="73">
        <v>23533</v>
      </c>
      <c r="C448" s="74" t="s">
        <v>1173</v>
      </c>
      <c r="D448" s="74" t="s">
        <v>13</v>
      </c>
      <c r="E448" s="74" t="s">
        <v>1174</v>
      </c>
      <c r="F448" s="74" t="s">
        <v>1174</v>
      </c>
      <c r="G448" s="74" t="s">
        <v>15</v>
      </c>
      <c r="H448" s="75">
        <v>594</v>
      </c>
      <c r="I448" s="75">
        <v>929</v>
      </c>
      <c r="J448" s="74"/>
      <c r="K448" s="74" t="s">
        <v>16</v>
      </c>
      <c r="L448" s="74"/>
      <c r="M448" s="74" t="s">
        <v>13</v>
      </c>
      <c r="N448" s="71" t="str">
        <f t="shared" si="6"/>
        <v>1</v>
      </c>
      <c r="O448" s="71" t="str">
        <f>INDEX(Кат!$D:$D,MATCH($A448,Кат!$A:$A,0))</f>
        <v>Y</v>
      </c>
    </row>
    <row r="449" spans="1:15" ht="45" x14ac:dyDescent="0.25">
      <c r="A449" s="73">
        <v>186263</v>
      </c>
      <c r="B449" s="73">
        <v>145946</v>
      </c>
      <c r="C449" s="74" t="s">
        <v>1175</v>
      </c>
      <c r="D449" s="74" t="s">
        <v>13</v>
      </c>
      <c r="E449" s="74" t="s">
        <v>1174</v>
      </c>
      <c r="F449" s="74"/>
      <c r="G449" s="74" t="s">
        <v>15</v>
      </c>
      <c r="H449" s="75">
        <v>550</v>
      </c>
      <c r="I449" s="75">
        <v>859</v>
      </c>
      <c r="J449" s="74"/>
      <c r="K449" s="74" t="s">
        <v>16</v>
      </c>
      <c r="L449" s="74"/>
      <c r="M449" s="74"/>
      <c r="N449" s="71" t="str">
        <f t="shared" si="6"/>
        <v>1</v>
      </c>
      <c r="O449" s="71" t="str">
        <f>INDEX(Кат!$D:$D,MATCH($A449,Кат!$A:$A,0))</f>
        <v>Y</v>
      </c>
    </row>
    <row r="450" spans="1:15" ht="75" x14ac:dyDescent="0.25">
      <c r="A450" s="73">
        <v>186264</v>
      </c>
      <c r="B450" s="73">
        <v>45783</v>
      </c>
      <c r="C450" s="74" t="s">
        <v>1176</v>
      </c>
      <c r="D450" s="74" t="s">
        <v>13</v>
      </c>
      <c r="E450" s="74" t="s">
        <v>1177</v>
      </c>
      <c r="F450" s="74" t="s">
        <v>1178</v>
      </c>
      <c r="G450" s="74" t="s">
        <v>15</v>
      </c>
      <c r="H450" s="75">
        <v>8265</v>
      </c>
      <c r="I450" s="75">
        <v>11590</v>
      </c>
      <c r="J450" s="74" t="s">
        <v>1179</v>
      </c>
      <c r="K450" s="74" t="s">
        <v>16</v>
      </c>
      <c r="L450" s="74"/>
      <c r="M450" s="74" t="s">
        <v>13</v>
      </c>
      <c r="N450" s="71" t="str">
        <f t="shared" si="6"/>
        <v>1</v>
      </c>
      <c r="O450" s="71" t="str">
        <f>INDEX(Кат!$D:$D,MATCH($A450,Кат!$A:$A,0))</f>
        <v>Y</v>
      </c>
    </row>
    <row r="451" spans="1:15" ht="30" x14ac:dyDescent="0.25">
      <c r="A451" s="73">
        <v>385885</v>
      </c>
      <c r="B451" s="73">
        <v>385885</v>
      </c>
      <c r="C451" s="74" t="s">
        <v>1180</v>
      </c>
      <c r="D451" s="74" t="s">
        <v>13</v>
      </c>
      <c r="E451" s="74" t="s">
        <v>1181</v>
      </c>
      <c r="F451" s="74"/>
      <c r="G451" s="74" t="s">
        <v>15</v>
      </c>
      <c r="H451" s="75">
        <v>405</v>
      </c>
      <c r="I451" s="75">
        <v>649</v>
      </c>
      <c r="J451" s="74"/>
      <c r="K451" s="74" t="s">
        <v>16</v>
      </c>
      <c r="L451" s="74"/>
      <c r="M451" s="74"/>
      <c r="N451" s="71" t="str">
        <f t="shared" ref="N451:N514" si="7">_xlfn.CONCAT(K451,IF(L451&lt;&gt;"",_xlfn.CONCAT("ск",L451),""))</f>
        <v>1</v>
      </c>
      <c r="O451" s="71" t="str">
        <f>INDEX(Кат!$D:$D,MATCH($A451,Кат!$A:$A,0))</f>
        <v>Y</v>
      </c>
    </row>
    <row r="452" spans="1:15" ht="60" x14ac:dyDescent="0.25">
      <c r="A452" s="73">
        <v>186266</v>
      </c>
      <c r="B452" s="73">
        <v>30699</v>
      </c>
      <c r="C452" s="74" t="s">
        <v>1182</v>
      </c>
      <c r="D452" s="74" t="s">
        <v>13</v>
      </c>
      <c r="E452" s="74" t="s">
        <v>1183</v>
      </c>
      <c r="F452" s="74"/>
      <c r="G452" s="74" t="s">
        <v>15</v>
      </c>
      <c r="H452" s="75">
        <v>1606</v>
      </c>
      <c r="I452" s="75">
        <v>2490</v>
      </c>
      <c r="J452" s="74" t="s">
        <v>1184</v>
      </c>
      <c r="K452" s="74" t="s">
        <v>16</v>
      </c>
      <c r="L452" s="74"/>
      <c r="M452" s="74" t="s">
        <v>13</v>
      </c>
      <c r="N452" s="71" t="str">
        <f t="shared" si="7"/>
        <v>1</v>
      </c>
      <c r="O452" s="71" t="str">
        <f>INDEX(Кат!$D:$D,MATCH($A452,Кат!$A:$A,0))</f>
        <v>Y</v>
      </c>
    </row>
    <row r="453" spans="1:15" ht="75" x14ac:dyDescent="0.25">
      <c r="A453" s="73">
        <v>186267</v>
      </c>
      <c r="B453" s="73">
        <v>30697</v>
      </c>
      <c r="C453" s="74" t="s">
        <v>1185</v>
      </c>
      <c r="D453" s="74" t="s">
        <v>13</v>
      </c>
      <c r="E453" s="74" t="s">
        <v>1186</v>
      </c>
      <c r="F453" s="74"/>
      <c r="G453" s="74" t="s">
        <v>15</v>
      </c>
      <c r="H453" s="75">
        <v>2792</v>
      </c>
      <c r="I453" s="75">
        <v>3990</v>
      </c>
      <c r="J453" s="74" t="s">
        <v>1187</v>
      </c>
      <c r="K453" s="74" t="s">
        <v>16</v>
      </c>
      <c r="L453" s="74"/>
      <c r="M453" s="74" t="s">
        <v>13</v>
      </c>
      <c r="N453" s="71" t="str">
        <f t="shared" si="7"/>
        <v>1</v>
      </c>
      <c r="O453" s="71" t="str">
        <f>INDEX(Кат!$D:$D,MATCH($A453,Кат!$A:$A,0))</f>
        <v>Y</v>
      </c>
    </row>
    <row r="454" spans="1:15" ht="45" x14ac:dyDescent="0.25">
      <c r="A454" s="73">
        <v>186268</v>
      </c>
      <c r="B454" s="73">
        <v>32699</v>
      </c>
      <c r="C454" s="74" t="s">
        <v>1188</v>
      </c>
      <c r="D454" s="74" t="s">
        <v>13</v>
      </c>
      <c r="E454" s="74" t="s">
        <v>1189</v>
      </c>
      <c r="F454" s="74" t="s">
        <v>1189</v>
      </c>
      <c r="G454" s="74" t="s">
        <v>15</v>
      </c>
      <c r="H454" s="75">
        <v>4642</v>
      </c>
      <c r="I454" s="75">
        <v>6490</v>
      </c>
      <c r="J454" s="74"/>
      <c r="K454" s="74" t="s">
        <v>16</v>
      </c>
      <c r="L454" s="74"/>
      <c r="M454" s="74" t="s">
        <v>13</v>
      </c>
      <c r="N454" s="71" t="str">
        <f t="shared" si="7"/>
        <v>1</v>
      </c>
      <c r="O454" s="71" t="str">
        <f>INDEX(Кат!$D:$D,MATCH($A454,Кат!$A:$A,0))</f>
        <v>Y</v>
      </c>
    </row>
    <row r="455" spans="1:15" ht="75" x14ac:dyDescent="0.25">
      <c r="A455" s="73">
        <v>186269</v>
      </c>
      <c r="B455" s="73">
        <v>32987</v>
      </c>
      <c r="C455" s="74" t="s">
        <v>1190</v>
      </c>
      <c r="D455" s="74" t="s">
        <v>13</v>
      </c>
      <c r="E455" s="74" t="s">
        <v>1191</v>
      </c>
      <c r="F455" s="74" t="s">
        <v>1191</v>
      </c>
      <c r="G455" s="74" t="s">
        <v>15</v>
      </c>
      <c r="H455" s="75">
        <v>5654</v>
      </c>
      <c r="I455" s="75">
        <v>7990</v>
      </c>
      <c r="J455" s="74" t="s">
        <v>1192</v>
      </c>
      <c r="K455" s="74" t="s">
        <v>16</v>
      </c>
      <c r="L455" s="74" t="s">
        <v>16</v>
      </c>
      <c r="M455" s="74"/>
      <c r="N455" s="71" t="str">
        <f t="shared" si="7"/>
        <v>1ск1</v>
      </c>
      <c r="O455" s="71" t="str">
        <f>INDEX(Кат!$D:$D,MATCH($A455,Кат!$A:$A,0))</f>
        <v>Y</v>
      </c>
    </row>
    <row r="456" spans="1:15" ht="75" x14ac:dyDescent="0.25">
      <c r="A456" s="73">
        <v>186270</v>
      </c>
      <c r="B456" s="73">
        <v>31454</v>
      </c>
      <c r="C456" s="74" t="s">
        <v>1193</v>
      </c>
      <c r="D456" s="74" t="s">
        <v>13</v>
      </c>
      <c r="E456" s="74" t="s">
        <v>1194</v>
      </c>
      <c r="F456" s="74" t="s">
        <v>1194</v>
      </c>
      <c r="G456" s="74" t="s">
        <v>15</v>
      </c>
      <c r="H456" s="75">
        <v>6346</v>
      </c>
      <c r="I456" s="75">
        <v>8590</v>
      </c>
      <c r="J456" s="74" t="s">
        <v>1195</v>
      </c>
      <c r="K456" s="74" t="s">
        <v>16</v>
      </c>
      <c r="L456" s="74"/>
      <c r="M456" s="74" t="s">
        <v>13</v>
      </c>
      <c r="N456" s="71" t="str">
        <f t="shared" si="7"/>
        <v>1</v>
      </c>
      <c r="O456" s="71" t="str">
        <f>INDEX(Кат!$D:$D,MATCH($A456,Кат!$A:$A,0))</f>
        <v>Y</v>
      </c>
    </row>
    <row r="457" spans="1:15" ht="75" x14ac:dyDescent="0.25">
      <c r="A457" s="73">
        <v>186271</v>
      </c>
      <c r="B457" s="73">
        <v>31437</v>
      </c>
      <c r="C457" s="74" t="s">
        <v>1196</v>
      </c>
      <c r="D457" s="74" t="s">
        <v>13</v>
      </c>
      <c r="E457" s="74" t="s">
        <v>1197</v>
      </c>
      <c r="F457" s="74" t="s">
        <v>1197</v>
      </c>
      <c r="G457" s="74" t="s">
        <v>15</v>
      </c>
      <c r="H457" s="75">
        <v>2875</v>
      </c>
      <c r="I457" s="75">
        <v>4090</v>
      </c>
      <c r="J457" s="74" t="s">
        <v>1198</v>
      </c>
      <c r="K457" s="74" t="s">
        <v>16</v>
      </c>
      <c r="L457" s="74"/>
      <c r="M457" s="74" t="s">
        <v>13</v>
      </c>
      <c r="N457" s="71" t="str">
        <f t="shared" si="7"/>
        <v>1</v>
      </c>
      <c r="O457" s="71" t="str">
        <f>INDEX(Кат!$D:$D,MATCH($A457,Кат!$A:$A,0))</f>
        <v>Y</v>
      </c>
    </row>
    <row r="458" spans="1:15" ht="60" x14ac:dyDescent="0.25">
      <c r="A458" s="73">
        <v>186272</v>
      </c>
      <c r="B458" s="73">
        <v>31160</v>
      </c>
      <c r="C458" s="74" t="s">
        <v>1199</v>
      </c>
      <c r="D458" s="74" t="s">
        <v>13</v>
      </c>
      <c r="E458" s="74" t="s">
        <v>1200</v>
      </c>
      <c r="F458" s="74" t="s">
        <v>1200</v>
      </c>
      <c r="G458" s="74" t="s">
        <v>15</v>
      </c>
      <c r="H458" s="75">
        <v>13770</v>
      </c>
      <c r="I458" s="75">
        <v>19290</v>
      </c>
      <c r="J458" s="74" t="s">
        <v>1201</v>
      </c>
      <c r="K458" s="74" t="s">
        <v>16</v>
      </c>
      <c r="L458" s="74"/>
      <c r="M458" s="74" t="s">
        <v>13</v>
      </c>
      <c r="N458" s="71" t="str">
        <f t="shared" si="7"/>
        <v>1</v>
      </c>
      <c r="O458" s="71" t="str">
        <f>INDEX(Кат!$D:$D,MATCH($A458,Кат!$A:$A,0))</f>
        <v>Y</v>
      </c>
    </row>
    <row r="459" spans="1:15" ht="75" x14ac:dyDescent="0.25">
      <c r="A459" s="73">
        <v>186273</v>
      </c>
      <c r="B459" s="73">
        <v>23624</v>
      </c>
      <c r="C459" s="74" t="s">
        <v>1202</v>
      </c>
      <c r="D459" s="74" t="s">
        <v>13</v>
      </c>
      <c r="E459" s="74" t="s">
        <v>1203</v>
      </c>
      <c r="F459" s="74" t="s">
        <v>1203</v>
      </c>
      <c r="G459" s="74" t="s">
        <v>15</v>
      </c>
      <c r="H459" s="75">
        <v>4984</v>
      </c>
      <c r="I459" s="75">
        <v>6990</v>
      </c>
      <c r="J459" s="74" t="s">
        <v>1204</v>
      </c>
      <c r="K459" s="74" t="s">
        <v>16</v>
      </c>
      <c r="L459" s="74"/>
      <c r="M459" s="74" t="s">
        <v>13</v>
      </c>
      <c r="N459" s="71" t="str">
        <f t="shared" si="7"/>
        <v>1</v>
      </c>
      <c r="O459" s="71" t="str">
        <f>INDEX(Кат!$D:$D,MATCH($A459,Кат!$A:$A,0))</f>
        <v>Y</v>
      </c>
    </row>
    <row r="460" spans="1:15" ht="60" x14ac:dyDescent="0.25">
      <c r="A460" s="73">
        <v>186274</v>
      </c>
      <c r="B460" s="73">
        <v>30701</v>
      </c>
      <c r="C460" s="74" t="s">
        <v>1205</v>
      </c>
      <c r="D460" s="74" t="s">
        <v>13</v>
      </c>
      <c r="E460" s="74" t="s">
        <v>1206</v>
      </c>
      <c r="F460" s="74" t="s">
        <v>1206</v>
      </c>
      <c r="G460" s="74" t="s">
        <v>15</v>
      </c>
      <c r="H460" s="75">
        <v>19000</v>
      </c>
      <c r="I460" s="75">
        <v>26590</v>
      </c>
      <c r="J460" s="74" t="s">
        <v>1207</v>
      </c>
      <c r="K460" s="74" t="s">
        <v>16</v>
      </c>
      <c r="L460" s="74"/>
      <c r="M460" s="74" t="s">
        <v>13</v>
      </c>
      <c r="N460" s="71" t="str">
        <f t="shared" si="7"/>
        <v>1</v>
      </c>
      <c r="O460" s="71" t="str">
        <f>INDEX(Кат!$D:$D,MATCH($A460,Кат!$A:$A,0))</f>
        <v>Y</v>
      </c>
    </row>
    <row r="461" spans="1:15" ht="45" x14ac:dyDescent="0.25">
      <c r="A461" s="73">
        <v>186275</v>
      </c>
      <c r="B461" s="73">
        <v>31171</v>
      </c>
      <c r="C461" s="74" t="s">
        <v>1208</v>
      </c>
      <c r="D461" s="74" t="s">
        <v>13</v>
      </c>
      <c r="E461" s="74" t="s">
        <v>1209</v>
      </c>
      <c r="F461" s="74" t="s">
        <v>1209</v>
      </c>
      <c r="G461" s="74" t="s">
        <v>15</v>
      </c>
      <c r="H461" s="75">
        <v>5853</v>
      </c>
      <c r="I461" s="75">
        <v>8190</v>
      </c>
      <c r="J461" s="74"/>
      <c r="K461" s="74" t="s">
        <v>16</v>
      </c>
      <c r="L461" s="74"/>
      <c r="M461" s="74" t="s">
        <v>13</v>
      </c>
      <c r="N461" s="71" t="str">
        <f t="shared" si="7"/>
        <v>1</v>
      </c>
      <c r="O461" s="71" t="str">
        <f>INDEX(Кат!$D:$D,MATCH($A461,Кат!$A:$A,0))</f>
        <v>Y</v>
      </c>
    </row>
    <row r="462" spans="1:15" ht="45" x14ac:dyDescent="0.25">
      <c r="A462" s="73">
        <v>186276</v>
      </c>
      <c r="B462" s="73">
        <v>31169</v>
      </c>
      <c r="C462" s="74" t="s">
        <v>1210</v>
      </c>
      <c r="D462" s="74" t="s">
        <v>13</v>
      </c>
      <c r="E462" s="74" t="s">
        <v>1211</v>
      </c>
      <c r="F462" s="74" t="s">
        <v>1211</v>
      </c>
      <c r="G462" s="74" t="s">
        <v>15</v>
      </c>
      <c r="H462" s="75">
        <v>2457</v>
      </c>
      <c r="I462" s="75">
        <v>3490</v>
      </c>
      <c r="J462" s="74"/>
      <c r="K462" s="74" t="s">
        <v>16</v>
      </c>
      <c r="L462" s="74"/>
      <c r="M462" s="74" t="s">
        <v>13</v>
      </c>
      <c r="N462" s="71" t="str">
        <f t="shared" si="7"/>
        <v>1</v>
      </c>
      <c r="O462" s="71" t="str">
        <f>INDEX(Кат!$D:$D,MATCH($A462,Кат!$A:$A,0))</f>
        <v>Y</v>
      </c>
    </row>
    <row r="463" spans="1:15" ht="30" x14ac:dyDescent="0.25">
      <c r="A463" s="73">
        <v>186277</v>
      </c>
      <c r="B463" s="73">
        <v>31293</v>
      </c>
      <c r="C463" s="74" t="s">
        <v>1212</v>
      </c>
      <c r="D463" s="74" t="s">
        <v>13</v>
      </c>
      <c r="E463" s="74" t="s">
        <v>1213</v>
      </c>
      <c r="F463" s="74" t="s">
        <v>1213</v>
      </c>
      <c r="G463" s="74" t="s">
        <v>15</v>
      </c>
      <c r="H463" s="75">
        <v>3831</v>
      </c>
      <c r="I463" s="75">
        <v>5390</v>
      </c>
      <c r="J463" s="74" t="s">
        <v>1214</v>
      </c>
      <c r="K463" s="74" t="s">
        <v>16</v>
      </c>
      <c r="L463" s="74"/>
      <c r="M463" s="74" t="s">
        <v>13</v>
      </c>
      <c r="N463" s="71" t="str">
        <f t="shared" si="7"/>
        <v>1</v>
      </c>
      <c r="O463" s="71" t="str">
        <f>INDEX(Кат!$D:$D,MATCH($A463,Кат!$A:$A,0))</f>
        <v>Y</v>
      </c>
    </row>
    <row r="464" spans="1:15" ht="30" x14ac:dyDescent="0.25">
      <c r="A464" s="73">
        <v>186278</v>
      </c>
      <c r="B464" s="73">
        <v>31292</v>
      </c>
      <c r="C464" s="74" t="s">
        <v>1215</v>
      </c>
      <c r="D464" s="74" t="s">
        <v>13</v>
      </c>
      <c r="E464" s="74" t="s">
        <v>1216</v>
      </c>
      <c r="F464" s="74" t="s">
        <v>1216</v>
      </c>
      <c r="G464" s="74" t="s">
        <v>15</v>
      </c>
      <c r="H464" s="75">
        <v>1111</v>
      </c>
      <c r="I464" s="75">
        <v>1690</v>
      </c>
      <c r="J464" s="74"/>
      <c r="K464" s="74" t="s">
        <v>16</v>
      </c>
      <c r="L464" s="74"/>
      <c r="M464" s="74" t="s">
        <v>13</v>
      </c>
      <c r="N464" s="71" t="str">
        <f t="shared" si="7"/>
        <v>1</v>
      </c>
      <c r="O464" s="71" t="str">
        <f>INDEX(Кат!$D:$D,MATCH($A464,Кат!$A:$A,0))</f>
        <v>Y</v>
      </c>
    </row>
    <row r="465" spans="1:15" ht="45" x14ac:dyDescent="0.25">
      <c r="A465" s="73">
        <v>186280</v>
      </c>
      <c r="B465" s="73">
        <v>31438</v>
      </c>
      <c r="C465" s="74" t="s">
        <v>1217</v>
      </c>
      <c r="D465" s="74" t="s">
        <v>13</v>
      </c>
      <c r="E465" s="74" t="s">
        <v>1218</v>
      </c>
      <c r="F465" s="74" t="s">
        <v>1218</v>
      </c>
      <c r="G465" s="74" t="s">
        <v>15</v>
      </c>
      <c r="H465" s="75">
        <v>2717</v>
      </c>
      <c r="I465" s="75">
        <v>3890</v>
      </c>
      <c r="J465" s="74"/>
      <c r="K465" s="74" t="s">
        <v>37</v>
      </c>
      <c r="L465" s="74"/>
      <c r="M465" s="74" t="s">
        <v>13</v>
      </c>
      <c r="N465" s="71" t="str">
        <f t="shared" si="7"/>
        <v>0</v>
      </c>
      <c r="O465" s="71" t="str">
        <f>INDEX(Кат!$D:$D,MATCH($A465,Кат!$A:$A,0))</f>
        <v>Y</v>
      </c>
    </row>
    <row r="466" spans="1:15" ht="60" x14ac:dyDescent="0.25">
      <c r="A466" s="73">
        <v>186281</v>
      </c>
      <c r="B466" s="73">
        <v>32510</v>
      </c>
      <c r="C466" s="74" t="s">
        <v>1219</v>
      </c>
      <c r="D466" s="74" t="s">
        <v>13</v>
      </c>
      <c r="E466" s="74" t="s">
        <v>1220</v>
      </c>
      <c r="F466" s="74" t="s">
        <v>1220</v>
      </c>
      <c r="G466" s="74" t="s">
        <v>15</v>
      </c>
      <c r="H466" s="75">
        <v>2622</v>
      </c>
      <c r="I466" s="75">
        <v>3690</v>
      </c>
      <c r="J466" s="74" t="s">
        <v>1221</v>
      </c>
      <c r="K466" s="74" t="s">
        <v>16</v>
      </c>
      <c r="L466" s="74"/>
      <c r="M466" s="74" t="s">
        <v>13</v>
      </c>
      <c r="N466" s="71" t="str">
        <f t="shared" si="7"/>
        <v>1</v>
      </c>
      <c r="O466" s="71" t="str">
        <f>INDEX(Кат!$D:$D,MATCH($A466,Кат!$A:$A,0))</f>
        <v>Y</v>
      </c>
    </row>
    <row r="467" spans="1:15" ht="45" x14ac:dyDescent="0.25">
      <c r="A467" s="73">
        <v>186282</v>
      </c>
      <c r="B467" s="73">
        <v>31166</v>
      </c>
      <c r="C467" s="74" t="s">
        <v>1222</v>
      </c>
      <c r="D467" s="74" t="s">
        <v>13</v>
      </c>
      <c r="E467" s="74" t="s">
        <v>1223</v>
      </c>
      <c r="F467" s="74" t="s">
        <v>1223</v>
      </c>
      <c r="G467" s="74" t="s">
        <v>15</v>
      </c>
      <c r="H467" s="75">
        <v>5265</v>
      </c>
      <c r="I467" s="75">
        <v>7390</v>
      </c>
      <c r="J467" s="74"/>
      <c r="K467" s="74" t="s">
        <v>16</v>
      </c>
      <c r="L467" s="74"/>
      <c r="M467" s="74" t="s">
        <v>13</v>
      </c>
      <c r="N467" s="71" t="str">
        <f t="shared" si="7"/>
        <v>1</v>
      </c>
      <c r="O467" s="71" t="str">
        <f>INDEX(Кат!$D:$D,MATCH($A467,Кат!$A:$A,0))</f>
        <v>Y</v>
      </c>
    </row>
    <row r="468" spans="1:15" ht="45" x14ac:dyDescent="0.25">
      <c r="A468" s="73">
        <v>186299</v>
      </c>
      <c r="B468" s="73">
        <v>41680</v>
      </c>
      <c r="C468" s="74" t="s">
        <v>1224</v>
      </c>
      <c r="D468" s="74" t="s">
        <v>13</v>
      </c>
      <c r="E468" s="74" t="s">
        <v>1225</v>
      </c>
      <c r="F468" s="74" t="s">
        <v>1226</v>
      </c>
      <c r="G468" s="74" t="s">
        <v>15</v>
      </c>
      <c r="H468" s="75">
        <v>1917</v>
      </c>
      <c r="I468" s="75">
        <v>2890</v>
      </c>
      <c r="J468" s="74"/>
      <c r="K468" s="74" t="s">
        <v>16</v>
      </c>
      <c r="L468" s="74"/>
      <c r="M468" s="74" t="s">
        <v>13</v>
      </c>
      <c r="N468" s="71" t="str">
        <f t="shared" si="7"/>
        <v>1</v>
      </c>
      <c r="O468" s="71" t="str">
        <f>INDEX(Кат!$D:$D,MATCH($A468,Кат!$A:$A,0))</f>
        <v>Y</v>
      </c>
    </row>
    <row r="469" spans="1:15" ht="75" x14ac:dyDescent="0.25">
      <c r="A469" s="73">
        <v>186300</v>
      </c>
      <c r="B469" s="73">
        <v>20166</v>
      </c>
      <c r="C469" s="74" t="s">
        <v>1227</v>
      </c>
      <c r="D469" s="74" t="s">
        <v>13</v>
      </c>
      <c r="E469" s="74" t="s">
        <v>1228</v>
      </c>
      <c r="F469" s="74" t="s">
        <v>1228</v>
      </c>
      <c r="G469" s="74" t="s">
        <v>15</v>
      </c>
      <c r="H469" s="75">
        <v>1619</v>
      </c>
      <c r="I469" s="75">
        <v>2490</v>
      </c>
      <c r="J469" s="74" t="s">
        <v>1229</v>
      </c>
      <c r="K469" s="74" t="s">
        <v>16</v>
      </c>
      <c r="L469" s="74"/>
      <c r="M469" s="74" t="s">
        <v>13</v>
      </c>
      <c r="N469" s="71" t="str">
        <f t="shared" si="7"/>
        <v>1</v>
      </c>
      <c r="O469" s="71" t="str">
        <f>INDEX(Кат!$D:$D,MATCH($A469,Кат!$A:$A,0))</f>
        <v>Y</v>
      </c>
    </row>
    <row r="470" spans="1:15" ht="45" x14ac:dyDescent="0.25">
      <c r="A470" s="73">
        <v>186302</v>
      </c>
      <c r="B470" s="73">
        <v>31424</v>
      </c>
      <c r="C470" s="74" t="s">
        <v>1230</v>
      </c>
      <c r="D470" s="74" t="s">
        <v>13</v>
      </c>
      <c r="E470" s="74" t="s">
        <v>1231</v>
      </c>
      <c r="F470" s="74" t="s">
        <v>1231</v>
      </c>
      <c r="G470" s="74" t="s">
        <v>15</v>
      </c>
      <c r="H470" s="75">
        <v>868</v>
      </c>
      <c r="I470" s="75">
        <v>1390</v>
      </c>
      <c r="J470" s="74"/>
      <c r="K470" s="74" t="s">
        <v>16</v>
      </c>
      <c r="L470" s="74"/>
      <c r="M470" s="74" t="s">
        <v>13</v>
      </c>
      <c r="N470" s="71" t="str">
        <f t="shared" si="7"/>
        <v>1</v>
      </c>
      <c r="O470" s="71" t="str">
        <f>INDEX(Кат!$D:$D,MATCH($A470,Кат!$A:$A,0))</f>
        <v>Y</v>
      </c>
    </row>
    <row r="471" spans="1:15" ht="45" x14ac:dyDescent="0.25">
      <c r="A471" s="73">
        <v>186303</v>
      </c>
      <c r="B471" s="73">
        <v>16962</v>
      </c>
      <c r="C471" s="74" t="s">
        <v>1232</v>
      </c>
      <c r="D471" s="74" t="s">
        <v>13</v>
      </c>
      <c r="E471" s="74" t="s">
        <v>1233</v>
      </c>
      <c r="F471" s="74" t="s">
        <v>1233</v>
      </c>
      <c r="G471" s="74" t="s">
        <v>15</v>
      </c>
      <c r="H471" s="75">
        <v>508</v>
      </c>
      <c r="I471" s="75">
        <v>789</v>
      </c>
      <c r="J471" s="74"/>
      <c r="K471" s="74" t="s">
        <v>16</v>
      </c>
      <c r="L471" s="74"/>
      <c r="M471" s="74"/>
      <c r="N471" s="71" t="str">
        <f t="shared" si="7"/>
        <v>1</v>
      </c>
      <c r="O471" s="71" t="str">
        <f>INDEX(Кат!$D:$D,MATCH($A471,Кат!$A:$A,0))</f>
        <v>Y</v>
      </c>
    </row>
    <row r="472" spans="1:15" ht="60" x14ac:dyDescent="0.25">
      <c r="A472" s="73">
        <v>186304</v>
      </c>
      <c r="B472" s="73">
        <v>31161</v>
      </c>
      <c r="C472" s="74" t="s">
        <v>1234</v>
      </c>
      <c r="D472" s="74" t="s">
        <v>13</v>
      </c>
      <c r="E472" s="74" t="s">
        <v>1235</v>
      </c>
      <c r="F472" s="74" t="s">
        <v>1235</v>
      </c>
      <c r="G472" s="74" t="s">
        <v>15</v>
      </c>
      <c r="H472" s="75">
        <v>883</v>
      </c>
      <c r="I472" s="75">
        <v>1390</v>
      </c>
      <c r="J472" s="74" t="s">
        <v>1236</v>
      </c>
      <c r="K472" s="74" t="s">
        <v>16</v>
      </c>
      <c r="L472" s="74"/>
      <c r="M472" s="74" t="s">
        <v>13</v>
      </c>
      <c r="N472" s="71" t="str">
        <f t="shared" si="7"/>
        <v>1</v>
      </c>
      <c r="O472" s="71" t="str">
        <f>INDEX(Кат!$D:$D,MATCH($A472,Кат!$A:$A,0))</f>
        <v>Y</v>
      </c>
    </row>
    <row r="473" spans="1:15" ht="60" x14ac:dyDescent="0.25">
      <c r="A473" s="73">
        <v>186305</v>
      </c>
      <c r="B473" s="73">
        <v>31162</v>
      </c>
      <c r="C473" s="74" t="s">
        <v>1237</v>
      </c>
      <c r="D473" s="74" t="s">
        <v>13</v>
      </c>
      <c r="E473" s="74" t="s">
        <v>1238</v>
      </c>
      <c r="F473" s="74" t="s">
        <v>1238</v>
      </c>
      <c r="G473" s="74" t="s">
        <v>15</v>
      </c>
      <c r="H473" s="75">
        <v>1061</v>
      </c>
      <c r="I473" s="75">
        <v>1590</v>
      </c>
      <c r="J473" s="74" t="s">
        <v>1239</v>
      </c>
      <c r="K473" s="74" t="s">
        <v>16</v>
      </c>
      <c r="L473" s="74"/>
      <c r="M473" s="74" t="s">
        <v>13</v>
      </c>
      <c r="N473" s="71" t="str">
        <f t="shared" si="7"/>
        <v>1</v>
      </c>
      <c r="O473" s="71" t="str">
        <f>INDEX(Кат!$D:$D,MATCH($A473,Кат!$A:$A,0))</f>
        <v>Y</v>
      </c>
    </row>
    <row r="474" spans="1:15" ht="75" x14ac:dyDescent="0.25">
      <c r="A474" s="73">
        <v>186306</v>
      </c>
      <c r="B474" s="73">
        <v>31098</v>
      </c>
      <c r="C474" s="74" t="s">
        <v>1240</v>
      </c>
      <c r="D474" s="74" t="s">
        <v>13</v>
      </c>
      <c r="E474" s="74" t="s">
        <v>1241</v>
      </c>
      <c r="F474" s="74" t="s">
        <v>1241</v>
      </c>
      <c r="G474" s="74" t="s">
        <v>15</v>
      </c>
      <c r="H474" s="75">
        <v>7611</v>
      </c>
      <c r="I474" s="75">
        <v>10690</v>
      </c>
      <c r="J474" s="74" t="s">
        <v>1242</v>
      </c>
      <c r="K474" s="74" t="s">
        <v>16</v>
      </c>
      <c r="L474" s="74"/>
      <c r="M474" s="74" t="s">
        <v>13</v>
      </c>
      <c r="N474" s="71" t="str">
        <f t="shared" si="7"/>
        <v>1</v>
      </c>
      <c r="O474" s="71" t="str">
        <f>INDEX(Кат!$D:$D,MATCH($A474,Кат!$A:$A,0))</f>
        <v>Y</v>
      </c>
    </row>
    <row r="475" spans="1:15" ht="75" x14ac:dyDescent="0.25">
      <c r="A475" s="73">
        <v>186307</v>
      </c>
      <c r="B475" s="73">
        <v>31283</v>
      </c>
      <c r="C475" s="74" t="s">
        <v>1243</v>
      </c>
      <c r="D475" s="74" t="s">
        <v>13</v>
      </c>
      <c r="E475" s="74" t="s">
        <v>1244</v>
      </c>
      <c r="F475" s="74" t="s">
        <v>1244</v>
      </c>
      <c r="G475" s="74" t="s">
        <v>15</v>
      </c>
      <c r="H475" s="75">
        <v>229</v>
      </c>
      <c r="I475" s="75">
        <v>419</v>
      </c>
      <c r="J475" s="74" t="s">
        <v>1245</v>
      </c>
      <c r="K475" s="74" t="s">
        <v>16</v>
      </c>
      <c r="L475" s="74"/>
      <c r="M475" s="74" t="s">
        <v>13</v>
      </c>
      <c r="N475" s="71" t="str">
        <f t="shared" si="7"/>
        <v>1</v>
      </c>
      <c r="O475" s="71" t="str">
        <f>INDEX(Кат!$D:$D,MATCH($A475,Кат!$A:$A,0))</f>
        <v>Y</v>
      </c>
    </row>
    <row r="476" spans="1:15" ht="45" x14ac:dyDescent="0.25">
      <c r="A476" s="73">
        <v>186308</v>
      </c>
      <c r="B476" s="73">
        <v>31177</v>
      </c>
      <c r="C476" s="74" t="s">
        <v>1246</v>
      </c>
      <c r="D476" s="74" t="s">
        <v>13</v>
      </c>
      <c r="E476" s="74" t="s">
        <v>1247</v>
      </c>
      <c r="F476" s="74" t="s">
        <v>1247</v>
      </c>
      <c r="G476" s="74" t="s">
        <v>15</v>
      </c>
      <c r="H476" s="75">
        <v>3252</v>
      </c>
      <c r="I476" s="75">
        <v>4590</v>
      </c>
      <c r="J476" s="74"/>
      <c r="K476" s="74" t="s">
        <v>16</v>
      </c>
      <c r="L476" s="74"/>
      <c r="M476" s="74" t="s">
        <v>13</v>
      </c>
      <c r="N476" s="71" t="str">
        <f t="shared" si="7"/>
        <v>1</v>
      </c>
      <c r="O476" s="71" t="str">
        <f>INDEX(Кат!$D:$D,MATCH($A476,Кат!$A:$A,0))</f>
        <v>Y</v>
      </c>
    </row>
    <row r="477" spans="1:15" ht="45" x14ac:dyDescent="0.25">
      <c r="A477" s="73">
        <v>186311</v>
      </c>
      <c r="B477" s="73">
        <v>31070</v>
      </c>
      <c r="C477" s="74" t="s">
        <v>1248</v>
      </c>
      <c r="D477" s="74" t="s">
        <v>13</v>
      </c>
      <c r="E477" s="74" t="s">
        <v>1249</v>
      </c>
      <c r="F477" s="74" t="s">
        <v>1249</v>
      </c>
      <c r="G477" s="74" t="s">
        <v>15</v>
      </c>
      <c r="H477" s="75">
        <v>8264</v>
      </c>
      <c r="I477" s="75">
        <v>11590</v>
      </c>
      <c r="J477" s="74"/>
      <c r="K477" s="74" t="s">
        <v>16</v>
      </c>
      <c r="L477" s="74"/>
      <c r="M477" s="74" t="s">
        <v>13</v>
      </c>
      <c r="N477" s="71" t="str">
        <f t="shared" si="7"/>
        <v>1</v>
      </c>
      <c r="O477" s="71" t="str">
        <f>INDEX(Кат!$D:$D,MATCH($A477,Кат!$A:$A,0))</f>
        <v>Y</v>
      </c>
    </row>
    <row r="478" spans="1:15" ht="45" x14ac:dyDescent="0.25">
      <c r="A478" s="73">
        <v>186312</v>
      </c>
      <c r="B478" s="73">
        <v>31069</v>
      </c>
      <c r="C478" s="74" t="s">
        <v>1250</v>
      </c>
      <c r="D478" s="74" t="s">
        <v>13</v>
      </c>
      <c r="E478" s="74" t="s">
        <v>1251</v>
      </c>
      <c r="F478" s="74" t="s">
        <v>1251</v>
      </c>
      <c r="G478" s="74" t="s">
        <v>15</v>
      </c>
      <c r="H478" s="75">
        <v>10473</v>
      </c>
      <c r="I478" s="75">
        <v>14690</v>
      </c>
      <c r="J478" s="74"/>
      <c r="K478" s="74" t="s">
        <v>16</v>
      </c>
      <c r="L478" s="74"/>
      <c r="M478" s="74" t="s">
        <v>13</v>
      </c>
      <c r="N478" s="71" t="str">
        <f t="shared" si="7"/>
        <v>1</v>
      </c>
      <c r="O478" s="71" t="str">
        <f>INDEX(Кат!$D:$D,MATCH($A478,Кат!$A:$A,0))</f>
        <v>Y</v>
      </c>
    </row>
    <row r="479" spans="1:15" ht="75" x14ac:dyDescent="0.25">
      <c r="A479" s="73">
        <v>186315</v>
      </c>
      <c r="B479" s="73">
        <v>31096</v>
      </c>
      <c r="C479" s="74" t="s">
        <v>1252</v>
      </c>
      <c r="D479" s="74" t="s">
        <v>13</v>
      </c>
      <c r="E479" s="74" t="s">
        <v>1253</v>
      </c>
      <c r="F479" s="74" t="s">
        <v>1253</v>
      </c>
      <c r="G479" s="74" t="s">
        <v>15</v>
      </c>
      <c r="H479" s="75">
        <v>5606</v>
      </c>
      <c r="I479" s="75">
        <v>7890</v>
      </c>
      <c r="J479" s="74" t="s">
        <v>1254</v>
      </c>
      <c r="K479" s="74" t="s">
        <v>16</v>
      </c>
      <c r="L479" s="74"/>
      <c r="M479" s="74" t="s">
        <v>13</v>
      </c>
      <c r="N479" s="71" t="str">
        <f t="shared" si="7"/>
        <v>1</v>
      </c>
      <c r="O479" s="71" t="str">
        <f>INDEX(Кат!$D:$D,MATCH($A479,Кат!$A:$A,0))</f>
        <v>Y</v>
      </c>
    </row>
    <row r="480" spans="1:15" ht="60" x14ac:dyDescent="0.25">
      <c r="A480" s="73">
        <v>193348</v>
      </c>
      <c r="B480" s="73">
        <v>31398</v>
      </c>
      <c r="C480" s="74" t="s">
        <v>1255</v>
      </c>
      <c r="D480" s="74" t="s">
        <v>13</v>
      </c>
      <c r="E480" s="74" t="s">
        <v>1256</v>
      </c>
      <c r="F480" s="74" t="s">
        <v>1256</v>
      </c>
      <c r="G480" s="74" t="s">
        <v>15</v>
      </c>
      <c r="H480" s="75">
        <v>3550</v>
      </c>
      <c r="I480" s="75">
        <v>4990</v>
      </c>
      <c r="J480" s="74" t="s">
        <v>1257</v>
      </c>
      <c r="K480" s="74" t="s">
        <v>16</v>
      </c>
      <c r="L480" s="74"/>
      <c r="M480" s="74"/>
      <c r="N480" s="71" t="str">
        <f t="shared" si="7"/>
        <v>1</v>
      </c>
      <c r="O480" s="71" t="str">
        <f>INDEX(Кат!$D:$D,MATCH($A480,Кат!$A:$A,0))</f>
        <v>Y</v>
      </c>
    </row>
    <row r="481" spans="1:15" ht="60" x14ac:dyDescent="0.25">
      <c r="A481" s="73">
        <v>193353</v>
      </c>
      <c r="B481" s="73">
        <v>29426</v>
      </c>
      <c r="C481" s="74" t="s">
        <v>1258</v>
      </c>
      <c r="D481" s="74" t="s">
        <v>13</v>
      </c>
      <c r="E481" s="74" t="s">
        <v>1259</v>
      </c>
      <c r="F481" s="74" t="s">
        <v>1259</v>
      </c>
      <c r="G481" s="74" t="s">
        <v>15</v>
      </c>
      <c r="H481" s="75">
        <v>3100</v>
      </c>
      <c r="I481" s="75">
        <v>4390</v>
      </c>
      <c r="J481" s="74"/>
      <c r="K481" s="74" t="s">
        <v>37</v>
      </c>
      <c r="L481" s="74"/>
      <c r="M481" s="74" t="s">
        <v>13</v>
      </c>
      <c r="N481" s="71" t="str">
        <f t="shared" si="7"/>
        <v>0</v>
      </c>
      <c r="O481" s="71" t="str">
        <f>INDEX(Кат!$D:$D,MATCH($A481,Кат!$A:$A,0))</f>
        <v>Y</v>
      </c>
    </row>
    <row r="482" spans="1:15" ht="30" x14ac:dyDescent="0.25">
      <c r="A482" s="73">
        <v>193626</v>
      </c>
      <c r="B482" s="73">
        <v>19421</v>
      </c>
      <c r="C482" s="74" t="s">
        <v>1260</v>
      </c>
      <c r="D482" s="74" t="s">
        <v>13</v>
      </c>
      <c r="E482" s="74" t="s">
        <v>1261</v>
      </c>
      <c r="F482" s="74" t="s">
        <v>1262</v>
      </c>
      <c r="G482" s="74" t="s">
        <v>15</v>
      </c>
      <c r="H482" s="75">
        <v>0</v>
      </c>
      <c r="I482" s="75">
        <v>0</v>
      </c>
      <c r="J482" s="74"/>
      <c r="K482" s="74" t="s">
        <v>37</v>
      </c>
      <c r="L482" s="74"/>
      <c r="M482" s="74" t="s">
        <v>13</v>
      </c>
      <c r="N482" s="71" t="str">
        <f t="shared" si="7"/>
        <v>0</v>
      </c>
      <c r="O482" s="71" t="str">
        <f>INDEX(Кат!$D:$D,MATCH($A482,Кат!$A:$A,0))</f>
        <v>Y</v>
      </c>
    </row>
    <row r="483" spans="1:15" ht="30" x14ac:dyDescent="0.25">
      <c r="A483" s="73">
        <v>193627</v>
      </c>
      <c r="B483" s="73">
        <v>23525</v>
      </c>
      <c r="C483" s="74" t="s">
        <v>1263</v>
      </c>
      <c r="D483" s="74" t="s">
        <v>13</v>
      </c>
      <c r="E483" s="74" t="s">
        <v>1264</v>
      </c>
      <c r="F483" s="74" t="s">
        <v>1264</v>
      </c>
      <c r="G483" s="74" t="s">
        <v>15</v>
      </c>
      <c r="H483" s="75">
        <v>318</v>
      </c>
      <c r="I483" s="75">
        <v>509</v>
      </c>
      <c r="J483" s="74" t="s">
        <v>1265</v>
      </c>
      <c r="K483" s="74" t="s">
        <v>16</v>
      </c>
      <c r="L483" s="74"/>
      <c r="M483" s="74" t="s">
        <v>13</v>
      </c>
      <c r="N483" s="71" t="str">
        <f t="shared" si="7"/>
        <v>1</v>
      </c>
      <c r="O483" s="71" t="str">
        <f>INDEX(Кат!$D:$D,MATCH($A483,Кат!$A:$A,0))</f>
        <v>Y</v>
      </c>
    </row>
    <row r="484" spans="1:15" ht="30" x14ac:dyDescent="0.25">
      <c r="A484" s="73">
        <v>193628</v>
      </c>
      <c r="B484" s="73">
        <v>23526</v>
      </c>
      <c r="C484" s="74" t="s">
        <v>1266</v>
      </c>
      <c r="D484" s="74" t="s">
        <v>13</v>
      </c>
      <c r="E484" s="74" t="s">
        <v>1267</v>
      </c>
      <c r="F484" s="74" t="s">
        <v>1267</v>
      </c>
      <c r="G484" s="74" t="s">
        <v>15</v>
      </c>
      <c r="H484" s="75">
        <v>318</v>
      </c>
      <c r="I484" s="75">
        <v>509</v>
      </c>
      <c r="J484" s="74" t="s">
        <v>1268</v>
      </c>
      <c r="K484" s="74" t="s">
        <v>16</v>
      </c>
      <c r="L484" s="74"/>
      <c r="M484" s="74" t="s">
        <v>13</v>
      </c>
      <c r="N484" s="71" t="str">
        <f t="shared" si="7"/>
        <v>1</v>
      </c>
      <c r="O484" s="71" t="str">
        <f>INDEX(Кат!$D:$D,MATCH($A484,Кат!$A:$A,0))</f>
        <v>Y</v>
      </c>
    </row>
    <row r="485" spans="1:15" ht="75" x14ac:dyDescent="0.25">
      <c r="A485" s="73">
        <v>193630</v>
      </c>
      <c r="B485" s="73">
        <v>32669</v>
      </c>
      <c r="C485" s="74" t="s">
        <v>1269</v>
      </c>
      <c r="D485" s="74" t="s">
        <v>13</v>
      </c>
      <c r="E485" s="74" t="s">
        <v>1270</v>
      </c>
      <c r="F485" s="74" t="s">
        <v>1270</v>
      </c>
      <c r="G485" s="74" t="s">
        <v>15</v>
      </c>
      <c r="H485" s="75">
        <v>166</v>
      </c>
      <c r="I485" s="75">
        <v>299</v>
      </c>
      <c r="J485" s="74" t="s">
        <v>1271</v>
      </c>
      <c r="K485" s="74" t="s">
        <v>16</v>
      </c>
      <c r="L485" s="74"/>
      <c r="M485" s="74" t="s">
        <v>13</v>
      </c>
      <c r="N485" s="71" t="str">
        <f t="shared" si="7"/>
        <v>1</v>
      </c>
      <c r="O485" s="71" t="str">
        <f>INDEX(Кат!$D:$D,MATCH($A485,Кат!$A:$A,0))</f>
        <v>Y</v>
      </c>
    </row>
    <row r="486" spans="1:15" ht="45" x14ac:dyDescent="0.25">
      <c r="A486" s="73">
        <v>193631</v>
      </c>
      <c r="B486" s="73">
        <v>32667</v>
      </c>
      <c r="C486" s="74" t="s">
        <v>1272</v>
      </c>
      <c r="D486" s="74" t="s">
        <v>13</v>
      </c>
      <c r="E486" s="74" t="s">
        <v>1273</v>
      </c>
      <c r="F486" s="74" t="s">
        <v>1273</v>
      </c>
      <c r="G486" s="74" t="s">
        <v>15</v>
      </c>
      <c r="H486" s="75">
        <v>151</v>
      </c>
      <c r="I486" s="75">
        <v>279</v>
      </c>
      <c r="J486" s="74" t="s">
        <v>1274</v>
      </c>
      <c r="K486" s="74" t="s">
        <v>16</v>
      </c>
      <c r="L486" s="74"/>
      <c r="M486" s="74" t="s">
        <v>13</v>
      </c>
      <c r="N486" s="71" t="str">
        <f t="shared" si="7"/>
        <v>1</v>
      </c>
      <c r="O486" s="71" t="str">
        <f>INDEX(Кат!$D:$D,MATCH($A486,Кат!$A:$A,0))</f>
        <v>Y</v>
      </c>
    </row>
    <row r="487" spans="1:15" ht="30" x14ac:dyDescent="0.25">
      <c r="A487" s="73">
        <v>193632</v>
      </c>
      <c r="B487" s="73">
        <v>31068</v>
      </c>
      <c r="C487" s="74" t="s">
        <v>1275</v>
      </c>
      <c r="D487" s="74" t="s">
        <v>13</v>
      </c>
      <c r="E487" s="74" t="s">
        <v>1276</v>
      </c>
      <c r="F487" s="74" t="s">
        <v>1276</v>
      </c>
      <c r="G487" s="74" t="s">
        <v>15</v>
      </c>
      <c r="H487" s="75">
        <v>1004</v>
      </c>
      <c r="I487" s="75">
        <v>1590</v>
      </c>
      <c r="J487" s="74"/>
      <c r="K487" s="74" t="s">
        <v>16</v>
      </c>
      <c r="L487" s="74"/>
      <c r="M487" s="74" t="s">
        <v>13</v>
      </c>
      <c r="N487" s="71" t="str">
        <f t="shared" si="7"/>
        <v>1</v>
      </c>
      <c r="O487" s="71" t="str">
        <f>INDEX(Кат!$D:$D,MATCH($A487,Кат!$A:$A,0))</f>
        <v>Y</v>
      </c>
    </row>
    <row r="488" spans="1:15" ht="60" x14ac:dyDescent="0.25">
      <c r="A488" s="73">
        <v>193634</v>
      </c>
      <c r="B488" s="73">
        <v>31440</v>
      </c>
      <c r="C488" s="74" t="s">
        <v>1277</v>
      </c>
      <c r="D488" s="74" t="s">
        <v>13</v>
      </c>
      <c r="E488" s="74" t="s">
        <v>1278</v>
      </c>
      <c r="F488" s="74" t="s">
        <v>1278</v>
      </c>
      <c r="G488" s="74" t="s">
        <v>15</v>
      </c>
      <c r="H488" s="75">
        <v>85</v>
      </c>
      <c r="I488" s="75">
        <v>169</v>
      </c>
      <c r="J488" s="74" t="s">
        <v>1279</v>
      </c>
      <c r="K488" s="74" t="s">
        <v>16</v>
      </c>
      <c r="L488" s="74"/>
      <c r="M488" s="74" t="s">
        <v>13</v>
      </c>
      <c r="N488" s="71" t="str">
        <f t="shared" si="7"/>
        <v>1</v>
      </c>
      <c r="O488" s="71" t="str">
        <f>INDEX(Кат!$D:$D,MATCH($A488,Кат!$A:$A,0))</f>
        <v>Y</v>
      </c>
    </row>
    <row r="489" spans="1:15" ht="60" x14ac:dyDescent="0.25">
      <c r="A489" s="73">
        <v>193635</v>
      </c>
      <c r="B489" s="73">
        <v>31318</v>
      </c>
      <c r="C489" s="74" t="s">
        <v>1280</v>
      </c>
      <c r="D489" s="74" t="s">
        <v>13</v>
      </c>
      <c r="E489" s="74" t="s">
        <v>1281</v>
      </c>
      <c r="F489" s="74" t="s">
        <v>1281</v>
      </c>
      <c r="G489" s="74" t="s">
        <v>15</v>
      </c>
      <c r="H489" s="75">
        <v>207</v>
      </c>
      <c r="I489" s="75">
        <v>379</v>
      </c>
      <c r="J489" s="74" t="s">
        <v>1282</v>
      </c>
      <c r="K489" s="74" t="s">
        <v>16</v>
      </c>
      <c r="L489" s="74"/>
      <c r="M489" s="74" t="s">
        <v>13</v>
      </c>
      <c r="N489" s="71" t="str">
        <f t="shared" si="7"/>
        <v>1</v>
      </c>
      <c r="O489" s="71" t="str">
        <f>INDEX(Кат!$D:$D,MATCH($A489,Кат!$A:$A,0))</f>
        <v>Y</v>
      </c>
    </row>
    <row r="490" spans="1:15" ht="30" x14ac:dyDescent="0.25">
      <c r="A490" s="73">
        <v>193636</v>
      </c>
      <c r="B490" s="73">
        <v>31243</v>
      </c>
      <c r="C490" s="74" t="s">
        <v>1283</v>
      </c>
      <c r="D490" s="74" t="s">
        <v>13</v>
      </c>
      <c r="E490" s="74" t="s">
        <v>1284</v>
      </c>
      <c r="F490" s="74" t="s">
        <v>1284</v>
      </c>
      <c r="G490" s="74" t="s">
        <v>15</v>
      </c>
      <c r="H490" s="75">
        <v>217</v>
      </c>
      <c r="I490" s="75">
        <v>399</v>
      </c>
      <c r="J490" s="74"/>
      <c r="K490" s="74" t="s">
        <v>16</v>
      </c>
      <c r="L490" s="74"/>
      <c r="M490" s="74"/>
      <c r="N490" s="71" t="str">
        <f t="shared" si="7"/>
        <v>1</v>
      </c>
      <c r="O490" s="71" t="str">
        <f>INDEX(Кат!$D:$D,MATCH($A490,Кат!$A:$A,0))</f>
        <v>Y</v>
      </c>
    </row>
    <row r="491" spans="1:15" ht="60" x14ac:dyDescent="0.25">
      <c r="A491" s="73">
        <v>193637</v>
      </c>
      <c r="B491" s="73">
        <v>48134</v>
      </c>
      <c r="C491" s="74" t="s">
        <v>1285</v>
      </c>
      <c r="D491" s="74" t="s">
        <v>13</v>
      </c>
      <c r="E491" s="74" t="s">
        <v>1286</v>
      </c>
      <c r="F491" s="74" t="s">
        <v>1287</v>
      </c>
      <c r="G491" s="74" t="s">
        <v>15</v>
      </c>
      <c r="H491" s="75">
        <v>138</v>
      </c>
      <c r="I491" s="75">
        <v>249</v>
      </c>
      <c r="J491" s="74" t="s">
        <v>1288</v>
      </c>
      <c r="K491" s="74" t="s">
        <v>16</v>
      </c>
      <c r="L491" s="74"/>
      <c r="M491" s="74"/>
      <c r="N491" s="71" t="str">
        <f t="shared" si="7"/>
        <v>1</v>
      </c>
      <c r="O491" s="71" t="str">
        <f>INDEX(Кат!$D:$D,MATCH($A491,Кат!$A:$A,0))</f>
        <v>Y</v>
      </c>
    </row>
    <row r="492" spans="1:15" ht="60" x14ac:dyDescent="0.25">
      <c r="A492" s="73">
        <v>193639</v>
      </c>
      <c r="B492" s="73">
        <v>16437</v>
      </c>
      <c r="C492" s="74" t="s">
        <v>1289</v>
      </c>
      <c r="D492" s="74" t="s">
        <v>13</v>
      </c>
      <c r="E492" s="74" t="s">
        <v>1290</v>
      </c>
      <c r="F492" s="74" t="s">
        <v>1290</v>
      </c>
      <c r="G492" s="74" t="s">
        <v>15</v>
      </c>
      <c r="H492" s="75">
        <v>170</v>
      </c>
      <c r="I492" s="75">
        <v>309</v>
      </c>
      <c r="J492" s="74" t="s">
        <v>1291</v>
      </c>
      <c r="K492" s="74" t="s">
        <v>37</v>
      </c>
      <c r="L492" s="74" t="s">
        <v>16</v>
      </c>
      <c r="M492" s="74" t="s">
        <v>13</v>
      </c>
      <c r="N492" s="71" t="str">
        <f t="shared" si="7"/>
        <v>0ск1</v>
      </c>
      <c r="O492" s="71" t="str">
        <f>INDEX(Кат!$D:$D,MATCH($A492,Кат!$A:$A,0))</f>
        <v>Y</v>
      </c>
    </row>
    <row r="493" spans="1:15" ht="60" x14ac:dyDescent="0.25">
      <c r="A493" s="73">
        <v>251176</v>
      </c>
      <c r="B493" s="73">
        <v>177874</v>
      </c>
      <c r="C493" s="74" t="s">
        <v>1292</v>
      </c>
      <c r="D493" s="74" t="s">
        <v>13</v>
      </c>
      <c r="E493" s="74" t="s">
        <v>1293</v>
      </c>
      <c r="F493" s="74" t="s">
        <v>1293</v>
      </c>
      <c r="G493" s="74" t="s">
        <v>15</v>
      </c>
      <c r="H493" s="75">
        <v>170</v>
      </c>
      <c r="I493" s="75">
        <v>309</v>
      </c>
      <c r="J493" s="74" t="s">
        <v>1294</v>
      </c>
      <c r="K493" s="74" t="s">
        <v>37</v>
      </c>
      <c r="L493" s="74" t="s">
        <v>16</v>
      </c>
      <c r="M493" s="74" t="s">
        <v>13</v>
      </c>
      <c r="N493" s="71" t="str">
        <f t="shared" si="7"/>
        <v>0ск1</v>
      </c>
      <c r="O493" s="71" t="str">
        <f>INDEX(Кат!$D:$D,MATCH($A493,Кат!$A:$A,0))</f>
        <v>Y</v>
      </c>
    </row>
    <row r="494" spans="1:15" ht="60" x14ac:dyDescent="0.25">
      <c r="A494" s="73">
        <v>193640</v>
      </c>
      <c r="B494" s="73">
        <v>31196</v>
      </c>
      <c r="C494" s="74" t="s">
        <v>1295</v>
      </c>
      <c r="D494" s="74" t="s">
        <v>13</v>
      </c>
      <c r="E494" s="74" t="s">
        <v>1296</v>
      </c>
      <c r="F494" s="74" t="s">
        <v>1296</v>
      </c>
      <c r="G494" s="74" t="s">
        <v>15</v>
      </c>
      <c r="H494" s="75">
        <v>1152</v>
      </c>
      <c r="I494" s="75">
        <v>1790</v>
      </c>
      <c r="J494" s="74" t="s">
        <v>1297</v>
      </c>
      <c r="K494" s="74" t="s">
        <v>16</v>
      </c>
      <c r="L494" s="74"/>
      <c r="M494" s="74" t="s">
        <v>13</v>
      </c>
      <c r="N494" s="71" t="str">
        <f t="shared" si="7"/>
        <v>1</v>
      </c>
      <c r="O494" s="71" t="str">
        <f>INDEX(Кат!$D:$D,MATCH($A494,Кат!$A:$A,0))</f>
        <v>Y</v>
      </c>
    </row>
    <row r="495" spans="1:15" ht="75" x14ac:dyDescent="0.25">
      <c r="A495" s="73">
        <v>335644</v>
      </c>
      <c r="B495" s="73">
        <v>335644</v>
      </c>
      <c r="C495" s="74" t="s">
        <v>1298</v>
      </c>
      <c r="D495" s="74" t="s">
        <v>13</v>
      </c>
      <c r="E495" s="74" t="s">
        <v>1299</v>
      </c>
      <c r="F495" s="74"/>
      <c r="G495" s="74" t="s">
        <v>15</v>
      </c>
      <c r="H495" s="75">
        <v>268</v>
      </c>
      <c r="I495" s="75">
        <v>489</v>
      </c>
      <c r="J495" s="74" t="s">
        <v>1300</v>
      </c>
      <c r="K495" s="74" t="s">
        <v>16</v>
      </c>
      <c r="L495" s="74" t="s">
        <v>16</v>
      </c>
      <c r="M495" s="74" t="s">
        <v>13</v>
      </c>
      <c r="N495" s="71" t="str">
        <f t="shared" si="7"/>
        <v>1ск1</v>
      </c>
      <c r="O495" s="71" t="str">
        <f>INDEX(Кат!$D:$D,MATCH($A495,Кат!$A:$A,0))</f>
        <v>Y</v>
      </c>
    </row>
    <row r="496" spans="1:15" ht="60" x14ac:dyDescent="0.25">
      <c r="A496" s="73">
        <v>193641</v>
      </c>
      <c r="B496" s="73">
        <v>37590</v>
      </c>
      <c r="C496" s="74" t="s">
        <v>1301</v>
      </c>
      <c r="D496" s="74" t="s">
        <v>13</v>
      </c>
      <c r="E496" s="74" t="s">
        <v>1302</v>
      </c>
      <c r="F496" s="74" t="s">
        <v>1302</v>
      </c>
      <c r="G496" s="74" t="s">
        <v>15</v>
      </c>
      <c r="H496" s="75">
        <v>434</v>
      </c>
      <c r="I496" s="75">
        <v>699</v>
      </c>
      <c r="J496" s="74" t="s">
        <v>1303</v>
      </c>
      <c r="K496" s="74" t="s">
        <v>16</v>
      </c>
      <c r="L496" s="74"/>
      <c r="M496" s="74" t="s">
        <v>13</v>
      </c>
      <c r="N496" s="71" t="str">
        <f t="shared" si="7"/>
        <v>1</v>
      </c>
      <c r="O496" s="71" t="str">
        <f>INDEX(Кат!$D:$D,MATCH($A496,Кат!$A:$A,0))</f>
        <v>Y</v>
      </c>
    </row>
    <row r="497" spans="1:15" ht="60" x14ac:dyDescent="0.25">
      <c r="A497" s="73">
        <v>193642</v>
      </c>
      <c r="B497" s="73">
        <v>31197</v>
      </c>
      <c r="C497" s="74" t="s">
        <v>1304</v>
      </c>
      <c r="D497" s="74" t="s">
        <v>13</v>
      </c>
      <c r="E497" s="74" t="s">
        <v>1305</v>
      </c>
      <c r="F497" s="74" t="s">
        <v>1305</v>
      </c>
      <c r="G497" s="74" t="s">
        <v>15</v>
      </c>
      <c r="H497" s="75">
        <v>1116</v>
      </c>
      <c r="I497" s="75">
        <v>1690</v>
      </c>
      <c r="J497" s="74" t="s">
        <v>1306</v>
      </c>
      <c r="K497" s="74" t="s">
        <v>16</v>
      </c>
      <c r="L497" s="74"/>
      <c r="M497" s="74" t="s">
        <v>13</v>
      </c>
      <c r="N497" s="71" t="str">
        <f t="shared" si="7"/>
        <v>1</v>
      </c>
      <c r="O497" s="71" t="str">
        <f>INDEX(Кат!$D:$D,MATCH($A497,Кат!$A:$A,0))</f>
        <v>Y</v>
      </c>
    </row>
    <row r="498" spans="1:15" ht="75" x14ac:dyDescent="0.25">
      <c r="A498" s="73">
        <v>335659</v>
      </c>
      <c r="B498" s="73">
        <v>335659</v>
      </c>
      <c r="C498" s="74" t="s">
        <v>1307</v>
      </c>
      <c r="D498" s="74" t="s">
        <v>13</v>
      </c>
      <c r="E498" s="74" t="s">
        <v>1308</v>
      </c>
      <c r="F498" s="74"/>
      <c r="G498" s="74" t="s">
        <v>15</v>
      </c>
      <c r="H498" s="75">
        <v>295</v>
      </c>
      <c r="I498" s="75">
        <v>539</v>
      </c>
      <c r="J498" s="74" t="s">
        <v>1309</v>
      </c>
      <c r="K498" s="74" t="s">
        <v>16</v>
      </c>
      <c r="L498" s="74" t="s">
        <v>16</v>
      </c>
      <c r="M498" s="74" t="s">
        <v>13</v>
      </c>
      <c r="N498" s="71" t="str">
        <f t="shared" si="7"/>
        <v>1ск1</v>
      </c>
      <c r="O498" s="71" t="str">
        <f>INDEX(Кат!$D:$D,MATCH($A498,Кат!$A:$A,0))</f>
        <v>Y</v>
      </c>
    </row>
    <row r="499" spans="1:15" ht="30" x14ac:dyDescent="0.25">
      <c r="A499" s="73">
        <v>193643</v>
      </c>
      <c r="B499" s="73">
        <v>17468</v>
      </c>
      <c r="C499" s="74" t="s">
        <v>1310</v>
      </c>
      <c r="D499" s="74" t="s">
        <v>13</v>
      </c>
      <c r="E499" s="74" t="s">
        <v>1311</v>
      </c>
      <c r="F499" s="74" t="s">
        <v>1311</v>
      </c>
      <c r="G499" s="74" t="s">
        <v>15</v>
      </c>
      <c r="H499" s="75">
        <v>433.29</v>
      </c>
      <c r="I499" s="75">
        <v>699</v>
      </c>
      <c r="J499" s="74"/>
      <c r="K499" s="74" t="s">
        <v>16</v>
      </c>
      <c r="L499" s="74"/>
      <c r="M499" s="74" t="s">
        <v>13</v>
      </c>
      <c r="N499" s="71" t="str">
        <f t="shared" si="7"/>
        <v>1</v>
      </c>
      <c r="O499" s="71" t="str">
        <f>INDEX(Кат!$D:$D,MATCH($A499,Кат!$A:$A,0))</f>
        <v>Y</v>
      </c>
    </row>
    <row r="500" spans="1:15" ht="45" x14ac:dyDescent="0.25">
      <c r="A500" s="73">
        <v>194006</v>
      </c>
      <c r="B500" s="73">
        <v>31455</v>
      </c>
      <c r="C500" s="74" t="s">
        <v>1312</v>
      </c>
      <c r="D500" s="74" t="s">
        <v>13</v>
      </c>
      <c r="E500" s="74" t="s">
        <v>1313</v>
      </c>
      <c r="F500" s="74" t="s">
        <v>1313</v>
      </c>
      <c r="G500" s="74" t="s">
        <v>15</v>
      </c>
      <c r="H500" s="75">
        <v>662</v>
      </c>
      <c r="I500" s="75">
        <v>1090</v>
      </c>
      <c r="J500" s="74"/>
      <c r="K500" s="74" t="s">
        <v>37</v>
      </c>
      <c r="L500" s="74"/>
      <c r="M500" s="74" t="s">
        <v>13</v>
      </c>
      <c r="N500" s="71" t="str">
        <f t="shared" si="7"/>
        <v>0</v>
      </c>
      <c r="O500" s="71" t="str">
        <f>INDEX(Кат!$D:$D,MATCH($A500,Кат!$A:$A,0))</f>
        <v>Y</v>
      </c>
    </row>
    <row r="501" spans="1:15" ht="75" x14ac:dyDescent="0.25">
      <c r="A501" s="73">
        <v>194007</v>
      </c>
      <c r="B501" s="73">
        <v>31417</v>
      </c>
      <c r="C501" s="74" t="s">
        <v>1314</v>
      </c>
      <c r="D501" s="74" t="s">
        <v>13</v>
      </c>
      <c r="E501" s="74" t="s">
        <v>1315</v>
      </c>
      <c r="F501" s="74" t="s">
        <v>1315</v>
      </c>
      <c r="G501" s="74" t="s">
        <v>15</v>
      </c>
      <c r="H501" s="75">
        <v>599</v>
      </c>
      <c r="I501" s="75">
        <v>929</v>
      </c>
      <c r="J501" s="74" t="s">
        <v>1316</v>
      </c>
      <c r="K501" s="74" t="s">
        <v>37</v>
      </c>
      <c r="L501" s="74"/>
      <c r="M501" s="74" t="s">
        <v>13</v>
      </c>
      <c r="N501" s="71" t="str">
        <f t="shared" si="7"/>
        <v>0</v>
      </c>
      <c r="O501" s="71" t="str">
        <f>INDEX(Кат!$D:$D,MATCH($A501,Кат!$A:$A,0))</f>
        <v>Y</v>
      </c>
    </row>
    <row r="502" spans="1:15" ht="30" x14ac:dyDescent="0.25">
      <c r="A502" s="73">
        <v>194488</v>
      </c>
      <c r="B502" s="73">
        <v>52987</v>
      </c>
      <c r="C502" s="74" t="s">
        <v>1317</v>
      </c>
      <c r="D502" s="74" t="s">
        <v>13</v>
      </c>
      <c r="E502" s="74" t="s">
        <v>1318</v>
      </c>
      <c r="F502" s="74" t="s">
        <v>1319</v>
      </c>
      <c r="G502" s="74" t="s">
        <v>15</v>
      </c>
      <c r="H502" s="75">
        <v>15000</v>
      </c>
      <c r="I502" s="75">
        <v>19490</v>
      </c>
      <c r="J502" s="74"/>
      <c r="K502" s="74" t="s">
        <v>16</v>
      </c>
      <c r="L502" s="74" t="s">
        <v>16</v>
      </c>
      <c r="M502" s="74" t="s">
        <v>13</v>
      </c>
      <c r="N502" s="71" t="str">
        <f t="shared" si="7"/>
        <v>1ск1</v>
      </c>
      <c r="O502" s="71" t="str">
        <f>INDEX(Кат!$D:$D,MATCH($A502,Кат!$A:$A,0))</f>
        <v>Y</v>
      </c>
    </row>
    <row r="503" spans="1:15" ht="45" x14ac:dyDescent="0.25">
      <c r="A503" s="73">
        <v>194489</v>
      </c>
      <c r="B503" s="73">
        <v>52990</v>
      </c>
      <c r="C503" s="74" t="s">
        <v>1320</v>
      </c>
      <c r="D503" s="74" t="s">
        <v>13</v>
      </c>
      <c r="E503" s="74" t="s">
        <v>1321</v>
      </c>
      <c r="F503" s="74" t="s">
        <v>1322</v>
      </c>
      <c r="G503" s="74" t="s">
        <v>15</v>
      </c>
      <c r="H503" s="75">
        <v>10992</v>
      </c>
      <c r="I503" s="75">
        <v>25000</v>
      </c>
      <c r="J503" s="74"/>
      <c r="K503" s="74" t="s">
        <v>16</v>
      </c>
      <c r="L503" s="74"/>
      <c r="M503" s="74" t="s">
        <v>13</v>
      </c>
      <c r="N503" s="71" t="str">
        <f t="shared" si="7"/>
        <v>1</v>
      </c>
      <c r="O503" s="71" t="str">
        <f>INDEX(Кат!$D:$D,MATCH($A503,Кат!$A:$A,0))</f>
        <v>Y</v>
      </c>
    </row>
    <row r="504" spans="1:15" ht="45" x14ac:dyDescent="0.25">
      <c r="A504" s="73">
        <v>194509</v>
      </c>
      <c r="B504" s="73">
        <v>32752</v>
      </c>
      <c r="C504" s="74" t="s">
        <v>1323</v>
      </c>
      <c r="D504" s="74" t="s">
        <v>13</v>
      </c>
      <c r="E504" s="74" t="s">
        <v>1324</v>
      </c>
      <c r="F504" s="74" t="s">
        <v>1324</v>
      </c>
      <c r="G504" s="74" t="s">
        <v>15</v>
      </c>
      <c r="H504" s="75">
        <v>10856</v>
      </c>
      <c r="I504" s="75">
        <v>15000</v>
      </c>
      <c r="J504" s="74"/>
      <c r="K504" s="74" t="s">
        <v>16</v>
      </c>
      <c r="L504" s="74" t="s">
        <v>16</v>
      </c>
      <c r="M504" s="74" t="s">
        <v>13</v>
      </c>
      <c r="N504" s="71" t="str">
        <f t="shared" si="7"/>
        <v>1ск1</v>
      </c>
      <c r="O504" s="71" t="str">
        <f>INDEX(Кат!$D:$D,MATCH($A504,Кат!$A:$A,0))</f>
        <v>Y</v>
      </c>
    </row>
    <row r="505" spans="1:15" ht="45" x14ac:dyDescent="0.25">
      <c r="A505" s="73">
        <v>194510</v>
      </c>
      <c r="B505" s="73">
        <v>31074</v>
      </c>
      <c r="C505" s="74" t="s">
        <v>1325</v>
      </c>
      <c r="D505" s="74" t="s">
        <v>13</v>
      </c>
      <c r="E505" s="74" t="s">
        <v>1326</v>
      </c>
      <c r="F505" s="74" t="s">
        <v>1326</v>
      </c>
      <c r="G505" s="74" t="s">
        <v>15</v>
      </c>
      <c r="H505" s="75">
        <v>17774</v>
      </c>
      <c r="I505" s="75">
        <v>24890</v>
      </c>
      <c r="J505" s="74" t="s">
        <v>1327</v>
      </c>
      <c r="K505" s="74" t="s">
        <v>16</v>
      </c>
      <c r="L505" s="74"/>
      <c r="M505" s="74" t="s">
        <v>13</v>
      </c>
      <c r="N505" s="71" t="str">
        <f t="shared" si="7"/>
        <v>1</v>
      </c>
      <c r="O505" s="71" t="str">
        <f>INDEX(Кат!$D:$D,MATCH($A505,Кат!$A:$A,0))</f>
        <v>Y</v>
      </c>
    </row>
    <row r="506" spans="1:15" ht="30" x14ac:dyDescent="0.25">
      <c r="A506" s="73">
        <v>194511</v>
      </c>
      <c r="B506" s="73">
        <v>31200</v>
      </c>
      <c r="C506" s="74" t="s">
        <v>1328</v>
      </c>
      <c r="D506" s="74" t="s">
        <v>13</v>
      </c>
      <c r="E506" s="74" t="s">
        <v>1329</v>
      </c>
      <c r="F506" s="74" t="s">
        <v>1329</v>
      </c>
      <c r="G506" s="74" t="s">
        <v>15</v>
      </c>
      <c r="H506" s="75">
        <v>11333</v>
      </c>
      <c r="I506" s="75">
        <v>15890</v>
      </c>
      <c r="J506" s="74"/>
      <c r="K506" s="74" t="s">
        <v>16</v>
      </c>
      <c r="L506" s="74"/>
      <c r="M506" s="74" t="s">
        <v>13</v>
      </c>
      <c r="N506" s="71" t="str">
        <f t="shared" si="7"/>
        <v>1</v>
      </c>
      <c r="O506" s="71" t="str">
        <f>INDEX(Кат!$D:$D,MATCH($A506,Кат!$A:$A,0))</f>
        <v>Y</v>
      </c>
    </row>
    <row r="507" spans="1:15" ht="45" x14ac:dyDescent="0.25">
      <c r="A507" s="73">
        <v>194512</v>
      </c>
      <c r="B507" s="73">
        <v>31195</v>
      </c>
      <c r="C507" s="74" t="s">
        <v>1330</v>
      </c>
      <c r="D507" s="74" t="s">
        <v>13</v>
      </c>
      <c r="E507" s="74" t="s">
        <v>1331</v>
      </c>
      <c r="F507" s="74" t="s">
        <v>1331</v>
      </c>
      <c r="G507" s="74" t="s">
        <v>15</v>
      </c>
      <c r="H507" s="75">
        <v>12755</v>
      </c>
      <c r="I507" s="75">
        <v>17890</v>
      </c>
      <c r="J507" s="74"/>
      <c r="K507" s="74" t="s">
        <v>16</v>
      </c>
      <c r="L507" s="74"/>
      <c r="M507" s="74" t="s">
        <v>13</v>
      </c>
      <c r="N507" s="71" t="str">
        <f t="shared" si="7"/>
        <v>1</v>
      </c>
      <c r="O507" s="71" t="str">
        <f>INDEX(Кат!$D:$D,MATCH($A507,Кат!$A:$A,0))</f>
        <v>Y</v>
      </c>
    </row>
    <row r="508" spans="1:15" ht="75" x14ac:dyDescent="0.25">
      <c r="A508" s="73">
        <v>195159</v>
      </c>
      <c r="B508" s="73">
        <v>17053</v>
      </c>
      <c r="C508" s="74" t="s">
        <v>1332</v>
      </c>
      <c r="D508" s="74" t="s">
        <v>13</v>
      </c>
      <c r="E508" s="74" t="s">
        <v>1333</v>
      </c>
      <c r="F508" s="74" t="s">
        <v>1333</v>
      </c>
      <c r="G508" s="74" t="s">
        <v>15</v>
      </c>
      <c r="H508" s="75">
        <v>695</v>
      </c>
      <c r="I508" s="75">
        <v>1090</v>
      </c>
      <c r="J508" s="74" t="s">
        <v>1334</v>
      </c>
      <c r="K508" s="74" t="s">
        <v>16</v>
      </c>
      <c r="L508" s="74"/>
      <c r="M508" s="74" t="s">
        <v>13</v>
      </c>
      <c r="N508" s="71" t="str">
        <f t="shared" si="7"/>
        <v>1</v>
      </c>
      <c r="O508" s="71" t="str">
        <f>INDEX(Кат!$D:$D,MATCH($A508,Кат!$A:$A,0))</f>
        <v>Y</v>
      </c>
    </row>
    <row r="509" spans="1:15" ht="75" x14ac:dyDescent="0.25">
      <c r="A509" s="73">
        <v>195160</v>
      </c>
      <c r="B509" s="73">
        <v>17054</v>
      </c>
      <c r="C509" s="74" t="s">
        <v>1335</v>
      </c>
      <c r="D509" s="74" t="s">
        <v>13</v>
      </c>
      <c r="E509" s="74" t="s">
        <v>1336</v>
      </c>
      <c r="F509" s="74" t="s">
        <v>1336</v>
      </c>
      <c r="G509" s="74" t="s">
        <v>15</v>
      </c>
      <c r="H509" s="75">
        <v>640</v>
      </c>
      <c r="I509" s="75">
        <v>999</v>
      </c>
      <c r="J509" s="74" t="s">
        <v>1337</v>
      </c>
      <c r="K509" s="74" t="s">
        <v>16</v>
      </c>
      <c r="L509" s="74"/>
      <c r="M509" s="74" t="s">
        <v>13</v>
      </c>
      <c r="N509" s="71" t="str">
        <f t="shared" si="7"/>
        <v>1</v>
      </c>
      <c r="O509" s="71" t="str">
        <f>INDEX(Кат!$D:$D,MATCH($A509,Кат!$A:$A,0))</f>
        <v>Y</v>
      </c>
    </row>
    <row r="510" spans="1:15" ht="75" x14ac:dyDescent="0.25">
      <c r="A510" s="73">
        <v>195161</v>
      </c>
      <c r="B510" s="73">
        <v>26033</v>
      </c>
      <c r="C510" s="74" t="s">
        <v>1338</v>
      </c>
      <c r="D510" s="74" t="s">
        <v>13</v>
      </c>
      <c r="E510" s="74" t="s">
        <v>1339</v>
      </c>
      <c r="F510" s="74" t="s">
        <v>1339</v>
      </c>
      <c r="G510" s="74" t="s">
        <v>15</v>
      </c>
      <c r="H510" s="75">
        <v>7008</v>
      </c>
      <c r="I510" s="75">
        <v>9890</v>
      </c>
      <c r="J510" s="74" t="s">
        <v>1340</v>
      </c>
      <c r="K510" s="74" t="s">
        <v>16</v>
      </c>
      <c r="L510" s="74"/>
      <c r="M510" s="74" t="s">
        <v>13</v>
      </c>
      <c r="N510" s="71" t="str">
        <f t="shared" si="7"/>
        <v>1</v>
      </c>
      <c r="O510" s="71" t="str">
        <f>INDEX(Кат!$D:$D,MATCH($A510,Кат!$A:$A,0))</f>
        <v>Y</v>
      </c>
    </row>
    <row r="511" spans="1:15" ht="30" x14ac:dyDescent="0.25">
      <c r="A511" s="73">
        <v>195162</v>
      </c>
      <c r="B511" s="73">
        <v>41880</v>
      </c>
      <c r="C511" s="74" t="s">
        <v>1341</v>
      </c>
      <c r="D511" s="74" t="s">
        <v>13</v>
      </c>
      <c r="E511" s="74" t="s">
        <v>1342</v>
      </c>
      <c r="F511" s="74" t="s">
        <v>1343</v>
      </c>
      <c r="G511" s="74" t="s">
        <v>15</v>
      </c>
      <c r="H511" s="75">
        <v>13876</v>
      </c>
      <c r="I511" s="75">
        <v>19490</v>
      </c>
      <c r="J511" s="74"/>
      <c r="K511" s="74" t="s">
        <v>16</v>
      </c>
      <c r="L511" s="74"/>
      <c r="M511" s="74" t="s">
        <v>13</v>
      </c>
      <c r="N511" s="71" t="str">
        <f t="shared" si="7"/>
        <v>1</v>
      </c>
      <c r="O511" s="71" t="str">
        <f>INDEX(Кат!$D:$D,MATCH($A511,Кат!$A:$A,0))</f>
        <v>Y</v>
      </c>
    </row>
    <row r="512" spans="1:15" ht="30" x14ac:dyDescent="0.25">
      <c r="A512" s="73">
        <v>195163</v>
      </c>
      <c r="B512" s="73">
        <v>47877</v>
      </c>
      <c r="C512" s="74" t="s">
        <v>1344</v>
      </c>
      <c r="D512" s="74" t="s">
        <v>13</v>
      </c>
      <c r="E512" s="74" t="s">
        <v>1345</v>
      </c>
      <c r="F512" s="74"/>
      <c r="G512" s="74" t="s">
        <v>15</v>
      </c>
      <c r="H512" s="75">
        <v>646</v>
      </c>
      <c r="I512" s="75">
        <v>1090</v>
      </c>
      <c r="J512" s="74"/>
      <c r="K512" s="74" t="s">
        <v>37</v>
      </c>
      <c r="L512" s="74"/>
      <c r="M512" s="74" t="s">
        <v>13</v>
      </c>
      <c r="N512" s="71" t="str">
        <f t="shared" si="7"/>
        <v>0</v>
      </c>
      <c r="O512" s="71" t="str">
        <f>INDEX(Кат!$D:$D,MATCH($A512,Кат!$A:$A,0))</f>
        <v>Y</v>
      </c>
    </row>
    <row r="513" spans="1:15" ht="30" x14ac:dyDescent="0.25">
      <c r="A513" s="73">
        <v>195164</v>
      </c>
      <c r="B513" s="73">
        <v>32508</v>
      </c>
      <c r="C513" s="74" t="s">
        <v>1346</v>
      </c>
      <c r="D513" s="74" t="s">
        <v>13</v>
      </c>
      <c r="E513" s="74" t="s">
        <v>1347</v>
      </c>
      <c r="F513" s="74" t="s">
        <v>1347</v>
      </c>
      <c r="G513" s="74" t="s">
        <v>15</v>
      </c>
      <c r="H513" s="75">
        <v>4732</v>
      </c>
      <c r="I513" s="75">
        <v>6690</v>
      </c>
      <c r="J513" s="74"/>
      <c r="K513" s="74" t="s">
        <v>16</v>
      </c>
      <c r="L513" s="74"/>
      <c r="M513" s="74" t="s">
        <v>13</v>
      </c>
      <c r="N513" s="71" t="str">
        <f t="shared" si="7"/>
        <v>1</v>
      </c>
      <c r="O513" s="71" t="str">
        <f>INDEX(Кат!$D:$D,MATCH($A513,Кат!$A:$A,0))</f>
        <v>Y</v>
      </c>
    </row>
    <row r="514" spans="1:15" ht="60" x14ac:dyDescent="0.25">
      <c r="A514" s="73">
        <v>195165</v>
      </c>
      <c r="B514" s="73">
        <v>32507</v>
      </c>
      <c r="C514" s="74" t="s">
        <v>1348</v>
      </c>
      <c r="D514" s="74" t="s">
        <v>13</v>
      </c>
      <c r="E514" s="74" t="s">
        <v>1349</v>
      </c>
      <c r="F514" s="74" t="s">
        <v>1349</v>
      </c>
      <c r="G514" s="74" t="s">
        <v>15</v>
      </c>
      <c r="H514" s="75">
        <v>11399</v>
      </c>
      <c r="I514" s="75">
        <v>15990</v>
      </c>
      <c r="J514" s="74" t="s">
        <v>1350</v>
      </c>
      <c r="K514" s="74" t="s">
        <v>16</v>
      </c>
      <c r="L514" s="74"/>
      <c r="M514" s="74" t="s">
        <v>13</v>
      </c>
      <c r="N514" s="71" t="str">
        <f t="shared" si="7"/>
        <v>1</v>
      </c>
      <c r="O514" s="71" t="str">
        <f>INDEX(Кат!$D:$D,MATCH($A514,Кат!$A:$A,0))</f>
        <v>Y</v>
      </c>
    </row>
    <row r="515" spans="1:15" ht="60" x14ac:dyDescent="0.25">
      <c r="A515" s="73">
        <v>195166</v>
      </c>
      <c r="B515" s="73">
        <v>17051</v>
      </c>
      <c r="C515" s="74" t="s">
        <v>1351</v>
      </c>
      <c r="D515" s="74" t="s">
        <v>13</v>
      </c>
      <c r="E515" s="74" t="s">
        <v>1352</v>
      </c>
      <c r="F515" s="74" t="s">
        <v>1352</v>
      </c>
      <c r="G515" s="74" t="s">
        <v>15</v>
      </c>
      <c r="H515" s="75">
        <v>1800</v>
      </c>
      <c r="I515" s="75">
        <v>2690</v>
      </c>
      <c r="J515" s="74" t="s">
        <v>1353</v>
      </c>
      <c r="K515" s="74" t="s">
        <v>16</v>
      </c>
      <c r="L515" s="74"/>
      <c r="M515" s="74"/>
      <c r="N515" s="71" t="str">
        <f t="shared" ref="N515:N578" si="8">_xlfn.CONCAT(K515,IF(L515&lt;&gt;"",_xlfn.CONCAT("ск",L515),""))</f>
        <v>1</v>
      </c>
      <c r="O515" s="71" t="str">
        <f>INDEX(Кат!$D:$D,MATCH($A515,Кат!$A:$A,0))</f>
        <v>Y</v>
      </c>
    </row>
    <row r="516" spans="1:15" ht="60" x14ac:dyDescent="0.25">
      <c r="A516" s="73">
        <v>195167</v>
      </c>
      <c r="B516" s="73">
        <v>17052</v>
      </c>
      <c r="C516" s="74" t="s">
        <v>1354</v>
      </c>
      <c r="D516" s="74" t="s">
        <v>13</v>
      </c>
      <c r="E516" s="74" t="s">
        <v>1355</v>
      </c>
      <c r="F516" s="74" t="s">
        <v>1355</v>
      </c>
      <c r="G516" s="74" t="s">
        <v>15</v>
      </c>
      <c r="H516" s="75">
        <v>1800</v>
      </c>
      <c r="I516" s="75">
        <v>2690</v>
      </c>
      <c r="J516" s="74" t="s">
        <v>1356</v>
      </c>
      <c r="K516" s="74" t="s">
        <v>16</v>
      </c>
      <c r="L516" s="74"/>
      <c r="M516" s="74"/>
      <c r="N516" s="71" t="str">
        <f t="shared" si="8"/>
        <v>1</v>
      </c>
      <c r="O516" s="71" t="str">
        <f>INDEX(Кат!$D:$D,MATCH($A516,Кат!$A:$A,0))</f>
        <v>Y</v>
      </c>
    </row>
    <row r="517" spans="1:15" ht="30" x14ac:dyDescent="0.25">
      <c r="A517" s="73">
        <v>195178</v>
      </c>
      <c r="B517" s="73">
        <v>31211</v>
      </c>
      <c r="C517" s="74" t="s">
        <v>1357</v>
      </c>
      <c r="D517" s="74" t="s">
        <v>13</v>
      </c>
      <c r="E517" s="74" t="s">
        <v>1358</v>
      </c>
      <c r="F517" s="74" t="s">
        <v>1358</v>
      </c>
      <c r="G517" s="74" t="s">
        <v>15</v>
      </c>
      <c r="H517" s="75">
        <v>2401</v>
      </c>
      <c r="I517" s="75">
        <v>3390</v>
      </c>
      <c r="J517" s="74"/>
      <c r="K517" s="74" t="s">
        <v>16</v>
      </c>
      <c r="L517" s="74"/>
      <c r="M517" s="74" t="s">
        <v>13</v>
      </c>
      <c r="N517" s="71" t="str">
        <f t="shared" si="8"/>
        <v>1</v>
      </c>
      <c r="O517" s="71" t="str">
        <f>INDEX(Кат!$D:$D,MATCH($A517,Кат!$A:$A,0))</f>
        <v>Y</v>
      </c>
    </row>
    <row r="518" spans="1:15" ht="45" x14ac:dyDescent="0.25">
      <c r="A518" s="73">
        <v>356285</v>
      </c>
      <c r="B518" s="73">
        <v>356285</v>
      </c>
      <c r="C518" s="74" t="s">
        <v>1359</v>
      </c>
      <c r="D518" s="74" t="s">
        <v>13</v>
      </c>
      <c r="E518" s="74" t="s">
        <v>1360</v>
      </c>
      <c r="F518" s="74" t="s">
        <v>1360</v>
      </c>
      <c r="G518" s="74" t="s">
        <v>15</v>
      </c>
      <c r="H518" s="75">
        <v>1710</v>
      </c>
      <c r="I518" s="75">
        <v>2590</v>
      </c>
      <c r="J518" s="74"/>
      <c r="K518" s="74" t="s">
        <v>16</v>
      </c>
      <c r="L518" s="74"/>
      <c r="M518" s="74"/>
      <c r="N518" s="71" t="str">
        <f t="shared" si="8"/>
        <v>1</v>
      </c>
      <c r="O518" s="71" t="str">
        <f>INDEX(Кат!$D:$D,MATCH($A518,Кат!$A:$A,0))</f>
        <v>Y</v>
      </c>
    </row>
    <row r="519" spans="1:15" ht="75" x14ac:dyDescent="0.25">
      <c r="A519" s="73">
        <v>195343</v>
      </c>
      <c r="B519" s="73">
        <v>31198</v>
      </c>
      <c r="C519" s="74" t="s">
        <v>1361</v>
      </c>
      <c r="D519" s="74" t="s">
        <v>13</v>
      </c>
      <c r="E519" s="74" t="s">
        <v>1362</v>
      </c>
      <c r="F519" s="74" t="s">
        <v>1362</v>
      </c>
      <c r="G519" s="74" t="s">
        <v>15</v>
      </c>
      <c r="H519" s="75">
        <v>3390</v>
      </c>
      <c r="I519" s="75">
        <v>4790</v>
      </c>
      <c r="J519" s="74" t="s">
        <v>1363</v>
      </c>
      <c r="K519" s="74" t="s">
        <v>16</v>
      </c>
      <c r="L519" s="74" t="s">
        <v>16</v>
      </c>
      <c r="M519" s="74" t="s">
        <v>13</v>
      </c>
      <c r="N519" s="71" t="str">
        <f t="shared" si="8"/>
        <v>1ск1</v>
      </c>
      <c r="O519" s="71" t="str">
        <f>INDEX(Кат!$D:$D,MATCH($A519,Кат!$A:$A,0))</f>
        <v>Y</v>
      </c>
    </row>
    <row r="520" spans="1:15" ht="45" x14ac:dyDescent="0.25">
      <c r="A520" s="73">
        <v>195254</v>
      </c>
      <c r="B520" s="73">
        <v>32548</v>
      </c>
      <c r="C520" s="74" t="s">
        <v>1364</v>
      </c>
      <c r="D520" s="74" t="s">
        <v>13</v>
      </c>
      <c r="E520" s="74" t="s">
        <v>1365</v>
      </c>
      <c r="F520" s="74" t="s">
        <v>1365</v>
      </c>
      <c r="G520" s="74" t="s">
        <v>15</v>
      </c>
      <c r="H520" s="75">
        <v>153</v>
      </c>
      <c r="I520" s="75">
        <v>279</v>
      </c>
      <c r="J520" s="74"/>
      <c r="K520" s="74" t="s">
        <v>16</v>
      </c>
      <c r="L520" s="74"/>
      <c r="M520" s="74" t="s">
        <v>13</v>
      </c>
      <c r="N520" s="71" t="str">
        <f t="shared" si="8"/>
        <v>1</v>
      </c>
      <c r="O520" s="71" t="str">
        <f>INDEX(Кат!$D:$D,MATCH($A520,Кат!$A:$A,0))</f>
        <v>Y</v>
      </c>
    </row>
    <row r="521" spans="1:15" ht="75" x14ac:dyDescent="0.25">
      <c r="A521" s="73">
        <v>195255</v>
      </c>
      <c r="B521" s="73">
        <v>31401</v>
      </c>
      <c r="C521" s="74" t="s">
        <v>1366</v>
      </c>
      <c r="D521" s="74" t="s">
        <v>13</v>
      </c>
      <c r="E521" s="74" t="s">
        <v>1367</v>
      </c>
      <c r="F521" s="74" t="s">
        <v>1367</v>
      </c>
      <c r="G521" s="74" t="s">
        <v>15</v>
      </c>
      <c r="H521" s="75">
        <v>1290</v>
      </c>
      <c r="I521" s="75">
        <v>1990</v>
      </c>
      <c r="J521" s="74" t="s">
        <v>1368</v>
      </c>
      <c r="K521" s="74" t="s">
        <v>16</v>
      </c>
      <c r="L521" s="74"/>
      <c r="M521" s="74" t="s">
        <v>13</v>
      </c>
      <c r="N521" s="71" t="str">
        <f t="shared" si="8"/>
        <v>1</v>
      </c>
      <c r="O521" s="71" t="str">
        <f>INDEX(Кат!$D:$D,MATCH($A521,Кат!$A:$A,0))</f>
        <v>Y</v>
      </c>
    </row>
    <row r="522" spans="1:15" ht="45" x14ac:dyDescent="0.25">
      <c r="A522" s="73">
        <v>195257</v>
      </c>
      <c r="B522" s="73">
        <v>51526</v>
      </c>
      <c r="C522" s="74" t="s">
        <v>1369</v>
      </c>
      <c r="D522" s="74" t="s">
        <v>13</v>
      </c>
      <c r="E522" s="74" t="s">
        <v>1370</v>
      </c>
      <c r="F522" s="74" t="s">
        <v>1371</v>
      </c>
      <c r="G522" s="74" t="s">
        <v>15</v>
      </c>
      <c r="H522" s="75">
        <v>10772.13</v>
      </c>
      <c r="I522" s="75">
        <v>14090</v>
      </c>
      <c r="J522" s="74"/>
      <c r="K522" s="74" t="s">
        <v>16</v>
      </c>
      <c r="L522" s="74"/>
      <c r="M522" s="74" t="s">
        <v>13</v>
      </c>
      <c r="N522" s="71" t="str">
        <f t="shared" si="8"/>
        <v>1</v>
      </c>
      <c r="O522" s="71" t="str">
        <f>INDEX(Кат!$D:$D,MATCH($A522,Кат!$A:$A,0))</f>
        <v>Y</v>
      </c>
    </row>
    <row r="523" spans="1:15" ht="60" x14ac:dyDescent="0.25">
      <c r="A523" s="73">
        <v>195258</v>
      </c>
      <c r="B523" s="73">
        <v>50738</v>
      </c>
      <c r="C523" s="74" t="s">
        <v>1372</v>
      </c>
      <c r="D523" s="74" t="s">
        <v>13</v>
      </c>
      <c r="E523" s="74" t="s">
        <v>1373</v>
      </c>
      <c r="F523" s="74" t="s">
        <v>1374</v>
      </c>
      <c r="G523" s="74" t="s">
        <v>15</v>
      </c>
      <c r="H523" s="75">
        <v>3677</v>
      </c>
      <c r="I523" s="75">
        <v>5190</v>
      </c>
      <c r="J523" s="74" t="s">
        <v>1375</v>
      </c>
      <c r="K523" s="74" t="s">
        <v>16</v>
      </c>
      <c r="L523" s="74" t="s">
        <v>16</v>
      </c>
      <c r="M523" s="74" t="s">
        <v>13</v>
      </c>
      <c r="N523" s="71" t="str">
        <f t="shared" si="8"/>
        <v>1ск1</v>
      </c>
      <c r="O523" s="71" t="str">
        <f>INDEX(Кат!$D:$D,MATCH($A523,Кат!$A:$A,0))</f>
        <v>Y</v>
      </c>
    </row>
    <row r="524" spans="1:15" ht="45" x14ac:dyDescent="0.25">
      <c r="A524" s="73">
        <v>357526</v>
      </c>
      <c r="B524" s="73">
        <v>357526</v>
      </c>
      <c r="C524" s="74" t="s">
        <v>1376</v>
      </c>
      <c r="D524" s="74" t="s">
        <v>13</v>
      </c>
      <c r="E524" s="74" t="s">
        <v>1377</v>
      </c>
      <c r="F524" s="74"/>
      <c r="G524" s="74" t="s">
        <v>15</v>
      </c>
      <c r="H524" s="75">
        <v>2389</v>
      </c>
      <c r="I524" s="75">
        <v>3390</v>
      </c>
      <c r="J524" s="74"/>
      <c r="K524" s="74" t="s">
        <v>16</v>
      </c>
      <c r="L524" s="74"/>
      <c r="M524" s="74"/>
      <c r="N524" s="71" t="str">
        <f t="shared" si="8"/>
        <v>1</v>
      </c>
      <c r="O524" s="71" t="str">
        <f>INDEX(Кат!$D:$D,MATCH($A524,Кат!$A:$A,0))</f>
        <v>Y</v>
      </c>
    </row>
    <row r="525" spans="1:15" ht="45" x14ac:dyDescent="0.25">
      <c r="A525" s="73">
        <v>357529</v>
      </c>
      <c r="B525" s="73">
        <v>357529</v>
      </c>
      <c r="C525" s="74" t="s">
        <v>1378</v>
      </c>
      <c r="D525" s="74" t="s">
        <v>13</v>
      </c>
      <c r="E525" s="74" t="s">
        <v>1379</v>
      </c>
      <c r="F525" s="74"/>
      <c r="G525" s="74" t="s">
        <v>15</v>
      </c>
      <c r="H525" s="75">
        <v>2389</v>
      </c>
      <c r="I525" s="75">
        <v>3390</v>
      </c>
      <c r="J525" s="74"/>
      <c r="K525" s="74" t="s">
        <v>16</v>
      </c>
      <c r="L525" s="74"/>
      <c r="M525" s="74"/>
      <c r="N525" s="71" t="str">
        <f t="shared" si="8"/>
        <v>1</v>
      </c>
      <c r="O525" s="71" t="str">
        <f>INDEX(Кат!$D:$D,MATCH($A525,Кат!$A:$A,0))</f>
        <v>Y</v>
      </c>
    </row>
    <row r="526" spans="1:15" ht="30" x14ac:dyDescent="0.25">
      <c r="A526" s="73">
        <v>195259</v>
      </c>
      <c r="B526" s="73">
        <v>31052</v>
      </c>
      <c r="C526" s="74" t="s">
        <v>1380</v>
      </c>
      <c r="D526" s="74" t="s">
        <v>13</v>
      </c>
      <c r="E526" s="74" t="s">
        <v>1381</v>
      </c>
      <c r="F526" s="74" t="s">
        <v>1381</v>
      </c>
      <c r="G526" s="74" t="s">
        <v>15</v>
      </c>
      <c r="H526" s="75">
        <v>9872</v>
      </c>
      <c r="I526" s="75">
        <v>13890</v>
      </c>
      <c r="J526" s="74"/>
      <c r="K526" s="74" t="s">
        <v>16</v>
      </c>
      <c r="L526" s="74"/>
      <c r="M526" s="74" t="s">
        <v>13</v>
      </c>
      <c r="N526" s="71" t="str">
        <f t="shared" si="8"/>
        <v>1</v>
      </c>
      <c r="O526" s="71" t="str">
        <f>INDEX(Кат!$D:$D,MATCH($A526,Кат!$A:$A,0))</f>
        <v>Y</v>
      </c>
    </row>
    <row r="527" spans="1:15" ht="30" x14ac:dyDescent="0.25">
      <c r="A527" s="73">
        <v>347098</v>
      </c>
      <c r="B527" s="73">
        <v>347098</v>
      </c>
      <c r="C527" s="74" t="s">
        <v>1382</v>
      </c>
      <c r="D527" s="74" t="s">
        <v>13</v>
      </c>
      <c r="E527" s="74" t="s">
        <v>1383</v>
      </c>
      <c r="F527" s="74"/>
      <c r="G527" s="74" t="s">
        <v>15</v>
      </c>
      <c r="H527" s="75">
        <v>577</v>
      </c>
      <c r="I527" s="75">
        <v>899</v>
      </c>
      <c r="J527" s="74"/>
      <c r="K527" s="74" t="s">
        <v>16</v>
      </c>
      <c r="L527" s="74"/>
      <c r="M527" s="74"/>
      <c r="N527" s="71" t="str">
        <f t="shared" si="8"/>
        <v>1</v>
      </c>
      <c r="O527" s="71" t="str">
        <f>INDEX(Кат!$D:$D,MATCH($A527,Кат!$A:$A,0))</f>
        <v>Y</v>
      </c>
    </row>
    <row r="528" spans="1:15" ht="30" x14ac:dyDescent="0.25">
      <c r="A528" s="73">
        <v>195260</v>
      </c>
      <c r="B528" s="73">
        <v>32571</v>
      </c>
      <c r="C528" s="74" t="s">
        <v>1384</v>
      </c>
      <c r="D528" s="74" t="s">
        <v>13</v>
      </c>
      <c r="E528" s="74" t="s">
        <v>1385</v>
      </c>
      <c r="F528" s="74" t="s">
        <v>1385</v>
      </c>
      <c r="G528" s="74" t="s">
        <v>15</v>
      </c>
      <c r="H528" s="75">
        <v>126</v>
      </c>
      <c r="I528" s="75">
        <v>229</v>
      </c>
      <c r="J528" s="74"/>
      <c r="K528" s="74" t="s">
        <v>16</v>
      </c>
      <c r="L528" s="74"/>
      <c r="M528" s="74" t="s">
        <v>13</v>
      </c>
      <c r="N528" s="71" t="str">
        <f t="shared" si="8"/>
        <v>1</v>
      </c>
      <c r="O528" s="71" t="str">
        <f>INDEX(Кат!$D:$D,MATCH($A528,Кат!$A:$A,0))</f>
        <v>Y</v>
      </c>
    </row>
    <row r="529" spans="1:15" ht="30" x14ac:dyDescent="0.25">
      <c r="A529" s="73">
        <v>195261</v>
      </c>
      <c r="B529" s="73">
        <v>31097</v>
      </c>
      <c r="C529" s="74" t="s">
        <v>1386</v>
      </c>
      <c r="D529" s="74" t="s">
        <v>13</v>
      </c>
      <c r="E529" s="74" t="s">
        <v>1387</v>
      </c>
      <c r="F529" s="74" t="s">
        <v>1387</v>
      </c>
      <c r="G529" s="74" t="s">
        <v>15</v>
      </c>
      <c r="H529" s="75">
        <v>2996</v>
      </c>
      <c r="I529" s="75">
        <v>4190</v>
      </c>
      <c r="J529" s="74"/>
      <c r="K529" s="74" t="s">
        <v>16</v>
      </c>
      <c r="L529" s="74"/>
      <c r="M529" s="74" t="s">
        <v>13</v>
      </c>
      <c r="N529" s="71" t="str">
        <f t="shared" si="8"/>
        <v>1</v>
      </c>
      <c r="O529" s="71" t="str">
        <f>INDEX(Кат!$D:$D,MATCH($A529,Кат!$A:$A,0))</f>
        <v>Y</v>
      </c>
    </row>
    <row r="530" spans="1:15" ht="30" x14ac:dyDescent="0.25">
      <c r="A530" s="73">
        <v>195262</v>
      </c>
      <c r="B530" s="73">
        <v>31448</v>
      </c>
      <c r="C530" s="74" t="s">
        <v>1388</v>
      </c>
      <c r="D530" s="74" t="s">
        <v>13</v>
      </c>
      <c r="E530" s="74" t="s">
        <v>1389</v>
      </c>
      <c r="F530" s="74" t="s">
        <v>1389</v>
      </c>
      <c r="G530" s="74" t="s">
        <v>15</v>
      </c>
      <c r="H530" s="75">
        <v>934</v>
      </c>
      <c r="I530" s="75">
        <v>1490</v>
      </c>
      <c r="J530" s="74" t="s">
        <v>1390</v>
      </c>
      <c r="K530" s="74" t="s">
        <v>16</v>
      </c>
      <c r="L530" s="74"/>
      <c r="M530" s="74" t="s">
        <v>13</v>
      </c>
      <c r="N530" s="71" t="str">
        <f t="shared" si="8"/>
        <v>1</v>
      </c>
      <c r="O530" s="71" t="str">
        <f>INDEX(Кат!$D:$D,MATCH($A530,Кат!$A:$A,0))</f>
        <v>Y</v>
      </c>
    </row>
    <row r="531" spans="1:15" ht="45" x14ac:dyDescent="0.25">
      <c r="A531" s="73">
        <v>195263</v>
      </c>
      <c r="B531" s="73">
        <v>31457</v>
      </c>
      <c r="C531" s="74" t="s">
        <v>1391</v>
      </c>
      <c r="D531" s="74" t="s">
        <v>13</v>
      </c>
      <c r="E531" s="74" t="s">
        <v>1392</v>
      </c>
      <c r="F531" s="74" t="s">
        <v>1392</v>
      </c>
      <c r="G531" s="74" t="s">
        <v>15</v>
      </c>
      <c r="H531" s="75">
        <v>481</v>
      </c>
      <c r="I531" s="75">
        <v>779</v>
      </c>
      <c r="J531" s="74"/>
      <c r="K531" s="74" t="s">
        <v>16</v>
      </c>
      <c r="L531" s="74"/>
      <c r="M531" s="74" t="s">
        <v>13</v>
      </c>
      <c r="N531" s="71" t="str">
        <f t="shared" si="8"/>
        <v>1</v>
      </c>
      <c r="O531" s="71" t="str">
        <f>INDEX(Кат!$D:$D,MATCH($A531,Кат!$A:$A,0))</f>
        <v>Y</v>
      </c>
    </row>
    <row r="532" spans="1:15" ht="75" x14ac:dyDescent="0.25">
      <c r="A532" s="73">
        <v>195264</v>
      </c>
      <c r="B532" s="73">
        <v>30984</v>
      </c>
      <c r="C532" s="74" t="s">
        <v>1393</v>
      </c>
      <c r="D532" s="74" t="s">
        <v>13</v>
      </c>
      <c r="E532" s="74" t="s">
        <v>1394</v>
      </c>
      <c r="F532" s="74" t="s">
        <v>1394</v>
      </c>
      <c r="G532" s="74" t="s">
        <v>15</v>
      </c>
      <c r="H532" s="75">
        <v>959</v>
      </c>
      <c r="I532" s="75">
        <v>1490</v>
      </c>
      <c r="J532" s="74" t="s">
        <v>1395</v>
      </c>
      <c r="K532" s="74" t="s">
        <v>16</v>
      </c>
      <c r="L532" s="74"/>
      <c r="M532" s="74" t="s">
        <v>13</v>
      </c>
      <c r="N532" s="71" t="str">
        <f t="shared" si="8"/>
        <v>1</v>
      </c>
      <c r="O532" s="71" t="str">
        <f>INDEX(Кат!$D:$D,MATCH($A532,Кат!$A:$A,0))</f>
        <v>Y</v>
      </c>
    </row>
    <row r="533" spans="1:15" ht="30" x14ac:dyDescent="0.25">
      <c r="A533" s="73">
        <v>195265</v>
      </c>
      <c r="B533" s="73">
        <v>31146</v>
      </c>
      <c r="C533" s="74" t="s">
        <v>1396</v>
      </c>
      <c r="D533" s="74" t="s">
        <v>13</v>
      </c>
      <c r="E533" s="74" t="s">
        <v>1397</v>
      </c>
      <c r="F533" s="74" t="s">
        <v>1397</v>
      </c>
      <c r="G533" s="74" t="s">
        <v>15</v>
      </c>
      <c r="H533" s="75">
        <v>914</v>
      </c>
      <c r="I533" s="75">
        <v>1490</v>
      </c>
      <c r="J533" s="74"/>
      <c r="K533" s="74" t="s">
        <v>16</v>
      </c>
      <c r="L533" s="74"/>
      <c r="M533" s="74" t="s">
        <v>13</v>
      </c>
      <c r="N533" s="71" t="str">
        <f t="shared" si="8"/>
        <v>1</v>
      </c>
      <c r="O533" s="71" t="str">
        <f>INDEX(Кат!$D:$D,MATCH($A533,Кат!$A:$A,0))</f>
        <v>Y</v>
      </c>
    </row>
    <row r="534" spans="1:15" ht="30" x14ac:dyDescent="0.25">
      <c r="A534" s="73">
        <v>195266</v>
      </c>
      <c r="B534" s="73">
        <v>31053</v>
      </c>
      <c r="C534" s="74" t="s">
        <v>1398</v>
      </c>
      <c r="D534" s="74" t="s">
        <v>13</v>
      </c>
      <c r="E534" s="74" t="s">
        <v>1399</v>
      </c>
      <c r="F534" s="74" t="s">
        <v>1399</v>
      </c>
      <c r="G534" s="74" t="s">
        <v>15</v>
      </c>
      <c r="H534" s="75">
        <v>5360</v>
      </c>
      <c r="I534" s="75">
        <v>7590</v>
      </c>
      <c r="J534" s="74"/>
      <c r="K534" s="74" t="s">
        <v>16</v>
      </c>
      <c r="L534" s="74"/>
      <c r="M534" s="74"/>
      <c r="N534" s="71" t="str">
        <f t="shared" si="8"/>
        <v>1</v>
      </c>
      <c r="O534" s="71" t="str">
        <f>INDEX(Кат!$D:$D,MATCH($A534,Кат!$A:$A,0))</f>
        <v>Y</v>
      </c>
    </row>
    <row r="535" spans="1:15" ht="45" x14ac:dyDescent="0.25">
      <c r="A535" s="73">
        <v>195267</v>
      </c>
      <c r="B535" s="73">
        <v>31425</v>
      </c>
      <c r="C535" s="74" t="s">
        <v>1400</v>
      </c>
      <c r="D535" s="74" t="s">
        <v>13</v>
      </c>
      <c r="E535" s="74" t="s">
        <v>1401</v>
      </c>
      <c r="F535" s="74" t="s">
        <v>1401</v>
      </c>
      <c r="G535" s="74" t="s">
        <v>15</v>
      </c>
      <c r="H535" s="75">
        <v>174</v>
      </c>
      <c r="I535" s="75">
        <v>319</v>
      </c>
      <c r="J535" s="74"/>
      <c r="K535" s="74" t="s">
        <v>16</v>
      </c>
      <c r="L535" s="74"/>
      <c r="M535" s="74" t="s">
        <v>13</v>
      </c>
      <c r="N535" s="71" t="str">
        <f t="shared" si="8"/>
        <v>1</v>
      </c>
      <c r="O535" s="71" t="str">
        <f>INDEX(Кат!$D:$D,MATCH($A535,Кат!$A:$A,0))</f>
        <v>Y</v>
      </c>
    </row>
    <row r="536" spans="1:15" ht="45" x14ac:dyDescent="0.25">
      <c r="A536" s="73">
        <v>195268</v>
      </c>
      <c r="B536" s="73">
        <v>31117</v>
      </c>
      <c r="C536" s="74" t="s">
        <v>1402</v>
      </c>
      <c r="D536" s="74" t="s">
        <v>13</v>
      </c>
      <c r="E536" s="74" t="s">
        <v>1403</v>
      </c>
      <c r="F536" s="74" t="s">
        <v>1403</v>
      </c>
      <c r="G536" s="74" t="s">
        <v>15</v>
      </c>
      <c r="H536" s="75">
        <v>578</v>
      </c>
      <c r="I536" s="75">
        <v>899</v>
      </c>
      <c r="J536" s="74"/>
      <c r="K536" s="74" t="s">
        <v>16</v>
      </c>
      <c r="L536" s="74"/>
      <c r="M536" s="74" t="s">
        <v>13</v>
      </c>
      <c r="N536" s="71" t="str">
        <f t="shared" si="8"/>
        <v>1</v>
      </c>
      <c r="O536" s="71" t="str">
        <f>INDEX(Кат!$D:$D,MATCH($A536,Кат!$A:$A,0))</f>
        <v>Y</v>
      </c>
    </row>
    <row r="537" spans="1:15" ht="30" x14ac:dyDescent="0.25">
      <c r="A537" s="73">
        <v>195269</v>
      </c>
      <c r="B537" s="73">
        <v>31054</v>
      </c>
      <c r="C537" s="74" t="s">
        <v>1404</v>
      </c>
      <c r="D537" s="74" t="s">
        <v>13</v>
      </c>
      <c r="E537" s="74" t="s">
        <v>1405</v>
      </c>
      <c r="F537" s="74" t="s">
        <v>1405</v>
      </c>
      <c r="G537" s="74" t="s">
        <v>15</v>
      </c>
      <c r="H537" s="75">
        <v>4647</v>
      </c>
      <c r="I537" s="75">
        <v>6590</v>
      </c>
      <c r="J537" s="74" t="s">
        <v>1406</v>
      </c>
      <c r="K537" s="74" t="s">
        <v>16</v>
      </c>
      <c r="L537" s="74"/>
      <c r="M537" s="74" t="s">
        <v>13</v>
      </c>
      <c r="N537" s="71" t="str">
        <f t="shared" si="8"/>
        <v>1</v>
      </c>
      <c r="O537" s="71" t="str">
        <f>INDEX(Кат!$D:$D,MATCH($A537,Кат!$A:$A,0))</f>
        <v>Y</v>
      </c>
    </row>
    <row r="538" spans="1:15" ht="75" x14ac:dyDescent="0.25">
      <c r="A538" s="73">
        <v>195270</v>
      </c>
      <c r="B538" s="73">
        <v>23552</v>
      </c>
      <c r="C538" s="74" t="s">
        <v>1407</v>
      </c>
      <c r="D538" s="74" t="s">
        <v>13</v>
      </c>
      <c r="E538" s="74" t="s">
        <v>1408</v>
      </c>
      <c r="F538" s="74" t="s">
        <v>1408</v>
      </c>
      <c r="G538" s="74" t="s">
        <v>15</v>
      </c>
      <c r="H538" s="75">
        <v>646</v>
      </c>
      <c r="I538" s="75">
        <v>1090</v>
      </c>
      <c r="J538" s="74" t="s">
        <v>1409</v>
      </c>
      <c r="K538" s="74" t="s">
        <v>16</v>
      </c>
      <c r="L538" s="74"/>
      <c r="M538" s="74" t="s">
        <v>13</v>
      </c>
      <c r="N538" s="71" t="str">
        <f t="shared" si="8"/>
        <v>1</v>
      </c>
      <c r="O538" s="71" t="str">
        <f>INDEX(Кат!$D:$D,MATCH($A538,Кат!$A:$A,0))</f>
        <v>Y</v>
      </c>
    </row>
    <row r="539" spans="1:15" ht="45" x14ac:dyDescent="0.25">
      <c r="A539" s="73">
        <v>195271</v>
      </c>
      <c r="B539" s="73">
        <v>31265</v>
      </c>
      <c r="C539" s="74" t="s">
        <v>1410</v>
      </c>
      <c r="D539" s="74" t="s">
        <v>13</v>
      </c>
      <c r="E539" s="74" t="s">
        <v>1411</v>
      </c>
      <c r="F539" s="74" t="s">
        <v>1411</v>
      </c>
      <c r="G539" s="74" t="s">
        <v>15</v>
      </c>
      <c r="H539" s="75">
        <v>2627.51</v>
      </c>
      <c r="I539" s="75">
        <v>3690</v>
      </c>
      <c r="J539" s="74" t="s">
        <v>1412</v>
      </c>
      <c r="K539" s="74" t="s">
        <v>16</v>
      </c>
      <c r="L539" s="74"/>
      <c r="M539" s="74" t="s">
        <v>13</v>
      </c>
      <c r="N539" s="71" t="str">
        <f t="shared" si="8"/>
        <v>1</v>
      </c>
      <c r="O539" s="71" t="str">
        <f>INDEX(Кат!$D:$D,MATCH($A539,Кат!$A:$A,0))</f>
        <v>Y</v>
      </c>
    </row>
    <row r="540" spans="1:15" ht="75" x14ac:dyDescent="0.25">
      <c r="A540" s="73">
        <v>195272</v>
      </c>
      <c r="B540" s="73">
        <v>32697</v>
      </c>
      <c r="C540" s="74" t="s">
        <v>1413</v>
      </c>
      <c r="D540" s="74" t="s">
        <v>13</v>
      </c>
      <c r="E540" s="74" t="s">
        <v>1414</v>
      </c>
      <c r="F540" s="74" t="s">
        <v>1414</v>
      </c>
      <c r="G540" s="74" t="s">
        <v>15</v>
      </c>
      <c r="H540" s="75">
        <v>953</v>
      </c>
      <c r="I540" s="75">
        <v>1490</v>
      </c>
      <c r="J540" s="74" t="s">
        <v>1415</v>
      </c>
      <c r="K540" s="74" t="s">
        <v>16</v>
      </c>
      <c r="L540" s="74"/>
      <c r="M540" s="74" t="s">
        <v>13</v>
      </c>
      <c r="N540" s="71" t="str">
        <f t="shared" si="8"/>
        <v>1</v>
      </c>
      <c r="O540" s="71" t="str">
        <f>INDEX(Кат!$D:$D,MATCH($A540,Кат!$A:$A,0))</f>
        <v>Y</v>
      </c>
    </row>
    <row r="541" spans="1:15" ht="45" x14ac:dyDescent="0.25">
      <c r="A541" s="73">
        <v>195273</v>
      </c>
      <c r="B541" s="73">
        <v>31467</v>
      </c>
      <c r="C541" s="74" t="s">
        <v>1416</v>
      </c>
      <c r="D541" s="74" t="s">
        <v>13</v>
      </c>
      <c r="E541" s="74" t="s">
        <v>1417</v>
      </c>
      <c r="F541" s="74" t="s">
        <v>1417</v>
      </c>
      <c r="G541" s="74" t="s">
        <v>15</v>
      </c>
      <c r="H541" s="75">
        <v>1511</v>
      </c>
      <c r="I541" s="75">
        <v>2290</v>
      </c>
      <c r="J541" s="74"/>
      <c r="K541" s="74" t="s">
        <v>16</v>
      </c>
      <c r="L541" s="74"/>
      <c r="M541" s="74" t="s">
        <v>13</v>
      </c>
      <c r="N541" s="71" t="str">
        <f t="shared" si="8"/>
        <v>1</v>
      </c>
      <c r="O541" s="71" t="str">
        <f>INDEX(Кат!$D:$D,MATCH($A541,Кат!$A:$A,0))</f>
        <v>Y</v>
      </c>
    </row>
    <row r="542" spans="1:15" ht="45" x14ac:dyDescent="0.25">
      <c r="A542" s="73">
        <v>195274</v>
      </c>
      <c r="B542" s="73">
        <v>32658</v>
      </c>
      <c r="C542" s="74" t="s">
        <v>1418</v>
      </c>
      <c r="D542" s="74" t="s">
        <v>13</v>
      </c>
      <c r="E542" s="74" t="s">
        <v>1419</v>
      </c>
      <c r="F542" s="74" t="s">
        <v>1419</v>
      </c>
      <c r="G542" s="74" t="s">
        <v>15</v>
      </c>
      <c r="H542" s="75">
        <v>3452</v>
      </c>
      <c r="I542" s="75">
        <v>4890</v>
      </c>
      <c r="J542" s="74"/>
      <c r="K542" s="74" t="s">
        <v>16</v>
      </c>
      <c r="L542" s="74"/>
      <c r="M542" s="74" t="s">
        <v>13</v>
      </c>
      <c r="N542" s="71" t="str">
        <f t="shared" si="8"/>
        <v>1</v>
      </c>
      <c r="O542" s="71" t="str">
        <f>INDEX(Кат!$D:$D,MATCH($A542,Кат!$A:$A,0))</f>
        <v>Y</v>
      </c>
    </row>
    <row r="543" spans="1:15" ht="45" x14ac:dyDescent="0.25">
      <c r="A543" s="73">
        <v>356104</v>
      </c>
      <c r="B543" s="73">
        <v>356104</v>
      </c>
      <c r="C543" s="74" t="s">
        <v>1420</v>
      </c>
      <c r="D543" s="74" t="s">
        <v>13</v>
      </c>
      <c r="E543" s="74" t="s">
        <v>1421</v>
      </c>
      <c r="F543" s="74" t="s">
        <v>1421</v>
      </c>
      <c r="G543" s="74" t="s">
        <v>15</v>
      </c>
      <c r="H543" s="75">
        <v>3358</v>
      </c>
      <c r="I543" s="75">
        <v>4790</v>
      </c>
      <c r="J543" s="74"/>
      <c r="K543" s="74" t="s">
        <v>16</v>
      </c>
      <c r="L543" s="74"/>
      <c r="M543" s="74"/>
      <c r="N543" s="71" t="str">
        <f t="shared" si="8"/>
        <v>1</v>
      </c>
      <c r="O543" s="71" t="str">
        <f>INDEX(Кат!$D:$D,MATCH($A543,Кат!$A:$A,0))</f>
        <v>Y</v>
      </c>
    </row>
    <row r="544" spans="1:15" ht="30" x14ac:dyDescent="0.25">
      <c r="A544" s="73">
        <v>347453</v>
      </c>
      <c r="B544" s="73">
        <v>347453</v>
      </c>
      <c r="C544" s="74" t="s">
        <v>1422</v>
      </c>
      <c r="D544" s="74" t="s">
        <v>13</v>
      </c>
      <c r="E544" s="74" t="s">
        <v>1423</v>
      </c>
      <c r="F544" s="74"/>
      <c r="G544" s="74" t="s">
        <v>15</v>
      </c>
      <c r="H544" s="75">
        <v>3652</v>
      </c>
      <c r="I544" s="75">
        <v>5190</v>
      </c>
      <c r="J544" s="74"/>
      <c r="K544" s="74" t="s">
        <v>16</v>
      </c>
      <c r="L544" s="74"/>
      <c r="M544" s="74"/>
      <c r="N544" s="71" t="str">
        <f t="shared" si="8"/>
        <v>1</v>
      </c>
      <c r="O544" s="71" t="str">
        <f>INDEX(Кат!$D:$D,MATCH($A544,Кат!$A:$A,0))</f>
        <v>Y</v>
      </c>
    </row>
    <row r="545" spans="1:15" ht="45" x14ac:dyDescent="0.25">
      <c r="A545" s="73">
        <v>195304</v>
      </c>
      <c r="B545" s="73">
        <v>23535</v>
      </c>
      <c r="C545" s="74" t="s">
        <v>1424</v>
      </c>
      <c r="D545" s="74" t="s">
        <v>13</v>
      </c>
      <c r="E545" s="74" t="s">
        <v>1425</v>
      </c>
      <c r="F545" s="74" t="s">
        <v>1425</v>
      </c>
      <c r="G545" s="74" t="s">
        <v>15</v>
      </c>
      <c r="H545" s="75">
        <v>2326.7399999999998</v>
      </c>
      <c r="I545" s="75">
        <v>3290</v>
      </c>
      <c r="J545" s="74"/>
      <c r="K545" s="74" t="s">
        <v>16</v>
      </c>
      <c r="L545" s="74"/>
      <c r="M545" s="74" t="s">
        <v>13</v>
      </c>
      <c r="N545" s="71" t="str">
        <f t="shared" si="8"/>
        <v>1</v>
      </c>
      <c r="O545" s="71" t="str">
        <f>INDEX(Кат!$D:$D,MATCH($A545,Кат!$A:$A,0))</f>
        <v>Y</v>
      </c>
    </row>
    <row r="546" spans="1:15" ht="75" x14ac:dyDescent="0.25">
      <c r="A546" s="73">
        <v>195305</v>
      </c>
      <c r="B546" s="73">
        <v>46215</v>
      </c>
      <c r="C546" s="74" t="s">
        <v>1426</v>
      </c>
      <c r="D546" s="74" t="s">
        <v>13</v>
      </c>
      <c r="E546" s="74" t="s">
        <v>1427</v>
      </c>
      <c r="F546" s="74" t="s">
        <v>1428</v>
      </c>
      <c r="G546" s="74" t="s">
        <v>15</v>
      </c>
      <c r="H546" s="75">
        <v>2374</v>
      </c>
      <c r="I546" s="75">
        <v>3390</v>
      </c>
      <c r="J546" s="74" t="s">
        <v>1429</v>
      </c>
      <c r="K546" s="74" t="s">
        <v>16</v>
      </c>
      <c r="L546" s="74"/>
      <c r="M546" s="74"/>
      <c r="N546" s="71" t="str">
        <f t="shared" si="8"/>
        <v>1</v>
      </c>
      <c r="O546" s="71" t="str">
        <f>INDEX(Кат!$D:$D,MATCH($A546,Кат!$A:$A,0))</f>
        <v>Y</v>
      </c>
    </row>
    <row r="547" spans="1:15" ht="30" x14ac:dyDescent="0.25">
      <c r="A547" s="73">
        <v>195306</v>
      </c>
      <c r="B547" s="73">
        <v>34263</v>
      </c>
      <c r="C547" s="74" t="s">
        <v>1430</v>
      </c>
      <c r="D547" s="74" t="s">
        <v>13</v>
      </c>
      <c r="E547" s="74" t="s">
        <v>1431</v>
      </c>
      <c r="F547" s="74" t="s">
        <v>1432</v>
      </c>
      <c r="G547" s="74" t="s">
        <v>15</v>
      </c>
      <c r="H547" s="75">
        <v>1140</v>
      </c>
      <c r="I547" s="75">
        <v>1790</v>
      </c>
      <c r="J547" s="74"/>
      <c r="K547" s="74" t="s">
        <v>16</v>
      </c>
      <c r="L547" s="74"/>
      <c r="M547" s="74" t="s">
        <v>13</v>
      </c>
      <c r="N547" s="71" t="str">
        <f t="shared" si="8"/>
        <v>1</v>
      </c>
      <c r="O547" s="71" t="str">
        <f>INDEX(Кат!$D:$D,MATCH($A547,Кат!$A:$A,0))</f>
        <v>Y</v>
      </c>
    </row>
    <row r="548" spans="1:15" ht="45" x14ac:dyDescent="0.25">
      <c r="A548" s="73">
        <v>195307</v>
      </c>
      <c r="B548" s="73">
        <v>45740</v>
      </c>
      <c r="C548" s="74" t="s">
        <v>1433</v>
      </c>
      <c r="D548" s="74" t="s">
        <v>13</v>
      </c>
      <c r="E548" s="74" t="s">
        <v>1434</v>
      </c>
      <c r="F548" s="74" t="s">
        <v>1435</v>
      </c>
      <c r="G548" s="74" t="s">
        <v>15</v>
      </c>
      <c r="H548" s="75">
        <v>994</v>
      </c>
      <c r="I548" s="75">
        <v>1590</v>
      </c>
      <c r="J548" s="74"/>
      <c r="K548" s="74" t="s">
        <v>37</v>
      </c>
      <c r="L548" s="74"/>
      <c r="M548" s="74" t="s">
        <v>13</v>
      </c>
      <c r="N548" s="71" t="str">
        <f t="shared" si="8"/>
        <v>0</v>
      </c>
      <c r="O548" s="71" t="str">
        <f>INDEX(Кат!$D:$D,MATCH($A548,Кат!$A:$A,0))</f>
        <v>Y</v>
      </c>
    </row>
    <row r="549" spans="1:15" ht="45" x14ac:dyDescent="0.25">
      <c r="A549" s="73">
        <v>195308</v>
      </c>
      <c r="B549" s="73">
        <v>45918</v>
      </c>
      <c r="C549" s="74" t="s">
        <v>1436</v>
      </c>
      <c r="D549" s="74" t="s">
        <v>13</v>
      </c>
      <c r="E549" s="74" t="s">
        <v>1437</v>
      </c>
      <c r="F549" s="74" t="s">
        <v>1438</v>
      </c>
      <c r="G549" s="74" t="s">
        <v>15</v>
      </c>
      <c r="H549" s="75">
        <v>1114</v>
      </c>
      <c r="I549" s="75">
        <v>1690</v>
      </c>
      <c r="J549" s="74"/>
      <c r="K549" s="74" t="s">
        <v>16</v>
      </c>
      <c r="L549" s="74"/>
      <c r="M549" s="74" t="s">
        <v>13</v>
      </c>
      <c r="N549" s="71" t="str">
        <f t="shared" si="8"/>
        <v>1</v>
      </c>
      <c r="O549" s="71" t="str">
        <f>INDEX(Кат!$D:$D,MATCH($A549,Кат!$A:$A,0))</f>
        <v>Y</v>
      </c>
    </row>
    <row r="550" spans="1:15" ht="60" x14ac:dyDescent="0.25">
      <c r="A550" s="73">
        <v>195309</v>
      </c>
      <c r="B550" s="73">
        <v>45528</v>
      </c>
      <c r="C550" s="74" t="s">
        <v>1439</v>
      </c>
      <c r="D550" s="74" t="s">
        <v>13</v>
      </c>
      <c r="E550" s="74" t="s">
        <v>1440</v>
      </c>
      <c r="F550" s="74" t="s">
        <v>1441</v>
      </c>
      <c r="G550" s="74" t="s">
        <v>15</v>
      </c>
      <c r="H550" s="75">
        <v>409</v>
      </c>
      <c r="I550" s="75">
        <v>659</v>
      </c>
      <c r="J550" s="74" t="s">
        <v>1442</v>
      </c>
      <c r="K550" s="74" t="s">
        <v>16</v>
      </c>
      <c r="L550" s="74"/>
      <c r="M550" s="74" t="s">
        <v>13</v>
      </c>
      <c r="N550" s="71" t="str">
        <f t="shared" si="8"/>
        <v>1</v>
      </c>
      <c r="O550" s="71" t="str">
        <f>INDEX(Кат!$D:$D,MATCH($A550,Кат!$A:$A,0))</f>
        <v>Y</v>
      </c>
    </row>
    <row r="551" spans="1:15" ht="90" x14ac:dyDescent="0.25">
      <c r="A551" s="73">
        <v>195310</v>
      </c>
      <c r="B551" s="73">
        <v>32511</v>
      </c>
      <c r="C551" s="74" t="s">
        <v>1443</v>
      </c>
      <c r="D551" s="74" t="s">
        <v>13</v>
      </c>
      <c r="E551" s="74" t="s">
        <v>1444</v>
      </c>
      <c r="F551" s="74" t="s">
        <v>1444</v>
      </c>
      <c r="G551" s="74" t="s">
        <v>15</v>
      </c>
      <c r="H551" s="75">
        <v>1843.75</v>
      </c>
      <c r="I551" s="75">
        <v>2790</v>
      </c>
      <c r="J551" s="74" t="s">
        <v>1445</v>
      </c>
      <c r="K551" s="74" t="s">
        <v>16</v>
      </c>
      <c r="L551" s="74"/>
      <c r="M551" s="74" t="s">
        <v>13</v>
      </c>
      <c r="N551" s="71" t="str">
        <f t="shared" si="8"/>
        <v>1</v>
      </c>
      <c r="O551" s="71" t="str">
        <f>INDEX(Кат!$D:$D,MATCH($A551,Кат!$A:$A,0))</f>
        <v>Y</v>
      </c>
    </row>
    <row r="552" spans="1:15" ht="45" x14ac:dyDescent="0.25">
      <c r="A552" s="73">
        <v>195311</v>
      </c>
      <c r="B552" s="73">
        <v>31468</v>
      </c>
      <c r="C552" s="74" t="s">
        <v>1446</v>
      </c>
      <c r="D552" s="74" t="s">
        <v>13</v>
      </c>
      <c r="E552" s="74" t="s">
        <v>1447</v>
      </c>
      <c r="F552" s="74" t="s">
        <v>1447</v>
      </c>
      <c r="G552" s="74" t="s">
        <v>15</v>
      </c>
      <c r="H552" s="75">
        <v>2366</v>
      </c>
      <c r="I552" s="75">
        <v>3390</v>
      </c>
      <c r="J552" s="74"/>
      <c r="K552" s="74" t="s">
        <v>16</v>
      </c>
      <c r="L552" s="74"/>
      <c r="M552" s="74" t="s">
        <v>13</v>
      </c>
      <c r="N552" s="71" t="str">
        <f t="shared" si="8"/>
        <v>1</v>
      </c>
      <c r="O552" s="71" t="str">
        <f>INDEX(Кат!$D:$D,MATCH($A552,Кат!$A:$A,0))</f>
        <v>Y</v>
      </c>
    </row>
    <row r="553" spans="1:15" ht="60" x14ac:dyDescent="0.25">
      <c r="A553" s="73">
        <v>195312</v>
      </c>
      <c r="B553" s="73">
        <v>32528</v>
      </c>
      <c r="C553" s="74" t="s">
        <v>1448</v>
      </c>
      <c r="D553" s="74" t="s">
        <v>13</v>
      </c>
      <c r="E553" s="74" t="s">
        <v>1449</v>
      </c>
      <c r="F553" s="74" t="s">
        <v>1449</v>
      </c>
      <c r="G553" s="74" t="s">
        <v>15</v>
      </c>
      <c r="H553" s="75">
        <v>136</v>
      </c>
      <c r="I553" s="75">
        <v>249</v>
      </c>
      <c r="J553" s="74" t="s">
        <v>1450</v>
      </c>
      <c r="K553" s="74" t="s">
        <v>16</v>
      </c>
      <c r="L553" s="74" t="s">
        <v>16</v>
      </c>
      <c r="M553" s="74" t="s">
        <v>13</v>
      </c>
      <c r="N553" s="71" t="str">
        <f t="shared" si="8"/>
        <v>1ск1</v>
      </c>
      <c r="O553" s="71" t="str">
        <f>INDEX(Кат!$D:$D,MATCH($A553,Кат!$A:$A,0))</f>
        <v>Y</v>
      </c>
    </row>
    <row r="554" spans="1:15" ht="45" x14ac:dyDescent="0.25">
      <c r="A554" s="73">
        <v>195313</v>
      </c>
      <c r="B554" s="73">
        <v>31081</v>
      </c>
      <c r="C554" s="74" t="s">
        <v>1451</v>
      </c>
      <c r="D554" s="74" t="s">
        <v>13</v>
      </c>
      <c r="E554" s="74" t="s">
        <v>1452</v>
      </c>
      <c r="F554" s="74" t="s">
        <v>1452</v>
      </c>
      <c r="G554" s="74" t="s">
        <v>15</v>
      </c>
      <c r="H554" s="75">
        <v>1150</v>
      </c>
      <c r="I554" s="75">
        <v>1790</v>
      </c>
      <c r="J554" s="74"/>
      <c r="K554" s="74" t="s">
        <v>16</v>
      </c>
      <c r="L554" s="74"/>
      <c r="M554" s="74" t="s">
        <v>13</v>
      </c>
      <c r="N554" s="71" t="str">
        <f t="shared" si="8"/>
        <v>1</v>
      </c>
      <c r="O554" s="71" t="str">
        <f>INDEX(Кат!$D:$D,MATCH($A554,Кат!$A:$A,0))</f>
        <v>Y</v>
      </c>
    </row>
    <row r="555" spans="1:15" ht="45" x14ac:dyDescent="0.25">
      <c r="A555" s="73">
        <v>195314</v>
      </c>
      <c r="B555" s="73">
        <v>31469</v>
      </c>
      <c r="C555" s="74" t="s">
        <v>1453</v>
      </c>
      <c r="D555" s="74" t="s">
        <v>13</v>
      </c>
      <c r="E555" s="74" t="s">
        <v>1454</v>
      </c>
      <c r="F555" s="74" t="s">
        <v>1454</v>
      </c>
      <c r="G555" s="74" t="s">
        <v>15</v>
      </c>
      <c r="H555" s="75">
        <v>790.35</v>
      </c>
      <c r="I555" s="75">
        <v>1290</v>
      </c>
      <c r="J555" s="74"/>
      <c r="K555" s="74" t="s">
        <v>16</v>
      </c>
      <c r="L555" s="74"/>
      <c r="M555" s="74"/>
      <c r="N555" s="71" t="str">
        <f t="shared" si="8"/>
        <v>1</v>
      </c>
      <c r="O555" s="71" t="str">
        <f>INDEX(Кат!$D:$D,MATCH($A555,Кат!$A:$A,0))</f>
        <v>Y</v>
      </c>
    </row>
    <row r="556" spans="1:15" ht="60" x14ac:dyDescent="0.25">
      <c r="A556" s="73">
        <v>195315</v>
      </c>
      <c r="B556" s="73">
        <v>31435</v>
      </c>
      <c r="C556" s="74" t="s">
        <v>1455</v>
      </c>
      <c r="D556" s="74" t="s">
        <v>13</v>
      </c>
      <c r="E556" s="74" t="s">
        <v>1456</v>
      </c>
      <c r="F556" s="74" t="s">
        <v>1456</v>
      </c>
      <c r="G556" s="74" t="s">
        <v>15</v>
      </c>
      <c r="H556" s="75">
        <v>130</v>
      </c>
      <c r="I556" s="75">
        <v>239</v>
      </c>
      <c r="J556" s="74" t="s">
        <v>1457</v>
      </c>
      <c r="K556" s="74" t="s">
        <v>16</v>
      </c>
      <c r="L556" s="74"/>
      <c r="M556" s="74" t="s">
        <v>13</v>
      </c>
      <c r="N556" s="71" t="str">
        <f t="shared" si="8"/>
        <v>1</v>
      </c>
      <c r="O556" s="71" t="str">
        <f>INDEX(Кат!$D:$D,MATCH($A556,Кат!$A:$A,0))</f>
        <v>Y</v>
      </c>
    </row>
    <row r="557" spans="1:15" ht="45" x14ac:dyDescent="0.25">
      <c r="A557" s="73">
        <v>251297</v>
      </c>
      <c r="B557" s="73">
        <v>196785</v>
      </c>
      <c r="C557" s="74" t="s">
        <v>1458</v>
      </c>
      <c r="D557" s="74" t="s">
        <v>13</v>
      </c>
      <c r="E557" s="74" t="s">
        <v>1459</v>
      </c>
      <c r="F557" s="74" t="s">
        <v>1459</v>
      </c>
      <c r="G557" s="74" t="s">
        <v>15</v>
      </c>
      <c r="H557" s="75">
        <v>331</v>
      </c>
      <c r="I557" s="75">
        <v>529</v>
      </c>
      <c r="J557" s="74"/>
      <c r="K557" s="74" t="s">
        <v>16</v>
      </c>
      <c r="L557" s="74"/>
      <c r="M557" s="74"/>
      <c r="N557" s="71" t="str">
        <f t="shared" si="8"/>
        <v>1</v>
      </c>
      <c r="O557" s="71" t="str">
        <f>INDEX(Кат!$D:$D,MATCH($A557,Кат!$A:$A,0))</f>
        <v>Y</v>
      </c>
    </row>
    <row r="558" spans="1:15" ht="45" x14ac:dyDescent="0.25">
      <c r="A558" s="73">
        <v>195316</v>
      </c>
      <c r="B558" s="73">
        <v>50629</v>
      </c>
      <c r="C558" s="74" t="s">
        <v>1460</v>
      </c>
      <c r="D558" s="74" t="s">
        <v>13</v>
      </c>
      <c r="E558" s="74" t="s">
        <v>1461</v>
      </c>
      <c r="F558" s="74" t="s">
        <v>1462</v>
      </c>
      <c r="G558" s="74" t="s">
        <v>15</v>
      </c>
      <c r="H558" s="75">
        <v>3339</v>
      </c>
      <c r="I558" s="75">
        <v>4690</v>
      </c>
      <c r="J558" s="74"/>
      <c r="K558" s="74" t="s">
        <v>16</v>
      </c>
      <c r="L558" s="74"/>
      <c r="M558" s="74" t="s">
        <v>13</v>
      </c>
      <c r="N558" s="71" t="str">
        <f t="shared" si="8"/>
        <v>1</v>
      </c>
      <c r="O558" s="71" t="str">
        <f>INDEX(Кат!$D:$D,MATCH($A558,Кат!$A:$A,0))</f>
        <v>Y</v>
      </c>
    </row>
    <row r="559" spans="1:15" ht="30" x14ac:dyDescent="0.25">
      <c r="A559" s="73">
        <v>195317</v>
      </c>
      <c r="B559" s="73">
        <v>31477</v>
      </c>
      <c r="C559" s="74" t="s">
        <v>1463</v>
      </c>
      <c r="D559" s="74" t="s">
        <v>13</v>
      </c>
      <c r="E559" s="74" t="s">
        <v>1464</v>
      </c>
      <c r="F559" s="74" t="s">
        <v>1464</v>
      </c>
      <c r="G559" s="74" t="s">
        <v>15</v>
      </c>
      <c r="H559" s="75">
        <v>577</v>
      </c>
      <c r="I559" s="75">
        <v>899</v>
      </c>
      <c r="J559" s="74"/>
      <c r="K559" s="74" t="s">
        <v>16</v>
      </c>
      <c r="L559" s="74"/>
      <c r="M559" s="74" t="s">
        <v>13</v>
      </c>
      <c r="N559" s="71" t="str">
        <f t="shared" si="8"/>
        <v>1</v>
      </c>
      <c r="O559" s="71" t="str">
        <f>INDEX(Кат!$D:$D,MATCH($A559,Кат!$A:$A,0))</f>
        <v>Y</v>
      </c>
    </row>
    <row r="560" spans="1:15" ht="75" x14ac:dyDescent="0.25">
      <c r="A560" s="73">
        <v>195318</v>
      </c>
      <c r="B560" s="73">
        <v>31476</v>
      </c>
      <c r="C560" s="74" t="s">
        <v>1465</v>
      </c>
      <c r="D560" s="74" t="s">
        <v>13</v>
      </c>
      <c r="E560" s="74" t="s">
        <v>1466</v>
      </c>
      <c r="F560" s="74" t="s">
        <v>1466</v>
      </c>
      <c r="G560" s="74" t="s">
        <v>15</v>
      </c>
      <c r="H560" s="75">
        <v>1223</v>
      </c>
      <c r="I560" s="75">
        <v>1890</v>
      </c>
      <c r="J560" s="74" t="s">
        <v>1467</v>
      </c>
      <c r="K560" s="74" t="s">
        <v>16</v>
      </c>
      <c r="L560" s="74"/>
      <c r="M560" s="74" t="s">
        <v>13</v>
      </c>
      <c r="N560" s="71" t="str">
        <f t="shared" si="8"/>
        <v>1</v>
      </c>
      <c r="O560" s="71" t="str">
        <f>INDEX(Кат!$D:$D,MATCH($A560,Кат!$A:$A,0))</f>
        <v>Y</v>
      </c>
    </row>
    <row r="561" spans="1:15" ht="60" x14ac:dyDescent="0.25">
      <c r="A561" s="73">
        <v>195319</v>
      </c>
      <c r="B561" s="73">
        <v>31453</v>
      </c>
      <c r="C561" s="74" t="s">
        <v>1468</v>
      </c>
      <c r="D561" s="74" t="s">
        <v>13</v>
      </c>
      <c r="E561" s="74" t="s">
        <v>1469</v>
      </c>
      <c r="F561" s="74" t="s">
        <v>1469</v>
      </c>
      <c r="G561" s="74" t="s">
        <v>15</v>
      </c>
      <c r="H561" s="75">
        <v>3471</v>
      </c>
      <c r="I561" s="75">
        <v>4890</v>
      </c>
      <c r="J561" s="74" t="s">
        <v>1470</v>
      </c>
      <c r="K561" s="74" t="s">
        <v>16</v>
      </c>
      <c r="L561" s="74"/>
      <c r="M561" s="74" t="s">
        <v>13</v>
      </c>
      <c r="N561" s="71" t="str">
        <f t="shared" si="8"/>
        <v>1</v>
      </c>
      <c r="O561" s="71" t="str">
        <f>INDEX(Кат!$D:$D,MATCH($A561,Кат!$A:$A,0))</f>
        <v>Y</v>
      </c>
    </row>
    <row r="562" spans="1:15" ht="45" x14ac:dyDescent="0.25">
      <c r="A562" s="73">
        <v>195320</v>
      </c>
      <c r="B562" s="73">
        <v>32638</v>
      </c>
      <c r="C562" s="74" t="s">
        <v>1471</v>
      </c>
      <c r="D562" s="74" t="s">
        <v>13</v>
      </c>
      <c r="E562" s="74" t="s">
        <v>1472</v>
      </c>
      <c r="F562" s="74" t="s">
        <v>1472</v>
      </c>
      <c r="G562" s="74" t="s">
        <v>15</v>
      </c>
      <c r="H562" s="75">
        <v>2309</v>
      </c>
      <c r="I562" s="75">
        <v>3290</v>
      </c>
      <c r="J562" s="74"/>
      <c r="K562" s="74" t="s">
        <v>16</v>
      </c>
      <c r="L562" s="74"/>
      <c r="M562" s="74" t="s">
        <v>13</v>
      </c>
      <c r="N562" s="71" t="str">
        <f t="shared" si="8"/>
        <v>1</v>
      </c>
      <c r="O562" s="71" t="str">
        <f>INDEX(Кат!$D:$D,MATCH($A562,Кат!$A:$A,0))</f>
        <v>Y</v>
      </c>
    </row>
    <row r="563" spans="1:15" ht="75" x14ac:dyDescent="0.25">
      <c r="A563" s="73">
        <v>195321</v>
      </c>
      <c r="B563" s="73">
        <v>31311</v>
      </c>
      <c r="C563" s="74" t="s">
        <v>1473</v>
      </c>
      <c r="D563" s="74" t="s">
        <v>13</v>
      </c>
      <c r="E563" s="74" t="s">
        <v>1474</v>
      </c>
      <c r="F563" s="74" t="s">
        <v>1474</v>
      </c>
      <c r="G563" s="74" t="s">
        <v>15</v>
      </c>
      <c r="H563" s="75">
        <v>944</v>
      </c>
      <c r="I563" s="75">
        <v>1490</v>
      </c>
      <c r="J563" s="74" t="s">
        <v>1475</v>
      </c>
      <c r="K563" s="74" t="s">
        <v>16</v>
      </c>
      <c r="L563" s="74" t="s">
        <v>16</v>
      </c>
      <c r="M563" s="74" t="s">
        <v>13</v>
      </c>
      <c r="N563" s="71" t="str">
        <f t="shared" si="8"/>
        <v>1ск1</v>
      </c>
      <c r="O563" s="71" t="str">
        <f>INDEX(Кат!$D:$D,MATCH($A563,Кат!$A:$A,0))</f>
        <v>Y</v>
      </c>
    </row>
    <row r="564" spans="1:15" ht="45" x14ac:dyDescent="0.25">
      <c r="A564" s="73">
        <v>195322</v>
      </c>
      <c r="B564" s="73">
        <v>31386</v>
      </c>
      <c r="C564" s="74" t="s">
        <v>1476</v>
      </c>
      <c r="D564" s="74" t="s">
        <v>13</v>
      </c>
      <c r="E564" s="74" t="s">
        <v>1477</v>
      </c>
      <c r="F564" s="74" t="s">
        <v>1477</v>
      </c>
      <c r="G564" s="74" t="s">
        <v>15</v>
      </c>
      <c r="H564" s="75">
        <v>1591</v>
      </c>
      <c r="I564" s="75">
        <v>2390</v>
      </c>
      <c r="J564" s="74"/>
      <c r="K564" s="74" t="s">
        <v>16</v>
      </c>
      <c r="L564" s="74"/>
      <c r="M564" s="74" t="s">
        <v>13</v>
      </c>
      <c r="N564" s="71" t="str">
        <f t="shared" si="8"/>
        <v>1</v>
      </c>
      <c r="O564" s="71" t="str">
        <f>INDEX(Кат!$D:$D,MATCH($A564,Кат!$A:$A,0))</f>
        <v>Y</v>
      </c>
    </row>
    <row r="565" spans="1:15" ht="75" x14ac:dyDescent="0.25">
      <c r="A565" s="73">
        <v>195323</v>
      </c>
      <c r="B565" s="73">
        <v>31287</v>
      </c>
      <c r="C565" s="74" t="s">
        <v>1478</v>
      </c>
      <c r="D565" s="74" t="s">
        <v>13</v>
      </c>
      <c r="E565" s="74" t="s">
        <v>1479</v>
      </c>
      <c r="F565" s="74" t="s">
        <v>1479</v>
      </c>
      <c r="G565" s="74" t="s">
        <v>15</v>
      </c>
      <c r="H565" s="75">
        <v>2950</v>
      </c>
      <c r="I565" s="75">
        <v>4190</v>
      </c>
      <c r="J565" s="74" t="s">
        <v>1480</v>
      </c>
      <c r="K565" s="74" t="s">
        <v>16</v>
      </c>
      <c r="L565" s="74"/>
      <c r="M565" s="74" t="s">
        <v>13</v>
      </c>
      <c r="N565" s="71" t="str">
        <f t="shared" si="8"/>
        <v>1</v>
      </c>
      <c r="O565" s="71" t="str">
        <f>INDEX(Кат!$D:$D,MATCH($A565,Кат!$A:$A,0))</f>
        <v>Y</v>
      </c>
    </row>
    <row r="566" spans="1:15" ht="75" x14ac:dyDescent="0.25">
      <c r="A566" s="73">
        <v>195324</v>
      </c>
      <c r="B566" s="73">
        <v>32652</v>
      </c>
      <c r="C566" s="74" t="s">
        <v>1481</v>
      </c>
      <c r="D566" s="74" t="s">
        <v>13</v>
      </c>
      <c r="E566" s="74" t="s">
        <v>1482</v>
      </c>
      <c r="F566" s="74" t="s">
        <v>1482</v>
      </c>
      <c r="G566" s="74" t="s">
        <v>15</v>
      </c>
      <c r="H566" s="75">
        <v>2350</v>
      </c>
      <c r="I566" s="75">
        <v>3290</v>
      </c>
      <c r="J566" s="74" t="s">
        <v>1483</v>
      </c>
      <c r="K566" s="74" t="s">
        <v>16</v>
      </c>
      <c r="L566" s="74"/>
      <c r="M566" s="74" t="s">
        <v>13</v>
      </c>
      <c r="N566" s="71" t="str">
        <f t="shared" si="8"/>
        <v>1</v>
      </c>
      <c r="O566" s="71" t="str">
        <f>INDEX(Кат!$D:$D,MATCH($A566,Кат!$A:$A,0))</f>
        <v>Y</v>
      </c>
    </row>
    <row r="567" spans="1:15" ht="45" x14ac:dyDescent="0.25">
      <c r="A567" s="73">
        <v>195325</v>
      </c>
      <c r="B567" s="73">
        <v>31065</v>
      </c>
      <c r="C567" s="74" t="s">
        <v>1484</v>
      </c>
      <c r="D567" s="74" t="s">
        <v>13</v>
      </c>
      <c r="E567" s="74" t="s">
        <v>1485</v>
      </c>
      <c r="F567" s="74" t="s">
        <v>1485</v>
      </c>
      <c r="G567" s="74" t="s">
        <v>15</v>
      </c>
      <c r="H567" s="75">
        <v>1807</v>
      </c>
      <c r="I567" s="75">
        <v>2790</v>
      </c>
      <c r="J567" s="74"/>
      <c r="K567" s="74" t="s">
        <v>16</v>
      </c>
      <c r="L567" s="74"/>
      <c r="M567" s="74" t="s">
        <v>13</v>
      </c>
      <c r="N567" s="71" t="str">
        <f t="shared" si="8"/>
        <v>1</v>
      </c>
      <c r="O567" s="71" t="str">
        <f>INDEX(Кат!$D:$D,MATCH($A567,Кат!$A:$A,0))</f>
        <v>Y</v>
      </c>
    </row>
    <row r="568" spans="1:15" ht="45" x14ac:dyDescent="0.25">
      <c r="A568" s="73">
        <v>195326</v>
      </c>
      <c r="B568" s="73">
        <v>32536</v>
      </c>
      <c r="C568" s="74" t="s">
        <v>1486</v>
      </c>
      <c r="D568" s="74" t="s">
        <v>13</v>
      </c>
      <c r="E568" s="74" t="s">
        <v>1487</v>
      </c>
      <c r="F568" s="74" t="s">
        <v>1487</v>
      </c>
      <c r="G568" s="74" t="s">
        <v>15</v>
      </c>
      <c r="H568" s="75">
        <v>288</v>
      </c>
      <c r="I568" s="75">
        <v>519</v>
      </c>
      <c r="J568" s="74"/>
      <c r="K568" s="74" t="s">
        <v>37</v>
      </c>
      <c r="L568" s="74"/>
      <c r="M568" s="74" t="s">
        <v>13</v>
      </c>
      <c r="N568" s="71" t="str">
        <f t="shared" si="8"/>
        <v>0</v>
      </c>
      <c r="O568" s="71" t="str">
        <f>INDEX(Кат!$D:$D,MATCH($A568,Кат!$A:$A,0))</f>
        <v>Y</v>
      </c>
    </row>
    <row r="569" spans="1:15" ht="75" x14ac:dyDescent="0.25">
      <c r="A569" s="73">
        <v>195327</v>
      </c>
      <c r="B569" s="73">
        <v>31073</v>
      </c>
      <c r="C569" s="74" t="s">
        <v>1488</v>
      </c>
      <c r="D569" s="74" t="s">
        <v>13</v>
      </c>
      <c r="E569" s="74" t="s">
        <v>1489</v>
      </c>
      <c r="F569" s="74" t="s">
        <v>1489</v>
      </c>
      <c r="G569" s="74" t="s">
        <v>15</v>
      </c>
      <c r="H569" s="75">
        <v>8144</v>
      </c>
      <c r="I569" s="75">
        <v>11490</v>
      </c>
      <c r="J569" s="74" t="s">
        <v>1490</v>
      </c>
      <c r="K569" s="74" t="s">
        <v>16</v>
      </c>
      <c r="L569" s="74"/>
      <c r="M569" s="74" t="s">
        <v>13</v>
      </c>
      <c r="N569" s="71" t="str">
        <f t="shared" si="8"/>
        <v>1</v>
      </c>
      <c r="O569" s="71" t="str">
        <f>INDEX(Кат!$D:$D,MATCH($A569,Кат!$A:$A,0))</f>
        <v>Y</v>
      </c>
    </row>
    <row r="570" spans="1:15" ht="45" x14ac:dyDescent="0.25">
      <c r="A570" s="73">
        <v>195328</v>
      </c>
      <c r="B570" s="73">
        <v>31214</v>
      </c>
      <c r="C570" s="74" t="s">
        <v>1491</v>
      </c>
      <c r="D570" s="74" t="s">
        <v>13</v>
      </c>
      <c r="E570" s="74" t="s">
        <v>1492</v>
      </c>
      <c r="F570" s="74" t="s">
        <v>1492</v>
      </c>
      <c r="G570" s="74" t="s">
        <v>15</v>
      </c>
      <c r="H570" s="75">
        <v>1745</v>
      </c>
      <c r="I570" s="75">
        <v>2690</v>
      </c>
      <c r="J570" s="74"/>
      <c r="K570" s="74" t="s">
        <v>16</v>
      </c>
      <c r="L570" s="74"/>
      <c r="M570" s="74" t="s">
        <v>13</v>
      </c>
      <c r="N570" s="71" t="str">
        <f t="shared" si="8"/>
        <v>1</v>
      </c>
      <c r="O570" s="71" t="str">
        <f>INDEX(Кат!$D:$D,MATCH($A570,Кат!$A:$A,0))</f>
        <v>Y</v>
      </c>
    </row>
    <row r="571" spans="1:15" ht="30" x14ac:dyDescent="0.25">
      <c r="A571" s="73">
        <v>195329</v>
      </c>
      <c r="B571" s="73">
        <v>50383</v>
      </c>
      <c r="C571" s="74" t="s">
        <v>1493</v>
      </c>
      <c r="D571" s="74" t="s">
        <v>13</v>
      </c>
      <c r="E571" s="74" t="s">
        <v>1494</v>
      </c>
      <c r="F571" s="74" t="s">
        <v>1495</v>
      </c>
      <c r="G571" s="74" t="s">
        <v>15</v>
      </c>
      <c r="H571" s="75">
        <v>528</v>
      </c>
      <c r="I571" s="75">
        <v>819</v>
      </c>
      <c r="J571" s="74"/>
      <c r="K571" s="74" t="s">
        <v>16</v>
      </c>
      <c r="L571" s="74"/>
      <c r="M571" s="74" t="s">
        <v>13</v>
      </c>
      <c r="N571" s="71" t="str">
        <f t="shared" si="8"/>
        <v>1</v>
      </c>
      <c r="O571" s="71" t="str">
        <f>INDEX(Кат!$D:$D,MATCH($A571,Кат!$A:$A,0))</f>
        <v>Y</v>
      </c>
    </row>
    <row r="572" spans="1:15" ht="45" x14ac:dyDescent="0.25">
      <c r="A572" s="73">
        <v>195330</v>
      </c>
      <c r="B572" s="73">
        <v>50389</v>
      </c>
      <c r="C572" s="74" t="s">
        <v>1496</v>
      </c>
      <c r="D572" s="74" t="s">
        <v>13</v>
      </c>
      <c r="E572" s="74" t="s">
        <v>1497</v>
      </c>
      <c r="F572" s="74" t="s">
        <v>1498</v>
      </c>
      <c r="G572" s="74" t="s">
        <v>15</v>
      </c>
      <c r="H572" s="75">
        <v>700</v>
      </c>
      <c r="I572" s="75">
        <v>1090</v>
      </c>
      <c r="J572" s="74"/>
      <c r="K572" s="74" t="s">
        <v>16</v>
      </c>
      <c r="L572" s="74"/>
      <c r="M572" s="74" t="s">
        <v>13</v>
      </c>
      <c r="N572" s="71" t="str">
        <f t="shared" si="8"/>
        <v>1</v>
      </c>
      <c r="O572" s="71" t="str">
        <f>INDEX(Кат!$D:$D,MATCH($A572,Кат!$A:$A,0))</f>
        <v>Y</v>
      </c>
    </row>
    <row r="573" spans="1:15" ht="75" x14ac:dyDescent="0.25">
      <c r="A573" s="73">
        <v>195331</v>
      </c>
      <c r="B573" s="73">
        <v>32521</v>
      </c>
      <c r="C573" s="74" t="s">
        <v>1499</v>
      </c>
      <c r="D573" s="74" t="s">
        <v>13</v>
      </c>
      <c r="E573" s="74" t="s">
        <v>1500</v>
      </c>
      <c r="F573" s="74" t="s">
        <v>1500</v>
      </c>
      <c r="G573" s="74" t="s">
        <v>15</v>
      </c>
      <c r="H573" s="75">
        <v>2861</v>
      </c>
      <c r="I573" s="75">
        <v>4090</v>
      </c>
      <c r="J573" s="74" t="s">
        <v>1501</v>
      </c>
      <c r="K573" s="74" t="s">
        <v>16</v>
      </c>
      <c r="L573" s="74"/>
      <c r="M573" s="74" t="s">
        <v>13</v>
      </c>
      <c r="N573" s="71" t="str">
        <f t="shared" si="8"/>
        <v>1</v>
      </c>
      <c r="O573" s="71" t="str">
        <f>INDEX(Кат!$D:$D,MATCH($A573,Кат!$A:$A,0))</f>
        <v>Y</v>
      </c>
    </row>
    <row r="574" spans="1:15" ht="45" x14ac:dyDescent="0.25">
      <c r="A574" s="73">
        <v>195332</v>
      </c>
      <c r="B574" s="73">
        <v>52770</v>
      </c>
      <c r="C574" s="74" t="s">
        <v>1502</v>
      </c>
      <c r="D574" s="74" t="s">
        <v>13</v>
      </c>
      <c r="E574" s="74" t="s">
        <v>1503</v>
      </c>
      <c r="F574" s="74" t="s">
        <v>1504</v>
      </c>
      <c r="G574" s="74" t="s">
        <v>15</v>
      </c>
      <c r="H574" s="75">
        <v>18014</v>
      </c>
      <c r="I574" s="75">
        <v>23490</v>
      </c>
      <c r="J574" s="74"/>
      <c r="K574" s="74" t="s">
        <v>16</v>
      </c>
      <c r="L574" s="74"/>
      <c r="M574" s="74" t="s">
        <v>13</v>
      </c>
      <c r="N574" s="71" t="str">
        <f t="shared" si="8"/>
        <v>1</v>
      </c>
      <c r="O574" s="71" t="str">
        <f>INDEX(Кат!$D:$D,MATCH($A574,Кат!$A:$A,0))</f>
        <v>Y</v>
      </c>
    </row>
    <row r="575" spans="1:15" ht="45" x14ac:dyDescent="0.25">
      <c r="A575" s="73">
        <v>195333</v>
      </c>
      <c r="B575" s="73">
        <v>31443</v>
      </c>
      <c r="C575" s="74" t="s">
        <v>1505</v>
      </c>
      <c r="D575" s="74" t="s">
        <v>13</v>
      </c>
      <c r="E575" s="74" t="s">
        <v>1506</v>
      </c>
      <c r="F575" s="74" t="s">
        <v>1506</v>
      </c>
      <c r="G575" s="74" t="s">
        <v>15</v>
      </c>
      <c r="H575" s="75">
        <v>217</v>
      </c>
      <c r="I575" s="75">
        <v>399</v>
      </c>
      <c r="J575" s="74"/>
      <c r="K575" s="74" t="s">
        <v>16</v>
      </c>
      <c r="L575" s="74"/>
      <c r="M575" s="74"/>
      <c r="N575" s="71" t="str">
        <f t="shared" si="8"/>
        <v>1</v>
      </c>
      <c r="O575" s="71" t="str">
        <f>INDEX(Кат!$D:$D,MATCH($A575,Кат!$A:$A,0))</f>
        <v>Y</v>
      </c>
    </row>
    <row r="576" spans="1:15" ht="75" x14ac:dyDescent="0.25">
      <c r="A576" s="73">
        <v>195334</v>
      </c>
      <c r="B576" s="73">
        <v>31422</v>
      </c>
      <c r="C576" s="74" t="s">
        <v>1507</v>
      </c>
      <c r="D576" s="74" t="s">
        <v>13</v>
      </c>
      <c r="E576" s="74" t="s">
        <v>1508</v>
      </c>
      <c r="F576" s="74" t="s">
        <v>1508</v>
      </c>
      <c r="G576" s="74" t="s">
        <v>15</v>
      </c>
      <c r="H576" s="75">
        <v>162</v>
      </c>
      <c r="I576" s="75">
        <v>299</v>
      </c>
      <c r="J576" s="74" t="s">
        <v>1509</v>
      </c>
      <c r="K576" s="74" t="s">
        <v>16</v>
      </c>
      <c r="L576" s="74"/>
      <c r="M576" s="74" t="s">
        <v>13</v>
      </c>
      <c r="N576" s="71" t="str">
        <f t="shared" si="8"/>
        <v>1</v>
      </c>
      <c r="O576" s="71" t="str">
        <f>INDEX(Кат!$D:$D,MATCH($A576,Кат!$A:$A,0))</f>
        <v>Y</v>
      </c>
    </row>
    <row r="577" spans="1:15" ht="60" x14ac:dyDescent="0.25">
      <c r="A577" s="73">
        <v>195335</v>
      </c>
      <c r="B577" s="73">
        <v>32550</v>
      </c>
      <c r="C577" s="74" t="s">
        <v>1510</v>
      </c>
      <c r="D577" s="74" t="s">
        <v>13</v>
      </c>
      <c r="E577" s="74" t="s">
        <v>1511</v>
      </c>
      <c r="F577" s="74" t="s">
        <v>1511</v>
      </c>
      <c r="G577" s="74" t="s">
        <v>15</v>
      </c>
      <c r="H577" s="75">
        <v>629</v>
      </c>
      <c r="I577" s="75">
        <v>979</v>
      </c>
      <c r="J577" s="74" t="s">
        <v>1512</v>
      </c>
      <c r="K577" s="74" t="s">
        <v>16</v>
      </c>
      <c r="L577" s="74"/>
      <c r="M577" s="74" t="s">
        <v>13</v>
      </c>
      <c r="N577" s="71" t="str">
        <f t="shared" si="8"/>
        <v>1</v>
      </c>
      <c r="O577" s="71" t="str">
        <f>INDEX(Кат!$D:$D,MATCH($A577,Кат!$A:$A,0))</f>
        <v>Y</v>
      </c>
    </row>
    <row r="578" spans="1:15" ht="75" x14ac:dyDescent="0.25">
      <c r="A578" s="73">
        <v>195342</v>
      </c>
      <c r="B578" s="73">
        <v>16961</v>
      </c>
      <c r="C578" s="74" t="s">
        <v>1513</v>
      </c>
      <c r="D578" s="74" t="s">
        <v>13</v>
      </c>
      <c r="E578" s="74" t="s">
        <v>1514</v>
      </c>
      <c r="F578" s="74" t="s">
        <v>1514</v>
      </c>
      <c r="G578" s="74" t="s">
        <v>15</v>
      </c>
      <c r="H578" s="75">
        <v>3182</v>
      </c>
      <c r="I578" s="75">
        <v>4490</v>
      </c>
      <c r="J578" s="74" t="s">
        <v>1515</v>
      </c>
      <c r="K578" s="74" t="s">
        <v>16</v>
      </c>
      <c r="L578" s="74" t="s">
        <v>16</v>
      </c>
      <c r="M578" s="74"/>
      <c r="N578" s="71" t="str">
        <f t="shared" si="8"/>
        <v>1ск1</v>
      </c>
      <c r="O578" s="71" t="str">
        <f>INDEX(Кат!$D:$D,MATCH($A578,Кат!$A:$A,0))</f>
        <v>Y</v>
      </c>
    </row>
    <row r="579" spans="1:15" ht="75" x14ac:dyDescent="0.25">
      <c r="A579" s="73">
        <v>195337</v>
      </c>
      <c r="B579" s="73">
        <v>32720</v>
      </c>
      <c r="C579" s="74" t="s">
        <v>1516</v>
      </c>
      <c r="D579" s="74" t="s">
        <v>13</v>
      </c>
      <c r="E579" s="74" t="s">
        <v>1517</v>
      </c>
      <c r="F579" s="74" t="s">
        <v>1517</v>
      </c>
      <c r="G579" s="74" t="s">
        <v>15</v>
      </c>
      <c r="H579" s="75">
        <v>7525</v>
      </c>
      <c r="I579" s="75">
        <v>10590</v>
      </c>
      <c r="J579" s="74" t="s">
        <v>1518</v>
      </c>
      <c r="K579" s="74" t="s">
        <v>16</v>
      </c>
      <c r="L579" s="74"/>
      <c r="M579" s="74" t="s">
        <v>13</v>
      </c>
      <c r="N579" s="71" t="str">
        <f t="shared" ref="N579:N642" si="9">_xlfn.CONCAT(K579,IF(L579&lt;&gt;"",_xlfn.CONCAT("ск",L579),""))</f>
        <v>1</v>
      </c>
      <c r="O579" s="71" t="str">
        <f>INDEX(Кат!$D:$D,MATCH($A579,Кат!$A:$A,0))</f>
        <v>Y</v>
      </c>
    </row>
    <row r="580" spans="1:15" ht="75" x14ac:dyDescent="0.25">
      <c r="A580" s="73">
        <v>195338</v>
      </c>
      <c r="B580" s="73">
        <v>31423</v>
      </c>
      <c r="C580" s="74" t="s">
        <v>1519</v>
      </c>
      <c r="D580" s="74" t="s">
        <v>13</v>
      </c>
      <c r="E580" s="74" t="s">
        <v>1520</v>
      </c>
      <c r="F580" s="74" t="s">
        <v>1520</v>
      </c>
      <c r="G580" s="74" t="s">
        <v>15</v>
      </c>
      <c r="H580" s="75">
        <v>770</v>
      </c>
      <c r="I580" s="75">
        <v>1190</v>
      </c>
      <c r="J580" s="74" t="s">
        <v>1521</v>
      </c>
      <c r="K580" s="74" t="s">
        <v>16</v>
      </c>
      <c r="L580" s="74" t="s">
        <v>16</v>
      </c>
      <c r="M580" s="74" t="s">
        <v>13</v>
      </c>
      <c r="N580" s="71" t="str">
        <f t="shared" si="9"/>
        <v>1ск1</v>
      </c>
      <c r="O580" s="71" t="str">
        <f>INDEX(Кат!$D:$D,MATCH($A580,Кат!$A:$A,0))</f>
        <v>Y</v>
      </c>
    </row>
    <row r="581" spans="1:15" ht="60" x14ac:dyDescent="0.25">
      <c r="A581" s="73">
        <v>195339</v>
      </c>
      <c r="B581" s="73">
        <v>32673</v>
      </c>
      <c r="C581" s="74" t="s">
        <v>1522</v>
      </c>
      <c r="D581" s="74" t="s">
        <v>13</v>
      </c>
      <c r="E581" s="74" t="s">
        <v>1523</v>
      </c>
      <c r="F581" s="74" t="s">
        <v>1523</v>
      </c>
      <c r="G581" s="74" t="s">
        <v>15</v>
      </c>
      <c r="H581" s="75">
        <v>1694</v>
      </c>
      <c r="I581" s="75">
        <v>2590</v>
      </c>
      <c r="J581" s="74" t="s">
        <v>1524</v>
      </c>
      <c r="K581" s="74" t="s">
        <v>16</v>
      </c>
      <c r="L581" s="74"/>
      <c r="M581" s="74" t="s">
        <v>13</v>
      </c>
      <c r="N581" s="71" t="str">
        <f t="shared" si="9"/>
        <v>1</v>
      </c>
      <c r="O581" s="71" t="str">
        <f>INDEX(Кат!$D:$D,MATCH($A581,Кат!$A:$A,0))</f>
        <v>Y</v>
      </c>
    </row>
    <row r="582" spans="1:15" ht="45" x14ac:dyDescent="0.25">
      <c r="A582" s="73">
        <v>195340</v>
      </c>
      <c r="B582" s="73">
        <v>31399</v>
      </c>
      <c r="C582" s="74" t="s">
        <v>1525</v>
      </c>
      <c r="D582" s="74" t="s">
        <v>13</v>
      </c>
      <c r="E582" s="74" t="s">
        <v>1526</v>
      </c>
      <c r="F582" s="74" t="s">
        <v>1526</v>
      </c>
      <c r="G582" s="74" t="s">
        <v>15</v>
      </c>
      <c r="H582" s="75">
        <v>640</v>
      </c>
      <c r="I582" s="75">
        <v>999</v>
      </c>
      <c r="J582" s="74"/>
      <c r="K582" s="74" t="s">
        <v>16</v>
      </c>
      <c r="L582" s="74"/>
      <c r="M582" s="74" t="s">
        <v>13</v>
      </c>
      <c r="N582" s="71" t="str">
        <f t="shared" si="9"/>
        <v>1</v>
      </c>
      <c r="O582" s="71" t="str">
        <f>INDEX(Кат!$D:$D,MATCH($A582,Кат!$A:$A,0))</f>
        <v>Y</v>
      </c>
    </row>
    <row r="583" spans="1:15" ht="75" x14ac:dyDescent="0.25">
      <c r="A583" s="73">
        <v>195341</v>
      </c>
      <c r="B583" s="73">
        <v>31249</v>
      </c>
      <c r="C583" s="74" t="s">
        <v>1527</v>
      </c>
      <c r="D583" s="74" t="s">
        <v>13</v>
      </c>
      <c r="E583" s="74" t="s">
        <v>1528</v>
      </c>
      <c r="F583" s="74" t="s">
        <v>1528</v>
      </c>
      <c r="G583" s="74" t="s">
        <v>15</v>
      </c>
      <c r="H583" s="75">
        <v>5945</v>
      </c>
      <c r="I583" s="75">
        <v>8390</v>
      </c>
      <c r="J583" s="74" t="s">
        <v>1529</v>
      </c>
      <c r="K583" s="74" t="s">
        <v>16</v>
      </c>
      <c r="L583" s="74"/>
      <c r="M583" s="74" t="s">
        <v>13</v>
      </c>
      <c r="N583" s="71" t="str">
        <f t="shared" si="9"/>
        <v>1</v>
      </c>
      <c r="O583" s="71" t="str">
        <f>INDEX(Кат!$D:$D,MATCH($A583,Кат!$A:$A,0))</f>
        <v>Y</v>
      </c>
    </row>
    <row r="584" spans="1:15" ht="30" x14ac:dyDescent="0.25">
      <c r="A584" s="73">
        <v>195344</v>
      </c>
      <c r="B584" s="73">
        <v>32533</v>
      </c>
      <c r="C584" s="74" t="s">
        <v>1530</v>
      </c>
      <c r="D584" s="74" t="s">
        <v>13</v>
      </c>
      <c r="E584" s="74" t="s">
        <v>1531</v>
      </c>
      <c r="F584" s="74" t="s">
        <v>1531</v>
      </c>
      <c r="G584" s="74" t="s">
        <v>15</v>
      </c>
      <c r="H584" s="75">
        <v>459.34</v>
      </c>
      <c r="I584" s="75">
        <v>739</v>
      </c>
      <c r="J584" s="74"/>
      <c r="K584" s="74" t="s">
        <v>16</v>
      </c>
      <c r="L584" s="74"/>
      <c r="M584" s="74" t="s">
        <v>13</v>
      </c>
      <c r="N584" s="71" t="str">
        <f t="shared" si="9"/>
        <v>1</v>
      </c>
      <c r="O584" s="71" t="str">
        <f>INDEX(Кат!$D:$D,MATCH($A584,Кат!$A:$A,0))</f>
        <v>Y</v>
      </c>
    </row>
    <row r="585" spans="1:15" ht="45" x14ac:dyDescent="0.25">
      <c r="A585" s="73">
        <v>357534</v>
      </c>
      <c r="B585" s="73">
        <v>357534</v>
      </c>
      <c r="C585" s="74" t="s">
        <v>1532</v>
      </c>
      <c r="D585" s="74" t="s">
        <v>13</v>
      </c>
      <c r="E585" s="74" t="s">
        <v>1533</v>
      </c>
      <c r="F585" s="74"/>
      <c r="G585" s="74" t="s">
        <v>15</v>
      </c>
      <c r="H585" s="75">
        <v>2389</v>
      </c>
      <c r="I585" s="75">
        <v>3390</v>
      </c>
      <c r="J585" s="74"/>
      <c r="K585" s="74" t="s">
        <v>16</v>
      </c>
      <c r="L585" s="74"/>
      <c r="M585" s="74" t="s">
        <v>13</v>
      </c>
      <c r="N585" s="71" t="str">
        <f t="shared" si="9"/>
        <v>1</v>
      </c>
      <c r="O585" s="71" t="str">
        <f>INDEX(Кат!$D:$D,MATCH($A585,Кат!$A:$A,0))</f>
        <v>Y</v>
      </c>
    </row>
    <row r="586" spans="1:15" ht="60" x14ac:dyDescent="0.25">
      <c r="A586" s="73">
        <v>195345</v>
      </c>
      <c r="B586" s="73">
        <v>50643</v>
      </c>
      <c r="C586" s="74" t="s">
        <v>1534</v>
      </c>
      <c r="D586" s="74" t="s">
        <v>13</v>
      </c>
      <c r="E586" s="74" t="s">
        <v>1535</v>
      </c>
      <c r="F586" s="74" t="s">
        <v>1536</v>
      </c>
      <c r="G586" s="74" t="s">
        <v>15</v>
      </c>
      <c r="H586" s="75">
        <v>1322</v>
      </c>
      <c r="I586" s="75">
        <v>1990</v>
      </c>
      <c r="J586" s="74"/>
      <c r="K586" s="74" t="s">
        <v>16</v>
      </c>
      <c r="L586" s="74"/>
      <c r="M586" s="74" t="s">
        <v>13</v>
      </c>
      <c r="N586" s="71" t="str">
        <f t="shared" si="9"/>
        <v>1</v>
      </c>
      <c r="O586" s="71" t="str">
        <f>INDEX(Кат!$D:$D,MATCH($A586,Кат!$A:$A,0))</f>
        <v>Y</v>
      </c>
    </row>
    <row r="587" spans="1:15" ht="30" x14ac:dyDescent="0.25">
      <c r="A587" s="73">
        <v>195349</v>
      </c>
      <c r="B587" s="73">
        <v>23625</v>
      </c>
      <c r="C587" s="74" t="s">
        <v>1537</v>
      </c>
      <c r="D587" s="74" t="s">
        <v>13</v>
      </c>
      <c r="E587" s="74" t="s">
        <v>1538</v>
      </c>
      <c r="F587" s="74" t="s">
        <v>1538</v>
      </c>
      <c r="G587" s="74" t="s">
        <v>15</v>
      </c>
      <c r="H587" s="75">
        <v>850</v>
      </c>
      <c r="I587" s="75">
        <v>1390</v>
      </c>
      <c r="J587" s="74"/>
      <c r="K587" s="74" t="s">
        <v>16</v>
      </c>
      <c r="L587" s="74"/>
      <c r="M587" s="74" t="s">
        <v>13</v>
      </c>
      <c r="N587" s="71" t="str">
        <f t="shared" si="9"/>
        <v>1</v>
      </c>
      <c r="O587" s="71" t="str">
        <f>INDEX(Кат!$D:$D,MATCH($A587,Кат!$A:$A,0))</f>
        <v>Y</v>
      </c>
    </row>
    <row r="588" spans="1:15" ht="30" x14ac:dyDescent="0.25">
      <c r="A588" s="73">
        <v>195350</v>
      </c>
      <c r="B588" s="73">
        <v>23804</v>
      </c>
      <c r="C588" s="74" t="s">
        <v>1539</v>
      </c>
      <c r="D588" s="74" t="s">
        <v>13</v>
      </c>
      <c r="E588" s="74" t="s">
        <v>1540</v>
      </c>
      <c r="F588" s="74" t="s">
        <v>1540</v>
      </c>
      <c r="G588" s="74" t="s">
        <v>15</v>
      </c>
      <c r="H588" s="75">
        <v>960.96</v>
      </c>
      <c r="I588" s="75">
        <v>1490</v>
      </c>
      <c r="J588" s="74"/>
      <c r="K588" s="74" t="s">
        <v>16</v>
      </c>
      <c r="L588" s="74" t="s">
        <v>16</v>
      </c>
      <c r="M588" s="74" t="s">
        <v>13</v>
      </c>
      <c r="N588" s="71" t="str">
        <f t="shared" si="9"/>
        <v>1ск1</v>
      </c>
      <c r="O588" s="71" t="str">
        <f>INDEX(Кат!$D:$D,MATCH($A588,Кат!$A:$A,0))</f>
        <v>Y</v>
      </c>
    </row>
    <row r="589" spans="1:15" ht="30" x14ac:dyDescent="0.25">
      <c r="A589" s="73">
        <v>195358</v>
      </c>
      <c r="B589" s="73">
        <v>18745</v>
      </c>
      <c r="C589" s="74" t="s">
        <v>1541</v>
      </c>
      <c r="D589" s="74" t="s">
        <v>13</v>
      </c>
      <c r="E589" s="74" t="s">
        <v>1542</v>
      </c>
      <c r="F589" s="74" t="s">
        <v>1542</v>
      </c>
      <c r="G589" s="74" t="s">
        <v>15</v>
      </c>
      <c r="H589" s="75">
        <v>570</v>
      </c>
      <c r="I589" s="75">
        <v>889</v>
      </c>
      <c r="J589" s="74"/>
      <c r="K589" s="74" t="s">
        <v>16</v>
      </c>
      <c r="L589" s="74"/>
      <c r="M589" s="74" t="s">
        <v>13</v>
      </c>
      <c r="N589" s="71" t="str">
        <f t="shared" si="9"/>
        <v>1</v>
      </c>
      <c r="O589" s="71" t="str">
        <f>INDEX(Кат!$D:$D,MATCH($A589,Кат!$A:$A,0))</f>
        <v>Y</v>
      </c>
    </row>
    <row r="590" spans="1:15" ht="30" x14ac:dyDescent="0.25">
      <c r="A590" s="73">
        <v>195352</v>
      </c>
      <c r="B590" s="73">
        <v>32736</v>
      </c>
      <c r="C590" s="74" t="s">
        <v>1543</v>
      </c>
      <c r="D590" s="74" t="s">
        <v>13</v>
      </c>
      <c r="E590" s="74" t="s">
        <v>1544</v>
      </c>
      <c r="F590" s="74"/>
      <c r="G590" s="74" t="s">
        <v>15</v>
      </c>
      <c r="H590" s="75">
        <v>700</v>
      </c>
      <c r="I590" s="75">
        <v>1090</v>
      </c>
      <c r="J590" s="74"/>
      <c r="K590" s="74" t="s">
        <v>16</v>
      </c>
      <c r="L590" s="74"/>
      <c r="M590" s="74" t="s">
        <v>13</v>
      </c>
      <c r="N590" s="71" t="str">
        <f t="shared" si="9"/>
        <v>1</v>
      </c>
      <c r="O590" s="71" t="str">
        <f>INDEX(Кат!$D:$D,MATCH($A590,Кат!$A:$A,0))</f>
        <v>Y</v>
      </c>
    </row>
    <row r="591" spans="1:15" ht="30" x14ac:dyDescent="0.25">
      <c r="A591" s="73">
        <v>195354</v>
      </c>
      <c r="B591" s="73">
        <v>18746</v>
      </c>
      <c r="C591" s="74" t="s">
        <v>1545</v>
      </c>
      <c r="D591" s="74" t="s">
        <v>13</v>
      </c>
      <c r="E591" s="74" t="s">
        <v>1546</v>
      </c>
      <c r="F591" s="74" t="s">
        <v>1546</v>
      </c>
      <c r="G591" s="74" t="s">
        <v>15</v>
      </c>
      <c r="H591" s="75">
        <v>530</v>
      </c>
      <c r="I591" s="75">
        <v>829</v>
      </c>
      <c r="J591" s="74"/>
      <c r="K591" s="74" t="s">
        <v>16</v>
      </c>
      <c r="L591" s="74"/>
      <c r="M591" s="74" t="s">
        <v>13</v>
      </c>
      <c r="N591" s="71" t="str">
        <f t="shared" si="9"/>
        <v>1</v>
      </c>
      <c r="O591" s="71" t="str">
        <f>INDEX(Кат!$D:$D,MATCH($A591,Кат!$A:$A,0))</f>
        <v>Y</v>
      </c>
    </row>
    <row r="592" spans="1:15" ht="30" x14ac:dyDescent="0.25">
      <c r="A592" s="73">
        <v>195356</v>
      </c>
      <c r="B592" s="73">
        <v>27053</v>
      </c>
      <c r="C592" s="74" t="s">
        <v>1547</v>
      </c>
      <c r="D592" s="74" t="s">
        <v>13</v>
      </c>
      <c r="E592" s="74" t="s">
        <v>1548</v>
      </c>
      <c r="F592" s="74" t="s">
        <v>1549</v>
      </c>
      <c r="G592" s="74" t="s">
        <v>15</v>
      </c>
      <c r="H592" s="75">
        <v>638</v>
      </c>
      <c r="I592" s="75">
        <v>989</v>
      </c>
      <c r="J592" s="74"/>
      <c r="K592" s="74" t="s">
        <v>16</v>
      </c>
      <c r="L592" s="74"/>
      <c r="M592" s="74" t="s">
        <v>13</v>
      </c>
      <c r="N592" s="71" t="str">
        <f t="shared" si="9"/>
        <v>1</v>
      </c>
      <c r="O592" s="71" t="str">
        <f>INDEX(Кат!$D:$D,MATCH($A592,Кат!$A:$A,0))</f>
        <v>Y</v>
      </c>
    </row>
    <row r="593" spans="1:15" ht="75" x14ac:dyDescent="0.25">
      <c r="A593" s="73">
        <v>201020</v>
      </c>
      <c r="B593" s="73">
        <v>15454</v>
      </c>
      <c r="C593" s="74" t="s">
        <v>1550</v>
      </c>
      <c r="D593" s="74" t="s">
        <v>13</v>
      </c>
      <c r="E593" s="74" t="s">
        <v>1551</v>
      </c>
      <c r="F593" s="74" t="s">
        <v>1551</v>
      </c>
      <c r="G593" s="74" t="s">
        <v>15</v>
      </c>
      <c r="H593" s="75">
        <v>86</v>
      </c>
      <c r="I593" s="75">
        <v>179</v>
      </c>
      <c r="J593" s="74" t="s">
        <v>1552</v>
      </c>
      <c r="K593" s="74" t="s">
        <v>16</v>
      </c>
      <c r="L593" s="74" t="s">
        <v>16</v>
      </c>
      <c r="M593" s="74" t="s">
        <v>13</v>
      </c>
      <c r="N593" s="71" t="str">
        <f t="shared" si="9"/>
        <v>1ск1</v>
      </c>
      <c r="O593" s="71" t="str">
        <f>INDEX(Кат!$D:$D,MATCH($A593,Кат!$A:$A,0))</f>
        <v>Y</v>
      </c>
    </row>
    <row r="594" spans="1:15" ht="60" x14ac:dyDescent="0.25">
      <c r="A594" s="73">
        <v>201023</v>
      </c>
      <c r="B594" s="73">
        <v>27211</v>
      </c>
      <c r="C594" s="74" t="s">
        <v>1553</v>
      </c>
      <c r="D594" s="74" t="s">
        <v>13</v>
      </c>
      <c r="E594" s="74" t="s">
        <v>1554</v>
      </c>
      <c r="F594" s="74" t="s">
        <v>1554</v>
      </c>
      <c r="G594" s="74" t="s">
        <v>15</v>
      </c>
      <c r="H594" s="75">
        <v>159</v>
      </c>
      <c r="I594" s="75">
        <v>289</v>
      </c>
      <c r="J594" s="74" t="s">
        <v>1555</v>
      </c>
      <c r="K594" s="74" t="s">
        <v>16</v>
      </c>
      <c r="L594" s="74"/>
      <c r="M594" s="74" t="s">
        <v>13</v>
      </c>
      <c r="N594" s="71" t="str">
        <f t="shared" si="9"/>
        <v>1</v>
      </c>
      <c r="O594" s="71" t="str">
        <f>INDEX(Кат!$D:$D,MATCH($A594,Кат!$A:$A,0))</f>
        <v>Y</v>
      </c>
    </row>
    <row r="595" spans="1:15" ht="45" x14ac:dyDescent="0.25">
      <c r="A595" s="73">
        <v>201024</v>
      </c>
      <c r="B595" s="73">
        <v>15446</v>
      </c>
      <c r="C595" s="74" t="s">
        <v>1556</v>
      </c>
      <c r="D595" s="74" t="s">
        <v>13</v>
      </c>
      <c r="E595" s="74" t="s">
        <v>1557</v>
      </c>
      <c r="F595" s="74" t="s">
        <v>1557</v>
      </c>
      <c r="G595" s="74" t="s">
        <v>15</v>
      </c>
      <c r="H595" s="75">
        <v>272</v>
      </c>
      <c r="I595" s="75">
        <v>489</v>
      </c>
      <c r="J595" s="74"/>
      <c r="K595" s="74" t="s">
        <v>16</v>
      </c>
      <c r="L595" s="74" t="s">
        <v>16</v>
      </c>
      <c r="M595" s="74"/>
      <c r="N595" s="71" t="str">
        <f t="shared" si="9"/>
        <v>1ск1</v>
      </c>
      <c r="O595" s="71" t="str">
        <f>INDEX(Кат!$D:$D,MATCH($A595,Кат!$A:$A,0))</f>
        <v>Y</v>
      </c>
    </row>
    <row r="596" spans="1:15" ht="30" x14ac:dyDescent="0.25">
      <c r="A596" s="73">
        <v>201817</v>
      </c>
      <c r="B596" s="73">
        <v>31112</v>
      </c>
      <c r="C596" s="74" t="s">
        <v>1558</v>
      </c>
      <c r="D596" s="74" t="s">
        <v>13</v>
      </c>
      <c r="E596" s="74" t="s">
        <v>1559</v>
      </c>
      <c r="F596" s="74" t="s">
        <v>1559</v>
      </c>
      <c r="G596" s="74" t="s">
        <v>15</v>
      </c>
      <c r="H596" s="75">
        <v>1154</v>
      </c>
      <c r="I596" s="75">
        <v>1790</v>
      </c>
      <c r="J596" s="74"/>
      <c r="K596" s="74" t="s">
        <v>16</v>
      </c>
      <c r="L596" s="74"/>
      <c r="M596" s="74" t="s">
        <v>13</v>
      </c>
      <c r="N596" s="71" t="str">
        <f t="shared" si="9"/>
        <v>1</v>
      </c>
      <c r="O596" s="71" t="str">
        <f>INDEX(Кат!$D:$D,MATCH($A596,Кат!$A:$A,0))</f>
        <v>Y</v>
      </c>
    </row>
    <row r="597" spans="1:15" ht="75" x14ac:dyDescent="0.25">
      <c r="A597" s="73">
        <v>201818</v>
      </c>
      <c r="B597" s="73">
        <v>32727</v>
      </c>
      <c r="C597" s="74" t="s">
        <v>1560</v>
      </c>
      <c r="D597" s="74" t="s">
        <v>13</v>
      </c>
      <c r="E597" s="74" t="s">
        <v>1561</v>
      </c>
      <c r="F597" s="74" t="s">
        <v>1561</v>
      </c>
      <c r="G597" s="74" t="s">
        <v>15</v>
      </c>
      <c r="H597" s="75">
        <v>1214</v>
      </c>
      <c r="I597" s="75">
        <v>1890</v>
      </c>
      <c r="J597" s="74" t="s">
        <v>1562</v>
      </c>
      <c r="K597" s="74" t="s">
        <v>16</v>
      </c>
      <c r="L597" s="74"/>
      <c r="M597" s="74" t="s">
        <v>13</v>
      </c>
      <c r="N597" s="71" t="str">
        <f t="shared" si="9"/>
        <v>1</v>
      </c>
      <c r="O597" s="71" t="str">
        <f>INDEX(Кат!$D:$D,MATCH($A597,Кат!$A:$A,0))</f>
        <v>Y</v>
      </c>
    </row>
    <row r="598" spans="1:15" ht="45" x14ac:dyDescent="0.25">
      <c r="A598" s="73">
        <v>201820</v>
      </c>
      <c r="B598" s="73">
        <v>31051</v>
      </c>
      <c r="C598" s="74" t="s">
        <v>1563</v>
      </c>
      <c r="D598" s="74" t="s">
        <v>13</v>
      </c>
      <c r="E598" s="74" t="s">
        <v>1564</v>
      </c>
      <c r="F598" s="74" t="s">
        <v>1564</v>
      </c>
      <c r="G598" s="74" t="s">
        <v>15</v>
      </c>
      <c r="H598" s="75">
        <v>343</v>
      </c>
      <c r="I598" s="75">
        <v>549</v>
      </c>
      <c r="J598" s="74"/>
      <c r="K598" s="74" t="s">
        <v>16</v>
      </c>
      <c r="L598" s="74"/>
      <c r="M598" s="74" t="s">
        <v>13</v>
      </c>
      <c r="N598" s="71" t="str">
        <f t="shared" si="9"/>
        <v>1</v>
      </c>
      <c r="O598" s="71" t="str">
        <f>INDEX(Кат!$D:$D,MATCH($A598,Кат!$A:$A,0))</f>
        <v>Y</v>
      </c>
    </row>
    <row r="599" spans="1:15" ht="90" x14ac:dyDescent="0.25">
      <c r="A599" s="73">
        <v>202571</v>
      </c>
      <c r="B599" s="73">
        <v>31408</v>
      </c>
      <c r="C599" s="74" t="s">
        <v>1565</v>
      </c>
      <c r="D599" s="74" t="s">
        <v>13</v>
      </c>
      <c r="E599" s="74" t="s">
        <v>1566</v>
      </c>
      <c r="F599" s="74" t="s">
        <v>1566</v>
      </c>
      <c r="G599" s="74" t="s">
        <v>15</v>
      </c>
      <c r="H599" s="75">
        <v>2407</v>
      </c>
      <c r="I599" s="75">
        <v>3390</v>
      </c>
      <c r="J599" s="74" t="s">
        <v>1567</v>
      </c>
      <c r="K599" s="74" t="s">
        <v>16</v>
      </c>
      <c r="L599" s="74"/>
      <c r="M599" s="74" t="s">
        <v>13</v>
      </c>
      <c r="N599" s="71" t="str">
        <f t="shared" si="9"/>
        <v>1</v>
      </c>
      <c r="O599" s="71" t="str">
        <f>INDEX(Кат!$D:$D,MATCH($A599,Кат!$A:$A,0))</f>
        <v>Y</v>
      </c>
    </row>
    <row r="600" spans="1:15" ht="75" x14ac:dyDescent="0.25">
      <c r="A600" s="73">
        <v>202572</v>
      </c>
      <c r="B600" s="73">
        <v>31233</v>
      </c>
      <c r="C600" s="74" t="s">
        <v>1568</v>
      </c>
      <c r="D600" s="74" t="s">
        <v>13</v>
      </c>
      <c r="E600" s="74" t="s">
        <v>1569</v>
      </c>
      <c r="F600" s="74" t="s">
        <v>1569</v>
      </c>
      <c r="G600" s="74" t="s">
        <v>15</v>
      </c>
      <c r="H600" s="75">
        <v>3188</v>
      </c>
      <c r="I600" s="75">
        <v>4490</v>
      </c>
      <c r="J600" s="74" t="s">
        <v>1570</v>
      </c>
      <c r="K600" s="74" t="s">
        <v>16</v>
      </c>
      <c r="L600" s="74" t="s">
        <v>16</v>
      </c>
      <c r="M600" s="74" t="s">
        <v>13</v>
      </c>
      <c r="N600" s="71" t="str">
        <f t="shared" si="9"/>
        <v>1ск1</v>
      </c>
      <c r="O600" s="71" t="str">
        <f>INDEX(Кат!$D:$D,MATCH($A600,Кат!$A:$A,0))</f>
        <v>Y</v>
      </c>
    </row>
    <row r="601" spans="1:15" ht="45" x14ac:dyDescent="0.25">
      <c r="A601" s="73">
        <v>202575</v>
      </c>
      <c r="B601" s="73">
        <v>32751</v>
      </c>
      <c r="C601" s="74" t="s">
        <v>1571</v>
      </c>
      <c r="D601" s="74" t="s">
        <v>13</v>
      </c>
      <c r="E601" s="74" t="s">
        <v>1572</v>
      </c>
      <c r="F601" s="74" t="s">
        <v>1572</v>
      </c>
      <c r="G601" s="74" t="s">
        <v>15</v>
      </c>
      <c r="H601" s="75">
        <v>383</v>
      </c>
      <c r="I601" s="75">
        <v>619</v>
      </c>
      <c r="J601" s="74"/>
      <c r="K601" s="74" t="s">
        <v>16</v>
      </c>
      <c r="L601" s="74"/>
      <c r="M601" s="74" t="s">
        <v>13</v>
      </c>
      <c r="N601" s="71" t="str">
        <f t="shared" si="9"/>
        <v>1</v>
      </c>
      <c r="O601" s="71" t="str">
        <f>INDEX(Кат!$D:$D,MATCH($A601,Кат!$A:$A,0))</f>
        <v>Y</v>
      </c>
    </row>
    <row r="602" spans="1:15" ht="30" x14ac:dyDescent="0.25">
      <c r="A602" s="73">
        <v>202576</v>
      </c>
      <c r="B602" s="73">
        <v>32750</v>
      </c>
      <c r="C602" s="74" t="s">
        <v>1573</v>
      </c>
      <c r="D602" s="74" t="s">
        <v>13</v>
      </c>
      <c r="E602" s="74" t="s">
        <v>1574</v>
      </c>
      <c r="F602" s="74" t="s">
        <v>1574</v>
      </c>
      <c r="G602" s="74" t="s">
        <v>15</v>
      </c>
      <c r="H602" s="75">
        <v>578</v>
      </c>
      <c r="I602" s="75">
        <v>899</v>
      </c>
      <c r="J602" s="74"/>
      <c r="K602" s="74" t="s">
        <v>16</v>
      </c>
      <c r="L602" s="74"/>
      <c r="M602" s="74" t="s">
        <v>13</v>
      </c>
      <c r="N602" s="71" t="str">
        <f t="shared" si="9"/>
        <v>1</v>
      </c>
      <c r="O602" s="71" t="str">
        <f>INDEX(Кат!$D:$D,MATCH($A602,Кат!$A:$A,0))</f>
        <v>Y</v>
      </c>
    </row>
    <row r="603" spans="1:15" ht="30" x14ac:dyDescent="0.25">
      <c r="A603" s="73">
        <v>202577</v>
      </c>
      <c r="B603" s="73">
        <v>31082</v>
      </c>
      <c r="C603" s="74" t="s">
        <v>1575</v>
      </c>
      <c r="D603" s="74" t="s">
        <v>13</v>
      </c>
      <c r="E603" s="74" t="s">
        <v>1576</v>
      </c>
      <c r="F603" s="74" t="s">
        <v>1576</v>
      </c>
      <c r="G603" s="74" t="s">
        <v>15</v>
      </c>
      <c r="H603" s="75">
        <v>1702</v>
      </c>
      <c r="I603" s="75">
        <v>2590</v>
      </c>
      <c r="J603" s="74"/>
      <c r="K603" s="74" t="s">
        <v>16</v>
      </c>
      <c r="L603" s="74"/>
      <c r="M603" s="74" t="s">
        <v>13</v>
      </c>
      <c r="N603" s="71" t="str">
        <f t="shared" si="9"/>
        <v>1</v>
      </c>
      <c r="O603" s="71" t="str">
        <f>INDEX(Кат!$D:$D,MATCH($A603,Кат!$A:$A,0))</f>
        <v>Y</v>
      </c>
    </row>
    <row r="604" spans="1:15" ht="45" x14ac:dyDescent="0.25">
      <c r="A604" s="73">
        <v>202598</v>
      </c>
      <c r="B604" s="73">
        <v>31445</v>
      </c>
      <c r="C604" s="74" t="s">
        <v>1577</v>
      </c>
      <c r="D604" s="74" t="s">
        <v>13</v>
      </c>
      <c r="E604" s="74" t="s">
        <v>1578</v>
      </c>
      <c r="F604" s="74" t="s">
        <v>1578</v>
      </c>
      <c r="G604" s="74" t="s">
        <v>15</v>
      </c>
      <c r="H604" s="75">
        <v>163</v>
      </c>
      <c r="I604" s="75">
        <v>299</v>
      </c>
      <c r="J604" s="74"/>
      <c r="K604" s="74" t="s">
        <v>16</v>
      </c>
      <c r="L604" s="74"/>
      <c r="M604" s="74" t="s">
        <v>13</v>
      </c>
      <c r="N604" s="71" t="str">
        <f t="shared" si="9"/>
        <v>1</v>
      </c>
      <c r="O604" s="71" t="str">
        <f>INDEX(Кат!$D:$D,MATCH($A604,Кат!$A:$A,0))</f>
        <v>Y</v>
      </c>
    </row>
    <row r="605" spans="1:15" ht="45" x14ac:dyDescent="0.25">
      <c r="A605" s="73">
        <v>202599</v>
      </c>
      <c r="B605" s="73">
        <v>31234</v>
      </c>
      <c r="C605" s="74" t="s">
        <v>1579</v>
      </c>
      <c r="D605" s="74" t="s">
        <v>13</v>
      </c>
      <c r="E605" s="74" t="s">
        <v>1580</v>
      </c>
      <c r="F605" s="74" t="s">
        <v>1580</v>
      </c>
      <c r="G605" s="74" t="s">
        <v>15</v>
      </c>
      <c r="H605" s="75">
        <v>840</v>
      </c>
      <c r="I605" s="75">
        <v>1390</v>
      </c>
      <c r="J605" s="74"/>
      <c r="K605" s="74" t="s">
        <v>16</v>
      </c>
      <c r="L605" s="74" t="s">
        <v>16</v>
      </c>
      <c r="M605" s="74" t="s">
        <v>13</v>
      </c>
      <c r="N605" s="71" t="str">
        <f t="shared" si="9"/>
        <v>1ск1</v>
      </c>
      <c r="O605" s="71" t="str">
        <f>INDEX(Кат!$D:$D,MATCH($A605,Кат!$A:$A,0))</f>
        <v>Y</v>
      </c>
    </row>
    <row r="606" spans="1:15" ht="45" x14ac:dyDescent="0.25">
      <c r="A606" s="73">
        <v>202611</v>
      </c>
      <c r="B606" s="73">
        <v>31142</v>
      </c>
      <c r="C606" s="74" t="s">
        <v>1581</v>
      </c>
      <c r="D606" s="74" t="s">
        <v>13</v>
      </c>
      <c r="E606" s="74" t="s">
        <v>1582</v>
      </c>
      <c r="F606" s="74" t="s">
        <v>1582</v>
      </c>
      <c r="G606" s="74" t="s">
        <v>15</v>
      </c>
      <c r="H606" s="75">
        <v>135</v>
      </c>
      <c r="I606" s="75">
        <v>249</v>
      </c>
      <c r="J606" s="74"/>
      <c r="K606" s="74" t="s">
        <v>16</v>
      </c>
      <c r="L606" s="74"/>
      <c r="M606" s="74" t="s">
        <v>13</v>
      </c>
      <c r="N606" s="71" t="str">
        <f t="shared" si="9"/>
        <v>1</v>
      </c>
      <c r="O606" s="71" t="str">
        <f>INDEX(Кат!$D:$D,MATCH($A606,Кат!$A:$A,0))</f>
        <v>Y</v>
      </c>
    </row>
    <row r="607" spans="1:15" ht="45" x14ac:dyDescent="0.25">
      <c r="A607" s="73">
        <v>202625</v>
      </c>
      <c r="B607" s="73">
        <v>19349</v>
      </c>
      <c r="C607" s="74" t="s">
        <v>1583</v>
      </c>
      <c r="D607" s="74" t="s">
        <v>13</v>
      </c>
      <c r="E607" s="74" t="s">
        <v>1584</v>
      </c>
      <c r="F607" s="74" t="s">
        <v>1584</v>
      </c>
      <c r="G607" s="74" t="s">
        <v>15</v>
      </c>
      <c r="H607" s="75">
        <v>7037</v>
      </c>
      <c r="I607" s="75">
        <v>9890</v>
      </c>
      <c r="J607" s="74"/>
      <c r="K607" s="74" t="s">
        <v>16</v>
      </c>
      <c r="L607" s="74" t="s">
        <v>16</v>
      </c>
      <c r="M607" s="74" t="s">
        <v>13</v>
      </c>
      <c r="N607" s="71" t="str">
        <f t="shared" si="9"/>
        <v>1ск1</v>
      </c>
      <c r="O607" s="71" t="str">
        <f>INDEX(Кат!$D:$D,MATCH($A607,Кат!$A:$A,0))</f>
        <v>Y</v>
      </c>
    </row>
    <row r="608" spans="1:15" ht="60" x14ac:dyDescent="0.25">
      <c r="A608" s="73">
        <v>202612</v>
      </c>
      <c r="B608" s="73">
        <v>51507</v>
      </c>
      <c r="C608" s="74" t="s">
        <v>1585</v>
      </c>
      <c r="D608" s="74" t="s">
        <v>13</v>
      </c>
      <c r="E608" s="74" t="s">
        <v>1586</v>
      </c>
      <c r="F608" s="74" t="s">
        <v>1587</v>
      </c>
      <c r="G608" s="74" t="s">
        <v>15</v>
      </c>
      <c r="H608" s="75">
        <v>5626.55</v>
      </c>
      <c r="I608" s="75">
        <v>7890</v>
      </c>
      <c r="J608" s="74" t="s">
        <v>1588</v>
      </c>
      <c r="K608" s="74" t="s">
        <v>16</v>
      </c>
      <c r="L608" s="74"/>
      <c r="M608" s="74" t="s">
        <v>13</v>
      </c>
      <c r="N608" s="71" t="str">
        <f t="shared" si="9"/>
        <v>1</v>
      </c>
      <c r="O608" s="71" t="str">
        <f>INDEX(Кат!$D:$D,MATCH($A608,Кат!$A:$A,0))</f>
        <v>Y</v>
      </c>
    </row>
    <row r="609" spans="1:15" ht="60" x14ac:dyDescent="0.25">
      <c r="A609" s="73">
        <v>202613</v>
      </c>
      <c r="B609" s="73">
        <v>31302</v>
      </c>
      <c r="C609" s="74" t="s">
        <v>1589</v>
      </c>
      <c r="D609" s="74" t="s">
        <v>13</v>
      </c>
      <c r="E609" s="74" t="s">
        <v>1590</v>
      </c>
      <c r="F609" s="74" t="s">
        <v>1590</v>
      </c>
      <c r="G609" s="74" t="s">
        <v>15</v>
      </c>
      <c r="H609" s="75">
        <v>2864</v>
      </c>
      <c r="I609" s="75">
        <v>4090</v>
      </c>
      <c r="J609" s="74" t="s">
        <v>1591</v>
      </c>
      <c r="K609" s="74" t="s">
        <v>16</v>
      </c>
      <c r="L609" s="74"/>
      <c r="M609" s="74" t="s">
        <v>13</v>
      </c>
      <c r="N609" s="71" t="str">
        <f t="shared" si="9"/>
        <v>1</v>
      </c>
      <c r="O609" s="71" t="str">
        <f>INDEX(Кат!$D:$D,MATCH($A609,Кат!$A:$A,0))</f>
        <v>Y</v>
      </c>
    </row>
    <row r="610" spans="1:15" ht="45" x14ac:dyDescent="0.25">
      <c r="A610" s="73">
        <v>202614</v>
      </c>
      <c r="B610" s="73">
        <v>45980</v>
      </c>
      <c r="C610" s="74" t="s">
        <v>1592</v>
      </c>
      <c r="D610" s="74" t="s">
        <v>13</v>
      </c>
      <c r="E610" s="74" t="s">
        <v>1593</v>
      </c>
      <c r="F610" s="74" t="s">
        <v>1594</v>
      </c>
      <c r="G610" s="74" t="s">
        <v>15</v>
      </c>
      <c r="H610" s="75">
        <v>3171</v>
      </c>
      <c r="I610" s="75">
        <v>4490</v>
      </c>
      <c r="J610" s="74"/>
      <c r="K610" s="74" t="s">
        <v>16</v>
      </c>
      <c r="L610" s="74"/>
      <c r="M610" s="74" t="s">
        <v>13</v>
      </c>
      <c r="N610" s="71" t="str">
        <f t="shared" si="9"/>
        <v>1</v>
      </c>
      <c r="O610" s="71" t="str">
        <f>INDEX(Кат!$D:$D,MATCH($A610,Кат!$A:$A,0))</f>
        <v>Y</v>
      </c>
    </row>
    <row r="611" spans="1:15" ht="30" x14ac:dyDescent="0.25">
      <c r="A611" s="73">
        <v>202615</v>
      </c>
      <c r="B611" s="73">
        <v>47949</v>
      </c>
      <c r="C611" s="74" t="s">
        <v>1595</v>
      </c>
      <c r="D611" s="74" t="s">
        <v>13</v>
      </c>
      <c r="E611" s="74" t="s">
        <v>1596</v>
      </c>
      <c r="F611" s="74" t="s">
        <v>1596</v>
      </c>
      <c r="G611" s="74" t="s">
        <v>15</v>
      </c>
      <c r="H611" s="75">
        <v>7200</v>
      </c>
      <c r="I611" s="75">
        <v>9790</v>
      </c>
      <c r="J611" s="74"/>
      <c r="K611" s="74" t="s">
        <v>16</v>
      </c>
      <c r="L611" s="74" t="s">
        <v>16</v>
      </c>
      <c r="M611" s="74" t="s">
        <v>13</v>
      </c>
      <c r="N611" s="71" t="str">
        <f t="shared" si="9"/>
        <v>1ск1</v>
      </c>
      <c r="O611" s="71" t="str">
        <f>INDEX(Кат!$D:$D,MATCH($A611,Кат!$A:$A,0))</f>
        <v>Y</v>
      </c>
    </row>
    <row r="612" spans="1:15" ht="75" x14ac:dyDescent="0.25">
      <c r="A612" s="73">
        <v>202616</v>
      </c>
      <c r="B612" s="73">
        <v>16438</v>
      </c>
      <c r="C612" s="74" t="s">
        <v>1597</v>
      </c>
      <c r="D612" s="74" t="s">
        <v>13</v>
      </c>
      <c r="E612" s="74" t="s">
        <v>1598</v>
      </c>
      <c r="F612" s="74" t="s">
        <v>1598</v>
      </c>
      <c r="G612" s="74" t="s">
        <v>15</v>
      </c>
      <c r="H612" s="75">
        <v>3050</v>
      </c>
      <c r="I612" s="75">
        <v>4290</v>
      </c>
      <c r="J612" s="74" t="s">
        <v>1599</v>
      </c>
      <c r="K612" s="74" t="s">
        <v>16</v>
      </c>
      <c r="L612" s="74"/>
      <c r="M612" s="74" t="s">
        <v>13</v>
      </c>
      <c r="N612" s="71" t="str">
        <f t="shared" si="9"/>
        <v>1</v>
      </c>
      <c r="O612" s="71" t="str">
        <f>INDEX(Кат!$D:$D,MATCH($A612,Кат!$A:$A,0))</f>
        <v>Y</v>
      </c>
    </row>
    <row r="613" spans="1:15" ht="75" x14ac:dyDescent="0.25">
      <c r="A613" s="73">
        <v>202619</v>
      </c>
      <c r="B613" s="73">
        <v>31250</v>
      </c>
      <c r="C613" s="74" t="s">
        <v>1600</v>
      </c>
      <c r="D613" s="74" t="s">
        <v>13</v>
      </c>
      <c r="E613" s="74" t="s">
        <v>1601</v>
      </c>
      <c r="F613" s="74" t="s">
        <v>1601</v>
      </c>
      <c r="G613" s="74" t="s">
        <v>15</v>
      </c>
      <c r="H613" s="75">
        <v>6121</v>
      </c>
      <c r="I613" s="75">
        <v>8590</v>
      </c>
      <c r="J613" s="74" t="s">
        <v>1602</v>
      </c>
      <c r="K613" s="74" t="s">
        <v>16</v>
      </c>
      <c r="L613" s="74"/>
      <c r="M613" s="74" t="s">
        <v>13</v>
      </c>
      <c r="N613" s="71" t="str">
        <f t="shared" si="9"/>
        <v>1</v>
      </c>
      <c r="O613" s="71" t="str">
        <f>INDEX(Кат!$D:$D,MATCH($A613,Кат!$A:$A,0))</f>
        <v>Y</v>
      </c>
    </row>
    <row r="614" spans="1:15" ht="75" x14ac:dyDescent="0.25">
      <c r="A614" s="73">
        <v>202620</v>
      </c>
      <c r="B614" s="73">
        <v>32532</v>
      </c>
      <c r="C614" s="74" t="s">
        <v>1603</v>
      </c>
      <c r="D614" s="74" t="s">
        <v>13</v>
      </c>
      <c r="E614" s="74" t="s">
        <v>1604</v>
      </c>
      <c r="F614" s="74" t="s">
        <v>1604</v>
      </c>
      <c r="G614" s="74" t="s">
        <v>15</v>
      </c>
      <c r="H614" s="75">
        <v>2340</v>
      </c>
      <c r="I614" s="75">
        <v>3290</v>
      </c>
      <c r="J614" s="74" t="s">
        <v>1605</v>
      </c>
      <c r="K614" s="74" t="s">
        <v>37</v>
      </c>
      <c r="L614" s="74"/>
      <c r="M614" s="74" t="s">
        <v>13</v>
      </c>
      <c r="N614" s="71" t="str">
        <f t="shared" si="9"/>
        <v>0</v>
      </c>
      <c r="O614" s="71" t="str">
        <f>INDEX(Кат!$D:$D,MATCH($A614,Кат!$A:$A,0))</f>
        <v>Y</v>
      </c>
    </row>
    <row r="615" spans="1:15" ht="75" x14ac:dyDescent="0.25">
      <c r="A615" s="73">
        <v>202617</v>
      </c>
      <c r="B615" s="73">
        <v>16785</v>
      </c>
      <c r="C615" s="74" t="s">
        <v>1606</v>
      </c>
      <c r="D615" s="74" t="s">
        <v>13</v>
      </c>
      <c r="E615" s="74" t="s">
        <v>1607</v>
      </c>
      <c r="F615" s="74" t="s">
        <v>1607</v>
      </c>
      <c r="G615" s="74" t="s">
        <v>15</v>
      </c>
      <c r="H615" s="75">
        <v>4496</v>
      </c>
      <c r="I615" s="75">
        <v>6290</v>
      </c>
      <c r="J615" s="74" t="s">
        <v>1608</v>
      </c>
      <c r="K615" s="74" t="s">
        <v>16</v>
      </c>
      <c r="L615" s="74"/>
      <c r="M615" s="74" t="s">
        <v>13</v>
      </c>
      <c r="N615" s="71" t="str">
        <f t="shared" si="9"/>
        <v>1</v>
      </c>
      <c r="O615" s="71" t="str">
        <f>INDEX(Кат!$D:$D,MATCH($A615,Кат!$A:$A,0))</f>
        <v>Y</v>
      </c>
    </row>
    <row r="616" spans="1:15" ht="30" x14ac:dyDescent="0.25">
      <c r="A616" s="73">
        <v>202624</v>
      </c>
      <c r="B616" s="73">
        <v>35643</v>
      </c>
      <c r="C616" s="74" t="s">
        <v>1609</v>
      </c>
      <c r="D616" s="74" t="s">
        <v>13</v>
      </c>
      <c r="E616" s="74" t="s">
        <v>1610</v>
      </c>
      <c r="F616" s="74" t="s">
        <v>1611</v>
      </c>
      <c r="G616" s="74" t="s">
        <v>15</v>
      </c>
      <c r="H616" s="75">
        <v>4000</v>
      </c>
      <c r="I616" s="75">
        <v>5590</v>
      </c>
      <c r="J616" s="74"/>
      <c r="K616" s="74" t="s">
        <v>16</v>
      </c>
      <c r="L616" s="74"/>
      <c r="M616" s="74" t="s">
        <v>13</v>
      </c>
      <c r="N616" s="71" t="str">
        <f t="shared" si="9"/>
        <v>1</v>
      </c>
      <c r="O616" s="71" t="str">
        <f>INDEX(Кат!$D:$D,MATCH($A616,Кат!$A:$A,0))</f>
        <v>Y</v>
      </c>
    </row>
    <row r="617" spans="1:15" ht="45" x14ac:dyDescent="0.25">
      <c r="A617" s="73">
        <v>202627</v>
      </c>
      <c r="B617" s="73">
        <v>18885</v>
      </c>
      <c r="C617" s="74" t="s">
        <v>1612</v>
      </c>
      <c r="D617" s="74" t="s">
        <v>13</v>
      </c>
      <c r="E617" s="74" t="s">
        <v>1613</v>
      </c>
      <c r="F617" s="74" t="s">
        <v>1613</v>
      </c>
      <c r="G617" s="74" t="s">
        <v>15</v>
      </c>
      <c r="H617" s="75">
        <v>2932</v>
      </c>
      <c r="I617" s="75">
        <v>4190</v>
      </c>
      <c r="J617" s="74"/>
      <c r="K617" s="74" t="s">
        <v>37</v>
      </c>
      <c r="L617" s="74"/>
      <c r="M617" s="74" t="s">
        <v>13</v>
      </c>
      <c r="N617" s="71" t="str">
        <f t="shared" si="9"/>
        <v>0</v>
      </c>
      <c r="O617" s="71" t="str">
        <f>INDEX(Кат!$D:$D,MATCH($A617,Кат!$A:$A,0))</f>
        <v>Y</v>
      </c>
    </row>
    <row r="618" spans="1:15" ht="75" x14ac:dyDescent="0.25">
      <c r="A618" s="73">
        <v>202628</v>
      </c>
      <c r="B618" s="73">
        <v>18009</v>
      </c>
      <c r="C618" s="74" t="s">
        <v>1614</v>
      </c>
      <c r="D618" s="74" t="s">
        <v>13</v>
      </c>
      <c r="E618" s="74" t="s">
        <v>1615</v>
      </c>
      <c r="F618" s="74" t="s">
        <v>1615</v>
      </c>
      <c r="G618" s="74" t="s">
        <v>15</v>
      </c>
      <c r="H618" s="75">
        <v>1791</v>
      </c>
      <c r="I618" s="75">
        <v>2690</v>
      </c>
      <c r="J618" s="74" t="s">
        <v>1616</v>
      </c>
      <c r="K618" s="74" t="s">
        <v>16</v>
      </c>
      <c r="L618" s="74"/>
      <c r="M618" s="74" t="s">
        <v>13</v>
      </c>
      <c r="N618" s="71" t="str">
        <f t="shared" si="9"/>
        <v>1</v>
      </c>
      <c r="O618" s="71" t="str">
        <f>INDEX(Кат!$D:$D,MATCH($A618,Кат!$A:$A,0))</f>
        <v>Y</v>
      </c>
    </row>
    <row r="619" spans="1:15" ht="30" x14ac:dyDescent="0.25">
      <c r="A619" s="73">
        <v>202733</v>
      </c>
      <c r="B619" s="73">
        <v>51749</v>
      </c>
      <c r="C619" s="74" t="s">
        <v>1617</v>
      </c>
      <c r="D619" s="74" t="s">
        <v>13</v>
      </c>
      <c r="E619" s="74" t="s">
        <v>1618</v>
      </c>
      <c r="F619" s="74" t="s">
        <v>1619</v>
      </c>
      <c r="G619" s="74" t="s">
        <v>15</v>
      </c>
      <c r="H619" s="75">
        <v>1455</v>
      </c>
      <c r="I619" s="75">
        <v>2190</v>
      </c>
      <c r="J619" s="74"/>
      <c r="K619" s="74" t="s">
        <v>16</v>
      </c>
      <c r="L619" s="74"/>
      <c r="M619" s="74" t="s">
        <v>13</v>
      </c>
      <c r="N619" s="71" t="str">
        <f t="shared" si="9"/>
        <v>1</v>
      </c>
      <c r="O619" s="71" t="str">
        <f>INDEX(Кат!$D:$D,MATCH($A619,Кат!$A:$A,0))</f>
        <v>Y</v>
      </c>
    </row>
    <row r="620" spans="1:15" ht="45" x14ac:dyDescent="0.25">
      <c r="A620" s="73">
        <v>202761</v>
      </c>
      <c r="B620" s="73">
        <v>32647</v>
      </c>
      <c r="C620" s="74" t="s">
        <v>1620</v>
      </c>
      <c r="D620" s="74" t="s">
        <v>13</v>
      </c>
      <c r="E620" s="74" t="s">
        <v>1621</v>
      </c>
      <c r="F620" s="74" t="s">
        <v>1621</v>
      </c>
      <c r="G620" s="74" t="s">
        <v>15</v>
      </c>
      <c r="H620" s="75">
        <v>948</v>
      </c>
      <c r="I620" s="75">
        <v>1490</v>
      </c>
      <c r="J620" s="74"/>
      <c r="K620" s="74" t="s">
        <v>16</v>
      </c>
      <c r="L620" s="74"/>
      <c r="M620" s="74"/>
      <c r="N620" s="71" t="str">
        <f t="shared" si="9"/>
        <v>1</v>
      </c>
      <c r="O620" s="71" t="str">
        <f>INDEX(Кат!$D:$D,MATCH($A620,Кат!$A:$A,0))</f>
        <v>Y</v>
      </c>
    </row>
    <row r="621" spans="1:15" ht="45" x14ac:dyDescent="0.25">
      <c r="A621" s="73">
        <v>363641</v>
      </c>
      <c r="B621" s="73">
        <v>363641</v>
      </c>
      <c r="C621" s="74" t="s">
        <v>1622</v>
      </c>
      <c r="D621" s="74" t="s">
        <v>13</v>
      </c>
      <c r="E621" s="74" t="s">
        <v>1623</v>
      </c>
      <c r="F621" s="74"/>
      <c r="G621" s="74" t="s">
        <v>15</v>
      </c>
      <c r="H621" s="75">
        <v>113.96</v>
      </c>
      <c r="I621" s="75">
        <v>209</v>
      </c>
      <c r="J621" s="74"/>
      <c r="K621" s="74" t="s">
        <v>16</v>
      </c>
      <c r="L621" s="74"/>
      <c r="M621" s="74" t="s">
        <v>13</v>
      </c>
      <c r="N621" s="71" t="str">
        <f t="shared" si="9"/>
        <v>1</v>
      </c>
      <c r="O621" s="71" t="str">
        <f>INDEX(Кат!$D:$D,MATCH($A621,Кат!$A:$A,0))</f>
        <v>Y</v>
      </c>
    </row>
    <row r="622" spans="1:15" ht="45" x14ac:dyDescent="0.25">
      <c r="A622" s="73">
        <v>363694</v>
      </c>
      <c r="B622" s="73">
        <v>363694</v>
      </c>
      <c r="C622" s="74" t="s">
        <v>1624</v>
      </c>
      <c r="D622" s="74" t="s">
        <v>13</v>
      </c>
      <c r="E622" s="74" t="s">
        <v>1625</v>
      </c>
      <c r="F622" s="74"/>
      <c r="G622" s="74" t="s">
        <v>15</v>
      </c>
      <c r="H622" s="75"/>
      <c r="I622" s="75">
        <v>0</v>
      </c>
      <c r="J622" s="74"/>
      <c r="K622" s="74" t="s">
        <v>37</v>
      </c>
      <c r="L622" s="74"/>
      <c r="M622" s="74"/>
      <c r="N622" s="71" t="str">
        <f t="shared" si="9"/>
        <v>0</v>
      </c>
      <c r="O622" s="71" t="str">
        <f>INDEX(Кат!$D:$D,MATCH($A622,Кат!$A:$A,0))</f>
        <v>Y</v>
      </c>
    </row>
    <row r="623" spans="1:15" ht="60" x14ac:dyDescent="0.25">
      <c r="A623" s="73">
        <v>364388</v>
      </c>
      <c r="B623" s="73">
        <v>364388</v>
      </c>
      <c r="C623" s="74" t="s">
        <v>1626</v>
      </c>
      <c r="D623" s="74" t="s">
        <v>13</v>
      </c>
      <c r="E623" s="74" t="s">
        <v>1627</v>
      </c>
      <c r="F623" s="74"/>
      <c r="G623" s="74" t="s">
        <v>15</v>
      </c>
      <c r="H623" s="75"/>
      <c r="I623" s="75"/>
      <c r="J623" s="74"/>
      <c r="K623" s="74" t="s">
        <v>37</v>
      </c>
      <c r="L623" s="74" t="s">
        <v>16</v>
      </c>
      <c r="M623" s="74"/>
      <c r="N623" s="71" t="str">
        <f t="shared" si="9"/>
        <v>0ск1</v>
      </c>
      <c r="O623" s="71" t="str">
        <f>INDEX(Кат!$D:$D,MATCH($A623,Кат!$A:$A,0))</f>
        <v>Y</v>
      </c>
    </row>
    <row r="624" spans="1:15" ht="45" x14ac:dyDescent="0.25">
      <c r="A624" s="73">
        <v>204491</v>
      </c>
      <c r="B624" s="73">
        <v>32718</v>
      </c>
      <c r="C624" s="74" t="s">
        <v>1628</v>
      </c>
      <c r="D624" s="74" t="s">
        <v>13</v>
      </c>
      <c r="E624" s="74" t="s">
        <v>1629</v>
      </c>
      <c r="F624" s="74"/>
      <c r="G624" s="74" t="s">
        <v>15</v>
      </c>
      <c r="H624" s="75">
        <v>722</v>
      </c>
      <c r="I624" s="75">
        <v>1190</v>
      </c>
      <c r="J624" s="74"/>
      <c r="K624" s="74" t="s">
        <v>16</v>
      </c>
      <c r="L624" s="74"/>
      <c r="M624" s="74" t="s">
        <v>13</v>
      </c>
      <c r="N624" s="71" t="str">
        <f t="shared" si="9"/>
        <v>1</v>
      </c>
      <c r="O624" s="71" t="str">
        <f>INDEX(Кат!$D:$D,MATCH($A624,Кат!$A:$A,0))</f>
        <v>Y</v>
      </c>
    </row>
    <row r="625" spans="1:15" ht="45" x14ac:dyDescent="0.25">
      <c r="A625" s="73">
        <v>214051</v>
      </c>
      <c r="B625" s="73">
        <v>45748</v>
      </c>
      <c r="C625" s="74" t="s">
        <v>1630</v>
      </c>
      <c r="D625" s="74" t="s">
        <v>13</v>
      </c>
      <c r="E625" s="74" t="s">
        <v>1631</v>
      </c>
      <c r="F625" s="74" t="s">
        <v>1632</v>
      </c>
      <c r="G625" s="74" t="s">
        <v>15</v>
      </c>
      <c r="H625" s="75">
        <v>51</v>
      </c>
      <c r="I625" s="75">
        <v>109</v>
      </c>
      <c r="J625" s="74"/>
      <c r="K625" s="74" t="s">
        <v>16</v>
      </c>
      <c r="L625" s="74"/>
      <c r="M625" s="74" t="s">
        <v>13</v>
      </c>
      <c r="N625" s="71" t="str">
        <f t="shared" si="9"/>
        <v>1</v>
      </c>
      <c r="O625" s="71" t="str">
        <f>INDEX(Кат!$D:$D,MATCH($A625,Кат!$A:$A,0))</f>
        <v>Y</v>
      </c>
    </row>
    <row r="626" spans="1:15" ht="45" x14ac:dyDescent="0.25">
      <c r="A626" s="73">
        <v>214052</v>
      </c>
      <c r="B626" s="73">
        <v>50409</v>
      </c>
      <c r="C626" s="74" t="s">
        <v>1633</v>
      </c>
      <c r="D626" s="74" t="s">
        <v>13</v>
      </c>
      <c r="E626" s="74" t="s">
        <v>1634</v>
      </c>
      <c r="F626" s="74" t="s">
        <v>1635</v>
      </c>
      <c r="G626" s="74" t="s">
        <v>15</v>
      </c>
      <c r="H626" s="75">
        <v>592</v>
      </c>
      <c r="I626" s="75">
        <v>919</v>
      </c>
      <c r="J626" s="74"/>
      <c r="K626" s="74" t="s">
        <v>16</v>
      </c>
      <c r="L626" s="74"/>
      <c r="M626" s="74" t="s">
        <v>13</v>
      </c>
      <c r="N626" s="71" t="str">
        <f t="shared" si="9"/>
        <v>1</v>
      </c>
      <c r="O626" s="71" t="str">
        <f>INDEX(Кат!$D:$D,MATCH($A626,Кат!$A:$A,0))</f>
        <v>Y</v>
      </c>
    </row>
    <row r="627" spans="1:15" ht="45" x14ac:dyDescent="0.25">
      <c r="A627" s="73">
        <v>214053</v>
      </c>
      <c r="B627" s="73">
        <v>50405</v>
      </c>
      <c r="C627" s="74" t="s">
        <v>1636</v>
      </c>
      <c r="D627" s="74" t="s">
        <v>13</v>
      </c>
      <c r="E627" s="74" t="s">
        <v>1637</v>
      </c>
      <c r="F627" s="74" t="s">
        <v>1638</v>
      </c>
      <c r="G627" s="74" t="s">
        <v>15</v>
      </c>
      <c r="H627" s="75">
        <v>739</v>
      </c>
      <c r="I627" s="75">
        <v>1190</v>
      </c>
      <c r="J627" s="74"/>
      <c r="K627" s="74" t="s">
        <v>16</v>
      </c>
      <c r="L627" s="74"/>
      <c r="M627" s="74" t="s">
        <v>13</v>
      </c>
      <c r="N627" s="71" t="str">
        <f t="shared" si="9"/>
        <v>1</v>
      </c>
      <c r="O627" s="71" t="str">
        <f>INDEX(Кат!$D:$D,MATCH($A627,Кат!$A:$A,0))</f>
        <v>Y</v>
      </c>
    </row>
    <row r="628" spans="1:15" ht="45" x14ac:dyDescent="0.25">
      <c r="A628" s="73">
        <v>214055</v>
      </c>
      <c r="B628" s="73">
        <v>31227</v>
      </c>
      <c r="C628" s="74" t="s">
        <v>1639</v>
      </c>
      <c r="D628" s="74" t="s">
        <v>13</v>
      </c>
      <c r="E628" s="74" t="s">
        <v>1640</v>
      </c>
      <c r="F628" s="74" t="s">
        <v>1640</v>
      </c>
      <c r="G628" s="74" t="s">
        <v>15</v>
      </c>
      <c r="H628" s="75">
        <v>161</v>
      </c>
      <c r="I628" s="75">
        <v>289</v>
      </c>
      <c r="J628" s="74" t="s">
        <v>1641</v>
      </c>
      <c r="K628" s="74" t="s">
        <v>16</v>
      </c>
      <c r="L628" s="74"/>
      <c r="M628" s="74" t="s">
        <v>13</v>
      </c>
      <c r="N628" s="71" t="str">
        <f t="shared" si="9"/>
        <v>1</v>
      </c>
      <c r="O628" s="71" t="str">
        <f>INDEX(Кат!$D:$D,MATCH($A628,Кат!$A:$A,0))</f>
        <v>Y</v>
      </c>
    </row>
    <row r="629" spans="1:15" ht="45" x14ac:dyDescent="0.25">
      <c r="A629" s="73">
        <v>214056</v>
      </c>
      <c r="B629" s="73">
        <v>31396</v>
      </c>
      <c r="C629" s="74" t="s">
        <v>1642</v>
      </c>
      <c r="D629" s="74" t="s">
        <v>13</v>
      </c>
      <c r="E629" s="74" t="s">
        <v>1643</v>
      </c>
      <c r="F629" s="74" t="s">
        <v>1643</v>
      </c>
      <c r="G629" s="74" t="s">
        <v>15</v>
      </c>
      <c r="H629" s="75">
        <v>23</v>
      </c>
      <c r="I629" s="75">
        <v>49</v>
      </c>
      <c r="J629" s="74"/>
      <c r="K629" s="74" t="s">
        <v>16</v>
      </c>
      <c r="L629" s="74"/>
      <c r="M629" s="74" t="s">
        <v>13</v>
      </c>
      <c r="N629" s="71" t="str">
        <f t="shared" si="9"/>
        <v>1</v>
      </c>
      <c r="O629" s="71" t="str">
        <f>INDEX(Кат!$D:$D,MATCH($A629,Кат!$A:$A,0))</f>
        <v>Y</v>
      </c>
    </row>
    <row r="630" spans="1:15" ht="75" x14ac:dyDescent="0.25">
      <c r="A630" s="73">
        <v>214057</v>
      </c>
      <c r="B630" s="73">
        <v>31212</v>
      </c>
      <c r="C630" s="74" t="s">
        <v>1644</v>
      </c>
      <c r="D630" s="74" t="s">
        <v>13</v>
      </c>
      <c r="E630" s="74" t="s">
        <v>1645</v>
      </c>
      <c r="F630" s="74" t="s">
        <v>1645</v>
      </c>
      <c r="G630" s="74" t="s">
        <v>15</v>
      </c>
      <c r="H630" s="75">
        <v>832</v>
      </c>
      <c r="I630" s="75">
        <v>1290</v>
      </c>
      <c r="J630" s="74" t="s">
        <v>1646</v>
      </c>
      <c r="K630" s="74" t="s">
        <v>16</v>
      </c>
      <c r="L630" s="74"/>
      <c r="M630" s="74" t="s">
        <v>13</v>
      </c>
      <c r="N630" s="71" t="str">
        <f t="shared" si="9"/>
        <v>1</v>
      </c>
      <c r="O630" s="71" t="str">
        <f>INDEX(Кат!$D:$D,MATCH($A630,Кат!$A:$A,0))</f>
        <v>Y</v>
      </c>
    </row>
    <row r="631" spans="1:15" ht="45" x14ac:dyDescent="0.25">
      <c r="A631" s="73">
        <v>214058</v>
      </c>
      <c r="B631" s="73">
        <v>31201</v>
      </c>
      <c r="C631" s="74" t="s">
        <v>1647</v>
      </c>
      <c r="D631" s="74" t="s">
        <v>13</v>
      </c>
      <c r="E631" s="74" t="s">
        <v>1648</v>
      </c>
      <c r="F631" s="74" t="s">
        <v>1648</v>
      </c>
      <c r="G631" s="74" t="s">
        <v>15</v>
      </c>
      <c r="H631" s="75">
        <v>1279</v>
      </c>
      <c r="I631" s="75">
        <v>1990</v>
      </c>
      <c r="J631" s="74" t="s">
        <v>1649</v>
      </c>
      <c r="K631" s="74" t="s">
        <v>16</v>
      </c>
      <c r="L631" s="74"/>
      <c r="M631" s="74" t="s">
        <v>13</v>
      </c>
      <c r="N631" s="71" t="str">
        <f t="shared" si="9"/>
        <v>1</v>
      </c>
      <c r="O631" s="71" t="str">
        <f>INDEX(Кат!$D:$D,MATCH($A631,Кат!$A:$A,0))</f>
        <v>Y</v>
      </c>
    </row>
    <row r="632" spans="1:15" ht="75" x14ac:dyDescent="0.25">
      <c r="A632" s="73">
        <v>214059</v>
      </c>
      <c r="B632" s="73">
        <v>32708</v>
      </c>
      <c r="C632" s="74" t="s">
        <v>1650</v>
      </c>
      <c r="D632" s="74" t="s">
        <v>13</v>
      </c>
      <c r="E632" s="74" t="s">
        <v>1651</v>
      </c>
      <c r="F632" s="74" t="s">
        <v>1651</v>
      </c>
      <c r="G632" s="74" t="s">
        <v>15</v>
      </c>
      <c r="H632" s="75">
        <v>1304</v>
      </c>
      <c r="I632" s="75">
        <v>1990</v>
      </c>
      <c r="J632" s="74" t="s">
        <v>1652</v>
      </c>
      <c r="K632" s="74" t="s">
        <v>16</v>
      </c>
      <c r="L632" s="74"/>
      <c r="M632" s="74" t="s">
        <v>13</v>
      </c>
      <c r="N632" s="71" t="str">
        <f t="shared" si="9"/>
        <v>1</v>
      </c>
      <c r="O632" s="71" t="str">
        <f>INDEX(Кат!$D:$D,MATCH($A632,Кат!$A:$A,0))</f>
        <v>Y</v>
      </c>
    </row>
    <row r="633" spans="1:15" ht="45" x14ac:dyDescent="0.25">
      <c r="A633" s="73">
        <v>214060</v>
      </c>
      <c r="B633" s="73">
        <v>48571</v>
      </c>
      <c r="C633" s="74" t="s">
        <v>1653</v>
      </c>
      <c r="D633" s="74" t="s">
        <v>13</v>
      </c>
      <c r="E633" s="74" t="s">
        <v>1654</v>
      </c>
      <c r="F633" s="74" t="s">
        <v>1655</v>
      </c>
      <c r="G633" s="74" t="s">
        <v>15</v>
      </c>
      <c r="H633" s="75">
        <v>976</v>
      </c>
      <c r="I633" s="75">
        <v>1590</v>
      </c>
      <c r="J633" s="74"/>
      <c r="K633" s="74" t="s">
        <v>16</v>
      </c>
      <c r="L633" s="74"/>
      <c r="M633" s="74" t="s">
        <v>13</v>
      </c>
      <c r="N633" s="71" t="str">
        <f t="shared" si="9"/>
        <v>1</v>
      </c>
      <c r="O633" s="71" t="str">
        <f>INDEX(Кат!$D:$D,MATCH($A633,Кат!$A:$A,0))</f>
        <v>Y</v>
      </c>
    </row>
    <row r="634" spans="1:15" ht="60" x14ac:dyDescent="0.25">
      <c r="A634" s="73">
        <v>214061</v>
      </c>
      <c r="B634" s="73">
        <v>50240</v>
      </c>
      <c r="C634" s="74" t="s">
        <v>1656</v>
      </c>
      <c r="D634" s="74" t="s">
        <v>13</v>
      </c>
      <c r="E634" s="74" t="s">
        <v>1657</v>
      </c>
      <c r="F634" s="74" t="s">
        <v>1658</v>
      </c>
      <c r="G634" s="74" t="s">
        <v>15</v>
      </c>
      <c r="H634" s="75">
        <v>1121</v>
      </c>
      <c r="I634" s="75">
        <v>1690</v>
      </c>
      <c r="J634" s="74"/>
      <c r="K634" s="74" t="s">
        <v>16</v>
      </c>
      <c r="L634" s="74"/>
      <c r="M634" s="74" t="s">
        <v>13</v>
      </c>
      <c r="N634" s="71" t="str">
        <f t="shared" si="9"/>
        <v>1</v>
      </c>
      <c r="O634" s="71" t="str">
        <f>INDEX(Кат!$D:$D,MATCH($A634,Кат!$A:$A,0))</f>
        <v>Y</v>
      </c>
    </row>
    <row r="635" spans="1:15" ht="45" x14ac:dyDescent="0.25">
      <c r="A635" s="73">
        <v>214062</v>
      </c>
      <c r="B635" s="73">
        <v>31239</v>
      </c>
      <c r="C635" s="74" t="s">
        <v>1659</v>
      </c>
      <c r="D635" s="74" t="s">
        <v>13</v>
      </c>
      <c r="E635" s="74" t="s">
        <v>1660</v>
      </c>
      <c r="F635" s="74" t="s">
        <v>1660</v>
      </c>
      <c r="G635" s="74" t="s">
        <v>15</v>
      </c>
      <c r="H635" s="75">
        <v>179</v>
      </c>
      <c r="I635" s="75">
        <v>329</v>
      </c>
      <c r="J635" s="74"/>
      <c r="K635" s="74" t="s">
        <v>16</v>
      </c>
      <c r="L635" s="74"/>
      <c r="M635" s="74" t="s">
        <v>13</v>
      </c>
      <c r="N635" s="71" t="str">
        <f t="shared" si="9"/>
        <v>1</v>
      </c>
      <c r="O635" s="71" t="str">
        <f>INDEX(Кат!$D:$D,MATCH($A635,Кат!$A:$A,0))</f>
        <v>Y</v>
      </c>
    </row>
    <row r="636" spans="1:15" ht="45" x14ac:dyDescent="0.25">
      <c r="A636" s="73">
        <v>214063</v>
      </c>
      <c r="B636" s="73">
        <v>31240</v>
      </c>
      <c r="C636" s="74" t="s">
        <v>1661</v>
      </c>
      <c r="D636" s="74" t="s">
        <v>13</v>
      </c>
      <c r="E636" s="74" t="s">
        <v>1662</v>
      </c>
      <c r="F636" s="74" t="s">
        <v>1662</v>
      </c>
      <c r="G636" s="74" t="s">
        <v>15</v>
      </c>
      <c r="H636" s="75">
        <v>91</v>
      </c>
      <c r="I636" s="75">
        <v>189</v>
      </c>
      <c r="J636" s="74"/>
      <c r="K636" s="74" t="s">
        <v>16</v>
      </c>
      <c r="L636" s="74"/>
      <c r="M636" s="74" t="s">
        <v>13</v>
      </c>
      <c r="N636" s="71" t="str">
        <f t="shared" si="9"/>
        <v>1</v>
      </c>
      <c r="O636" s="71" t="str">
        <f>INDEX(Кат!$D:$D,MATCH($A636,Кат!$A:$A,0))</f>
        <v>Y</v>
      </c>
    </row>
    <row r="637" spans="1:15" ht="45" x14ac:dyDescent="0.25">
      <c r="A637" s="73">
        <v>214064</v>
      </c>
      <c r="B637" s="73">
        <v>31241</v>
      </c>
      <c r="C637" s="74" t="s">
        <v>1663</v>
      </c>
      <c r="D637" s="74" t="s">
        <v>13</v>
      </c>
      <c r="E637" s="74" t="s">
        <v>1664</v>
      </c>
      <c r="F637" s="74" t="s">
        <v>1664</v>
      </c>
      <c r="G637" s="74" t="s">
        <v>15</v>
      </c>
      <c r="H637" s="75">
        <v>659</v>
      </c>
      <c r="I637" s="75">
        <v>1090</v>
      </c>
      <c r="J637" s="74"/>
      <c r="K637" s="74" t="s">
        <v>16</v>
      </c>
      <c r="L637" s="74"/>
      <c r="M637" s="74" t="s">
        <v>13</v>
      </c>
      <c r="N637" s="71" t="str">
        <f t="shared" si="9"/>
        <v>1</v>
      </c>
      <c r="O637" s="71" t="str">
        <f>INDEX(Кат!$D:$D,MATCH($A637,Кат!$A:$A,0))</f>
        <v>Y</v>
      </c>
    </row>
    <row r="638" spans="1:15" ht="75" x14ac:dyDescent="0.25">
      <c r="A638" s="73">
        <v>214065</v>
      </c>
      <c r="B638" s="73">
        <v>31248</v>
      </c>
      <c r="C638" s="74" t="s">
        <v>1665</v>
      </c>
      <c r="D638" s="74" t="s">
        <v>13</v>
      </c>
      <c r="E638" s="74" t="s">
        <v>1666</v>
      </c>
      <c r="F638" s="74" t="s">
        <v>1666</v>
      </c>
      <c r="G638" s="74" t="s">
        <v>15</v>
      </c>
      <c r="H638" s="75">
        <v>1826</v>
      </c>
      <c r="I638" s="75">
        <v>2790</v>
      </c>
      <c r="J638" s="74" t="s">
        <v>1667</v>
      </c>
      <c r="K638" s="74" t="s">
        <v>16</v>
      </c>
      <c r="L638" s="74"/>
      <c r="M638" s="74" t="s">
        <v>13</v>
      </c>
      <c r="N638" s="71" t="str">
        <f t="shared" si="9"/>
        <v>1</v>
      </c>
      <c r="O638" s="71" t="str">
        <f>INDEX(Кат!$D:$D,MATCH($A638,Кат!$A:$A,0))</f>
        <v>Y</v>
      </c>
    </row>
    <row r="639" spans="1:15" ht="60" x14ac:dyDescent="0.25">
      <c r="A639" s="73">
        <v>214066</v>
      </c>
      <c r="B639" s="73">
        <v>32675</v>
      </c>
      <c r="C639" s="74" t="s">
        <v>1668</v>
      </c>
      <c r="D639" s="74" t="s">
        <v>13</v>
      </c>
      <c r="E639" s="74" t="s">
        <v>1669</v>
      </c>
      <c r="F639" s="74" t="s">
        <v>1669</v>
      </c>
      <c r="G639" s="74" t="s">
        <v>15</v>
      </c>
      <c r="H639" s="75">
        <v>1729</v>
      </c>
      <c r="I639" s="75">
        <v>2590</v>
      </c>
      <c r="J639" s="74" t="s">
        <v>1670</v>
      </c>
      <c r="K639" s="74" t="s">
        <v>16</v>
      </c>
      <c r="L639" s="74"/>
      <c r="M639" s="74" t="s">
        <v>13</v>
      </c>
      <c r="N639" s="71" t="str">
        <f t="shared" si="9"/>
        <v>1</v>
      </c>
      <c r="O639" s="71" t="str">
        <f>INDEX(Кат!$D:$D,MATCH($A639,Кат!$A:$A,0))</f>
        <v>Y</v>
      </c>
    </row>
    <row r="640" spans="1:15" ht="75" x14ac:dyDescent="0.25">
      <c r="A640" s="73">
        <v>214067</v>
      </c>
      <c r="B640" s="73">
        <v>50834</v>
      </c>
      <c r="C640" s="74" t="s">
        <v>1671</v>
      </c>
      <c r="D640" s="74" t="s">
        <v>13</v>
      </c>
      <c r="E640" s="74" t="s">
        <v>1672</v>
      </c>
      <c r="F640" s="74" t="s">
        <v>1673</v>
      </c>
      <c r="G640" s="74" t="s">
        <v>15</v>
      </c>
      <c r="H640" s="75">
        <v>530</v>
      </c>
      <c r="I640" s="75">
        <v>829</v>
      </c>
      <c r="J640" s="74" t="s">
        <v>1674</v>
      </c>
      <c r="K640" s="74" t="s">
        <v>16</v>
      </c>
      <c r="L640" s="74"/>
      <c r="M640" s="74" t="s">
        <v>13</v>
      </c>
      <c r="N640" s="71" t="str">
        <f t="shared" si="9"/>
        <v>1</v>
      </c>
      <c r="O640" s="71" t="str">
        <f>INDEX(Кат!$D:$D,MATCH($A640,Кат!$A:$A,0))</f>
        <v>Y</v>
      </c>
    </row>
    <row r="641" spans="1:15" ht="75" x14ac:dyDescent="0.25">
      <c r="A641" s="73">
        <v>214068</v>
      </c>
      <c r="B641" s="73">
        <v>32723</v>
      </c>
      <c r="C641" s="74" t="s">
        <v>1675</v>
      </c>
      <c r="D641" s="74" t="s">
        <v>13</v>
      </c>
      <c r="E641" s="74" t="s">
        <v>1676</v>
      </c>
      <c r="F641" s="74" t="s">
        <v>1676</v>
      </c>
      <c r="G641" s="74" t="s">
        <v>15</v>
      </c>
      <c r="H641" s="75">
        <v>485</v>
      </c>
      <c r="I641" s="75">
        <v>779</v>
      </c>
      <c r="J641" s="74" t="s">
        <v>1677</v>
      </c>
      <c r="K641" s="74" t="s">
        <v>16</v>
      </c>
      <c r="L641" s="74"/>
      <c r="M641" s="74" t="s">
        <v>13</v>
      </c>
      <c r="N641" s="71" t="str">
        <f t="shared" si="9"/>
        <v>1</v>
      </c>
      <c r="O641" s="71" t="str">
        <f>INDEX(Кат!$D:$D,MATCH($A641,Кат!$A:$A,0))</f>
        <v>Y</v>
      </c>
    </row>
    <row r="642" spans="1:15" ht="75" x14ac:dyDescent="0.25">
      <c r="A642" s="73">
        <v>214069</v>
      </c>
      <c r="B642" s="73">
        <v>31475</v>
      </c>
      <c r="C642" s="74" t="s">
        <v>1678</v>
      </c>
      <c r="D642" s="74" t="s">
        <v>13</v>
      </c>
      <c r="E642" s="74" t="s">
        <v>1679</v>
      </c>
      <c r="F642" s="74" t="s">
        <v>1679</v>
      </c>
      <c r="G642" s="74" t="s">
        <v>15</v>
      </c>
      <c r="H642" s="75">
        <v>233</v>
      </c>
      <c r="I642" s="75">
        <v>429</v>
      </c>
      <c r="J642" s="74" t="s">
        <v>1680</v>
      </c>
      <c r="K642" s="74" t="s">
        <v>16</v>
      </c>
      <c r="L642" s="74"/>
      <c r="M642" s="74" t="s">
        <v>13</v>
      </c>
      <c r="N642" s="71" t="str">
        <f t="shared" si="9"/>
        <v>1</v>
      </c>
      <c r="O642" s="71" t="str">
        <f>INDEX(Кат!$D:$D,MATCH($A642,Кат!$A:$A,0))</f>
        <v>Y</v>
      </c>
    </row>
    <row r="643" spans="1:15" ht="60" x14ac:dyDescent="0.25">
      <c r="A643" s="73">
        <v>214070</v>
      </c>
      <c r="B643" s="73">
        <v>31167</v>
      </c>
      <c r="C643" s="74" t="s">
        <v>1681</v>
      </c>
      <c r="D643" s="74" t="s">
        <v>13</v>
      </c>
      <c r="E643" s="74" t="s">
        <v>1682</v>
      </c>
      <c r="F643" s="74" t="s">
        <v>1682</v>
      </c>
      <c r="G643" s="74" t="s">
        <v>15</v>
      </c>
      <c r="H643" s="75">
        <v>779</v>
      </c>
      <c r="I643" s="75">
        <v>1290</v>
      </c>
      <c r="J643" s="74"/>
      <c r="K643" s="74" t="s">
        <v>16</v>
      </c>
      <c r="L643" s="74"/>
      <c r="M643" s="74" t="s">
        <v>13</v>
      </c>
      <c r="N643" s="71" t="str">
        <f t="shared" ref="N643:N706" si="10">_xlfn.CONCAT(K643,IF(L643&lt;&gt;"",_xlfn.CONCAT("ск",L643),""))</f>
        <v>1</v>
      </c>
      <c r="O643" s="71" t="str">
        <f>INDEX(Кат!$D:$D,MATCH($A643,Кат!$A:$A,0))</f>
        <v>Y</v>
      </c>
    </row>
    <row r="644" spans="1:15" ht="60" x14ac:dyDescent="0.25">
      <c r="A644" s="73">
        <v>214071</v>
      </c>
      <c r="B644" s="73">
        <v>31168</v>
      </c>
      <c r="C644" s="74" t="s">
        <v>1683</v>
      </c>
      <c r="D644" s="74" t="s">
        <v>13</v>
      </c>
      <c r="E644" s="74" t="s">
        <v>1684</v>
      </c>
      <c r="F644" s="74" t="s">
        <v>1684</v>
      </c>
      <c r="G644" s="74" t="s">
        <v>15</v>
      </c>
      <c r="H644" s="75">
        <v>474</v>
      </c>
      <c r="I644" s="75">
        <v>759</v>
      </c>
      <c r="J644" s="74"/>
      <c r="K644" s="74" t="s">
        <v>16</v>
      </c>
      <c r="L644" s="74"/>
      <c r="M644" s="74" t="s">
        <v>13</v>
      </c>
      <c r="N644" s="71" t="str">
        <f t="shared" si="10"/>
        <v>1</v>
      </c>
      <c r="O644" s="71" t="str">
        <f>INDEX(Кат!$D:$D,MATCH($A644,Кат!$A:$A,0))</f>
        <v>Y</v>
      </c>
    </row>
    <row r="645" spans="1:15" ht="60" x14ac:dyDescent="0.25">
      <c r="A645" s="73">
        <v>214072</v>
      </c>
      <c r="B645" s="73">
        <v>32551</v>
      </c>
      <c r="C645" s="74" t="s">
        <v>1685</v>
      </c>
      <c r="D645" s="74" t="s">
        <v>13</v>
      </c>
      <c r="E645" s="74" t="s">
        <v>1686</v>
      </c>
      <c r="F645" s="74" t="s">
        <v>1686</v>
      </c>
      <c r="G645" s="74" t="s">
        <v>15</v>
      </c>
      <c r="H645" s="75">
        <v>1139</v>
      </c>
      <c r="I645" s="75">
        <v>1790</v>
      </c>
      <c r="J645" s="74"/>
      <c r="K645" s="74" t="s">
        <v>16</v>
      </c>
      <c r="L645" s="74"/>
      <c r="M645" s="74" t="s">
        <v>13</v>
      </c>
      <c r="N645" s="71" t="str">
        <f t="shared" si="10"/>
        <v>1</v>
      </c>
      <c r="O645" s="71" t="str">
        <f>INDEX(Кат!$D:$D,MATCH($A645,Кат!$A:$A,0))</f>
        <v>Y</v>
      </c>
    </row>
    <row r="646" spans="1:15" ht="45" x14ac:dyDescent="0.25">
      <c r="A646" s="73">
        <v>214073</v>
      </c>
      <c r="B646" s="73">
        <v>32680</v>
      </c>
      <c r="C646" s="74" t="s">
        <v>1687</v>
      </c>
      <c r="D646" s="74" t="s">
        <v>13</v>
      </c>
      <c r="E646" s="74" t="s">
        <v>1688</v>
      </c>
      <c r="F646" s="74" t="s">
        <v>1688</v>
      </c>
      <c r="G646" s="74" t="s">
        <v>15</v>
      </c>
      <c r="H646" s="75">
        <v>992</v>
      </c>
      <c r="I646" s="75">
        <v>1590</v>
      </c>
      <c r="J646" s="74"/>
      <c r="K646" s="74" t="s">
        <v>37</v>
      </c>
      <c r="L646" s="74"/>
      <c r="M646" s="74" t="s">
        <v>13</v>
      </c>
      <c r="N646" s="71" t="str">
        <f t="shared" si="10"/>
        <v>0</v>
      </c>
      <c r="O646" s="71" t="str">
        <f>INDEX(Кат!$D:$D,MATCH($A646,Кат!$A:$A,0))</f>
        <v>Y</v>
      </c>
    </row>
    <row r="647" spans="1:15" ht="45" x14ac:dyDescent="0.25">
      <c r="A647" s="73">
        <v>214074</v>
      </c>
      <c r="B647" s="73">
        <v>32679</v>
      </c>
      <c r="C647" s="74" t="s">
        <v>1689</v>
      </c>
      <c r="D647" s="74" t="s">
        <v>13</v>
      </c>
      <c r="E647" s="74" t="s">
        <v>1690</v>
      </c>
      <c r="F647" s="74" t="s">
        <v>1690</v>
      </c>
      <c r="G647" s="74" t="s">
        <v>15</v>
      </c>
      <c r="H647" s="75">
        <v>1002</v>
      </c>
      <c r="I647" s="75">
        <v>1590</v>
      </c>
      <c r="J647" s="74"/>
      <c r="K647" s="74" t="s">
        <v>16</v>
      </c>
      <c r="L647" s="74"/>
      <c r="M647" s="74" t="s">
        <v>13</v>
      </c>
      <c r="N647" s="71" t="str">
        <f t="shared" si="10"/>
        <v>1</v>
      </c>
      <c r="O647" s="71" t="str">
        <f>INDEX(Кат!$D:$D,MATCH($A647,Кат!$A:$A,0))</f>
        <v>Y</v>
      </c>
    </row>
    <row r="648" spans="1:15" ht="75" x14ac:dyDescent="0.25">
      <c r="A648" s="73">
        <v>214075</v>
      </c>
      <c r="B648" s="73">
        <v>31397</v>
      </c>
      <c r="C648" s="74" t="s">
        <v>1691</v>
      </c>
      <c r="D648" s="74" t="s">
        <v>13</v>
      </c>
      <c r="E648" s="74" t="s">
        <v>1692</v>
      </c>
      <c r="F648" s="74" t="s">
        <v>1692</v>
      </c>
      <c r="G648" s="74" t="s">
        <v>15</v>
      </c>
      <c r="H648" s="75">
        <v>1052</v>
      </c>
      <c r="I648" s="75">
        <v>1590</v>
      </c>
      <c r="J648" s="74" t="s">
        <v>1693</v>
      </c>
      <c r="K648" s="74" t="s">
        <v>16</v>
      </c>
      <c r="L648" s="74" t="s">
        <v>16</v>
      </c>
      <c r="M648" s="74" t="s">
        <v>13</v>
      </c>
      <c r="N648" s="71" t="str">
        <f t="shared" si="10"/>
        <v>1ск1</v>
      </c>
      <c r="O648" s="71" t="str">
        <f>INDEX(Кат!$D:$D,MATCH($A648,Кат!$A:$A,0))</f>
        <v>Y</v>
      </c>
    </row>
    <row r="649" spans="1:15" ht="75" x14ac:dyDescent="0.25">
      <c r="A649" s="73">
        <v>214076</v>
      </c>
      <c r="B649" s="73">
        <v>31291</v>
      </c>
      <c r="C649" s="74" t="s">
        <v>1694</v>
      </c>
      <c r="D649" s="74" t="s">
        <v>13</v>
      </c>
      <c r="E649" s="74" t="s">
        <v>1695</v>
      </c>
      <c r="F649" s="74" t="s">
        <v>1695</v>
      </c>
      <c r="G649" s="74" t="s">
        <v>15</v>
      </c>
      <c r="H649" s="75">
        <v>1868</v>
      </c>
      <c r="I649" s="75">
        <v>2890</v>
      </c>
      <c r="J649" s="74" t="s">
        <v>1696</v>
      </c>
      <c r="K649" s="74" t="s">
        <v>16</v>
      </c>
      <c r="L649" s="74"/>
      <c r="M649" s="74" t="s">
        <v>13</v>
      </c>
      <c r="N649" s="71" t="str">
        <f t="shared" si="10"/>
        <v>1</v>
      </c>
      <c r="O649" s="71" t="str">
        <f>INDEX(Кат!$D:$D,MATCH($A649,Кат!$A:$A,0))</f>
        <v>Y</v>
      </c>
    </row>
    <row r="650" spans="1:15" ht="30" x14ac:dyDescent="0.25">
      <c r="A650" s="73">
        <v>214077</v>
      </c>
      <c r="B650" s="73">
        <v>50407</v>
      </c>
      <c r="C650" s="74" t="s">
        <v>1697</v>
      </c>
      <c r="D650" s="74" t="s">
        <v>13</v>
      </c>
      <c r="E650" s="74" t="s">
        <v>1698</v>
      </c>
      <c r="F650" s="74" t="s">
        <v>1699</v>
      </c>
      <c r="G650" s="74" t="s">
        <v>15</v>
      </c>
      <c r="H650" s="75">
        <v>182</v>
      </c>
      <c r="I650" s="75">
        <v>329</v>
      </c>
      <c r="J650" s="74"/>
      <c r="K650" s="74" t="s">
        <v>16</v>
      </c>
      <c r="L650" s="74" t="s">
        <v>16</v>
      </c>
      <c r="M650" s="74"/>
      <c r="N650" s="71" t="str">
        <f t="shared" si="10"/>
        <v>1ск1</v>
      </c>
      <c r="O650" s="71" t="str">
        <f>INDEX(Кат!$D:$D,MATCH($A650,Кат!$A:$A,0))</f>
        <v>Y</v>
      </c>
    </row>
    <row r="651" spans="1:15" ht="45" x14ac:dyDescent="0.25">
      <c r="A651" s="73">
        <v>214078</v>
      </c>
      <c r="B651" s="73">
        <v>32644</v>
      </c>
      <c r="C651" s="74" t="s">
        <v>1700</v>
      </c>
      <c r="D651" s="74" t="s">
        <v>13</v>
      </c>
      <c r="E651" s="74" t="s">
        <v>1701</v>
      </c>
      <c r="F651" s="74" t="s">
        <v>1701</v>
      </c>
      <c r="G651" s="74" t="s">
        <v>15</v>
      </c>
      <c r="H651" s="75">
        <v>431</v>
      </c>
      <c r="I651" s="75">
        <v>689</v>
      </c>
      <c r="J651" s="74"/>
      <c r="K651" s="74" t="s">
        <v>16</v>
      </c>
      <c r="L651" s="74"/>
      <c r="M651" s="74" t="s">
        <v>13</v>
      </c>
      <c r="N651" s="71" t="str">
        <f t="shared" si="10"/>
        <v>1</v>
      </c>
      <c r="O651" s="71" t="str">
        <f>INDEX(Кат!$D:$D,MATCH($A651,Кат!$A:$A,0))</f>
        <v>Y</v>
      </c>
    </row>
    <row r="652" spans="1:15" ht="45" x14ac:dyDescent="0.25">
      <c r="A652" s="73">
        <v>214080</v>
      </c>
      <c r="B652" s="73">
        <v>32641</v>
      </c>
      <c r="C652" s="74" t="s">
        <v>1702</v>
      </c>
      <c r="D652" s="74" t="s">
        <v>13</v>
      </c>
      <c r="E652" s="74" t="s">
        <v>1703</v>
      </c>
      <c r="F652" s="74" t="s">
        <v>1703</v>
      </c>
      <c r="G652" s="74" t="s">
        <v>15</v>
      </c>
      <c r="H652" s="75">
        <v>387</v>
      </c>
      <c r="I652" s="75">
        <v>619</v>
      </c>
      <c r="J652" s="74"/>
      <c r="K652" s="74" t="s">
        <v>16</v>
      </c>
      <c r="L652" s="74"/>
      <c r="M652" s="74" t="s">
        <v>13</v>
      </c>
      <c r="N652" s="71" t="str">
        <f t="shared" si="10"/>
        <v>1</v>
      </c>
      <c r="O652" s="71" t="str">
        <f>INDEX(Кат!$D:$D,MATCH($A652,Кат!$A:$A,0))</f>
        <v>Y</v>
      </c>
    </row>
    <row r="653" spans="1:15" ht="45" x14ac:dyDescent="0.25">
      <c r="A653" s="73">
        <v>214081</v>
      </c>
      <c r="B653" s="73">
        <v>32655</v>
      </c>
      <c r="C653" s="74" t="s">
        <v>1704</v>
      </c>
      <c r="D653" s="74" t="s">
        <v>13</v>
      </c>
      <c r="E653" s="74" t="s">
        <v>1705</v>
      </c>
      <c r="F653" s="74" t="s">
        <v>1705</v>
      </c>
      <c r="G653" s="74" t="s">
        <v>15</v>
      </c>
      <c r="H653" s="75">
        <v>841</v>
      </c>
      <c r="I653" s="75">
        <v>1390</v>
      </c>
      <c r="J653" s="74"/>
      <c r="K653" s="74" t="s">
        <v>16</v>
      </c>
      <c r="L653" s="74"/>
      <c r="M653" s="74" t="s">
        <v>13</v>
      </c>
      <c r="N653" s="71" t="str">
        <f t="shared" si="10"/>
        <v>1</v>
      </c>
      <c r="O653" s="71" t="str">
        <f>INDEX(Кат!$D:$D,MATCH($A653,Кат!$A:$A,0))</f>
        <v>Y</v>
      </c>
    </row>
    <row r="654" spans="1:15" ht="45" x14ac:dyDescent="0.25">
      <c r="A654" s="73">
        <v>214082</v>
      </c>
      <c r="B654" s="73">
        <v>32654</v>
      </c>
      <c r="C654" s="74" t="s">
        <v>1706</v>
      </c>
      <c r="D654" s="74" t="s">
        <v>13</v>
      </c>
      <c r="E654" s="74" t="s">
        <v>1707</v>
      </c>
      <c r="F654" s="74" t="s">
        <v>1707</v>
      </c>
      <c r="G654" s="74" t="s">
        <v>15</v>
      </c>
      <c r="H654" s="75">
        <v>1089.33</v>
      </c>
      <c r="I654" s="75">
        <v>1690</v>
      </c>
      <c r="J654" s="74"/>
      <c r="K654" s="74" t="s">
        <v>16</v>
      </c>
      <c r="L654" s="74"/>
      <c r="M654" s="74" t="s">
        <v>13</v>
      </c>
      <c r="N654" s="71" t="str">
        <f t="shared" si="10"/>
        <v>1</v>
      </c>
      <c r="O654" s="71" t="str">
        <f>INDEX(Кат!$D:$D,MATCH($A654,Кат!$A:$A,0))</f>
        <v>Y</v>
      </c>
    </row>
    <row r="655" spans="1:15" ht="45" x14ac:dyDescent="0.25">
      <c r="A655" s="73">
        <v>214083</v>
      </c>
      <c r="B655" s="73">
        <v>18739</v>
      </c>
      <c r="C655" s="74" t="s">
        <v>1708</v>
      </c>
      <c r="D655" s="74" t="s">
        <v>13</v>
      </c>
      <c r="E655" s="74" t="s">
        <v>1709</v>
      </c>
      <c r="F655" s="74" t="s">
        <v>1709</v>
      </c>
      <c r="G655" s="74" t="s">
        <v>15</v>
      </c>
      <c r="H655" s="75">
        <v>352</v>
      </c>
      <c r="I655" s="75">
        <v>569</v>
      </c>
      <c r="J655" s="74"/>
      <c r="K655" s="74" t="s">
        <v>16</v>
      </c>
      <c r="L655" s="74"/>
      <c r="M655" s="74" t="s">
        <v>13</v>
      </c>
      <c r="N655" s="71" t="str">
        <f t="shared" si="10"/>
        <v>1</v>
      </c>
      <c r="O655" s="71" t="str">
        <f>INDEX(Кат!$D:$D,MATCH($A655,Кат!$A:$A,0))</f>
        <v>Y</v>
      </c>
    </row>
    <row r="656" spans="1:15" ht="60" x14ac:dyDescent="0.25">
      <c r="A656" s="73">
        <v>214084</v>
      </c>
      <c r="B656" s="73">
        <v>23555</v>
      </c>
      <c r="C656" s="74" t="s">
        <v>1713</v>
      </c>
      <c r="D656" s="74" t="s">
        <v>13</v>
      </c>
      <c r="E656" s="74" t="s">
        <v>1710</v>
      </c>
      <c r="F656" s="74" t="s">
        <v>1711</v>
      </c>
      <c r="G656" s="74" t="s">
        <v>15</v>
      </c>
      <c r="H656" s="75">
        <v>140</v>
      </c>
      <c r="I656" s="75">
        <v>259</v>
      </c>
      <c r="J656" s="74"/>
      <c r="K656" s="74" t="s">
        <v>16</v>
      </c>
      <c r="L656" s="74"/>
      <c r="M656" s="74" t="s">
        <v>13</v>
      </c>
      <c r="N656" s="71" t="str">
        <f t="shared" si="10"/>
        <v>1</v>
      </c>
      <c r="O656" s="71" t="str">
        <f>INDEX(Кат!$D:$D,MATCH($A656,Кат!$A:$A,0))</f>
        <v>Y</v>
      </c>
    </row>
    <row r="657" spans="1:15" ht="60" x14ac:dyDescent="0.25">
      <c r="A657" s="73">
        <v>214087</v>
      </c>
      <c r="B657" s="73">
        <v>23542</v>
      </c>
      <c r="C657" s="74" t="s">
        <v>1715</v>
      </c>
      <c r="D657" s="74" t="s">
        <v>13</v>
      </c>
      <c r="E657" s="74" t="s">
        <v>1712</v>
      </c>
      <c r="F657" s="74" t="s">
        <v>1711</v>
      </c>
      <c r="G657" s="74" t="s">
        <v>15</v>
      </c>
      <c r="H657" s="75">
        <v>70</v>
      </c>
      <c r="I657" s="75">
        <v>139</v>
      </c>
      <c r="J657" s="74"/>
      <c r="K657" s="74" t="s">
        <v>16</v>
      </c>
      <c r="L657" s="74" t="s">
        <v>16</v>
      </c>
      <c r="M657" s="74"/>
      <c r="N657" s="71" t="str">
        <f t="shared" si="10"/>
        <v>1ск1</v>
      </c>
      <c r="O657" s="71" t="str">
        <f>INDEX(Кат!$D:$D,MATCH($A657,Кат!$A:$A,0))</f>
        <v>Y</v>
      </c>
    </row>
    <row r="658" spans="1:15" ht="90" x14ac:dyDescent="0.25">
      <c r="A658" s="73">
        <v>214089</v>
      </c>
      <c r="B658" s="73">
        <v>31480</v>
      </c>
      <c r="C658" s="74" t="s">
        <v>1716</v>
      </c>
      <c r="D658" s="74" t="s">
        <v>13</v>
      </c>
      <c r="E658" s="74" t="s">
        <v>1717</v>
      </c>
      <c r="F658" s="74" t="s">
        <v>1717</v>
      </c>
      <c r="G658" s="74" t="s">
        <v>15</v>
      </c>
      <c r="H658" s="75">
        <v>1734</v>
      </c>
      <c r="I658" s="75">
        <v>2690</v>
      </c>
      <c r="J658" s="74" t="s">
        <v>1718</v>
      </c>
      <c r="K658" s="74" t="s">
        <v>16</v>
      </c>
      <c r="L658" s="74"/>
      <c r="M658" s="74" t="s">
        <v>13</v>
      </c>
      <c r="N658" s="71" t="str">
        <f t="shared" si="10"/>
        <v>1</v>
      </c>
      <c r="O658" s="71" t="str">
        <f>INDEX(Кат!$D:$D,MATCH($A658,Кат!$A:$A,0))</f>
        <v>Y</v>
      </c>
    </row>
    <row r="659" spans="1:15" ht="60" x14ac:dyDescent="0.25">
      <c r="A659" s="73">
        <v>214090</v>
      </c>
      <c r="B659" s="73">
        <v>32651</v>
      </c>
      <c r="C659" s="74" t="s">
        <v>1719</v>
      </c>
      <c r="D659" s="74" t="s">
        <v>13</v>
      </c>
      <c r="E659" s="74" t="s">
        <v>1720</v>
      </c>
      <c r="F659" s="74" t="s">
        <v>1720</v>
      </c>
      <c r="G659" s="74" t="s">
        <v>15</v>
      </c>
      <c r="H659" s="75">
        <v>2181</v>
      </c>
      <c r="I659" s="75">
        <v>3090</v>
      </c>
      <c r="J659" s="74" t="s">
        <v>1721</v>
      </c>
      <c r="K659" s="74" t="s">
        <v>16</v>
      </c>
      <c r="L659" s="74"/>
      <c r="M659" s="74" t="s">
        <v>13</v>
      </c>
      <c r="N659" s="71" t="str">
        <f t="shared" si="10"/>
        <v>1</v>
      </c>
      <c r="O659" s="71" t="str">
        <f>INDEX(Кат!$D:$D,MATCH($A659,Кат!$A:$A,0))</f>
        <v>Y</v>
      </c>
    </row>
    <row r="660" spans="1:15" ht="90" x14ac:dyDescent="0.25">
      <c r="A660" s="73">
        <v>214091</v>
      </c>
      <c r="B660" s="73">
        <v>31481</v>
      </c>
      <c r="C660" s="74" t="s">
        <v>1722</v>
      </c>
      <c r="D660" s="74" t="s">
        <v>13</v>
      </c>
      <c r="E660" s="74" t="s">
        <v>1723</v>
      </c>
      <c r="F660" s="74" t="s">
        <v>1723</v>
      </c>
      <c r="G660" s="74" t="s">
        <v>15</v>
      </c>
      <c r="H660" s="75">
        <v>1433</v>
      </c>
      <c r="I660" s="75">
        <v>2190</v>
      </c>
      <c r="J660" s="74" t="s">
        <v>1724</v>
      </c>
      <c r="K660" s="74" t="s">
        <v>16</v>
      </c>
      <c r="L660" s="74"/>
      <c r="M660" s="74" t="s">
        <v>13</v>
      </c>
      <c r="N660" s="71" t="str">
        <f t="shared" si="10"/>
        <v>1</v>
      </c>
      <c r="O660" s="71" t="str">
        <f>INDEX(Кат!$D:$D,MATCH($A660,Кат!$A:$A,0))</f>
        <v>Y</v>
      </c>
    </row>
    <row r="661" spans="1:15" ht="45" x14ac:dyDescent="0.25">
      <c r="A661" s="73">
        <v>214092</v>
      </c>
      <c r="B661" s="73">
        <v>31156</v>
      </c>
      <c r="C661" s="74" t="s">
        <v>1725</v>
      </c>
      <c r="D661" s="74" t="s">
        <v>13</v>
      </c>
      <c r="E661" s="74" t="s">
        <v>4281</v>
      </c>
      <c r="F661" s="74" t="s">
        <v>4282</v>
      </c>
      <c r="G661" s="74" t="s">
        <v>15</v>
      </c>
      <c r="H661" s="75">
        <v>1739</v>
      </c>
      <c r="I661" s="75">
        <v>2690</v>
      </c>
      <c r="J661" s="74"/>
      <c r="K661" s="74" t="s">
        <v>16</v>
      </c>
      <c r="L661" s="74"/>
      <c r="M661" s="74" t="s">
        <v>13</v>
      </c>
      <c r="N661" s="71" t="str">
        <f t="shared" si="10"/>
        <v>1</v>
      </c>
      <c r="O661" s="71" t="str">
        <f>INDEX(Кат!$D:$D,MATCH($A661,Кат!$A:$A,0))</f>
        <v>Y</v>
      </c>
    </row>
    <row r="662" spans="1:15" ht="45" x14ac:dyDescent="0.25">
      <c r="A662" s="73">
        <v>214093</v>
      </c>
      <c r="B662" s="73">
        <v>31155</v>
      </c>
      <c r="C662" s="74" t="s">
        <v>1726</v>
      </c>
      <c r="D662" s="74" t="s">
        <v>13</v>
      </c>
      <c r="E662" s="74" t="s">
        <v>4283</v>
      </c>
      <c r="F662" s="74" t="s">
        <v>4284</v>
      </c>
      <c r="G662" s="74" t="s">
        <v>15</v>
      </c>
      <c r="H662" s="75">
        <v>1739</v>
      </c>
      <c r="I662" s="75">
        <v>2690</v>
      </c>
      <c r="J662" s="74"/>
      <c r="K662" s="74" t="s">
        <v>16</v>
      </c>
      <c r="L662" s="74"/>
      <c r="M662" s="74" t="s">
        <v>13</v>
      </c>
      <c r="N662" s="71" t="str">
        <f t="shared" si="10"/>
        <v>1</v>
      </c>
      <c r="O662" s="71" t="str">
        <f>INDEX(Кат!$D:$D,MATCH($A662,Кат!$A:$A,0))</f>
        <v>Y</v>
      </c>
    </row>
    <row r="663" spans="1:15" ht="45" x14ac:dyDescent="0.25">
      <c r="A663" s="73">
        <v>214094</v>
      </c>
      <c r="B663" s="73">
        <v>18744</v>
      </c>
      <c r="C663" s="74" t="s">
        <v>1727</v>
      </c>
      <c r="D663" s="74" t="s">
        <v>13</v>
      </c>
      <c r="E663" s="74" t="s">
        <v>1728</v>
      </c>
      <c r="F663" s="74" t="s">
        <v>1728</v>
      </c>
      <c r="G663" s="74" t="s">
        <v>15</v>
      </c>
      <c r="H663" s="75">
        <v>360</v>
      </c>
      <c r="I663" s="75">
        <v>579</v>
      </c>
      <c r="J663" s="74"/>
      <c r="K663" s="74" t="s">
        <v>16</v>
      </c>
      <c r="L663" s="74"/>
      <c r="M663" s="74" t="s">
        <v>13</v>
      </c>
      <c r="N663" s="71" t="str">
        <f t="shared" si="10"/>
        <v>1</v>
      </c>
      <c r="O663" s="71" t="str">
        <f>INDEX(Кат!$D:$D,MATCH($A663,Кат!$A:$A,0))</f>
        <v>Y</v>
      </c>
    </row>
    <row r="664" spans="1:15" ht="30" x14ac:dyDescent="0.25">
      <c r="A664" s="73">
        <v>214095</v>
      </c>
      <c r="B664" s="73">
        <v>37237</v>
      </c>
      <c r="C664" s="74" t="s">
        <v>1729</v>
      </c>
      <c r="D664" s="74" t="s">
        <v>13</v>
      </c>
      <c r="E664" s="74" t="s">
        <v>1698</v>
      </c>
      <c r="F664" s="74"/>
      <c r="G664" s="74" t="s">
        <v>15</v>
      </c>
      <c r="H664" s="75">
        <v>300</v>
      </c>
      <c r="I664" s="75">
        <v>479</v>
      </c>
      <c r="J664" s="74"/>
      <c r="K664" s="74" t="s">
        <v>16</v>
      </c>
      <c r="L664" s="74"/>
      <c r="M664" s="74" t="s">
        <v>13</v>
      </c>
      <c r="N664" s="71" t="str">
        <f t="shared" si="10"/>
        <v>1</v>
      </c>
      <c r="O664" s="71" t="str">
        <f>INDEX(Кат!$D:$D,MATCH($A664,Кат!$A:$A,0))</f>
        <v>Y</v>
      </c>
    </row>
    <row r="665" spans="1:15" ht="60" x14ac:dyDescent="0.25">
      <c r="A665" s="73">
        <v>214096</v>
      </c>
      <c r="B665" s="73">
        <v>31113</v>
      </c>
      <c r="C665" s="74" t="s">
        <v>1730</v>
      </c>
      <c r="D665" s="74" t="s">
        <v>13</v>
      </c>
      <c r="E665" s="74" t="s">
        <v>1731</v>
      </c>
      <c r="F665" s="74" t="s">
        <v>1731</v>
      </c>
      <c r="G665" s="74" t="s">
        <v>15</v>
      </c>
      <c r="H665" s="75">
        <v>687</v>
      </c>
      <c r="I665" s="75">
        <v>1090</v>
      </c>
      <c r="J665" s="74"/>
      <c r="K665" s="74" t="s">
        <v>16</v>
      </c>
      <c r="L665" s="74"/>
      <c r="M665" s="74" t="s">
        <v>13</v>
      </c>
      <c r="N665" s="71" t="str">
        <f t="shared" si="10"/>
        <v>1</v>
      </c>
      <c r="O665" s="71" t="str">
        <f>INDEX(Кат!$D:$D,MATCH($A665,Кат!$A:$A,0))</f>
        <v>Y</v>
      </c>
    </row>
    <row r="666" spans="1:15" ht="60" x14ac:dyDescent="0.25">
      <c r="A666" s="73">
        <v>214100</v>
      </c>
      <c r="B666" s="73">
        <v>32690</v>
      </c>
      <c r="C666" s="74" t="s">
        <v>1732</v>
      </c>
      <c r="D666" s="74" t="s">
        <v>13</v>
      </c>
      <c r="E666" s="74" t="s">
        <v>1733</v>
      </c>
      <c r="F666" s="74" t="s">
        <v>1733</v>
      </c>
      <c r="G666" s="74" t="s">
        <v>15</v>
      </c>
      <c r="H666" s="75">
        <v>83</v>
      </c>
      <c r="I666" s="75">
        <v>169</v>
      </c>
      <c r="J666" s="74" t="s">
        <v>1734</v>
      </c>
      <c r="K666" s="74" t="s">
        <v>16</v>
      </c>
      <c r="L666" s="74"/>
      <c r="M666" s="74" t="s">
        <v>13</v>
      </c>
      <c r="N666" s="71" t="str">
        <f t="shared" si="10"/>
        <v>1</v>
      </c>
      <c r="O666" s="71" t="str">
        <f>INDEX(Кат!$D:$D,MATCH($A666,Кат!$A:$A,0))</f>
        <v>Y</v>
      </c>
    </row>
    <row r="667" spans="1:15" ht="60" x14ac:dyDescent="0.25">
      <c r="A667" s="73">
        <v>214101</v>
      </c>
      <c r="B667" s="73">
        <v>31232</v>
      </c>
      <c r="C667" s="74" t="s">
        <v>1735</v>
      </c>
      <c r="D667" s="74" t="s">
        <v>13</v>
      </c>
      <c r="E667" s="74" t="s">
        <v>1736</v>
      </c>
      <c r="F667" s="74" t="s">
        <v>1736</v>
      </c>
      <c r="G667" s="74" t="s">
        <v>15</v>
      </c>
      <c r="H667" s="75">
        <v>137</v>
      </c>
      <c r="I667" s="75">
        <v>249</v>
      </c>
      <c r="J667" s="74" t="s">
        <v>1737</v>
      </c>
      <c r="K667" s="74" t="s">
        <v>16</v>
      </c>
      <c r="L667" s="74"/>
      <c r="M667" s="74" t="s">
        <v>13</v>
      </c>
      <c r="N667" s="71" t="str">
        <f t="shared" si="10"/>
        <v>1</v>
      </c>
      <c r="O667" s="71" t="str">
        <f>INDEX(Кат!$D:$D,MATCH($A667,Кат!$A:$A,0))</f>
        <v>Y</v>
      </c>
    </row>
    <row r="668" spans="1:15" ht="45" x14ac:dyDescent="0.25">
      <c r="A668" s="73">
        <v>214102</v>
      </c>
      <c r="B668" s="73">
        <v>32731</v>
      </c>
      <c r="C668" s="74" t="s">
        <v>1738</v>
      </c>
      <c r="D668" s="74" t="s">
        <v>13</v>
      </c>
      <c r="E668" s="74" t="s">
        <v>1739</v>
      </c>
      <c r="F668" s="74" t="s">
        <v>1739</v>
      </c>
      <c r="G668" s="74" t="s">
        <v>15</v>
      </c>
      <c r="H668" s="75">
        <v>1752</v>
      </c>
      <c r="I668" s="75">
        <v>2690</v>
      </c>
      <c r="J668" s="74"/>
      <c r="K668" s="74" t="s">
        <v>16</v>
      </c>
      <c r="L668" s="74"/>
      <c r="M668" s="74" t="s">
        <v>13</v>
      </c>
      <c r="N668" s="71" t="str">
        <f t="shared" si="10"/>
        <v>1</v>
      </c>
      <c r="O668" s="71" t="str">
        <f>INDEX(Кат!$D:$D,MATCH($A668,Кат!$A:$A,0))</f>
        <v>Y</v>
      </c>
    </row>
    <row r="669" spans="1:15" ht="60" x14ac:dyDescent="0.25">
      <c r="A669" s="73">
        <v>217684</v>
      </c>
      <c r="B669" s="73">
        <v>31163</v>
      </c>
      <c r="C669" s="74" t="s">
        <v>1740</v>
      </c>
      <c r="D669" s="74" t="s">
        <v>13</v>
      </c>
      <c r="E669" s="74" t="s">
        <v>1741</v>
      </c>
      <c r="F669" s="74" t="s">
        <v>1741</v>
      </c>
      <c r="G669" s="74" t="s">
        <v>15</v>
      </c>
      <c r="H669" s="75">
        <v>2382</v>
      </c>
      <c r="I669" s="75">
        <v>3390</v>
      </c>
      <c r="J669" s="74"/>
      <c r="K669" s="74" t="s">
        <v>16</v>
      </c>
      <c r="L669" s="74"/>
      <c r="M669" s="74" t="s">
        <v>13</v>
      </c>
      <c r="N669" s="71" t="str">
        <f t="shared" si="10"/>
        <v>1</v>
      </c>
      <c r="O669" s="71" t="str">
        <f>INDEX(Кат!$D:$D,MATCH($A669,Кат!$A:$A,0))</f>
        <v>Y</v>
      </c>
    </row>
    <row r="670" spans="1:15" ht="60" x14ac:dyDescent="0.25">
      <c r="A670" s="73">
        <v>217685</v>
      </c>
      <c r="B670" s="73">
        <v>31164</v>
      </c>
      <c r="C670" s="74" t="s">
        <v>1742</v>
      </c>
      <c r="D670" s="74" t="s">
        <v>13</v>
      </c>
      <c r="E670" s="74" t="s">
        <v>1743</v>
      </c>
      <c r="F670" s="74" t="s">
        <v>1743</v>
      </c>
      <c r="G670" s="74" t="s">
        <v>15</v>
      </c>
      <c r="H670" s="75">
        <v>2370</v>
      </c>
      <c r="I670" s="75">
        <v>3390</v>
      </c>
      <c r="J670" s="74"/>
      <c r="K670" s="74" t="s">
        <v>16</v>
      </c>
      <c r="L670" s="74"/>
      <c r="M670" s="74" t="s">
        <v>13</v>
      </c>
      <c r="N670" s="71" t="str">
        <f t="shared" si="10"/>
        <v>1</v>
      </c>
      <c r="O670" s="71" t="str">
        <f>INDEX(Кат!$D:$D,MATCH($A670,Кат!$A:$A,0))</f>
        <v>Y</v>
      </c>
    </row>
    <row r="671" spans="1:15" ht="60" x14ac:dyDescent="0.25">
      <c r="A671" s="73">
        <v>217702</v>
      </c>
      <c r="B671" s="73">
        <v>23611</v>
      </c>
      <c r="C671" s="74" t="s">
        <v>1744</v>
      </c>
      <c r="D671" s="74" t="s">
        <v>13</v>
      </c>
      <c r="E671" s="74" t="s">
        <v>1745</v>
      </c>
      <c r="F671" s="74" t="s">
        <v>1745</v>
      </c>
      <c r="G671" s="74" t="s">
        <v>15</v>
      </c>
      <c r="H671" s="75">
        <v>2513</v>
      </c>
      <c r="I671" s="75">
        <v>3590</v>
      </c>
      <c r="J671" s="74" t="s">
        <v>1746</v>
      </c>
      <c r="K671" s="74" t="s">
        <v>16</v>
      </c>
      <c r="L671" s="74"/>
      <c r="M671" s="74" t="s">
        <v>13</v>
      </c>
      <c r="N671" s="71" t="str">
        <f t="shared" si="10"/>
        <v>1</v>
      </c>
      <c r="O671" s="71" t="str">
        <f>INDEX(Кат!$D:$D,MATCH($A671,Кат!$A:$A,0))</f>
        <v>Y</v>
      </c>
    </row>
    <row r="672" spans="1:15" ht="75" x14ac:dyDescent="0.25">
      <c r="A672" s="73">
        <v>217703</v>
      </c>
      <c r="B672" s="73">
        <v>23553</v>
      </c>
      <c r="C672" s="74" t="s">
        <v>1747</v>
      </c>
      <c r="D672" s="74" t="s">
        <v>13</v>
      </c>
      <c r="E672" s="74" t="s">
        <v>1748</v>
      </c>
      <c r="F672" s="74" t="s">
        <v>1748</v>
      </c>
      <c r="G672" s="74" t="s">
        <v>15</v>
      </c>
      <c r="H672" s="75">
        <v>2225</v>
      </c>
      <c r="I672" s="75">
        <v>3190</v>
      </c>
      <c r="J672" s="74" t="s">
        <v>1749</v>
      </c>
      <c r="K672" s="74" t="s">
        <v>16</v>
      </c>
      <c r="L672" s="74"/>
      <c r="M672" s="74" t="s">
        <v>13</v>
      </c>
      <c r="N672" s="71" t="str">
        <f t="shared" si="10"/>
        <v>1</v>
      </c>
      <c r="O672" s="71" t="str">
        <f>INDEX(Кат!$D:$D,MATCH($A672,Кат!$A:$A,0))</f>
        <v>Y</v>
      </c>
    </row>
    <row r="673" spans="1:15" ht="45" x14ac:dyDescent="0.25">
      <c r="A673" s="73">
        <v>217704</v>
      </c>
      <c r="B673" s="73">
        <v>53003</v>
      </c>
      <c r="C673" s="74" t="s">
        <v>1750</v>
      </c>
      <c r="D673" s="74" t="s">
        <v>13</v>
      </c>
      <c r="E673" s="74" t="s">
        <v>1751</v>
      </c>
      <c r="F673" s="74" t="s">
        <v>1752</v>
      </c>
      <c r="G673" s="74" t="s">
        <v>15</v>
      </c>
      <c r="H673" s="75">
        <v>2416</v>
      </c>
      <c r="I673" s="75">
        <v>3390</v>
      </c>
      <c r="J673" s="74"/>
      <c r="K673" s="74" t="s">
        <v>16</v>
      </c>
      <c r="L673" s="74"/>
      <c r="M673" s="74" t="s">
        <v>13</v>
      </c>
      <c r="N673" s="71" t="str">
        <f t="shared" si="10"/>
        <v>1</v>
      </c>
      <c r="O673" s="71" t="str">
        <f>INDEX(Кат!$D:$D,MATCH($A673,Кат!$A:$A,0))</f>
        <v>Y</v>
      </c>
    </row>
    <row r="674" spans="1:15" ht="60" x14ac:dyDescent="0.25">
      <c r="A674" s="73">
        <v>217705</v>
      </c>
      <c r="B674" s="73">
        <v>31089</v>
      </c>
      <c r="C674" s="74" t="s">
        <v>1753</v>
      </c>
      <c r="D674" s="74" t="s">
        <v>13</v>
      </c>
      <c r="E674" s="74" t="s">
        <v>1754</v>
      </c>
      <c r="F674" s="74" t="s">
        <v>1754</v>
      </c>
      <c r="G674" s="74" t="s">
        <v>15</v>
      </c>
      <c r="H674" s="75">
        <v>3344</v>
      </c>
      <c r="I674" s="75">
        <v>4690</v>
      </c>
      <c r="J674" s="74" t="s">
        <v>1755</v>
      </c>
      <c r="K674" s="74" t="s">
        <v>16</v>
      </c>
      <c r="L674" s="74"/>
      <c r="M674" s="74" t="s">
        <v>13</v>
      </c>
      <c r="N674" s="71" t="str">
        <f t="shared" si="10"/>
        <v>1</v>
      </c>
      <c r="O674" s="71" t="str">
        <f>INDEX(Кат!$D:$D,MATCH($A674,Кат!$A:$A,0))</f>
        <v>Y</v>
      </c>
    </row>
    <row r="675" spans="1:15" ht="45" x14ac:dyDescent="0.25">
      <c r="A675" s="73">
        <v>217706</v>
      </c>
      <c r="B675" s="73">
        <v>53038</v>
      </c>
      <c r="C675" s="74" t="s">
        <v>1756</v>
      </c>
      <c r="D675" s="74" t="s">
        <v>13</v>
      </c>
      <c r="E675" s="74" t="s">
        <v>1757</v>
      </c>
      <c r="F675" s="74" t="s">
        <v>1758</v>
      </c>
      <c r="G675" s="74" t="s">
        <v>15</v>
      </c>
      <c r="H675" s="75">
        <v>1906</v>
      </c>
      <c r="I675" s="75">
        <v>2890</v>
      </c>
      <c r="J675" s="74"/>
      <c r="K675" s="74" t="s">
        <v>16</v>
      </c>
      <c r="L675" s="74"/>
      <c r="M675" s="74" t="s">
        <v>13</v>
      </c>
      <c r="N675" s="71" t="str">
        <f t="shared" si="10"/>
        <v>1</v>
      </c>
      <c r="O675" s="71" t="str">
        <f>INDEX(Кат!$D:$D,MATCH($A675,Кат!$A:$A,0))</f>
        <v>Y</v>
      </c>
    </row>
    <row r="676" spans="1:15" ht="60" x14ac:dyDescent="0.25">
      <c r="A676" s="73">
        <v>217707</v>
      </c>
      <c r="B676" s="73">
        <v>31090</v>
      </c>
      <c r="C676" s="74" t="s">
        <v>1759</v>
      </c>
      <c r="D676" s="74" t="s">
        <v>13</v>
      </c>
      <c r="E676" s="74" t="s">
        <v>1760</v>
      </c>
      <c r="F676" s="74" t="s">
        <v>1760</v>
      </c>
      <c r="G676" s="74" t="s">
        <v>15</v>
      </c>
      <c r="H676" s="75">
        <v>7133</v>
      </c>
      <c r="I676" s="75">
        <v>9690</v>
      </c>
      <c r="J676" s="74" t="s">
        <v>1761</v>
      </c>
      <c r="K676" s="74" t="s">
        <v>16</v>
      </c>
      <c r="L676" s="74"/>
      <c r="M676" s="74" t="s">
        <v>13</v>
      </c>
      <c r="N676" s="71" t="str">
        <f t="shared" si="10"/>
        <v>1</v>
      </c>
      <c r="O676" s="71" t="str">
        <f>INDEX(Кат!$D:$D,MATCH($A676,Кат!$A:$A,0))</f>
        <v>Y</v>
      </c>
    </row>
    <row r="677" spans="1:15" ht="30" x14ac:dyDescent="0.25">
      <c r="A677" s="73">
        <v>217708</v>
      </c>
      <c r="B677" s="73">
        <v>31041</v>
      </c>
      <c r="C677" s="74" t="s">
        <v>1762</v>
      </c>
      <c r="D677" s="74" t="s">
        <v>13</v>
      </c>
      <c r="E677" s="74" t="s">
        <v>1763</v>
      </c>
      <c r="F677" s="74" t="s">
        <v>1763</v>
      </c>
      <c r="G677" s="74" t="s">
        <v>15</v>
      </c>
      <c r="H677" s="75">
        <v>10467</v>
      </c>
      <c r="I677" s="75">
        <v>14690</v>
      </c>
      <c r="J677" s="74"/>
      <c r="K677" s="74" t="s">
        <v>16</v>
      </c>
      <c r="L677" s="74"/>
      <c r="M677" s="74" t="s">
        <v>13</v>
      </c>
      <c r="N677" s="71" t="str">
        <f t="shared" si="10"/>
        <v>1</v>
      </c>
      <c r="O677" s="71" t="str">
        <f>INDEX(Кат!$D:$D,MATCH($A677,Кат!$A:$A,0))</f>
        <v>Y</v>
      </c>
    </row>
    <row r="678" spans="1:15" ht="30" x14ac:dyDescent="0.25">
      <c r="A678" s="73">
        <v>217709</v>
      </c>
      <c r="B678" s="73">
        <v>31040</v>
      </c>
      <c r="C678" s="74" t="s">
        <v>1764</v>
      </c>
      <c r="D678" s="74" t="s">
        <v>13</v>
      </c>
      <c r="E678" s="74" t="s">
        <v>1765</v>
      </c>
      <c r="F678" s="74" t="s">
        <v>1765</v>
      </c>
      <c r="G678" s="74" t="s">
        <v>15</v>
      </c>
      <c r="H678" s="75">
        <v>11892</v>
      </c>
      <c r="I678" s="75">
        <v>16690</v>
      </c>
      <c r="J678" s="74"/>
      <c r="K678" s="74" t="s">
        <v>16</v>
      </c>
      <c r="L678" s="74"/>
      <c r="M678" s="74" t="s">
        <v>13</v>
      </c>
      <c r="N678" s="71" t="str">
        <f t="shared" si="10"/>
        <v>1</v>
      </c>
      <c r="O678" s="71" t="str">
        <f>INDEX(Кат!$D:$D,MATCH($A678,Кат!$A:$A,0))</f>
        <v>Y</v>
      </c>
    </row>
    <row r="679" spans="1:15" ht="30" x14ac:dyDescent="0.25">
      <c r="A679" s="73">
        <v>217710</v>
      </c>
      <c r="B679" s="73">
        <v>53212</v>
      </c>
      <c r="C679" s="74" t="s">
        <v>1766</v>
      </c>
      <c r="D679" s="74" t="s">
        <v>13</v>
      </c>
      <c r="E679" s="74" t="s">
        <v>1767</v>
      </c>
      <c r="F679" s="74"/>
      <c r="G679" s="74" t="s">
        <v>15</v>
      </c>
      <c r="H679" s="75">
        <v>0</v>
      </c>
      <c r="I679" s="75">
        <v>2790</v>
      </c>
      <c r="J679" s="74"/>
      <c r="K679" s="74" t="s">
        <v>16</v>
      </c>
      <c r="L679" s="74"/>
      <c r="M679" s="74"/>
      <c r="N679" s="71" t="str">
        <f t="shared" si="10"/>
        <v>1</v>
      </c>
      <c r="O679" s="71" t="str">
        <f>INDEX(Кат!$D:$D,MATCH($A679,Кат!$A:$A,0))</f>
        <v>Y</v>
      </c>
    </row>
    <row r="680" spans="1:15" ht="30" x14ac:dyDescent="0.25">
      <c r="A680" s="73">
        <v>217711</v>
      </c>
      <c r="B680" s="73">
        <v>45503</v>
      </c>
      <c r="C680" s="74" t="s">
        <v>1768</v>
      </c>
      <c r="D680" s="74" t="s">
        <v>13</v>
      </c>
      <c r="E680" s="74" t="s">
        <v>1769</v>
      </c>
      <c r="F680" s="74" t="s">
        <v>1770</v>
      </c>
      <c r="G680" s="74" t="s">
        <v>15</v>
      </c>
      <c r="H680" s="75">
        <v>78.040000000000006</v>
      </c>
      <c r="I680" s="75">
        <v>159</v>
      </c>
      <c r="J680" s="74"/>
      <c r="K680" s="74" t="s">
        <v>16</v>
      </c>
      <c r="L680" s="74"/>
      <c r="M680" s="74"/>
      <c r="N680" s="71" t="str">
        <f t="shared" si="10"/>
        <v>1</v>
      </c>
      <c r="O680" s="71" t="str">
        <f>INDEX(Кат!$D:$D,MATCH($A680,Кат!$A:$A,0))</f>
        <v>Y</v>
      </c>
    </row>
    <row r="681" spans="1:15" ht="60" x14ac:dyDescent="0.25">
      <c r="A681" s="73">
        <v>217712</v>
      </c>
      <c r="B681" s="73">
        <v>53213</v>
      </c>
      <c r="C681" s="74" t="s">
        <v>1771</v>
      </c>
      <c r="D681" s="74" t="s">
        <v>13</v>
      </c>
      <c r="E681" s="74"/>
      <c r="F681" s="74"/>
      <c r="G681" s="74" t="s">
        <v>15</v>
      </c>
      <c r="H681" s="75">
        <v>0</v>
      </c>
      <c r="I681" s="75">
        <v>0</v>
      </c>
      <c r="J681" s="74" t="s">
        <v>1772</v>
      </c>
      <c r="K681" s="74" t="s">
        <v>37</v>
      </c>
      <c r="L681" s="74"/>
      <c r="M681" s="74" t="s">
        <v>13</v>
      </c>
      <c r="N681" s="71" t="str">
        <f t="shared" si="10"/>
        <v>0</v>
      </c>
      <c r="O681" s="71" t="str">
        <f>INDEX(Кат!$D:$D,MATCH($A681,Кат!$A:$A,0))</f>
        <v>Y</v>
      </c>
    </row>
    <row r="682" spans="1:15" ht="75" x14ac:dyDescent="0.25">
      <c r="A682" s="73">
        <v>217713</v>
      </c>
      <c r="B682" s="73">
        <v>31281</v>
      </c>
      <c r="C682" s="74" t="s">
        <v>1773</v>
      </c>
      <c r="D682" s="74" t="s">
        <v>13</v>
      </c>
      <c r="E682" s="74" t="s">
        <v>1774</v>
      </c>
      <c r="F682" s="74" t="s">
        <v>1774</v>
      </c>
      <c r="G682" s="74" t="s">
        <v>15</v>
      </c>
      <c r="H682" s="75">
        <v>550</v>
      </c>
      <c r="I682" s="75">
        <v>859</v>
      </c>
      <c r="J682" s="74" t="s">
        <v>1775</v>
      </c>
      <c r="K682" s="74" t="s">
        <v>16</v>
      </c>
      <c r="L682" s="74"/>
      <c r="M682" s="74" t="s">
        <v>13</v>
      </c>
      <c r="N682" s="71" t="str">
        <f t="shared" si="10"/>
        <v>1</v>
      </c>
      <c r="O682" s="71" t="str">
        <f>INDEX(Кат!$D:$D,MATCH($A682,Кат!$A:$A,0))</f>
        <v>Y</v>
      </c>
    </row>
    <row r="683" spans="1:15" ht="75" x14ac:dyDescent="0.25">
      <c r="A683" s="73">
        <v>217714</v>
      </c>
      <c r="B683" s="73">
        <v>31282</v>
      </c>
      <c r="C683" s="74" t="s">
        <v>1776</v>
      </c>
      <c r="D683" s="74" t="s">
        <v>13</v>
      </c>
      <c r="E683" s="74" t="s">
        <v>1777</v>
      </c>
      <c r="F683" s="74" t="s">
        <v>1777</v>
      </c>
      <c r="G683" s="74" t="s">
        <v>15</v>
      </c>
      <c r="H683" s="75">
        <v>438</v>
      </c>
      <c r="I683" s="75">
        <v>709</v>
      </c>
      <c r="J683" s="74" t="s">
        <v>1778</v>
      </c>
      <c r="K683" s="74" t="s">
        <v>16</v>
      </c>
      <c r="L683" s="74"/>
      <c r="M683" s="74" t="s">
        <v>13</v>
      </c>
      <c r="N683" s="71" t="str">
        <f t="shared" si="10"/>
        <v>1</v>
      </c>
      <c r="O683" s="71" t="str">
        <f>INDEX(Кат!$D:$D,MATCH($A683,Кат!$A:$A,0))</f>
        <v>Y</v>
      </c>
    </row>
    <row r="684" spans="1:15" ht="30" x14ac:dyDescent="0.25">
      <c r="A684" s="73">
        <v>217715</v>
      </c>
      <c r="B684" s="73">
        <v>32526</v>
      </c>
      <c r="C684" s="74" t="s">
        <v>1779</v>
      </c>
      <c r="D684" s="74" t="s">
        <v>13</v>
      </c>
      <c r="E684" s="74" t="s">
        <v>1780</v>
      </c>
      <c r="F684" s="74" t="s">
        <v>1780</v>
      </c>
      <c r="G684" s="74" t="s">
        <v>15</v>
      </c>
      <c r="H684" s="75">
        <v>43</v>
      </c>
      <c r="I684" s="75">
        <v>89</v>
      </c>
      <c r="J684" s="74"/>
      <c r="K684" s="74" t="s">
        <v>16</v>
      </c>
      <c r="L684" s="74"/>
      <c r="M684" s="74" t="s">
        <v>13</v>
      </c>
      <c r="N684" s="71" t="str">
        <f t="shared" si="10"/>
        <v>1</v>
      </c>
      <c r="O684" s="71" t="str">
        <f>INDEX(Кат!$D:$D,MATCH($A684,Кат!$A:$A,0))</f>
        <v>Y</v>
      </c>
    </row>
    <row r="685" spans="1:15" ht="30" x14ac:dyDescent="0.25">
      <c r="A685" s="73">
        <v>217716</v>
      </c>
      <c r="B685" s="73">
        <v>32525</v>
      </c>
      <c r="C685" s="74" t="s">
        <v>1781</v>
      </c>
      <c r="D685" s="74" t="s">
        <v>13</v>
      </c>
      <c r="E685" s="74" t="s">
        <v>1782</v>
      </c>
      <c r="F685" s="74" t="s">
        <v>1782</v>
      </c>
      <c r="G685" s="74" t="s">
        <v>15</v>
      </c>
      <c r="H685" s="75">
        <v>43</v>
      </c>
      <c r="I685" s="75">
        <v>89</v>
      </c>
      <c r="J685" s="74"/>
      <c r="K685" s="74" t="s">
        <v>16</v>
      </c>
      <c r="L685" s="74"/>
      <c r="M685" s="74" t="s">
        <v>13</v>
      </c>
      <c r="N685" s="71" t="str">
        <f t="shared" si="10"/>
        <v>1</v>
      </c>
      <c r="O685" s="71" t="str">
        <f>INDEX(Кат!$D:$D,MATCH($A685,Кат!$A:$A,0))</f>
        <v>Y</v>
      </c>
    </row>
    <row r="686" spans="1:15" ht="45" x14ac:dyDescent="0.25">
      <c r="A686" s="73">
        <v>217717</v>
      </c>
      <c r="B686" s="73">
        <v>31048</v>
      </c>
      <c r="C686" s="74" t="s">
        <v>1783</v>
      </c>
      <c r="D686" s="74" t="s">
        <v>13</v>
      </c>
      <c r="E686" s="74" t="s">
        <v>1784</v>
      </c>
      <c r="F686" s="74" t="s">
        <v>1784</v>
      </c>
      <c r="G686" s="74" t="s">
        <v>15</v>
      </c>
      <c r="H686" s="75">
        <v>1379</v>
      </c>
      <c r="I686" s="75">
        <v>2090</v>
      </c>
      <c r="J686" s="74"/>
      <c r="K686" s="74" t="s">
        <v>16</v>
      </c>
      <c r="L686" s="74"/>
      <c r="M686" s="74" t="s">
        <v>13</v>
      </c>
      <c r="N686" s="71" t="str">
        <f t="shared" si="10"/>
        <v>1</v>
      </c>
      <c r="O686" s="71" t="str">
        <f>INDEX(Кат!$D:$D,MATCH($A686,Кат!$A:$A,0))</f>
        <v>Y</v>
      </c>
    </row>
    <row r="687" spans="1:15" ht="45" x14ac:dyDescent="0.25">
      <c r="A687" s="73">
        <v>217718</v>
      </c>
      <c r="B687" s="73">
        <v>51781</v>
      </c>
      <c r="C687" s="74" t="s">
        <v>1785</v>
      </c>
      <c r="D687" s="74" t="s">
        <v>13</v>
      </c>
      <c r="E687" s="74" t="s">
        <v>1786</v>
      </c>
      <c r="F687" s="74" t="s">
        <v>1787</v>
      </c>
      <c r="G687" s="74" t="s">
        <v>15</v>
      </c>
      <c r="H687" s="75">
        <v>420</v>
      </c>
      <c r="I687" s="75">
        <v>679</v>
      </c>
      <c r="J687" s="74"/>
      <c r="K687" s="74" t="s">
        <v>16</v>
      </c>
      <c r="L687" s="74"/>
      <c r="M687" s="74" t="s">
        <v>13</v>
      </c>
      <c r="N687" s="71" t="str">
        <f t="shared" si="10"/>
        <v>1</v>
      </c>
      <c r="O687" s="71" t="str">
        <f>INDEX(Кат!$D:$D,MATCH($A687,Кат!$A:$A,0))</f>
        <v>Y</v>
      </c>
    </row>
    <row r="688" spans="1:15" ht="30" x14ac:dyDescent="0.25">
      <c r="A688" s="73">
        <v>217719</v>
      </c>
      <c r="B688" s="73">
        <v>31205</v>
      </c>
      <c r="C688" s="74" t="s">
        <v>1788</v>
      </c>
      <c r="D688" s="74" t="s">
        <v>13</v>
      </c>
      <c r="E688" s="74" t="s">
        <v>1789</v>
      </c>
      <c r="F688" s="74" t="s">
        <v>1789</v>
      </c>
      <c r="G688" s="74" t="s">
        <v>15</v>
      </c>
      <c r="H688" s="75">
        <v>2778</v>
      </c>
      <c r="I688" s="75">
        <v>3890</v>
      </c>
      <c r="J688" s="74" t="s">
        <v>1790</v>
      </c>
      <c r="K688" s="74" t="s">
        <v>16</v>
      </c>
      <c r="L688" s="74"/>
      <c r="M688" s="74" t="s">
        <v>13</v>
      </c>
      <c r="N688" s="71" t="str">
        <f t="shared" si="10"/>
        <v>1</v>
      </c>
      <c r="O688" s="71" t="str">
        <f>INDEX(Кат!$D:$D,MATCH($A688,Кат!$A:$A,0))</f>
        <v>Y</v>
      </c>
    </row>
    <row r="689" spans="1:15" ht="30" x14ac:dyDescent="0.25">
      <c r="A689" s="73">
        <v>217720</v>
      </c>
      <c r="B689" s="73">
        <v>51792</v>
      </c>
      <c r="C689" s="74" t="s">
        <v>1791</v>
      </c>
      <c r="D689" s="74" t="s">
        <v>13</v>
      </c>
      <c r="E689" s="74" t="s">
        <v>1792</v>
      </c>
      <c r="F689" s="74" t="s">
        <v>1787</v>
      </c>
      <c r="G689" s="74" t="s">
        <v>15</v>
      </c>
      <c r="H689" s="75">
        <v>1723</v>
      </c>
      <c r="I689" s="75">
        <v>2590</v>
      </c>
      <c r="J689" s="74"/>
      <c r="K689" s="74" t="s">
        <v>16</v>
      </c>
      <c r="L689" s="74"/>
      <c r="M689" s="74" t="s">
        <v>13</v>
      </c>
      <c r="N689" s="71" t="str">
        <f t="shared" si="10"/>
        <v>1</v>
      </c>
      <c r="O689" s="71" t="str">
        <f>INDEX(Кат!$D:$D,MATCH($A689,Кат!$A:$A,0))</f>
        <v>Y</v>
      </c>
    </row>
    <row r="690" spans="1:15" ht="45" x14ac:dyDescent="0.25">
      <c r="A690" s="73">
        <v>217721</v>
      </c>
      <c r="B690" s="73">
        <v>32776</v>
      </c>
      <c r="C690" s="74" t="s">
        <v>1793</v>
      </c>
      <c r="D690" s="74" t="s">
        <v>13</v>
      </c>
      <c r="E690" s="74" t="s">
        <v>1794</v>
      </c>
      <c r="F690" s="74" t="s">
        <v>1794</v>
      </c>
      <c r="G690" s="74" t="s">
        <v>15</v>
      </c>
      <c r="H690" s="75">
        <v>1066</v>
      </c>
      <c r="I690" s="75">
        <v>1590</v>
      </c>
      <c r="J690" s="74"/>
      <c r="K690" s="74" t="s">
        <v>16</v>
      </c>
      <c r="L690" s="74"/>
      <c r="M690" s="74" t="s">
        <v>13</v>
      </c>
      <c r="N690" s="71" t="str">
        <f t="shared" si="10"/>
        <v>1</v>
      </c>
      <c r="O690" s="71" t="str">
        <f>INDEX(Кат!$D:$D,MATCH($A690,Кат!$A:$A,0))</f>
        <v>Y</v>
      </c>
    </row>
    <row r="691" spans="1:15" ht="45" x14ac:dyDescent="0.25">
      <c r="A691" s="73">
        <v>217722</v>
      </c>
      <c r="B691" s="73">
        <v>32775</v>
      </c>
      <c r="C691" s="74" t="s">
        <v>1795</v>
      </c>
      <c r="D691" s="74" t="s">
        <v>13</v>
      </c>
      <c r="E691" s="74" t="s">
        <v>1796</v>
      </c>
      <c r="F691" s="74" t="s">
        <v>1796</v>
      </c>
      <c r="G691" s="74" t="s">
        <v>15</v>
      </c>
      <c r="H691" s="75">
        <v>1386</v>
      </c>
      <c r="I691" s="75">
        <v>2090</v>
      </c>
      <c r="J691" s="74"/>
      <c r="K691" s="74" t="s">
        <v>16</v>
      </c>
      <c r="L691" s="74"/>
      <c r="M691" s="74" t="s">
        <v>13</v>
      </c>
      <c r="N691" s="71" t="str">
        <f t="shared" si="10"/>
        <v>1</v>
      </c>
      <c r="O691" s="71" t="str">
        <f>INDEX(Кат!$D:$D,MATCH($A691,Кат!$A:$A,0))</f>
        <v>Y</v>
      </c>
    </row>
    <row r="692" spans="1:15" ht="75" x14ac:dyDescent="0.25">
      <c r="A692" s="73">
        <v>217857</v>
      </c>
      <c r="B692" s="73">
        <v>31310</v>
      </c>
      <c r="C692" s="74" t="s">
        <v>1797</v>
      </c>
      <c r="D692" s="74" t="s">
        <v>13</v>
      </c>
      <c r="E692" s="74" t="s">
        <v>1798</v>
      </c>
      <c r="F692" s="74" t="s">
        <v>1798</v>
      </c>
      <c r="G692" s="74" t="s">
        <v>15</v>
      </c>
      <c r="H692" s="75">
        <v>607</v>
      </c>
      <c r="I692" s="75">
        <v>949</v>
      </c>
      <c r="J692" s="74" t="s">
        <v>1799</v>
      </c>
      <c r="K692" s="74" t="s">
        <v>16</v>
      </c>
      <c r="L692" s="74"/>
      <c r="M692" s="74" t="s">
        <v>13</v>
      </c>
      <c r="N692" s="71" t="str">
        <f t="shared" si="10"/>
        <v>1</v>
      </c>
      <c r="O692" s="71" t="str">
        <f>INDEX(Кат!$D:$D,MATCH($A692,Кат!$A:$A,0))</f>
        <v>Y</v>
      </c>
    </row>
    <row r="693" spans="1:15" ht="75" x14ac:dyDescent="0.25">
      <c r="A693" s="73">
        <v>217858</v>
      </c>
      <c r="B693" s="73">
        <v>45905</v>
      </c>
      <c r="C693" s="74" t="s">
        <v>1800</v>
      </c>
      <c r="D693" s="74" t="s">
        <v>13</v>
      </c>
      <c r="E693" s="74" t="s">
        <v>1801</v>
      </c>
      <c r="F693" s="74" t="s">
        <v>1802</v>
      </c>
      <c r="G693" s="74" t="s">
        <v>15</v>
      </c>
      <c r="H693" s="75">
        <v>566</v>
      </c>
      <c r="I693" s="75">
        <v>879</v>
      </c>
      <c r="J693" s="74" t="s">
        <v>1803</v>
      </c>
      <c r="K693" s="74" t="s">
        <v>16</v>
      </c>
      <c r="L693" s="74"/>
      <c r="M693" s="74" t="s">
        <v>13</v>
      </c>
      <c r="N693" s="71" t="str">
        <f t="shared" si="10"/>
        <v>1</v>
      </c>
      <c r="O693" s="71" t="str">
        <f>INDEX(Кат!$D:$D,MATCH($A693,Кат!$A:$A,0))</f>
        <v>Y</v>
      </c>
    </row>
    <row r="694" spans="1:15" ht="60" x14ac:dyDescent="0.25">
      <c r="A694" s="73">
        <v>217859</v>
      </c>
      <c r="B694" s="73">
        <v>51724</v>
      </c>
      <c r="C694" s="74" t="s">
        <v>1804</v>
      </c>
      <c r="D694" s="74" t="s">
        <v>13</v>
      </c>
      <c r="E694" s="74" t="s">
        <v>1805</v>
      </c>
      <c r="F694" s="74" t="s">
        <v>1806</v>
      </c>
      <c r="G694" s="74" t="s">
        <v>15</v>
      </c>
      <c r="H694" s="75">
        <v>433</v>
      </c>
      <c r="I694" s="75">
        <v>699</v>
      </c>
      <c r="J694" s="74" t="s">
        <v>1807</v>
      </c>
      <c r="K694" s="74" t="s">
        <v>16</v>
      </c>
      <c r="L694" s="74"/>
      <c r="M694" s="74" t="s">
        <v>13</v>
      </c>
      <c r="N694" s="71" t="str">
        <f t="shared" si="10"/>
        <v>1</v>
      </c>
      <c r="O694" s="71" t="str">
        <f>INDEX(Кат!$D:$D,MATCH($A694,Кат!$A:$A,0))</f>
        <v>Y</v>
      </c>
    </row>
    <row r="695" spans="1:15" ht="45" x14ac:dyDescent="0.25">
      <c r="A695" s="73">
        <v>217860</v>
      </c>
      <c r="B695" s="73">
        <v>47972</v>
      </c>
      <c r="C695" s="74" t="s">
        <v>1808</v>
      </c>
      <c r="D695" s="74" t="s">
        <v>13</v>
      </c>
      <c r="E695" s="74" t="s">
        <v>1809</v>
      </c>
      <c r="F695" s="74" t="s">
        <v>1810</v>
      </c>
      <c r="G695" s="74" t="s">
        <v>15</v>
      </c>
      <c r="H695" s="75">
        <v>669</v>
      </c>
      <c r="I695" s="75">
        <v>1090</v>
      </c>
      <c r="J695" s="74"/>
      <c r="K695" s="74" t="s">
        <v>16</v>
      </c>
      <c r="L695" s="74"/>
      <c r="M695" s="74" t="s">
        <v>13</v>
      </c>
      <c r="N695" s="71" t="str">
        <f t="shared" si="10"/>
        <v>1</v>
      </c>
      <c r="O695" s="71" t="str">
        <f>INDEX(Кат!$D:$D,MATCH($A695,Кат!$A:$A,0))</f>
        <v>Y</v>
      </c>
    </row>
    <row r="696" spans="1:15" ht="45" x14ac:dyDescent="0.25">
      <c r="A696" s="73">
        <v>217861</v>
      </c>
      <c r="B696" s="73">
        <v>31442</v>
      </c>
      <c r="C696" s="74" t="s">
        <v>1811</v>
      </c>
      <c r="D696" s="74" t="s">
        <v>13</v>
      </c>
      <c r="E696" s="74" t="s">
        <v>1812</v>
      </c>
      <c r="F696" s="74" t="s">
        <v>1812</v>
      </c>
      <c r="G696" s="74" t="s">
        <v>15</v>
      </c>
      <c r="H696" s="75">
        <v>63</v>
      </c>
      <c r="I696" s="75">
        <v>129</v>
      </c>
      <c r="J696" s="74"/>
      <c r="K696" s="74" t="s">
        <v>16</v>
      </c>
      <c r="L696" s="74"/>
      <c r="M696" s="74" t="s">
        <v>13</v>
      </c>
      <c r="N696" s="71" t="str">
        <f t="shared" si="10"/>
        <v>1</v>
      </c>
      <c r="O696" s="71" t="str">
        <f>INDEX(Кат!$D:$D,MATCH($A696,Кат!$A:$A,0))</f>
        <v>Y</v>
      </c>
    </row>
    <row r="697" spans="1:15" ht="60" x14ac:dyDescent="0.25">
      <c r="A697" s="73">
        <v>217862</v>
      </c>
      <c r="B697" s="73">
        <v>51695</v>
      </c>
      <c r="C697" s="74" t="s">
        <v>1813</v>
      </c>
      <c r="D697" s="74" t="s">
        <v>13</v>
      </c>
      <c r="E697" s="74" t="s">
        <v>1814</v>
      </c>
      <c r="F697" s="74" t="s">
        <v>1815</v>
      </c>
      <c r="G697" s="74" t="s">
        <v>15</v>
      </c>
      <c r="H697" s="75">
        <v>510</v>
      </c>
      <c r="I697" s="75">
        <v>799</v>
      </c>
      <c r="J697" s="74" t="s">
        <v>1816</v>
      </c>
      <c r="K697" s="74" t="s">
        <v>16</v>
      </c>
      <c r="L697" s="74"/>
      <c r="M697" s="74" t="s">
        <v>13</v>
      </c>
      <c r="N697" s="71" t="str">
        <f t="shared" si="10"/>
        <v>1</v>
      </c>
      <c r="O697" s="71" t="str">
        <f>INDEX(Кат!$D:$D,MATCH($A697,Кат!$A:$A,0))</f>
        <v>Y</v>
      </c>
    </row>
    <row r="698" spans="1:15" ht="45" x14ac:dyDescent="0.25">
      <c r="A698" s="73">
        <v>217863</v>
      </c>
      <c r="B698" s="73">
        <v>47969</v>
      </c>
      <c r="C698" s="74" t="s">
        <v>1817</v>
      </c>
      <c r="D698" s="74" t="s">
        <v>13</v>
      </c>
      <c r="E698" s="74" t="s">
        <v>1818</v>
      </c>
      <c r="F698" s="74" t="s">
        <v>1819</v>
      </c>
      <c r="G698" s="74" t="s">
        <v>15</v>
      </c>
      <c r="H698" s="75">
        <v>669</v>
      </c>
      <c r="I698" s="75">
        <v>1090</v>
      </c>
      <c r="J698" s="74"/>
      <c r="K698" s="74" t="s">
        <v>16</v>
      </c>
      <c r="L698" s="74"/>
      <c r="M698" s="74" t="s">
        <v>13</v>
      </c>
      <c r="N698" s="71" t="str">
        <f t="shared" si="10"/>
        <v>1</v>
      </c>
      <c r="O698" s="71" t="str">
        <f>INDEX(Кат!$D:$D,MATCH($A698,Кат!$A:$A,0))</f>
        <v>Y</v>
      </c>
    </row>
    <row r="699" spans="1:15" ht="45" x14ac:dyDescent="0.25">
      <c r="A699" s="73">
        <v>217864</v>
      </c>
      <c r="B699" s="73">
        <v>31375</v>
      </c>
      <c r="C699" s="74" t="s">
        <v>1820</v>
      </c>
      <c r="D699" s="74" t="s">
        <v>13</v>
      </c>
      <c r="E699" s="74" t="s">
        <v>1821</v>
      </c>
      <c r="F699" s="74" t="s">
        <v>1821</v>
      </c>
      <c r="G699" s="74" t="s">
        <v>15</v>
      </c>
      <c r="H699" s="75">
        <v>68</v>
      </c>
      <c r="I699" s="75">
        <v>139</v>
      </c>
      <c r="J699" s="74"/>
      <c r="K699" s="74" t="s">
        <v>16</v>
      </c>
      <c r="L699" s="74"/>
      <c r="M699" s="74" t="s">
        <v>13</v>
      </c>
      <c r="N699" s="71" t="str">
        <f t="shared" si="10"/>
        <v>1</v>
      </c>
      <c r="O699" s="71" t="str">
        <f>INDEX(Кат!$D:$D,MATCH($A699,Кат!$A:$A,0))</f>
        <v>Y</v>
      </c>
    </row>
    <row r="700" spans="1:15" ht="60" x14ac:dyDescent="0.25">
      <c r="A700" s="73">
        <v>217865</v>
      </c>
      <c r="B700" s="73">
        <v>31157</v>
      </c>
      <c r="C700" s="74" t="s">
        <v>1822</v>
      </c>
      <c r="D700" s="74" t="s">
        <v>13</v>
      </c>
      <c r="E700" s="74" t="s">
        <v>1823</v>
      </c>
      <c r="F700" s="74" t="s">
        <v>1823</v>
      </c>
      <c r="G700" s="74" t="s">
        <v>15</v>
      </c>
      <c r="H700" s="75">
        <v>1294</v>
      </c>
      <c r="I700" s="75">
        <v>1990</v>
      </c>
      <c r="J700" s="74" t="s">
        <v>1824</v>
      </c>
      <c r="K700" s="74" t="s">
        <v>16</v>
      </c>
      <c r="L700" s="74"/>
      <c r="M700" s="74" t="s">
        <v>13</v>
      </c>
      <c r="N700" s="71" t="str">
        <f t="shared" si="10"/>
        <v>1</v>
      </c>
      <c r="O700" s="71" t="str">
        <f>INDEX(Кат!$D:$D,MATCH($A700,Кат!$A:$A,0))</f>
        <v>Y</v>
      </c>
    </row>
    <row r="701" spans="1:15" ht="60" x14ac:dyDescent="0.25">
      <c r="A701" s="73">
        <v>217866</v>
      </c>
      <c r="B701" s="73">
        <v>31159</v>
      </c>
      <c r="C701" s="74" t="s">
        <v>1825</v>
      </c>
      <c r="D701" s="74" t="s">
        <v>13</v>
      </c>
      <c r="E701" s="74" t="s">
        <v>1826</v>
      </c>
      <c r="F701" s="74" t="s">
        <v>1826</v>
      </c>
      <c r="G701" s="74" t="s">
        <v>15</v>
      </c>
      <c r="H701" s="75">
        <v>1065</v>
      </c>
      <c r="I701" s="75">
        <v>1590</v>
      </c>
      <c r="J701" s="74" t="s">
        <v>1827</v>
      </c>
      <c r="K701" s="74" t="s">
        <v>16</v>
      </c>
      <c r="L701" s="74"/>
      <c r="M701" s="74" t="s">
        <v>13</v>
      </c>
      <c r="N701" s="71" t="str">
        <f t="shared" si="10"/>
        <v>1</v>
      </c>
      <c r="O701" s="71" t="str">
        <f>INDEX(Кат!$D:$D,MATCH($A701,Кат!$A:$A,0))</f>
        <v>Y</v>
      </c>
    </row>
    <row r="702" spans="1:15" ht="75" x14ac:dyDescent="0.25">
      <c r="A702" s="73">
        <v>222945</v>
      </c>
      <c r="B702" s="73">
        <v>31270</v>
      </c>
      <c r="C702" s="74" t="s">
        <v>1828</v>
      </c>
      <c r="D702" s="74" t="s">
        <v>13</v>
      </c>
      <c r="E702" s="74" t="s">
        <v>1829</v>
      </c>
      <c r="F702" s="74" t="s">
        <v>1829</v>
      </c>
      <c r="G702" s="74" t="s">
        <v>15</v>
      </c>
      <c r="H702" s="75">
        <v>2001</v>
      </c>
      <c r="I702" s="75">
        <v>2890</v>
      </c>
      <c r="J702" s="74" t="s">
        <v>1830</v>
      </c>
      <c r="K702" s="74" t="s">
        <v>16</v>
      </c>
      <c r="L702" s="74"/>
      <c r="M702" s="74" t="s">
        <v>13</v>
      </c>
      <c r="N702" s="71" t="str">
        <f t="shared" si="10"/>
        <v>1</v>
      </c>
      <c r="O702" s="71" t="str">
        <f>INDEX(Кат!$D:$D,MATCH($A702,Кат!$A:$A,0))</f>
        <v>Y</v>
      </c>
    </row>
    <row r="703" spans="1:15" ht="60" x14ac:dyDescent="0.25">
      <c r="A703" s="73">
        <v>223554</v>
      </c>
      <c r="B703" s="73">
        <v>46228</v>
      </c>
      <c r="C703" s="74" t="s">
        <v>1831</v>
      </c>
      <c r="D703" s="74" t="s">
        <v>13</v>
      </c>
      <c r="E703" s="74" t="s">
        <v>1832</v>
      </c>
      <c r="F703" s="74" t="s">
        <v>1833</v>
      </c>
      <c r="G703" s="74" t="s">
        <v>15</v>
      </c>
      <c r="H703" s="75">
        <v>2304.66</v>
      </c>
      <c r="I703" s="75">
        <v>3290</v>
      </c>
      <c r="J703" s="74" t="s">
        <v>1834</v>
      </c>
      <c r="K703" s="74" t="s">
        <v>16</v>
      </c>
      <c r="L703" s="74"/>
      <c r="M703" s="74" t="s">
        <v>13</v>
      </c>
      <c r="N703" s="71" t="str">
        <f t="shared" si="10"/>
        <v>1</v>
      </c>
      <c r="O703" s="71" t="str">
        <f>INDEX(Кат!$D:$D,MATCH($A703,Кат!$A:$A,0))</f>
        <v>Y</v>
      </c>
    </row>
    <row r="704" spans="1:15" ht="45" x14ac:dyDescent="0.25">
      <c r="A704" s="73">
        <v>223555</v>
      </c>
      <c r="B704" s="73">
        <v>32704</v>
      </c>
      <c r="C704" s="74" t="s">
        <v>1835</v>
      </c>
      <c r="D704" s="74" t="s">
        <v>13</v>
      </c>
      <c r="E704" s="74" t="s">
        <v>1836</v>
      </c>
      <c r="F704" s="74" t="s">
        <v>1836</v>
      </c>
      <c r="G704" s="74" t="s">
        <v>15</v>
      </c>
      <c r="H704" s="75">
        <v>149</v>
      </c>
      <c r="I704" s="75">
        <v>269</v>
      </c>
      <c r="J704" s="74"/>
      <c r="K704" s="74" t="s">
        <v>16</v>
      </c>
      <c r="L704" s="74"/>
      <c r="M704" s="74" t="s">
        <v>13</v>
      </c>
      <c r="N704" s="71" t="str">
        <f t="shared" si="10"/>
        <v>1</v>
      </c>
      <c r="O704" s="71" t="str">
        <f>INDEX(Кат!$D:$D,MATCH($A704,Кат!$A:$A,0))</f>
        <v>Y</v>
      </c>
    </row>
    <row r="705" spans="1:15" ht="30" x14ac:dyDescent="0.25">
      <c r="A705" s="73">
        <v>223559</v>
      </c>
      <c r="B705" s="73">
        <v>27066</v>
      </c>
      <c r="C705" s="74" t="s">
        <v>1837</v>
      </c>
      <c r="D705" s="74" t="s">
        <v>13</v>
      </c>
      <c r="E705" s="74" t="s">
        <v>1838</v>
      </c>
      <c r="F705" s="74" t="s">
        <v>1838</v>
      </c>
      <c r="G705" s="74" t="s">
        <v>15</v>
      </c>
      <c r="H705" s="75">
        <v>350</v>
      </c>
      <c r="I705" s="75">
        <v>559</v>
      </c>
      <c r="J705" s="74"/>
      <c r="K705" s="74" t="s">
        <v>16</v>
      </c>
      <c r="L705" s="74"/>
      <c r="M705" s="74" t="s">
        <v>13</v>
      </c>
      <c r="N705" s="71" t="str">
        <f t="shared" si="10"/>
        <v>1</v>
      </c>
      <c r="O705" s="71" t="str">
        <f>INDEX(Кат!$D:$D,MATCH($A705,Кат!$A:$A,0))</f>
        <v>Y</v>
      </c>
    </row>
    <row r="706" spans="1:15" ht="45" x14ac:dyDescent="0.25">
      <c r="A706" s="73">
        <v>223560</v>
      </c>
      <c r="B706" s="73">
        <v>31378</v>
      </c>
      <c r="C706" s="74" t="s">
        <v>1839</v>
      </c>
      <c r="D706" s="74" t="s">
        <v>13</v>
      </c>
      <c r="E706" s="74" t="s">
        <v>1840</v>
      </c>
      <c r="F706" s="74" t="s">
        <v>1840</v>
      </c>
      <c r="G706" s="74" t="s">
        <v>15</v>
      </c>
      <c r="H706" s="75">
        <v>1208</v>
      </c>
      <c r="I706" s="75">
        <v>1890</v>
      </c>
      <c r="J706" s="74"/>
      <c r="K706" s="74" t="s">
        <v>37</v>
      </c>
      <c r="L706" s="74"/>
      <c r="M706" s="74" t="s">
        <v>13</v>
      </c>
      <c r="N706" s="71" t="str">
        <f t="shared" si="10"/>
        <v>0</v>
      </c>
      <c r="O706" s="71" t="str">
        <f>INDEX(Кат!$D:$D,MATCH($A706,Кат!$A:$A,0))</f>
        <v>Y</v>
      </c>
    </row>
    <row r="707" spans="1:15" ht="45" x14ac:dyDescent="0.25">
      <c r="A707" s="73">
        <v>223561</v>
      </c>
      <c r="B707" s="73">
        <v>46196</v>
      </c>
      <c r="C707" s="74" t="s">
        <v>1841</v>
      </c>
      <c r="D707" s="74" t="s">
        <v>13</v>
      </c>
      <c r="E707" s="74" t="s">
        <v>1842</v>
      </c>
      <c r="F707" s="74" t="s">
        <v>1843</v>
      </c>
      <c r="G707" s="74" t="s">
        <v>15</v>
      </c>
      <c r="H707" s="75">
        <v>615</v>
      </c>
      <c r="I707" s="75">
        <v>959</v>
      </c>
      <c r="J707" s="74"/>
      <c r="K707" s="74" t="s">
        <v>16</v>
      </c>
      <c r="L707" s="74"/>
      <c r="M707" s="74" t="s">
        <v>13</v>
      </c>
      <c r="N707" s="71" t="str">
        <f t="shared" ref="N707:N770" si="11">_xlfn.CONCAT(K707,IF(L707&lt;&gt;"",_xlfn.CONCAT("ск",L707),""))</f>
        <v>1</v>
      </c>
      <c r="O707" s="71" t="str">
        <f>INDEX(Кат!$D:$D,MATCH($A707,Кат!$A:$A,0))</f>
        <v>Y</v>
      </c>
    </row>
    <row r="708" spans="1:15" ht="45" x14ac:dyDescent="0.25">
      <c r="A708" s="73">
        <v>223562</v>
      </c>
      <c r="B708" s="73">
        <v>31379</v>
      </c>
      <c r="C708" s="74" t="s">
        <v>1844</v>
      </c>
      <c r="D708" s="74" t="s">
        <v>13</v>
      </c>
      <c r="E708" s="74" t="s">
        <v>1845</v>
      </c>
      <c r="F708" s="74" t="s">
        <v>1845</v>
      </c>
      <c r="G708" s="74" t="s">
        <v>15</v>
      </c>
      <c r="H708" s="75">
        <v>1215.47</v>
      </c>
      <c r="I708" s="75">
        <v>18890</v>
      </c>
      <c r="J708" s="74"/>
      <c r="K708" s="74" t="s">
        <v>16</v>
      </c>
      <c r="L708" s="74"/>
      <c r="M708" s="74" t="s">
        <v>13</v>
      </c>
      <c r="N708" s="71" t="str">
        <f t="shared" si="11"/>
        <v>1</v>
      </c>
      <c r="O708" s="71" t="str">
        <f>INDEX(Кат!$D:$D,MATCH($A708,Кат!$A:$A,0))</f>
        <v>Y</v>
      </c>
    </row>
    <row r="709" spans="1:15" ht="45" x14ac:dyDescent="0.25">
      <c r="A709" s="73">
        <v>223563</v>
      </c>
      <c r="B709" s="73">
        <v>46199</v>
      </c>
      <c r="C709" s="74" t="s">
        <v>1846</v>
      </c>
      <c r="D709" s="74" t="s">
        <v>13</v>
      </c>
      <c r="E709" s="74" t="s">
        <v>1847</v>
      </c>
      <c r="F709" s="74" t="s">
        <v>1848</v>
      </c>
      <c r="G709" s="74" t="s">
        <v>15</v>
      </c>
      <c r="H709" s="75">
        <v>142.5</v>
      </c>
      <c r="I709" s="75">
        <v>259</v>
      </c>
      <c r="J709" s="74"/>
      <c r="K709" s="74" t="s">
        <v>16</v>
      </c>
      <c r="L709" s="74"/>
      <c r="M709" s="74" t="s">
        <v>13</v>
      </c>
      <c r="N709" s="71" t="str">
        <f t="shared" si="11"/>
        <v>1</v>
      </c>
      <c r="O709" s="71" t="str">
        <f>INDEX(Кат!$D:$D,MATCH($A709,Кат!$A:$A,0))</f>
        <v>Y</v>
      </c>
    </row>
    <row r="710" spans="1:15" ht="45" x14ac:dyDescent="0.25">
      <c r="A710" s="73">
        <v>223564</v>
      </c>
      <c r="B710" s="73">
        <v>31266</v>
      </c>
      <c r="C710" s="74" t="s">
        <v>1849</v>
      </c>
      <c r="D710" s="74" t="s">
        <v>13</v>
      </c>
      <c r="E710" s="74" t="s">
        <v>1850</v>
      </c>
      <c r="F710" s="74" t="s">
        <v>1850</v>
      </c>
      <c r="G710" s="74" t="s">
        <v>15</v>
      </c>
      <c r="H710" s="75">
        <v>47</v>
      </c>
      <c r="I710" s="75">
        <v>99</v>
      </c>
      <c r="J710" s="74"/>
      <c r="K710" s="74" t="s">
        <v>16</v>
      </c>
      <c r="L710" s="74"/>
      <c r="M710" s="74" t="s">
        <v>13</v>
      </c>
      <c r="N710" s="71" t="str">
        <f t="shared" si="11"/>
        <v>1</v>
      </c>
      <c r="O710" s="71" t="str">
        <f>INDEX(Кат!$D:$D,MATCH($A710,Кат!$A:$A,0))</f>
        <v>Y</v>
      </c>
    </row>
    <row r="711" spans="1:15" ht="30" x14ac:dyDescent="0.25">
      <c r="A711" s="73">
        <v>223565</v>
      </c>
      <c r="B711" s="73">
        <v>31105</v>
      </c>
      <c r="C711" s="74" t="s">
        <v>1851</v>
      </c>
      <c r="D711" s="74" t="s">
        <v>13</v>
      </c>
      <c r="E711" s="74" t="s">
        <v>1852</v>
      </c>
      <c r="F711" s="74" t="s">
        <v>1852</v>
      </c>
      <c r="G711" s="74" t="s">
        <v>15</v>
      </c>
      <c r="H711" s="75">
        <v>8546.23</v>
      </c>
      <c r="I711" s="75">
        <v>11590</v>
      </c>
      <c r="J711" s="74"/>
      <c r="K711" s="74" t="s">
        <v>16</v>
      </c>
      <c r="L711" s="74"/>
      <c r="M711" s="74" t="s">
        <v>13</v>
      </c>
      <c r="N711" s="71" t="str">
        <f t="shared" si="11"/>
        <v>1</v>
      </c>
      <c r="O711" s="71" t="str">
        <f>INDEX(Кат!$D:$D,MATCH($A711,Кат!$A:$A,0))</f>
        <v>Y</v>
      </c>
    </row>
    <row r="712" spans="1:15" ht="75" x14ac:dyDescent="0.25">
      <c r="A712" s="73">
        <v>223566</v>
      </c>
      <c r="B712" s="73">
        <v>50569</v>
      </c>
      <c r="C712" s="74" t="s">
        <v>1853</v>
      </c>
      <c r="D712" s="74" t="s">
        <v>13</v>
      </c>
      <c r="E712" s="74" t="s">
        <v>1854</v>
      </c>
      <c r="F712" s="74" t="s">
        <v>1855</v>
      </c>
      <c r="G712" s="74" t="s">
        <v>15</v>
      </c>
      <c r="H712" s="75">
        <v>3139</v>
      </c>
      <c r="I712" s="75">
        <v>4390</v>
      </c>
      <c r="J712" s="74" t="s">
        <v>1856</v>
      </c>
      <c r="K712" s="74" t="s">
        <v>16</v>
      </c>
      <c r="L712" s="74"/>
      <c r="M712" s="74" t="s">
        <v>13</v>
      </c>
      <c r="N712" s="71" t="str">
        <f t="shared" si="11"/>
        <v>1</v>
      </c>
      <c r="O712" s="71" t="str">
        <f>INDEX(Кат!$D:$D,MATCH($A712,Кат!$A:$A,0))</f>
        <v>Y</v>
      </c>
    </row>
    <row r="713" spans="1:15" ht="75" x14ac:dyDescent="0.25">
      <c r="A713" s="73">
        <v>223567</v>
      </c>
      <c r="B713" s="73">
        <v>48634</v>
      </c>
      <c r="C713" s="74" t="s">
        <v>1857</v>
      </c>
      <c r="D713" s="74" t="s">
        <v>13</v>
      </c>
      <c r="E713" s="74" t="s">
        <v>1858</v>
      </c>
      <c r="F713" s="74" t="s">
        <v>1859</v>
      </c>
      <c r="G713" s="74" t="s">
        <v>15</v>
      </c>
      <c r="H713" s="75">
        <v>633</v>
      </c>
      <c r="I713" s="75">
        <v>989</v>
      </c>
      <c r="J713" s="74" t="s">
        <v>1860</v>
      </c>
      <c r="K713" s="74" t="s">
        <v>16</v>
      </c>
      <c r="L713" s="74" t="s">
        <v>16</v>
      </c>
      <c r="M713" s="74" t="s">
        <v>13</v>
      </c>
      <c r="N713" s="71" t="str">
        <f t="shared" si="11"/>
        <v>1ск1</v>
      </c>
      <c r="O713" s="71" t="str">
        <f>INDEX(Кат!$D:$D,MATCH($A713,Кат!$A:$A,0))</f>
        <v>Y</v>
      </c>
    </row>
    <row r="714" spans="1:15" ht="75" x14ac:dyDescent="0.25">
      <c r="A714" s="73">
        <v>223568</v>
      </c>
      <c r="B714" s="73">
        <v>48630</v>
      </c>
      <c r="C714" s="74" t="s">
        <v>1861</v>
      </c>
      <c r="D714" s="74" t="s">
        <v>13</v>
      </c>
      <c r="E714" s="74" t="s">
        <v>1862</v>
      </c>
      <c r="F714" s="74" t="s">
        <v>1863</v>
      </c>
      <c r="G714" s="74" t="s">
        <v>15</v>
      </c>
      <c r="H714" s="75">
        <v>639</v>
      </c>
      <c r="I714" s="75">
        <v>999</v>
      </c>
      <c r="J714" s="74" t="s">
        <v>1864</v>
      </c>
      <c r="K714" s="74" t="s">
        <v>16</v>
      </c>
      <c r="L714" s="74"/>
      <c r="M714" s="74" t="s">
        <v>13</v>
      </c>
      <c r="N714" s="71" t="str">
        <f t="shared" si="11"/>
        <v>1</v>
      </c>
      <c r="O714" s="71" t="str">
        <f>INDEX(Кат!$D:$D,MATCH($A714,Кат!$A:$A,0))</f>
        <v>Y</v>
      </c>
    </row>
    <row r="715" spans="1:15" ht="30" x14ac:dyDescent="0.25">
      <c r="A715" s="73">
        <v>223569</v>
      </c>
      <c r="B715" s="73">
        <v>31106</v>
      </c>
      <c r="C715" s="74" t="s">
        <v>1865</v>
      </c>
      <c r="D715" s="74" t="s">
        <v>13</v>
      </c>
      <c r="E715" s="74" t="s">
        <v>1866</v>
      </c>
      <c r="F715" s="74" t="s">
        <v>1866</v>
      </c>
      <c r="G715" s="74" t="s">
        <v>15</v>
      </c>
      <c r="H715" s="75">
        <v>2130</v>
      </c>
      <c r="I715" s="75">
        <v>2990</v>
      </c>
      <c r="J715" s="74"/>
      <c r="K715" s="74" t="s">
        <v>16</v>
      </c>
      <c r="L715" s="74"/>
      <c r="M715" s="74" t="s">
        <v>13</v>
      </c>
      <c r="N715" s="71" t="str">
        <f t="shared" si="11"/>
        <v>1</v>
      </c>
      <c r="O715" s="71" t="str">
        <f>INDEX(Кат!$D:$D,MATCH($A715,Кат!$A:$A,0))</f>
        <v>Y</v>
      </c>
    </row>
    <row r="716" spans="1:15" ht="75" x14ac:dyDescent="0.25">
      <c r="A716" s="73">
        <v>223570</v>
      </c>
      <c r="B716" s="73">
        <v>23548</v>
      </c>
      <c r="C716" s="74" t="s">
        <v>1867</v>
      </c>
      <c r="D716" s="74" t="s">
        <v>13</v>
      </c>
      <c r="E716" s="74" t="s">
        <v>1868</v>
      </c>
      <c r="F716" s="74" t="s">
        <v>1868</v>
      </c>
      <c r="G716" s="74" t="s">
        <v>15</v>
      </c>
      <c r="H716" s="75">
        <v>550</v>
      </c>
      <c r="I716" s="75">
        <v>859</v>
      </c>
      <c r="J716" s="74" t="s">
        <v>1869</v>
      </c>
      <c r="K716" s="74" t="s">
        <v>16</v>
      </c>
      <c r="L716" s="74"/>
      <c r="M716" s="74"/>
      <c r="N716" s="71" t="str">
        <f t="shared" si="11"/>
        <v>1</v>
      </c>
      <c r="O716" s="71" t="str">
        <f>INDEX(Кат!$D:$D,MATCH($A716,Кат!$A:$A,0))</f>
        <v>Y</v>
      </c>
    </row>
    <row r="717" spans="1:15" ht="75" x14ac:dyDescent="0.25">
      <c r="A717" s="73">
        <v>223571</v>
      </c>
      <c r="B717" s="73">
        <v>23547</v>
      </c>
      <c r="C717" s="74" t="s">
        <v>1870</v>
      </c>
      <c r="D717" s="74" t="s">
        <v>13</v>
      </c>
      <c r="E717" s="74" t="s">
        <v>1871</v>
      </c>
      <c r="F717" s="74" t="s">
        <v>1871</v>
      </c>
      <c r="G717" s="74" t="s">
        <v>15</v>
      </c>
      <c r="H717" s="75">
        <v>550</v>
      </c>
      <c r="I717" s="75">
        <v>859</v>
      </c>
      <c r="J717" s="74" t="s">
        <v>1872</v>
      </c>
      <c r="K717" s="74" t="s">
        <v>16</v>
      </c>
      <c r="L717" s="74" t="s">
        <v>16</v>
      </c>
      <c r="M717" s="74"/>
      <c r="N717" s="71" t="str">
        <f t="shared" si="11"/>
        <v>1ск1</v>
      </c>
      <c r="O717" s="71" t="str">
        <f>INDEX(Кат!$D:$D,MATCH($A717,Кат!$A:$A,0))</f>
        <v>Y</v>
      </c>
    </row>
    <row r="718" spans="1:15" ht="60" x14ac:dyDescent="0.25">
      <c r="A718" s="73">
        <v>223572</v>
      </c>
      <c r="B718" s="73">
        <v>31244</v>
      </c>
      <c r="C718" s="74" t="s">
        <v>1873</v>
      </c>
      <c r="D718" s="74" t="s">
        <v>13</v>
      </c>
      <c r="E718" s="74" t="s">
        <v>1874</v>
      </c>
      <c r="F718" s="74" t="s">
        <v>1874</v>
      </c>
      <c r="G718" s="74" t="s">
        <v>15</v>
      </c>
      <c r="H718" s="75">
        <v>821</v>
      </c>
      <c r="I718" s="75">
        <v>1290</v>
      </c>
      <c r="J718" s="74" t="s">
        <v>1875</v>
      </c>
      <c r="K718" s="74" t="s">
        <v>16</v>
      </c>
      <c r="L718" s="74"/>
      <c r="M718" s="74" t="s">
        <v>13</v>
      </c>
      <c r="N718" s="71" t="str">
        <f t="shared" si="11"/>
        <v>1</v>
      </c>
      <c r="O718" s="71" t="str">
        <f>INDEX(Кат!$D:$D,MATCH($A718,Кат!$A:$A,0))</f>
        <v>Y</v>
      </c>
    </row>
    <row r="719" spans="1:15" ht="75" x14ac:dyDescent="0.25">
      <c r="A719" s="73">
        <v>223573</v>
      </c>
      <c r="B719" s="73">
        <v>31245</v>
      </c>
      <c r="C719" s="74" t="s">
        <v>1876</v>
      </c>
      <c r="D719" s="74" t="s">
        <v>13</v>
      </c>
      <c r="E719" s="74" t="s">
        <v>1877</v>
      </c>
      <c r="F719" s="74" t="s">
        <v>1877</v>
      </c>
      <c r="G719" s="74" t="s">
        <v>15</v>
      </c>
      <c r="H719" s="75">
        <v>714.37</v>
      </c>
      <c r="I719" s="75">
        <v>1190</v>
      </c>
      <c r="J719" s="74" t="s">
        <v>1878</v>
      </c>
      <c r="K719" s="74" t="s">
        <v>16</v>
      </c>
      <c r="L719" s="74"/>
      <c r="M719" s="74" t="s">
        <v>13</v>
      </c>
      <c r="N719" s="71" t="str">
        <f t="shared" si="11"/>
        <v>1</v>
      </c>
      <c r="O719" s="71" t="str">
        <f>INDEX(Кат!$D:$D,MATCH($A719,Кат!$A:$A,0))</f>
        <v>Y</v>
      </c>
    </row>
    <row r="720" spans="1:15" ht="75" x14ac:dyDescent="0.25">
      <c r="A720" s="73">
        <v>223574</v>
      </c>
      <c r="B720" s="73">
        <v>31185</v>
      </c>
      <c r="C720" s="74" t="s">
        <v>1879</v>
      </c>
      <c r="D720" s="74" t="s">
        <v>13</v>
      </c>
      <c r="E720" s="74" t="s">
        <v>1880</v>
      </c>
      <c r="F720" s="74" t="s">
        <v>1880</v>
      </c>
      <c r="G720" s="74" t="s">
        <v>15</v>
      </c>
      <c r="H720" s="75">
        <v>1240</v>
      </c>
      <c r="I720" s="75">
        <v>1890</v>
      </c>
      <c r="J720" s="74" t="s">
        <v>1881</v>
      </c>
      <c r="K720" s="74" t="s">
        <v>16</v>
      </c>
      <c r="L720" s="74"/>
      <c r="M720" s="74" t="s">
        <v>13</v>
      </c>
      <c r="N720" s="71" t="str">
        <f t="shared" si="11"/>
        <v>1</v>
      </c>
      <c r="O720" s="71" t="str">
        <f>INDEX(Кат!$D:$D,MATCH($A720,Кат!$A:$A,0))</f>
        <v>Y</v>
      </c>
    </row>
    <row r="721" spans="1:15" ht="45" x14ac:dyDescent="0.25">
      <c r="A721" s="73">
        <v>223581</v>
      </c>
      <c r="B721" s="73">
        <v>50900</v>
      </c>
      <c r="C721" s="74" t="s">
        <v>1882</v>
      </c>
      <c r="D721" s="74" t="s">
        <v>13</v>
      </c>
      <c r="E721" s="74" t="s">
        <v>1883</v>
      </c>
      <c r="F721" s="74" t="s">
        <v>1884</v>
      </c>
      <c r="G721" s="74" t="s">
        <v>15</v>
      </c>
      <c r="H721" s="75">
        <v>1856</v>
      </c>
      <c r="I721" s="75">
        <v>2790</v>
      </c>
      <c r="J721" s="74"/>
      <c r="K721" s="74" t="s">
        <v>16</v>
      </c>
      <c r="L721" s="74"/>
      <c r="M721" s="74" t="s">
        <v>13</v>
      </c>
      <c r="N721" s="71" t="str">
        <f t="shared" si="11"/>
        <v>1</v>
      </c>
      <c r="O721" s="71" t="str">
        <f>INDEX(Кат!$D:$D,MATCH($A721,Кат!$A:$A,0))</f>
        <v>Y</v>
      </c>
    </row>
    <row r="722" spans="1:15" ht="75" x14ac:dyDescent="0.25">
      <c r="A722" s="73">
        <v>223582</v>
      </c>
      <c r="B722" s="73">
        <v>31268</v>
      </c>
      <c r="C722" s="74" t="s">
        <v>1885</v>
      </c>
      <c r="D722" s="74" t="s">
        <v>13</v>
      </c>
      <c r="E722" s="74" t="s">
        <v>1886</v>
      </c>
      <c r="F722" s="74" t="s">
        <v>1886</v>
      </c>
      <c r="G722" s="74" t="s">
        <v>15</v>
      </c>
      <c r="H722" s="75">
        <v>1050</v>
      </c>
      <c r="I722" s="75">
        <v>1590</v>
      </c>
      <c r="J722" s="74" t="s">
        <v>1887</v>
      </c>
      <c r="K722" s="74" t="s">
        <v>16</v>
      </c>
      <c r="L722" s="74"/>
      <c r="M722" s="74" t="s">
        <v>13</v>
      </c>
      <c r="N722" s="71" t="str">
        <f t="shared" si="11"/>
        <v>1</v>
      </c>
      <c r="O722" s="71" t="str">
        <f>INDEX(Кат!$D:$D,MATCH($A722,Кат!$A:$A,0))</f>
        <v>Y</v>
      </c>
    </row>
    <row r="723" spans="1:15" ht="45" x14ac:dyDescent="0.25">
      <c r="A723" s="73">
        <v>223583</v>
      </c>
      <c r="B723" s="73">
        <v>50750</v>
      </c>
      <c r="C723" s="74" t="s">
        <v>1888</v>
      </c>
      <c r="D723" s="74" t="s">
        <v>13</v>
      </c>
      <c r="E723" s="74" t="s">
        <v>1889</v>
      </c>
      <c r="F723" s="74" t="s">
        <v>1890</v>
      </c>
      <c r="G723" s="74" t="s">
        <v>15</v>
      </c>
      <c r="H723" s="75">
        <v>5444</v>
      </c>
      <c r="I723" s="75">
        <v>7390</v>
      </c>
      <c r="J723" s="74"/>
      <c r="K723" s="74" t="s">
        <v>16</v>
      </c>
      <c r="L723" s="74"/>
      <c r="M723" s="74" t="s">
        <v>13</v>
      </c>
      <c r="N723" s="71" t="str">
        <f t="shared" si="11"/>
        <v>1</v>
      </c>
      <c r="O723" s="71" t="str">
        <f>INDEX(Кат!$D:$D,MATCH($A723,Кат!$A:$A,0))</f>
        <v>Y</v>
      </c>
    </row>
    <row r="724" spans="1:15" ht="45" x14ac:dyDescent="0.25">
      <c r="A724" s="73">
        <v>223593</v>
      </c>
      <c r="B724" s="73">
        <v>31441</v>
      </c>
      <c r="C724" s="74" t="s">
        <v>1891</v>
      </c>
      <c r="D724" s="74" t="s">
        <v>13</v>
      </c>
      <c r="E724" s="74" t="s">
        <v>1892</v>
      </c>
      <c r="F724" s="74" t="s">
        <v>1892</v>
      </c>
      <c r="G724" s="74" t="s">
        <v>15</v>
      </c>
      <c r="H724" s="75">
        <v>45</v>
      </c>
      <c r="I724" s="75">
        <v>89</v>
      </c>
      <c r="J724" s="74"/>
      <c r="K724" s="74" t="s">
        <v>16</v>
      </c>
      <c r="L724" s="74" t="s">
        <v>16</v>
      </c>
      <c r="M724" s="74" t="s">
        <v>13</v>
      </c>
      <c r="N724" s="71" t="str">
        <f t="shared" si="11"/>
        <v>1ск1</v>
      </c>
      <c r="O724" s="71" t="str">
        <f>INDEX(Кат!$D:$D,MATCH($A724,Кат!$A:$A,0))</f>
        <v>Y</v>
      </c>
    </row>
    <row r="725" spans="1:15" ht="75" x14ac:dyDescent="0.25">
      <c r="A725" s="73">
        <v>223594</v>
      </c>
      <c r="B725" s="73">
        <v>31206</v>
      </c>
      <c r="C725" s="74" t="s">
        <v>1893</v>
      </c>
      <c r="D725" s="74" t="s">
        <v>13</v>
      </c>
      <c r="E725" s="74" t="s">
        <v>1894</v>
      </c>
      <c r="F725" s="74" t="s">
        <v>1894</v>
      </c>
      <c r="G725" s="74" t="s">
        <v>15</v>
      </c>
      <c r="H725" s="75">
        <v>35</v>
      </c>
      <c r="I725" s="75">
        <v>69</v>
      </c>
      <c r="J725" s="74" t="s">
        <v>1895</v>
      </c>
      <c r="K725" s="74" t="s">
        <v>16</v>
      </c>
      <c r="L725" s="74"/>
      <c r="M725" s="74" t="s">
        <v>13</v>
      </c>
      <c r="N725" s="71" t="str">
        <f t="shared" si="11"/>
        <v>1</v>
      </c>
      <c r="O725" s="71" t="str">
        <f>INDEX(Кат!$D:$D,MATCH($A725,Кат!$A:$A,0))</f>
        <v>Y</v>
      </c>
    </row>
    <row r="726" spans="1:15" ht="60" x14ac:dyDescent="0.25">
      <c r="A726" s="73">
        <v>223595</v>
      </c>
      <c r="B726" s="73">
        <v>30990</v>
      </c>
      <c r="C726" s="74" t="s">
        <v>1896</v>
      </c>
      <c r="D726" s="74" t="s">
        <v>13</v>
      </c>
      <c r="E726" s="74" t="s">
        <v>1897</v>
      </c>
      <c r="F726" s="74" t="s">
        <v>1897</v>
      </c>
      <c r="G726" s="74" t="s">
        <v>15</v>
      </c>
      <c r="H726" s="75">
        <v>446</v>
      </c>
      <c r="I726" s="75">
        <v>719</v>
      </c>
      <c r="J726" s="74"/>
      <c r="K726" s="74" t="s">
        <v>16</v>
      </c>
      <c r="L726" s="74"/>
      <c r="M726" s="74" t="s">
        <v>13</v>
      </c>
      <c r="N726" s="71" t="str">
        <f t="shared" si="11"/>
        <v>1</v>
      </c>
      <c r="O726" s="71" t="str">
        <f>INDEX(Кат!$D:$D,MATCH($A726,Кат!$A:$A,0))</f>
        <v>Y</v>
      </c>
    </row>
    <row r="727" spans="1:15" ht="75" x14ac:dyDescent="0.25">
      <c r="A727" s="73">
        <v>223596</v>
      </c>
      <c r="B727" s="73">
        <v>31207</v>
      </c>
      <c r="C727" s="74" t="s">
        <v>1898</v>
      </c>
      <c r="D727" s="74" t="s">
        <v>13</v>
      </c>
      <c r="E727" s="74" t="s">
        <v>1899</v>
      </c>
      <c r="F727" s="74" t="s">
        <v>1899</v>
      </c>
      <c r="G727" s="74" t="s">
        <v>15</v>
      </c>
      <c r="H727" s="75">
        <v>316</v>
      </c>
      <c r="I727" s="75">
        <v>509</v>
      </c>
      <c r="J727" s="74" t="s">
        <v>1900</v>
      </c>
      <c r="K727" s="74" t="s">
        <v>16</v>
      </c>
      <c r="L727" s="74"/>
      <c r="M727" s="74" t="s">
        <v>13</v>
      </c>
      <c r="N727" s="71" t="str">
        <f t="shared" si="11"/>
        <v>1</v>
      </c>
      <c r="O727" s="71" t="str">
        <f>INDEX(Кат!$D:$D,MATCH($A727,Кат!$A:$A,0))</f>
        <v>Y</v>
      </c>
    </row>
    <row r="728" spans="1:15" ht="45" x14ac:dyDescent="0.25">
      <c r="A728" s="73">
        <v>223597</v>
      </c>
      <c r="B728" s="73">
        <v>31235</v>
      </c>
      <c r="C728" s="74" t="s">
        <v>1901</v>
      </c>
      <c r="D728" s="74" t="s">
        <v>13</v>
      </c>
      <c r="E728" s="74" t="s">
        <v>1902</v>
      </c>
      <c r="F728" s="74" t="s">
        <v>1902</v>
      </c>
      <c r="G728" s="74" t="s">
        <v>15</v>
      </c>
      <c r="H728" s="75">
        <v>734</v>
      </c>
      <c r="I728" s="75">
        <v>1190</v>
      </c>
      <c r="J728" s="74"/>
      <c r="K728" s="74" t="s">
        <v>16</v>
      </c>
      <c r="L728" s="74"/>
      <c r="M728" s="74" t="s">
        <v>13</v>
      </c>
      <c r="N728" s="71" t="str">
        <f t="shared" si="11"/>
        <v>1</v>
      </c>
      <c r="O728" s="71" t="str">
        <f>INDEX(Кат!$D:$D,MATCH($A728,Кат!$A:$A,0))</f>
        <v>Y</v>
      </c>
    </row>
    <row r="729" spans="1:15" ht="30" x14ac:dyDescent="0.25">
      <c r="A729" s="73">
        <v>223598</v>
      </c>
      <c r="B729" s="73">
        <v>31042</v>
      </c>
      <c r="C729" s="74" t="s">
        <v>1903</v>
      </c>
      <c r="D729" s="74" t="s">
        <v>13</v>
      </c>
      <c r="E729" s="74" t="s">
        <v>1904</v>
      </c>
      <c r="F729" s="74" t="s">
        <v>1904</v>
      </c>
      <c r="G729" s="74" t="s">
        <v>15</v>
      </c>
      <c r="H729" s="75">
        <v>2709</v>
      </c>
      <c r="I729" s="75">
        <v>3790</v>
      </c>
      <c r="J729" s="74"/>
      <c r="K729" s="74" t="s">
        <v>16</v>
      </c>
      <c r="L729" s="74"/>
      <c r="M729" s="74" t="s">
        <v>13</v>
      </c>
      <c r="N729" s="71" t="str">
        <f t="shared" si="11"/>
        <v>1</v>
      </c>
      <c r="O729" s="71" t="str">
        <f>INDEX(Кат!$D:$D,MATCH($A729,Кат!$A:$A,0))</f>
        <v>Y</v>
      </c>
    </row>
    <row r="730" spans="1:15" ht="45" x14ac:dyDescent="0.25">
      <c r="A730" s="73">
        <v>223599</v>
      </c>
      <c r="B730" s="73">
        <v>31047</v>
      </c>
      <c r="C730" s="74" t="s">
        <v>1905</v>
      </c>
      <c r="D730" s="74" t="s">
        <v>13</v>
      </c>
      <c r="E730" s="74" t="s">
        <v>1906</v>
      </c>
      <c r="F730" s="74" t="s">
        <v>1906</v>
      </c>
      <c r="G730" s="74" t="s">
        <v>15</v>
      </c>
      <c r="H730" s="75">
        <v>783</v>
      </c>
      <c r="I730" s="75">
        <v>1290</v>
      </c>
      <c r="J730" s="74"/>
      <c r="K730" s="74" t="s">
        <v>16</v>
      </c>
      <c r="L730" s="74"/>
      <c r="M730" s="74" t="s">
        <v>13</v>
      </c>
      <c r="N730" s="71" t="str">
        <f t="shared" si="11"/>
        <v>1</v>
      </c>
      <c r="O730" s="71" t="str">
        <f>INDEX(Кат!$D:$D,MATCH($A730,Кат!$A:$A,0))</f>
        <v>Y</v>
      </c>
    </row>
    <row r="731" spans="1:15" ht="45" x14ac:dyDescent="0.25">
      <c r="A731" s="73">
        <v>223601</v>
      </c>
      <c r="B731" s="73">
        <v>31414</v>
      </c>
      <c r="C731" s="74" t="s">
        <v>1907</v>
      </c>
      <c r="D731" s="74" t="s">
        <v>13</v>
      </c>
      <c r="E731" s="74" t="s">
        <v>1908</v>
      </c>
      <c r="F731" s="74" t="s">
        <v>1908</v>
      </c>
      <c r="G731" s="74" t="s">
        <v>15</v>
      </c>
      <c r="H731" s="75">
        <v>151</v>
      </c>
      <c r="I731" s="75">
        <v>279</v>
      </c>
      <c r="J731" s="74" t="s">
        <v>1909</v>
      </c>
      <c r="K731" s="74" t="s">
        <v>16</v>
      </c>
      <c r="L731" s="74"/>
      <c r="M731" s="74" t="s">
        <v>13</v>
      </c>
      <c r="N731" s="71" t="str">
        <f t="shared" si="11"/>
        <v>1</v>
      </c>
      <c r="O731" s="71" t="str">
        <f>INDEX(Кат!$D:$D,MATCH($A731,Кат!$A:$A,0))</f>
        <v>Y</v>
      </c>
    </row>
    <row r="732" spans="1:15" ht="30" x14ac:dyDescent="0.25">
      <c r="A732" s="73">
        <v>223602</v>
      </c>
      <c r="B732" s="73">
        <v>31111</v>
      </c>
      <c r="C732" s="74" t="s">
        <v>1910</v>
      </c>
      <c r="D732" s="74" t="s">
        <v>13</v>
      </c>
      <c r="E732" s="74" t="s">
        <v>1911</v>
      </c>
      <c r="F732" s="74" t="s">
        <v>1911</v>
      </c>
      <c r="G732" s="74" t="s">
        <v>15</v>
      </c>
      <c r="H732" s="75">
        <v>707</v>
      </c>
      <c r="I732" s="75">
        <v>1090</v>
      </c>
      <c r="J732" s="74"/>
      <c r="K732" s="74" t="s">
        <v>16</v>
      </c>
      <c r="L732" s="74"/>
      <c r="M732" s="74" t="s">
        <v>13</v>
      </c>
      <c r="N732" s="71" t="str">
        <f t="shared" si="11"/>
        <v>1</v>
      </c>
      <c r="O732" s="71" t="str">
        <f>INDEX(Кат!$D:$D,MATCH($A732,Кат!$A:$A,0))</f>
        <v>Y</v>
      </c>
    </row>
    <row r="733" spans="1:15" ht="30" x14ac:dyDescent="0.25">
      <c r="A733" s="73">
        <v>223603</v>
      </c>
      <c r="B733" s="73">
        <v>50181</v>
      </c>
      <c r="C733" s="74" t="s">
        <v>1912</v>
      </c>
      <c r="D733" s="74" t="s">
        <v>13</v>
      </c>
      <c r="E733" s="74" t="s">
        <v>1913</v>
      </c>
      <c r="F733" s="74" t="s">
        <v>1914</v>
      </c>
      <c r="G733" s="74" t="s">
        <v>15</v>
      </c>
      <c r="H733" s="75">
        <v>668</v>
      </c>
      <c r="I733" s="75">
        <v>1090</v>
      </c>
      <c r="J733" s="74"/>
      <c r="K733" s="74" t="s">
        <v>16</v>
      </c>
      <c r="L733" s="74" t="s">
        <v>16</v>
      </c>
      <c r="M733" s="74" t="s">
        <v>13</v>
      </c>
      <c r="N733" s="71" t="str">
        <f t="shared" si="11"/>
        <v>1ск1</v>
      </c>
      <c r="O733" s="71" t="str">
        <f>INDEX(Кат!$D:$D,MATCH($A733,Кат!$A:$A,0))</f>
        <v>Y</v>
      </c>
    </row>
    <row r="734" spans="1:15" ht="30" x14ac:dyDescent="0.25">
      <c r="A734" s="73">
        <v>223604</v>
      </c>
      <c r="B734" s="73">
        <v>44899</v>
      </c>
      <c r="C734" s="74" t="s">
        <v>1915</v>
      </c>
      <c r="D734" s="74" t="s">
        <v>13</v>
      </c>
      <c r="E734" s="74" t="s">
        <v>1916</v>
      </c>
      <c r="F734" s="74" t="s">
        <v>1917</v>
      </c>
      <c r="G734" s="74" t="s">
        <v>15</v>
      </c>
      <c r="H734" s="75">
        <v>570</v>
      </c>
      <c r="I734" s="75">
        <v>889</v>
      </c>
      <c r="J734" s="74" t="s">
        <v>1918</v>
      </c>
      <c r="K734" s="74" t="s">
        <v>16</v>
      </c>
      <c r="L734" s="74"/>
      <c r="M734" s="74" t="s">
        <v>13</v>
      </c>
      <c r="N734" s="71" t="str">
        <f t="shared" si="11"/>
        <v>1</v>
      </c>
      <c r="O734" s="71" t="str">
        <f>INDEX(Кат!$D:$D,MATCH($A734,Кат!$A:$A,0))</f>
        <v>Y</v>
      </c>
    </row>
    <row r="735" spans="1:15" ht="75" x14ac:dyDescent="0.25">
      <c r="A735" s="73">
        <v>223605</v>
      </c>
      <c r="B735" s="73">
        <v>31254</v>
      </c>
      <c r="C735" s="74" t="s">
        <v>1919</v>
      </c>
      <c r="D735" s="74" t="s">
        <v>13</v>
      </c>
      <c r="E735" s="74" t="s">
        <v>1920</v>
      </c>
      <c r="F735" s="74" t="s">
        <v>1920</v>
      </c>
      <c r="G735" s="74" t="s">
        <v>15</v>
      </c>
      <c r="H735" s="75">
        <v>208.59</v>
      </c>
      <c r="I735" s="75">
        <v>379</v>
      </c>
      <c r="J735" s="74" t="s">
        <v>1921</v>
      </c>
      <c r="K735" s="74" t="s">
        <v>16</v>
      </c>
      <c r="L735" s="74"/>
      <c r="M735" s="74" t="s">
        <v>13</v>
      </c>
      <c r="N735" s="71" t="str">
        <f t="shared" si="11"/>
        <v>1</v>
      </c>
      <c r="O735" s="71" t="str">
        <f>INDEX(Кат!$D:$D,MATCH($A735,Кат!$A:$A,0))</f>
        <v>Y</v>
      </c>
    </row>
    <row r="736" spans="1:15" ht="75" x14ac:dyDescent="0.25">
      <c r="A736" s="73">
        <v>223606</v>
      </c>
      <c r="B736" s="73">
        <v>31267</v>
      </c>
      <c r="C736" s="74" t="s">
        <v>1922</v>
      </c>
      <c r="D736" s="74" t="s">
        <v>13</v>
      </c>
      <c r="E736" s="74" t="s">
        <v>1923</v>
      </c>
      <c r="F736" s="74" t="s">
        <v>1923</v>
      </c>
      <c r="G736" s="74" t="s">
        <v>15</v>
      </c>
      <c r="H736" s="75">
        <v>210</v>
      </c>
      <c r="I736" s="75">
        <v>379</v>
      </c>
      <c r="J736" s="74" t="s">
        <v>1924</v>
      </c>
      <c r="K736" s="74" t="s">
        <v>16</v>
      </c>
      <c r="L736" s="74"/>
      <c r="M736" s="74" t="s">
        <v>13</v>
      </c>
      <c r="N736" s="71" t="str">
        <f t="shared" si="11"/>
        <v>1</v>
      </c>
      <c r="O736" s="71" t="str">
        <f>INDEX(Кат!$D:$D,MATCH($A736,Кат!$A:$A,0))</f>
        <v>Y</v>
      </c>
    </row>
    <row r="737" spans="1:15" ht="60" x14ac:dyDescent="0.25">
      <c r="A737" s="73">
        <v>223607</v>
      </c>
      <c r="B737" s="73">
        <v>31262</v>
      </c>
      <c r="C737" s="74" t="s">
        <v>1925</v>
      </c>
      <c r="D737" s="74" t="s">
        <v>13</v>
      </c>
      <c r="E737" s="74" t="s">
        <v>1926</v>
      </c>
      <c r="F737" s="74" t="s">
        <v>1926</v>
      </c>
      <c r="G737" s="74" t="s">
        <v>15</v>
      </c>
      <c r="H737" s="75">
        <v>231</v>
      </c>
      <c r="I737" s="75">
        <v>419</v>
      </c>
      <c r="J737" s="74" t="s">
        <v>1927</v>
      </c>
      <c r="K737" s="74" t="s">
        <v>16</v>
      </c>
      <c r="L737" s="74"/>
      <c r="M737" s="74" t="s">
        <v>13</v>
      </c>
      <c r="N737" s="71" t="str">
        <f t="shared" si="11"/>
        <v>1</v>
      </c>
      <c r="O737" s="71" t="str">
        <f>INDEX(Кат!$D:$D,MATCH($A737,Кат!$A:$A,0))</f>
        <v>Y</v>
      </c>
    </row>
    <row r="738" spans="1:15" ht="30" x14ac:dyDescent="0.25">
      <c r="A738" s="73">
        <v>223608</v>
      </c>
      <c r="B738" s="73">
        <v>32666</v>
      </c>
      <c r="C738" s="74" t="s">
        <v>1928</v>
      </c>
      <c r="D738" s="74" t="s">
        <v>13</v>
      </c>
      <c r="E738" s="74" t="s">
        <v>1929</v>
      </c>
      <c r="F738" s="74" t="s">
        <v>1929</v>
      </c>
      <c r="G738" s="74" t="s">
        <v>15</v>
      </c>
      <c r="H738" s="75">
        <v>352</v>
      </c>
      <c r="I738" s="75">
        <v>569</v>
      </c>
      <c r="J738" s="74"/>
      <c r="K738" s="74" t="s">
        <v>16</v>
      </c>
      <c r="L738" s="74"/>
      <c r="M738" s="74" t="s">
        <v>13</v>
      </c>
      <c r="N738" s="71" t="str">
        <f t="shared" si="11"/>
        <v>1</v>
      </c>
      <c r="O738" s="71" t="str">
        <f>INDEX(Кат!$D:$D,MATCH($A738,Кат!$A:$A,0))</f>
        <v>Y</v>
      </c>
    </row>
    <row r="739" spans="1:15" ht="60" x14ac:dyDescent="0.25">
      <c r="A739" s="73">
        <v>223624</v>
      </c>
      <c r="B739" s="73">
        <v>23538</v>
      </c>
      <c r="C739" s="74" t="s">
        <v>1930</v>
      </c>
      <c r="D739" s="74" t="s">
        <v>13</v>
      </c>
      <c r="E739" s="74" t="s">
        <v>1931</v>
      </c>
      <c r="F739" s="74" t="s">
        <v>1931</v>
      </c>
      <c r="G739" s="74" t="s">
        <v>15</v>
      </c>
      <c r="H739" s="75">
        <v>749</v>
      </c>
      <c r="I739" s="75">
        <v>1190</v>
      </c>
      <c r="J739" s="74"/>
      <c r="K739" s="74" t="s">
        <v>37</v>
      </c>
      <c r="L739" s="74"/>
      <c r="M739" s="74" t="s">
        <v>13</v>
      </c>
      <c r="N739" s="71" t="str">
        <f t="shared" si="11"/>
        <v>0</v>
      </c>
      <c r="O739" s="71" t="str">
        <f>INDEX(Кат!$D:$D,MATCH($A739,Кат!$A:$A,0))</f>
        <v>Y</v>
      </c>
    </row>
    <row r="740" spans="1:15" ht="60" x14ac:dyDescent="0.25">
      <c r="A740" s="73">
        <v>223625</v>
      </c>
      <c r="B740" s="73">
        <v>23537</v>
      </c>
      <c r="C740" s="74" t="s">
        <v>1932</v>
      </c>
      <c r="D740" s="74" t="s">
        <v>13</v>
      </c>
      <c r="E740" s="74" t="s">
        <v>1933</v>
      </c>
      <c r="F740" s="74" t="s">
        <v>1933</v>
      </c>
      <c r="G740" s="74" t="s">
        <v>15</v>
      </c>
      <c r="H740" s="75">
        <v>1110</v>
      </c>
      <c r="I740" s="75">
        <v>1690</v>
      </c>
      <c r="J740" s="74"/>
      <c r="K740" s="74" t="s">
        <v>37</v>
      </c>
      <c r="L740" s="74"/>
      <c r="M740" s="74" t="s">
        <v>13</v>
      </c>
      <c r="N740" s="71" t="str">
        <f t="shared" si="11"/>
        <v>0</v>
      </c>
      <c r="O740" s="71" t="str">
        <f>INDEX(Кат!$D:$D,MATCH($A740,Кат!$A:$A,0))</f>
        <v>Y</v>
      </c>
    </row>
    <row r="741" spans="1:15" ht="75" x14ac:dyDescent="0.25">
      <c r="A741" s="73">
        <v>223626</v>
      </c>
      <c r="B741" s="73">
        <v>32743</v>
      </c>
      <c r="C741" s="74" t="s">
        <v>1934</v>
      </c>
      <c r="D741" s="74" t="s">
        <v>13</v>
      </c>
      <c r="E741" s="74" t="s">
        <v>1935</v>
      </c>
      <c r="F741" s="74" t="s">
        <v>1935</v>
      </c>
      <c r="G741" s="74" t="s">
        <v>15</v>
      </c>
      <c r="H741" s="75">
        <v>2406</v>
      </c>
      <c r="I741" s="75">
        <v>3390</v>
      </c>
      <c r="J741" s="74" t="s">
        <v>1936</v>
      </c>
      <c r="K741" s="74" t="s">
        <v>16</v>
      </c>
      <c r="L741" s="74"/>
      <c r="M741" s="74" t="s">
        <v>13</v>
      </c>
      <c r="N741" s="71" t="str">
        <f t="shared" si="11"/>
        <v>1</v>
      </c>
      <c r="O741" s="71" t="str">
        <f>INDEX(Кат!$D:$D,MATCH($A741,Кат!$A:$A,0))</f>
        <v>Y</v>
      </c>
    </row>
    <row r="742" spans="1:15" ht="45" x14ac:dyDescent="0.25">
      <c r="A742" s="73">
        <v>223627</v>
      </c>
      <c r="B742" s="73">
        <v>31431</v>
      </c>
      <c r="C742" s="74" t="s">
        <v>1937</v>
      </c>
      <c r="D742" s="74" t="s">
        <v>13</v>
      </c>
      <c r="E742" s="74" t="s">
        <v>1623</v>
      </c>
      <c r="F742" s="74" t="s">
        <v>1623</v>
      </c>
      <c r="G742" s="74" t="s">
        <v>15</v>
      </c>
      <c r="H742" s="75">
        <v>114</v>
      </c>
      <c r="I742" s="75">
        <v>209</v>
      </c>
      <c r="J742" s="74"/>
      <c r="K742" s="74" t="s">
        <v>16</v>
      </c>
      <c r="L742" s="74"/>
      <c r="M742" s="74" t="s">
        <v>13</v>
      </c>
      <c r="N742" s="71" t="str">
        <f t="shared" si="11"/>
        <v>1</v>
      </c>
      <c r="O742" s="71" t="str">
        <f>INDEX(Кат!$D:$D,MATCH($A742,Кат!$A:$A,0))</f>
        <v>Y</v>
      </c>
    </row>
    <row r="743" spans="1:15" ht="45" x14ac:dyDescent="0.25">
      <c r="A743" s="73">
        <v>223628</v>
      </c>
      <c r="B743" s="73">
        <v>50882</v>
      </c>
      <c r="C743" s="74" t="s">
        <v>1938</v>
      </c>
      <c r="D743" s="74" t="s">
        <v>13</v>
      </c>
      <c r="E743" s="74" t="s">
        <v>1939</v>
      </c>
      <c r="F743" s="74" t="s">
        <v>1940</v>
      </c>
      <c r="G743" s="74" t="s">
        <v>15</v>
      </c>
      <c r="H743" s="75">
        <v>4549</v>
      </c>
      <c r="I743" s="75">
        <v>6390</v>
      </c>
      <c r="J743" s="74"/>
      <c r="K743" s="74" t="s">
        <v>16</v>
      </c>
      <c r="L743" s="74"/>
      <c r="M743" s="74" t="s">
        <v>13</v>
      </c>
      <c r="N743" s="71" t="str">
        <f t="shared" si="11"/>
        <v>1</v>
      </c>
      <c r="O743" s="71" t="str">
        <f>INDEX(Кат!$D:$D,MATCH($A743,Кат!$A:$A,0))</f>
        <v>Y</v>
      </c>
    </row>
    <row r="744" spans="1:15" ht="45" x14ac:dyDescent="0.25">
      <c r="A744" s="73">
        <v>223629</v>
      </c>
      <c r="B744" s="73">
        <v>31470</v>
      </c>
      <c r="C744" s="74" t="s">
        <v>1941</v>
      </c>
      <c r="D744" s="74" t="s">
        <v>13</v>
      </c>
      <c r="E744" s="74" t="s">
        <v>1942</v>
      </c>
      <c r="F744" s="74" t="s">
        <v>1942</v>
      </c>
      <c r="G744" s="74" t="s">
        <v>15</v>
      </c>
      <c r="H744" s="75">
        <v>30</v>
      </c>
      <c r="I744" s="75">
        <v>59</v>
      </c>
      <c r="J744" s="74"/>
      <c r="K744" s="74" t="s">
        <v>16</v>
      </c>
      <c r="L744" s="74"/>
      <c r="M744" s="74" t="s">
        <v>13</v>
      </c>
      <c r="N744" s="71" t="str">
        <f t="shared" si="11"/>
        <v>1</v>
      </c>
      <c r="O744" s="71" t="str">
        <f>INDEX(Кат!$D:$D,MATCH($A744,Кат!$A:$A,0))</f>
        <v>Y</v>
      </c>
    </row>
    <row r="745" spans="1:15" ht="45" x14ac:dyDescent="0.25">
      <c r="A745" s="73">
        <v>223630</v>
      </c>
      <c r="B745" s="73">
        <v>31432</v>
      </c>
      <c r="C745" s="74" t="s">
        <v>1943</v>
      </c>
      <c r="D745" s="74" t="s">
        <v>13</v>
      </c>
      <c r="E745" s="74" t="s">
        <v>1625</v>
      </c>
      <c r="F745" s="74" t="s">
        <v>1625</v>
      </c>
      <c r="G745" s="74" t="s">
        <v>15</v>
      </c>
      <c r="H745" s="75">
        <v>600</v>
      </c>
      <c r="I745" s="75">
        <v>929</v>
      </c>
      <c r="J745" s="74"/>
      <c r="K745" s="74" t="s">
        <v>16</v>
      </c>
      <c r="L745" s="74"/>
      <c r="M745" s="74"/>
      <c r="N745" s="71" t="str">
        <f t="shared" si="11"/>
        <v>1</v>
      </c>
      <c r="O745" s="71" t="str">
        <f>INDEX(Кат!$D:$D,MATCH($A745,Кат!$A:$A,0))</f>
        <v>Y</v>
      </c>
    </row>
    <row r="746" spans="1:15" ht="30" x14ac:dyDescent="0.25">
      <c r="A746" s="73">
        <v>223631</v>
      </c>
      <c r="B746" s="73">
        <v>31012</v>
      </c>
      <c r="C746" s="74" t="s">
        <v>1944</v>
      </c>
      <c r="D746" s="74" t="s">
        <v>13</v>
      </c>
      <c r="E746" s="74" t="s">
        <v>1945</v>
      </c>
      <c r="F746" s="74" t="s">
        <v>1945</v>
      </c>
      <c r="G746" s="74" t="s">
        <v>15</v>
      </c>
      <c r="H746" s="75">
        <v>4670</v>
      </c>
      <c r="I746" s="75">
        <v>6590</v>
      </c>
      <c r="J746" s="74"/>
      <c r="K746" s="74" t="s">
        <v>16</v>
      </c>
      <c r="L746" s="74"/>
      <c r="M746" s="74" t="s">
        <v>13</v>
      </c>
      <c r="N746" s="71" t="str">
        <f t="shared" si="11"/>
        <v>1</v>
      </c>
      <c r="O746" s="71" t="str">
        <f>INDEX(Кат!$D:$D,MATCH($A746,Кат!$A:$A,0))</f>
        <v>Y</v>
      </c>
    </row>
    <row r="747" spans="1:15" ht="45" x14ac:dyDescent="0.25">
      <c r="A747" s="73">
        <v>223632</v>
      </c>
      <c r="B747" s="73">
        <v>31017</v>
      </c>
      <c r="C747" s="74" t="s">
        <v>1946</v>
      </c>
      <c r="D747" s="74" t="s">
        <v>13</v>
      </c>
      <c r="E747" s="74" t="s">
        <v>1947</v>
      </c>
      <c r="F747" s="74" t="s">
        <v>1947</v>
      </c>
      <c r="G747" s="74" t="s">
        <v>15</v>
      </c>
      <c r="H747" s="75">
        <v>6468</v>
      </c>
      <c r="I747" s="75">
        <v>8790</v>
      </c>
      <c r="J747" s="74"/>
      <c r="K747" s="74" t="s">
        <v>16</v>
      </c>
      <c r="L747" s="74"/>
      <c r="M747" s="74" t="s">
        <v>13</v>
      </c>
      <c r="N747" s="71" t="str">
        <f t="shared" si="11"/>
        <v>1</v>
      </c>
      <c r="O747" s="71" t="str">
        <f>INDEX(Кат!$D:$D,MATCH($A747,Кат!$A:$A,0))</f>
        <v>Y</v>
      </c>
    </row>
    <row r="748" spans="1:15" ht="60" x14ac:dyDescent="0.25">
      <c r="A748" s="73">
        <v>223633</v>
      </c>
      <c r="B748" s="73">
        <v>50708</v>
      </c>
      <c r="C748" s="74" t="s">
        <v>1948</v>
      </c>
      <c r="D748" s="74" t="s">
        <v>13</v>
      </c>
      <c r="E748" s="74" t="s">
        <v>1949</v>
      </c>
      <c r="F748" s="74" t="s">
        <v>1950</v>
      </c>
      <c r="G748" s="74" t="s">
        <v>15</v>
      </c>
      <c r="H748" s="75">
        <v>204</v>
      </c>
      <c r="I748" s="75">
        <v>289</v>
      </c>
      <c r="J748" s="74"/>
      <c r="K748" s="74" t="s">
        <v>16</v>
      </c>
      <c r="L748" s="74"/>
      <c r="M748" s="74" t="s">
        <v>13</v>
      </c>
      <c r="N748" s="71" t="str">
        <f t="shared" si="11"/>
        <v>1</v>
      </c>
      <c r="O748" s="71" t="str">
        <f>INDEX(Кат!$D:$D,MATCH($A748,Кат!$A:$A,0))</f>
        <v>Y</v>
      </c>
    </row>
    <row r="749" spans="1:15" ht="30" x14ac:dyDescent="0.25">
      <c r="A749" s="73">
        <v>223641</v>
      </c>
      <c r="B749" s="73">
        <v>8338</v>
      </c>
      <c r="C749" s="74" t="s">
        <v>1951</v>
      </c>
      <c r="D749" s="74" t="s">
        <v>13</v>
      </c>
      <c r="E749" s="74" t="s">
        <v>1952</v>
      </c>
      <c r="F749" s="74"/>
      <c r="G749" s="74" t="s">
        <v>15</v>
      </c>
      <c r="H749" s="75">
        <v>600</v>
      </c>
      <c r="I749" s="75">
        <v>929</v>
      </c>
      <c r="J749" s="74"/>
      <c r="K749" s="74" t="s">
        <v>16</v>
      </c>
      <c r="L749" s="74"/>
      <c r="M749" s="74" t="s">
        <v>13</v>
      </c>
      <c r="N749" s="71" t="str">
        <f t="shared" si="11"/>
        <v>1</v>
      </c>
      <c r="O749" s="71" t="str">
        <f>INDEX(Кат!$D:$D,MATCH($A749,Кат!$A:$A,0))</f>
        <v>Y</v>
      </c>
    </row>
    <row r="750" spans="1:15" ht="45" x14ac:dyDescent="0.25">
      <c r="A750" s="73">
        <v>223645</v>
      </c>
      <c r="B750" s="73">
        <v>31154</v>
      </c>
      <c r="C750" s="74" t="s">
        <v>1953</v>
      </c>
      <c r="D750" s="74" t="s">
        <v>13</v>
      </c>
      <c r="E750" s="74" t="s">
        <v>1954</v>
      </c>
      <c r="F750" s="74" t="s">
        <v>1954</v>
      </c>
      <c r="G750" s="74" t="s">
        <v>15</v>
      </c>
      <c r="H750" s="75">
        <v>964</v>
      </c>
      <c r="I750" s="75">
        <v>1490</v>
      </c>
      <c r="J750" s="74"/>
      <c r="K750" s="74" t="s">
        <v>16</v>
      </c>
      <c r="L750" s="74"/>
      <c r="M750" s="74" t="s">
        <v>13</v>
      </c>
      <c r="N750" s="71" t="str">
        <f t="shared" si="11"/>
        <v>1</v>
      </c>
      <c r="O750" s="71" t="str">
        <f>INDEX(Кат!$D:$D,MATCH($A750,Кат!$A:$A,0))</f>
        <v>Y</v>
      </c>
    </row>
    <row r="751" spans="1:15" ht="45" x14ac:dyDescent="0.25">
      <c r="A751" s="73">
        <v>223646</v>
      </c>
      <c r="B751" s="73">
        <v>31143</v>
      </c>
      <c r="C751" s="74" t="s">
        <v>1955</v>
      </c>
      <c r="D751" s="74" t="s">
        <v>13</v>
      </c>
      <c r="E751" s="74" t="s">
        <v>1956</v>
      </c>
      <c r="F751" s="74" t="s">
        <v>1956</v>
      </c>
      <c r="G751" s="74" t="s">
        <v>15</v>
      </c>
      <c r="H751" s="75">
        <v>1715</v>
      </c>
      <c r="I751" s="75">
        <v>2590</v>
      </c>
      <c r="J751" s="74"/>
      <c r="K751" s="74" t="s">
        <v>16</v>
      </c>
      <c r="L751" s="74"/>
      <c r="M751" s="74" t="s">
        <v>13</v>
      </c>
      <c r="N751" s="71" t="str">
        <f t="shared" si="11"/>
        <v>1</v>
      </c>
      <c r="O751" s="71" t="str">
        <f>INDEX(Кат!$D:$D,MATCH($A751,Кат!$A:$A,0))</f>
        <v>Y</v>
      </c>
    </row>
    <row r="752" spans="1:15" ht="60" x14ac:dyDescent="0.25">
      <c r="A752" s="73">
        <v>223648</v>
      </c>
      <c r="B752" s="73">
        <v>23520</v>
      </c>
      <c r="C752" s="74" t="s">
        <v>1957</v>
      </c>
      <c r="D752" s="74" t="s">
        <v>13</v>
      </c>
      <c r="E752" s="74" t="s">
        <v>1958</v>
      </c>
      <c r="F752" s="74" t="s">
        <v>1958</v>
      </c>
      <c r="G752" s="74" t="s">
        <v>15</v>
      </c>
      <c r="H752" s="75">
        <v>867</v>
      </c>
      <c r="I752" s="75">
        <v>1390</v>
      </c>
      <c r="J752" s="74" t="s">
        <v>1959</v>
      </c>
      <c r="K752" s="74" t="s">
        <v>16</v>
      </c>
      <c r="L752" s="74" t="s">
        <v>16</v>
      </c>
      <c r="M752" s="74" t="s">
        <v>13</v>
      </c>
      <c r="N752" s="71" t="str">
        <f t="shared" si="11"/>
        <v>1ск1</v>
      </c>
      <c r="O752" s="71" t="str">
        <f>INDEX(Кат!$D:$D,MATCH($A752,Кат!$A:$A,0))</f>
        <v>Y</v>
      </c>
    </row>
    <row r="753" spans="1:15" ht="75" x14ac:dyDescent="0.25">
      <c r="A753" s="73">
        <v>223649</v>
      </c>
      <c r="B753" s="73">
        <v>47883</v>
      </c>
      <c r="C753" s="74" t="s">
        <v>1960</v>
      </c>
      <c r="D753" s="74" t="s">
        <v>13</v>
      </c>
      <c r="E753" s="74" t="s">
        <v>1961</v>
      </c>
      <c r="F753" s="74" t="s">
        <v>1962</v>
      </c>
      <c r="G753" s="74" t="s">
        <v>15</v>
      </c>
      <c r="H753" s="75">
        <v>816</v>
      </c>
      <c r="I753" s="75">
        <v>1290</v>
      </c>
      <c r="J753" s="74" t="s">
        <v>1963</v>
      </c>
      <c r="K753" s="74" t="s">
        <v>16</v>
      </c>
      <c r="L753" s="74"/>
      <c r="M753" s="74" t="s">
        <v>13</v>
      </c>
      <c r="N753" s="71" t="str">
        <f t="shared" si="11"/>
        <v>1</v>
      </c>
      <c r="O753" s="71" t="str">
        <f>INDEX(Кат!$D:$D,MATCH($A753,Кат!$A:$A,0))</f>
        <v>Y</v>
      </c>
    </row>
    <row r="754" spans="1:15" ht="45" x14ac:dyDescent="0.25">
      <c r="A754" s="73">
        <v>223650</v>
      </c>
      <c r="B754" s="73">
        <v>32634</v>
      </c>
      <c r="C754" s="74" t="s">
        <v>1964</v>
      </c>
      <c r="D754" s="74" t="s">
        <v>13</v>
      </c>
      <c r="E754" s="74" t="s">
        <v>1965</v>
      </c>
      <c r="F754" s="74" t="s">
        <v>1965</v>
      </c>
      <c r="G754" s="74" t="s">
        <v>15</v>
      </c>
      <c r="H754" s="75">
        <v>787</v>
      </c>
      <c r="I754" s="75">
        <v>1290</v>
      </c>
      <c r="J754" s="74"/>
      <c r="K754" s="74" t="s">
        <v>16</v>
      </c>
      <c r="L754" s="74" t="s">
        <v>16</v>
      </c>
      <c r="M754" s="74" t="s">
        <v>13</v>
      </c>
      <c r="N754" s="71" t="str">
        <f t="shared" si="11"/>
        <v>1ск1</v>
      </c>
      <c r="O754" s="71" t="str">
        <f>INDEX(Кат!$D:$D,MATCH($A754,Кат!$A:$A,0))</f>
        <v>Y</v>
      </c>
    </row>
    <row r="755" spans="1:15" ht="75" x14ac:dyDescent="0.25">
      <c r="A755" s="73">
        <v>223651</v>
      </c>
      <c r="B755" s="73">
        <v>31376</v>
      </c>
      <c r="C755" s="74" t="s">
        <v>1966</v>
      </c>
      <c r="D755" s="74" t="s">
        <v>13</v>
      </c>
      <c r="E755" s="74" t="s">
        <v>1967</v>
      </c>
      <c r="F755" s="74" t="s">
        <v>1967</v>
      </c>
      <c r="G755" s="74" t="s">
        <v>15</v>
      </c>
      <c r="H755" s="75">
        <v>900</v>
      </c>
      <c r="I755" s="75">
        <v>1390</v>
      </c>
      <c r="J755" s="74" t="s">
        <v>1968</v>
      </c>
      <c r="K755" s="74" t="s">
        <v>16</v>
      </c>
      <c r="L755" s="74"/>
      <c r="M755" s="74" t="s">
        <v>13</v>
      </c>
      <c r="N755" s="71" t="str">
        <f t="shared" si="11"/>
        <v>1</v>
      </c>
      <c r="O755" s="71" t="str">
        <f>INDEX(Кат!$D:$D,MATCH($A755,Кат!$A:$A,0))</f>
        <v>Y</v>
      </c>
    </row>
    <row r="756" spans="1:15" ht="75" x14ac:dyDescent="0.25">
      <c r="A756" s="73">
        <v>223652</v>
      </c>
      <c r="B756" s="73">
        <v>31407</v>
      </c>
      <c r="C756" s="74" t="s">
        <v>1969</v>
      </c>
      <c r="D756" s="74" t="s">
        <v>13</v>
      </c>
      <c r="E756" s="74" t="s">
        <v>1970</v>
      </c>
      <c r="F756" s="74" t="s">
        <v>1970</v>
      </c>
      <c r="G756" s="74" t="s">
        <v>15</v>
      </c>
      <c r="H756" s="75">
        <v>1130</v>
      </c>
      <c r="I756" s="75">
        <v>1690</v>
      </c>
      <c r="J756" s="74" t="s">
        <v>1971</v>
      </c>
      <c r="K756" s="74" t="s">
        <v>16</v>
      </c>
      <c r="L756" s="74" t="s">
        <v>16</v>
      </c>
      <c r="M756" s="74" t="s">
        <v>13</v>
      </c>
      <c r="N756" s="71" t="str">
        <f t="shared" si="11"/>
        <v>1ск1</v>
      </c>
      <c r="O756" s="71" t="str">
        <f>INDEX(Кат!$D:$D,MATCH($A756,Кат!$A:$A,0))</f>
        <v>Y</v>
      </c>
    </row>
    <row r="757" spans="1:15" ht="60" x14ac:dyDescent="0.25">
      <c r="A757" s="73">
        <v>223653</v>
      </c>
      <c r="B757" s="73">
        <v>31464</v>
      </c>
      <c r="C757" s="74" t="s">
        <v>1972</v>
      </c>
      <c r="D757" s="74" t="s">
        <v>13</v>
      </c>
      <c r="E757" s="74" t="s">
        <v>1973</v>
      </c>
      <c r="F757" s="74" t="s">
        <v>1973</v>
      </c>
      <c r="G757" s="74" t="s">
        <v>15</v>
      </c>
      <c r="H757" s="75">
        <v>1437</v>
      </c>
      <c r="I757" s="75">
        <v>2190</v>
      </c>
      <c r="J757" s="74" t="s">
        <v>1974</v>
      </c>
      <c r="K757" s="74" t="s">
        <v>16</v>
      </c>
      <c r="L757" s="74"/>
      <c r="M757" s="74" t="s">
        <v>13</v>
      </c>
      <c r="N757" s="71" t="str">
        <f t="shared" si="11"/>
        <v>1</v>
      </c>
      <c r="O757" s="71" t="str">
        <f>INDEX(Кат!$D:$D,MATCH($A757,Кат!$A:$A,0))</f>
        <v>Y</v>
      </c>
    </row>
    <row r="758" spans="1:15" ht="60" x14ac:dyDescent="0.25">
      <c r="A758" s="73">
        <v>223654</v>
      </c>
      <c r="B758" s="73">
        <v>31465</v>
      </c>
      <c r="C758" s="74" t="s">
        <v>1975</v>
      </c>
      <c r="D758" s="74" t="s">
        <v>13</v>
      </c>
      <c r="E758" s="74" t="s">
        <v>1976</v>
      </c>
      <c r="F758" s="74" t="s">
        <v>1976</v>
      </c>
      <c r="G758" s="74" t="s">
        <v>15</v>
      </c>
      <c r="H758" s="75">
        <v>1511</v>
      </c>
      <c r="I758" s="75">
        <v>2290</v>
      </c>
      <c r="J758" s="74" t="s">
        <v>1977</v>
      </c>
      <c r="K758" s="74" t="s">
        <v>16</v>
      </c>
      <c r="L758" s="74"/>
      <c r="M758" s="74" t="s">
        <v>13</v>
      </c>
      <c r="N758" s="71" t="str">
        <f t="shared" si="11"/>
        <v>1</v>
      </c>
      <c r="O758" s="71" t="str">
        <f>INDEX(Кат!$D:$D,MATCH($A758,Кат!$A:$A,0))</f>
        <v>Y</v>
      </c>
    </row>
    <row r="759" spans="1:15" ht="45" x14ac:dyDescent="0.25">
      <c r="A759" s="73">
        <v>223655</v>
      </c>
      <c r="B759" s="73">
        <v>50961</v>
      </c>
      <c r="C759" s="74" t="s">
        <v>1978</v>
      </c>
      <c r="D759" s="74" t="s">
        <v>13</v>
      </c>
      <c r="E759" s="74" t="s">
        <v>1979</v>
      </c>
      <c r="F759" s="74" t="s">
        <v>1980</v>
      </c>
      <c r="G759" s="74" t="s">
        <v>15</v>
      </c>
      <c r="H759" s="75">
        <v>10935</v>
      </c>
      <c r="I759" s="75">
        <v>14290</v>
      </c>
      <c r="J759" s="74"/>
      <c r="K759" s="74" t="s">
        <v>16</v>
      </c>
      <c r="L759" s="74"/>
      <c r="M759" s="74" t="s">
        <v>13</v>
      </c>
      <c r="N759" s="71" t="str">
        <f t="shared" si="11"/>
        <v>1</v>
      </c>
      <c r="O759" s="71" t="str">
        <f>INDEX(Кат!$D:$D,MATCH($A759,Кат!$A:$A,0))</f>
        <v>Y</v>
      </c>
    </row>
    <row r="760" spans="1:15" ht="60" x14ac:dyDescent="0.25">
      <c r="A760" s="73">
        <v>223656</v>
      </c>
      <c r="B760" s="73">
        <v>31184</v>
      </c>
      <c r="C760" s="74" t="s">
        <v>1981</v>
      </c>
      <c r="D760" s="74" t="s">
        <v>13</v>
      </c>
      <c r="E760" s="74" t="s">
        <v>1982</v>
      </c>
      <c r="F760" s="74" t="s">
        <v>1982</v>
      </c>
      <c r="G760" s="74" t="s">
        <v>15</v>
      </c>
      <c r="H760" s="75">
        <v>4457.58</v>
      </c>
      <c r="I760" s="75">
        <v>6290</v>
      </c>
      <c r="J760" s="74"/>
      <c r="K760" s="74" t="s">
        <v>16</v>
      </c>
      <c r="L760" s="74"/>
      <c r="M760" s="74" t="s">
        <v>13</v>
      </c>
      <c r="N760" s="71" t="str">
        <f t="shared" si="11"/>
        <v>1</v>
      </c>
      <c r="O760" s="71" t="str">
        <f>INDEX(Кат!$D:$D,MATCH($A760,Кат!$A:$A,0))</f>
        <v>Y</v>
      </c>
    </row>
    <row r="761" spans="1:15" ht="30" x14ac:dyDescent="0.25">
      <c r="A761" s="73">
        <v>223657</v>
      </c>
      <c r="B761" s="73">
        <v>31436</v>
      </c>
      <c r="C761" s="74" t="s">
        <v>1983</v>
      </c>
      <c r="D761" s="74" t="s">
        <v>13</v>
      </c>
      <c r="E761" s="74" t="s">
        <v>1984</v>
      </c>
      <c r="F761" s="74" t="s">
        <v>1984</v>
      </c>
      <c r="G761" s="74" t="s">
        <v>15</v>
      </c>
      <c r="H761" s="75">
        <v>157</v>
      </c>
      <c r="I761" s="75">
        <v>289</v>
      </c>
      <c r="J761" s="74" t="s">
        <v>1985</v>
      </c>
      <c r="K761" s="74" t="s">
        <v>16</v>
      </c>
      <c r="L761" s="74"/>
      <c r="M761" s="74"/>
      <c r="N761" s="71" t="str">
        <f t="shared" si="11"/>
        <v>1</v>
      </c>
      <c r="O761" s="71" t="str">
        <f>INDEX(Кат!$D:$D,MATCH($A761,Кат!$A:$A,0))</f>
        <v>Y</v>
      </c>
    </row>
    <row r="762" spans="1:15" ht="60" x14ac:dyDescent="0.25">
      <c r="A762" s="73">
        <v>223658</v>
      </c>
      <c r="B762" s="73">
        <v>30993</v>
      </c>
      <c r="C762" s="74" t="s">
        <v>1986</v>
      </c>
      <c r="D762" s="74" t="s">
        <v>13</v>
      </c>
      <c r="E762" s="74" t="s">
        <v>1987</v>
      </c>
      <c r="F762" s="74" t="s">
        <v>1987</v>
      </c>
      <c r="G762" s="74" t="s">
        <v>15</v>
      </c>
      <c r="H762" s="75">
        <v>60</v>
      </c>
      <c r="I762" s="75">
        <v>119</v>
      </c>
      <c r="J762" s="74" t="s">
        <v>1988</v>
      </c>
      <c r="K762" s="74" t="s">
        <v>16</v>
      </c>
      <c r="L762" s="74"/>
      <c r="M762" s="74" t="s">
        <v>13</v>
      </c>
      <c r="N762" s="71" t="str">
        <f t="shared" si="11"/>
        <v>1</v>
      </c>
      <c r="O762" s="71" t="str">
        <f>INDEX(Кат!$D:$D,MATCH($A762,Кат!$A:$A,0))</f>
        <v>Y</v>
      </c>
    </row>
    <row r="763" spans="1:15" ht="45" x14ac:dyDescent="0.25">
      <c r="A763" s="73">
        <v>223660</v>
      </c>
      <c r="B763" s="73">
        <v>31023</v>
      </c>
      <c r="C763" s="74" t="s">
        <v>1989</v>
      </c>
      <c r="D763" s="74" t="s">
        <v>13</v>
      </c>
      <c r="E763" s="74" t="s">
        <v>1990</v>
      </c>
      <c r="F763" s="74" t="s">
        <v>1990</v>
      </c>
      <c r="G763" s="74" t="s">
        <v>15</v>
      </c>
      <c r="H763" s="75">
        <v>6045</v>
      </c>
      <c r="I763" s="75">
        <v>8190</v>
      </c>
      <c r="J763" s="74"/>
      <c r="K763" s="74" t="s">
        <v>16</v>
      </c>
      <c r="L763" s="74"/>
      <c r="M763" s="74" t="s">
        <v>13</v>
      </c>
      <c r="N763" s="71" t="str">
        <f t="shared" si="11"/>
        <v>1</v>
      </c>
      <c r="O763" s="71" t="str">
        <f>INDEX(Кат!$D:$D,MATCH($A763,Кат!$A:$A,0))</f>
        <v>Y</v>
      </c>
    </row>
    <row r="764" spans="1:15" ht="60" x14ac:dyDescent="0.25">
      <c r="A764" s="73">
        <v>223661</v>
      </c>
      <c r="B764" s="73">
        <v>23544</v>
      </c>
      <c r="C764" s="74" t="s">
        <v>1991</v>
      </c>
      <c r="D764" s="74" t="s">
        <v>13</v>
      </c>
      <c r="E764" s="74" t="s">
        <v>1992</v>
      </c>
      <c r="F764" s="74" t="s">
        <v>1992</v>
      </c>
      <c r="G764" s="74" t="s">
        <v>15</v>
      </c>
      <c r="H764" s="75">
        <v>65</v>
      </c>
      <c r="I764" s="75">
        <v>379</v>
      </c>
      <c r="J764" s="74" t="s">
        <v>1993</v>
      </c>
      <c r="K764" s="74" t="s">
        <v>16</v>
      </c>
      <c r="L764" s="74"/>
      <c r="M764" s="74"/>
      <c r="N764" s="71" t="str">
        <f t="shared" si="11"/>
        <v>1</v>
      </c>
      <c r="O764" s="71" t="str">
        <f>INDEX(Кат!$D:$D,MATCH($A764,Кат!$A:$A,0))</f>
        <v>Y</v>
      </c>
    </row>
    <row r="765" spans="1:15" ht="30" x14ac:dyDescent="0.25">
      <c r="A765" s="73">
        <v>223662</v>
      </c>
      <c r="B765" s="73">
        <v>23545</v>
      </c>
      <c r="C765" s="74" t="s">
        <v>1994</v>
      </c>
      <c r="D765" s="74" t="s">
        <v>13</v>
      </c>
      <c r="E765" s="74" t="s">
        <v>1995</v>
      </c>
      <c r="F765" s="74" t="s">
        <v>1995</v>
      </c>
      <c r="G765" s="74" t="s">
        <v>15</v>
      </c>
      <c r="H765" s="75">
        <v>59</v>
      </c>
      <c r="I765" s="75">
        <v>119</v>
      </c>
      <c r="J765" s="74" t="s">
        <v>1996</v>
      </c>
      <c r="K765" s="74" t="s">
        <v>16</v>
      </c>
      <c r="L765" s="74"/>
      <c r="M765" s="74" t="s">
        <v>13</v>
      </c>
      <c r="N765" s="71" t="str">
        <f t="shared" si="11"/>
        <v>1</v>
      </c>
      <c r="O765" s="71" t="str">
        <f>INDEX(Кат!$D:$D,MATCH($A765,Кат!$A:$A,0))</f>
        <v>Y</v>
      </c>
    </row>
    <row r="766" spans="1:15" ht="30" x14ac:dyDescent="0.25">
      <c r="A766" s="73">
        <v>223663</v>
      </c>
      <c r="B766" s="73">
        <v>23518</v>
      </c>
      <c r="C766" s="74" t="s">
        <v>1997</v>
      </c>
      <c r="D766" s="74" t="s">
        <v>13</v>
      </c>
      <c r="E766" s="74" t="s">
        <v>1998</v>
      </c>
      <c r="F766" s="74" t="s">
        <v>1998</v>
      </c>
      <c r="G766" s="74" t="s">
        <v>15</v>
      </c>
      <c r="H766" s="75">
        <v>1375</v>
      </c>
      <c r="I766" s="75">
        <v>1990</v>
      </c>
      <c r="J766" s="74"/>
      <c r="K766" s="74" t="s">
        <v>16</v>
      </c>
      <c r="L766" s="74"/>
      <c r="M766" s="74"/>
      <c r="N766" s="71" t="str">
        <f t="shared" si="11"/>
        <v>1</v>
      </c>
      <c r="O766" s="71" t="str">
        <f>INDEX(Кат!$D:$D,MATCH($A766,Кат!$A:$A,0))</f>
        <v>Y</v>
      </c>
    </row>
    <row r="767" spans="1:15" ht="30" x14ac:dyDescent="0.25">
      <c r="A767" s="73">
        <v>223664</v>
      </c>
      <c r="B767" s="73">
        <v>23623</v>
      </c>
      <c r="C767" s="74" t="s">
        <v>1999</v>
      </c>
      <c r="D767" s="74" t="s">
        <v>13</v>
      </c>
      <c r="E767" s="74" t="s">
        <v>2000</v>
      </c>
      <c r="F767" s="74" t="s">
        <v>2000</v>
      </c>
      <c r="G767" s="74" t="s">
        <v>15</v>
      </c>
      <c r="H767" s="75">
        <v>1374.66</v>
      </c>
      <c r="I767" s="75">
        <v>2090</v>
      </c>
      <c r="J767" s="74"/>
      <c r="K767" s="74" t="s">
        <v>16</v>
      </c>
      <c r="L767" s="74"/>
      <c r="M767" s="74" t="s">
        <v>13</v>
      </c>
      <c r="N767" s="71" t="str">
        <f t="shared" si="11"/>
        <v>1</v>
      </c>
      <c r="O767" s="71" t="str">
        <f>INDEX(Кат!$D:$D,MATCH($A767,Кат!$A:$A,0))</f>
        <v>Y</v>
      </c>
    </row>
    <row r="768" spans="1:15" ht="30" x14ac:dyDescent="0.25">
      <c r="A768" s="73">
        <v>223665</v>
      </c>
      <c r="B768" s="73">
        <v>31377</v>
      </c>
      <c r="C768" s="74" t="s">
        <v>2001</v>
      </c>
      <c r="D768" s="74" t="s">
        <v>13</v>
      </c>
      <c r="E768" s="74" t="s">
        <v>2002</v>
      </c>
      <c r="F768" s="74" t="s">
        <v>2002</v>
      </c>
      <c r="G768" s="74" t="s">
        <v>15</v>
      </c>
      <c r="H768" s="75">
        <v>602</v>
      </c>
      <c r="I768" s="75">
        <v>939</v>
      </c>
      <c r="J768" s="74"/>
      <c r="K768" s="74" t="s">
        <v>16</v>
      </c>
      <c r="L768" s="74"/>
      <c r="M768" s="74" t="s">
        <v>13</v>
      </c>
      <c r="N768" s="71" t="str">
        <f t="shared" si="11"/>
        <v>1</v>
      </c>
      <c r="O768" s="71" t="str">
        <f>INDEX(Кат!$D:$D,MATCH($A768,Кат!$A:$A,0))</f>
        <v>Y</v>
      </c>
    </row>
    <row r="769" spans="1:15" ht="60" x14ac:dyDescent="0.25">
      <c r="A769" s="73">
        <v>223666</v>
      </c>
      <c r="B769" s="73">
        <v>15448</v>
      </c>
      <c r="C769" s="74" t="s">
        <v>2003</v>
      </c>
      <c r="D769" s="74" t="s">
        <v>13</v>
      </c>
      <c r="E769" s="74" t="s">
        <v>2004</v>
      </c>
      <c r="F769" s="74" t="s">
        <v>2004</v>
      </c>
      <c r="G769" s="74" t="s">
        <v>15</v>
      </c>
      <c r="H769" s="75">
        <v>55</v>
      </c>
      <c r="I769" s="75">
        <v>109</v>
      </c>
      <c r="J769" s="74" t="s">
        <v>2005</v>
      </c>
      <c r="K769" s="74" t="s">
        <v>16</v>
      </c>
      <c r="L769" s="74"/>
      <c r="M769" s="74" t="s">
        <v>13</v>
      </c>
      <c r="N769" s="71" t="str">
        <f t="shared" si="11"/>
        <v>1</v>
      </c>
      <c r="O769" s="71" t="str">
        <f>INDEX(Кат!$D:$D,MATCH($A769,Кат!$A:$A,0))</f>
        <v>Y</v>
      </c>
    </row>
    <row r="770" spans="1:15" ht="30" x14ac:dyDescent="0.25">
      <c r="A770" s="73">
        <v>223667</v>
      </c>
      <c r="B770" s="73">
        <v>18741</v>
      </c>
      <c r="C770" s="74" t="s">
        <v>2006</v>
      </c>
      <c r="D770" s="74" t="s">
        <v>13</v>
      </c>
      <c r="E770" s="74" t="s">
        <v>2007</v>
      </c>
      <c r="F770" s="74" t="s">
        <v>2007</v>
      </c>
      <c r="G770" s="74" t="s">
        <v>15</v>
      </c>
      <c r="H770" s="75">
        <v>983</v>
      </c>
      <c r="I770" s="75">
        <v>1590</v>
      </c>
      <c r="J770" s="74"/>
      <c r="K770" s="74" t="s">
        <v>16</v>
      </c>
      <c r="L770" s="74"/>
      <c r="M770" s="74" t="s">
        <v>13</v>
      </c>
      <c r="N770" s="71" t="str">
        <f t="shared" si="11"/>
        <v>1</v>
      </c>
      <c r="O770" s="71" t="str">
        <f>INDEX(Кат!$D:$D,MATCH($A770,Кат!$A:$A,0))</f>
        <v>Y</v>
      </c>
    </row>
    <row r="771" spans="1:15" ht="45" x14ac:dyDescent="0.25">
      <c r="A771" s="73">
        <v>223668</v>
      </c>
      <c r="B771" s="73">
        <v>31471</v>
      </c>
      <c r="C771" s="74" t="s">
        <v>2008</v>
      </c>
      <c r="D771" s="74" t="s">
        <v>13</v>
      </c>
      <c r="E771" s="74" t="s">
        <v>2009</v>
      </c>
      <c r="F771" s="74" t="s">
        <v>2009</v>
      </c>
      <c r="G771" s="74" t="s">
        <v>15</v>
      </c>
      <c r="H771" s="75">
        <v>2461</v>
      </c>
      <c r="I771" s="75">
        <v>3490</v>
      </c>
      <c r="J771" s="74"/>
      <c r="K771" s="74" t="s">
        <v>16</v>
      </c>
      <c r="L771" s="74"/>
      <c r="M771" s="74" t="s">
        <v>13</v>
      </c>
      <c r="N771" s="71" t="str">
        <f t="shared" ref="N771:N804" si="12">_xlfn.CONCAT(K771,IF(L771&lt;&gt;"",_xlfn.CONCAT("ск",L771),""))</f>
        <v>1</v>
      </c>
      <c r="O771" s="71" t="str">
        <f>INDEX(Кат!$D:$D,MATCH($A771,Кат!$A:$A,0))</f>
        <v>Y</v>
      </c>
    </row>
    <row r="772" spans="1:15" ht="45" x14ac:dyDescent="0.25">
      <c r="A772" s="73">
        <v>223669</v>
      </c>
      <c r="B772" s="73">
        <v>31472</v>
      </c>
      <c r="C772" s="74" t="s">
        <v>2010</v>
      </c>
      <c r="D772" s="74" t="s">
        <v>13</v>
      </c>
      <c r="E772" s="74" t="s">
        <v>2011</v>
      </c>
      <c r="F772" s="74" t="s">
        <v>2011</v>
      </c>
      <c r="G772" s="74" t="s">
        <v>15</v>
      </c>
      <c r="H772" s="75">
        <v>2279</v>
      </c>
      <c r="I772" s="75">
        <v>3190</v>
      </c>
      <c r="J772" s="74"/>
      <c r="K772" s="74" t="s">
        <v>16</v>
      </c>
      <c r="L772" s="74"/>
      <c r="M772" s="74" t="s">
        <v>13</v>
      </c>
      <c r="N772" s="71" t="str">
        <f t="shared" si="12"/>
        <v>1</v>
      </c>
      <c r="O772" s="71" t="str">
        <f>INDEX(Кат!$D:$D,MATCH($A772,Кат!$A:$A,0))</f>
        <v>Y</v>
      </c>
    </row>
    <row r="773" spans="1:15" ht="45" x14ac:dyDescent="0.25">
      <c r="A773" s="73">
        <v>223670</v>
      </c>
      <c r="B773" s="73">
        <v>31384</v>
      </c>
      <c r="C773" s="74" t="s">
        <v>2012</v>
      </c>
      <c r="D773" s="74" t="s">
        <v>13</v>
      </c>
      <c r="E773" s="74" t="s">
        <v>2013</v>
      </c>
      <c r="F773" s="74" t="s">
        <v>2013</v>
      </c>
      <c r="G773" s="74" t="s">
        <v>15</v>
      </c>
      <c r="H773" s="75">
        <v>496</v>
      </c>
      <c r="I773" s="75">
        <v>799</v>
      </c>
      <c r="J773" s="74"/>
      <c r="K773" s="74" t="s">
        <v>16</v>
      </c>
      <c r="L773" s="74"/>
      <c r="M773" s="74" t="s">
        <v>13</v>
      </c>
      <c r="N773" s="71" t="str">
        <f t="shared" si="12"/>
        <v>1</v>
      </c>
      <c r="O773" s="71" t="str">
        <f>INDEX(Кат!$D:$D,MATCH($A773,Кат!$A:$A,0))</f>
        <v>Y</v>
      </c>
    </row>
    <row r="774" spans="1:15" ht="75" x14ac:dyDescent="0.25">
      <c r="A774" s="73">
        <v>223673</v>
      </c>
      <c r="B774" s="73">
        <v>31380</v>
      </c>
      <c r="C774" s="74" t="s">
        <v>2014</v>
      </c>
      <c r="D774" s="74" t="s">
        <v>13</v>
      </c>
      <c r="E774" s="74" t="s">
        <v>2015</v>
      </c>
      <c r="F774" s="74" t="s">
        <v>2015</v>
      </c>
      <c r="G774" s="74" t="s">
        <v>15</v>
      </c>
      <c r="H774" s="75">
        <v>182</v>
      </c>
      <c r="I774" s="75">
        <v>329</v>
      </c>
      <c r="J774" s="74" t="s">
        <v>2016</v>
      </c>
      <c r="K774" s="74" t="s">
        <v>16</v>
      </c>
      <c r="L774" s="74" t="s">
        <v>16</v>
      </c>
      <c r="M774" s="74" t="s">
        <v>13</v>
      </c>
      <c r="N774" s="71" t="str">
        <f t="shared" si="12"/>
        <v>1ск1</v>
      </c>
      <c r="O774" s="71" t="str">
        <f>INDEX(Кат!$D:$D,MATCH($A774,Кат!$A:$A,0))</f>
        <v>Y</v>
      </c>
    </row>
    <row r="775" spans="1:15" ht="75" x14ac:dyDescent="0.25">
      <c r="A775" s="73">
        <v>223678</v>
      </c>
      <c r="B775" s="73">
        <v>31479</v>
      </c>
      <c r="C775" s="74" t="s">
        <v>2017</v>
      </c>
      <c r="D775" s="74" t="s">
        <v>13</v>
      </c>
      <c r="E775" s="74" t="s">
        <v>2018</v>
      </c>
      <c r="F775" s="74" t="s">
        <v>2018</v>
      </c>
      <c r="G775" s="74" t="s">
        <v>15</v>
      </c>
      <c r="H775" s="75">
        <v>1250</v>
      </c>
      <c r="I775" s="75">
        <v>1890</v>
      </c>
      <c r="J775" s="74" t="s">
        <v>2019</v>
      </c>
      <c r="K775" s="74" t="s">
        <v>16</v>
      </c>
      <c r="L775" s="74"/>
      <c r="M775" s="74" t="s">
        <v>13</v>
      </c>
      <c r="N775" s="71" t="str">
        <f t="shared" si="12"/>
        <v>1</v>
      </c>
      <c r="O775" s="71" t="str">
        <f>INDEX(Кат!$D:$D,MATCH($A775,Кат!$A:$A,0))</f>
        <v>Y</v>
      </c>
    </row>
    <row r="776" spans="1:15" ht="75" x14ac:dyDescent="0.25">
      <c r="A776" s="73">
        <v>223679</v>
      </c>
      <c r="B776" s="73">
        <v>44833</v>
      </c>
      <c r="C776" s="74" t="s">
        <v>2020</v>
      </c>
      <c r="D776" s="74" t="s">
        <v>13</v>
      </c>
      <c r="E776" s="74" t="s">
        <v>2021</v>
      </c>
      <c r="F776" s="74" t="s">
        <v>2022</v>
      </c>
      <c r="G776" s="74" t="s">
        <v>15</v>
      </c>
      <c r="H776" s="75">
        <v>1141</v>
      </c>
      <c r="I776" s="75">
        <v>1790</v>
      </c>
      <c r="J776" s="74" t="s">
        <v>2023</v>
      </c>
      <c r="K776" s="74" t="s">
        <v>16</v>
      </c>
      <c r="L776" s="74"/>
      <c r="M776" s="74" t="s">
        <v>13</v>
      </c>
      <c r="N776" s="71" t="str">
        <f t="shared" si="12"/>
        <v>1</v>
      </c>
      <c r="O776" s="71" t="str">
        <f>INDEX(Кат!$D:$D,MATCH($A776,Кат!$A:$A,0))</f>
        <v>Y</v>
      </c>
    </row>
    <row r="777" spans="1:15" ht="30" x14ac:dyDescent="0.25">
      <c r="A777" s="73">
        <v>223680</v>
      </c>
      <c r="B777" s="73">
        <v>32519</v>
      </c>
      <c r="C777" s="74" t="s">
        <v>2024</v>
      </c>
      <c r="D777" s="74" t="s">
        <v>13</v>
      </c>
      <c r="E777" s="74" t="s">
        <v>2025</v>
      </c>
      <c r="F777" s="74" t="s">
        <v>2025</v>
      </c>
      <c r="G777" s="74" t="s">
        <v>15</v>
      </c>
      <c r="H777" s="75">
        <v>451</v>
      </c>
      <c r="I777" s="75">
        <v>729</v>
      </c>
      <c r="J777" s="74"/>
      <c r="K777" s="74" t="s">
        <v>16</v>
      </c>
      <c r="L777" s="74"/>
      <c r="M777" s="74" t="s">
        <v>13</v>
      </c>
      <c r="N777" s="71" t="str">
        <f t="shared" si="12"/>
        <v>1</v>
      </c>
      <c r="O777" s="71" t="str">
        <f>INDEX(Кат!$D:$D,MATCH($A777,Кат!$A:$A,0))</f>
        <v>Y</v>
      </c>
    </row>
    <row r="778" spans="1:15" ht="60" x14ac:dyDescent="0.25">
      <c r="A778" s="73">
        <v>223681</v>
      </c>
      <c r="B778" s="73">
        <v>31462</v>
      </c>
      <c r="C778" s="74" t="s">
        <v>2026</v>
      </c>
      <c r="D778" s="74" t="s">
        <v>13</v>
      </c>
      <c r="E778" s="74" t="s">
        <v>2027</v>
      </c>
      <c r="F778" s="74" t="s">
        <v>2027</v>
      </c>
      <c r="G778" s="74" t="s">
        <v>15</v>
      </c>
      <c r="H778" s="75">
        <v>3724</v>
      </c>
      <c r="I778" s="75">
        <v>5290</v>
      </c>
      <c r="J778" s="74" t="s">
        <v>2028</v>
      </c>
      <c r="K778" s="74" t="s">
        <v>16</v>
      </c>
      <c r="L778" s="74"/>
      <c r="M778" s="74" t="s">
        <v>13</v>
      </c>
      <c r="N778" s="71" t="str">
        <f t="shared" si="12"/>
        <v>1</v>
      </c>
      <c r="O778" s="71" t="str">
        <f>INDEX(Кат!$D:$D,MATCH($A778,Кат!$A:$A,0))</f>
        <v>Y</v>
      </c>
    </row>
    <row r="779" spans="1:15" ht="60" x14ac:dyDescent="0.25">
      <c r="A779" s="73">
        <v>223682</v>
      </c>
      <c r="B779" s="73">
        <v>31463</v>
      </c>
      <c r="C779" s="74" t="s">
        <v>2029</v>
      </c>
      <c r="D779" s="74" t="s">
        <v>13</v>
      </c>
      <c r="E779" s="74" t="s">
        <v>2030</v>
      </c>
      <c r="F779" s="74" t="s">
        <v>2030</v>
      </c>
      <c r="G779" s="74" t="s">
        <v>15</v>
      </c>
      <c r="H779" s="75">
        <v>4100</v>
      </c>
      <c r="I779" s="75">
        <v>5790</v>
      </c>
      <c r="J779" s="74" t="s">
        <v>2031</v>
      </c>
      <c r="K779" s="74" t="s">
        <v>16</v>
      </c>
      <c r="L779" s="74"/>
      <c r="M779" s="74" t="s">
        <v>13</v>
      </c>
      <c r="N779" s="71" t="str">
        <f t="shared" si="12"/>
        <v>1</v>
      </c>
      <c r="O779" s="71" t="str">
        <f>INDEX(Кат!$D:$D,MATCH($A779,Кат!$A:$A,0))</f>
        <v>Y</v>
      </c>
    </row>
    <row r="780" spans="1:15" ht="45" x14ac:dyDescent="0.25">
      <c r="A780" s="73">
        <v>223683</v>
      </c>
      <c r="B780" s="73">
        <v>50533</v>
      </c>
      <c r="C780" s="74" t="s">
        <v>2032</v>
      </c>
      <c r="D780" s="74" t="s">
        <v>13</v>
      </c>
      <c r="E780" s="74" t="s">
        <v>2033</v>
      </c>
      <c r="F780" s="74" t="s">
        <v>2034</v>
      </c>
      <c r="G780" s="74" t="s">
        <v>15</v>
      </c>
      <c r="H780" s="75">
        <v>6926</v>
      </c>
      <c r="I780" s="75">
        <v>9390</v>
      </c>
      <c r="J780" s="74"/>
      <c r="K780" s="74" t="s">
        <v>16</v>
      </c>
      <c r="L780" s="74"/>
      <c r="M780" s="74" t="s">
        <v>13</v>
      </c>
      <c r="N780" s="71" t="str">
        <f t="shared" si="12"/>
        <v>1</v>
      </c>
      <c r="O780" s="71" t="str">
        <f>INDEX(Кат!$D:$D,MATCH($A780,Кат!$A:$A,0))</f>
        <v>Y</v>
      </c>
    </row>
    <row r="781" spans="1:15" ht="45" x14ac:dyDescent="0.25">
      <c r="A781" s="73">
        <v>223684</v>
      </c>
      <c r="B781" s="73">
        <v>31418</v>
      </c>
      <c r="C781" s="74" t="s">
        <v>2035</v>
      </c>
      <c r="D781" s="74" t="s">
        <v>13</v>
      </c>
      <c r="E781" s="74" t="s">
        <v>2036</v>
      </c>
      <c r="F781" s="74" t="s">
        <v>2036</v>
      </c>
      <c r="G781" s="74" t="s">
        <v>15</v>
      </c>
      <c r="H781" s="75">
        <v>1100</v>
      </c>
      <c r="I781" s="75">
        <v>1690</v>
      </c>
      <c r="J781" s="74"/>
      <c r="K781" s="74" t="s">
        <v>16</v>
      </c>
      <c r="L781" s="74"/>
      <c r="M781" s="74" t="s">
        <v>13</v>
      </c>
      <c r="N781" s="71" t="str">
        <f t="shared" si="12"/>
        <v>1</v>
      </c>
      <c r="O781" s="71" t="str">
        <f>INDEX(Кат!$D:$D,MATCH($A781,Кат!$A:$A,0))</f>
        <v>Y</v>
      </c>
    </row>
    <row r="782" spans="1:15" ht="45" x14ac:dyDescent="0.25">
      <c r="A782" s="73">
        <v>223685</v>
      </c>
      <c r="B782" s="73">
        <v>50965</v>
      </c>
      <c r="C782" s="74" t="s">
        <v>2037</v>
      </c>
      <c r="D782" s="74" t="s">
        <v>13</v>
      </c>
      <c r="E782" s="74" t="s">
        <v>2038</v>
      </c>
      <c r="F782" s="74" t="s">
        <v>2039</v>
      </c>
      <c r="G782" s="74" t="s">
        <v>15</v>
      </c>
      <c r="H782" s="75">
        <v>6073</v>
      </c>
      <c r="I782" s="75">
        <v>8190</v>
      </c>
      <c r="J782" s="74"/>
      <c r="K782" s="74" t="s">
        <v>16</v>
      </c>
      <c r="L782" s="74"/>
      <c r="M782" s="74" t="s">
        <v>13</v>
      </c>
      <c r="N782" s="71" t="str">
        <f t="shared" si="12"/>
        <v>1</v>
      </c>
      <c r="O782" s="71" t="str">
        <f>INDEX(Кат!$D:$D,MATCH($A782,Кат!$A:$A,0))</f>
        <v>Y</v>
      </c>
    </row>
    <row r="783" spans="1:15" ht="75" x14ac:dyDescent="0.25">
      <c r="A783" s="73">
        <v>223686</v>
      </c>
      <c r="B783" s="73">
        <v>47890</v>
      </c>
      <c r="C783" s="74" t="s">
        <v>2040</v>
      </c>
      <c r="D783" s="74" t="s">
        <v>13</v>
      </c>
      <c r="E783" s="74" t="s">
        <v>2041</v>
      </c>
      <c r="F783" s="74" t="s">
        <v>2042</v>
      </c>
      <c r="G783" s="74" t="s">
        <v>15</v>
      </c>
      <c r="H783" s="75">
        <v>2021</v>
      </c>
      <c r="I783" s="75">
        <v>2890</v>
      </c>
      <c r="J783" s="74" t="s">
        <v>2043</v>
      </c>
      <c r="K783" s="74" t="s">
        <v>16</v>
      </c>
      <c r="L783" s="74"/>
      <c r="M783" s="74" t="s">
        <v>13</v>
      </c>
      <c r="N783" s="71" t="str">
        <f t="shared" si="12"/>
        <v>1</v>
      </c>
      <c r="O783" s="71" t="str">
        <f>INDEX(Кат!$D:$D,MATCH($A783,Кат!$A:$A,0))</f>
        <v>Y</v>
      </c>
    </row>
    <row r="784" spans="1:15" ht="60" x14ac:dyDescent="0.25">
      <c r="A784" s="73">
        <v>223687</v>
      </c>
      <c r="B784" s="73">
        <v>50534</v>
      </c>
      <c r="C784" s="74" t="s">
        <v>2044</v>
      </c>
      <c r="D784" s="74" t="s">
        <v>13</v>
      </c>
      <c r="E784" s="74" t="s">
        <v>2045</v>
      </c>
      <c r="F784" s="74" t="s">
        <v>2046</v>
      </c>
      <c r="G784" s="74" t="s">
        <v>15</v>
      </c>
      <c r="H784" s="75">
        <v>5651</v>
      </c>
      <c r="I784" s="75">
        <v>7690</v>
      </c>
      <c r="J784" s="74" t="s">
        <v>2047</v>
      </c>
      <c r="K784" s="74" t="s">
        <v>16</v>
      </c>
      <c r="L784" s="74"/>
      <c r="M784" s="74" t="s">
        <v>13</v>
      </c>
      <c r="N784" s="71" t="str">
        <f t="shared" si="12"/>
        <v>1</v>
      </c>
      <c r="O784" s="71" t="str">
        <f>INDEX(Кат!$D:$D,MATCH($A784,Кат!$A:$A,0))</f>
        <v>Y</v>
      </c>
    </row>
    <row r="785" spans="1:15" ht="45" x14ac:dyDescent="0.25">
      <c r="A785" s="73">
        <v>223690</v>
      </c>
      <c r="B785" s="73">
        <v>31419</v>
      </c>
      <c r="C785" s="74" t="s">
        <v>2048</v>
      </c>
      <c r="D785" s="74" t="s">
        <v>13</v>
      </c>
      <c r="E785" s="74" t="s">
        <v>2049</v>
      </c>
      <c r="F785" s="74" t="s">
        <v>2049</v>
      </c>
      <c r="G785" s="74" t="s">
        <v>15</v>
      </c>
      <c r="H785" s="75">
        <v>773</v>
      </c>
      <c r="I785" s="75">
        <v>1190</v>
      </c>
      <c r="J785" s="74"/>
      <c r="K785" s="74" t="s">
        <v>16</v>
      </c>
      <c r="L785" s="74"/>
      <c r="M785" s="74" t="s">
        <v>13</v>
      </c>
      <c r="N785" s="71" t="str">
        <f t="shared" si="12"/>
        <v>1</v>
      </c>
      <c r="O785" s="71" t="str">
        <f>INDEX(Кат!$D:$D,MATCH($A785,Кат!$A:$A,0))</f>
        <v>Y</v>
      </c>
    </row>
    <row r="786" spans="1:15" ht="45" x14ac:dyDescent="0.25">
      <c r="A786" s="73">
        <v>223688</v>
      </c>
      <c r="B786" s="73">
        <v>32763</v>
      </c>
      <c r="C786" s="74" t="s">
        <v>2050</v>
      </c>
      <c r="D786" s="74" t="s">
        <v>13</v>
      </c>
      <c r="E786" s="74" t="s">
        <v>2051</v>
      </c>
      <c r="F786" s="74" t="s">
        <v>2051</v>
      </c>
      <c r="G786" s="74" t="s">
        <v>15</v>
      </c>
      <c r="H786" s="75">
        <v>7679</v>
      </c>
      <c r="I786" s="75">
        <v>10790</v>
      </c>
      <c r="J786" s="74"/>
      <c r="K786" s="74" t="s">
        <v>16</v>
      </c>
      <c r="L786" s="74"/>
      <c r="M786" s="74" t="s">
        <v>13</v>
      </c>
      <c r="N786" s="71" t="str">
        <f t="shared" si="12"/>
        <v>1</v>
      </c>
      <c r="O786" s="71" t="str">
        <f>INDEX(Кат!$D:$D,MATCH($A786,Кат!$A:$A,0))</f>
        <v>Y</v>
      </c>
    </row>
    <row r="787" spans="1:15" ht="45" x14ac:dyDescent="0.25">
      <c r="A787" s="73">
        <v>223689</v>
      </c>
      <c r="B787" s="73">
        <v>31236</v>
      </c>
      <c r="C787" s="74" t="s">
        <v>2052</v>
      </c>
      <c r="D787" s="74" t="s">
        <v>13</v>
      </c>
      <c r="E787" s="74" t="s">
        <v>2053</v>
      </c>
      <c r="F787" s="74" t="s">
        <v>2053</v>
      </c>
      <c r="G787" s="74" t="s">
        <v>15</v>
      </c>
      <c r="H787" s="75">
        <v>359</v>
      </c>
      <c r="I787" s="75">
        <v>579</v>
      </c>
      <c r="J787" s="74"/>
      <c r="K787" s="74" t="s">
        <v>16</v>
      </c>
      <c r="L787" s="74"/>
      <c r="M787" s="74" t="s">
        <v>13</v>
      </c>
      <c r="N787" s="71" t="str">
        <f t="shared" si="12"/>
        <v>1</v>
      </c>
      <c r="O787" s="71" t="str">
        <f>INDEX(Кат!$D:$D,MATCH($A787,Кат!$A:$A,0))</f>
        <v>Y</v>
      </c>
    </row>
    <row r="788" spans="1:15" ht="45" x14ac:dyDescent="0.25">
      <c r="A788" s="73">
        <v>223691</v>
      </c>
      <c r="B788" s="73">
        <v>32635</v>
      </c>
      <c r="C788" s="74" t="s">
        <v>2054</v>
      </c>
      <c r="D788" s="74" t="s">
        <v>13</v>
      </c>
      <c r="E788" s="74" t="s">
        <v>2055</v>
      </c>
      <c r="F788" s="74" t="s">
        <v>2055</v>
      </c>
      <c r="G788" s="74" t="s">
        <v>15</v>
      </c>
      <c r="H788" s="75">
        <v>825</v>
      </c>
      <c r="I788" s="75">
        <v>1290</v>
      </c>
      <c r="J788" s="74"/>
      <c r="K788" s="74" t="s">
        <v>16</v>
      </c>
      <c r="L788" s="74"/>
      <c r="M788" s="74" t="s">
        <v>13</v>
      </c>
      <c r="N788" s="71" t="str">
        <f t="shared" si="12"/>
        <v>1</v>
      </c>
      <c r="O788" s="71" t="str">
        <f>INDEX(Кат!$D:$D,MATCH($A788,Кат!$A:$A,0))</f>
        <v>Y</v>
      </c>
    </row>
    <row r="789" spans="1:15" ht="75" x14ac:dyDescent="0.25">
      <c r="A789" s="73">
        <v>223692</v>
      </c>
      <c r="B789" s="73">
        <v>32684</v>
      </c>
      <c r="C789" s="74" t="s">
        <v>2056</v>
      </c>
      <c r="D789" s="74" t="s">
        <v>13</v>
      </c>
      <c r="E789" s="74" t="s">
        <v>2057</v>
      </c>
      <c r="F789" s="74" t="s">
        <v>2057</v>
      </c>
      <c r="G789" s="74" t="s">
        <v>15</v>
      </c>
      <c r="H789" s="75">
        <v>2375</v>
      </c>
      <c r="I789" s="75">
        <v>3390</v>
      </c>
      <c r="J789" s="74" t="s">
        <v>2058</v>
      </c>
      <c r="K789" s="74" t="s">
        <v>16</v>
      </c>
      <c r="L789" s="74"/>
      <c r="M789" s="74" t="s">
        <v>13</v>
      </c>
      <c r="N789" s="71" t="str">
        <f t="shared" si="12"/>
        <v>1</v>
      </c>
      <c r="O789" s="71" t="str">
        <f>INDEX(Кат!$D:$D,MATCH($A789,Кат!$A:$A,0))</f>
        <v>Y</v>
      </c>
    </row>
    <row r="790" spans="1:15" ht="60" x14ac:dyDescent="0.25">
      <c r="A790" s="73">
        <v>223695</v>
      </c>
      <c r="B790" s="73">
        <v>31071</v>
      </c>
      <c r="C790" s="74" t="s">
        <v>2059</v>
      </c>
      <c r="D790" s="74" t="s">
        <v>13</v>
      </c>
      <c r="E790" s="74" t="s">
        <v>2060</v>
      </c>
      <c r="F790" s="74" t="s">
        <v>2060</v>
      </c>
      <c r="G790" s="74" t="s">
        <v>15</v>
      </c>
      <c r="H790" s="75">
        <v>1757</v>
      </c>
      <c r="I790" s="75">
        <v>2690</v>
      </c>
      <c r="J790" s="74" t="s">
        <v>2061</v>
      </c>
      <c r="K790" s="74" t="s">
        <v>16</v>
      </c>
      <c r="L790" s="74"/>
      <c r="M790" s="74" t="s">
        <v>13</v>
      </c>
      <c r="N790" s="71" t="str">
        <f t="shared" si="12"/>
        <v>1</v>
      </c>
      <c r="O790" s="71" t="str">
        <f>INDEX(Кат!$D:$D,MATCH($A790,Кат!$A:$A,0))</f>
        <v>Y</v>
      </c>
    </row>
    <row r="791" spans="1:15" ht="60" x14ac:dyDescent="0.25">
      <c r="A791" s="73">
        <v>223696</v>
      </c>
      <c r="B791" s="73">
        <v>23540</v>
      </c>
      <c r="C791" s="74" t="s">
        <v>2062</v>
      </c>
      <c r="D791" s="74" t="s">
        <v>13</v>
      </c>
      <c r="E791" s="74" t="s">
        <v>2063</v>
      </c>
      <c r="F791" s="74" t="s">
        <v>2063</v>
      </c>
      <c r="G791" s="74" t="s">
        <v>15</v>
      </c>
      <c r="H791" s="75">
        <v>38</v>
      </c>
      <c r="I791" s="75">
        <v>79</v>
      </c>
      <c r="J791" s="74" t="s">
        <v>2064</v>
      </c>
      <c r="K791" s="74" t="s">
        <v>16</v>
      </c>
      <c r="L791" s="74"/>
      <c r="M791" s="74" t="s">
        <v>13</v>
      </c>
      <c r="N791" s="71" t="str">
        <f t="shared" si="12"/>
        <v>1</v>
      </c>
      <c r="O791" s="71" t="str">
        <f>INDEX(Кат!$D:$D,MATCH($A791,Кат!$A:$A,0))</f>
        <v>Y</v>
      </c>
    </row>
    <row r="792" spans="1:15" ht="45" x14ac:dyDescent="0.25">
      <c r="A792" s="73">
        <v>223700</v>
      </c>
      <c r="B792" s="73">
        <v>32702</v>
      </c>
      <c r="C792" s="74" t="s">
        <v>2065</v>
      </c>
      <c r="D792" s="74" t="s">
        <v>13</v>
      </c>
      <c r="E792" s="74" t="s">
        <v>2066</v>
      </c>
      <c r="F792" s="74" t="s">
        <v>2066</v>
      </c>
      <c r="G792" s="74" t="s">
        <v>15</v>
      </c>
      <c r="H792" s="75">
        <v>3842.7</v>
      </c>
      <c r="I792" s="75">
        <v>5390</v>
      </c>
      <c r="J792" s="74"/>
      <c r="K792" s="74" t="s">
        <v>16</v>
      </c>
      <c r="L792" s="74"/>
      <c r="M792" s="74" t="s">
        <v>13</v>
      </c>
      <c r="N792" s="71" t="str">
        <f t="shared" si="12"/>
        <v>1</v>
      </c>
      <c r="O792" s="71" t="str">
        <f>INDEX(Кат!$D:$D,MATCH($A792,Кат!$A:$A,0))</f>
        <v>Y</v>
      </c>
    </row>
    <row r="793" spans="1:15" ht="45" x14ac:dyDescent="0.25">
      <c r="A793" s="73">
        <v>223701</v>
      </c>
      <c r="B793" s="73">
        <v>32637</v>
      </c>
      <c r="C793" s="74" t="s">
        <v>2067</v>
      </c>
      <c r="D793" s="74" t="s">
        <v>13</v>
      </c>
      <c r="E793" s="74" t="s">
        <v>2068</v>
      </c>
      <c r="F793" s="74" t="s">
        <v>2068</v>
      </c>
      <c r="G793" s="74" t="s">
        <v>15</v>
      </c>
      <c r="H793" s="75">
        <v>1296.6099999999999</v>
      </c>
      <c r="I793" s="75">
        <v>1990</v>
      </c>
      <c r="J793" s="74"/>
      <c r="K793" s="74" t="s">
        <v>16</v>
      </c>
      <c r="L793" s="74"/>
      <c r="M793" s="74" t="s">
        <v>13</v>
      </c>
      <c r="N793" s="71" t="str">
        <f t="shared" si="12"/>
        <v>1</v>
      </c>
      <c r="O793" s="71" t="str">
        <f>INDEX(Кат!$D:$D,MATCH($A793,Кат!$A:$A,0))</f>
        <v>Y</v>
      </c>
    </row>
    <row r="794" spans="1:15" ht="45" x14ac:dyDescent="0.25">
      <c r="A794" s="73">
        <v>223702</v>
      </c>
      <c r="B794" s="73">
        <v>31145</v>
      </c>
      <c r="C794" s="74" t="s">
        <v>2069</v>
      </c>
      <c r="D794" s="74" t="s">
        <v>13</v>
      </c>
      <c r="E794" s="74" t="s">
        <v>2070</v>
      </c>
      <c r="F794" s="74" t="s">
        <v>2070</v>
      </c>
      <c r="G794" s="74" t="s">
        <v>15</v>
      </c>
      <c r="H794" s="75">
        <v>451</v>
      </c>
      <c r="I794" s="75">
        <v>729</v>
      </c>
      <c r="J794" s="74"/>
      <c r="K794" s="74" t="s">
        <v>16</v>
      </c>
      <c r="L794" s="74"/>
      <c r="M794" s="74" t="s">
        <v>13</v>
      </c>
      <c r="N794" s="71" t="str">
        <f t="shared" si="12"/>
        <v>1</v>
      </c>
      <c r="O794" s="71" t="str">
        <f>INDEX(Кат!$D:$D,MATCH($A794,Кат!$A:$A,0))</f>
        <v>Y</v>
      </c>
    </row>
    <row r="795" spans="1:15" ht="45" x14ac:dyDescent="0.25">
      <c r="A795" s="73">
        <v>223703</v>
      </c>
      <c r="B795" s="73">
        <v>31144</v>
      </c>
      <c r="C795" s="74" t="s">
        <v>2071</v>
      </c>
      <c r="D795" s="74" t="s">
        <v>13</v>
      </c>
      <c r="E795" s="74" t="s">
        <v>2072</v>
      </c>
      <c r="F795" s="74" t="s">
        <v>2072</v>
      </c>
      <c r="G795" s="74" t="s">
        <v>15</v>
      </c>
      <c r="H795" s="75">
        <v>477</v>
      </c>
      <c r="I795" s="75">
        <v>769</v>
      </c>
      <c r="J795" s="74"/>
      <c r="K795" s="74" t="s">
        <v>16</v>
      </c>
      <c r="L795" s="74"/>
      <c r="M795" s="74" t="s">
        <v>13</v>
      </c>
      <c r="N795" s="71" t="str">
        <f t="shared" si="12"/>
        <v>1</v>
      </c>
      <c r="O795" s="71" t="str">
        <f>INDEX(Кат!$D:$D,MATCH($A795,Кат!$A:$A,0))</f>
        <v>Y</v>
      </c>
    </row>
    <row r="796" spans="1:15" ht="30" x14ac:dyDescent="0.25">
      <c r="A796" s="73">
        <v>224140</v>
      </c>
      <c r="B796" s="73">
        <v>31055</v>
      </c>
      <c r="C796" s="74" t="s">
        <v>2073</v>
      </c>
      <c r="D796" s="74" t="s">
        <v>13</v>
      </c>
      <c r="E796" s="74" t="s">
        <v>2074</v>
      </c>
      <c r="F796" s="74" t="s">
        <v>2074</v>
      </c>
      <c r="G796" s="74" t="s">
        <v>15</v>
      </c>
      <c r="H796" s="75">
        <v>3594</v>
      </c>
      <c r="I796" s="75">
        <v>5090</v>
      </c>
      <c r="J796" s="74"/>
      <c r="K796" s="74" t="s">
        <v>16</v>
      </c>
      <c r="L796" s="74"/>
      <c r="M796" s="74" t="s">
        <v>13</v>
      </c>
      <c r="N796" s="71" t="str">
        <f t="shared" si="12"/>
        <v>1</v>
      </c>
      <c r="O796" s="71" t="str">
        <f>INDEX(Кат!$D:$D,MATCH($A796,Кат!$A:$A,0))</f>
        <v>Y</v>
      </c>
    </row>
    <row r="797" spans="1:15" ht="45" x14ac:dyDescent="0.25">
      <c r="A797" s="73">
        <v>226774</v>
      </c>
      <c r="B797" s="73">
        <v>31015</v>
      </c>
      <c r="C797" s="74" t="s">
        <v>2075</v>
      </c>
      <c r="D797" s="74" t="s">
        <v>13</v>
      </c>
      <c r="E797" s="74" t="s">
        <v>2076</v>
      </c>
      <c r="F797" s="74" t="s">
        <v>2076</v>
      </c>
      <c r="G797" s="74" t="s">
        <v>15</v>
      </c>
      <c r="H797" s="75">
        <v>3236</v>
      </c>
      <c r="I797" s="75">
        <v>4590</v>
      </c>
      <c r="J797" s="74"/>
      <c r="K797" s="74" t="s">
        <v>16</v>
      </c>
      <c r="L797" s="74"/>
      <c r="M797" s="74" t="s">
        <v>13</v>
      </c>
      <c r="N797" s="71" t="str">
        <f t="shared" si="12"/>
        <v>1</v>
      </c>
      <c r="O797" s="71" t="str">
        <f>INDEX(Кат!$D:$D,MATCH($A797,Кат!$A:$A,0))</f>
        <v>Y</v>
      </c>
    </row>
    <row r="798" spans="1:15" ht="45" x14ac:dyDescent="0.25">
      <c r="A798" s="73">
        <v>226776</v>
      </c>
      <c r="B798" s="73">
        <v>31019</v>
      </c>
      <c r="C798" s="74" t="s">
        <v>2077</v>
      </c>
      <c r="D798" s="74" t="s">
        <v>13</v>
      </c>
      <c r="E798" s="74" t="s">
        <v>2078</v>
      </c>
      <c r="F798" s="74" t="s">
        <v>2078</v>
      </c>
      <c r="G798" s="74" t="s">
        <v>15</v>
      </c>
      <c r="H798" s="75">
        <v>1807</v>
      </c>
      <c r="I798" s="75">
        <v>2790</v>
      </c>
      <c r="J798" s="74"/>
      <c r="K798" s="74" t="s">
        <v>16</v>
      </c>
      <c r="L798" s="74"/>
      <c r="M798" s="74" t="s">
        <v>13</v>
      </c>
      <c r="N798" s="71" t="str">
        <f t="shared" si="12"/>
        <v>1</v>
      </c>
      <c r="O798" s="71" t="str">
        <f>INDEX(Кат!$D:$D,MATCH($A798,Кат!$A:$A,0))</f>
        <v>Y</v>
      </c>
    </row>
    <row r="799" spans="1:15" ht="45" x14ac:dyDescent="0.25">
      <c r="A799" s="73">
        <v>226802</v>
      </c>
      <c r="B799" s="73">
        <v>32538</v>
      </c>
      <c r="C799" s="74" t="s">
        <v>2079</v>
      </c>
      <c r="D799" s="74" t="s">
        <v>13</v>
      </c>
      <c r="E799" s="74" t="s">
        <v>2080</v>
      </c>
      <c r="F799" s="74" t="s">
        <v>2080</v>
      </c>
      <c r="G799" s="74" t="s">
        <v>15</v>
      </c>
      <c r="H799" s="75">
        <v>2182</v>
      </c>
      <c r="I799" s="75">
        <v>3090</v>
      </c>
      <c r="J799" s="74"/>
      <c r="K799" s="74" t="s">
        <v>37</v>
      </c>
      <c r="L799" s="74"/>
      <c r="M799" s="74" t="s">
        <v>13</v>
      </c>
      <c r="N799" s="71" t="str">
        <f t="shared" si="12"/>
        <v>0</v>
      </c>
      <c r="O799" s="71" t="str">
        <f>INDEX(Кат!$D:$D,MATCH($A799,Кат!$A:$A,0))</f>
        <v>Y</v>
      </c>
    </row>
    <row r="800" spans="1:15" ht="30" x14ac:dyDescent="0.25">
      <c r="A800" s="73">
        <v>226803</v>
      </c>
      <c r="B800" s="73">
        <v>31280</v>
      </c>
      <c r="C800" s="74" t="s">
        <v>2081</v>
      </c>
      <c r="D800" s="74" t="s">
        <v>13</v>
      </c>
      <c r="E800" s="74" t="s">
        <v>2082</v>
      </c>
      <c r="F800" s="74" t="s">
        <v>2082</v>
      </c>
      <c r="G800" s="74" t="s">
        <v>15</v>
      </c>
      <c r="H800" s="75">
        <v>8807</v>
      </c>
      <c r="I800" s="75">
        <v>12390</v>
      </c>
      <c r="J800" s="74"/>
      <c r="K800" s="74" t="s">
        <v>16</v>
      </c>
      <c r="L800" s="74"/>
      <c r="M800" s="74" t="s">
        <v>13</v>
      </c>
      <c r="N800" s="71" t="str">
        <f t="shared" si="12"/>
        <v>1</v>
      </c>
      <c r="O800" s="71" t="str">
        <f>INDEX(Кат!$D:$D,MATCH($A800,Кат!$A:$A,0))</f>
        <v>Y</v>
      </c>
    </row>
    <row r="801" spans="1:15" ht="30" x14ac:dyDescent="0.25">
      <c r="A801" s="73">
        <v>226804</v>
      </c>
      <c r="B801" s="73">
        <v>46241</v>
      </c>
      <c r="C801" s="74" t="s">
        <v>2083</v>
      </c>
      <c r="D801" s="74" t="s">
        <v>13</v>
      </c>
      <c r="E801" s="74" t="s">
        <v>2084</v>
      </c>
      <c r="F801" s="74" t="s">
        <v>2085</v>
      </c>
      <c r="G801" s="74" t="s">
        <v>15</v>
      </c>
      <c r="H801" s="75">
        <v>20627.669999999998</v>
      </c>
      <c r="I801" s="75">
        <v>26890</v>
      </c>
      <c r="J801" s="74"/>
      <c r="K801" s="74" t="s">
        <v>16</v>
      </c>
      <c r="L801" s="74"/>
      <c r="M801" s="74" t="s">
        <v>13</v>
      </c>
      <c r="N801" s="71" t="str">
        <f t="shared" si="12"/>
        <v>1</v>
      </c>
      <c r="O801" s="71" t="str">
        <f>INDEX(Кат!$D:$D,MATCH($A801,Кат!$A:$A,0))</f>
        <v>Y</v>
      </c>
    </row>
    <row r="802" spans="1:15" ht="60" x14ac:dyDescent="0.25">
      <c r="A802" s="73">
        <v>226805</v>
      </c>
      <c r="B802" s="73">
        <v>32656</v>
      </c>
      <c r="C802" s="74" t="s">
        <v>2086</v>
      </c>
      <c r="D802" s="74" t="s">
        <v>13</v>
      </c>
      <c r="E802" s="74" t="s">
        <v>2087</v>
      </c>
      <c r="F802" s="74" t="s">
        <v>2087</v>
      </c>
      <c r="G802" s="74" t="s">
        <v>15</v>
      </c>
      <c r="H802" s="75">
        <v>5019</v>
      </c>
      <c r="I802" s="75">
        <v>6790</v>
      </c>
      <c r="J802" s="74" t="s">
        <v>2088</v>
      </c>
      <c r="K802" s="74" t="s">
        <v>16</v>
      </c>
      <c r="L802" s="74"/>
      <c r="M802" s="74" t="s">
        <v>13</v>
      </c>
      <c r="N802" s="71" t="str">
        <f t="shared" si="12"/>
        <v>1</v>
      </c>
      <c r="O802" s="71" t="str">
        <f>INDEX(Кат!$D:$D,MATCH($A802,Кат!$A:$A,0))</f>
        <v>Y</v>
      </c>
    </row>
    <row r="803" spans="1:15" ht="30" x14ac:dyDescent="0.25">
      <c r="A803" s="73">
        <v>226819</v>
      </c>
      <c r="B803" s="73">
        <v>31439</v>
      </c>
      <c r="C803" s="74" t="s">
        <v>2089</v>
      </c>
      <c r="D803" s="74" t="s">
        <v>13</v>
      </c>
      <c r="E803" s="74" t="s">
        <v>2090</v>
      </c>
      <c r="F803" s="74" t="s">
        <v>2090</v>
      </c>
      <c r="G803" s="74" t="s">
        <v>15</v>
      </c>
      <c r="H803" s="75">
        <v>192</v>
      </c>
      <c r="I803" s="75">
        <v>269</v>
      </c>
      <c r="J803" s="74"/>
      <c r="K803" s="74" t="s">
        <v>16</v>
      </c>
      <c r="L803" s="74"/>
      <c r="M803" s="74" t="s">
        <v>13</v>
      </c>
      <c r="N803" s="71" t="str">
        <f t="shared" si="12"/>
        <v>1</v>
      </c>
      <c r="O803" s="71" t="str">
        <f>INDEX(Кат!$D:$D,MATCH($A803,Кат!$A:$A,0))</f>
        <v>Y</v>
      </c>
    </row>
    <row r="804" spans="1:15" ht="30" x14ac:dyDescent="0.25">
      <c r="A804" s="73">
        <v>226820</v>
      </c>
      <c r="B804" s="73">
        <v>31308</v>
      </c>
      <c r="C804" s="74" t="s">
        <v>2091</v>
      </c>
      <c r="D804" s="74" t="s">
        <v>13</v>
      </c>
      <c r="E804" s="74" t="s">
        <v>2092</v>
      </c>
      <c r="F804" s="74" t="s">
        <v>2092</v>
      </c>
      <c r="G804" s="74" t="s">
        <v>15</v>
      </c>
      <c r="H804" s="75">
        <v>471</v>
      </c>
      <c r="I804" s="75">
        <v>759</v>
      </c>
      <c r="J804" s="74"/>
      <c r="K804" s="74" t="s">
        <v>16</v>
      </c>
      <c r="L804" s="74"/>
      <c r="M804" s="74" t="s">
        <v>13</v>
      </c>
      <c r="N804" s="71" t="str">
        <f t="shared" si="12"/>
        <v>1</v>
      </c>
      <c r="O804" s="71" t="str">
        <f>INDEX(Кат!$D:$D,MATCH($A804,Кат!$A:$A,0))</f>
        <v>Y</v>
      </c>
    </row>
  </sheetData>
  <sheetProtection formatCells="0" formatColumns="0" formatRows="0" insertColumns="0" insertRows="0" insertHyperlinks="0" deleteColumns="0" deleteRows="0" sort="0" autoFilter="0" pivotTables="0"/>
  <autoFilter ref="A1:O1" xr:uid="{00000000-0001-0000-0000-000000000000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O263"/>
  <sheetViews>
    <sheetView showRuler="0" zoomScaleNormal="100" workbookViewId="0">
      <pane ySplit="1" topLeftCell="A255" activePane="bottomLeft" state="frozen"/>
      <selection activeCell="C9" sqref="C9"/>
      <selection pane="bottomLeft" activeCell="B2" sqref="B2:B263"/>
    </sheetView>
  </sheetViews>
  <sheetFormatPr defaultRowHeight="15" x14ac:dyDescent="0.25"/>
  <cols>
    <col min="1" max="1" width="22.28515625" customWidth="1"/>
    <col min="2" max="3" width="7.7109375" customWidth="1"/>
    <col min="4" max="4" width="22.28515625" customWidth="1"/>
    <col min="5" max="5" width="5.5703125" customWidth="1"/>
    <col min="6" max="8" width="22.28515625" customWidth="1"/>
    <col min="9" max="9" width="8.85546875" customWidth="1"/>
    <col min="10" max="11" width="7.7109375" customWidth="1"/>
    <col min="12" max="12" width="22.28515625" customWidth="1"/>
    <col min="13" max="14" width="5.5703125" customWidth="1"/>
    <col min="15" max="15" width="7.7109375" customWidth="1"/>
  </cols>
  <sheetData>
    <row r="1" spans="1:15" s="1" customFormat="1" ht="30" x14ac:dyDescent="0.25">
      <c r="A1" s="2" t="s">
        <v>2093</v>
      </c>
      <c r="B1" s="2" t="s">
        <v>2094</v>
      </c>
      <c r="C1" s="2" t="s">
        <v>2095</v>
      </c>
      <c r="D1" s="2" t="s">
        <v>2096</v>
      </c>
      <c r="E1" s="2" t="s">
        <v>2097</v>
      </c>
      <c r="F1" s="2"/>
      <c r="G1" s="2" t="s">
        <v>2098</v>
      </c>
      <c r="H1" s="2" t="s">
        <v>2099</v>
      </c>
      <c r="I1" s="2" t="s">
        <v>2100</v>
      </c>
      <c r="J1" s="2" t="s">
        <v>2101</v>
      </c>
      <c r="K1" s="2" t="s">
        <v>2102</v>
      </c>
      <c r="L1" s="2" t="s">
        <v>2103</v>
      </c>
      <c r="M1" s="2" t="s">
        <v>2104</v>
      </c>
      <c r="N1" s="2" t="s">
        <v>2105</v>
      </c>
      <c r="O1" s="2" t="s">
        <v>2106</v>
      </c>
    </row>
    <row r="2" spans="1:15" ht="60" x14ac:dyDescent="0.25">
      <c r="A2" s="4" t="s">
        <v>2107</v>
      </c>
      <c r="B2" s="3">
        <v>257274</v>
      </c>
      <c r="C2" s="3">
        <v>206425</v>
      </c>
      <c r="D2" s="4" t="s">
        <v>2108</v>
      </c>
      <c r="E2" s="4" t="s">
        <v>2109</v>
      </c>
      <c r="F2" s="4"/>
      <c r="G2" s="4" t="s">
        <v>2110</v>
      </c>
      <c r="H2" s="4" t="s">
        <v>2111</v>
      </c>
      <c r="I2" s="4" t="s">
        <v>2112</v>
      </c>
      <c r="J2" s="5">
        <v>6315</v>
      </c>
      <c r="K2" s="5">
        <v>8290</v>
      </c>
      <c r="L2" s="4" t="s">
        <v>2113</v>
      </c>
      <c r="M2" s="3">
        <v>1</v>
      </c>
      <c r="N2" s="3"/>
      <c r="O2" s="4" t="s">
        <v>2114</v>
      </c>
    </row>
    <row r="3" spans="1:15" ht="75" x14ac:dyDescent="0.25">
      <c r="A3" s="4" t="s">
        <v>2115</v>
      </c>
      <c r="B3" s="3">
        <v>257292</v>
      </c>
      <c r="C3" s="3">
        <v>170089</v>
      </c>
      <c r="D3" s="4" t="s">
        <v>2116</v>
      </c>
      <c r="E3" s="4" t="s">
        <v>2117</v>
      </c>
      <c r="F3" s="4"/>
      <c r="G3" s="4" t="s">
        <v>2118</v>
      </c>
      <c r="H3" s="4" t="s">
        <v>2119</v>
      </c>
      <c r="I3" s="4" t="s">
        <v>2120</v>
      </c>
      <c r="J3" s="5">
        <v>7400</v>
      </c>
      <c r="K3" s="5">
        <v>9290</v>
      </c>
      <c r="L3" s="4" t="s">
        <v>2121</v>
      </c>
      <c r="M3" s="3">
        <v>1</v>
      </c>
      <c r="N3" s="3">
        <v>5</v>
      </c>
      <c r="O3" s="4" t="s">
        <v>2122</v>
      </c>
    </row>
    <row r="4" spans="1:15" ht="105" x14ac:dyDescent="0.25">
      <c r="A4" s="4" t="s">
        <v>2123</v>
      </c>
      <c r="B4" s="3">
        <v>242806</v>
      </c>
      <c r="C4" s="3">
        <v>172941</v>
      </c>
      <c r="D4" s="4" t="s">
        <v>2124</v>
      </c>
      <c r="E4" s="4" t="s">
        <v>2125</v>
      </c>
      <c r="F4" s="4"/>
      <c r="G4" s="4" t="s">
        <v>2126</v>
      </c>
      <c r="H4" s="4" t="s">
        <v>2127</v>
      </c>
      <c r="I4" s="4" t="s">
        <v>2128</v>
      </c>
      <c r="J4" s="5">
        <v>6543</v>
      </c>
      <c r="K4" s="5">
        <v>9090</v>
      </c>
      <c r="L4" s="4"/>
      <c r="M4" s="3">
        <v>1</v>
      </c>
      <c r="N4" s="3"/>
      <c r="O4" s="4" t="s">
        <v>2129</v>
      </c>
    </row>
    <row r="5" spans="1:15" ht="105" x14ac:dyDescent="0.25">
      <c r="A5" s="4" t="s">
        <v>2130</v>
      </c>
      <c r="B5" s="3">
        <v>242813</v>
      </c>
      <c r="C5" s="3">
        <v>172920</v>
      </c>
      <c r="D5" s="4" t="s">
        <v>2131</v>
      </c>
      <c r="E5" s="4" t="s">
        <v>2132</v>
      </c>
      <c r="F5" s="4"/>
      <c r="G5" s="4" t="s">
        <v>2133</v>
      </c>
      <c r="H5" s="4" t="s">
        <v>2134</v>
      </c>
      <c r="I5" s="4" t="s">
        <v>2135</v>
      </c>
      <c r="J5" s="5">
        <v>7200</v>
      </c>
      <c r="K5" s="5">
        <v>9990</v>
      </c>
      <c r="L5" s="4"/>
      <c r="M5" s="3">
        <v>1</v>
      </c>
      <c r="N5" s="3"/>
      <c r="O5" s="4" t="s">
        <v>2136</v>
      </c>
    </row>
    <row r="6" spans="1:15" ht="75" x14ac:dyDescent="0.25">
      <c r="A6" s="4" t="s">
        <v>2137</v>
      </c>
      <c r="B6" s="3">
        <v>242826</v>
      </c>
      <c r="C6" s="3">
        <v>170304</v>
      </c>
      <c r="D6" s="4" t="s">
        <v>2138</v>
      </c>
      <c r="E6" s="4" t="s">
        <v>2139</v>
      </c>
      <c r="F6" s="4"/>
      <c r="G6" s="4" t="s">
        <v>2140</v>
      </c>
      <c r="H6" s="4" t="s">
        <v>2141</v>
      </c>
      <c r="I6" s="4" t="s">
        <v>2142</v>
      </c>
      <c r="J6" s="5">
        <v>9000</v>
      </c>
      <c r="K6" s="5">
        <v>11290</v>
      </c>
      <c r="L6" s="4" t="s">
        <v>2143</v>
      </c>
      <c r="M6" s="3">
        <v>1</v>
      </c>
      <c r="N6" s="3">
        <v>2</v>
      </c>
      <c r="O6" s="4" t="s">
        <v>2144</v>
      </c>
    </row>
    <row r="7" spans="1:15" ht="75" x14ac:dyDescent="0.25">
      <c r="A7" s="4" t="s">
        <v>2145</v>
      </c>
      <c r="B7" s="3">
        <v>242845</v>
      </c>
      <c r="C7" s="3">
        <v>175440</v>
      </c>
      <c r="D7" s="4" t="s">
        <v>2146</v>
      </c>
      <c r="E7" s="4" t="s">
        <v>2147</v>
      </c>
      <c r="F7" s="4"/>
      <c r="G7" s="4" t="s">
        <v>2148</v>
      </c>
      <c r="H7" s="4" t="s">
        <v>2149</v>
      </c>
      <c r="I7" s="4" t="s">
        <v>2150</v>
      </c>
      <c r="J7" s="5">
        <v>7500</v>
      </c>
      <c r="K7" s="5">
        <v>10390</v>
      </c>
      <c r="L7" s="4" t="s">
        <v>2151</v>
      </c>
      <c r="M7" s="3">
        <v>1</v>
      </c>
      <c r="N7" s="3">
        <v>2</v>
      </c>
      <c r="O7" s="4" t="s">
        <v>2152</v>
      </c>
    </row>
    <row r="8" spans="1:15" ht="60" x14ac:dyDescent="0.25">
      <c r="A8" s="4" t="s">
        <v>2153</v>
      </c>
      <c r="B8" s="3">
        <v>265985</v>
      </c>
      <c r="C8" s="3">
        <v>208798</v>
      </c>
      <c r="D8" s="4" t="s">
        <v>2154</v>
      </c>
      <c r="E8" s="4" t="s">
        <v>2155</v>
      </c>
      <c r="F8" s="4"/>
      <c r="G8" s="4" t="s">
        <v>2156</v>
      </c>
      <c r="H8" s="4" t="s">
        <v>2157</v>
      </c>
      <c r="I8" s="4" t="s">
        <v>2158</v>
      </c>
      <c r="J8" s="5">
        <v>2622</v>
      </c>
      <c r="K8" s="5">
        <v>4190</v>
      </c>
      <c r="L8" s="4" t="s">
        <v>2159</v>
      </c>
      <c r="M8" s="3">
        <v>1</v>
      </c>
      <c r="N8" s="3"/>
      <c r="O8" s="4" t="s">
        <v>2160</v>
      </c>
    </row>
    <row r="9" spans="1:15" ht="75" x14ac:dyDescent="0.25">
      <c r="A9" s="4" t="s">
        <v>2161</v>
      </c>
      <c r="B9" s="3">
        <v>242979</v>
      </c>
      <c r="C9" s="3">
        <v>174717</v>
      </c>
      <c r="D9" s="4" t="s">
        <v>2162</v>
      </c>
      <c r="E9" s="4" t="s">
        <v>2163</v>
      </c>
      <c r="F9" s="4"/>
      <c r="G9" s="4" t="s">
        <v>2164</v>
      </c>
      <c r="H9" s="4" t="s">
        <v>2165</v>
      </c>
      <c r="I9" s="4" t="s">
        <v>2166</v>
      </c>
      <c r="J9" s="5">
        <v>1000</v>
      </c>
      <c r="K9" s="5">
        <v>2090</v>
      </c>
      <c r="L9" s="4" t="s">
        <v>2167</v>
      </c>
      <c r="M9" s="3">
        <v>1</v>
      </c>
      <c r="N9" s="3"/>
      <c r="O9" s="4" t="s">
        <v>2168</v>
      </c>
    </row>
    <row r="10" spans="1:15" ht="75" x14ac:dyDescent="0.25">
      <c r="A10" s="4" t="s">
        <v>2169</v>
      </c>
      <c r="B10" s="3">
        <v>243014</v>
      </c>
      <c r="C10" s="3">
        <v>174755</v>
      </c>
      <c r="D10" s="4" t="s">
        <v>2170</v>
      </c>
      <c r="E10" s="4" t="s">
        <v>2171</v>
      </c>
      <c r="F10" s="4"/>
      <c r="G10" s="4" t="s">
        <v>2172</v>
      </c>
      <c r="H10" s="4" t="s">
        <v>2173</v>
      </c>
      <c r="I10" s="4" t="s">
        <v>2174</v>
      </c>
      <c r="J10" s="5">
        <v>700</v>
      </c>
      <c r="K10" s="5">
        <v>2090</v>
      </c>
      <c r="L10" s="4" t="s">
        <v>2175</v>
      </c>
      <c r="M10" s="3">
        <v>1</v>
      </c>
      <c r="N10" s="3"/>
      <c r="O10" s="4" t="s">
        <v>2176</v>
      </c>
    </row>
    <row r="11" spans="1:15" ht="90" x14ac:dyDescent="0.25">
      <c r="A11" s="4" t="s">
        <v>2177</v>
      </c>
      <c r="B11" s="3">
        <v>243049</v>
      </c>
      <c r="C11" s="3">
        <v>174427</v>
      </c>
      <c r="D11" s="4" t="s">
        <v>2178</v>
      </c>
      <c r="E11" s="4" t="s">
        <v>2179</v>
      </c>
      <c r="F11" s="4"/>
      <c r="G11" s="4" t="s">
        <v>2180</v>
      </c>
      <c r="H11" s="4" t="s">
        <v>2181</v>
      </c>
      <c r="I11" s="4" t="s">
        <v>2182</v>
      </c>
      <c r="J11" s="5">
        <v>700</v>
      </c>
      <c r="K11" s="5">
        <v>2090</v>
      </c>
      <c r="L11" s="4" t="s">
        <v>2183</v>
      </c>
      <c r="M11" s="3">
        <v>1</v>
      </c>
      <c r="N11" s="3"/>
      <c r="O11" s="4" t="s">
        <v>2184</v>
      </c>
    </row>
    <row r="12" spans="1:15" ht="90" x14ac:dyDescent="0.25">
      <c r="A12" s="4" t="s">
        <v>2185</v>
      </c>
      <c r="B12" s="3">
        <v>243084</v>
      </c>
      <c r="C12" s="3">
        <v>174679</v>
      </c>
      <c r="D12" s="4" t="s">
        <v>2186</v>
      </c>
      <c r="E12" s="4" t="s">
        <v>2187</v>
      </c>
      <c r="F12" s="4"/>
      <c r="G12" s="4" t="s">
        <v>2188</v>
      </c>
      <c r="H12" s="4" t="s">
        <v>2189</v>
      </c>
      <c r="I12" s="4" t="s">
        <v>2190</v>
      </c>
      <c r="J12" s="5">
        <v>700</v>
      </c>
      <c r="K12" s="5">
        <v>2090</v>
      </c>
      <c r="L12" s="4" t="s">
        <v>2191</v>
      </c>
      <c r="M12" s="3">
        <v>1</v>
      </c>
      <c r="N12" s="3"/>
      <c r="O12" s="4" t="s">
        <v>2192</v>
      </c>
    </row>
    <row r="13" spans="1:15" ht="60" x14ac:dyDescent="0.25">
      <c r="A13" s="4" t="s">
        <v>2193</v>
      </c>
      <c r="B13" s="3">
        <v>243119</v>
      </c>
      <c r="C13" s="3">
        <v>175458</v>
      </c>
      <c r="D13" s="4" t="s">
        <v>2194</v>
      </c>
      <c r="E13" s="4" t="s">
        <v>2195</v>
      </c>
      <c r="F13" s="4"/>
      <c r="G13" s="4" t="s">
        <v>2196</v>
      </c>
      <c r="H13" s="4" t="s">
        <v>2197</v>
      </c>
      <c r="I13" s="4" t="s">
        <v>2198</v>
      </c>
      <c r="J13" s="5">
        <v>3082</v>
      </c>
      <c r="K13" s="5">
        <v>4490</v>
      </c>
      <c r="L13" s="4" t="s">
        <v>2199</v>
      </c>
      <c r="M13" s="3">
        <v>1</v>
      </c>
      <c r="N13" s="3"/>
      <c r="O13" s="4" t="s">
        <v>2200</v>
      </c>
    </row>
    <row r="14" spans="1:15" ht="90" x14ac:dyDescent="0.25">
      <c r="A14" s="4" t="s">
        <v>2201</v>
      </c>
      <c r="B14" s="3">
        <v>243196</v>
      </c>
      <c r="C14" s="3">
        <v>175849</v>
      </c>
      <c r="D14" s="4" t="s">
        <v>2202</v>
      </c>
      <c r="E14" s="4" t="s">
        <v>2203</v>
      </c>
      <c r="F14" s="4"/>
      <c r="G14" s="4" t="s">
        <v>2204</v>
      </c>
      <c r="H14" s="4" t="s">
        <v>2205</v>
      </c>
      <c r="I14" s="4" t="s">
        <v>2206</v>
      </c>
      <c r="J14" s="5">
        <v>6532</v>
      </c>
      <c r="K14" s="5">
        <v>10290</v>
      </c>
      <c r="L14" s="4" t="s">
        <v>2207</v>
      </c>
      <c r="M14" s="3">
        <v>1</v>
      </c>
      <c r="N14" s="3"/>
      <c r="O14" s="4" t="s">
        <v>2208</v>
      </c>
    </row>
    <row r="15" spans="1:15" ht="90" x14ac:dyDescent="0.25">
      <c r="A15" s="4" t="s">
        <v>2209</v>
      </c>
      <c r="B15" s="3">
        <v>243349</v>
      </c>
      <c r="C15" s="3">
        <v>173404</v>
      </c>
      <c r="D15" s="4" t="s">
        <v>2210</v>
      </c>
      <c r="E15" s="4" t="s">
        <v>2211</v>
      </c>
      <c r="F15" s="4"/>
      <c r="G15" s="4" t="s">
        <v>2212</v>
      </c>
      <c r="H15" s="4" t="s">
        <v>2213</v>
      </c>
      <c r="I15" s="4" t="s">
        <v>2214</v>
      </c>
      <c r="J15" s="5">
        <v>5303</v>
      </c>
      <c r="K15" s="5">
        <v>7790</v>
      </c>
      <c r="L15" s="4" t="s">
        <v>2215</v>
      </c>
      <c r="M15" s="3">
        <v>1</v>
      </c>
      <c r="N15" s="3"/>
      <c r="O15" s="4" t="s">
        <v>2216</v>
      </c>
    </row>
    <row r="16" spans="1:15" ht="60" x14ac:dyDescent="0.25">
      <c r="A16" s="4" t="s">
        <v>2217</v>
      </c>
      <c r="B16" s="3">
        <v>243365</v>
      </c>
      <c r="C16" s="3">
        <v>175401</v>
      </c>
      <c r="D16" s="4" t="s">
        <v>2218</v>
      </c>
      <c r="E16" s="4" t="s">
        <v>2219</v>
      </c>
      <c r="F16" s="4"/>
      <c r="G16" s="4" t="s">
        <v>2220</v>
      </c>
      <c r="H16" s="4" t="s">
        <v>2221</v>
      </c>
      <c r="I16" s="4" t="s">
        <v>2222</v>
      </c>
      <c r="J16" s="5">
        <v>3583</v>
      </c>
      <c r="K16" s="5">
        <v>5190</v>
      </c>
      <c r="L16" s="4" t="s">
        <v>2223</v>
      </c>
      <c r="M16" s="3">
        <v>1</v>
      </c>
      <c r="N16" s="3"/>
      <c r="O16" s="4" t="s">
        <v>2224</v>
      </c>
    </row>
    <row r="17" spans="1:15" ht="75" x14ac:dyDescent="0.25">
      <c r="A17" s="4" t="s">
        <v>2225</v>
      </c>
      <c r="B17" s="3">
        <v>244304</v>
      </c>
      <c r="C17" s="3">
        <v>175830</v>
      </c>
      <c r="D17" s="4" t="s">
        <v>2226</v>
      </c>
      <c r="E17" s="4" t="s">
        <v>2227</v>
      </c>
      <c r="F17" s="4"/>
      <c r="G17" s="4" t="s">
        <v>2228</v>
      </c>
      <c r="H17" s="4" t="s">
        <v>2229</v>
      </c>
      <c r="I17" s="4" t="s">
        <v>2230</v>
      </c>
      <c r="J17" s="5">
        <v>15173</v>
      </c>
      <c r="K17" s="5">
        <v>21090</v>
      </c>
      <c r="L17" s="4" t="s">
        <v>2231</v>
      </c>
      <c r="M17" s="3">
        <v>1</v>
      </c>
      <c r="N17" s="3"/>
      <c r="O17" s="4" t="s">
        <v>2232</v>
      </c>
    </row>
    <row r="18" spans="1:15" ht="75" x14ac:dyDescent="0.25">
      <c r="A18" s="4" t="s">
        <v>2233</v>
      </c>
      <c r="B18" s="3">
        <v>244316</v>
      </c>
      <c r="C18" s="3">
        <v>175812</v>
      </c>
      <c r="D18" s="4" t="s">
        <v>2234</v>
      </c>
      <c r="E18" s="4" t="s">
        <v>2235</v>
      </c>
      <c r="F18" s="4"/>
      <c r="G18" s="4" t="s">
        <v>2236</v>
      </c>
      <c r="H18" s="4" t="s">
        <v>2237</v>
      </c>
      <c r="I18" s="4" t="s">
        <v>2238</v>
      </c>
      <c r="J18" s="5">
        <v>15638</v>
      </c>
      <c r="K18" s="5">
        <v>21090</v>
      </c>
      <c r="L18" s="4" t="s">
        <v>2239</v>
      </c>
      <c r="M18" s="3">
        <v>1</v>
      </c>
      <c r="N18" s="3"/>
      <c r="O18" s="4" t="s">
        <v>2240</v>
      </c>
    </row>
    <row r="19" spans="1:15" ht="60" x14ac:dyDescent="0.25">
      <c r="A19" s="4" t="s">
        <v>2241</v>
      </c>
      <c r="B19" s="3">
        <v>244327</v>
      </c>
      <c r="C19" s="3">
        <v>171103</v>
      </c>
      <c r="D19" s="4" t="s">
        <v>2242</v>
      </c>
      <c r="E19" s="4" t="s">
        <v>2243</v>
      </c>
      <c r="F19" s="4"/>
      <c r="G19" s="4" t="s">
        <v>2244</v>
      </c>
      <c r="H19" s="4" t="s">
        <v>2245</v>
      </c>
      <c r="I19" s="4" t="s">
        <v>2246</v>
      </c>
      <c r="J19" s="5">
        <v>26400</v>
      </c>
      <c r="K19" s="5">
        <v>32990</v>
      </c>
      <c r="L19" s="4" t="s">
        <v>2247</v>
      </c>
      <c r="M19" s="3">
        <v>1</v>
      </c>
      <c r="N19" s="3"/>
      <c r="O19" s="4" t="s">
        <v>2248</v>
      </c>
    </row>
    <row r="20" spans="1:15" ht="60" x14ac:dyDescent="0.25">
      <c r="A20" s="4" t="s">
        <v>2249</v>
      </c>
      <c r="B20" s="3">
        <v>266099</v>
      </c>
      <c r="C20" s="3">
        <v>217686</v>
      </c>
      <c r="D20" s="4" t="s">
        <v>2250</v>
      </c>
      <c r="E20" s="4" t="s">
        <v>2251</v>
      </c>
      <c r="F20" s="4"/>
      <c r="G20" s="4" t="s">
        <v>2252</v>
      </c>
      <c r="H20" s="4" t="s">
        <v>2253</v>
      </c>
      <c r="I20" s="4" t="s">
        <v>2254</v>
      </c>
      <c r="J20" s="5"/>
      <c r="K20" s="5">
        <v>5790</v>
      </c>
      <c r="L20" s="4"/>
      <c r="M20" s="3">
        <v>0</v>
      </c>
      <c r="N20" s="3"/>
      <c r="O20" s="4" t="s">
        <v>2255</v>
      </c>
    </row>
    <row r="21" spans="1:15" ht="60" x14ac:dyDescent="0.25">
      <c r="A21" s="4" t="s">
        <v>2256</v>
      </c>
      <c r="B21" s="3">
        <v>266125</v>
      </c>
      <c r="C21" s="3">
        <v>217722</v>
      </c>
      <c r="D21" s="4" t="s">
        <v>2257</v>
      </c>
      <c r="E21" s="4" t="s">
        <v>2258</v>
      </c>
      <c r="F21" s="4"/>
      <c r="G21" s="4" t="s">
        <v>2259</v>
      </c>
      <c r="H21" s="4" t="s">
        <v>2260</v>
      </c>
      <c r="I21" s="4" t="s">
        <v>2261</v>
      </c>
      <c r="J21" s="5">
        <v>15008</v>
      </c>
      <c r="K21" s="5">
        <v>19990</v>
      </c>
      <c r="L21" s="4"/>
      <c r="M21" s="3">
        <v>0</v>
      </c>
      <c r="N21" s="3"/>
      <c r="O21" s="4" t="s">
        <v>2262</v>
      </c>
    </row>
    <row r="22" spans="1:15" ht="60" x14ac:dyDescent="0.25">
      <c r="A22" s="4" t="s">
        <v>2263</v>
      </c>
      <c r="B22" s="3">
        <v>266159</v>
      </c>
      <c r="C22" s="3">
        <v>217808</v>
      </c>
      <c r="D22" s="4" t="s">
        <v>2264</v>
      </c>
      <c r="E22" s="4" t="s">
        <v>2265</v>
      </c>
      <c r="F22" s="4"/>
      <c r="G22" s="4" t="s">
        <v>2266</v>
      </c>
      <c r="H22" s="4" t="s">
        <v>2267</v>
      </c>
      <c r="I22" s="4" t="s">
        <v>2268</v>
      </c>
      <c r="J22" s="5"/>
      <c r="K22" s="5">
        <v>5790</v>
      </c>
      <c r="L22" s="4"/>
      <c r="M22" s="3">
        <v>0</v>
      </c>
      <c r="N22" s="3"/>
      <c r="O22" s="4" t="s">
        <v>2269</v>
      </c>
    </row>
    <row r="23" spans="1:15" ht="60" x14ac:dyDescent="0.25">
      <c r="A23" s="4" t="s">
        <v>2270</v>
      </c>
      <c r="B23" s="3">
        <v>266185</v>
      </c>
      <c r="C23" s="3">
        <v>217767</v>
      </c>
      <c r="D23" s="4" t="s">
        <v>2271</v>
      </c>
      <c r="E23" s="4" t="s">
        <v>2272</v>
      </c>
      <c r="F23" s="4"/>
      <c r="G23" s="4" t="s">
        <v>2273</v>
      </c>
      <c r="H23" s="4" t="s">
        <v>2274</v>
      </c>
      <c r="I23" s="4" t="s">
        <v>2275</v>
      </c>
      <c r="J23" s="5">
        <v>14375</v>
      </c>
      <c r="K23" s="5">
        <v>19090</v>
      </c>
      <c r="L23" s="4"/>
      <c r="M23" s="3">
        <v>0</v>
      </c>
      <c r="N23" s="3"/>
      <c r="O23" s="4" t="s">
        <v>2276</v>
      </c>
    </row>
    <row r="24" spans="1:15" ht="60" x14ac:dyDescent="0.25">
      <c r="A24" s="4" t="s">
        <v>2277</v>
      </c>
      <c r="B24" s="3">
        <v>265072</v>
      </c>
      <c r="C24" s="3">
        <v>214410</v>
      </c>
      <c r="D24" s="4" t="s">
        <v>2278</v>
      </c>
      <c r="E24" s="4" t="s">
        <v>2279</v>
      </c>
      <c r="F24" s="4"/>
      <c r="G24" s="4" t="s">
        <v>2280</v>
      </c>
      <c r="H24" s="4" t="s">
        <v>2281</v>
      </c>
      <c r="I24" s="4" t="s">
        <v>2282</v>
      </c>
      <c r="J24" s="5">
        <v>53410</v>
      </c>
      <c r="K24" s="5">
        <v>70890</v>
      </c>
      <c r="L24" s="4" t="s">
        <v>2283</v>
      </c>
      <c r="M24" s="3">
        <v>1</v>
      </c>
      <c r="N24" s="3"/>
      <c r="O24" s="4" t="s">
        <v>2284</v>
      </c>
    </row>
    <row r="25" spans="1:15" ht="75" x14ac:dyDescent="0.25">
      <c r="A25" s="4" t="s">
        <v>2285</v>
      </c>
      <c r="B25" s="3">
        <v>265084</v>
      </c>
      <c r="C25" s="3">
        <v>214460</v>
      </c>
      <c r="D25" s="4" t="s">
        <v>2286</v>
      </c>
      <c r="E25" s="4" t="s">
        <v>2287</v>
      </c>
      <c r="F25" s="4"/>
      <c r="G25" s="4" t="s">
        <v>2288</v>
      </c>
      <c r="H25" s="4" t="s">
        <v>2289</v>
      </c>
      <c r="I25" s="4" t="s">
        <v>2290</v>
      </c>
      <c r="J25" s="5">
        <v>12321</v>
      </c>
      <c r="K25" s="5">
        <v>15590</v>
      </c>
      <c r="L25" s="4" t="s">
        <v>2291</v>
      </c>
      <c r="M25" s="3">
        <v>1</v>
      </c>
      <c r="N25" s="3"/>
      <c r="O25" s="4" t="s">
        <v>2292</v>
      </c>
    </row>
    <row r="26" spans="1:15" ht="75" x14ac:dyDescent="0.25">
      <c r="A26" s="4" t="s">
        <v>2293</v>
      </c>
      <c r="B26" s="3">
        <v>265096</v>
      </c>
      <c r="C26" s="3">
        <v>214476</v>
      </c>
      <c r="D26" s="4" t="s">
        <v>2294</v>
      </c>
      <c r="E26" s="4" t="s">
        <v>2295</v>
      </c>
      <c r="F26" s="4"/>
      <c r="G26" s="4" t="s">
        <v>2296</v>
      </c>
      <c r="H26" s="4" t="s">
        <v>2297</v>
      </c>
      <c r="I26" s="4" t="s">
        <v>2298</v>
      </c>
      <c r="J26" s="5">
        <v>12434</v>
      </c>
      <c r="K26" s="5">
        <v>15590</v>
      </c>
      <c r="L26" s="4" t="s">
        <v>2299</v>
      </c>
      <c r="M26" s="3">
        <v>1</v>
      </c>
      <c r="N26" s="3"/>
      <c r="O26" s="4" t="s">
        <v>2300</v>
      </c>
    </row>
    <row r="27" spans="1:15" ht="75" x14ac:dyDescent="0.25">
      <c r="A27" s="4" t="s">
        <v>2301</v>
      </c>
      <c r="B27" s="3">
        <v>265108</v>
      </c>
      <c r="C27" s="3">
        <v>214425</v>
      </c>
      <c r="D27" s="4" t="s">
        <v>2302</v>
      </c>
      <c r="E27" s="4" t="s">
        <v>2303</v>
      </c>
      <c r="F27" s="4"/>
      <c r="G27" s="4" t="s">
        <v>2304</v>
      </c>
      <c r="H27" s="4" t="s">
        <v>2305</v>
      </c>
      <c r="I27" s="4" t="s">
        <v>2306</v>
      </c>
      <c r="J27" s="5">
        <v>12570</v>
      </c>
      <c r="K27" s="5">
        <v>15590</v>
      </c>
      <c r="L27" s="4" t="s">
        <v>2307</v>
      </c>
      <c r="M27" s="3">
        <v>1</v>
      </c>
      <c r="N27" s="3"/>
      <c r="O27" s="4" t="s">
        <v>2308</v>
      </c>
    </row>
    <row r="28" spans="1:15" ht="75" x14ac:dyDescent="0.25">
      <c r="A28" s="4" t="s">
        <v>2309</v>
      </c>
      <c r="B28" s="3">
        <v>265139</v>
      </c>
      <c r="C28" s="3">
        <v>214272</v>
      </c>
      <c r="D28" s="4" t="s">
        <v>2310</v>
      </c>
      <c r="E28" s="4" t="s">
        <v>2311</v>
      </c>
      <c r="F28" s="4"/>
      <c r="G28" s="4" t="s">
        <v>2312</v>
      </c>
      <c r="H28" s="4" t="s">
        <v>2313</v>
      </c>
      <c r="I28" s="4" t="s">
        <v>2314</v>
      </c>
      <c r="J28" s="5">
        <v>12200</v>
      </c>
      <c r="K28" s="5">
        <v>17890</v>
      </c>
      <c r="L28" s="4" t="s">
        <v>2315</v>
      </c>
      <c r="M28" s="3">
        <v>1</v>
      </c>
      <c r="N28" s="3"/>
      <c r="O28" s="4" t="s">
        <v>2316</v>
      </c>
    </row>
    <row r="29" spans="1:15" ht="75" x14ac:dyDescent="0.25">
      <c r="A29" s="4" t="s">
        <v>2317</v>
      </c>
      <c r="B29" s="3">
        <v>142213</v>
      </c>
      <c r="C29" s="3">
        <v>51584</v>
      </c>
      <c r="D29" s="4" t="s">
        <v>2318</v>
      </c>
      <c r="E29" s="4" t="s">
        <v>2319</v>
      </c>
      <c r="F29" s="4"/>
      <c r="G29" s="4" t="s">
        <v>2320</v>
      </c>
      <c r="H29" s="4" t="s">
        <v>2321</v>
      </c>
      <c r="I29" s="4" t="s">
        <v>2322</v>
      </c>
      <c r="J29" s="5">
        <v>15360</v>
      </c>
      <c r="K29" s="5">
        <v>20390</v>
      </c>
      <c r="L29" s="4" t="s">
        <v>2323</v>
      </c>
      <c r="M29" s="3">
        <v>0</v>
      </c>
      <c r="N29" s="3"/>
      <c r="O29" s="4" t="s">
        <v>2324</v>
      </c>
    </row>
    <row r="30" spans="1:15" ht="105" x14ac:dyDescent="0.25">
      <c r="A30" s="4" t="s">
        <v>2325</v>
      </c>
      <c r="B30" s="3">
        <v>265170</v>
      </c>
      <c r="C30" s="3">
        <v>214490</v>
      </c>
      <c r="D30" s="4" t="s">
        <v>2326</v>
      </c>
      <c r="E30" s="4" t="s">
        <v>2327</v>
      </c>
      <c r="F30" s="4"/>
      <c r="G30" s="4" t="s">
        <v>2328</v>
      </c>
      <c r="H30" s="4" t="s">
        <v>2329</v>
      </c>
      <c r="I30" s="4" t="s">
        <v>2330</v>
      </c>
      <c r="J30" s="5">
        <v>11656</v>
      </c>
      <c r="K30" s="5">
        <v>15490</v>
      </c>
      <c r="L30" s="4" t="s">
        <v>2331</v>
      </c>
      <c r="M30" s="3">
        <v>1</v>
      </c>
      <c r="N30" s="3"/>
      <c r="O30" s="4" t="s">
        <v>2332</v>
      </c>
    </row>
    <row r="31" spans="1:15" ht="60" x14ac:dyDescent="0.25">
      <c r="A31" s="4" t="s">
        <v>2333</v>
      </c>
      <c r="B31" s="3">
        <v>244225</v>
      </c>
      <c r="C31" s="3">
        <v>170070</v>
      </c>
      <c r="D31" s="4" t="s">
        <v>2334</v>
      </c>
      <c r="E31" s="4" t="s">
        <v>2335</v>
      </c>
      <c r="F31" s="4"/>
      <c r="G31" s="4" t="s">
        <v>2336</v>
      </c>
      <c r="H31" s="4" t="s">
        <v>2337</v>
      </c>
      <c r="I31" s="4" t="s">
        <v>2338</v>
      </c>
      <c r="J31" s="5">
        <v>15168</v>
      </c>
      <c r="K31" s="5">
        <v>20290</v>
      </c>
      <c r="L31" s="4" t="s">
        <v>2339</v>
      </c>
      <c r="M31" s="3">
        <v>1</v>
      </c>
      <c r="N31" s="3"/>
      <c r="O31" s="4" t="s">
        <v>2340</v>
      </c>
    </row>
    <row r="32" spans="1:15" ht="90" x14ac:dyDescent="0.25">
      <c r="A32" s="4" t="s">
        <v>2341</v>
      </c>
      <c r="B32" s="3">
        <v>244231</v>
      </c>
      <c r="C32" s="3">
        <v>194373</v>
      </c>
      <c r="D32" s="4" t="s">
        <v>2342</v>
      </c>
      <c r="E32" s="4" t="s">
        <v>2343</v>
      </c>
      <c r="F32" s="4"/>
      <c r="G32" s="4" t="s">
        <v>2344</v>
      </c>
      <c r="H32" s="4" t="s">
        <v>2345</v>
      </c>
      <c r="I32" s="4" t="s">
        <v>2346</v>
      </c>
      <c r="J32" s="5">
        <v>25165</v>
      </c>
      <c r="K32" s="5">
        <v>31390</v>
      </c>
      <c r="L32" s="4" t="s">
        <v>2347</v>
      </c>
      <c r="M32" s="3">
        <v>1</v>
      </c>
      <c r="N32" s="3"/>
      <c r="O32" s="4" t="s">
        <v>2348</v>
      </c>
    </row>
    <row r="33" spans="1:15" ht="90" x14ac:dyDescent="0.25">
      <c r="A33" s="4" t="s">
        <v>2349</v>
      </c>
      <c r="B33" s="3">
        <v>244249</v>
      </c>
      <c r="C33" s="3">
        <v>194374</v>
      </c>
      <c r="D33" s="4" t="s">
        <v>2350</v>
      </c>
      <c r="E33" s="4" t="s">
        <v>2351</v>
      </c>
      <c r="F33" s="4"/>
      <c r="G33" s="4" t="s">
        <v>2352</v>
      </c>
      <c r="H33" s="4" t="s">
        <v>2353</v>
      </c>
      <c r="I33" s="4" t="s">
        <v>2354</v>
      </c>
      <c r="J33" s="5">
        <v>25165</v>
      </c>
      <c r="K33" s="5">
        <v>31490</v>
      </c>
      <c r="L33" s="4" t="s">
        <v>2355</v>
      </c>
      <c r="M33" s="3">
        <v>1</v>
      </c>
      <c r="N33" s="3"/>
      <c r="O33" s="4" t="s">
        <v>2356</v>
      </c>
    </row>
    <row r="34" spans="1:15" ht="90" x14ac:dyDescent="0.25">
      <c r="A34" s="4" t="s">
        <v>2357</v>
      </c>
      <c r="B34" s="3">
        <v>244267</v>
      </c>
      <c r="C34" s="3">
        <v>194337</v>
      </c>
      <c r="D34" s="4" t="s">
        <v>2358</v>
      </c>
      <c r="E34" s="4" t="s">
        <v>2359</v>
      </c>
      <c r="F34" s="4"/>
      <c r="G34" s="4" t="s">
        <v>2360</v>
      </c>
      <c r="H34" s="4" t="s">
        <v>2361</v>
      </c>
      <c r="I34" s="4" t="s">
        <v>2362</v>
      </c>
      <c r="J34" s="5">
        <v>25165</v>
      </c>
      <c r="K34" s="5">
        <v>31390</v>
      </c>
      <c r="L34" s="4" t="s">
        <v>2363</v>
      </c>
      <c r="M34" s="3">
        <v>1</v>
      </c>
      <c r="N34" s="3"/>
      <c r="O34" s="4"/>
    </row>
    <row r="35" spans="1:15" ht="90" x14ac:dyDescent="0.25">
      <c r="A35" s="4" t="s">
        <v>2364</v>
      </c>
      <c r="B35" s="3">
        <v>244285</v>
      </c>
      <c r="C35" s="3">
        <v>194338</v>
      </c>
      <c r="D35" s="4" t="s">
        <v>2365</v>
      </c>
      <c r="E35" s="4" t="s">
        <v>2366</v>
      </c>
      <c r="F35" s="4"/>
      <c r="G35" s="4" t="s">
        <v>2367</v>
      </c>
      <c r="H35" s="4" t="s">
        <v>2368</v>
      </c>
      <c r="I35" s="4" t="s">
        <v>2369</v>
      </c>
      <c r="J35" s="5">
        <v>23919</v>
      </c>
      <c r="K35" s="5">
        <v>34890</v>
      </c>
      <c r="L35" s="4" t="s">
        <v>2370</v>
      </c>
      <c r="M35" s="3">
        <v>1</v>
      </c>
      <c r="N35" s="3"/>
      <c r="O35" s="4" t="s">
        <v>2371</v>
      </c>
    </row>
    <row r="36" spans="1:15" ht="75" x14ac:dyDescent="0.25">
      <c r="A36" s="4" t="s">
        <v>2372</v>
      </c>
      <c r="B36" s="3">
        <v>244346</v>
      </c>
      <c r="C36" s="3">
        <v>171063</v>
      </c>
      <c r="D36" s="4" t="s">
        <v>2373</v>
      </c>
      <c r="E36" s="4" t="s">
        <v>2374</v>
      </c>
      <c r="F36" s="4"/>
      <c r="G36" s="4" t="s">
        <v>2375</v>
      </c>
      <c r="H36" s="4" t="s">
        <v>2376</v>
      </c>
      <c r="I36" s="4" t="s">
        <v>2377</v>
      </c>
      <c r="J36" s="5">
        <v>24667</v>
      </c>
      <c r="K36" s="5">
        <v>34890</v>
      </c>
      <c r="L36" s="4" t="s">
        <v>2378</v>
      </c>
      <c r="M36" s="3">
        <v>1</v>
      </c>
      <c r="N36" s="3"/>
      <c r="O36" s="4" t="s">
        <v>2379</v>
      </c>
    </row>
    <row r="37" spans="1:15" ht="90" x14ac:dyDescent="0.25">
      <c r="A37" s="4" t="s">
        <v>2380</v>
      </c>
      <c r="B37" s="3">
        <v>258049</v>
      </c>
      <c r="C37" s="3">
        <v>199719</v>
      </c>
      <c r="D37" s="4" t="s">
        <v>2381</v>
      </c>
      <c r="E37" s="4" t="s">
        <v>2382</v>
      </c>
      <c r="F37" s="4"/>
      <c r="G37" s="4" t="s">
        <v>2383</v>
      </c>
      <c r="H37" s="4" t="s">
        <v>2384</v>
      </c>
      <c r="I37" s="4" t="s">
        <v>2385</v>
      </c>
      <c r="J37" s="5">
        <v>218</v>
      </c>
      <c r="K37" s="5">
        <v>409</v>
      </c>
      <c r="L37" s="4" t="s">
        <v>2386</v>
      </c>
      <c r="M37" s="3">
        <v>1</v>
      </c>
      <c r="N37" s="3"/>
      <c r="O37" s="4" t="s">
        <v>2387</v>
      </c>
    </row>
    <row r="38" spans="1:15" ht="90" x14ac:dyDescent="0.25">
      <c r="A38" s="4" t="s">
        <v>2388</v>
      </c>
      <c r="B38" s="3">
        <v>258062</v>
      </c>
      <c r="C38" s="3">
        <v>201441</v>
      </c>
      <c r="D38" s="4" t="s">
        <v>2389</v>
      </c>
      <c r="E38" s="4" t="s">
        <v>2390</v>
      </c>
      <c r="F38" s="4"/>
      <c r="G38" s="4" t="s">
        <v>2391</v>
      </c>
      <c r="H38" s="4" t="s">
        <v>2392</v>
      </c>
      <c r="I38" s="4" t="s">
        <v>2393</v>
      </c>
      <c r="J38" s="5">
        <v>24</v>
      </c>
      <c r="K38" s="5">
        <v>49</v>
      </c>
      <c r="L38" s="4"/>
      <c r="M38" s="3">
        <v>1</v>
      </c>
      <c r="N38" s="3">
        <v>2</v>
      </c>
      <c r="O38" s="4"/>
    </row>
    <row r="39" spans="1:15" ht="90" x14ac:dyDescent="0.25">
      <c r="A39" s="4" t="s">
        <v>2394</v>
      </c>
      <c r="B39" s="3">
        <v>258069</v>
      </c>
      <c r="C39" s="3">
        <v>203084</v>
      </c>
      <c r="D39" s="4" t="s">
        <v>2395</v>
      </c>
      <c r="E39" s="4" t="s">
        <v>2396</v>
      </c>
      <c r="F39" s="4"/>
      <c r="G39" s="4" t="s">
        <v>2397</v>
      </c>
      <c r="H39" s="4" t="s">
        <v>2398</v>
      </c>
      <c r="I39" s="4" t="s">
        <v>2399</v>
      </c>
      <c r="J39" s="5">
        <v>154</v>
      </c>
      <c r="K39" s="5">
        <v>289</v>
      </c>
      <c r="L39" s="4"/>
      <c r="M39" s="3">
        <v>1</v>
      </c>
      <c r="N39" s="3"/>
      <c r="O39" s="4" t="s">
        <v>2400</v>
      </c>
    </row>
    <row r="40" spans="1:15" ht="75" x14ac:dyDescent="0.25">
      <c r="A40" s="4" t="s">
        <v>2401</v>
      </c>
      <c r="B40" s="3">
        <v>244635</v>
      </c>
      <c r="C40" s="3">
        <v>173101</v>
      </c>
      <c r="D40" s="4" t="s">
        <v>2402</v>
      </c>
      <c r="E40" s="4" t="s">
        <v>2403</v>
      </c>
      <c r="F40" s="4"/>
      <c r="G40" s="4" t="s">
        <v>2404</v>
      </c>
      <c r="H40" s="4" t="s">
        <v>2405</v>
      </c>
      <c r="I40" s="4" t="s">
        <v>2406</v>
      </c>
      <c r="J40" s="5">
        <v>220</v>
      </c>
      <c r="K40" s="5">
        <v>409</v>
      </c>
      <c r="L40" s="4"/>
      <c r="M40" s="3">
        <v>1</v>
      </c>
      <c r="N40" s="3"/>
      <c r="O40" s="4" t="s">
        <v>2407</v>
      </c>
    </row>
    <row r="41" spans="1:15" ht="75" x14ac:dyDescent="0.25">
      <c r="A41" s="4" t="s">
        <v>2408</v>
      </c>
      <c r="B41" s="3">
        <v>244702</v>
      </c>
      <c r="C41" s="3">
        <v>174412</v>
      </c>
      <c r="D41" s="4" t="s">
        <v>2409</v>
      </c>
      <c r="E41" s="4" t="s">
        <v>2410</v>
      </c>
      <c r="F41" s="4"/>
      <c r="G41" s="4" t="s">
        <v>2411</v>
      </c>
      <c r="H41" s="4" t="s">
        <v>2412</v>
      </c>
      <c r="I41" s="4" t="s">
        <v>2413</v>
      </c>
      <c r="J41" s="5">
        <v>8000</v>
      </c>
      <c r="K41" s="5">
        <v>9990</v>
      </c>
      <c r="L41" s="4" t="s">
        <v>2414</v>
      </c>
      <c r="M41" s="3">
        <v>1</v>
      </c>
      <c r="N41" s="3"/>
      <c r="O41" s="4" t="s">
        <v>2415</v>
      </c>
    </row>
    <row r="42" spans="1:15" ht="105" x14ac:dyDescent="0.25">
      <c r="A42" s="4" t="s">
        <v>2416</v>
      </c>
      <c r="B42" s="3">
        <v>147054</v>
      </c>
      <c r="C42" s="3">
        <v>168197</v>
      </c>
      <c r="D42" s="4" t="s">
        <v>2417</v>
      </c>
      <c r="E42" s="4" t="s">
        <v>2418</v>
      </c>
      <c r="F42" s="4"/>
      <c r="G42" s="4" t="s">
        <v>2419</v>
      </c>
      <c r="H42" s="4" t="s">
        <v>2420</v>
      </c>
      <c r="I42" s="4" t="s">
        <v>2421</v>
      </c>
      <c r="J42" s="5">
        <v>6198</v>
      </c>
      <c r="K42" s="5">
        <v>8590</v>
      </c>
      <c r="L42" s="4"/>
      <c r="M42" s="3">
        <v>1</v>
      </c>
      <c r="N42" s="3"/>
      <c r="O42" s="4" t="s">
        <v>2422</v>
      </c>
    </row>
    <row r="43" spans="1:15" ht="90" x14ac:dyDescent="0.25">
      <c r="A43" s="4" t="s">
        <v>2423</v>
      </c>
      <c r="B43" s="3">
        <v>266410</v>
      </c>
      <c r="C43" s="3">
        <v>217331</v>
      </c>
      <c r="D43" s="4" t="s">
        <v>2424</v>
      </c>
      <c r="E43" s="4" t="s">
        <v>2425</v>
      </c>
      <c r="F43" s="4"/>
      <c r="G43" s="4" t="s">
        <v>2426</v>
      </c>
      <c r="H43" s="4" t="s">
        <v>2427</v>
      </c>
      <c r="I43" s="4" t="s">
        <v>2428</v>
      </c>
      <c r="J43" s="5">
        <v>3729</v>
      </c>
      <c r="K43" s="5">
        <v>5790</v>
      </c>
      <c r="L43" s="4" t="s">
        <v>2429</v>
      </c>
      <c r="M43" s="3">
        <v>1</v>
      </c>
      <c r="N43" s="3"/>
      <c r="O43" s="4" t="s">
        <v>2430</v>
      </c>
    </row>
    <row r="44" spans="1:15" ht="90" x14ac:dyDescent="0.25">
      <c r="A44" s="4" t="s">
        <v>2431</v>
      </c>
      <c r="B44" s="3">
        <v>266442</v>
      </c>
      <c r="C44" s="3">
        <v>173070</v>
      </c>
      <c r="D44" s="4" t="s">
        <v>2432</v>
      </c>
      <c r="E44" s="4" t="s">
        <v>2433</v>
      </c>
      <c r="F44" s="4"/>
      <c r="G44" s="4" t="s">
        <v>2434</v>
      </c>
      <c r="H44" s="4" t="s">
        <v>2435</v>
      </c>
      <c r="I44" s="4" t="s">
        <v>2436</v>
      </c>
      <c r="J44" s="5">
        <v>3503</v>
      </c>
      <c r="K44" s="5">
        <v>5790</v>
      </c>
      <c r="L44" s="4" t="s">
        <v>2437</v>
      </c>
      <c r="M44" s="3">
        <v>1</v>
      </c>
      <c r="N44" s="3"/>
      <c r="O44" s="4" t="s">
        <v>2438</v>
      </c>
    </row>
    <row r="45" spans="1:15" ht="45" x14ac:dyDescent="0.25">
      <c r="A45" s="4" t="s">
        <v>2439</v>
      </c>
      <c r="B45" s="3">
        <v>244834</v>
      </c>
      <c r="C45" s="3">
        <v>173927</v>
      </c>
      <c r="D45" s="4" t="s">
        <v>2440</v>
      </c>
      <c r="E45" s="4" t="s">
        <v>2441</v>
      </c>
      <c r="F45" s="4"/>
      <c r="G45" s="4" t="s">
        <v>2442</v>
      </c>
      <c r="H45" s="4" t="s">
        <v>2443</v>
      </c>
      <c r="I45" s="4" t="s">
        <v>2444</v>
      </c>
      <c r="J45" s="5">
        <v>2900</v>
      </c>
      <c r="K45" s="5">
        <v>4190</v>
      </c>
      <c r="L45" s="4" t="s">
        <v>2445</v>
      </c>
      <c r="M45" s="3">
        <v>1</v>
      </c>
      <c r="N45" s="3"/>
      <c r="O45" s="4" t="s">
        <v>2446</v>
      </c>
    </row>
    <row r="46" spans="1:15" ht="45" x14ac:dyDescent="0.25">
      <c r="A46" s="4" t="s">
        <v>2447</v>
      </c>
      <c r="B46" s="3">
        <v>244861</v>
      </c>
      <c r="C46" s="3">
        <v>173577</v>
      </c>
      <c r="D46" s="4" t="s">
        <v>2448</v>
      </c>
      <c r="E46" s="4" t="s">
        <v>2449</v>
      </c>
      <c r="F46" s="4"/>
      <c r="G46" s="4" t="s">
        <v>2450</v>
      </c>
      <c r="H46" s="4" t="s">
        <v>2451</v>
      </c>
      <c r="I46" s="4" t="s">
        <v>2452</v>
      </c>
      <c r="J46" s="5">
        <v>1100</v>
      </c>
      <c r="K46" s="5">
        <v>2190</v>
      </c>
      <c r="L46" s="4" t="s">
        <v>2453</v>
      </c>
      <c r="M46" s="3">
        <v>1</v>
      </c>
      <c r="N46" s="3"/>
      <c r="O46" s="4"/>
    </row>
    <row r="47" spans="1:15" ht="45" x14ac:dyDescent="0.25">
      <c r="A47" s="4" t="s">
        <v>2454</v>
      </c>
      <c r="B47" s="3">
        <v>149531</v>
      </c>
      <c r="C47" s="3">
        <v>166820</v>
      </c>
      <c r="D47" s="4" t="s">
        <v>2455</v>
      </c>
      <c r="E47" s="4" t="s">
        <v>2456</v>
      </c>
      <c r="F47" s="4"/>
      <c r="G47" s="4" t="s">
        <v>2457</v>
      </c>
      <c r="H47" s="4" t="s">
        <v>2458</v>
      </c>
      <c r="I47" s="4" t="s">
        <v>2459</v>
      </c>
      <c r="J47" s="5">
        <v>950</v>
      </c>
      <c r="K47" s="5">
        <v>1890</v>
      </c>
      <c r="L47" s="4" t="s">
        <v>2460</v>
      </c>
      <c r="M47" s="3">
        <v>1</v>
      </c>
      <c r="N47" s="3"/>
      <c r="O47" s="4" t="s">
        <v>2461</v>
      </c>
    </row>
    <row r="48" spans="1:15" ht="75" x14ac:dyDescent="0.25">
      <c r="A48" s="4" t="s">
        <v>2462</v>
      </c>
      <c r="B48" s="3">
        <v>258207</v>
      </c>
      <c r="C48" s="3">
        <v>209383</v>
      </c>
      <c r="D48" s="4" t="s">
        <v>2463</v>
      </c>
      <c r="E48" s="4" t="s">
        <v>2464</v>
      </c>
      <c r="F48" s="4"/>
      <c r="G48" s="4" t="s">
        <v>2465</v>
      </c>
      <c r="H48" s="4" t="s">
        <v>2466</v>
      </c>
      <c r="I48" s="4" t="s">
        <v>2467</v>
      </c>
      <c r="J48" s="5">
        <v>2004</v>
      </c>
      <c r="K48" s="5">
        <v>4890</v>
      </c>
      <c r="L48" s="4" t="s">
        <v>2468</v>
      </c>
      <c r="M48" s="3">
        <v>1</v>
      </c>
      <c r="N48" s="3"/>
      <c r="O48" s="4" t="s">
        <v>2469</v>
      </c>
    </row>
    <row r="49" spans="1:15" ht="60" x14ac:dyDescent="0.25">
      <c r="A49" s="4" t="s">
        <v>2470</v>
      </c>
      <c r="B49" s="3">
        <v>244889</v>
      </c>
      <c r="C49" s="3">
        <v>173963</v>
      </c>
      <c r="D49" s="4" t="s">
        <v>2471</v>
      </c>
      <c r="E49" s="4" t="s">
        <v>2472</v>
      </c>
      <c r="F49" s="4"/>
      <c r="G49" s="4" t="s">
        <v>2473</v>
      </c>
      <c r="H49" s="4" t="s">
        <v>2474</v>
      </c>
      <c r="I49" s="4" t="s">
        <v>2475</v>
      </c>
      <c r="J49" s="5">
        <v>2705</v>
      </c>
      <c r="K49" s="5">
        <v>4890</v>
      </c>
      <c r="L49" s="4" t="s">
        <v>2476</v>
      </c>
      <c r="M49" s="3">
        <v>1</v>
      </c>
      <c r="N49" s="3"/>
      <c r="O49" s="4" t="s">
        <v>2477</v>
      </c>
    </row>
    <row r="50" spans="1:15" ht="60" x14ac:dyDescent="0.25">
      <c r="A50" s="4" t="s">
        <v>2478</v>
      </c>
      <c r="B50" s="3">
        <v>244920</v>
      </c>
      <c r="C50" s="3">
        <v>174128</v>
      </c>
      <c r="D50" s="4" t="s">
        <v>2479</v>
      </c>
      <c r="E50" s="4" t="s">
        <v>2480</v>
      </c>
      <c r="F50" s="4"/>
      <c r="G50" s="4" t="s">
        <v>2481</v>
      </c>
      <c r="H50" s="4" t="s">
        <v>2482</v>
      </c>
      <c r="I50" s="4" t="s">
        <v>2483</v>
      </c>
      <c r="J50" s="5">
        <v>2478</v>
      </c>
      <c r="K50" s="5">
        <v>3590</v>
      </c>
      <c r="L50" s="4" t="s">
        <v>2484</v>
      </c>
      <c r="M50" s="3">
        <v>1</v>
      </c>
      <c r="N50" s="3"/>
      <c r="O50" s="4" t="s">
        <v>2485</v>
      </c>
    </row>
    <row r="51" spans="1:15" ht="60" x14ac:dyDescent="0.25">
      <c r="A51" s="4" t="s">
        <v>2486</v>
      </c>
      <c r="B51" s="3">
        <v>249905</v>
      </c>
      <c r="C51" s="3">
        <v>174937</v>
      </c>
      <c r="D51" s="4" t="s">
        <v>2487</v>
      </c>
      <c r="E51" s="4" t="s">
        <v>2488</v>
      </c>
      <c r="F51" s="4"/>
      <c r="G51" s="4" t="s">
        <v>2489</v>
      </c>
      <c r="H51" s="4" t="s">
        <v>2490</v>
      </c>
      <c r="I51" s="4" t="s">
        <v>2491</v>
      </c>
      <c r="J51" s="5">
        <v>2950</v>
      </c>
      <c r="K51" s="5">
        <v>3690</v>
      </c>
      <c r="L51" s="4" t="s">
        <v>2492</v>
      </c>
      <c r="M51" s="3">
        <v>1</v>
      </c>
      <c r="N51" s="3"/>
      <c r="O51" s="4" t="s">
        <v>2493</v>
      </c>
    </row>
    <row r="52" spans="1:15" ht="60" x14ac:dyDescent="0.25">
      <c r="A52" s="4" t="s">
        <v>2494</v>
      </c>
      <c r="B52" s="3">
        <v>244951</v>
      </c>
      <c r="C52" s="3">
        <v>174091</v>
      </c>
      <c r="D52" s="4" t="s">
        <v>2495</v>
      </c>
      <c r="E52" s="4" t="s">
        <v>2496</v>
      </c>
      <c r="F52" s="4"/>
      <c r="G52" s="4" t="s">
        <v>2497</v>
      </c>
      <c r="H52" s="4" t="s">
        <v>2498</v>
      </c>
      <c r="I52" s="4" t="s">
        <v>2499</v>
      </c>
      <c r="J52" s="5">
        <v>3182</v>
      </c>
      <c r="K52" s="5">
        <v>4590</v>
      </c>
      <c r="L52" s="4" t="s">
        <v>2500</v>
      </c>
      <c r="M52" s="3">
        <v>1</v>
      </c>
      <c r="N52" s="3"/>
      <c r="O52" s="4" t="s">
        <v>2501</v>
      </c>
    </row>
    <row r="53" spans="1:15" ht="45" x14ac:dyDescent="0.25">
      <c r="A53" s="4" t="s">
        <v>2502</v>
      </c>
      <c r="B53" s="3">
        <v>244982</v>
      </c>
      <c r="C53" s="3">
        <v>171284</v>
      </c>
      <c r="D53" s="4" t="s">
        <v>2503</v>
      </c>
      <c r="E53" s="4" t="s">
        <v>2504</v>
      </c>
      <c r="F53" s="4"/>
      <c r="G53" s="4" t="s">
        <v>2505</v>
      </c>
      <c r="H53" s="4" t="s">
        <v>2506</v>
      </c>
      <c r="I53" s="4" t="s">
        <v>2507</v>
      </c>
      <c r="J53" s="5">
        <v>3080</v>
      </c>
      <c r="K53" s="5">
        <v>4390</v>
      </c>
      <c r="L53" s="4" t="s">
        <v>2508</v>
      </c>
      <c r="M53" s="3">
        <v>1</v>
      </c>
      <c r="N53" s="3"/>
      <c r="O53" s="4" t="s">
        <v>2509</v>
      </c>
    </row>
    <row r="54" spans="1:15" ht="75" x14ac:dyDescent="0.25">
      <c r="A54" s="4" t="s">
        <v>2510</v>
      </c>
      <c r="B54" s="3">
        <v>244998</v>
      </c>
      <c r="C54" s="3">
        <v>173456</v>
      </c>
      <c r="D54" s="4" t="s">
        <v>2511</v>
      </c>
      <c r="E54" s="4" t="s">
        <v>2512</v>
      </c>
      <c r="F54" s="4"/>
      <c r="G54" s="4" t="s">
        <v>2513</v>
      </c>
      <c r="H54" s="4" t="s">
        <v>2514</v>
      </c>
      <c r="I54" s="4" t="s">
        <v>2515</v>
      </c>
      <c r="J54" s="5">
        <v>7500</v>
      </c>
      <c r="K54" s="5">
        <v>10390</v>
      </c>
      <c r="L54" s="4" t="s">
        <v>2516</v>
      </c>
      <c r="M54" s="3">
        <v>1</v>
      </c>
      <c r="N54" s="3"/>
      <c r="O54" s="4" t="s">
        <v>2517</v>
      </c>
    </row>
    <row r="55" spans="1:15" ht="60" x14ac:dyDescent="0.25">
      <c r="A55" s="4" t="s">
        <v>2518</v>
      </c>
      <c r="B55" s="3">
        <v>245018</v>
      </c>
      <c r="C55" s="3">
        <v>173176</v>
      </c>
      <c r="D55" s="4" t="s">
        <v>2519</v>
      </c>
      <c r="E55" s="4" t="s">
        <v>2520</v>
      </c>
      <c r="F55" s="4"/>
      <c r="G55" s="4" t="s">
        <v>2521</v>
      </c>
      <c r="H55" s="4" t="s">
        <v>2522</v>
      </c>
      <c r="I55" s="4" t="s">
        <v>2523</v>
      </c>
      <c r="J55" s="5">
        <v>950</v>
      </c>
      <c r="K55" s="5">
        <v>1890</v>
      </c>
      <c r="L55" s="4" t="s">
        <v>2524</v>
      </c>
      <c r="M55" s="3">
        <v>1</v>
      </c>
      <c r="N55" s="3"/>
      <c r="O55" s="4" t="s">
        <v>2525</v>
      </c>
    </row>
    <row r="56" spans="1:15" ht="90" x14ac:dyDescent="0.25">
      <c r="A56" s="4" t="s">
        <v>2526</v>
      </c>
      <c r="B56" s="3">
        <v>266472</v>
      </c>
      <c r="C56" s="3">
        <v>174276</v>
      </c>
      <c r="D56" s="4" t="s">
        <v>2527</v>
      </c>
      <c r="E56" s="4" t="s">
        <v>2528</v>
      </c>
      <c r="F56" s="4"/>
      <c r="G56" s="4" t="s">
        <v>2529</v>
      </c>
      <c r="H56" s="4" t="s">
        <v>2530</v>
      </c>
      <c r="I56" s="4" t="s">
        <v>2531</v>
      </c>
      <c r="J56" s="5">
        <v>1863</v>
      </c>
      <c r="K56" s="5">
        <v>4290</v>
      </c>
      <c r="L56" s="4" t="s">
        <v>2532</v>
      </c>
      <c r="M56" s="3">
        <v>1</v>
      </c>
      <c r="N56" s="3"/>
      <c r="O56" s="4" t="s">
        <v>2533</v>
      </c>
    </row>
    <row r="57" spans="1:15" ht="90" x14ac:dyDescent="0.25">
      <c r="A57" s="4" t="s">
        <v>2534</v>
      </c>
      <c r="B57" s="3">
        <v>266500</v>
      </c>
      <c r="C57" s="3">
        <v>217062</v>
      </c>
      <c r="D57" s="4" t="s">
        <v>2535</v>
      </c>
      <c r="E57" s="4" t="s">
        <v>2536</v>
      </c>
      <c r="F57" s="4"/>
      <c r="G57" s="4" t="s">
        <v>2537</v>
      </c>
      <c r="H57" s="4" t="s">
        <v>2538</v>
      </c>
      <c r="I57" s="4" t="s">
        <v>2539</v>
      </c>
      <c r="J57" s="5">
        <v>2177</v>
      </c>
      <c r="K57" s="5">
        <v>2790</v>
      </c>
      <c r="L57" s="4" t="s">
        <v>2540</v>
      </c>
      <c r="M57" s="3">
        <v>1</v>
      </c>
      <c r="N57" s="3"/>
      <c r="O57" s="4" t="s">
        <v>2541</v>
      </c>
    </row>
    <row r="58" spans="1:15" ht="60" x14ac:dyDescent="0.25">
      <c r="A58" s="4" t="s">
        <v>2542</v>
      </c>
      <c r="B58" s="3">
        <v>265187</v>
      </c>
      <c r="C58" s="3">
        <v>214325</v>
      </c>
      <c r="D58" s="4" t="s">
        <v>2543</v>
      </c>
      <c r="E58" s="4" t="s">
        <v>2544</v>
      </c>
      <c r="F58" s="4"/>
      <c r="G58" s="4" t="s">
        <v>2545</v>
      </c>
      <c r="H58" s="4" t="s">
        <v>2546</v>
      </c>
      <c r="I58" s="4" t="s">
        <v>2547</v>
      </c>
      <c r="J58" s="5">
        <v>7528</v>
      </c>
      <c r="K58" s="5">
        <v>9490</v>
      </c>
      <c r="L58" s="4" t="s">
        <v>2548</v>
      </c>
      <c r="M58" s="3">
        <v>1</v>
      </c>
      <c r="N58" s="3"/>
      <c r="O58" s="4" t="s">
        <v>2549</v>
      </c>
    </row>
    <row r="59" spans="1:15" ht="45" x14ac:dyDescent="0.25">
      <c r="A59" s="4" t="s">
        <v>2550</v>
      </c>
      <c r="B59" s="3">
        <v>154865</v>
      </c>
      <c r="C59" s="3">
        <v>156329</v>
      </c>
      <c r="D59" s="4" t="s">
        <v>2551</v>
      </c>
      <c r="E59" s="4" t="s">
        <v>2552</v>
      </c>
      <c r="F59" s="4"/>
      <c r="G59" s="4" t="s">
        <v>2553</v>
      </c>
      <c r="H59" s="4" t="s">
        <v>2554</v>
      </c>
      <c r="I59" s="4" t="s">
        <v>2555</v>
      </c>
      <c r="J59" s="5">
        <v>24000</v>
      </c>
      <c r="K59" s="5">
        <v>31890</v>
      </c>
      <c r="L59" s="4" t="s">
        <v>2556</v>
      </c>
      <c r="M59" s="3">
        <v>1</v>
      </c>
      <c r="N59" s="3"/>
      <c r="O59" s="4"/>
    </row>
    <row r="60" spans="1:15" ht="105" x14ac:dyDescent="0.25">
      <c r="A60" s="4" t="s">
        <v>2557</v>
      </c>
      <c r="B60" s="3">
        <v>160844</v>
      </c>
      <c r="C60" s="3">
        <v>153622</v>
      </c>
      <c r="D60" s="4" t="s">
        <v>2558</v>
      </c>
      <c r="E60" s="4" t="s">
        <v>2559</v>
      </c>
      <c r="F60" s="4"/>
      <c r="G60" s="4" t="s">
        <v>2560</v>
      </c>
      <c r="H60" s="4" t="s">
        <v>2561</v>
      </c>
      <c r="I60" s="4" t="s">
        <v>2562</v>
      </c>
      <c r="J60" s="5">
        <v>6054</v>
      </c>
      <c r="K60" s="5">
        <v>8390</v>
      </c>
      <c r="L60" s="4" t="s">
        <v>2563</v>
      </c>
      <c r="M60" s="3">
        <v>1</v>
      </c>
      <c r="N60" s="3"/>
      <c r="O60" s="4" t="s">
        <v>2564</v>
      </c>
    </row>
    <row r="61" spans="1:15" ht="105" x14ac:dyDescent="0.25">
      <c r="A61" s="4" t="s">
        <v>2565</v>
      </c>
      <c r="B61" s="3">
        <v>160845</v>
      </c>
      <c r="C61" s="3">
        <v>153623</v>
      </c>
      <c r="D61" s="4" t="s">
        <v>2566</v>
      </c>
      <c r="E61" s="4" t="s">
        <v>2567</v>
      </c>
      <c r="F61" s="4"/>
      <c r="G61" s="4" t="s">
        <v>2568</v>
      </c>
      <c r="H61" s="4" t="s">
        <v>2569</v>
      </c>
      <c r="I61" s="4" t="s">
        <v>2570</v>
      </c>
      <c r="J61" s="5">
        <v>5937</v>
      </c>
      <c r="K61" s="5">
        <v>8390</v>
      </c>
      <c r="L61" s="4" t="s">
        <v>2571</v>
      </c>
      <c r="M61" s="3">
        <v>1</v>
      </c>
      <c r="N61" s="3"/>
      <c r="O61" s="4" t="s">
        <v>2572</v>
      </c>
    </row>
    <row r="62" spans="1:15" ht="90" x14ac:dyDescent="0.25">
      <c r="A62" s="4" t="s">
        <v>2573</v>
      </c>
      <c r="B62" s="3">
        <v>247492</v>
      </c>
      <c r="C62" s="3">
        <v>171307</v>
      </c>
      <c r="D62" s="4" t="s">
        <v>2574</v>
      </c>
      <c r="E62" s="4" t="s">
        <v>2575</v>
      </c>
      <c r="F62" s="4"/>
      <c r="G62" s="4" t="s">
        <v>2576</v>
      </c>
      <c r="H62" s="4" t="s">
        <v>2577</v>
      </c>
      <c r="I62" s="4" t="s">
        <v>2578</v>
      </c>
      <c r="J62" s="5">
        <v>6906</v>
      </c>
      <c r="K62" s="5">
        <v>9890</v>
      </c>
      <c r="L62" s="4" t="s">
        <v>2579</v>
      </c>
      <c r="M62" s="3">
        <v>1</v>
      </c>
      <c r="N62" s="3"/>
      <c r="O62" s="4" t="s">
        <v>2580</v>
      </c>
    </row>
    <row r="63" spans="1:15" ht="90" x14ac:dyDescent="0.25">
      <c r="A63" s="4" t="s">
        <v>2581</v>
      </c>
      <c r="B63" s="3">
        <v>247493</v>
      </c>
      <c r="C63" s="3">
        <v>171308</v>
      </c>
      <c r="D63" s="4" t="s">
        <v>2582</v>
      </c>
      <c r="E63" s="4" t="s">
        <v>2583</v>
      </c>
      <c r="F63" s="4"/>
      <c r="G63" s="4" t="s">
        <v>2584</v>
      </c>
      <c r="H63" s="4" t="s">
        <v>2585</v>
      </c>
      <c r="I63" s="4" t="s">
        <v>2586</v>
      </c>
      <c r="J63" s="5">
        <v>7392</v>
      </c>
      <c r="K63" s="5">
        <v>10190</v>
      </c>
      <c r="L63" s="4"/>
      <c r="M63" s="3">
        <v>1</v>
      </c>
      <c r="N63" s="3"/>
      <c r="O63" s="4" t="s">
        <v>2587</v>
      </c>
    </row>
    <row r="64" spans="1:15" ht="90" x14ac:dyDescent="0.25">
      <c r="A64" s="4" t="s">
        <v>2588</v>
      </c>
      <c r="B64" s="3">
        <v>247514</v>
      </c>
      <c r="C64" s="3">
        <v>194274</v>
      </c>
      <c r="D64" s="4" t="s">
        <v>2589</v>
      </c>
      <c r="E64" s="4" t="s">
        <v>2590</v>
      </c>
      <c r="F64" s="4"/>
      <c r="G64" s="4" t="s">
        <v>2591</v>
      </c>
      <c r="H64" s="4" t="s">
        <v>2592</v>
      </c>
      <c r="I64" s="4" t="s">
        <v>2593</v>
      </c>
      <c r="J64" s="5">
        <v>5213</v>
      </c>
      <c r="K64" s="5">
        <v>7190</v>
      </c>
      <c r="L64" s="4" t="s">
        <v>2594</v>
      </c>
      <c r="M64" s="3">
        <v>1</v>
      </c>
      <c r="N64" s="3"/>
      <c r="O64" s="4" t="s">
        <v>2595</v>
      </c>
    </row>
    <row r="65" spans="1:15" ht="75" x14ac:dyDescent="0.25">
      <c r="A65" s="4" t="s">
        <v>2596</v>
      </c>
      <c r="B65" s="3">
        <v>247530</v>
      </c>
      <c r="C65" s="3">
        <v>155842</v>
      </c>
      <c r="D65" s="4" t="s">
        <v>2597</v>
      </c>
      <c r="E65" s="4" t="s">
        <v>2598</v>
      </c>
      <c r="F65" s="4"/>
      <c r="G65" s="4" t="s">
        <v>2599</v>
      </c>
      <c r="H65" s="4" t="s">
        <v>2600</v>
      </c>
      <c r="I65" s="4" t="s">
        <v>2601</v>
      </c>
      <c r="J65" s="5">
        <v>4100</v>
      </c>
      <c r="K65" s="5">
        <v>5890</v>
      </c>
      <c r="L65" s="4" t="s">
        <v>2602</v>
      </c>
      <c r="M65" s="3">
        <v>1</v>
      </c>
      <c r="N65" s="3">
        <v>1</v>
      </c>
      <c r="O65" s="4"/>
    </row>
    <row r="66" spans="1:15" ht="75" x14ac:dyDescent="0.25">
      <c r="A66" s="4" t="s">
        <v>2603</v>
      </c>
      <c r="B66" s="3">
        <v>247547</v>
      </c>
      <c r="C66" s="3">
        <v>171258</v>
      </c>
      <c r="D66" s="4" t="s">
        <v>2604</v>
      </c>
      <c r="E66" s="4" t="s">
        <v>2605</v>
      </c>
      <c r="F66" s="4"/>
      <c r="G66" s="4" t="s">
        <v>2606</v>
      </c>
      <c r="H66" s="4" t="s">
        <v>2607</v>
      </c>
      <c r="I66" s="4" t="s">
        <v>2608</v>
      </c>
      <c r="J66" s="5">
        <v>7043</v>
      </c>
      <c r="K66" s="5">
        <v>9890</v>
      </c>
      <c r="L66" s="4" t="s">
        <v>2609</v>
      </c>
      <c r="M66" s="3">
        <v>1</v>
      </c>
      <c r="N66" s="3"/>
      <c r="O66" s="4" t="s">
        <v>2610</v>
      </c>
    </row>
    <row r="67" spans="1:15" ht="105" x14ac:dyDescent="0.25">
      <c r="A67" s="4" t="s">
        <v>2611</v>
      </c>
      <c r="B67" s="3">
        <v>160870</v>
      </c>
      <c r="C67" s="3">
        <v>153692</v>
      </c>
      <c r="D67" s="4" t="s">
        <v>2612</v>
      </c>
      <c r="E67" s="4" t="s">
        <v>2613</v>
      </c>
      <c r="F67" s="4"/>
      <c r="G67" s="4" t="s">
        <v>2614</v>
      </c>
      <c r="H67" s="4" t="s">
        <v>2615</v>
      </c>
      <c r="I67" s="4" t="s">
        <v>2616</v>
      </c>
      <c r="J67" s="5">
        <v>5896</v>
      </c>
      <c r="K67" s="5">
        <v>8490</v>
      </c>
      <c r="L67" s="4" t="s">
        <v>2617</v>
      </c>
      <c r="M67" s="3">
        <v>1</v>
      </c>
      <c r="N67" s="3"/>
      <c r="O67" s="4" t="s">
        <v>2618</v>
      </c>
    </row>
    <row r="68" spans="1:15" ht="105" x14ac:dyDescent="0.25">
      <c r="A68" s="4" t="s">
        <v>2619</v>
      </c>
      <c r="B68" s="3">
        <v>160871</v>
      </c>
      <c r="C68" s="3">
        <v>153693</v>
      </c>
      <c r="D68" s="4" t="s">
        <v>2620</v>
      </c>
      <c r="E68" s="4" t="s">
        <v>2621</v>
      </c>
      <c r="F68" s="4"/>
      <c r="G68" s="4" t="s">
        <v>2622</v>
      </c>
      <c r="H68" s="4" t="s">
        <v>2623</v>
      </c>
      <c r="I68" s="4" t="s">
        <v>2624</v>
      </c>
      <c r="J68" s="5">
        <v>6144</v>
      </c>
      <c r="K68" s="5">
        <v>8390</v>
      </c>
      <c r="L68" s="4" t="s">
        <v>2625</v>
      </c>
      <c r="M68" s="3">
        <v>1</v>
      </c>
      <c r="N68" s="3"/>
      <c r="O68" s="4" t="s">
        <v>2626</v>
      </c>
    </row>
    <row r="69" spans="1:15" ht="60" x14ac:dyDescent="0.25">
      <c r="A69" s="4" t="s">
        <v>2627</v>
      </c>
      <c r="B69" s="3">
        <v>160929</v>
      </c>
      <c r="C69" s="3">
        <v>155767</v>
      </c>
      <c r="D69" s="4" t="s">
        <v>2628</v>
      </c>
      <c r="E69" s="4" t="s">
        <v>2629</v>
      </c>
      <c r="F69" s="4"/>
      <c r="G69" s="4" t="s">
        <v>2630</v>
      </c>
      <c r="H69" s="4" t="s">
        <v>2631</v>
      </c>
      <c r="I69" s="4" t="s">
        <v>2632</v>
      </c>
      <c r="J69" s="5">
        <v>1522</v>
      </c>
      <c r="K69" s="5">
        <v>2590</v>
      </c>
      <c r="L69" s="4" t="s">
        <v>2633</v>
      </c>
      <c r="M69" s="3">
        <v>1</v>
      </c>
      <c r="N69" s="3"/>
      <c r="O69" s="4" t="s">
        <v>2634</v>
      </c>
    </row>
    <row r="70" spans="1:15" ht="60" x14ac:dyDescent="0.25">
      <c r="A70" s="4" t="s">
        <v>2635</v>
      </c>
      <c r="B70" s="3">
        <v>160956</v>
      </c>
      <c r="C70" s="3">
        <v>155879</v>
      </c>
      <c r="D70" s="4" t="s">
        <v>2636</v>
      </c>
      <c r="E70" s="4" t="s">
        <v>2637</v>
      </c>
      <c r="F70" s="4"/>
      <c r="G70" s="4" t="s">
        <v>2638</v>
      </c>
      <c r="H70" s="4" t="s">
        <v>2639</v>
      </c>
      <c r="I70" s="4" t="s">
        <v>2640</v>
      </c>
      <c r="J70" s="5">
        <v>5547</v>
      </c>
      <c r="K70" s="5">
        <v>8890</v>
      </c>
      <c r="L70" s="4" t="s">
        <v>2641</v>
      </c>
      <c r="M70" s="3">
        <v>1</v>
      </c>
      <c r="N70" s="3"/>
      <c r="O70" s="4" t="s">
        <v>2642</v>
      </c>
    </row>
    <row r="71" spans="1:15" ht="75" x14ac:dyDescent="0.25">
      <c r="A71" s="4" t="s">
        <v>2643</v>
      </c>
      <c r="B71" s="3">
        <v>160987</v>
      </c>
      <c r="C71" s="3">
        <v>157313</v>
      </c>
      <c r="D71" s="4" t="s">
        <v>2644</v>
      </c>
      <c r="E71" s="4" t="s">
        <v>2645</v>
      </c>
      <c r="F71" s="4"/>
      <c r="G71" s="4" t="s">
        <v>2646</v>
      </c>
      <c r="H71" s="4" t="s">
        <v>2647</v>
      </c>
      <c r="I71" s="4" t="s">
        <v>2648</v>
      </c>
      <c r="J71" s="5">
        <v>6144</v>
      </c>
      <c r="K71" s="5">
        <v>8390</v>
      </c>
      <c r="L71" s="4" t="s">
        <v>2649</v>
      </c>
      <c r="M71" s="3">
        <v>1</v>
      </c>
      <c r="N71" s="3"/>
      <c r="O71" s="4" t="s">
        <v>2650</v>
      </c>
    </row>
    <row r="72" spans="1:15" ht="75" x14ac:dyDescent="0.25">
      <c r="A72" s="4" t="s">
        <v>2651</v>
      </c>
      <c r="B72" s="3">
        <v>160988</v>
      </c>
      <c r="C72" s="3">
        <v>157314</v>
      </c>
      <c r="D72" s="4" t="s">
        <v>2652</v>
      </c>
      <c r="E72" s="4" t="s">
        <v>2653</v>
      </c>
      <c r="F72" s="4"/>
      <c r="G72" s="4" t="s">
        <v>2654</v>
      </c>
      <c r="H72" s="4" t="s">
        <v>2655</v>
      </c>
      <c r="I72" s="4" t="s">
        <v>2656</v>
      </c>
      <c r="J72" s="5">
        <v>6400</v>
      </c>
      <c r="K72" s="5">
        <v>9090</v>
      </c>
      <c r="L72" s="4" t="s">
        <v>2657</v>
      </c>
      <c r="M72" s="3">
        <v>1</v>
      </c>
      <c r="N72" s="3"/>
      <c r="O72" s="4" t="s">
        <v>2658</v>
      </c>
    </row>
    <row r="73" spans="1:15" ht="75" x14ac:dyDescent="0.25">
      <c r="A73" s="4" t="s">
        <v>2659</v>
      </c>
      <c r="B73" s="3">
        <v>247988</v>
      </c>
      <c r="C73" s="3">
        <v>155824</v>
      </c>
      <c r="D73" s="4" t="s">
        <v>2660</v>
      </c>
      <c r="E73" s="4" t="s">
        <v>2661</v>
      </c>
      <c r="F73" s="4"/>
      <c r="G73" s="4" t="s">
        <v>2662</v>
      </c>
      <c r="H73" s="4" t="s">
        <v>2663</v>
      </c>
      <c r="I73" s="4" t="s">
        <v>2664</v>
      </c>
      <c r="J73" s="5">
        <v>4600</v>
      </c>
      <c r="K73" s="5">
        <v>6590</v>
      </c>
      <c r="L73" s="4" t="s">
        <v>2665</v>
      </c>
      <c r="M73" s="3">
        <v>1</v>
      </c>
      <c r="N73" s="3"/>
      <c r="O73" s="4" t="s">
        <v>2666</v>
      </c>
    </row>
    <row r="74" spans="1:15" ht="75" x14ac:dyDescent="0.25">
      <c r="A74" s="4" t="s">
        <v>2667</v>
      </c>
      <c r="B74" s="3">
        <v>248004</v>
      </c>
      <c r="C74" s="3">
        <v>194256</v>
      </c>
      <c r="D74" s="4" t="s">
        <v>2668</v>
      </c>
      <c r="E74" s="4" t="s">
        <v>2669</v>
      </c>
      <c r="F74" s="4"/>
      <c r="G74" s="4" t="s">
        <v>2670</v>
      </c>
      <c r="H74" s="4" t="s">
        <v>2671</v>
      </c>
      <c r="I74" s="4" t="s">
        <v>2672</v>
      </c>
      <c r="J74" s="5">
        <v>5750</v>
      </c>
      <c r="K74" s="5">
        <v>7990</v>
      </c>
      <c r="L74" s="4" t="s">
        <v>2673</v>
      </c>
      <c r="M74" s="3">
        <v>1</v>
      </c>
      <c r="N74" s="3"/>
      <c r="O74" s="4" t="s">
        <v>2674</v>
      </c>
    </row>
    <row r="75" spans="1:15" ht="90" x14ac:dyDescent="0.25">
      <c r="A75" s="4" t="s">
        <v>2675</v>
      </c>
      <c r="B75" s="3">
        <v>161116</v>
      </c>
      <c r="C75" s="3">
        <v>153653</v>
      </c>
      <c r="D75" s="4" t="s">
        <v>2676</v>
      </c>
      <c r="E75" s="4" t="s">
        <v>2677</v>
      </c>
      <c r="F75" s="4"/>
      <c r="G75" s="4" t="s">
        <v>2678</v>
      </c>
      <c r="H75" s="4" t="s">
        <v>2679</v>
      </c>
      <c r="I75" s="4" t="s">
        <v>2680</v>
      </c>
      <c r="J75" s="5">
        <v>5702</v>
      </c>
      <c r="K75" s="5">
        <v>8390</v>
      </c>
      <c r="L75" s="4" t="s">
        <v>2681</v>
      </c>
      <c r="M75" s="3">
        <v>1</v>
      </c>
      <c r="N75" s="3"/>
      <c r="O75" s="4" t="s">
        <v>2682</v>
      </c>
    </row>
    <row r="76" spans="1:15" ht="90" x14ac:dyDescent="0.25">
      <c r="A76" s="4" t="s">
        <v>2683</v>
      </c>
      <c r="B76" s="3">
        <v>161133</v>
      </c>
      <c r="C76" s="3">
        <v>153431</v>
      </c>
      <c r="D76" s="4" t="s">
        <v>2684</v>
      </c>
      <c r="E76" s="4" t="s">
        <v>2685</v>
      </c>
      <c r="F76" s="4"/>
      <c r="G76" s="4" t="s">
        <v>2686</v>
      </c>
      <c r="H76" s="4" t="s">
        <v>2687</v>
      </c>
      <c r="I76" s="4" t="s">
        <v>2688</v>
      </c>
      <c r="J76" s="5">
        <v>5547</v>
      </c>
      <c r="K76" s="5">
        <v>8390</v>
      </c>
      <c r="L76" s="4" t="s">
        <v>2689</v>
      </c>
      <c r="M76" s="3">
        <v>1</v>
      </c>
      <c r="N76" s="3"/>
      <c r="O76" s="4" t="s">
        <v>2690</v>
      </c>
    </row>
    <row r="77" spans="1:15" ht="90" x14ac:dyDescent="0.25">
      <c r="A77" s="4" t="s">
        <v>2691</v>
      </c>
      <c r="B77" s="3">
        <v>161134</v>
      </c>
      <c r="C77" s="3">
        <v>153432</v>
      </c>
      <c r="D77" s="4" t="s">
        <v>2692</v>
      </c>
      <c r="E77" s="4" t="s">
        <v>2693</v>
      </c>
      <c r="F77" s="4"/>
      <c r="G77" s="4" t="s">
        <v>2694</v>
      </c>
      <c r="H77" s="4" t="s">
        <v>2695</v>
      </c>
      <c r="I77" s="4" t="s">
        <v>2696</v>
      </c>
      <c r="J77" s="5">
        <v>6008</v>
      </c>
      <c r="K77" s="5">
        <v>9090</v>
      </c>
      <c r="L77" s="4" t="s">
        <v>2697</v>
      </c>
      <c r="M77" s="3">
        <v>1</v>
      </c>
      <c r="N77" s="3"/>
      <c r="O77" s="4" t="s">
        <v>2698</v>
      </c>
    </row>
    <row r="78" spans="1:15" ht="90" x14ac:dyDescent="0.25">
      <c r="A78" s="4" t="s">
        <v>2699</v>
      </c>
      <c r="B78" s="3">
        <v>161229</v>
      </c>
      <c r="C78" s="3">
        <v>153717</v>
      </c>
      <c r="D78" s="4" t="s">
        <v>2700</v>
      </c>
      <c r="E78" s="4" t="s">
        <v>2701</v>
      </c>
      <c r="F78" s="4"/>
      <c r="G78" s="4" t="s">
        <v>2702</v>
      </c>
      <c r="H78" s="4" t="s">
        <v>2703</v>
      </c>
      <c r="I78" s="4" t="s">
        <v>2704</v>
      </c>
      <c r="J78" s="5">
        <v>5873</v>
      </c>
      <c r="K78" s="5">
        <v>8390</v>
      </c>
      <c r="L78" s="4" t="s">
        <v>2705</v>
      </c>
      <c r="M78" s="3">
        <v>1</v>
      </c>
      <c r="N78" s="3"/>
      <c r="O78" s="4" t="s">
        <v>2706</v>
      </c>
    </row>
    <row r="79" spans="1:15" ht="60" x14ac:dyDescent="0.25">
      <c r="A79" s="4" t="s">
        <v>2707</v>
      </c>
      <c r="B79" s="3">
        <v>161243</v>
      </c>
      <c r="C79" s="3">
        <v>155794</v>
      </c>
      <c r="D79" s="4" t="s">
        <v>2708</v>
      </c>
      <c r="E79" s="4" t="s">
        <v>2709</v>
      </c>
      <c r="F79" s="4"/>
      <c r="G79" s="4" t="s">
        <v>2710</v>
      </c>
      <c r="H79" s="4" t="s">
        <v>2711</v>
      </c>
      <c r="I79" s="4" t="s">
        <v>2712</v>
      </c>
      <c r="J79" s="5">
        <v>1522</v>
      </c>
      <c r="K79" s="5">
        <v>2590</v>
      </c>
      <c r="L79" s="4" t="s">
        <v>2713</v>
      </c>
      <c r="M79" s="3">
        <v>1</v>
      </c>
      <c r="N79" s="3"/>
      <c r="O79" s="4" t="s">
        <v>2714</v>
      </c>
    </row>
    <row r="80" spans="1:15" ht="60" x14ac:dyDescent="0.25">
      <c r="A80" s="4" t="s">
        <v>2715</v>
      </c>
      <c r="B80" s="3">
        <v>161270</v>
      </c>
      <c r="C80" s="3">
        <v>155911</v>
      </c>
      <c r="D80" s="4" t="s">
        <v>2716</v>
      </c>
      <c r="E80" s="4" t="s">
        <v>2717</v>
      </c>
      <c r="F80" s="4"/>
      <c r="G80" s="4" t="s">
        <v>2718</v>
      </c>
      <c r="H80" s="4" t="s">
        <v>2719</v>
      </c>
      <c r="I80" s="4" t="s">
        <v>2720</v>
      </c>
      <c r="J80" s="5">
        <v>5441</v>
      </c>
      <c r="K80" s="5">
        <v>9590</v>
      </c>
      <c r="L80" s="4" t="s">
        <v>2721</v>
      </c>
      <c r="M80" s="3">
        <v>1</v>
      </c>
      <c r="N80" s="3"/>
      <c r="O80" s="4" t="s">
        <v>2722</v>
      </c>
    </row>
    <row r="81" spans="1:15" ht="45" x14ac:dyDescent="0.25">
      <c r="A81" s="4" t="s">
        <v>2723</v>
      </c>
      <c r="B81" s="3">
        <v>162357</v>
      </c>
      <c r="C81" s="3">
        <v>83343</v>
      </c>
      <c r="D81" s="4" t="s">
        <v>2724</v>
      </c>
      <c r="E81" s="4" t="s">
        <v>2725</v>
      </c>
      <c r="F81" s="4"/>
      <c r="G81" s="4" t="s">
        <v>2726</v>
      </c>
      <c r="H81" s="4" t="s">
        <v>2727</v>
      </c>
      <c r="I81" s="4" t="s">
        <v>2728</v>
      </c>
      <c r="J81" s="5">
        <v>1200</v>
      </c>
      <c r="K81" s="5">
        <v>1890</v>
      </c>
      <c r="L81" s="4"/>
      <c r="M81" s="3">
        <v>1</v>
      </c>
      <c r="N81" s="3"/>
      <c r="O81" s="4"/>
    </row>
    <row r="82" spans="1:15" ht="90" x14ac:dyDescent="0.25">
      <c r="A82" s="4" t="s">
        <v>2729</v>
      </c>
      <c r="B82" s="3">
        <v>265262</v>
      </c>
      <c r="C82" s="3">
        <v>214694</v>
      </c>
      <c r="D82" s="4" t="s">
        <v>2730</v>
      </c>
      <c r="E82" s="4" t="s">
        <v>2731</v>
      </c>
      <c r="F82" s="4"/>
      <c r="G82" s="4" t="s">
        <v>2732</v>
      </c>
      <c r="H82" s="4" t="s">
        <v>2733</v>
      </c>
      <c r="I82" s="4" t="s">
        <v>2734</v>
      </c>
      <c r="J82" s="5">
        <v>12788</v>
      </c>
      <c r="K82" s="5">
        <v>16990</v>
      </c>
      <c r="L82" s="4"/>
      <c r="M82" s="3">
        <v>1</v>
      </c>
      <c r="N82" s="3"/>
      <c r="O82" s="4" t="s">
        <v>2735</v>
      </c>
    </row>
    <row r="83" spans="1:15" ht="60" x14ac:dyDescent="0.25">
      <c r="A83" s="4" t="s">
        <v>2736</v>
      </c>
      <c r="B83" s="3">
        <v>162403</v>
      </c>
      <c r="C83" s="3">
        <v>168601</v>
      </c>
      <c r="D83" s="4" t="s">
        <v>2737</v>
      </c>
      <c r="E83" s="4" t="s">
        <v>2738</v>
      </c>
      <c r="F83" s="4"/>
      <c r="G83" s="4" t="s">
        <v>2739</v>
      </c>
      <c r="H83" s="4" t="s">
        <v>2740</v>
      </c>
      <c r="I83" s="4" t="s">
        <v>2741</v>
      </c>
      <c r="J83" s="5">
        <v>15456</v>
      </c>
      <c r="K83" s="5">
        <v>20490</v>
      </c>
      <c r="L83" s="4" t="s">
        <v>2742</v>
      </c>
      <c r="M83" s="3">
        <v>1</v>
      </c>
      <c r="N83" s="3"/>
      <c r="O83" s="4" t="s">
        <v>2743</v>
      </c>
    </row>
    <row r="84" spans="1:15" ht="60" x14ac:dyDescent="0.25">
      <c r="A84" s="4" t="s">
        <v>2744</v>
      </c>
      <c r="B84" s="3">
        <v>162513</v>
      </c>
      <c r="C84" s="3">
        <v>156337</v>
      </c>
      <c r="D84" s="4" t="s">
        <v>2745</v>
      </c>
      <c r="E84" s="4" t="s">
        <v>2746</v>
      </c>
      <c r="F84" s="4"/>
      <c r="G84" s="4" t="s">
        <v>2747</v>
      </c>
      <c r="H84" s="4" t="s">
        <v>2748</v>
      </c>
      <c r="I84" s="4" t="s">
        <v>2749</v>
      </c>
      <c r="J84" s="5">
        <v>12200</v>
      </c>
      <c r="K84" s="5">
        <v>15890</v>
      </c>
      <c r="L84" s="4" t="s">
        <v>2750</v>
      </c>
      <c r="M84" s="3">
        <v>0</v>
      </c>
      <c r="N84" s="3"/>
      <c r="O84" s="4" t="s">
        <v>2751</v>
      </c>
    </row>
    <row r="85" spans="1:15" ht="60" x14ac:dyDescent="0.25">
      <c r="A85" s="4" t="s">
        <v>2752</v>
      </c>
      <c r="B85" s="3">
        <v>162522</v>
      </c>
      <c r="C85" s="3">
        <v>156282</v>
      </c>
      <c r="D85" s="4" t="s">
        <v>2753</v>
      </c>
      <c r="E85" s="4" t="s">
        <v>2754</v>
      </c>
      <c r="F85" s="4"/>
      <c r="G85" s="4" t="s">
        <v>2755</v>
      </c>
      <c r="H85" s="4" t="s">
        <v>2756</v>
      </c>
      <c r="I85" s="4" t="s">
        <v>2757</v>
      </c>
      <c r="J85" s="5">
        <v>13297</v>
      </c>
      <c r="K85" s="5">
        <v>19590</v>
      </c>
      <c r="L85" s="4" t="s">
        <v>2758</v>
      </c>
      <c r="M85" s="3">
        <v>1</v>
      </c>
      <c r="N85" s="3"/>
      <c r="O85" s="4" t="s">
        <v>2759</v>
      </c>
    </row>
    <row r="86" spans="1:15" ht="60" x14ac:dyDescent="0.25">
      <c r="A86" s="4" t="s">
        <v>2760</v>
      </c>
      <c r="B86" s="3">
        <v>162541</v>
      </c>
      <c r="C86" s="3">
        <v>153175</v>
      </c>
      <c r="D86" s="4" t="s">
        <v>2761</v>
      </c>
      <c r="E86" s="4" t="s">
        <v>2762</v>
      </c>
      <c r="F86" s="4"/>
      <c r="G86" s="4" t="s">
        <v>2763</v>
      </c>
      <c r="H86" s="4" t="s">
        <v>2764</v>
      </c>
      <c r="I86" s="4" t="s">
        <v>2765</v>
      </c>
      <c r="J86" s="5">
        <v>11823</v>
      </c>
      <c r="K86" s="5">
        <v>18690</v>
      </c>
      <c r="L86" s="4" t="s">
        <v>2766</v>
      </c>
      <c r="M86" s="3">
        <v>1</v>
      </c>
      <c r="N86" s="3"/>
      <c r="O86" s="4" t="s">
        <v>2767</v>
      </c>
    </row>
    <row r="87" spans="1:15" ht="60" x14ac:dyDescent="0.25">
      <c r="A87" s="4" t="s">
        <v>2768</v>
      </c>
      <c r="B87" s="3">
        <v>162554</v>
      </c>
      <c r="C87" s="3">
        <v>153189</v>
      </c>
      <c r="D87" s="4" t="s">
        <v>2769</v>
      </c>
      <c r="E87" s="4" t="s">
        <v>2770</v>
      </c>
      <c r="F87" s="4"/>
      <c r="G87" s="4" t="s">
        <v>2771</v>
      </c>
      <c r="H87" s="4" t="s">
        <v>2772</v>
      </c>
      <c r="I87" s="4" t="s">
        <v>2773</v>
      </c>
      <c r="J87" s="5">
        <v>13382</v>
      </c>
      <c r="K87" s="5">
        <v>16790</v>
      </c>
      <c r="L87" s="4" t="s">
        <v>2774</v>
      </c>
      <c r="M87" s="3">
        <v>1</v>
      </c>
      <c r="N87" s="3"/>
      <c r="O87" s="4" t="s">
        <v>2775</v>
      </c>
    </row>
    <row r="88" spans="1:15" ht="60" x14ac:dyDescent="0.25">
      <c r="A88" s="4" t="s">
        <v>2776</v>
      </c>
      <c r="B88" s="3">
        <v>162585</v>
      </c>
      <c r="C88" s="3">
        <v>154823</v>
      </c>
      <c r="D88" s="4" t="s">
        <v>2777</v>
      </c>
      <c r="E88" s="4" t="s">
        <v>2778</v>
      </c>
      <c r="F88" s="4"/>
      <c r="G88" s="4" t="s">
        <v>2779</v>
      </c>
      <c r="H88" s="4" t="s">
        <v>2780</v>
      </c>
      <c r="I88" s="4" t="s">
        <v>2781</v>
      </c>
      <c r="J88" s="5">
        <v>15244</v>
      </c>
      <c r="K88" s="5">
        <v>19090</v>
      </c>
      <c r="L88" s="4" t="s">
        <v>2782</v>
      </c>
      <c r="M88" s="3">
        <v>1</v>
      </c>
      <c r="N88" s="3"/>
      <c r="O88" s="4" t="s">
        <v>2783</v>
      </c>
    </row>
    <row r="89" spans="1:15" ht="60" x14ac:dyDescent="0.25">
      <c r="A89" s="4" t="s">
        <v>2784</v>
      </c>
      <c r="B89" s="3">
        <v>162330</v>
      </c>
      <c r="C89" s="3">
        <v>140093</v>
      </c>
      <c r="D89" s="4" t="s">
        <v>2785</v>
      </c>
      <c r="E89" s="4" t="s">
        <v>2786</v>
      </c>
      <c r="F89" s="4"/>
      <c r="G89" s="4" t="s">
        <v>2787</v>
      </c>
      <c r="H89" s="4" t="s">
        <v>2788</v>
      </c>
      <c r="I89" s="4" t="s">
        <v>2789</v>
      </c>
      <c r="J89" s="5">
        <v>200</v>
      </c>
      <c r="K89" s="5">
        <v>379</v>
      </c>
      <c r="L89" s="4" t="s">
        <v>2790</v>
      </c>
      <c r="M89" s="3">
        <v>1</v>
      </c>
      <c r="N89" s="3">
        <v>1</v>
      </c>
      <c r="O89" s="4" t="s">
        <v>2791</v>
      </c>
    </row>
    <row r="90" spans="1:15" ht="60" x14ac:dyDescent="0.25">
      <c r="A90" s="4" t="s">
        <v>2792</v>
      </c>
      <c r="B90" s="3">
        <v>163537</v>
      </c>
      <c r="C90" s="3">
        <v>169449</v>
      </c>
      <c r="D90" s="4" t="s">
        <v>2793</v>
      </c>
      <c r="E90" s="4" t="s">
        <v>2794</v>
      </c>
      <c r="F90" s="4"/>
      <c r="G90" s="4" t="s">
        <v>2795</v>
      </c>
      <c r="H90" s="4" t="s">
        <v>2796</v>
      </c>
      <c r="I90" s="4" t="s">
        <v>2797</v>
      </c>
      <c r="J90" s="5">
        <v>321</v>
      </c>
      <c r="K90" s="5">
        <v>559</v>
      </c>
      <c r="L90" s="4" t="s">
        <v>2798</v>
      </c>
      <c r="M90" s="3">
        <v>0</v>
      </c>
      <c r="N90" s="3"/>
      <c r="O90" s="4"/>
    </row>
    <row r="91" spans="1:15" ht="75" x14ac:dyDescent="0.25">
      <c r="A91" s="4" t="s">
        <v>2799</v>
      </c>
      <c r="B91" s="3">
        <v>265280</v>
      </c>
      <c r="C91" s="3">
        <v>214305</v>
      </c>
      <c r="D91" s="4" t="s">
        <v>2800</v>
      </c>
      <c r="E91" s="4" t="s">
        <v>2801</v>
      </c>
      <c r="F91" s="4"/>
      <c r="G91" s="4" t="s">
        <v>2802</v>
      </c>
      <c r="H91" s="4" t="s">
        <v>2803</v>
      </c>
      <c r="I91" s="4" t="s">
        <v>2804</v>
      </c>
      <c r="J91" s="5">
        <v>1866</v>
      </c>
      <c r="K91" s="5">
        <v>2890</v>
      </c>
      <c r="L91" s="4" t="s">
        <v>2805</v>
      </c>
      <c r="M91" s="3">
        <v>1</v>
      </c>
      <c r="N91" s="3"/>
      <c r="O91" s="4" t="s">
        <v>2806</v>
      </c>
    </row>
    <row r="92" spans="1:15" ht="75" x14ac:dyDescent="0.25">
      <c r="A92" s="4" t="s">
        <v>2807</v>
      </c>
      <c r="B92" s="3">
        <v>163574</v>
      </c>
      <c r="C92" s="3">
        <v>157394</v>
      </c>
      <c r="D92" s="4" t="s">
        <v>2808</v>
      </c>
      <c r="E92" s="4" t="s">
        <v>2809</v>
      </c>
      <c r="F92" s="4"/>
      <c r="G92" s="4" t="s">
        <v>2810</v>
      </c>
      <c r="H92" s="4" t="s">
        <v>2811</v>
      </c>
      <c r="I92" s="4" t="s">
        <v>2812</v>
      </c>
      <c r="J92" s="5">
        <v>230</v>
      </c>
      <c r="K92" s="5">
        <v>519</v>
      </c>
      <c r="L92" s="4" t="s">
        <v>2813</v>
      </c>
      <c r="M92" s="3">
        <v>1</v>
      </c>
      <c r="N92" s="3"/>
      <c r="O92" s="4" t="s">
        <v>2814</v>
      </c>
    </row>
    <row r="93" spans="1:15" ht="60" x14ac:dyDescent="0.25">
      <c r="A93" s="4" t="s">
        <v>2815</v>
      </c>
      <c r="B93" s="3">
        <v>265298</v>
      </c>
      <c r="C93" s="3">
        <v>214357</v>
      </c>
      <c r="D93" s="4" t="s">
        <v>2816</v>
      </c>
      <c r="E93" s="4" t="s">
        <v>2817</v>
      </c>
      <c r="F93" s="4"/>
      <c r="G93" s="4" t="s">
        <v>2818</v>
      </c>
      <c r="H93" s="4" t="s">
        <v>2819</v>
      </c>
      <c r="I93" s="4" t="s">
        <v>2820</v>
      </c>
      <c r="J93" s="5">
        <v>500</v>
      </c>
      <c r="K93" s="5">
        <v>959</v>
      </c>
      <c r="L93" s="4" t="s">
        <v>2821</v>
      </c>
      <c r="M93" s="3">
        <v>0</v>
      </c>
      <c r="N93" s="3"/>
      <c r="O93" s="4" t="s">
        <v>2822</v>
      </c>
    </row>
    <row r="94" spans="1:15" ht="60" x14ac:dyDescent="0.25">
      <c r="A94" s="4" t="s">
        <v>2823</v>
      </c>
      <c r="B94" s="3">
        <v>163628</v>
      </c>
      <c r="C94" s="3">
        <v>71509</v>
      </c>
      <c r="D94" s="4" t="s">
        <v>2824</v>
      </c>
      <c r="E94" s="4" t="s">
        <v>2825</v>
      </c>
      <c r="F94" s="4"/>
      <c r="G94" s="4" t="s">
        <v>2826</v>
      </c>
      <c r="H94" s="4" t="s">
        <v>2827</v>
      </c>
      <c r="I94" s="4" t="s">
        <v>2828</v>
      </c>
      <c r="J94" s="5">
        <v>700</v>
      </c>
      <c r="K94" s="5">
        <v>1190</v>
      </c>
      <c r="L94" s="4" t="s">
        <v>2829</v>
      </c>
      <c r="M94" s="3">
        <v>0</v>
      </c>
      <c r="N94" s="3"/>
      <c r="O94" s="4" t="s">
        <v>2830</v>
      </c>
    </row>
    <row r="95" spans="1:15" ht="75" x14ac:dyDescent="0.25">
      <c r="A95" s="4" t="s">
        <v>2831</v>
      </c>
      <c r="B95" s="3">
        <v>164097</v>
      </c>
      <c r="C95" s="3">
        <v>76139</v>
      </c>
      <c r="D95" s="4" t="s">
        <v>2832</v>
      </c>
      <c r="E95" s="4" t="s">
        <v>2833</v>
      </c>
      <c r="F95" s="4"/>
      <c r="G95" s="4" t="s">
        <v>2834</v>
      </c>
      <c r="H95" s="4" t="s">
        <v>2835</v>
      </c>
      <c r="I95" s="4" t="s">
        <v>2836</v>
      </c>
      <c r="J95" s="5">
        <v>2030</v>
      </c>
      <c r="K95" s="5">
        <v>2890</v>
      </c>
      <c r="L95" s="4" t="s">
        <v>2837</v>
      </c>
      <c r="M95" s="3">
        <v>1</v>
      </c>
      <c r="N95" s="3"/>
      <c r="O95" s="4" t="s">
        <v>2838</v>
      </c>
    </row>
    <row r="96" spans="1:15" ht="75" x14ac:dyDescent="0.25">
      <c r="A96" s="4" t="s">
        <v>2839</v>
      </c>
      <c r="B96" s="3">
        <v>164148</v>
      </c>
      <c r="C96" s="3">
        <v>76141</v>
      </c>
      <c r="D96" s="4" t="s">
        <v>2840</v>
      </c>
      <c r="E96" s="4" t="s">
        <v>2841</v>
      </c>
      <c r="F96" s="4"/>
      <c r="G96" s="4" t="s">
        <v>2842</v>
      </c>
      <c r="H96" s="4" t="s">
        <v>2843</v>
      </c>
      <c r="I96" s="4" t="s">
        <v>2844</v>
      </c>
      <c r="J96" s="5">
        <v>2039</v>
      </c>
      <c r="K96" s="5">
        <v>2990</v>
      </c>
      <c r="L96" s="4" t="s">
        <v>2845</v>
      </c>
      <c r="M96" s="3">
        <v>1</v>
      </c>
      <c r="N96" s="3"/>
      <c r="O96" s="4" t="s">
        <v>2846</v>
      </c>
    </row>
    <row r="97" spans="1:15" ht="75" x14ac:dyDescent="0.25">
      <c r="A97" s="4" t="s">
        <v>2847</v>
      </c>
      <c r="B97" s="3">
        <v>248321</v>
      </c>
      <c r="C97" s="3">
        <v>171421</v>
      </c>
      <c r="D97" s="4" t="s">
        <v>2848</v>
      </c>
      <c r="E97" s="4" t="s">
        <v>2849</v>
      </c>
      <c r="F97" s="4"/>
      <c r="G97" s="4" t="s">
        <v>2850</v>
      </c>
      <c r="H97" s="4" t="s">
        <v>2851</v>
      </c>
      <c r="I97" s="4" t="s">
        <v>2852</v>
      </c>
      <c r="J97" s="5">
        <v>129</v>
      </c>
      <c r="K97" s="5">
        <v>239</v>
      </c>
      <c r="L97" s="4"/>
      <c r="M97" s="3">
        <v>1</v>
      </c>
      <c r="N97" s="3"/>
      <c r="O97" s="4" t="s">
        <v>2853</v>
      </c>
    </row>
    <row r="98" spans="1:15" ht="75" x14ac:dyDescent="0.25">
      <c r="A98" s="4" t="s">
        <v>2854</v>
      </c>
      <c r="B98" s="3">
        <v>248340</v>
      </c>
      <c r="C98" s="3">
        <v>171389</v>
      </c>
      <c r="D98" s="4" t="s">
        <v>2855</v>
      </c>
      <c r="E98" s="4" t="s">
        <v>2856</v>
      </c>
      <c r="F98" s="4"/>
      <c r="G98" s="4" t="s">
        <v>2857</v>
      </c>
      <c r="H98" s="4" t="s">
        <v>2858</v>
      </c>
      <c r="I98" s="4" t="s">
        <v>2859</v>
      </c>
      <c r="J98" s="5">
        <v>128</v>
      </c>
      <c r="K98" s="5">
        <v>239</v>
      </c>
      <c r="L98" s="4"/>
      <c r="M98" s="3">
        <v>1</v>
      </c>
      <c r="N98" s="3"/>
      <c r="O98" s="4" t="s">
        <v>2860</v>
      </c>
    </row>
    <row r="99" spans="1:15" ht="75" x14ac:dyDescent="0.25">
      <c r="A99" s="4" t="s">
        <v>2861</v>
      </c>
      <c r="B99" s="3">
        <v>165442</v>
      </c>
      <c r="C99" s="3">
        <v>168496</v>
      </c>
      <c r="D99" s="4" t="s">
        <v>2862</v>
      </c>
      <c r="E99" s="4" t="s">
        <v>2863</v>
      </c>
      <c r="F99" s="4"/>
      <c r="G99" s="4" t="s">
        <v>2864</v>
      </c>
      <c r="H99" s="4" t="s">
        <v>2865</v>
      </c>
      <c r="I99" s="4" t="s">
        <v>2866</v>
      </c>
      <c r="J99" s="5">
        <v>636</v>
      </c>
      <c r="K99" s="5">
        <v>1090</v>
      </c>
      <c r="L99" s="4"/>
      <c r="M99" s="3">
        <v>1</v>
      </c>
      <c r="N99" s="3"/>
      <c r="O99" s="4" t="s">
        <v>2867</v>
      </c>
    </row>
    <row r="100" spans="1:15" ht="75" x14ac:dyDescent="0.25">
      <c r="A100" s="4" t="s">
        <v>2868</v>
      </c>
      <c r="B100" s="3">
        <v>165462</v>
      </c>
      <c r="C100" s="3">
        <v>168551</v>
      </c>
      <c r="D100" s="4" t="s">
        <v>2869</v>
      </c>
      <c r="E100" s="4" t="s">
        <v>2870</v>
      </c>
      <c r="F100" s="4"/>
      <c r="G100" s="4" t="s">
        <v>2871</v>
      </c>
      <c r="H100" s="4" t="s">
        <v>2872</v>
      </c>
      <c r="I100" s="4" t="s">
        <v>2873</v>
      </c>
      <c r="J100" s="5">
        <v>550</v>
      </c>
      <c r="K100" s="5">
        <v>869</v>
      </c>
      <c r="L100" s="4"/>
      <c r="M100" s="3">
        <v>1</v>
      </c>
      <c r="N100" s="3"/>
      <c r="O100" s="4" t="s">
        <v>2874</v>
      </c>
    </row>
    <row r="101" spans="1:15" ht="90" x14ac:dyDescent="0.25">
      <c r="A101" s="4" t="s">
        <v>2875</v>
      </c>
      <c r="B101" s="3">
        <v>165753</v>
      </c>
      <c r="C101" s="3">
        <v>143354</v>
      </c>
      <c r="D101" s="4" t="s">
        <v>2876</v>
      </c>
      <c r="E101" s="4" t="s">
        <v>2877</v>
      </c>
      <c r="F101" s="4"/>
      <c r="G101" s="4" t="s">
        <v>2878</v>
      </c>
      <c r="H101" s="4" t="s">
        <v>2879</v>
      </c>
      <c r="I101" s="4" t="s">
        <v>2880</v>
      </c>
      <c r="J101" s="5">
        <v>963</v>
      </c>
      <c r="K101" s="5">
        <v>1590</v>
      </c>
      <c r="L101" s="4"/>
      <c r="M101" s="3">
        <v>1</v>
      </c>
      <c r="N101" s="3">
        <v>2</v>
      </c>
      <c r="O101" s="4"/>
    </row>
    <row r="102" spans="1:15" ht="60" x14ac:dyDescent="0.25">
      <c r="A102" s="4" t="s">
        <v>2881</v>
      </c>
      <c r="B102" s="3">
        <v>166160</v>
      </c>
      <c r="C102" s="3">
        <v>165826</v>
      </c>
      <c r="D102" s="4" t="s">
        <v>2882</v>
      </c>
      <c r="E102" s="4" t="s">
        <v>2883</v>
      </c>
      <c r="F102" s="4"/>
      <c r="G102" s="4" t="s">
        <v>2884</v>
      </c>
      <c r="H102" s="4" t="s">
        <v>2885</v>
      </c>
      <c r="I102" s="4" t="s">
        <v>2886</v>
      </c>
      <c r="J102" s="5">
        <v>703</v>
      </c>
      <c r="K102" s="5">
        <v>1190</v>
      </c>
      <c r="L102" s="4"/>
      <c r="M102" s="3">
        <v>1</v>
      </c>
      <c r="N102" s="3">
        <v>2</v>
      </c>
      <c r="O102" s="4"/>
    </row>
    <row r="103" spans="1:15" ht="60" x14ac:dyDescent="0.25">
      <c r="A103" s="4" t="s">
        <v>2887</v>
      </c>
      <c r="B103" s="3">
        <v>181963</v>
      </c>
      <c r="C103" s="3">
        <v>154917</v>
      </c>
      <c r="D103" s="4" t="s">
        <v>2888</v>
      </c>
      <c r="E103" s="4" t="s">
        <v>2889</v>
      </c>
      <c r="F103" s="4"/>
      <c r="G103" s="4" t="s">
        <v>2890</v>
      </c>
      <c r="H103" s="4" t="s">
        <v>2891</v>
      </c>
      <c r="I103" s="4" t="s">
        <v>2892</v>
      </c>
      <c r="J103" s="5">
        <v>16742</v>
      </c>
      <c r="K103" s="5">
        <v>22190</v>
      </c>
      <c r="L103" s="4" t="s">
        <v>2893</v>
      </c>
      <c r="M103" s="3">
        <v>1</v>
      </c>
      <c r="N103" s="3"/>
      <c r="O103" s="4" t="s">
        <v>2894</v>
      </c>
    </row>
    <row r="104" spans="1:15" ht="60" x14ac:dyDescent="0.25">
      <c r="A104" s="4" t="s">
        <v>2895</v>
      </c>
      <c r="B104" s="3">
        <v>181991</v>
      </c>
      <c r="C104" s="3">
        <v>152764</v>
      </c>
      <c r="D104" s="4" t="s">
        <v>2896</v>
      </c>
      <c r="E104" s="4" t="s">
        <v>2897</v>
      </c>
      <c r="F104" s="4"/>
      <c r="G104" s="4" t="s">
        <v>2898</v>
      </c>
      <c r="H104" s="4" t="s">
        <v>2899</v>
      </c>
      <c r="I104" s="4" t="s">
        <v>2900</v>
      </c>
      <c r="J104" s="5">
        <v>11904</v>
      </c>
      <c r="K104" s="5">
        <v>14890</v>
      </c>
      <c r="L104" s="4" t="s">
        <v>2901</v>
      </c>
      <c r="M104" s="3">
        <v>1</v>
      </c>
      <c r="N104" s="3"/>
      <c r="O104" s="4" t="s">
        <v>2902</v>
      </c>
    </row>
    <row r="105" spans="1:15" ht="60" x14ac:dyDescent="0.25">
      <c r="A105" s="4" t="s">
        <v>2903</v>
      </c>
      <c r="B105" s="3">
        <v>182007</v>
      </c>
      <c r="C105" s="3">
        <v>154944</v>
      </c>
      <c r="D105" s="4" t="s">
        <v>2904</v>
      </c>
      <c r="E105" s="4" t="s">
        <v>2905</v>
      </c>
      <c r="F105" s="4"/>
      <c r="G105" s="4" t="s">
        <v>2906</v>
      </c>
      <c r="H105" s="4" t="s">
        <v>2907</v>
      </c>
      <c r="I105" s="4" t="s">
        <v>2908</v>
      </c>
      <c r="J105" s="5">
        <v>11894</v>
      </c>
      <c r="K105" s="5">
        <v>15890</v>
      </c>
      <c r="L105" s="4" t="s">
        <v>2909</v>
      </c>
      <c r="M105" s="3">
        <v>1</v>
      </c>
      <c r="N105" s="3"/>
      <c r="O105" s="4" t="s">
        <v>2910</v>
      </c>
    </row>
    <row r="106" spans="1:15" ht="75" x14ac:dyDescent="0.25">
      <c r="A106" s="4" t="s">
        <v>2911</v>
      </c>
      <c r="B106" s="3">
        <v>182034</v>
      </c>
      <c r="C106" s="3">
        <v>155338</v>
      </c>
      <c r="D106" s="4" t="s">
        <v>2912</v>
      </c>
      <c r="E106" s="4" t="s">
        <v>2913</v>
      </c>
      <c r="F106" s="4"/>
      <c r="G106" s="4" t="s">
        <v>2914</v>
      </c>
      <c r="H106" s="4" t="s">
        <v>2915</v>
      </c>
      <c r="I106" s="4" t="s">
        <v>2916</v>
      </c>
      <c r="J106" s="5">
        <v>24897</v>
      </c>
      <c r="K106" s="5">
        <v>31190</v>
      </c>
      <c r="L106" s="4" t="s">
        <v>2917</v>
      </c>
      <c r="M106" s="3">
        <v>1</v>
      </c>
      <c r="N106" s="3"/>
      <c r="O106" s="4" t="s">
        <v>2918</v>
      </c>
    </row>
    <row r="107" spans="1:15" ht="60" x14ac:dyDescent="0.25">
      <c r="A107" s="4" t="s">
        <v>2919</v>
      </c>
      <c r="B107" s="3">
        <v>182051</v>
      </c>
      <c r="C107" s="3">
        <v>155354</v>
      </c>
      <c r="D107" s="4" t="s">
        <v>2920</v>
      </c>
      <c r="E107" s="4" t="s">
        <v>2921</v>
      </c>
      <c r="F107" s="4"/>
      <c r="G107" s="4" t="s">
        <v>2922</v>
      </c>
      <c r="H107" s="4" t="s">
        <v>2923</v>
      </c>
      <c r="I107" s="4" t="s">
        <v>2924</v>
      </c>
      <c r="J107" s="5">
        <v>23420</v>
      </c>
      <c r="K107" s="5">
        <v>29290</v>
      </c>
      <c r="L107" s="4" t="s">
        <v>2925</v>
      </c>
      <c r="M107" s="3">
        <v>1</v>
      </c>
      <c r="N107" s="3"/>
      <c r="O107" s="4" t="s">
        <v>2926</v>
      </c>
    </row>
    <row r="108" spans="1:15" ht="60" x14ac:dyDescent="0.25">
      <c r="A108" s="4" t="s">
        <v>2927</v>
      </c>
      <c r="B108" s="3">
        <v>182068</v>
      </c>
      <c r="C108" s="3">
        <v>152236</v>
      </c>
      <c r="D108" s="4" t="s">
        <v>2928</v>
      </c>
      <c r="E108" s="4" t="s">
        <v>2929</v>
      </c>
      <c r="F108" s="4"/>
      <c r="G108" s="4" t="s">
        <v>2930</v>
      </c>
      <c r="H108" s="4" t="s">
        <v>2931</v>
      </c>
      <c r="I108" s="4" t="s">
        <v>2932</v>
      </c>
      <c r="J108" s="5">
        <v>4391</v>
      </c>
      <c r="K108" s="5">
        <v>6290</v>
      </c>
      <c r="L108" s="4" t="s">
        <v>2933</v>
      </c>
      <c r="M108" s="3">
        <v>1</v>
      </c>
      <c r="N108" s="3"/>
      <c r="O108" s="4"/>
    </row>
    <row r="109" spans="1:15" ht="60" x14ac:dyDescent="0.25">
      <c r="A109" s="4" t="s">
        <v>2934</v>
      </c>
      <c r="B109" s="3">
        <v>182095</v>
      </c>
      <c r="C109" s="3">
        <v>152737</v>
      </c>
      <c r="D109" s="4" t="s">
        <v>2935</v>
      </c>
      <c r="E109" s="4" t="s">
        <v>2936</v>
      </c>
      <c r="F109" s="4"/>
      <c r="G109" s="4" t="s">
        <v>2937</v>
      </c>
      <c r="H109" s="4" t="s">
        <v>2938</v>
      </c>
      <c r="I109" s="4" t="s">
        <v>2939</v>
      </c>
      <c r="J109" s="5">
        <v>11856</v>
      </c>
      <c r="K109" s="5">
        <v>15790</v>
      </c>
      <c r="L109" s="4" t="s">
        <v>2940</v>
      </c>
      <c r="M109" s="3">
        <v>0</v>
      </c>
      <c r="N109" s="3"/>
      <c r="O109" s="4" t="s">
        <v>2941</v>
      </c>
    </row>
    <row r="110" spans="1:15" ht="60" x14ac:dyDescent="0.25">
      <c r="A110" s="4" t="s">
        <v>2942</v>
      </c>
      <c r="B110" s="3">
        <v>182122</v>
      </c>
      <c r="C110" s="3">
        <v>156301</v>
      </c>
      <c r="D110" s="4" t="s">
        <v>2943</v>
      </c>
      <c r="E110" s="4" t="s">
        <v>2944</v>
      </c>
      <c r="F110" s="4"/>
      <c r="G110" s="4" t="s">
        <v>2945</v>
      </c>
      <c r="H110" s="4" t="s">
        <v>2946</v>
      </c>
      <c r="I110" s="4" t="s">
        <v>2947</v>
      </c>
      <c r="J110" s="5">
        <v>21225</v>
      </c>
      <c r="K110" s="5">
        <v>28190</v>
      </c>
      <c r="L110" s="4" t="s">
        <v>2948</v>
      </c>
      <c r="M110" s="3">
        <v>0</v>
      </c>
      <c r="N110" s="3"/>
      <c r="O110" s="4" t="s">
        <v>2949</v>
      </c>
    </row>
    <row r="111" spans="1:15" ht="60" x14ac:dyDescent="0.25">
      <c r="A111" s="4" t="s">
        <v>2950</v>
      </c>
      <c r="B111" s="3">
        <v>182149</v>
      </c>
      <c r="C111" s="3">
        <v>152263</v>
      </c>
      <c r="D111" s="4" t="s">
        <v>2951</v>
      </c>
      <c r="E111" s="4" t="s">
        <v>2952</v>
      </c>
      <c r="F111" s="4"/>
      <c r="G111" s="4" t="s">
        <v>2953</v>
      </c>
      <c r="H111" s="4" t="s">
        <v>2954</v>
      </c>
      <c r="I111" s="4" t="s">
        <v>2955</v>
      </c>
      <c r="J111" s="5">
        <v>4574</v>
      </c>
      <c r="K111" s="5">
        <v>6590</v>
      </c>
      <c r="L111" s="4" t="s">
        <v>2956</v>
      </c>
      <c r="M111" s="3">
        <v>1</v>
      </c>
      <c r="N111" s="3"/>
      <c r="O111" s="4" t="s">
        <v>2957</v>
      </c>
    </row>
    <row r="112" spans="1:15" ht="60" x14ac:dyDescent="0.25">
      <c r="A112" s="4" t="s">
        <v>2958</v>
      </c>
      <c r="B112" s="3">
        <v>182183</v>
      </c>
      <c r="C112" s="3">
        <v>156412</v>
      </c>
      <c r="D112" s="4" t="s">
        <v>2959</v>
      </c>
      <c r="E112" s="4" t="s">
        <v>2960</v>
      </c>
      <c r="F112" s="4"/>
      <c r="G112" s="4" t="s">
        <v>2961</v>
      </c>
      <c r="H112" s="4" t="s">
        <v>2962</v>
      </c>
      <c r="I112" s="4" t="s">
        <v>2963</v>
      </c>
      <c r="J112" s="5">
        <v>16000</v>
      </c>
      <c r="K112" s="5">
        <v>22890</v>
      </c>
      <c r="L112" s="4" t="s">
        <v>2964</v>
      </c>
      <c r="M112" s="3">
        <v>0</v>
      </c>
      <c r="N112" s="3"/>
      <c r="O112" s="4" t="s">
        <v>2965</v>
      </c>
    </row>
    <row r="113" spans="1:15" ht="60" x14ac:dyDescent="0.25">
      <c r="A113" s="4" t="s">
        <v>2966</v>
      </c>
      <c r="B113" s="3">
        <v>182192</v>
      </c>
      <c r="C113" s="3">
        <v>154849</v>
      </c>
      <c r="D113" s="4" t="s">
        <v>2967</v>
      </c>
      <c r="E113" s="4" t="s">
        <v>2968</v>
      </c>
      <c r="F113" s="4"/>
      <c r="G113" s="4" t="s">
        <v>2969</v>
      </c>
      <c r="H113" s="4" t="s">
        <v>2970</v>
      </c>
      <c r="I113" s="4" t="s">
        <v>2971</v>
      </c>
      <c r="J113" s="5">
        <v>14469</v>
      </c>
      <c r="K113" s="5">
        <v>18090</v>
      </c>
      <c r="L113" s="4" t="s">
        <v>2972</v>
      </c>
      <c r="M113" s="3">
        <v>1</v>
      </c>
      <c r="N113" s="3"/>
      <c r="O113" s="4" t="s">
        <v>2973</v>
      </c>
    </row>
    <row r="114" spans="1:15" ht="75" x14ac:dyDescent="0.25">
      <c r="A114" s="4" t="s">
        <v>2974</v>
      </c>
      <c r="B114" s="3">
        <v>182215</v>
      </c>
      <c r="C114" s="3">
        <v>153219</v>
      </c>
      <c r="D114" s="4" t="s">
        <v>2975</v>
      </c>
      <c r="E114" s="4" t="s">
        <v>2976</v>
      </c>
      <c r="F114" s="4"/>
      <c r="G114" s="4" t="s">
        <v>2977</v>
      </c>
      <c r="H114" s="4" t="s">
        <v>2978</v>
      </c>
      <c r="I114" s="4" t="s">
        <v>2979</v>
      </c>
      <c r="J114" s="5">
        <v>12837</v>
      </c>
      <c r="K114" s="5">
        <v>15890</v>
      </c>
      <c r="L114" s="4" t="s">
        <v>2980</v>
      </c>
      <c r="M114" s="3">
        <v>1</v>
      </c>
      <c r="N114" s="3"/>
      <c r="O114" s="4" t="s">
        <v>2981</v>
      </c>
    </row>
    <row r="115" spans="1:15" ht="60" x14ac:dyDescent="0.25">
      <c r="A115" s="4" t="s">
        <v>2982</v>
      </c>
      <c r="B115" s="3">
        <v>182246</v>
      </c>
      <c r="C115" s="3">
        <v>155733</v>
      </c>
      <c r="D115" s="4" t="s">
        <v>2983</v>
      </c>
      <c r="E115" s="4" t="s">
        <v>2984</v>
      </c>
      <c r="F115" s="4"/>
      <c r="G115" s="4" t="s">
        <v>2985</v>
      </c>
      <c r="H115" s="4" t="s">
        <v>2986</v>
      </c>
      <c r="I115" s="4" t="s">
        <v>2987</v>
      </c>
      <c r="J115" s="5">
        <v>13248</v>
      </c>
      <c r="K115" s="5">
        <v>17290</v>
      </c>
      <c r="L115" s="4" t="s">
        <v>2988</v>
      </c>
      <c r="M115" s="3">
        <v>1</v>
      </c>
      <c r="N115" s="3"/>
      <c r="O115" s="4" t="s">
        <v>2989</v>
      </c>
    </row>
    <row r="116" spans="1:15" ht="75" x14ac:dyDescent="0.25">
      <c r="A116" s="4" t="s">
        <v>2990</v>
      </c>
      <c r="B116" s="3">
        <v>182277</v>
      </c>
      <c r="C116" s="3">
        <v>157248</v>
      </c>
      <c r="D116" s="4" t="s">
        <v>2991</v>
      </c>
      <c r="E116" s="4" t="s">
        <v>2992</v>
      </c>
      <c r="F116" s="4"/>
      <c r="G116" s="4" t="s">
        <v>2993</v>
      </c>
      <c r="H116" s="4" t="s">
        <v>2994</v>
      </c>
      <c r="I116" s="4" t="s">
        <v>2995</v>
      </c>
      <c r="J116" s="5">
        <v>30743</v>
      </c>
      <c r="K116" s="5">
        <v>40790</v>
      </c>
      <c r="L116" s="4" t="s">
        <v>2996</v>
      </c>
      <c r="M116" s="3">
        <v>1</v>
      </c>
      <c r="N116" s="3"/>
      <c r="O116" s="4" t="s">
        <v>2997</v>
      </c>
    </row>
    <row r="117" spans="1:15" ht="75" x14ac:dyDescent="0.25">
      <c r="A117" s="4" t="s">
        <v>2998</v>
      </c>
      <c r="B117" s="3">
        <v>182295</v>
      </c>
      <c r="C117" s="3">
        <v>155370</v>
      </c>
      <c r="D117" s="4" t="s">
        <v>2999</v>
      </c>
      <c r="E117" s="4" t="s">
        <v>3000</v>
      </c>
      <c r="F117" s="4"/>
      <c r="G117" s="4" t="s">
        <v>3001</v>
      </c>
      <c r="H117" s="4" t="s">
        <v>3002</v>
      </c>
      <c r="I117" s="4" t="s">
        <v>3003</v>
      </c>
      <c r="J117" s="5">
        <v>24133</v>
      </c>
      <c r="K117" s="5">
        <v>30190</v>
      </c>
      <c r="L117" s="4" t="s">
        <v>3004</v>
      </c>
      <c r="M117" s="3">
        <v>1</v>
      </c>
      <c r="N117" s="3"/>
      <c r="O117" s="4" t="s">
        <v>3005</v>
      </c>
    </row>
    <row r="118" spans="1:15" ht="75" x14ac:dyDescent="0.25">
      <c r="A118" s="4" t="s">
        <v>3006</v>
      </c>
      <c r="B118" s="3">
        <v>182312</v>
      </c>
      <c r="C118" s="3">
        <v>155386</v>
      </c>
      <c r="D118" s="4" t="s">
        <v>3007</v>
      </c>
      <c r="E118" s="4" t="s">
        <v>3008</v>
      </c>
      <c r="F118" s="4"/>
      <c r="G118" s="4" t="s">
        <v>3009</v>
      </c>
      <c r="H118" s="4" t="s">
        <v>3010</v>
      </c>
      <c r="I118" s="4" t="s">
        <v>3011</v>
      </c>
      <c r="J118" s="5">
        <v>23181</v>
      </c>
      <c r="K118" s="5">
        <v>28990</v>
      </c>
      <c r="L118" s="4" t="s">
        <v>3012</v>
      </c>
      <c r="M118" s="3">
        <v>1</v>
      </c>
      <c r="N118" s="3"/>
      <c r="O118" s="4" t="s">
        <v>3013</v>
      </c>
    </row>
    <row r="119" spans="1:15" ht="90" x14ac:dyDescent="0.25">
      <c r="A119" s="4" t="s">
        <v>3014</v>
      </c>
      <c r="B119" s="3">
        <v>182329</v>
      </c>
      <c r="C119" s="3">
        <v>154871</v>
      </c>
      <c r="D119" s="4" t="s">
        <v>3015</v>
      </c>
      <c r="E119" s="4" t="s">
        <v>3016</v>
      </c>
      <c r="F119" s="4"/>
      <c r="G119" s="4" t="s">
        <v>3017</v>
      </c>
      <c r="H119" s="4" t="s">
        <v>3018</v>
      </c>
      <c r="I119" s="4" t="s">
        <v>3019</v>
      </c>
      <c r="J119" s="5">
        <v>14000</v>
      </c>
      <c r="K119" s="5">
        <v>17490</v>
      </c>
      <c r="L119" s="4" t="s">
        <v>3020</v>
      </c>
      <c r="M119" s="3">
        <v>1</v>
      </c>
      <c r="N119" s="3"/>
      <c r="O119" s="4" t="s">
        <v>3021</v>
      </c>
    </row>
    <row r="120" spans="1:15" ht="75" x14ac:dyDescent="0.25">
      <c r="A120" s="4" t="s">
        <v>3022</v>
      </c>
      <c r="B120" s="3">
        <v>182374</v>
      </c>
      <c r="C120" s="3">
        <v>155193</v>
      </c>
      <c r="D120" s="4" t="s">
        <v>3023</v>
      </c>
      <c r="E120" s="4" t="s">
        <v>3024</v>
      </c>
      <c r="F120" s="4"/>
      <c r="G120" s="4" t="s">
        <v>3025</v>
      </c>
      <c r="H120" s="4" t="s">
        <v>3026</v>
      </c>
      <c r="I120" s="4" t="s">
        <v>3027</v>
      </c>
      <c r="J120" s="5">
        <v>16964</v>
      </c>
      <c r="K120" s="5">
        <v>21290</v>
      </c>
      <c r="L120" s="4" t="s">
        <v>3028</v>
      </c>
      <c r="M120" s="3">
        <v>1</v>
      </c>
      <c r="N120" s="3"/>
      <c r="O120" s="4" t="s">
        <v>3029</v>
      </c>
    </row>
    <row r="121" spans="1:15" ht="105" x14ac:dyDescent="0.25">
      <c r="A121" s="4" t="s">
        <v>3030</v>
      </c>
      <c r="B121" s="3">
        <v>182419</v>
      </c>
      <c r="C121" s="3">
        <v>153775</v>
      </c>
      <c r="D121" s="4" t="s">
        <v>3031</v>
      </c>
      <c r="E121" s="4" t="s">
        <v>3032</v>
      </c>
      <c r="F121" s="4"/>
      <c r="G121" s="4" t="s">
        <v>3033</v>
      </c>
      <c r="H121" s="4" t="s">
        <v>3034</v>
      </c>
      <c r="I121" s="4" t="s">
        <v>3035</v>
      </c>
      <c r="J121" s="5">
        <v>11926</v>
      </c>
      <c r="K121" s="5">
        <v>17390</v>
      </c>
      <c r="L121" s="4" t="s">
        <v>3036</v>
      </c>
      <c r="M121" s="3">
        <v>1</v>
      </c>
      <c r="N121" s="3"/>
      <c r="O121" s="4" t="s">
        <v>3037</v>
      </c>
    </row>
    <row r="122" spans="1:15" ht="105" x14ac:dyDescent="0.25">
      <c r="A122" s="4" t="s">
        <v>3038</v>
      </c>
      <c r="B122" s="3">
        <v>182420</v>
      </c>
      <c r="C122" s="3">
        <v>153776</v>
      </c>
      <c r="D122" s="4" t="s">
        <v>3039</v>
      </c>
      <c r="E122" s="4" t="s">
        <v>3040</v>
      </c>
      <c r="F122" s="4"/>
      <c r="G122" s="4" t="s">
        <v>3041</v>
      </c>
      <c r="H122" s="4" t="s">
        <v>3042</v>
      </c>
      <c r="I122" s="4" t="s">
        <v>3043</v>
      </c>
      <c r="J122" s="5">
        <v>12304</v>
      </c>
      <c r="K122" s="5">
        <v>16390</v>
      </c>
      <c r="L122" s="4" t="s">
        <v>3044</v>
      </c>
      <c r="M122" s="3">
        <v>1</v>
      </c>
      <c r="N122" s="3"/>
      <c r="O122" s="4" t="s">
        <v>3045</v>
      </c>
    </row>
    <row r="123" spans="1:15" ht="90" x14ac:dyDescent="0.25">
      <c r="A123" s="4" t="s">
        <v>3046</v>
      </c>
      <c r="B123" s="3">
        <v>182480</v>
      </c>
      <c r="C123" s="3">
        <v>155018</v>
      </c>
      <c r="D123" s="4" t="s">
        <v>3047</v>
      </c>
      <c r="E123" s="4" t="s">
        <v>3048</v>
      </c>
      <c r="F123" s="4"/>
      <c r="G123" s="4" t="s">
        <v>3049</v>
      </c>
      <c r="H123" s="4" t="s">
        <v>3050</v>
      </c>
      <c r="I123" s="4" t="s">
        <v>3051</v>
      </c>
      <c r="J123" s="5">
        <v>12908</v>
      </c>
      <c r="K123" s="5">
        <v>16290</v>
      </c>
      <c r="L123" s="4" t="s">
        <v>3052</v>
      </c>
      <c r="M123" s="3">
        <v>1</v>
      </c>
      <c r="N123" s="3"/>
      <c r="O123" s="4" t="s">
        <v>3053</v>
      </c>
    </row>
    <row r="124" spans="1:15" ht="75" x14ac:dyDescent="0.25">
      <c r="A124" s="4" t="s">
        <v>3054</v>
      </c>
      <c r="B124" s="3">
        <v>182525</v>
      </c>
      <c r="C124" s="3">
        <v>155147</v>
      </c>
      <c r="D124" s="4" t="s">
        <v>3055</v>
      </c>
      <c r="E124" s="4" t="s">
        <v>3056</v>
      </c>
      <c r="F124" s="4"/>
      <c r="G124" s="4" t="s">
        <v>3057</v>
      </c>
      <c r="H124" s="4" t="s">
        <v>3058</v>
      </c>
      <c r="I124" s="4" t="s">
        <v>3059</v>
      </c>
      <c r="J124" s="5">
        <v>20029</v>
      </c>
      <c r="K124" s="5">
        <v>26590</v>
      </c>
      <c r="L124" s="4" t="s">
        <v>3060</v>
      </c>
      <c r="M124" s="3">
        <v>1</v>
      </c>
      <c r="N124" s="3"/>
      <c r="O124" s="4" t="s">
        <v>3061</v>
      </c>
    </row>
    <row r="125" spans="1:15" ht="105" x14ac:dyDescent="0.25">
      <c r="A125" s="4" t="s">
        <v>3062</v>
      </c>
      <c r="B125" s="3">
        <v>182570</v>
      </c>
      <c r="C125" s="3">
        <v>153836</v>
      </c>
      <c r="D125" s="4" t="s">
        <v>3063</v>
      </c>
      <c r="E125" s="4" t="s">
        <v>3064</v>
      </c>
      <c r="F125" s="4"/>
      <c r="G125" s="4" t="s">
        <v>3065</v>
      </c>
      <c r="H125" s="4" t="s">
        <v>3066</v>
      </c>
      <c r="I125" s="4" t="s">
        <v>3067</v>
      </c>
      <c r="J125" s="5">
        <v>11926</v>
      </c>
      <c r="K125" s="5">
        <v>15690</v>
      </c>
      <c r="L125" s="4" t="s">
        <v>3068</v>
      </c>
      <c r="M125" s="3">
        <v>1</v>
      </c>
      <c r="N125" s="3"/>
      <c r="O125" s="4" t="s">
        <v>3069</v>
      </c>
    </row>
    <row r="126" spans="1:15" ht="105" x14ac:dyDescent="0.25">
      <c r="A126" s="4" t="s">
        <v>3070</v>
      </c>
      <c r="B126" s="3">
        <v>182571</v>
      </c>
      <c r="C126" s="3">
        <v>153837</v>
      </c>
      <c r="D126" s="4" t="s">
        <v>3071</v>
      </c>
      <c r="E126" s="4" t="s">
        <v>3072</v>
      </c>
      <c r="F126" s="4"/>
      <c r="G126" s="4" t="s">
        <v>3073</v>
      </c>
      <c r="H126" s="4" t="s">
        <v>3074</v>
      </c>
      <c r="I126" s="4" t="s">
        <v>3075</v>
      </c>
      <c r="J126" s="5">
        <v>11926</v>
      </c>
      <c r="K126" s="5">
        <v>14990</v>
      </c>
      <c r="L126" s="4" t="s">
        <v>3076</v>
      </c>
      <c r="M126" s="3">
        <v>1</v>
      </c>
      <c r="N126" s="3"/>
      <c r="O126" s="4"/>
    </row>
    <row r="127" spans="1:15" ht="75" x14ac:dyDescent="0.25">
      <c r="A127" s="4" t="s">
        <v>3077</v>
      </c>
      <c r="B127" s="3">
        <v>182631</v>
      </c>
      <c r="C127" s="3">
        <v>154973</v>
      </c>
      <c r="D127" s="4" t="s">
        <v>3078</v>
      </c>
      <c r="E127" s="4" t="s">
        <v>3079</v>
      </c>
      <c r="F127" s="4"/>
      <c r="G127" s="4" t="s">
        <v>3080</v>
      </c>
      <c r="H127" s="4" t="s">
        <v>3081</v>
      </c>
      <c r="I127" s="4" t="s">
        <v>3082</v>
      </c>
      <c r="J127" s="5">
        <v>15102</v>
      </c>
      <c r="K127" s="5">
        <v>20090</v>
      </c>
      <c r="L127" s="4" t="s">
        <v>3083</v>
      </c>
      <c r="M127" s="3">
        <v>1</v>
      </c>
      <c r="N127" s="3"/>
      <c r="O127" s="4" t="s">
        <v>3084</v>
      </c>
    </row>
    <row r="128" spans="1:15" ht="75" x14ac:dyDescent="0.25">
      <c r="A128" s="4" t="s">
        <v>3085</v>
      </c>
      <c r="B128" s="3">
        <v>182676</v>
      </c>
      <c r="C128" s="3">
        <v>155064</v>
      </c>
      <c r="D128" s="4" t="s">
        <v>3086</v>
      </c>
      <c r="E128" s="4" t="s">
        <v>3087</v>
      </c>
      <c r="F128" s="4"/>
      <c r="G128" s="4" t="s">
        <v>3088</v>
      </c>
      <c r="H128" s="4" t="s">
        <v>3089</v>
      </c>
      <c r="I128" s="4" t="s">
        <v>3090</v>
      </c>
      <c r="J128" s="5">
        <v>13166</v>
      </c>
      <c r="K128" s="5">
        <v>16290</v>
      </c>
      <c r="L128" s="4" t="s">
        <v>3091</v>
      </c>
      <c r="M128" s="3">
        <v>1</v>
      </c>
      <c r="N128" s="3"/>
      <c r="O128" s="4" t="s">
        <v>3092</v>
      </c>
    </row>
    <row r="129" spans="1:15" ht="90" x14ac:dyDescent="0.25">
      <c r="A129" s="4" t="s">
        <v>3093</v>
      </c>
      <c r="B129" s="3">
        <v>259216</v>
      </c>
      <c r="C129" s="3">
        <v>208930</v>
      </c>
      <c r="D129" s="4" t="s">
        <v>3094</v>
      </c>
      <c r="E129" s="4" t="s">
        <v>3095</v>
      </c>
      <c r="F129" s="4"/>
      <c r="G129" s="4" t="s">
        <v>3096</v>
      </c>
      <c r="H129" s="4" t="s">
        <v>3097</v>
      </c>
      <c r="I129" s="4" t="s">
        <v>3098</v>
      </c>
      <c r="J129" s="5">
        <v>126</v>
      </c>
      <c r="K129" s="5">
        <v>379</v>
      </c>
      <c r="L129" s="4" t="s">
        <v>3099</v>
      </c>
      <c r="M129" s="3">
        <v>1</v>
      </c>
      <c r="N129" s="3">
        <v>2</v>
      </c>
      <c r="O129" s="4"/>
    </row>
    <row r="130" spans="1:15" ht="60" x14ac:dyDescent="0.25">
      <c r="A130" s="4" t="s">
        <v>3100</v>
      </c>
      <c r="B130" s="3">
        <v>182727</v>
      </c>
      <c r="C130" s="3">
        <v>152472</v>
      </c>
      <c r="D130" s="4" t="s">
        <v>3101</v>
      </c>
      <c r="E130" s="4" t="s">
        <v>3102</v>
      </c>
      <c r="F130" s="4"/>
      <c r="G130" s="4" t="s">
        <v>3103</v>
      </c>
      <c r="H130" s="4" t="s">
        <v>3104</v>
      </c>
      <c r="I130" s="4" t="s">
        <v>3105</v>
      </c>
      <c r="J130" s="5">
        <v>12200</v>
      </c>
      <c r="K130" s="5">
        <v>16190</v>
      </c>
      <c r="L130" s="4" t="s">
        <v>3106</v>
      </c>
      <c r="M130" s="3">
        <v>0</v>
      </c>
      <c r="N130" s="3"/>
      <c r="O130" s="4" t="s">
        <v>3107</v>
      </c>
    </row>
    <row r="131" spans="1:15" ht="105" x14ac:dyDescent="0.25">
      <c r="A131" s="4" t="s">
        <v>3108</v>
      </c>
      <c r="B131" s="3">
        <v>182754</v>
      </c>
      <c r="C131" s="3">
        <v>155254</v>
      </c>
      <c r="D131" s="4" t="s">
        <v>3109</v>
      </c>
      <c r="E131" s="4" t="s">
        <v>3110</v>
      </c>
      <c r="F131" s="4"/>
      <c r="G131" s="4" t="s">
        <v>3111</v>
      </c>
      <c r="H131" s="4" t="s">
        <v>3112</v>
      </c>
      <c r="I131" s="4" t="s">
        <v>3113</v>
      </c>
      <c r="J131" s="5">
        <v>20437</v>
      </c>
      <c r="K131" s="5">
        <v>25590</v>
      </c>
      <c r="L131" s="4" t="s">
        <v>3114</v>
      </c>
      <c r="M131" s="3">
        <v>1</v>
      </c>
      <c r="N131" s="3"/>
      <c r="O131" s="4" t="s">
        <v>3115</v>
      </c>
    </row>
    <row r="132" spans="1:15" ht="105" x14ac:dyDescent="0.25">
      <c r="A132" s="4" t="s">
        <v>3116</v>
      </c>
      <c r="B132" s="3">
        <v>182755</v>
      </c>
      <c r="C132" s="3">
        <v>155255</v>
      </c>
      <c r="D132" s="4" t="s">
        <v>3117</v>
      </c>
      <c r="E132" s="4" t="s">
        <v>3118</v>
      </c>
      <c r="F132" s="4"/>
      <c r="G132" s="4" t="s">
        <v>3119</v>
      </c>
      <c r="H132" s="4" t="s">
        <v>3120</v>
      </c>
      <c r="I132" s="4" t="s">
        <v>3121</v>
      </c>
      <c r="J132" s="5">
        <v>13381</v>
      </c>
      <c r="K132" s="5">
        <v>17790</v>
      </c>
      <c r="L132" s="4" t="s">
        <v>3122</v>
      </c>
      <c r="M132" s="3">
        <v>1</v>
      </c>
      <c r="N132" s="3"/>
      <c r="O132" s="4" t="s">
        <v>3123</v>
      </c>
    </row>
    <row r="133" spans="1:15" ht="90" x14ac:dyDescent="0.25">
      <c r="A133" s="4" t="s">
        <v>3124</v>
      </c>
      <c r="B133" s="3">
        <v>182772</v>
      </c>
      <c r="C133" s="3">
        <v>155288</v>
      </c>
      <c r="D133" s="4" t="s">
        <v>3125</v>
      </c>
      <c r="E133" s="4" t="s">
        <v>3126</v>
      </c>
      <c r="F133" s="4"/>
      <c r="G133" s="4" t="s">
        <v>3127</v>
      </c>
      <c r="H133" s="4" t="s">
        <v>3128</v>
      </c>
      <c r="I133" s="4" t="s">
        <v>3129</v>
      </c>
      <c r="J133" s="5">
        <v>19394</v>
      </c>
      <c r="K133" s="5">
        <v>25490</v>
      </c>
      <c r="L133" s="4" t="s">
        <v>3130</v>
      </c>
      <c r="M133" s="3">
        <v>1</v>
      </c>
      <c r="N133" s="3"/>
      <c r="O133" s="4" t="s">
        <v>3131</v>
      </c>
    </row>
    <row r="134" spans="1:15" ht="90" x14ac:dyDescent="0.25">
      <c r="A134" s="4" t="s">
        <v>3132</v>
      </c>
      <c r="B134" s="3">
        <v>182773</v>
      </c>
      <c r="C134" s="3">
        <v>155289</v>
      </c>
      <c r="D134" s="4" t="s">
        <v>3133</v>
      </c>
      <c r="E134" s="4" t="s">
        <v>3134</v>
      </c>
      <c r="F134" s="4"/>
      <c r="G134" s="4" t="s">
        <v>3135</v>
      </c>
      <c r="H134" s="4" t="s">
        <v>3136</v>
      </c>
      <c r="I134" s="4" t="s">
        <v>3137</v>
      </c>
      <c r="J134" s="5">
        <v>14429</v>
      </c>
      <c r="K134" s="5">
        <v>18090</v>
      </c>
      <c r="L134" s="4" t="s">
        <v>3138</v>
      </c>
      <c r="M134" s="3">
        <v>1</v>
      </c>
      <c r="N134" s="3"/>
      <c r="O134" s="4" t="s">
        <v>3139</v>
      </c>
    </row>
    <row r="135" spans="1:15" ht="60" x14ac:dyDescent="0.25">
      <c r="A135" s="4" t="s">
        <v>3140</v>
      </c>
      <c r="B135" s="3">
        <v>182805</v>
      </c>
      <c r="C135" s="3">
        <v>156020</v>
      </c>
      <c r="D135" s="4" t="s">
        <v>3141</v>
      </c>
      <c r="E135" s="4" t="s">
        <v>3142</v>
      </c>
      <c r="F135" s="4"/>
      <c r="G135" s="4" t="s">
        <v>3143</v>
      </c>
      <c r="H135" s="4" t="s">
        <v>3144</v>
      </c>
      <c r="I135" s="4" t="s">
        <v>3145</v>
      </c>
      <c r="J135" s="5">
        <v>7260</v>
      </c>
      <c r="K135" s="5">
        <v>9990</v>
      </c>
      <c r="L135" s="4" t="s">
        <v>3146</v>
      </c>
      <c r="M135" s="3">
        <v>0</v>
      </c>
      <c r="N135" s="3"/>
      <c r="O135" s="4" t="s">
        <v>3147</v>
      </c>
    </row>
    <row r="136" spans="1:15" ht="75" x14ac:dyDescent="0.25">
      <c r="A136" s="4" t="s">
        <v>3148</v>
      </c>
      <c r="B136" s="3">
        <v>249375</v>
      </c>
      <c r="C136" s="3">
        <v>155404</v>
      </c>
      <c r="D136" s="4" t="s">
        <v>3149</v>
      </c>
      <c r="E136" s="4" t="s">
        <v>3150</v>
      </c>
      <c r="F136" s="4"/>
      <c r="G136" s="4" t="s">
        <v>3151</v>
      </c>
      <c r="H136" s="4" t="s">
        <v>3152</v>
      </c>
      <c r="I136" s="4" t="s">
        <v>3153</v>
      </c>
      <c r="J136" s="5">
        <v>27024</v>
      </c>
      <c r="K136" s="5">
        <v>35890</v>
      </c>
      <c r="L136" s="4" t="s">
        <v>3154</v>
      </c>
      <c r="M136" s="3">
        <v>1</v>
      </c>
      <c r="N136" s="3"/>
      <c r="O136" s="4" t="s">
        <v>3155</v>
      </c>
    </row>
    <row r="137" spans="1:15" ht="75" x14ac:dyDescent="0.25">
      <c r="A137" s="4" t="s">
        <v>3156</v>
      </c>
      <c r="B137" s="3">
        <v>249388</v>
      </c>
      <c r="C137" s="3">
        <v>194822</v>
      </c>
      <c r="D137" s="4" t="s">
        <v>3157</v>
      </c>
      <c r="E137" s="4" t="s">
        <v>3158</v>
      </c>
      <c r="F137" s="4"/>
      <c r="G137" s="4" t="s">
        <v>3159</v>
      </c>
      <c r="H137" s="4" t="s">
        <v>3160</v>
      </c>
      <c r="I137" s="4" t="s">
        <v>3161</v>
      </c>
      <c r="J137" s="5">
        <v>24787</v>
      </c>
      <c r="K137" s="5">
        <v>32690</v>
      </c>
      <c r="L137" s="4" t="s">
        <v>3162</v>
      </c>
      <c r="M137" s="3">
        <v>1</v>
      </c>
      <c r="N137" s="3"/>
      <c r="O137" s="4" t="s">
        <v>3163</v>
      </c>
    </row>
    <row r="138" spans="1:15" ht="75" x14ac:dyDescent="0.25">
      <c r="A138" s="4" t="s">
        <v>3164</v>
      </c>
      <c r="B138" s="3">
        <v>249401</v>
      </c>
      <c r="C138" s="3">
        <v>157202</v>
      </c>
      <c r="D138" s="4" t="s">
        <v>3165</v>
      </c>
      <c r="E138" s="4" t="s">
        <v>3166</v>
      </c>
      <c r="F138" s="4"/>
      <c r="G138" s="4" t="s">
        <v>3167</v>
      </c>
      <c r="H138" s="4" t="s">
        <v>3168</v>
      </c>
      <c r="I138" s="4" t="s">
        <v>3169</v>
      </c>
      <c r="J138" s="5">
        <v>24661</v>
      </c>
      <c r="K138" s="5">
        <v>30690</v>
      </c>
      <c r="L138" s="4" t="s">
        <v>3170</v>
      </c>
      <c r="M138" s="3">
        <v>1</v>
      </c>
      <c r="N138" s="3"/>
      <c r="O138" s="4" t="s">
        <v>3171</v>
      </c>
    </row>
    <row r="139" spans="1:15" ht="90" x14ac:dyDescent="0.25">
      <c r="A139" s="4" t="s">
        <v>3172</v>
      </c>
      <c r="B139" s="3">
        <v>249419</v>
      </c>
      <c r="C139" s="3">
        <v>194319</v>
      </c>
      <c r="D139" s="4" t="s">
        <v>3173</v>
      </c>
      <c r="E139" s="4" t="s">
        <v>3174</v>
      </c>
      <c r="F139" s="4"/>
      <c r="G139" s="4" t="s">
        <v>3175</v>
      </c>
      <c r="H139" s="4" t="s">
        <v>3176</v>
      </c>
      <c r="I139" s="4" t="s">
        <v>3177</v>
      </c>
      <c r="J139" s="5">
        <v>25962</v>
      </c>
      <c r="K139" s="5">
        <v>32490</v>
      </c>
      <c r="L139" s="4" t="s">
        <v>3178</v>
      </c>
      <c r="M139" s="3">
        <v>1</v>
      </c>
      <c r="N139" s="3"/>
      <c r="O139" s="4" t="s">
        <v>3179</v>
      </c>
    </row>
    <row r="140" spans="1:15" ht="105" x14ac:dyDescent="0.25">
      <c r="A140" s="4" t="s">
        <v>3180</v>
      </c>
      <c r="B140" s="3">
        <v>182881</v>
      </c>
      <c r="C140" s="3">
        <v>153731</v>
      </c>
      <c r="D140" s="4" t="s">
        <v>3181</v>
      </c>
      <c r="E140" s="4" t="s">
        <v>3182</v>
      </c>
      <c r="F140" s="4"/>
      <c r="G140" s="4" t="s">
        <v>3183</v>
      </c>
      <c r="H140" s="4" t="s">
        <v>3184</v>
      </c>
      <c r="I140" s="4" t="s">
        <v>3185</v>
      </c>
      <c r="J140" s="5">
        <v>10954</v>
      </c>
      <c r="K140" s="5">
        <v>15290</v>
      </c>
      <c r="L140" s="4" t="s">
        <v>3186</v>
      </c>
      <c r="M140" s="3">
        <v>1</v>
      </c>
      <c r="N140" s="3"/>
      <c r="O140" s="4" t="s">
        <v>3187</v>
      </c>
    </row>
    <row r="141" spans="1:15" ht="105" x14ac:dyDescent="0.25">
      <c r="A141" s="4" t="s">
        <v>3188</v>
      </c>
      <c r="B141" s="3">
        <v>182882</v>
      </c>
      <c r="C141" s="3">
        <v>153732</v>
      </c>
      <c r="D141" s="4" t="s">
        <v>3189</v>
      </c>
      <c r="E141" s="4" t="s">
        <v>3190</v>
      </c>
      <c r="F141" s="4"/>
      <c r="G141" s="4" t="s">
        <v>3191</v>
      </c>
      <c r="H141" s="4" t="s">
        <v>3192</v>
      </c>
      <c r="I141" s="4" t="s">
        <v>3193</v>
      </c>
      <c r="J141" s="5">
        <v>10954</v>
      </c>
      <c r="K141" s="5">
        <v>15290</v>
      </c>
      <c r="L141" s="4" t="s">
        <v>3194</v>
      </c>
      <c r="M141" s="3">
        <v>1</v>
      </c>
      <c r="N141" s="3"/>
      <c r="O141" s="4" t="s">
        <v>3195</v>
      </c>
    </row>
    <row r="142" spans="1:15" ht="90" x14ac:dyDescent="0.25">
      <c r="A142" s="4" t="s">
        <v>3196</v>
      </c>
      <c r="B142" s="3">
        <v>182926</v>
      </c>
      <c r="C142" s="3">
        <v>155626</v>
      </c>
      <c r="D142" s="4" t="s">
        <v>3197</v>
      </c>
      <c r="E142" s="4" t="s">
        <v>3198</v>
      </c>
      <c r="F142" s="4"/>
      <c r="G142" s="4" t="s">
        <v>3199</v>
      </c>
      <c r="H142" s="4" t="s">
        <v>3200</v>
      </c>
      <c r="I142" s="4" t="s">
        <v>3201</v>
      </c>
      <c r="J142" s="5">
        <v>11378</v>
      </c>
      <c r="K142" s="5">
        <v>15190</v>
      </c>
      <c r="L142" s="4" t="s">
        <v>3202</v>
      </c>
      <c r="M142" s="3">
        <v>1</v>
      </c>
      <c r="N142" s="3"/>
      <c r="O142" s="4" t="s">
        <v>3203</v>
      </c>
    </row>
    <row r="143" spans="1:15" ht="75" x14ac:dyDescent="0.25">
      <c r="A143" s="4" t="s">
        <v>3204</v>
      </c>
      <c r="B143" s="3">
        <v>182958</v>
      </c>
      <c r="C143" s="3">
        <v>156380</v>
      </c>
      <c r="D143" s="4" t="s">
        <v>3205</v>
      </c>
      <c r="E143" s="4" t="s">
        <v>3206</v>
      </c>
      <c r="F143" s="4"/>
      <c r="G143" s="4" t="s">
        <v>3207</v>
      </c>
      <c r="H143" s="4" t="s">
        <v>3208</v>
      </c>
      <c r="I143" s="4" t="s">
        <v>3209</v>
      </c>
      <c r="J143" s="5">
        <v>13394</v>
      </c>
      <c r="K143" s="5">
        <v>17390</v>
      </c>
      <c r="L143" s="4" t="s">
        <v>3210</v>
      </c>
      <c r="M143" s="3">
        <v>1</v>
      </c>
      <c r="N143" s="3"/>
      <c r="O143" s="4" t="s">
        <v>3211</v>
      </c>
    </row>
    <row r="144" spans="1:15" ht="90" x14ac:dyDescent="0.25">
      <c r="A144" s="4" t="s">
        <v>3212</v>
      </c>
      <c r="B144" s="3">
        <v>182974</v>
      </c>
      <c r="C144" s="3">
        <v>157162</v>
      </c>
      <c r="D144" s="4" t="s">
        <v>3213</v>
      </c>
      <c r="E144" s="4" t="s">
        <v>3214</v>
      </c>
      <c r="F144" s="4"/>
      <c r="G144" s="4" t="s">
        <v>3215</v>
      </c>
      <c r="H144" s="4" t="s">
        <v>3216</v>
      </c>
      <c r="I144" s="4" t="s">
        <v>3217</v>
      </c>
      <c r="J144" s="5">
        <v>33308</v>
      </c>
      <c r="K144" s="5">
        <v>44190</v>
      </c>
      <c r="L144" s="4" t="s">
        <v>3218</v>
      </c>
      <c r="M144" s="3">
        <v>1</v>
      </c>
      <c r="N144" s="3"/>
      <c r="O144" s="4" t="s">
        <v>3219</v>
      </c>
    </row>
    <row r="145" spans="1:15" ht="75" x14ac:dyDescent="0.25">
      <c r="A145" s="4" t="s">
        <v>3220</v>
      </c>
      <c r="B145" s="3">
        <v>182992</v>
      </c>
      <c r="C145" s="3">
        <v>156209</v>
      </c>
      <c r="D145" s="4" t="s">
        <v>3221</v>
      </c>
      <c r="E145" s="4" t="s">
        <v>3222</v>
      </c>
      <c r="F145" s="4"/>
      <c r="G145" s="4" t="s">
        <v>3223</v>
      </c>
      <c r="H145" s="4" t="s">
        <v>3224</v>
      </c>
      <c r="I145" s="4" t="s">
        <v>3225</v>
      </c>
      <c r="J145" s="5">
        <v>26372</v>
      </c>
      <c r="K145" s="5">
        <v>34990</v>
      </c>
      <c r="L145" s="4" t="s">
        <v>3226</v>
      </c>
      <c r="M145" s="3">
        <v>1</v>
      </c>
      <c r="N145" s="3"/>
      <c r="O145" s="4" t="s">
        <v>3227</v>
      </c>
    </row>
    <row r="146" spans="1:15" ht="90" x14ac:dyDescent="0.25">
      <c r="A146" s="4" t="s">
        <v>3228</v>
      </c>
      <c r="B146" s="3">
        <v>183010</v>
      </c>
      <c r="C146" s="3">
        <v>157062</v>
      </c>
      <c r="D146" s="4" t="s">
        <v>3229</v>
      </c>
      <c r="E146" s="4" t="s">
        <v>3230</v>
      </c>
      <c r="F146" s="4"/>
      <c r="G146" s="4" t="s">
        <v>3231</v>
      </c>
      <c r="H146" s="4" t="s">
        <v>3232</v>
      </c>
      <c r="I146" s="4" t="s">
        <v>3233</v>
      </c>
      <c r="J146" s="5">
        <v>12034</v>
      </c>
      <c r="K146" s="5">
        <v>23490</v>
      </c>
      <c r="L146" s="4" t="s">
        <v>3234</v>
      </c>
      <c r="M146" s="3">
        <v>1</v>
      </c>
      <c r="N146" s="3"/>
      <c r="O146" s="4" t="s">
        <v>3235</v>
      </c>
    </row>
    <row r="147" spans="1:15" ht="90" x14ac:dyDescent="0.25">
      <c r="A147" s="4" t="s">
        <v>3236</v>
      </c>
      <c r="B147" s="3">
        <v>183011</v>
      </c>
      <c r="C147" s="3">
        <v>157063</v>
      </c>
      <c r="D147" s="4" t="s">
        <v>3237</v>
      </c>
      <c r="E147" s="4" t="s">
        <v>3238</v>
      </c>
      <c r="F147" s="4"/>
      <c r="G147" s="4" t="s">
        <v>3239</v>
      </c>
      <c r="H147" s="4" t="s">
        <v>3240</v>
      </c>
      <c r="I147" s="4" t="s">
        <v>3241</v>
      </c>
      <c r="J147" s="5">
        <v>14718</v>
      </c>
      <c r="K147" s="5">
        <v>18390</v>
      </c>
      <c r="L147" s="4" t="s">
        <v>3242</v>
      </c>
      <c r="M147" s="3">
        <v>1</v>
      </c>
      <c r="N147" s="3"/>
      <c r="O147" s="4" t="s">
        <v>3243</v>
      </c>
    </row>
    <row r="148" spans="1:15" ht="90" x14ac:dyDescent="0.25">
      <c r="A148" s="4" t="s">
        <v>3244</v>
      </c>
      <c r="B148" s="3">
        <v>183043</v>
      </c>
      <c r="C148" s="3">
        <v>157096</v>
      </c>
      <c r="D148" s="4" t="s">
        <v>3245</v>
      </c>
      <c r="E148" s="4" t="s">
        <v>3246</v>
      </c>
      <c r="F148" s="4"/>
      <c r="G148" s="4" t="s">
        <v>3247</v>
      </c>
      <c r="H148" s="4" t="s">
        <v>3248</v>
      </c>
      <c r="I148" s="4" t="s">
        <v>3249</v>
      </c>
      <c r="J148" s="5">
        <v>20000</v>
      </c>
      <c r="K148" s="5">
        <v>25490</v>
      </c>
      <c r="L148" s="4" t="s">
        <v>3250</v>
      </c>
      <c r="M148" s="3">
        <v>1</v>
      </c>
      <c r="N148" s="3"/>
      <c r="O148" s="4" t="s">
        <v>3251</v>
      </c>
    </row>
    <row r="149" spans="1:15" ht="90" x14ac:dyDescent="0.25">
      <c r="A149" s="4" t="s">
        <v>3252</v>
      </c>
      <c r="B149" s="3">
        <v>183044</v>
      </c>
      <c r="C149" s="3">
        <v>157097</v>
      </c>
      <c r="D149" s="4" t="s">
        <v>3253</v>
      </c>
      <c r="E149" s="4" t="s">
        <v>3254</v>
      </c>
      <c r="F149" s="4"/>
      <c r="G149" s="4" t="s">
        <v>3255</v>
      </c>
      <c r="H149" s="4" t="s">
        <v>3256</v>
      </c>
      <c r="I149" s="4" t="s">
        <v>3257</v>
      </c>
      <c r="J149" s="5">
        <v>14680</v>
      </c>
      <c r="K149" s="5">
        <v>18390</v>
      </c>
      <c r="L149" s="4" t="s">
        <v>3258</v>
      </c>
      <c r="M149" s="3">
        <v>1</v>
      </c>
      <c r="N149" s="3"/>
      <c r="O149" s="4" t="s">
        <v>3259</v>
      </c>
    </row>
    <row r="150" spans="1:15" ht="60" x14ac:dyDescent="0.25">
      <c r="A150" s="4" t="s">
        <v>3260</v>
      </c>
      <c r="B150" s="3">
        <v>183076</v>
      </c>
      <c r="C150" s="3">
        <v>156060</v>
      </c>
      <c r="D150" s="4" t="s">
        <v>3261</v>
      </c>
      <c r="E150" s="4" t="s">
        <v>3262</v>
      </c>
      <c r="F150" s="4"/>
      <c r="G150" s="4" t="s">
        <v>3263</v>
      </c>
      <c r="H150" s="4" t="s">
        <v>3264</v>
      </c>
      <c r="I150" s="4" t="s">
        <v>3265</v>
      </c>
      <c r="J150" s="5">
        <v>12200</v>
      </c>
      <c r="K150" s="5">
        <v>16190</v>
      </c>
      <c r="L150" s="4" t="s">
        <v>3266</v>
      </c>
      <c r="M150" s="3">
        <v>0</v>
      </c>
      <c r="N150" s="3"/>
      <c r="O150" s="4" t="s">
        <v>3267</v>
      </c>
    </row>
    <row r="151" spans="1:15" ht="60" x14ac:dyDescent="0.25">
      <c r="A151" s="4" t="s">
        <v>3268</v>
      </c>
      <c r="B151" s="3">
        <v>183103</v>
      </c>
      <c r="C151" s="3">
        <v>156088</v>
      </c>
      <c r="D151" s="4" t="s">
        <v>3269</v>
      </c>
      <c r="E151" s="4" t="s">
        <v>3270</v>
      </c>
      <c r="F151" s="4"/>
      <c r="G151" s="4" t="s">
        <v>3271</v>
      </c>
      <c r="H151" s="4" t="s">
        <v>3272</v>
      </c>
      <c r="I151" s="4" t="s">
        <v>3273</v>
      </c>
      <c r="J151" s="5">
        <v>7334</v>
      </c>
      <c r="K151" s="5">
        <v>10090</v>
      </c>
      <c r="L151" s="4" t="s">
        <v>3274</v>
      </c>
      <c r="M151" s="3">
        <v>0</v>
      </c>
      <c r="N151" s="3"/>
      <c r="O151" s="4" t="s">
        <v>3275</v>
      </c>
    </row>
    <row r="152" spans="1:15" ht="75" x14ac:dyDescent="0.25">
      <c r="A152" s="4" t="s">
        <v>3276</v>
      </c>
      <c r="B152" s="3">
        <v>249437</v>
      </c>
      <c r="C152" s="3">
        <v>155450</v>
      </c>
      <c r="D152" s="4" t="s">
        <v>3277</v>
      </c>
      <c r="E152" s="4" t="s">
        <v>3278</v>
      </c>
      <c r="F152" s="4"/>
      <c r="G152" s="4" t="s">
        <v>3279</v>
      </c>
      <c r="H152" s="4" t="s">
        <v>3280</v>
      </c>
      <c r="I152" s="4" t="s">
        <v>3281</v>
      </c>
      <c r="J152" s="5">
        <v>39830</v>
      </c>
      <c r="K152" s="5">
        <v>52890</v>
      </c>
      <c r="L152" s="4" t="s">
        <v>3282</v>
      </c>
      <c r="M152" s="3">
        <v>0</v>
      </c>
      <c r="N152" s="3"/>
      <c r="O152" s="4" t="s">
        <v>3283</v>
      </c>
    </row>
    <row r="153" spans="1:15" ht="75" x14ac:dyDescent="0.25">
      <c r="A153" s="4" t="s">
        <v>3284</v>
      </c>
      <c r="B153" s="3">
        <v>249450</v>
      </c>
      <c r="C153" s="3">
        <v>194796</v>
      </c>
      <c r="D153" s="4" t="s">
        <v>3285</v>
      </c>
      <c r="E153" s="4" t="s">
        <v>3286</v>
      </c>
      <c r="F153" s="4"/>
      <c r="G153" s="4" t="s">
        <v>3287</v>
      </c>
      <c r="H153" s="4" t="s">
        <v>3288</v>
      </c>
      <c r="I153" s="4" t="s">
        <v>3289</v>
      </c>
      <c r="J153" s="5">
        <v>40021</v>
      </c>
      <c r="K153" s="5">
        <v>53090</v>
      </c>
      <c r="L153" s="4" t="s">
        <v>3290</v>
      </c>
      <c r="M153" s="3">
        <v>0</v>
      </c>
      <c r="N153" s="3"/>
      <c r="O153" s="4" t="s">
        <v>3291</v>
      </c>
    </row>
    <row r="154" spans="1:15" ht="75" x14ac:dyDescent="0.25">
      <c r="A154" s="4" t="s">
        <v>3292</v>
      </c>
      <c r="B154" s="3">
        <v>249463</v>
      </c>
      <c r="C154" s="3">
        <v>155417</v>
      </c>
      <c r="D154" s="4" t="s">
        <v>3293</v>
      </c>
      <c r="E154" s="4" t="s">
        <v>3294</v>
      </c>
      <c r="F154" s="4"/>
      <c r="G154" s="4" t="s">
        <v>3295</v>
      </c>
      <c r="H154" s="4" t="s">
        <v>3296</v>
      </c>
      <c r="I154" s="4" t="s">
        <v>3297</v>
      </c>
      <c r="J154" s="5">
        <v>24420</v>
      </c>
      <c r="K154" s="5">
        <v>30690</v>
      </c>
      <c r="L154" s="4" t="s">
        <v>3298</v>
      </c>
      <c r="M154" s="3">
        <v>1</v>
      </c>
      <c r="N154" s="3"/>
      <c r="O154" s="4"/>
    </row>
    <row r="155" spans="1:15" ht="90" x14ac:dyDescent="0.25">
      <c r="A155" s="4" t="s">
        <v>3299</v>
      </c>
      <c r="B155" s="3">
        <v>249481</v>
      </c>
      <c r="C155" s="3">
        <v>194298</v>
      </c>
      <c r="D155" s="4" t="s">
        <v>3300</v>
      </c>
      <c r="E155" s="4" t="s">
        <v>3301</v>
      </c>
      <c r="F155" s="4"/>
      <c r="G155" s="4" t="s">
        <v>3302</v>
      </c>
      <c r="H155" s="4" t="s">
        <v>3303</v>
      </c>
      <c r="I155" s="4" t="s">
        <v>3304</v>
      </c>
      <c r="J155" s="5">
        <v>24637</v>
      </c>
      <c r="K155" s="5">
        <v>30790</v>
      </c>
      <c r="L155" s="4" t="s">
        <v>3305</v>
      </c>
      <c r="M155" s="3">
        <v>1</v>
      </c>
      <c r="N155" s="3"/>
      <c r="O155" s="4" t="s">
        <v>3306</v>
      </c>
    </row>
    <row r="156" spans="1:15" ht="105" x14ac:dyDescent="0.25">
      <c r="A156" s="4" t="s">
        <v>3307</v>
      </c>
      <c r="B156" s="3">
        <v>183172</v>
      </c>
      <c r="C156" s="3">
        <v>157268</v>
      </c>
      <c r="D156" s="4" t="s">
        <v>3308</v>
      </c>
      <c r="E156" s="4" t="s">
        <v>3309</v>
      </c>
      <c r="F156" s="4"/>
      <c r="G156" s="4" t="s">
        <v>3310</v>
      </c>
      <c r="H156" s="4" t="s">
        <v>3311</v>
      </c>
      <c r="I156" s="4" t="s">
        <v>3312</v>
      </c>
      <c r="J156" s="5">
        <v>11171</v>
      </c>
      <c r="K156" s="5">
        <v>15290</v>
      </c>
      <c r="L156" s="4" t="s">
        <v>3313</v>
      </c>
      <c r="M156" s="3">
        <v>1</v>
      </c>
      <c r="N156" s="3"/>
      <c r="O156" s="4" t="s">
        <v>3314</v>
      </c>
    </row>
    <row r="157" spans="1:15" ht="105" x14ac:dyDescent="0.25">
      <c r="A157" s="4" t="s">
        <v>3315</v>
      </c>
      <c r="B157" s="3">
        <v>183173</v>
      </c>
      <c r="C157" s="3">
        <v>157269</v>
      </c>
      <c r="D157" s="4" t="s">
        <v>3316</v>
      </c>
      <c r="E157" s="4" t="s">
        <v>3317</v>
      </c>
      <c r="F157" s="4"/>
      <c r="G157" s="4" t="s">
        <v>3318</v>
      </c>
      <c r="H157" s="4" t="s">
        <v>3319</v>
      </c>
      <c r="I157" s="4" t="s">
        <v>3320</v>
      </c>
      <c r="J157" s="5">
        <v>10972</v>
      </c>
      <c r="K157" s="5">
        <v>15290</v>
      </c>
      <c r="L157" s="4" t="s">
        <v>3321</v>
      </c>
      <c r="M157" s="3">
        <v>1</v>
      </c>
      <c r="N157" s="3"/>
      <c r="O157" s="4" t="s">
        <v>3322</v>
      </c>
    </row>
    <row r="158" spans="1:15" ht="90" x14ac:dyDescent="0.25">
      <c r="A158" s="4" t="s">
        <v>3323</v>
      </c>
      <c r="B158" s="3">
        <v>183216</v>
      </c>
      <c r="C158" s="3">
        <v>155667</v>
      </c>
      <c r="D158" s="4" t="s">
        <v>3324</v>
      </c>
      <c r="E158" s="4" t="s">
        <v>3325</v>
      </c>
      <c r="F158" s="4"/>
      <c r="G158" s="4" t="s">
        <v>3326</v>
      </c>
      <c r="H158" s="4" t="s">
        <v>3327</v>
      </c>
      <c r="I158" s="4" t="s">
        <v>3328</v>
      </c>
      <c r="J158" s="5">
        <v>11378</v>
      </c>
      <c r="K158" s="5">
        <v>15190</v>
      </c>
      <c r="L158" s="4" t="s">
        <v>3329</v>
      </c>
      <c r="M158" s="3">
        <v>1</v>
      </c>
      <c r="N158" s="3"/>
      <c r="O158" s="4" t="s">
        <v>3330</v>
      </c>
    </row>
    <row r="159" spans="1:15" ht="75" x14ac:dyDescent="0.25">
      <c r="A159" s="4" t="s">
        <v>3331</v>
      </c>
      <c r="B159" s="3">
        <v>183255</v>
      </c>
      <c r="C159" s="3">
        <v>156397</v>
      </c>
      <c r="D159" s="4" t="s">
        <v>3332</v>
      </c>
      <c r="E159" s="4" t="s">
        <v>3333</v>
      </c>
      <c r="F159" s="4"/>
      <c r="G159" s="4" t="s">
        <v>3334</v>
      </c>
      <c r="H159" s="4" t="s">
        <v>3335</v>
      </c>
      <c r="I159" s="4" t="s">
        <v>3336</v>
      </c>
      <c r="J159" s="5">
        <v>13872</v>
      </c>
      <c r="K159" s="5">
        <v>17490</v>
      </c>
      <c r="L159" s="4" t="s">
        <v>3337</v>
      </c>
      <c r="M159" s="3">
        <v>1</v>
      </c>
      <c r="N159" s="3"/>
      <c r="O159" s="4" t="s">
        <v>3338</v>
      </c>
    </row>
    <row r="160" spans="1:15" ht="90" x14ac:dyDescent="0.25">
      <c r="A160" s="4" t="s">
        <v>3339</v>
      </c>
      <c r="B160" s="3">
        <v>183271</v>
      </c>
      <c r="C160" s="3">
        <v>157181</v>
      </c>
      <c r="D160" s="4" t="s">
        <v>3340</v>
      </c>
      <c r="E160" s="4" t="s">
        <v>3341</v>
      </c>
      <c r="F160" s="4"/>
      <c r="G160" s="4" t="s">
        <v>3342</v>
      </c>
      <c r="H160" s="4" t="s">
        <v>3343</v>
      </c>
      <c r="I160" s="4" t="s">
        <v>3344</v>
      </c>
      <c r="J160" s="5">
        <v>35779</v>
      </c>
      <c r="K160" s="5">
        <v>47490</v>
      </c>
      <c r="L160" s="4" t="s">
        <v>3345</v>
      </c>
      <c r="M160" s="3">
        <v>1</v>
      </c>
      <c r="N160" s="3"/>
      <c r="O160" s="4" t="s">
        <v>3346</v>
      </c>
    </row>
    <row r="161" spans="1:15" ht="75" x14ac:dyDescent="0.25">
      <c r="A161" s="4" t="s">
        <v>3347</v>
      </c>
      <c r="B161" s="3">
        <v>183289</v>
      </c>
      <c r="C161" s="3">
        <v>156227</v>
      </c>
      <c r="D161" s="4" t="s">
        <v>3348</v>
      </c>
      <c r="E161" s="4" t="s">
        <v>3349</v>
      </c>
      <c r="F161" s="4"/>
      <c r="G161" s="4" t="s">
        <v>3350</v>
      </c>
      <c r="H161" s="4" t="s">
        <v>3351</v>
      </c>
      <c r="I161" s="4" t="s">
        <v>3352</v>
      </c>
      <c r="J161" s="5">
        <v>15329</v>
      </c>
      <c r="K161" s="5">
        <v>20390</v>
      </c>
      <c r="L161" s="4" t="s">
        <v>3353</v>
      </c>
      <c r="M161" s="3">
        <v>1</v>
      </c>
      <c r="N161" s="3"/>
      <c r="O161" s="4" t="s">
        <v>3354</v>
      </c>
    </row>
    <row r="162" spans="1:15" ht="60" x14ac:dyDescent="0.25">
      <c r="A162" s="4" t="s">
        <v>3355</v>
      </c>
      <c r="B162" s="3">
        <v>162479</v>
      </c>
      <c r="C162" s="3">
        <v>152371</v>
      </c>
      <c r="D162" s="4" t="s">
        <v>3356</v>
      </c>
      <c r="E162" s="4" t="s">
        <v>3357</v>
      </c>
      <c r="F162" s="4"/>
      <c r="G162" s="4" t="s">
        <v>3358</v>
      </c>
      <c r="H162" s="4" t="s">
        <v>3359</v>
      </c>
      <c r="I162" s="4" t="s">
        <v>3360</v>
      </c>
      <c r="J162" s="5">
        <v>6794</v>
      </c>
      <c r="K162" s="5">
        <v>9390</v>
      </c>
      <c r="L162" s="4" t="s">
        <v>3361</v>
      </c>
      <c r="M162" s="3">
        <v>1</v>
      </c>
      <c r="N162" s="3"/>
      <c r="O162" s="4" t="s">
        <v>3362</v>
      </c>
    </row>
    <row r="163" spans="1:15" ht="60" x14ac:dyDescent="0.25">
      <c r="A163" s="4" t="s">
        <v>3363</v>
      </c>
      <c r="B163" s="3">
        <v>183314</v>
      </c>
      <c r="C163" s="3">
        <v>153254</v>
      </c>
      <c r="D163" s="4" t="s">
        <v>3364</v>
      </c>
      <c r="E163" s="4" t="s">
        <v>3365</v>
      </c>
      <c r="F163" s="4"/>
      <c r="G163" s="4" t="s">
        <v>3366</v>
      </c>
      <c r="H163" s="4" t="s">
        <v>3367</v>
      </c>
      <c r="I163" s="4" t="s">
        <v>3368</v>
      </c>
      <c r="J163" s="5">
        <v>11261</v>
      </c>
      <c r="K163" s="5">
        <v>14090</v>
      </c>
      <c r="L163" s="4" t="s">
        <v>3369</v>
      </c>
      <c r="M163" s="3">
        <v>1</v>
      </c>
      <c r="N163" s="3"/>
      <c r="O163" s="4" t="s">
        <v>3370</v>
      </c>
    </row>
    <row r="164" spans="1:15" ht="60" x14ac:dyDescent="0.25">
      <c r="A164" s="4" t="s">
        <v>3371</v>
      </c>
      <c r="B164" s="3">
        <v>183341</v>
      </c>
      <c r="C164" s="3">
        <v>152538</v>
      </c>
      <c r="D164" s="4" t="s">
        <v>3372</v>
      </c>
      <c r="E164" s="4" t="s">
        <v>3373</v>
      </c>
      <c r="F164" s="4"/>
      <c r="G164" s="4" t="s">
        <v>3374</v>
      </c>
      <c r="H164" s="4" t="s">
        <v>3375</v>
      </c>
      <c r="I164" s="4" t="s">
        <v>3376</v>
      </c>
      <c r="J164" s="5">
        <v>9000</v>
      </c>
      <c r="K164" s="5">
        <v>12390</v>
      </c>
      <c r="L164" s="4" t="s">
        <v>3377</v>
      </c>
      <c r="M164" s="3">
        <v>1</v>
      </c>
      <c r="N164" s="3">
        <v>1</v>
      </c>
      <c r="O164" s="4" t="s">
        <v>3378</v>
      </c>
    </row>
    <row r="165" spans="1:15" ht="75" x14ac:dyDescent="0.25">
      <c r="A165" s="4" t="s">
        <v>3379</v>
      </c>
      <c r="B165" s="3">
        <v>183368</v>
      </c>
      <c r="C165" s="3">
        <v>152503</v>
      </c>
      <c r="D165" s="4" t="s">
        <v>3380</v>
      </c>
      <c r="E165" s="4" t="s">
        <v>3381</v>
      </c>
      <c r="F165" s="4"/>
      <c r="G165" s="4" t="s">
        <v>3382</v>
      </c>
      <c r="H165" s="4" t="s">
        <v>3383</v>
      </c>
      <c r="I165" s="4" t="s">
        <v>3384</v>
      </c>
      <c r="J165" s="5">
        <v>9100</v>
      </c>
      <c r="K165" s="5">
        <v>12590</v>
      </c>
      <c r="L165" s="4" t="s">
        <v>3385</v>
      </c>
      <c r="M165" s="3">
        <v>0</v>
      </c>
      <c r="N165" s="3">
        <v>1</v>
      </c>
      <c r="O165" s="4"/>
    </row>
    <row r="166" spans="1:15" ht="90" x14ac:dyDescent="0.25">
      <c r="A166" s="4" t="s">
        <v>3386</v>
      </c>
      <c r="B166" s="3">
        <v>249500</v>
      </c>
      <c r="C166" s="3">
        <v>155436</v>
      </c>
      <c r="D166" s="4" t="s">
        <v>3387</v>
      </c>
      <c r="E166" s="4" t="s">
        <v>3388</v>
      </c>
      <c r="F166" s="4"/>
      <c r="G166" s="4" t="s">
        <v>3389</v>
      </c>
      <c r="H166" s="4" t="s">
        <v>3390</v>
      </c>
      <c r="I166" s="4" t="s">
        <v>3391</v>
      </c>
      <c r="J166" s="5">
        <v>27300</v>
      </c>
      <c r="K166" s="5">
        <v>36190</v>
      </c>
      <c r="L166" s="4" t="s">
        <v>3392</v>
      </c>
      <c r="M166" s="3">
        <v>0</v>
      </c>
      <c r="N166" s="3"/>
      <c r="O166" s="4" t="s">
        <v>3393</v>
      </c>
    </row>
    <row r="167" spans="1:15" ht="90" x14ac:dyDescent="0.25">
      <c r="A167" s="4" t="s">
        <v>3394</v>
      </c>
      <c r="B167" s="3">
        <v>249513</v>
      </c>
      <c r="C167" s="3">
        <v>194780</v>
      </c>
      <c r="D167" s="4" t="s">
        <v>3395</v>
      </c>
      <c r="E167" s="4" t="s">
        <v>3396</v>
      </c>
      <c r="F167" s="4"/>
      <c r="G167" s="4" t="s">
        <v>3397</v>
      </c>
      <c r="H167" s="4" t="s">
        <v>3398</v>
      </c>
      <c r="I167" s="4" t="s">
        <v>3399</v>
      </c>
      <c r="J167" s="5">
        <v>28377</v>
      </c>
      <c r="K167" s="5">
        <v>37690</v>
      </c>
      <c r="L167" s="4" t="s">
        <v>3400</v>
      </c>
      <c r="M167" s="3">
        <v>1</v>
      </c>
      <c r="N167" s="3"/>
      <c r="O167" s="4" t="s">
        <v>3401</v>
      </c>
    </row>
    <row r="168" spans="1:15" ht="60" x14ac:dyDescent="0.25">
      <c r="A168" s="4" t="s">
        <v>3402</v>
      </c>
      <c r="B168" s="3">
        <v>249526</v>
      </c>
      <c r="C168" s="3">
        <v>155320</v>
      </c>
      <c r="D168" s="4" t="s">
        <v>3403</v>
      </c>
      <c r="E168" s="4" t="s">
        <v>3404</v>
      </c>
      <c r="F168" s="4"/>
      <c r="G168" s="4" t="s">
        <v>3405</v>
      </c>
      <c r="H168" s="4" t="s">
        <v>3406</v>
      </c>
      <c r="I168" s="4" t="s">
        <v>3407</v>
      </c>
      <c r="J168" s="5">
        <v>24654</v>
      </c>
      <c r="K168" s="5">
        <v>33690</v>
      </c>
      <c r="L168" s="4" t="s">
        <v>3408</v>
      </c>
      <c r="M168" s="3">
        <v>1</v>
      </c>
      <c r="N168" s="3"/>
      <c r="O168" s="4" t="s">
        <v>3409</v>
      </c>
    </row>
    <row r="169" spans="1:15" ht="105" x14ac:dyDescent="0.25">
      <c r="A169" s="4" t="s">
        <v>3410</v>
      </c>
      <c r="B169" s="3">
        <v>183435</v>
      </c>
      <c r="C169" s="3">
        <v>154668</v>
      </c>
      <c r="D169" s="4" t="s">
        <v>3411</v>
      </c>
      <c r="E169" s="4" t="s">
        <v>3412</v>
      </c>
      <c r="F169" s="4"/>
      <c r="G169" s="4" t="s">
        <v>3413</v>
      </c>
      <c r="H169" s="4" t="s">
        <v>3414</v>
      </c>
      <c r="I169" s="4" t="s">
        <v>3415</v>
      </c>
      <c r="J169" s="5">
        <v>13100</v>
      </c>
      <c r="K169" s="5">
        <v>16190</v>
      </c>
      <c r="L169" s="4" t="s">
        <v>3416</v>
      </c>
      <c r="M169" s="3">
        <v>1</v>
      </c>
      <c r="N169" s="3"/>
      <c r="O169" s="4" t="s">
        <v>3417</v>
      </c>
    </row>
    <row r="170" spans="1:15" ht="105" x14ac:dyDescent="0.25">
      <c r="A170" s="4" t="s">
        <v>3418</v>
      </c>
      <c r="B170" s="3">
        <v>183436</v>
      </c>
      <c r="C170" s="3">
        <v>154669</v>
      </c>
      <c r="D170" s="4" t="s">
        <v>3419</v>
      </c>
      <c r="E170" s="4" t="s">
        <v>3420</v>
      </c>
      <c r="F170" s="4"/>
      <c r="G170" s="4" t="s">
        <v>3421</v>
      </c>
      <c r="H170" s="4" t="s">
        <v>3422</v>
      </c>
      <c r="I170" s="4" t="s">
        <v>3423</v>
      </c>
      <c r="J170" s="5">
        <v>11749</v>
      </c>
      <c r="K170" s="5">
        <v>14690</v>
      </c>
      <c r="L170" s="4" t="s">
        <v>3424</v>
      </c>
      <c r="M170" s="3">
        <v>1</v>
      </c>
      <c r="N170" s="3"/>
      <c r="O170" s="4" t="s">
        <v>3425</v>
      </c>
    </row>
    <row r="171" spans="1:15" ht="90" x14ac:dyDescent="0.25">
      <c r="A171" s="4" t="s">
        <v>3426</v>
      </c>
      <c r="B171" s="3">
        <v>183514</v>
      </c>
      <c r="C171" s="3">
        <v>157029</v>
      </c>
      <c r="D171" s="4" t="s">
        <v>3427</v>
      </c>
      <c r="E171" s="4" t="s">
        <v>3428</v>
      </c>
      <c r="F171" s="4"/>
      <c r="G171" s="4" t="s">
        <v>3429</v>
      </c>
      <c r="H171" s="4" t="s">
        <v>3430</v>
      </c>
      <c r="I171" s="4" t="s">
        <v>3431</v>
      </c>
      <c r="J171" s="5">
        <v>22500</v>
      </c>
      <c r="K171" s="5">
        <v>29890</v>
      </c>
      <c r="L171" s="4" t="s">
        <v>3432</v>
      </c>
      <c r="M171" s="3">
        <v>1</v>
      </c>
      <c r="N171" s="3"/>
      <c r="O171" s="4" t="s">
        <v>3433</v>
      </c>
    </row>
    <row r="172" spans="1:15" ht="90" x14ac:dyDescent="0.25">
      <c r="A172" s="4" t="s">
        <v>3434</v>
      </c>
      <c r="B172" s="3">
        <v>183515</v>
      </c>
      <c r="C172" s="3">
        <v>157030</v>
      </c>
      <c r="D172" s="4" t="s">
        <v>3435</v>
      </c>
      <c r="E172" s="4" t="s">
        <v>3436</v>
      </c>
      <c r="F172" s="4"/>
      <c r="G172" s="4" t="s">
        <v>3437</v>
      </c>
      <c r="H172" s="4" t="s">
        <v>3438</v>
      </c>
      <c r="I172" s="4" t="s">
        <v>3439</v>
      </c>
      <c r="J172" s="5">
        <v>13500</v>
      </c>
      <c r="K172" s="5">
        <v>17190</v>
      </c>
      <c r="L172" s="4" t="s">
        <v>3440</v>
      </c>
      <c r="M172" s="3">
        <v>0</v>
      </c>
      <c r="N172" s="3"/>
      <c r="O172" s="4" t="s">
        <v>3441</v>
      </c>
    </row>
    <row r="173" spans="1:15" ht="90" x14ac:dyDescent="0.25">
      <c r="A173" s="4" t="s">
        <v>3442</v>
      </c>
      <c r="B173" s="3">
        <v>183547</v>
      </c>
      <c r="C173" s="3">
        <v>156142</v>
      </c>
      <c r="D173" s="4" t="s">
        <v>3443</v>
      </c>
      <c r="E173" s="4" t="s">
        <v>3444</v>
      </c>
      <c r="F173" s="4"/>
      <c r="G173" s="4" t="s">
        <v>3445</v>
      </c>
      <c r="H173" s="4" t="s">
        <v>3446</v>
      </c>
      <c r="I173" s="4" t="s">
        <v>3447</v>
      </c>
      <c r="J173" s="5">
        <v>12135</v>
      </c>
      <c r="K173" s="5">
        <v>16790</v>
      </c>
      <c r="L173" s="4" t="s">
        <v>3448</v>
      </c>
      <c r="M173" s="3">
        <v>1</v>
      </c>
      <c r="N173" s="3"/>
      <c r="O173" s="4" t="s">
        <v>3449</v>
      </c>
    </row>
    <row r="174" spans="1:15" ht="90" x14ac:dyDescent="0.25">
      <c r="A174" s="4" t="s">
        <v>3450</v>
      </c>
      <c r="B174" s="3">
        <v>183563</v>
      </c>
      <c r="C174" s="3">
        <v>156159</v>
      </c>
      <c r="D174" s="4" t="s">
        <v>3451</v>
      </c>
      <c r="E174" s="4" t="s">
        <v>3452</v>
      </c>
      <c r="F174" s="4"/>
      <c r="G174" s="4" t="s">
        <v>3453</v>
      </c>
      <c r="H174" s="4" t="s">
        <v>3454</v>
      </c>
      <c r="I174" s="4" t="s">
        <v>3455</v>
      </c>
      <c r="J174" s="5">
        <v>10310</v>
      </c>
      <c r="K174" s="5">
        <v>17490</v>
      </c>
      <c r="L174" s="4" t="s">
        <v>3456</v>
      </c>
      <c r="M174" s="3">
        <v>1</v>
      </c>
      <c r="N174" s="3"/>
      <c r="O174" s="4" t="s">
        <v>3457</v>
      </c>
    </row>
    <row r="175" spans="1:15" ht="90" x14ac:dyDescent="0.25">
      <c r="A175" s="4" t="s">
        <v>3458</v>
      </c>
      <c r="B175" s="3">
        <v>183580</v>
      </c>
      <c r="C175" s="3">
        <v>156345</v>
      </c>
      <c r="D175" s="4" t="s">
        <v>3459</v>
      </c>
      <c r="E175" s="4" t="s">
        <v>3460</v>
      </c>
      <c r="F175" s="4"/>
      <c r="G175" s="4" t="s">
        <v>3461</v>
      </c>
      <c r="H175" s="4" t="s">
        <v>3462</v>
      </c>
      <c r="I175" s="4" t="s">
        <v>3463</v>
      </c>
      <c r="J175" s="5">
        <v>24669</v>
      </c>
      <c r="K175" s="5">
        <v>32790</v>
      </c>
      <c r="L175" s="4" t="s">
        <v>3464</v>
      </c>
      <c r="M175" s="3">
        <v>1</v>
      </c>
      <c r="N175" s="3"/>
      <c r="O175" s="4" t="s">
        <v>3465</v>
      </c>
    </row>
    <row r="176" spans="1:15" ht="90" x14ac:dyDescent="0.25">
      <c r="A176" s="4" t="s">
        <v>3466</v>
      </c>
      <c r="B176" s="3">
        <v>183598</v>
      </c>
      <c r="C176" s="3">
        <v>156247</v>
      </c>
      <c r="D176" s="4" t="s">
        <v>3467</v>
      </c>
      <c r="E176" s="4" t="s">
        <v>3468</v>
      </c>
      <c r="F176" s="4"/>
      <c r="G176" s="4" t="s">
        <v>3469</v>
      </c>
      <c r="H176" s="4" t="s">
        <v>3470</v>
      </c>
      <c r="I176" s="4" t="s">
        <v>3471</v>
      </c>
      <c r="J176" s="5">
        <v>19757</v>
      </c>
      <c r="K176" s="5">
        <v>26190</v>
      </c>
      <c r="L176" s="4" t="s">
        <v>3472</v>
      </c>
      <c r="M176" s="3">
        <v>1</v>
      </c>
      <c r="N176" s="3"/>
      <c r="O176" s="4" t="s">
        <v>3473</v>
      </c>
    </row>
    <row r="177" spans="1:15" ht="60" x14ac:dyDescent="0.25">
      <c r="A177" s="4" t="s">
        <v>3474</v>
      </c>
      <c r="B177" s="3">
        <v>183618</v>
      </c>
      <c r="C177" s="3">
        <v>152568</v>
      </c>
      <c r="D177" s="4" t="s">
        <v>3475</v>
      </c>
      <c r="E177" s="4" t="s">
        <v>3476</v>
      </c>
      <c r="F177" s="4"/>
      <c r="G177" s="4" t="s">
        <v>3477</v>
      </c>
      <c r="H177" s="4" t="s">
        <v>3478</v>
      </c>
      <c r="I177" s="4" t="s">
        <v>3479</v>
      </c>
      <c r="J177" s="5">
        <v>10400</v>
      </c>
      <c r="K177" s="5">
        <v>13790</v>
      </c>
      <c r="L177" s="4" t="s">
        <v>3480</v>
      </c>
      <c r="M177" s="3">
        <v>1</v>
      </c>
      <c r="N177" s="3"/>
      <c r="O177" s="4" t="s">
        <v>3481</v>
      </c>
    </row>
    <row r="178" spans="1:15" ht="60" x14ac:dyDescent="0.25">
      <c r="A178" s="4" t="s">
        <v>3482</v>
      </c>
      <c r="B178" s="3">
        <v>183645</v>
      </c>
      <c r="C178" s="3">
        <v>152596</v>
      </c>
      <c r="D178" s="4" t="s">
        <v>3483</v>
      </c>
      <c r="E178" s="4" t="s">
        <v>3484</v>
      </c>
      <c r="F178" s="4"/>
      <c r="G178" s="4" t="s">
        <v>3485</v>
      </c>
      <c r="H178" s="4" t="s">
        <v>3486</v>
      </c>
      <c r="I178" s="4" t="s">
        <v>3487</v>
      </c>
      <c r="J178" s="5">
        <v>7954</v>
      </c>
      <c r="K178" s="5">
        <v>10990</v>
      </c>
      <c r="L178" s="4" t="s">
        <v>3488</v>
      </c>
      <c r="M178" s="3">
        <v>1</v>
      </c>
      <c r="N178" s="3"/>
      <c r="O178" s="4" t="s">
        <v>3489</v>
      </c>
    </row>
    <row r="179" spans="1:15" ht="90" x14ac:dyDescent="0.25">
      <c r="A179" s="4" t="s">
        <v>3490</v>
      </c>
      <c r="B179" s="3">
        <v>249545</v>
      </c>
      <c r="C179" s="3">
        <v>155464</v>
      </c>
      <c r="D179" s="4" t="s">
        <v>3491</v>
      </c>
      <c r="E179" s="4" t="s">
        <v>3492</v>
      </c>
      <c r="F179" s="4"/>
      <c r="G179" s="4" t="s">
        <v>3493</v>
      </c>
      <c r="H179" s="4" t="s">
        <v>3494</v>
      </c>
      <c r="I179" s="4" t="s">
        <v>3495</v>
      </c>
      <c r="J179" s="5">
        <v>27700</v>
      </c>
      <c r="K179" s="5">
        <v>36790</v>
      </c>
      <c r="L179" s="4" t="s">
        <v>3496</v>
      </c>
      <c r="M179" s="3">
        <v>1</v>
      </c>
      <c r="N179" s="3"/>
      <c r="O179" s="4" t="s">
        <v>3497</v>
      </c>
    </row>
    <row r="180" spans="1:15" ht="90" x14ac:dyDescent="0.25">
      <c r="A180" s="4" t="s">
        <v>3498</v>
      </c>
      <c r="B180" s="3">
        <v>249558</v>
      </c>
      <c r="C180" s="3">
        <v>194764</v>
      </c>
      <c r="D180" s="4" t="s">
        <v>3499</v>
      </c>
      <c r="E180" s="4" t="s">
        <v>3500</v>
      </c>
      <c r="F180" s="4"/>
      <c r="G180" s="4" t="s">
        <v>3501</v>
      </c>
      <c r="H180" s="4" t="s">
        <v>3502</v>
      </c>
      <c r="I180" s="4" t="s">
        <v>3503</v>
      </c>
      <c r="J180" s="5">
        <v>25728</v>
      </c>
      <c r="K180" s="5">
        <v>32690</v>
      </c>
      <c r="L180" s="4" t="s">
        <v>3504</v>
      </c>
      <c r="M180" s="3">
        <v>1</v>
      </c>
      <c r="N180" s="3"/>
      <c r="O180" s="4" t="s">
        <v>3505</v>
      </c>
    </row>
    <row r="181" spans="1:15" ht="75" x14ac:dyDescent="0.25">
      <c r="A181" s="4" t="s">
        <v>3506</v>
      </c>
      <c r="B181" s="3">
        <v>249571</v>
      </c>
      <c r="C181" s="3">
        <v>157221</v>
      </c>
      <c r="D181" s="4" t="s">
        <v>3507</v>
      </c>
      <c r="E181" s="4" t="s">
        <v>3508</v>
      </c>
      <c r="F181" s="4"/>
      <c r="G181" s="4" t="s">
        <v>3509</v>
      </c>
      <c r="H181" s="4" t="s">
        <v>3510</v>
      </c>
      <c r="I181" s="4" t="s">
        <v>3511</v>
      </c>
      <c r="J181" s="5">
        <v>24903</v>
      </c>
      <c r="K181" s="5">
        <v>31190</v>
      </c>
      <c r="L181" s="4" t="s">
        <v>3512</v>
      </c>
      <c r="M181" s="3">
        <v>1</v>
      </c>
      <c r="N181" s="3">
        <v>1</v>
      </c>
      <c r="O181" s="4" t="s">
        <v>3513</v>
      </c>
    </row>
    <row r="182" spans="1:15" ht="120" x14ac:dyDescent="0.25">
      <c r="A182" s="4" t="s">
        <v>3514</v>
      </c>
      <c r="B182" s="3">
        <v>183713</v>
      </c>
      <c r="C182" s="3">
        <v>154747</v>
      </c>
      <c r="D182" s="4" t="s">
        <v>3515</v>
      </c>
      <c r="E182" s="4" t="s">
        <v>3516</v>
      </c>
      <c r="F182" s="4"/>
      <c r="G182" s="4" t="s">
        <v>3517</v>
      </c>
      <c r="H182" s="4" t="s">
        <v>3518</v>
      </c>
      <c r="I182" s="4" t="s">
        <v>3519</v>
      </c>
      <c r="J182" s="5">
        <v>12054</v>
      </c>
      <c r="K182" s="5">
        <v>16190</v>
      </c>
      <c r="L182" s="4" t="s">
        <v>3520</v>
      </c>
      <c r="M182" s="3">
        <v>1</v>
      </c>
      <c r="N182" s="3"/>
      <c r="O182" s="4" t="s">
        <v>3521</v>
      </c>
    </row>
    <row r="183" spans="1:15" ht="120" x14ac:dyDescent="0.25">
      <c r="A183" s="4" t="s">
        <v>3522</v>
      </c>
      <c r="B183" s="3">
        <v>183714</v>
      </c>
      <c r="C183" s="3">
        <v>154748</v>
      </c>
      <c r="D183" s="4" t="s">
        <v>3523</v>
      </c>
      <c r="E183" s="4" t="s">
        <v>3524</v>
      </c>
      <c r="F183" s="4"/>
      <c r="G183" s="4" t="s">
        <v>3525</v>
      </c>
      <c r="H183" s="4" t="s">
        <v>3526</v>
      </c>
      <c r="I183" s="4" t="s">
        <v>3527</v>
      </c>
      <c r="J183" s="5">
        <v>12864</v>
      </c>
      <c r="K183" s="5">
        <v>17090</v>
      </c>
      <c r="L183" s="4" t="s">
        <v>3528</v>
      </c>
      <c r="M183" s="3">
        <v>1</v>
      </c>
      <c r="N183" s="3"/>
      <c r="O183" s="4" t="s">
        <v>3529</v>
      </c>
    </row>
    <row r="184" spans="1:15" ht="90" x14ac:dyDescent="0.25">
      <c r="A184" s="4" t="s">
        <v>3530</v>
      </c>
      <c r="B184" s="3">
        <v>183790</v>
      </c>
      <c r="C184" s="3">
        <v>157129</v>
      </c>
      <c r="D184" s="4" t="s">
        <v>3531</v>
      </c>
      <c r="E184" s="4" t="s">
        <v>3532</v>
      </c>
      <c r="F184" s="4"/>
      <c r="G184" s="4" t="s">
        <v>3533</v>
      </c>
      <c r="H184" s="4" t="s">
        <v>3534</v>
      </c>
      <c r="I184" s="4" t="s">
        <v>3535</v>
      </c>
      <c r="J184" s="5">
        <v>20437</v>
      </c>
      <c r="K184" s="5">
        <v>25590</v>
      </c>
      <c r="L184" s="4" t="s">
        <v>3536</v>
      </c>
      <c r="M184" s="3">
        <v>1</v>
      </c>
      <c r="N184" s="3"/>
      <c r="O184" s="4" t="s">
        <v>3537</v>
      </c>
    </row>
    <row r="185" spans="1:15" ht="90" x14ac:dyDescent="0.25">
      <c r="A185" s="4" t="s">
        <v>3538</v>
      </c>
      <c r="B185" s="3">
        <v>183791</v>
      </c>
      <c r="C185" s="3">
        <v>157130</v>
      </c>
      <c r="D185" s="4" t="s">
        <v>3539</v>
      </c>
      <c r="E185" s="4" t="s">
        <v>3540</v>
      </c>
      <c r="F185" s="4"/>
      <c r="G185" s="4" t="s">
        <v>3541</v>
      </c>
      <c r="H185" s="4" t="s">
        <v>3542</v>
      </c>
      <c r="I185" s="4" t="s">
        <v>3543</v>
      </c>
      <c r="J185" s="5">
        <v>14718</v>
      </c>
      <c r="K185" s="5">
        <v>18390</v>
      </c>
      <c r="L185" s="4" t="s">
        <v>3544</v>
      </c>
      <c r="M185" s="3">
        <v>0</v>
      </c>
      <c r="N185" s="3"/>
      <c r="O185" s="4" t="s">
        <v>3545</v>
      </c>
    </row>
    <row r="186" spans="1:15" ht="90" x14ac:dyDescent="0.25">
      <c r="A186" s="4" t="s">
        <v>3546</v>
      </c>
      <c r="B186" s="3">
        <v>183823</v>
      </c>
      <c r="C186" s="3">
        <v>156176</v>
      </c>
      <c r="D186" s="4" t="s">
        <v>3547</v>
      </c>
      <c r="E186" s="4" t="s">
        <v>3548</v>
      </c>
      <c r="F186" s="4"/>
      <c r="G186" s="4" t="s">
        <v>3549</v>
      </c>
      <c r="H186" s="4" t="s">
        <v>3550</v>
      </c>
      <c r="I186" s="4" t="s">
        <v>3551</v>
      </c>
      <c r="J186" s="5">
        <v>10426</v>
      </c>
      <c r="K186" s="5">
        <v>16790</v>
      </c>
      <c r="L186" s="4" t="s">
        <v>3552</v>
      </c>
      <c r="M186" s="3">
        <v>1</v>
      </c>
      <c r="N186" s="3"/>
      <c r="O186" s="4" t="s">
        <v>3553</v>
      </c>
    </row>
    <row r="187" spans="1:15" ht="90" x14ac:dyDescent="0.25">
      <c r="A187" s="4" t="s">
        <v>3554</v>
      </c>
      <c r="B187" s="3">
        <v>183839</v>
      </c>
      <c r="C187" s="3">
        <v>156194</v>
      </c>
      <c r="D187" s="4" t="s">
        <v>3555</v>
      </c>
      <c r="E187" s="4" t="s">
        <v>3556</v>
      </c>
      <c r="F187" s="4"/>
      <c r="G187" s="4" t="s">
        <v>3557</v>
      </c>
      <c r="H187" s="4" t="s">
        <v>3558</v>
      </c>
      <c r="I187" s="4" t="s">
        <v>3559</v>
      </c>
      <c r="J187" s="5">
        <v>10308</v>
      </c>
      <c r="K187" s="5">
        <v>17490</v>
      </c>
      <c r="L187" s="4" t="s">
        <v>3560</v>
      </c>
      <c r="M187" s="3">
        <v>1</v>
      </c>
      <c r="N187" s="3"/>
      <c r="O187" s="4" t="s">
        <v>3561</v>
      </c>
    </row>
    <row r="188" spans="1:15" ht="90" x14ac:dyDescent="0.25">
      <c r="A188" s="4" t="s">
        <v>3562</v>
      </c>
      <c r="B188" s="3">
        <v>183856</v>
      </c>
      <c r="C188" s="3">
        <v>156363</v>
      </c>
      <c r="D188" s="4" t="s">
        <v>3563</v>
      </c>
      <c r="E188" s="4" t="s">
        <v>3564</v>
      </c>
      <c r="F188" s="4"/>
      <c r="G188" s="4" t="s">
        <v>3565</v>
      </c>
      <c r="H188" s="4" t="s">
        <v>3566</v>
      </c>
      <c r="I188" s="4" t="s">
        <v>3567</v>
      </c>
      <c r="J188" s="5">
        <v>18734</v>
      </c>
      <c r="K188" s="5">
        <v>24890</v>
      </c>
      <c r="L188" s="4" t="s">
        <v>3568</v>
      </c>
      <c r="M188" s="3">
        <v>1</v>
      </c>
      <c r="N188" s="3"/>
      <c r="O188" s="4" t="s">
        <v>3569</v>
      </c>
    </row>
    <row r="189" spans="1:15" ht="90" x14ac:dyDescent="0.25">
      <c r="A189" s="4" t="s">
        <v>3570</v>
      </c>
      <c r="B189" s="3">
        <v>183874</v>
      </c>
      <c r="C189" s="3">
        <v>156265</v>
      </c>
      <c r="D189" s="4" t="s">
        <v>3571</v>
      </c>
      <c r="E189" s="4" t="s">
        <v>3572</v>
      </c>
      <c r="F189" s="4"/>
      <c r="G189" s="4" t="s">
        <v>3573</v>
      </c>
      <c r="H189" s="4" t="s">
        <v>3574</v>
      </c>
      <c r="I189" s="4" t="s">
        <v>3575</v>
      </c>
      <c r="J189" s="5">
        <v>22398</v>
      </c>
      <c r="K189" s="5">
        <v>29690</v>
      </c>
      <c r="L189" s="4" t="s">
        <v>3576</v>
      </c>
      <c r="M189" s="3">
        <v>1</v>
      </c>
      <c r="N189" s="3"/>
      <c r="O189" s="4" t="s">
        <v>3577</v>
      </c>
    </row>
    <row r="190" spans="1:15" ht="60" x14ac:dyDescent="0.25">
      <c r="A190" s="4" t="s">
        <v>3578</v>
      </c>
      <c r="B190" s="3">
        <v>184093</v>
      </c>
      <c r="C190" s="3">
        <v>152179</v>
      </c>
      <c r="D190" s="4" t="s">
        <v>3579</v>
      </c>
      <c r="E190" s="4" t="s">
        <v>3580</v>
      </c>
      <c r="F190" s="4"/>
      <c r="G190" s="4" t="s">
        <v>3581</v>
      </c>
      <c r="H190" s="4" t="s">
        <v>3582</v>
      </c>
      <c r="I190" s="4" t="s">
        <v>3583</v>
      </c>
      <c r="J190" s="5">
        <v>5093</v>
      </c>
      <c r="K190" s="5">
        <v>8390</v>
      </c>
      <c r="L190" s="4" t="s">
        <v>3584</v>
      </c>
      <c r="M190" s="3">
        <v>1</v>
      </c>
      <c r="N190" s="3"/>
      <c r="O190" s="4" t="s">
        <v>3585</v>
      </c>
    </row>
    <row r="191" spans="1:15" ht="60" x14ac:dyDescent="0.25">
      <c r="A191" s="4" t="s">
        <v>3586</v>
      </c>
      <c r="B191" s="3">
        <v>184120</v>
      </c>
      <c r="C191" s="3">
        <v>152207</v>
      </c>
      <c r="D191" s="4" t="s">
        <v>3587</v>
      </c>
      <c r="E191" s="4" t="s">
        <v>3588</v>
      </c>
      <c r="F191" s="4"/>
      <c r="G191" s="4" t="s">
        <v>3589</v>
      </c>
      <c r="H191" s="4" t="s">
        <v>3590</v>
      </c>
      <c r="I191" s="4" t="s">
        <v>3591</v>
      </c>
      <c r="J191" s="5">
        <v>5093</v>
      </c>
      <c r="K191" s="5">
        <v>8390</v>
      </c>
      <c r="L191" s="4" t="s">
        <v>3592</v>
      </c>
      <c r="M191" s="3">
        <v>1</v>
      </c>
      <c r="N191" s="3"/>
      <c r="O191" s="4" t="s">
        <v>3593</v>
      </c>
    </row>
    <row r="192" spans="1:15" ht="60" x14ac:dyDescent="0.25">
      <c r="A192" s="4" t="s">
        <v>3594</v>
      </c>
      <c r="B192" s="3">
        <v>184167</v>
      </c>
      <c r="C192" s="3">
        <v>152085</v>
      </c>
      <c r="D192" s="4" t="s">
        <v>3595</v>
      </c>
      <c r="E192" s="4" t="s">
        <v>3596</v>
      </c>
      <c r="F192" s="4"/>
      <c r="G192" s="4" t="s">
        <v>3597</v>
      </c>
      <c r="H192" s="4" t="s">
        <v>3598</v>
      </c>
      <c r="I192" s="4" t="s">
        <v>3599</v>
      </c>
      <c r="J192" s="5">
        <v>2176</v>
      </c>
      <c r="K192" s="5">
        <v>3190</v>
      </c>
      <c r="L192" s="4" t="s">
        <v>3600</v>
      </c>
      <c r="M192" s="3">
        <v>1</v>
      </c>
      <c r="N192" s="3"/>
      <c r="O192" s="4" t="s">
        <v>3601</v>
      </c>
    </row>
    <row r="193" spans="1:15" ht="60" x14ac:dyDescent="0.25">
      <c r="A193" s="4" t="s">
        <v>3602</v>
      </c>
      <c r="B193" s="3">
        <v>184203</v>
      </c>
      <c r="C193" s="3">
        <v>152121</v>
      </c>
      <c r="D193" s="4" t="s">
        <v>3603</v>
      </c>
      <c r="E193" s="4" t="s">
        <v>3604</v>
      </c>
      <c r="F193" s="4"/>
      <c r="G193" s="4" t="s">
        <v>3605</v>
      </c>
      <c r="H193" s="4" t="s">
        <v>3606</v>
      </c>
      <c r="I193" s="4" t="s">
        <v>3607</v>
      </c>
      <c r="J193" s="5">
        <v>2176</v>
      </c>
      <c r="K193" s="5">
        <v>3190</v>
      </c>
      <c r="L193" s="4" t="s">
        <v>3608</v>
      </c>
      <c r="M193" s="3">
        <v>1</v>
      </c>
      <c r="N193" s="3"/>
      <c r="O193" s="4" t="s">
        <v>3609</v>
      </c>
    </row>
    <row r="194" spans="1:15" ht="60" x14ac:dyDescent="0.25">
      <c r="A194" s="4" t="s">
        <v>3610</v>
      </c>
      <c r="B194" s="3">
        <v>184538</v>
      </c>
      <c r="C194" s="3">
        <v>123194</v>
      </c>
      <c r="D194" s="4" t="s">
        <v>3611</v>
      </c>
      <c r="E194" s="4" t="s">
        <v>3612</v>
      </c>
      <c r="F194" s="4"/>
      <c r="G194" s="4" t="s">
        <v>3613</v>
      </c>
      <c r="H194" s="4" t="s">
        <v>3614</v>
      </c>
      <c r="I194" s="4" t="s">
        <v>3615</v>
      </c>
      <c r="J194" s="5">
        <v>5888</v>
      </c>
      <c r="K194" s="5">
        <v>8190</v>
      </c>
      <c r="L194" s="4" t="s">
        <v>3616</v>
      </c>
      <c r="M194" s="3">
        <v>1</v>
      </c>
      <c r="N194" s="3"/>
      <c r="O194" s="4" t="s">
        <v>3617</v>
      </c>
    </row>
    <row r="195" spans="1:15" ht="90" x14ac:dyDescent="0.25">
      <c r="A195" s="4" t="s">
        <v>3618</v>
      </c>
      <c r="B195" s="3">
        <v>249728</v>
      </c>
      <c r="C195" s="3">
        <v>173103</v>
      </c>
      <c r="D195" s="4" t="s">
        <v>3619</v>
      </c>
      <c r="E195" s="4" t="s">
        <v>3620</v>
      </c>
      <c r="F195" s="4"/>
      <c r="G195" s="4" t="s">
        <v>3621</v>
      </c>
      <c r="H195" s="4" t="s">
        <v>3622</v>
      </c>
      <c r="I195" s="4" t="s">
        <v>3623</v>
      </c>
      <c r="J195" s="5">
        <v>3880</v>
      </c>
      <c r="K195" s="5">
        <v>5390</v>
      </c>
      <c r="L195" s="4" t="s">
        <v>3624</v>
      </c>
      <c r="M195" s="3">
        <v>1</v>
      </c>
      <c r="N195" s="3"/>
      <c r="O195" s="4" t="s">
        <v>3625</v>
      </c>
    </row>
    <row r="196" spans="1:15" ht="60" x14ac:dyDescent="0.25">
      <c r="A196" s="4" t="s">
        <v>3626</v>
      </c>
      <c r="B196" s="3">
        <v>249759</v>
      </c>
      <c r="C196" s="3">
        <v>171270</v>
      </c>
      <c r="D196" s="4" t="s">
        <v>3627</v>
      </c>
      <c r="E196" s="4" t="s">
        <v>3628</v>
      </c>
      <c r="F196" s="4"/>
      <c r="G196" s="4" t="s">
        <v>3629</v>
      </c>
      <c r="H196" s="4" t="s">
        <v>3630</v>
      </c>
      <c r="I196" s="4" t="s">
        <v>3631</v>
      </c>
      <c r="J196" s="5">
        <v>6933</v>
      </c>
      <c r="K196" s="5">
        <v>9090</v>
      </c>
      <c r="L196" s="4" t="s">
        <v>3632</v>
      </c>
      <c r="M196" s="3">
        <v>1</v>
      </c>
      <c r="N196" s="3"/>
      <c r="O196" s="4" t="s">
        <v>3633</v>
      </c>
    </row>
    <row r="197" spans="1:15" ht="75" x14ac:dyDescent="0.25">
      <c r="A197" s="4" t="s">
        <v>3634</v>
      </c>
      <c r="B197" s="3">
        <v>249772</v>
      </c>
      <c r="C197" s="3">
        <v>173149</v>
      </c>
      <c r="D197" s="4" t="s">
        <v>3635</v>
      </c>
      <c r="E197" s="4" t="s">
        <v>3636</v>
      </c>
      <c r="F197" s="4"/>
      <c r="G197" s="4" t="s">
        <v>3637</v>
      </c>
      <c r="H197" s="4" t="s">
        <v>3638</v>
      </c>
      <c r="I197" s="4" t="s">
        <v>3639</v>
      </c>
      <c r="J197" s="5">
        <v>3551</v>
      </c>
      <c r="K197" s="5">
        <v>5090</v>
      </c>
      <c r="L197" s="4" t="s">
        <v>3640</v>
      </c>
      <c r="M197" s="3">
        <v>1</v>
      </c>
      <c r="N197" s="3"/>
      <c r="O197" s="4" t="s">
        <v>3641</v>
      </c>
    </row>
    <row r="198" spans="1:15" ht="90" x14ac:dyDescent="0.25">
      <c r="A198" s="4" t="s">
        <v>3642</v>
      </c>
      <c r="B198" s="3">
        <v>249784</v>
      </c>
      <c r="C198" s="3">
        <v>174847</v>
      </c>
      <c r="D198" s="4" t="s">
        <v>3643</v>
      </c>
      <c r="E198" s="4" t="s">
        <v>3644</v>
      </c>
      <c r="F198" s="4"/>
      <c r="G198" s="4" t="s">
        <v>3645</v>
      </c>
      <c r="H198" s="4" t="s">
        <v>3646</v>
      </c>
      <c r="I198" s="4" t="s">
        <v>3647</v>
      </c>
      <c r="J198" s="5">
        <v>3700</v>
      </c>
      <c r="K198" s="5">
        <v>4890</v>
      </c>
      <c r="L198" s="4" t="s">
        <v>3648</v>
      </c>
      <c r="M198" s="3">
        <v>1</v>
      </c>
      <c r="N198" s="3"/>
      <c r="O198" s="4" t="s">
        <v>3649</v>
      </c>
    </row>
    <row r="199" spans="1:15" ht="60" x14ac:dyDescent="0.25">
      <c r="A199" s="4" t="s">
        <v>3650</v>
      </c>
      <c r="B199" s="3">
        <v>249815</v>
      </c>
      <c r="C199" s="3">
        <v>173162</v>
      </c>
      <c r="D199" s="4" t="s">
        <v>3651</v>
      </c>
      <c r="E199" s="4" t="s">
        <v>3652</v>
      </c>
      <c r="F199" s="4"/>
      <c r="G199" s="4" t="s">
        <v>3653</v>
      </c>
      <c r="H199" s="4" t="s">
        <v>3654</v>
      </c>
      <c r="I199" s="4" t="s">
        <v>3655</v>
      </c>
      <c r="J199" s="5">
        <v>6923</v>
      </c>
      <c r="K199" s="5">
        <v>10290</v>
      </c>
      <c r="L199" s="4" t="s">
        <v>3656</v>
      </c>
      <c r="M199" s="3">
        <v>1</v>
      </c>
      <c r="N199" s="3"/>
      <c r="O199" s="4" t="s">
        <v>3657</v>
      </c>
    </row>
    <row r="200" spans="1:15" ht="60" x14ac:dyDescent="0.25">
      <c r="A200" s="4" t="s">
        <v>3658</v>
      </c>
      <c r="B200" s="3">
        <v>249828</v>
      </c>
      <c r="C200" s="3">
        <v>174342</v>
      </c>
      <c r="D200" s="4" t="s">
        <v>3659</v>
      </c>
      <c r="E200" s="4" t="s">
        <v>3660</v>
      </c>
      <c r="F200" s="4"/>
      <c r="G200" s="4" t="s">
        <v>3661</v>
      </c>
      <c r="H200" s="4" t="s">
        <v>3662</v>
      </c>
      <c r="I200" s="4" t="s">
        <v>3663</v>
      </c>
      <c r="J200" s="5">
        <v>4016</v>
      </c>
      <c r="K200" s="5">
        <v>5790</v>
      </c>
      <c r="L200" s="4" t="s">
        <v>3664</v>
      </c>
      <c r="M200" s="3">
        <v>1</v>
      </c>
      <c r="N200" s="3"/>
      <c r="O200" s="4" t="s">
        <v>3665</v>
      </c>
    </row>
    <row r="201" spans="1:15" ht="90" x14ac:dyDescent="0.25">
      <c r="A201" s="4" t="s">
        <v>3666</v>
      </c>
      <c r="B201" s="3">
        <v>249881</v>
      </c>
      <c r="C201" s="3">
        <v>170032</v>
      </c>
      <c r="D201" s="4" t="s">
        <v>3667</v>
      </c>
      <c r="E201" s="4" t="s">
        <v>3668</v>
      </c>
      <c r="F201" s="4"/>
      <c r="G201" s="4" t="s">
        <v>3669</v>
      </c>
      <c r="H201" s="4" t="s">
        <v>3670</v>
      </c>
      <c r="I201" s="4" t="s">
        <v>3671</v>
      </c>
      <c r="J201" s="5">
        <v>3690</v>
      </c>
      <c r="K201" s="5">
        <v>5090</v>
      </c>
      <c r="L201" s="4" t="s">
        <v>3672</v>
      </c>
      <c r="M201" s="3">
        <v>1</v>
      </c>
      <c r="N201" s="3"/>
      <c r="O201" s="4" t="s">
        <v>3673</v>
      </c>
    </row>
    <row r="202" spans="1:15" ht="90" x14ac:dyDescent="0.25">
      <c r="A202" s="4" t="s">
        <v>3674</v>
      </c>
      <c r="B202" s="3">
        <v>249882</v>
      </c>
      <c r="C202" s="3">
        <v>170033</v>
      </c>
      <c r="D202" s="4" t="s">
        <v>3675</v>
      </c>
      <c r="E202" s="4" t="s">
        <v>3676</v>
      </c>
      <c r="F202" s="4"/>
      <c r="G202" s="4" t="s">
        <v>3677</v>
      </c>
      <c r="H202" s="4" t="s">
        <v>3678</v>
      </c>
      <c r="I202" s="4" t="s">
        <v>3679</v>
      </c>
      <c r="J202" s="5">
        <v>3695</v>
      </c>
      <c r="K202" s="5">
        <v>5090</v>
      </c>
      <c r="L202" s="4" t="s">
        <v>3680</v>
      </c>
      <c r="M202" s="3">
        <v>1</v>
      </c>
      <c r="N202" s="3"/>
      <c r="O202" s="4" t="s">
        <v>3681</v>
      </c>
    </row>
    <row r="203" spans="1:15" ht="60" x14ac:dyDescent="0.25">
      <c r="A203" s="4" t="s">
        <v>3682</v>
      </c>
      <c r="B203" s="3">
        <v>249858</v>
      </c>
      <c r="C203" s="3">
        <v>173213</v>
      </c>
      <c r="D203" s="4" t="s">
        <v>3683</v>
      </c>
      <c r="E203" s="4" t="s">
        <v>3684</v>
      </c>
      <c r="F203" s="4"/>
      <c r="G203" s="4" t="s">
        <v>3685</v>
      </c>
      <c r="H203" s="4" t="s">
        <v>3686</v>
      </c>
      <c r="I203" s="4" t="s">
        <v>3687</v>
      </c>
      <c r="J203" s="5">
        <v>5600</v>
      </c>
      <c r="K203" s="5">
        <v>7790</v>
      </c>
      <c r="L203" s="4" t="s">
        <v>3688</v>
      </c>
      <c r="M203" s="3">
        <v>1</v>
      </c>
      <c r="N203" s="3"/>
      <c r="O203" s="4" t="s">
        <v>3689</v>
      </c>
    </row>
    <row r="204" spans="1:15" ht="90" x14ac:dyDescent="0.25">
      <c r="A204" s="4" t="s">
        <v>3690</v>
      </c>
      <c r="B204" s="3">
        <v>249936</v>
      </c>
      <c r="C204" s="3">
        <v>173280</v>
      </c>
      <c r="D204" s="4" t="s">
        <v>3691</v>
      </c>
      <c r="E204" s="4" t="s">
        <v>3692</v>
      </c>
      <c r="F204" s="4"/>
      <c r="G204" s="4" t="s">
        <v>3693</v>
      </c>
      <c r="H204" s="4" t="s">
        <v>3694</v>
      </c>
      <c r="I204" s="4" t="s">
        <v>3695</v>
      </c>
      <c r="J204" s="5">
        <v>2793</v>
      </c>
      <c r="K204" s="5">
        <v>4290</v>
      </c>
      <c r="L204" s="4" t="s">
        <v>3696</v>
      </c>
      <c r="M204" s="3">
        <v>1</v>
      </c>
      <c r="N204" s="3">
        <v>2</v>
      </c>
      <c r="O204" s="4" t="s">
        <v>3697</v>
      </c>
    </row>
    <row r="205" spans="1:15" ht="90" x14ac:dyDescent="0.25">
      <c r="A205" s="4" t="s">
        <v>3698</v>
      </c>
      <c r="B205" s="3">
        <v>249964</v>
      </c>
      <c r="C205" s="3">
        <v>173281</v>
      </c>
      <c r="D205" s="4" t="s">
        <v>3699</v>
      </c>
      <c r="E205" s="4" t="s">
        <v>3700</v>
      </c>
      <c r="F205" s="4"/>
      <c r="G205" s="4" t="s">
        <v>3701</v>
      </c>
      <c r="H205" s="4" t="s">
        <v>3702</v>
      </c>
      <c r="I205" s="4" t="s">
        <v>3703</v>
      </c>
      <c r="J205" s="5">
        <v>3390</v>
      </c>
      <c r="K205" s="5">
        <v>4290</v>
      </c>
      <c r="L205" s="4" t="s">
        <v>3704</v>
      </c>
      <c r="M205" s="3">
        <v>1</v>
      </c>
      <c r="N205" s="3"/>
      <c r="O205" s="4" t="s">
        <v>3705</v>
      </c>
    </row>
    <row r="206" spans="1:15" ht="90" x14ac:dyDescent="0.25">
      <c r="A206" s="4" t="s">
        <v>3706</v>
      </c>
      <c r="B206" s="3">
        <v>268326</v>
      </c>
      <c r="C206" s="3">
        <v>174314</v>
      </c>
      <c r="D206" s="4" t="s">
        <v>3707</v>
      </c>
      <c r="E206" s="4" t="s">
        <v>3708</v>
      </c>
      <c r="F206" s="4"/>
      <c r="G206" s="4" t="s">
        <v>3709</v>
      </c>
      <c r="H206" s="4" t="s">
        <v>3710</v>
      </c>
      <c r="I206" s="4" t="s">
        <v>3711</v>
      </c>
      <c r="J206" s="5">
        <v>1863</v>
      </c>
      <c r="K206" s="5">
        <v>3890</v>
      </c>
      <c r="L206" s="4" t="s">
        <v>3712</v>
      </c>
      <c r="M206" s="3">
        <v>1</v>
      </c>
      <c r="N206" s="3"/>
      <c r="O206" s="4" t="s">
        <v>3713</v>
      </c>
    </row>
    <row r="207" spans="1:15" ht="90" x14ac:dyDescent="0.25">
      <c r="A207" s="4" t="s">
        <v>3714</v>
      </c>
      <c r="B207" s="3">
        <v>268354</v>
      </c>
      <c r="C207" s="3">
        <v>216793</v>
      </c>
      <c r="D207" s="4" t="s">
        <v>3715</v>
      </c>
      <c r="E207" s="4" t="s">
        <v>3716</v>
      </c>
      <c r="F207" s="4"/>
      <c r="G207" s="4" t="s">
        <v>3717</v>
      </c>
      <c r="H207" s="4" t="s">
        <v>3718</v>
      </c>
      <c r="I207" s="4" t="s">
        <v>3719</v>
      </c>
      <c r="J207" s="5">
        <v>1568</v>
      </c>
      <c r="K207" s="5">
        <v>5090</v>
      </c>
      <c r="L207" s="4" t="s">
        <v>3720</v>
      </c>
      <c r="M207" s="3">
        <v>1</v>
      </c>
      <c r="N207" s="3"/>
      <c r="O207" s="4" t="s">
        <v>3721</v>
      </c>
    </row>
    <row r="208" spans="1:15" ht="75" x14ac:dyDescent="0.25">
      <c r="A208" s="4" t="s">
        <v>3722</v>
      </c>
      <c r="B208" s="3">
        <v>250020</v>
      </c>
      <c r="C208" s="3">
        <v>174245</v>
      </c>
      <c r="D208" s="4" t="s">
        <v>3723</v>
      </c>
      <c r="E208" s="4" t="s">
        <v>3724</v>
      </c>
      <c r="F208" s="4"/>
      <c r="G208" s="4" t="s">
        <v>3725</v>
      </c>
      <c r="H208" s="4" t="s">
        <v>3726</v>
      </c>
      <c r="I208" s="4" t="s">
        <v>3727</v>
      </c>
      <c r="J208" s="5">
        <v>2622</v>
      </c>
      <c r="K208" s="5">
        <v>4290</v>
      </c>
      <c r="L208" s="4" t="s">
        <v>3728</v>
      </c>
      <c r="M208" s="3">
        <v>1</v>
      </c>
      <c r="N208" s="3">
        <v>4</v>
      </c>
      <c r="O208" s="4"/>
    </row>
    <row r="209" spans="1:15" ht="45" x14ac:dyDescent="0.25">
      <c r="A209" s="4" t="s">
        <v>3729</v>
      </c>
      <c r="B209" s="3">
        <v>184838</v>
      </c>
      <c r="C209" s="3">
        <v>152408</v>
      </c>
      <c r="D209" s="4" t="s">
        <v>3730</v>
      </c>
      <c r="E209" s="4" t="s">
        <v>3731</v>
      </c>
      <c r="F209" s="4"/>
      <c r="G209" s="4" t="s">
        <v>3732</v>
      </c>
      <c r="H209" s="4" t="s">
        <v>3733</v>
      </c>
      <c r="I209" s="4" t="s">
        <v>3734</v>
      </c>
      <c r="J209" s="5">
        <v>7256</v>
      </c>
      <c r="K209" s="5">
        <v>9990</v>
      </c>
      <c r="L209" s="4" t="s">
        <v>3735</v>
      </c>
      <c r="M209" s="3">
        <v>1</v>
      </c>
      <c r="N209" s="3">
        <v>1</v>
      </c>
      <c r="O209" s="4" t="s">
        <v>3736</v>
      </c>
    </row>
    <row r="210" spans="1:15" ht="45" x14ac:dyDescent="0.25">
      <c r="A210" s="4" t="s">
        <v>3737</v>
      </c>
      <c r="B210" s="3">
        <v>184865</v>
      </c>
      <c r="C210" s="3">
        <v>152631</v>
      </c>
      <c r="D210" s="4" t="s">
        <v>3738</v>
      </c>
      <c r="E210" s="4" t="s">
        <v>3739</v>
      </c>
      <c r="F210" s="4"/>
      <c r="G210" s="4" t="s">
        <v>3740</v>
      </c>
      <c r="H210" s="4" t="s">
        <v>3741</v>
      </c>
      <c r="I210" s="4" t="s">
        <v>3742</v>
      </c>
      <c r="J210" s="5">
        <v>9317</v>
      </c>
      <c r="K210" s="5">
        <v>13290</v>
      </c>
      <c r="L210" s="4" t="s">
        <v>3743</v>
      </c>
      <c r="M210" s="3">
        <v>1</v>
      </c>
      <c r="N210" s="3"/>
      <c r="O210" s="4" t="s">
        <v>3744</v>
      </c>
    </row>
    <row r="211" spans="1:15" ht="60" x14ac:dyDescent="0.25">
      <c r="A211" s="4" t="s">
        <v>3745</v>
      </c>
      <c r="B211" s="3">
        <v>184892</v>
      </c>
      <c r="C211" s="3">
        <v>152437</v>
      </c>
      <c r="D211" s="4" t="s">
        <v>3746</v>
      </c>
      <c r="E211" s="4" t="s">
        <v>3747</v>
      </c>
      <c r="F211" s="4"/>
      <c r="G211" s="4" t="s">
        <v>3748</v>
      </c>
      <c r="H211" s="4" t="s">
        <v>3749</v>
      </c>
      <c r="I211" s="4" t="s">
        <v>3750</v>
      </c>
      <c r="J211" s="5">
        <v>6952</v>
      </c>
      <c r="K211" s="5">
        <v>9590</v>
      </c>
      <c r="L211" s="4" t="s">
        <v>3751</v>
      </c>
      <c r="M211" s="3">
        <v>1</v>
      </c>
      <c r="N211" s="3"/>
      <c r="O211" s="4" t="s">
        <v>3752</v>
      </c>
    </row>
    <row r="212" spans="1:15" ht="60" x14ac:dyDescent="0.25">
      <c r="A212" s="4" t="s">
        <v>3753</v>
      </c>
      <c r="B212" s="3">
        <v>184927</v>
      </c>
      <c r="C212" s="3">
        <v>155237</v>
      </c>
      <c r="D212" s="4" t="s">
        <v>3754</v>
      </c>
      <c r="E212" s="4" t="s">
        <v>3755</v>
      </c>
      <c r="F212" s="4"/>
      <c r="G212" s="4" t="s">
        <v>3756</v>
      </c>
      <c r="H212" s="4" t="s">
        <v>3757</v>
      </c>
      <c r="I212" s="4" t="s">
        <v>3758</v>
      </c>
      <c r="J212" s="5">
        <v>16970</v>
      </c>
      <c r="K212" s="5">
        <v>21690</v>
      </c>
      <c r="L212" s="4" t="s">
        <v>3759</v>
      </c>
      <c r="M212" s="3">
        <v>1</v>
      </c>
      <c r="N212" s="3"/>
      <c r="O212" s="4" t="s">
        <v>3760</v>
      </c>
    </row>
    <row r="213" spans="1:15" ht="45" x14ac:dyDescent="0.25">
      <c r="A213" s="4" t="s">
        <v>3761</v>
      </c>
      <c r="B213" s="3">
        <v>184941</v>
      </c>
      <c r="C213" s="3">
        <v>155109</v>
      </c>
      <c r="D213" s="4" t="s">
        <v>3762</v>
      </c>
      <c r="E213" s="4" t="s">
        <v>3763</v>
      </c>
      <c r="F213" s="4"/>
      <c r="G213" s="4" t="s">
        <v>3764</v>
      </c>
      <c r="H213" s="4" t="s">
        <v>3765</v>
      </c>
      <c r="I213" s="4" t="s">
        <v>3766</v>
      </c>
      <c r="J213" s="5">
        <v>15351</v>
      </c>
      <c r="K213" s="5">
        <v>20490</v>
      </c>
      <c r="L213" s="4" t="s">
        <v>3767</v>
      </c>
      <c r="M213" s="3">
        <v>1</v>
      </c>
      <c r="N213" s="3"/>
      <c r="O213" s="4" t="s">
        <v>3768</v>
      </c>
    </row>
    <row r="214" spans="1:15" ht="45" x14ac:dyDescent="0.25">
      <c r="A214" s="4" t="s">
        <v>3769</v>
      </c>
      <c r="B214" s="3">
        <v>184960</v>
      </c>
      <c r="C214" s="3">
        <v>153278</v>
      </c>
      <c r="D214" s="4" t="s">
        <v>3770</v>
      </c>
      <c r="E214" s="4" t="s">
        <v>3771</v>
      </c>
      <c r="F214" s="4"/>
      <c r="G214" s="4" t="s">
        <v>3772</v>
      </c>
      <c r="H214" s="4" t="s">
        <v>3773</v>
      </c>
      <c r="I214" s="4" t="s">
        <v>3774</v>
      </c>
      <c r="J214" s="5">
        <v>12240</v>
      </c>
      <c r="K214" s="5">
        <v>15290</v>
      </c>
      <c r="L214" s="4" t="s">
        <v>3775</v>
      </c>
      <c r="M214" s="3">
        <v>1</v>
      </c>
      <c r="N214" s="3">
        <v>1</v>
      </c>
      <c r="O214" s="4" t="s">
        <v>3776</v>
      </c>
    </row>
    <row r="215" spans="1:15" ht="45" x14ac:dyDescent="0.25">
      <c r="A215" s="4" t="s">
        <v>3777</v>
      </c>
      <c r="B215" s="3">
        <v>184973</v>
      </c>
      <c r="C215" s="3">
        <v>152659</v>
      </c>
      <c r="D215" s="4" t="s">
        <v>3778</v>
      </c>
      <c r="E215" s="4" t="s">
        <v>3779</v>
      </c>
      <c r="F215" s="4"/>
      <c r="G215" s="4" t="s">
        <v>3780</v>
      </c>
      <c r="H215" s="4" t="s">
        <v>3781</v>
      </c>
      <c r="I215" s="4" t="s">
        <v>3782</v>
      </c>
      <c r="J215" s="5">
        <v>11404</v>
      </c>
      <c r="K215" s="5">
        <v>15890</v>
      </c>
      <c r="L215" s="4" t="s">
        <v>3783</v>
      </c>
      <c r="M215" s="3">
        <v>1</v>
      </c>
      <c r="N215" s="3"/>
      <c r="O215" s="4" t="s">
        <v>3784</v>
      </c>
    </row>
    <row r="216" spans="1:15" ht="45" x14ac:dyDescent="0.25">
      <c r="A216" s="4" t="s">
        <v>3785</v>
      </c>
      <c r="B216" s="3">
        <v>185004</v>
      </c>
      <c r="C216" s="3">
        <v>152730</v>
      </c>
      <c r="D216" s="4" t="s">
        <v>3786</v>
      </c>
      <c r="E216" s="4" t="s">
        <v>3787</v>
      </c>
      <c r="F216" s="4"/>
      <c r="G216" s="4" t="s">
        <v>3788</v>
      </c>
      <c r="H216" s="4" t="s">
        <v>3789</v>
      </c>
      <c r="I216" s="4" t="s">
        <v>3790</v>
      </c>
      <c r="J216" s="5">
        <v>11150</v>
      </c>
      <c r="K216" s="5">
        <v>14290</v>
      </c>
      <c r="L216" s="4" t="s">
        <v>3791</v>
      </c>
      <c r="M216" s="3">
        <v>1</v>
      </c>
      <c r="N216" s="3"/>
      <c r="O216" s="4" t="s">
        <v>3792</v>
      </c>
    </row>
    <row r="217" spans="1:15" ht="45" x14ac:dyDescent="0.25">
      <c r="A217" s="4" t="s">
        <v>3793</v>
      </c>
      <c r="B217" s="3">
        <v>185044</v>
      </c>
      <c r="C217" s="3">
        <v>156000</v>
      </c>
      <c r="D217" s="4" t="s">
        <v>3794</v>
      </c>
      <c r="E217" s="4" t="s">
        <v>3795</v>
      </c>
      <c r="F217" s="4"/>
      <c r="G217" s="4" t="s">
        <v>3796</v>
      </c>
      <c r="H217" s="4" t="s">
        <v>3797</v>
      </c>
      <c r="I217" s="4" t="s">
        <v>3798</v>
      </c>
      <c r="J217" s="5">
        <v>6727</v>
      </c>
      <c r="K217" s="5">
        <v>9090</v>
      </c>
      <c r="L217" s="4" t="s">
        <v>3799</v>
      </c>
      <c r="M217" s="3">
        <v>1</v>
      </c>
      <c r="N217" s="3"/>
      <c r="O217" s="4"/>
    </row>
    <row r="218" spans="1:15" ht="45" x14ac:dyDescent="0.25">
      <c r="A218" s="4" t="s">
        <v>3800</v>
      </c>
      <c r="B218" s="3">
        <v>185061</v>
      </c>
      <c r="C218" s="3">
        <v>156126</v>
      </c>
      <c r="D218" s="4" t="s">
        <v>3801</v>
      </c>
      <c r="E218" s="4" t="s">
        <v>3802</v>
      </c>
      <c r="F218" s="4"/>
      <c r="G218" s="4" t="s">
        <v>3803</v>
      </c>
      <c r="H218" s="4" t="s">
        <v>3804</v>
      </c>
      <c r="I218" s="4" t="s">
        <v>3805</v>
      </c>
      <c r="J218" s="5">
        <v>10586</v>
      </c>
      <c r="K218" s="5">
        <v>14890</v>
      </c>
      <c r="L218" s="4" t="s">
        <v>3806</v>
      </c>
      <c r="M218" s="3">
        <v>1</v>
      </c>
      <c r="N218" s="3"/>
      <c r="O218" s="4" t="s">
        <v>3807</v>
      </c>
    </row>
    <row r="219" spans="1:15" ht="60" x14ac:dyDescent="0.25">
      <c r="A219" s="4" t="s">
        <v>3808</v>
      </c>
      <c r="B219" s="3">
        <v>250049</v>
      </c>
      <c r="C219" s="3">
        <v>175646</v>
      </c>
      <c r="D219" s="4" t="s">
        <v>3809</v>
      </c>
      <c r="E219" s="4" t="s">
        <v>3810</v>
      </c>
      <c r="F219" s="4"/>
      <c r="G219" s="4" t="s">
        <v>3811</v>
      </c>
      <c r="H219" s="4" t="s">
        <v>3812</v>
      </c>
      <c r="I219" s="4" t="s">
        <v>3813</v>
      </c>
      <c r="J219" s="5">
        <v>17269</v>
      </c>
      <c r="K219" s="5">
        <v>22890</v>
      </c>
      <c r="L219" s="4" t="s">
        <v>3814</v>
      </c>
      <c r="M219" s="3">
        <v>1</v>
      </c>
      <c r="N219" s="3"/>
      <c r="O219" s="4" t="s">
        <v>3815</v>
      </c>
    </row>
    <row r="220" spans="1:15" ht="45" x14ac:dyDescent="0.25">
      <c r="A220" s="4" t="s">
        <v>3816</v>
      </c>
      <c r="B220" s="3">
        <v>259264</v>
      </c>
      <c r="C220" s="3">
        <v>155706</v>
      </c>
      <c r="D220" s="4" t="s">
        <v>3817</v>
      </c>
      <c r="E220" s="4" t="s">
        <v>3818</v>
      </c>
      <c r="F220" s="4"/>
      <c r="G220" s="4" t="s">
        <v>3819</v>
      </c>
      <c r="H220" s="4" t="s">
        <v>3820</v>
      </c>
      <c r="I220" s="4" t="s">
        <v>3821</v>
      </c>
      <c r="J220" s="5">
        <v>18756</v>
      </c>
      <c r="K220" s="5">
        <v>24890</v>
      </c>
      <c r="L220" s="4" t="s">
        <v>3822</v>
      </c>
      <c r="M220" s="3">
        <v>1</v>
      </c>
      <c r="N220" s="3">
        <v>1</v>
      </c>
      <c r="O220" s="4"/>
    </row>
    <row r="221" spans="1:15" ht="45" x14ac:dyDescent="0.25">
      <c r="A221" s="4" t="s">
        <v>3823</v>
      </c>
      <c r="B221" s="3">
        <v>185077</v>
      </c>
      <c r="C221" s="3">
        <v>155127</v>
      </c>
      <c r="D221" s="4" t="s">
        <v>3824</v>
      </c>
      <c r="E221" s="4" t="s">
        <v>3825</v>
      </c>
      <c r="F221" s="4"/>
      <c r="G221" s="4" t="s">
        <v>3826</v>
      </c>
      <c r="H221" s="4" t="s">
        <v>3827</v>
      </c>
      <c r="I221" s="4" t="s">
        <v>3828</v>
      </c>
      <c r="J221" s="5">
        <v>10163</v>
      </c>
      <c r="K221" s="5">
        <v>19190</v>
      </c>
      <c r="L221" s="4" t="s">
        <v>3829</v>
      </c>
      <c r="M221" s="3">
        <v>1</v>
      </c>
      <c r="N221" s="3"/>
      <c r="O221" s="4" t="s">
        <v>3830</v>
      </c>
    </row>
    <row r="222" spans="1:15" ht="60" x14ac:dyDescent="0.25">
      <c r="A222" s="4" t="s">
        <v>3831</v>
      </c>
      <c r="B222" s="3">
        <v>250139</v>
      </c>
      <c r="C222" s="3">
        <v>174363</v>
      </c>
      <c r="D222" s="4" t="s">
        <v>3832</v>
      </c>
      <c r="E222" s="4" t="s">
        <v>3833</v>
      </c>
      <c r="F222" s="4"/>
      <c r="G222" s="4" t="s">
        <v>3834</v>
      </c>
      <c r="H222" s="4" t="s">
        <v>3835</v>
      </c>
      <c r="I222" s="4" t="s">
        <v>3836</v>
      </c>
      <c r="J222" s="5">
        <v>4099</v>
      </c>
      <c r="K222" s="5">
        <v>5490</v>
      </c>
      <c r="L222" s="4" t="s">
        <v>3837</v>
      </c>
      <c r="M222" s="3">
        <v>1</v>
      </c>
      <c r="N222" s="3"/>
      <c r="O222" s="4" t="s">
        <v>3838</v>
      </c>
    </row>
    <row r="223" spans="1:15" ht="60" x14ac:dyDescent="0.25">
      <c r="A223" s="4" t="s">
        <v>3839</v>
      </c>
      <c r="B223" s="3">
        <v>250169</v>
      </c>
      <c r="C223" s="3">
        <v>173338</v>
      </c>
      <c r="D223" s="4" t="s">
        <v>3840</v>
      </c>
      <c r="E223" s="4" t="s">
        <v>3841</v>
      </c>
      <c r="F223" s="4"/>
      <c r="G223" s="4" t="s">
        <v>3842</v>
      </c>
      <c r="H223" s="4" t="s">
        <v>3843</v>
      </c>
      <c r="I223" s="4" t="s">
        <v>3844</v>
      </c>
      <c r="J223" s="5">
        <v>1964</v>
      </c>
      <c r="K223" s="5">
        <v>3490</v>
      </c>
      <c r="L223" s="4" t="s">
        <v>3845</v>
      </c>
      <c r="M223" s="3">
        <v>1</v>
      </c>
      <c r="N223" s="3"/>
      <c r="O223" s="4" t="s">
        <v>3846</v>
      </c>
    </row>
    <row r="224" spans="1:15" ht="60" x14ac:dyDescent="0.25">
      <c r="A224" s="4" t="s">
        <v>3847</v>
      </c>
      <c r="B224" s="3">
        <v>250192</v>
      </c>
      <c r="C224" s="3">
        <v>173378</v>
      </c>
      <c r="D224" s="4" t="s">
        <v>3848</v>
      </c>
      <c r="E224" s="4" t="s">
        <v>3849</v>
      </c>
      <c r="F224" s="4"/>
      <c r="G224" s="4" t="s">
        <v>3850</v>
      </c>
      <c r="H224" s="4" t="s">
        <v>3851</v>
      </c>
      <c r="I224" s="4" t="s">
        <v>3852</v>
      </c>
      <c r="J224" s="5">
        <v>2678</v>
      </c>
      <c r="K224" s="5">
        <v>3490</v>
      </c>
      <c r="L224" s="4" t="s">
        <v>3853</v>
      </c>
      <c r="M224" s="3">
        <v>1</v>
      </c>
      <c r="N224" s="3"/>
      <c r="O224" s="4" t="s">
        <v>3854</v>
      </c>
    </row>
    <row r="225" spans="1:15" ht="60" x14ac:dyDescent="0.25">
      <c r="A225" s="4" t="s">
        <v>3855</v>
      </c>
      <c r="B225" s="3">
        <v>250215</v>
      </c>
      <c r="C225" s="3">
        <v>173365</v>
      </c>
      <c r="D225" s="4" t="s">
        <v>3856</v>
      </c>
      <c r="E225" s="4" t="s">
        <v>3857</v>
      </c>
      <c r="F225" s="4"/>
      <c r="G225" s="4" t="s">
        <v>3858</v>
      </c>
      <c r="H225" s="4" t="s">
        <v>3859</v>
      </c>
      <c r="I225" s="4" t="s">
        <v>3860</v>
      </c>
      <c r="J225" s="5">
        <v>3658</v>
      </c>
      <c r="K225" s="5">
        <v>5290</v>
      </c>
      <c r="L225" s="4" t="s">
        <v>3861</v>
      </c>
      <c r="M225" s="3">
        <v>1</v>
      </c>
      <c r="N225" s="3"/>
      <c r="O225" s="4" t="s">
        <v>3862</v>
      </c>
    </row>
    <row r="226" spans="1:15" ht="90" x14ac:dyDescent="0.25">
      <c r="A226" s="4" t="s">
        <v>3863</v>
      </c>
      <c r="B226" s="3">
        <v>250227</v>
      </c>
      <c r="C226" s="3">
        <v>175420</v>
      </c>
      <c r="D226" s="4" t="s">
        <v>3864</v>
      </c>
      <c r="E226" s="4" t="s">
        <v>3865</v>
      </c>
      <c r="F226" s="4"/>
      <c r="G226" s="4" t="s">
        <v>3866</v>
      </c>
      <c r="H226" s="4" t="s">
        <v>3867</v>
      </c>
      <c r="I226" s="4" t="s">
        <v>3868</v>
      </c>
      <c r="J226" s="5">
        <v>10300</v>
      </c>
      <c r="K226" s="5">
        <v>13690</v>
      </c>
      <c r="L226" s="4" t="s">
        <v>3869</v>
      </c>
      <c r="M226" s="3">
        <v>1</v>
      </c>
      <c r="N226" s="3"/>
      <c r="O226" s="4" t="s">
        <v>3870</v>
      </c>
    </row>
    <row r="227" spans="1:15" ht="105" x14ac:dyDescent="0.25">
      <c r="A227" s="4" t="s">
        <v>3871</v>
      </c>
      <c r="B227" s="3">
        <v>250244</v>
      </c>
      <c r="C227" s="3">
        <v>174029</v>
      </c>
      <c r="D227" s="4" t="s">
        <v>3872</v>
      </c>
      <c r="E227" s="4" t="s">
        <v>3873</v>
      </c>
      <c r="F227" s="4"/>
      <c r="G227" s="4" t="s">
        <v>3874</v>
      </c>
      <c r="H227" s="4" t="s">
        <v>3875</v>
      </c>
      <c r="I227" s="4" t="s">
        <v>3876</v>
      </c>
      <c r="J227" s="5">
        <v>3600</v>
      </c>
      <c r="K227" s="5">
        <v>5190</v>
      </c>
      <c r="L227" s="4" t="s">
        <v>3877</v>
      </c>
      <c r="M227" s="3">
        <v>1</v>
      </c>
      <c r="N227" s="3"/>
      <c r="O227" s="4" t="s">
        <v>3878</v>
      </c>
    </row>
    <row r="228" spans="1:15" ht="105" x14ac:dyDescent="0.25">
      <c r="A228" s="4" t="s">
        <v>3879</v>
      </c>
      <c r="B228" s="3">
        <v>250272</v>
      </c>
      <c r="C228" s="3">
        <v>174028</v>
      </c>
      <c r="D228" s="4" t="s">
        <v>3880</v>
      </c>
      <c r="E228" s="4" t="s">
        <v>3881</v>
      </c>
      <c r="F228" s="4"/>
      <c r="G228" s="4" t="s">
        <v>3882</v>
      </c>
      <c r="H228" s="4" t="s">
        <v>3883</v>
      </c>
      <c r="I228" s="4" t="s">
        <v>3884</v>
      </c>
      <c r="J228" s="5">
        <v>2678</v>
      </c>
      <c r="K228" s="5">
        <v>3890</v>
      </c>
      <c r="L228" s="4" t="s">
        <v>3885</v>
      </c>
      <c r="M228" s="3">
        <v>1</v>
      </c>
      <c r="N228" s="3">
        <v>2</v>
      </c>
      <c r="O228" s="4" t="s">
        <v>3886</v>
      </c>
    </row>
    <row r="229" spans="1:15" ht="75" x14ac:dyDescent="0.25">
      <c r="A229" s="4" t="s">
        <v>3887</v>
      </c>
      <c r="B229" s="3">
        <v>250300</v>
      </c>
      <c r="C229" s="3">
        <v>174384</v>
      </c>
      <c r="D229" s="4" t="s">
        <v>3888</v>
      </c>
      <c r="E229" s="4" t="s">
        <v>3889</v>
      </c>
      <c r="F229" s="4"/>
      <c r="G229" s="4" t="s">
        <v>3890</v>
      </c>
      <c r="H229" s="4" t="s">
        <v>3891</v>
      </c>
      <c r="I229" s="4" t="s">
        <v>3892</v>
      </c>
      <c r="J229" s="5">
        <v>1964</v>
      </c>
      <c r="K229" s="5">
        <v>3490</v>
      </c>
      <c r="L229" s="4" t="s">
        <v>3893</v>
      </c>
      <c r="M229" s="3">
        <v>1</v>
      </c>
      <c r="N229" s="3"/>
      <c r="O229" s="4" t="s">
        <v>3894</v>
      </c>
    </row>
    <row r="230" spans="1:15" ht="90" x14ac:dyDescent="0.25">
      <c r="A230" s="4" t="s">
        <v>3895</v>
      </c>
      <c r="B230" s="3">
        <v>342247</v>
      </c>
      <c r="C230" s="3">
        <v>342247</v>
      </c>
      <c r="D230" s="4" t="s">
        <v>3896</v>
      </c>
      <c r="E230" s="4" t="s">
        <v>3897</v>
      </c>
      <c r="F230" s="4"/>
      <c r="G230" s="4" t="s">
        <v>3898</v>
      </c>
      <c r="H230" s="4" t="s">
        <v>3899</v>
      </c>
      <c r="I230" s="4" t="s">
        <v>3900</v>
      </c>
      <c r="J230" s="5">
        <v>1250</v>
      </c>
      <c r="K230" s="5">
        <v>1990</v>
      </c>
      <c r="L230" s="4"/>
      <c r="M230" s="3">
        <v>1</v>
      </c>
      <c r="N230" s="3"/>
      <c r="O230" s="4"/>
    </row>
    <row r="231" spans="1:15" ht="90" x14ac:dyDescent="0.25">
      <c r="A231" s="4" t="s">
        <v>3901</v>
      </c>
      <c r="B231" s="3">
        <v>187272</v>
      </c>
      <c r="C231" s="3">
        <v>76438</v>
      </c>
      <c r="D231" s="4" t="s">
        <v>3902</v>
      </c>
      <c r="E231" s="4" t="s">
        <v>3903</v>
      </c>
      <c r="F231" s="4"/>
      <c r="G231" s="4" t="s">
        <v>3904</v>
      </c>
      <c r="H231" s="4" t="s">
        <v>3905</v>
      </c>
      <c r="I231" s="4" t="s">
        <v>3906</v>
      </c>
      <c r="J231" s="5">
        <v>1250</v>
      </c>
      <c r="K231" s="5">
        <v>1990</v>
      </c>
      <c r="L231" s="4"/>
      <c r="M231" s="3">
        <v>1</v>
      </c>
      <c r="N231" s="3"/>
      <c r="O231" s="4"/>
    </row>
    <row r="232" spans="1:15" ht="60" x14ac:dyDescent="0.25">
      <c r="A232" s="4" t="s">
        <v>3907</v>
      </c>
      <c r="B232" s="3">
        <v>250390</v>
      </c>
      <c r="C232" s="3">
        <v>174909</v>
      </c>
      <c r="D232" s="4" t="s">
        <v>3908</v>
      </c>
      <c r="E232" s="4" t="s">
        <v>3909</v>
      </c>
      <c r="F232" s="4"/>
      <c r="G232" s="4" t="s">
        <v>3910</v>
      </c>
      <c r="H232" s="4" t="s">
        <v>3911</v>
      </c>
      <c r="I232" s="4" t="s">
        <v>3912</v>
      </c>
      <c r="J232" s="5">
        <v>1094</v>
      </c>
      <c r="K232" s="5">
        <v>1690</v>
      </c>
      <c r="L232" s="4" t="s">
        <v>3913</v>
      </c>
      <c r="M232" s="3">
        <v>0</v>
      </c>
      <c r="N232" s="3"/>
      <c r="O232" s="4" t="s">
        <v>3914</v>
      </c>
    </row>
    <row r="233" spans="1:15" ht="60" x14ac:dyDescent="0.25">
      <c r="A233" s="4" t="s">
        <v>3915</v>
      </c>
      <c r="B233" s="3">
        <v>187080</v>
      </c>
      <c r="C233" s="3">
        <v>155946</v>
      </c>
      <c r="D233" s="4" t="s">
        <v>3916</v>
      </c>
      <c r="E233" s="4" t="s">
        <v>3917</v>
      </c>
      <c r="F233" s="4"/>
      <c r="G233" s="4" t="s">
        <v>3918</v>
      </c>
      <c r="H233" s="4" t="s">
        <v>3919</v>
      </c>
      <c r="I233" s="4" t="s">
        <v>3920</v>
      </c>
      <c r="J233" s="5">
        <v>4800</v>
      </c>
      <c r="K233" s="5">
        <v>8790</v>
      </c>
      <c r="L233" s="4" t="s">
        <v>3921</v>
      </c>
      <c r="M233" s="3">
        <v>0</v>
      </c>
      <c r="N233" s="3"/>
      <c r="O233" s="4" t="s">
        <v>3922</v>
      </c>
    </row>
    <row r="234" spans="1:15" ht="75" x14ac:dyDescent="0.25">
      <c r="A234" s="4" t="s">
        <v>3923</v>
      </c>
      <c r="B234" s="3">
        <v>250415</v>
      </c>
      <c r="C234" s="3">
        <v>152341</v>
      </c>
      <c r="D234" s="4" t="s">
        <v>3924</v>
      </c>
      <c r="E234" s="4" t="s">
        <v>3925</v>
      </c>
      <c r="F234" s="4"/>
      <c r="G234" s="4" t="s">
        <v>3926</v>
      </c>
      <c r="H234" s="4" t="s">
        <v>3927</v>
      </c>
      <c r="I234" s="4" t="s">
        <v>3928</v>
      </c>
      <c r="J234" s="5">
        <v>7332</v>
      </c>
      <c r="K234" s="5">
        <v>11790</v>
      </c>
      <c r="L234" s="4" t="s">
        <v>3929</v>
      </c>
      <c r="M234" s="3">
        <v>1</v>
      </c>
      <c r="N234" s="3"/>
      <c r="O234" s="4" t="s">
        <v>3930</v>
      </c>
    </row>
    <row r="235" spans="1:15" ht="75" x14ac:dyDescent="0.25">
      <c r="A235" s="4" t="s">
        <v>3931</v>
      </c>
      <c r="B235" s="3">
        <v>250428</v>
      </c>
      <c r="C235" s="3">
        <v>194749</v>
      </c>
      <c r="D235" s="4" t="s">
        <v>3932</v>
      </c>
      <c r="E235" s="4" t="s">
        <v>3933</v>
      </c>
      <c r="F235" s="4"/>
      <c r="G235" s="4" t="s">
        <v>3934</v>
      </c>
      <c r="H235" s="4" t="s">
        <v>3935</v>
      </c>
      <c r="I235" s="4" t="s">
        <v>3936</v>
      </c>
      <c r="J235" s="5">
        <v>6889</v>
      </c>
      <c r="K235" s="5">
        <v>9290</v>
      </c>
      <c r="L235" s="4" t="s">
        <v>3937</v>
      </c>
      <c r="M235" s="3">
        <v>1</v>
      </c>
      <c r="N235" s="3"/>
      <c r="O235" s="4" t="s">
        <v>3938</v>
      </c>
    </row>
    <row r="236" spans="1:15" ht="75" x14ac:dyDescent="0.25">
      <c r="A236" s="4" t="s">
        <v>3939</v>
      </c>
      <c r="B236" s="3">
        <v>250441</v>
      </c>
      <c r="C236" s="3">
        <v>152297</v>
      </c>
      <c r="D236" s="4" t="s">
        <v>3940</v>
      </c>
      <c r="E236" s="4" t="s">
        <v>3941</v>
      </c>
      <c r="F236" s="4"/>
      <c r="G236" s="4" t="s">
        <v>3942</v>
      </c>
      <c r="H236" s="4" t="s">
        <v>3943</v>
      </c>
      <c r="I236" s="4" t="s">
        <v>3944</v>
      </c>
      <c r="J236" s="5">
        <v>7076</v>
      </c>
      <c r="K236" s="5">
        <v>9790</v>
      </c>
      <c r="L236" s="4" t="s">
        <v>3945</v>
      </c>
      <c r="M236" s="3">
        <v>1</v>
      </c>
      <c r="N236" s="3"/>
      <c r="O236" s="4"/>
    </row>
    <row r="237" spans="1:15" ht="75" x14ac:dyDescent="0.25">
      <c r="A237" s="4" t="s">
        <v>3946</v>
      </c>
      <c r="B237" s="3">
        <v>250459</v>
      </c>
      <c r="C237" s="3">
        <v>194434</v>
      </c>
      <c r="D237" s="4" t="s">
        <v>3947</v>
      </c>
      <c r="E237" s="4" t="s">
        <v>3948</v>
      </c>
      <c r="F237" s="4"/>
      <c r="G237" s="4" t="s">
        <v>3949</v>
      </c>
      <c r="H237" s="4" t="s">
        <v>3950</v>
      </c>
      <c r="I237" s="4" t="s">
        <v>3951</v>
      </c>
      <c r="J237" s="5">
        <v>7035</v>
      </c>
      <c r="K237" s="5">
        <v>8790</v>
      </c>
      <c r="L237" s="4" t="s">
        <v>3952</v>
      </c>
      <c r="M237" s="3">
        <v>1</v>
      </c>
      <c r="N237" s="3"/>
      <c r="O237" s="4"/>
    </row>
    <row r="238" spans="1:15" ht="75" x14ac:dyDescent="0.25">
      <c r="A238" s="4" t="s">
        <v>3953</v>
      </c>
      <c r="B238" s="3">
        <v>187122</v>
      </c>
      <c r="C238" s="3">
        <v>155859</v>
      </c>
      <c r="D238" s="4" t="s">
        <v>3954</v>
      </c>
      <c r="E238" s="4" t="s">
        <v>3955</v>
      </c>
      <c r="F238" s="4"/>
      <c r="G238" s="4" t="s">
        <v>3956</v>
      </c>
      <c r="H238" s="4" t="s">
        <v>3957</v>
      </c>
      <c r="I238" s="4" t="s">
        <v>3958</v>
      </c>
      <c r="J238" s="5">
        <v>3466</v>
      </c>
      <c r="K238" s="5">
        <v>4490</v>
      </c>
      <c r="L238" s="4" t="s">
        <v>3959</v>
      </c>
      <c r="M238" s="3">
        <v>1</v>
      </c>
      <c r="N238" s="3"/>
      <c r="O238" s="4" t="s">
        <v>3960</v>
      </c>
    </row>
    <row r="239" spans="1:15" ht="90" x14ac:dyDescent="0.25">
      <c r="A239" s="4" t="s">
        <v>3961</v>
      </c>
      <c r="B239" s="3">
        <v>187140</v>
      </c>
      <c r="C239" s="3">
        <v>152022</v>
      </c>
      <c r="D239" s="4" t="s">
        <v>3962</v>
      </c>
      <c r="E239" s="4" t="s">
        <v>3963</v>
      </c>
      <c r="F239" s="4"/>
      <c r="G239" s="4" t="s">
        <v>3964</v>
      </c>
      <c r="H239" s="4" t="s">
        <v>3965</v>
      </c>
      <c r="I239" s="4" t="s">
        <v>3966</v>
      </c>
      <c r="J239" s="5">
        <v>2036</v>
      </c>
      <c r="K239" s="5">
        <v>7290</v>
      </c>
      <c r="L239" s="4" t="s">
        <v>3967</v>
      </c>
      <c r="M239" s="3">
        <v>1</v>
      </c>
      <c r="N239" s="3"/>
      <c r="O239" s="4" t="s">
        <v>3968</v>
      </c>
    </row>
    <row r="240" spans="1:15" ht="60" x14ac:dyDescent="0.25">
      <c r="A240" s="4" t="s">
        <v>3969</v>
      </c>
      <c r="B240" s="3">
        <v>250477</v>
      </c>
      <c r="C240" s="3">
        <v>174879</v>
      </c>
      <c r="D240" s="4" t="s">
        <v>3970</v>
      </c>
      <c r="E240" s="4" t="s">
        <v>3971</v>
      </c>
      <c r="F240" s="4"/>
      <c r="G240" s="4" t="s">
        <v>3972</v>
      </c>
      <c r="H240" s="4" t="s">
        <v>3973</v>
      </c>
      <c r="I240" s="4" t="s">
        <v>3974</v>
      </c>
      <c r="J240" s="5">
        <v>1105</v>
      </c>
      <c r="K240" s="5">
        <v>1690</v>
      </c>
      <c r="L240" s="4" t="s">
        <v>3975</v>
      </c>
      <c r="M240" s="3">
        <v>0</v>
      </c>
      <c r="N240" s="3"/>
      <c r="O240" s="4" t="s">
        <v>3976</v>
      </c>
    </row>
    <row r="241" spans="1:15" ht="60" x14ac:dyDescent="0.25">
      <c r="A241" s="4" t="s">
        <v>3977</v>
      </c>
      <c r="B241" s="3">
        <v>187159</v>
      </c>
      <c r="C241" s="3">
        <v>155991</v>
      </c>
      <c r="D241" s="4" t="s">
        <v>3978</v>
      </c>
      <c r="E241" s="4" t="s">
        <v>3979</v>
      </c>
      <c r="F241" s="4"/>
      <c r="G241" s="4" t="s">
        <v>3980</v>
      </c>
      <c r="H241" s="4" t="s">
        <v>3981</v>
      </c>
      <c r="I241" s="4" t="s">
        <v>3982</v>
      </c>
      <c r="J241" s="5">
        <v>6900</v>
      </c>
      <c r="K241" s="5">
        <v>8790</v>
      </c>
      <c r="L241" s="4" t="s">
        <v>3983</v>
      </c>
      <c r="M241" s="3">
        <v>0</v>
      </c>
      <c r="N241" s="3"/>
      <c r="O241" s="4" t="s">
        <v>3984</v>
      </c>
    </row>
    <row r="242" spans="1:15" ht="75" x14ac:dyDescent="0.25">
      <c r="A242" s="4" t="s">
        <v>3985</v>
      </c>
      <c r="B242" s="3">
        <v>250503</v>
      </c>
      <c r="C242" s="3">
        <v>152354</v>
      </c>
      <c r="D242" s="4" t="s">
        <v>3986</v>
      </c>
      <c r="E242" s="4" t="s">
        <v>3987</v>
      </c>
      <c r="F242" s="4"/>
      <c r="G242" s="4" t="s">
        <v>3988</v>
      </c>
      <c r="H242" s="4" t="s">
        <v>3989</v>
      </c>
      <c r="I242" s="4" t="s">
        <v>3990</v>
      </c>
      <c r="J242" s="5">
        <v>11273</v>
      </c>
      <c r="K242" s="5">
        <v>14990</v>
      </c>
      <c r="L242" s="4" t="s">
        <v>3991</v>
      </c>
      <c r="M242" s="3">
        <v>1</v>
      </c>
      <c r="N242" s="3"/>
      <c r="O242" s="4" t="s">
        <v>3992</v>
      </c>
    </row>
    <row r="243" spans="1:15" ht="75" x14ac:dyDescent="0.25">
      <c r="A243" s="4" t="s">
        <v>3993</v>
      </c>
      <c r="B243" s="3">
        <v>250516</v>
      </c>
      <c r="C243" s="3">
        <v>194734</v>
      </c>
      <c r="D243" s="4" t="s">
        <v>3994</v>
      </c>
      <c r="E243" s="4" t="s">
        <v>3995</v>
      </c>
      <c r="F243" s="4"/>
      <c r="G243" s="4" t="s">
        <v>3996</v>
      </c>
      <c r="H243" s="4" t="s">
        <v>3997</v>
      </c>
      <c r="I243" s="4" t="s">
        <v>3998</v>
      </c>
      <c r="J243" s="5">
        <v>6901</v>
      </c>
      <c r="K243" s="5">
        <v>9390</v>
      </c>
      <c r="L243" s="4" t="s">
        <v>3999</v>
      </c>
      <c r="M243" s="3">
        <v>1</v>
      </c>
      <c r="N243" s="3"/>
      <c r="O243" s="4" t="s">
        <v>4000</v>
      </c>
    </row>
    <row r="244" spans="1:15" ht="75" x14ac:dyDescent="0.25">
      <c r="A244" s="4" t="s">
        <v>4001</v>
      </c>
      <c r="B244" s="3">
        <v>250529</v>
      </c>
      <c r="C244" s="3">
        <v>152318</v>
      </c>
      <c r="D244" s="4" t="s">
        <v>4002</v>
      </c>
      <c r="E244" s="4" t="s">
        <v>4003</v>
      </c>
      <c r="F244" s="4"/>
      <c r="G244" s="4" t="s">
        <v>4004</v>
      </c>
      <c r="H244" s="4" t="s">
        <v>4005</v>
      </c>
      <c r="I244" s="4" t="s">
        <v>4006</v>
      </c>
      <c r="J244" s="5">
        <v>7007</v>
      </c>
      <c r="K244" s="5">
        <v>9690</v>
      </c>
      <c r="L244" s="4" t="s">
        <v>4007</v>
      </c>
      <c r="M244" s="3">
        <v>1</v>
      </c>
      <c r="N244" s="3"/>
      <c r="O244" s="4" t="s">
        <v>4008</v>
      </c>
    </row>
    <row r="245" spans="1:15" ht="75" x14ac:dyDescent="0.25">
      <c r="A245" s="4" t="s">
        <v>4009</v>
      </c>
      <c r="B245" s="3">
        <v>250547</v>
      </c>
      <c r="C245" s="3">
        <v>194411</v>
      </c>
      <c r="D245" s="4" t="s">
        <v>4010</v>
      </c>
      <c r="E245" s="4" t="s">
        <v>4011</v>
      </c>
      <c r="F245" s="4"/>
      <c r="G245" s="4" t="s">
        <v>4012</v>
      </c>
      <c r="H245" s="4" t="s">
        <v>4013</v>
      </c>
      <c r="I245" s="4" t="s">
        <v>4014</v>
      </c>
      <c r="J245" s="5">
        <v>7177</v>
      </c>
      <c r="K245" s="5">
        <v>8990</v>
      </c>
      <c r="L245" s="4" t="s">
        <v>4015</v>
      </c>
      <c r="M245" s="3">
        <v>1</v>
      </c>
      <c r="N245" s="3"/>
      <c r="O245" s="4" t="s">
        <v>4016</v>
      </c>
    </row>
    <row r="246" spans="1:15" ht="90" x14ac:dyDescent="0.25">
      <c r="A246" s="4" t="s">
        <v>4017</v>
      </c>
      <c r="B246" s="3">
        <v>187201</v>
      </c>
      <c r="C246" s="3">
        <v>152157</v>
      </c>
      <c r="D246" s="4" t="s">
        <v>4018</v>
      </c>
      <c r="E246" s="4" t="s">
        <v>4019</v>
      </c>
      <c r="F246" s="4"/>
      <c r="G246" s="4" t="s">
        <v>4020</v>
      </c>
      <c r="H246" s="4" t="s">
        <v>4021</v>
      </c>
      <c r="I246" s="4" t="s">
        <v>4022</v>
      </c>
      <c r="J246" s="5">
        <v>3676</v>
      </c>
      <c r="K246" s="5">
        <v>4690</v>
      </c>
      <c r="L246" s="4" t="s">
        <v>4023</v>
      </c>
      <c r="M246" s="3">
        <v>1</v>
      </c>
      <c r="N246" s="3"/>
      <c r="O246" s="4" t="s">
        <v>4024</v>
      </c>
    </row>
    <row r="247" spans="1:15" ht="90" x14ac:dyDescent="0.25">
      <c r="A247" s="4" t="s">
        <v>4025</v>
      </c>
      <c r="B247" s="3">
        <v>187218</v>
      </c>
      <c r="C247" s="3">
        <v>152043</v>
      </c>
      <c r="D247" s="4" t="s">
        <v>4026</v>
      </c>
      <c r="E247" s="4" t="s">
        <v>4027</v>
      </c>
      <c r="F247" s="4"/>
      <c r="G247" s="4" t="s">
        <v>4028</v>
      </c>
      <c r="H247" s="4" t="s">
        <v>4029</v>
      </c>
      <c r="I247" s="4" t="s">
        <v>4030</v>
      </c>
      <c r="J247" s="5">
        <v>2036</v>
      </c>
      <c r="K247" s="5">
        <v>5090</v>
      </c>
      <c r="L247" s="4" t="s">
        <v>4031</v>
      </c>
      <c r="M247" s="3">
        <v>1</v>
      </c>
      <c r="N247" s="3"/>
      <c r="O247" s="4" t="s">
        <v>4032</v>
      </c>
    </row>
    <row r="248" spans="1:15" ht="60" x14ac:dyDescent="0.25">
      <c r="A248" s="4" t="s">
        <v>4033</v>
      </c>
      <c r="B248" s="3">
        <v>187241</v>
      </c>
      <c r="C248" s="3">
        <v>73912</v>
      </c>
      <c r="D248" s="4" t="s">
        <v>4034</v>
      </c>
      <c r="E248" s="4" t="s">
        <v>4035</v>
      </c>
      <c r="F248" s="4"/>
      <c r="G248" s="4" t="s">
        <v>4036</v>
      </c>
      <c r="H248" s="4" t="s">
        <v>4037</v>
      </c>
      <c r="I248" s="4" t="s">
        <v>4038</v>
      </c>
      <c r="J248" s="5">
        <v>5000</v>
      </c>
      <c r="K248" s="5">
        <v>6890</v>
      </c>
      <c r="L248" s="4"/>
      <c r="M248" s="3">
        <v>1</v>
      </c>
      <c r="N248" s="3">
        <v>1</v>
      </c>
      <c r="O248" s="4"/>
    </row>
    <row r="249" spans="1:15" ht="90" x14ac:dyDescent="0.25">
      <c r="A249" s="4" t="s">
        <v>4039</v>
      </c>
      <c r="B249" s="3">
        <v>250760</v>
      </c>
      <c r="C249" s="3">
        <v>174194</v>
      </c>
      <c r="D249" s="4" t="s">
        <v>4040</v>
      </c>
      <c r="E249" s="4" t="s">
        <v>4041</v>
      </c>
      <c r="F249" s="4"/>
      <c r="G249" s="4" t="s">
        <v>4042</v>
      </c>
      <c r="H249" s="4" t="s">
        <v>4043</v>
      </c>
      <c r="I249" s="4" t="s">
        <v>4044</v>
      </c>
      <c r="J249" s="5">
        <v>2953</v>
      </c>
      <c r="K249" s="5">
        <v>4290</v>
      </c>
      <c r="L249" s="4" t="s">
        <v>4045</v>
      </c>
      <c r="M249" s="3">
        <v>1</v>
      </c>
      <c r="N249" s="3"/>
      <c r="O249" s="4"/>
    </row>
    <row r="250" spans="1:15" ht="90" x14ac:dyDescent="0.25">
      <c r="A250" s="4" t="s">
        <v>4046</v>
      </c>
      <c r="B250" s="3">
        <v>268465</v>
      </c>
      <c r="C250" s="3">
        <v>216089</v>
      </c>
      <c r="D250" s="4" t="s">
        <v>4047</v>
      </c>
      <c r="E250" s="4" t="s">
        <v>4048</v>
      </c>
      <c r="F250" s="4"/>
      <c r="G250" s="4" t="s">
        <v>4049</v>
      </c>
      <c r="H250" s="4" t="s">
        <v>4050</v>
      </c>
      <c r="I250" s="4" t="s">
        <v>4051</v>
      </c>
      <c r="J250" s="5">
        <v>2953</v>
      </c>
      <c r="K250" s="5">
        <v>4290</v>
      </c>
      <c r="L250" s="4" t="s">
        <v>4052</v>
      </c>
      <c r="M250" s="3">
        <v>1</v>
      </c>
      <c r="N250" s="3"/>
      <c r="O250" s="4" t="s">
        <v>4053</v>
      </c>
    </row>
    <row r="251" spans="1:15" ht="60" x14ac:dyDescent="0.25">
      <c r="A251" s="4" t="s">
        <v>4054</v>
      </c>
      <c r="B251" s="3">
        <v>251137</v>
      </c>
      <c r="C251" s="3">
        <v>174815</v>
      </c>
      <c r="D251" s="4" t="s">
        <v>4055</v>
      </c>
      <c r="E251" s="4" t="s">
        <v>4056</v>
      </c>
      <c r="F251" s="4"/>
      <c r="G251" s="4" t="s">
        <v>4057</v>
      </c>
      <c r="H251" s="4" t="s">
        <v>4058</v>
      </c>
      <c r="I251" s="4" t="s">
        <v>4059</v>
      </c>
      <c r="J251" s="5">
        <v>2953</v>
      </c>
      <c r="K251" s="5">
        <v>4290</v>
      </c>
      <c r="L251" s="4"/>
      <c r="M251" s="3">
        <v>1</v>
      </c>
      <c r="N251" s="3"/>
      <c r="O251" s="4" t="s">
        <v>4060</v>
      </c>
    </row>
    <row r="252" spans="1:15" ht="90" x14ac:dyDescent="0.25">
      <c r="A252" s="4" t="s">
        <v>4061</v>
      </c>
      <c r="B252" s="3">
        <v>189334</v>
      </c>
      <c r="C252" s="3">
        <v>169516</v>
      </c>
      <c r="D252" s="4" t="s">
        <v>4062</v>
      </c>
      <c r="E252" s="4" t="s">
        <v>4063</v>
      </c>
      <c r="F252" s="4"/>
      <c r="G252" s="4" t="s">
        <v>4064</v>
      </c>
      <c r="H252" s="4" t="s">
        <v>4065</v>
      </c>
      <c r="I252" s="4" t="s">
        <v>4066</v>
      </c>
      <c r="J252" s="5">
        <v>6385</v>
      </c>
      <c r="K252" s="5">
        <v>8990</v>
      </c>
      <c r="L252" s="4" t="s">
        <v>4067</v>
      </c>
      <c r="M252" s="3">
        <v>1</v>
      </c>
      <c r="N252" s="3"/>
      <c r="O252" s="4" t="s">
        <v>4068</v>
      </c>
    </row>
    <row r="253" spans="1:15" ht="90" x14ac:dyDescent="0.25">
      <c r="A253" s="4" t="s">
        <v>4069</v>
      </c>
      <c r="B253" s="3">
        <v>268496</v>
      </c>
      <c r="C253" s="3">
        <v>173424</v>
      </c>
      <c r="D253" s="4" t="s">
        <v>4070</v>
      </c>
      <c r="E253" s="4" t="s">
        <v>4071</v>
      </c>
      <c r="F253" s="4"/>
      <c r="G253" s="4" t="s">
        <v>4072</v>
      </c>
      <c r="H253" s="4" t="s">
        <v>4073</v>
      </c>
      <c r="I253" s="4" t="s">
        <v>4074</v>
      </c>
      <c r="J253" s="5">
        <v>990</v>
      </c>
      <c r="K253" s="5">
        <v>3690</v>
      </c>
      <c r="L253" s="4" t="s">
        <v>4075</v>
      </c>
      <c r="M253" s="3">
        <v>1</v>
      </c>
      <c r="N253" s="3"/>
      <c r="O253" s="4" t="s">
        <v>4076</v>
      </c>
    </row>
    <row r="254" spans="1:15" ht="90" x14ac:dyDescent="0.25">
      <c r="A254" s="4" t="s">
        <v>4077</v>
      </c>
      <c r="B254" s="3">
        <v>268497</v>
      </c>
      <c r="C254" s="3">
        <v>214099</v>
      </c>
      <c r="D254" s="4" t="s">
        <v>4078</v>
      </c>
      <c r="E254" s="4" t="s">
        <v>4079</v>
      </c>
      <c r="F254" s="4"/>
      <c r="G254" s="4" t="s">
        <v>4080</v>
      </c>
      <c r="H254" s="4" t="s">
        <v>4081</v>
      </c>
      <c r="I254" s="4" t="s">
        <v>4082</v>
      </c>
      <c r="J254" s="5">
        <v>990</v>
      </c>
      <c r="K254" s="5">
        <v>3790</v>
      </c>
      <c r="L254" s="4" t="s">
        <v>4083</v>
      </c>
      <c r="M254" s="3">
        <v>1</v>
      </c>
      <c r="N254" s="3"/>
      <c r="O254" s="4" t="s">
        <v>4084</v>
      </c>
    </row>
    <row r="255" spans="1:15" ht="60" x14ac:dyDescent="0.25">
      <c r="A255" s="4" t="s">
        <v>4085</v>
      </c>
      <c r="B255" s="3">
        <v>190309</v>
      </c>
      <c r="C255" s="3">
        <v>152065</v>
      </c>
      <c r="D255" s="4" t="s">
        <v>4086</v>
      </c>
      <c r="E255" s="4" t="s">
        <v>4087</v>
      </c>
      <c r="F255" s="4"/>
      <c r="G255" s="4" t="s">
        <v>4088</v>
      </c>
      <c r="H255" s="4" t="s">
        <v>4089</v>
      </c>
      <c r="I255" s="4" t="s">
        <v>4090</v>
      </c>
      <c r="J255" s="5">
        <v>6523</v>
      </c>
      <c r="K255" s="5">
        <v>9290</v>
      </c>
      <c r="L255" s="4" t="s">
        <v>4091</v>
      </c>
      <c r="M255" s="3">
        <v>1</v>
      </c>
      <c r="N255" s="3"/>
      <c r="O255" s="4" t="s">
        <v>4092</v>
      </c>
    </row>
    <row r="256" spans="1:15" ht="60" x14ac:dyDescent="0.25">
      <c r="A256" s="4" t="s">
        <v>4093</v>
      </c>
      <c r="B256" s="3">
        <v>250826</v>
      </c>
      <c r="C256" s="3">
        <v>173539</v>
      </c>
      <c r="D256" s="4" t="s">
        <v>4094</v>
      </c>
      <c r="E256" s="4" t="s">
        <v>4095</v>
      </c>
      <c r="F256" s="4"/>
      <c r="G256" s="4" t="s">
        <v>4096</v>
      </c>
      <c r="H256" s="4" t="s">
        <v>4097</v>
      </c>
      <c r="I256" s="4" t="s">
        <v>4098</v>
      </c>
      <c r="J256" s="5">
        <v>980</v>
      </c>
      <c r="K256" s="5">
        <v>2290</v>
      </c>
      <c r="L256" s="4" t="s">
        <v>4099</v>
      </c>
      <c r="M256" s="3">
        <v>1</v>
      </c>
      <c r="N256" s="3"/>
      <c r="O256" s="4" t="s">
        <v>4100</v>
      </c>
    </row>
    <row r="257" spans="1:15" ht="60" x14ac:dyDescent="0.25">
      <c r="A257" s="4" t="s">
        <v>4101</v>
      </c>
      <c r="B257" s="3">
        <v>250914</v>
      </c>
      <c r="C257" s="3">
        <v>173033</v>
      </c>
      <c r="D257" s="4" t="s">
        <v>4102</v>
      </c>
      <c r="E257" s="4" t="s">
        <v>4103</v>
      </c>
      <c r="F257" s="4"/>
      <c r="G257" s="4" t="s">
        <v>4104</v>
      </c>
      <c r="H257" s="4" t="s">
        <v>4105</v>
      </c>
      <c r="I257" s="4" t="s">
        <v>4106</v>
      </c>
      <c r="J257" s="5">
        <v>990</v>
      </c>
      <c r="K257" s="5">
        <v>1890</v>
      </c>
      <c r="L257" s="4" t="s">
        <v>4107</v>
      </c>
      <c r="M257" s="3">
        <v>1</v>
      </c>
      <c r="N257" s="3"/>
      <c r="O257" s="4" t="s">
        <v>4108</v>
      </c>
    </row>
    <row r="258" spans="1:15" ht="60" x14ac:dyDescent="0.25">
      <c r="A258" s="4" t="s">
        <v>4109</v>
      </c>
      <c r="B258" s="3">
        <v>250949</v>
      </c>
      <c r="C258" s="3">
        <v>173610</v>
      </c>
      <c r="D258" s="4" t="s">
        <v>4110</v>
      </c>
      <c r="E258" s="4" t="s">
        <v>4111</v>
      </c>
      <c r="F258" s="4"/>
      <c r="G258" s="4" t="s">
        <v>4112</v>
      </c>
      <c r="H258" s="4" t="s">
        <v>4113</v>
      </c>
      <c r="I258" s="4" t="s">
        <v>4114</v>
      </c>
      <c r="J258" s="5">
        <v>1400</v>
      </c>
      <c r="K258" s="5">
        <v>2290</v>
      </c>
      <c r="L258" s="4" t="s">
        <v>4115</v>
      </c>
      <c r="M258" s="3">
        <v>1</v>
      </c>
      <c r="N258" s="3"/>
      <c r="O258" s="4" t="s">
        <v>4116</v>
      </c>
    </row>
    <row r="259" spans="1:15" ht="45" x14ac:dyDescent="0.25">
      <c r="A259" s="4" t="s">
        <v>4117</v>
      </c>
      <c r="B259" s="3">
        <v>250976</v>
      </c>
      <c r="C259" s="3">
        <v>174989</v>
      </c>
      <c r="D259" s="4" t="s">
        <v>4118</v>
      </c>
      <c r="E259" s="4" t="s">
        <v>4119</v>
      </c>
      <c r="F259" s="4"/>
      <c r="G259" s="4"/>
      <c r="H259" s="4"/>
      <c r="I259" s="4" t="s">
        <v>4120</v>
      </c>
      <c r="J259" s="5">
        <v>5600</v>
      </c>
      <c r="K259" s="5">
        <v>7790</v>
      </c>
      <c r="L259" s="4"/>
      <c r="M259" s="3">
        <v>1</v>
      </c>
      <c r="N259" s="3"/>
      <c r="O259" s="4" t="s">
        <v>4121</v>
      </c>
    </row>
    <row r="260" spans="1:15" ht="45" x14ac:dyDescent="0.25">
      <c r="A260" s="4" t="s">
        <v>4122</v>
      </c>
      <c r="B260" s="3">
        <v>251003</v>
      </c>
      <c r="C260" s="3">
        <v>173996</v>
      </c>
      <c r="D260" s="4" t="s">
        <v>4123</v>
      </c>
      <c r="E260" s="4" t="s">
        <v>4124</v>
      </c>
      <c r="F260" s="4"/>
      <c r="G260" s="4" t="s">
        <v>4125</v>
      </c>
      <c r="H260" s="4" t="s">
        <v>4126</v>
      </c>
      <c r="I260" s="4" t="s">
        <v>4127</v>
      </c>
      <c r="J260" s="5">
        <v>2622</v>
      </c>
      <c r="K260" s="5">
        <v>3790</v>
      </c>
      <c r="L260" s="4" t="s">
        <v>4128</v>
      </c>
      <c r="M260" s="3">
        <v>1</v>
      </c>
      <c r="N260" s="3"/>
      <c r="O260" s="4" t="s">
        <v>4129</v>
      </c>
    </row>
    <row r="261" spans="1:15" ht="45" x14ac:dyDescent="0.25">
      <c r="A261" s="4" t="s">
        <v>4130</v>
      </c>
      <c r="B261" s="3">
        <v>251034</v>
      </c>
      <c r="C261" s="3">
        <v>173480</v>
      </c>
      <c r="D261" s="4" t="s">
        <v>4131</v>
      </c>
      <c r="E261" s="4" t="s">
        <v>4132</v>
      </c>
      <c r="F261" s="4"/>
      <c r="G261" s="4" t="s">
        <v>4133</v>
      </c>
      <c r="H261" s="4" t="s">
        <v>4134</v>
      </c>
      <c r="I261" s="4" t="s">
        <v>4135</v>
      </c>
      <c r="J261" s="5">
        <v>3654</v>
      </c>
      <c r="K261" s="5">
        <v>5290</v>
      </c>
      <c r="L261" s="4" t="s">
        <v>4136</v>
      </c>
      <c r="M261" s="3">
        <v>1</v>
      </c>
      <c r="N261" s="3"/>
      <c r="O261" s="4" t="s">
        <v>4137</v>
      </c>
    </row>
    <row r="262" spans="1:15" ht="60" x14ac:dyDescent="0.25">
      <c r="A262" s="4" t="s">
        <v>4138</v>
      </c>
      <c r="B262" s="3">
        <v>251066</v>
      </c>
      <c r="C262" s="3">
        <v>173498</v>
      </c>
      <c r="D262" s="4" t="s">
        <v>4139</v>
      </c>
      <c r="E262" s="4" t="s">
        <v>4140</v>
      </c>
      <c r="F262" s="4"/>
      <c r="G262" s="4" t="s">
        <v>4141</v>
      </c>
      <c r="H262" s="4" t="s">
        <v>4142</v>
      </c>
      <c r="I262" s="4" t="s">
        <v>4143</v>
      </c>
      <c r="J262" s="5">
        <v>990</v>
      </c>
      <c r="K262" s="5">
        <v>1890</v>
      </c>
      <c r="L262" s="4" t="s">
        <v>4144</v>
      </c>
      <c r="M262" s="3">
        <v>1</v>
      </c>
      <c r="N262" s="3"/>
      <c r="O262" s="4" t="s">
        <v>4145</v>
      </c>
    </row>
    <row r="263" spans="1:15" ht="60" x14ac:dyDescent="0.25">
      <c r="A263" s="4" t="s">
        <v>4146</v>
      </c>
      <c r="B263" s="3">
        <v>251101</v>
      </c>
      <c r="C263" s="3">
        <v>173236</v>
      </c>
      <c r="D263" s="4" t="s">
        <v>4147</v>
      </c>
      <c r="E263" s="4" t="s">
        <v>4148</v>
      </c>
      <c r="F263" s="4"/>
      <c r="G263" s="4" t="s">
        <v>4149</v>
      </c>
      <c r="H263" s="4" t="s">
        <v>4150</v>
      </c>
      <c r="I263" s="4" t="s">
        <v>4151</v>
      </c>
      <c r="J263" s="5">
        <v>800</v>
      </c>
      <c r="K263" s="5">
        <v>2290</v>
      </c>
      <c r="L263" s="4" t="s">
        <v>4152</v>
      </c>
      <c r="M263" s="3">
        <v>1</v>
      </c>
      <c r="N263" s="3"/>
      <c r="O263" s="4" t="s">
        <v>4153</v>
      </c>
    </row>
  </sheetData>
  <sheetProtection formatCells="0" formatColumns="0" formatRows="0" insertColumns="0" insertRows="0" insertHyperlinks="0" deleteColumns="0" deleteRows="0" sort="0" autoFilter="0" pivotTables="0"/>
  <autoFilter ref="A1:O1" xr:uid="{00000000-0009-0000-0000-000001000000}"/>
  <pageMargins left="0.7" right="0.7" top="0.75" bottom="0.75" header="0.3" footer="0.3"/>
  <pageSetup orientation="portrait"/>
  <headerFooter alignWithMargins="0"/>
  <ignoredErrors>
    <ignoredError sqref="A1:O26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48025-E26A-468B-A3FB-319BDFD5985D}">
  <sheetPr>
    <tabColor rgb="FF92D050"/>
  </sheetPr>
  <dimension ref="A1:E1066"/>
  <sheetViews>
    <sheetView tabSelected="1" topLeftCell="A1037" workbookViewId="0">
      <selection activeCell="A3" sqref="A3:C1066"/>
    </sheetView>
  </sheetViews>
  <sheetFormatPr defaultRowHeight="15" x14ac:dyDescent="0.25"/>
  <cols>
    <col min="1" max="1" width="7" style="37" bestFit="1" customWidth="1"/>
    <col min="2" max="2" width="9.7109375" style="37" bestFit="1" customWidth="1"/>
    <col min="3" max="3" width="5.85546875" style="37" bestFit="1" customWidth="1"/>
    <col min="4" max="5" width="9.140625" style="37"/>
  </cols>
  <sheetData>
    <row r="1" spans="1:3" x14ac:dyDescent="0.25">
      <c r="A1" s="36"/>
    </row>
    <row r="2" spans="1:3" x14ac:dyDescent="0.25">
      <c r="A2" s="43" t="s">
        <v>0</v>
      </c>
      <c r="B2" s="50" t="s">
        <v>4162</v>
      </c>
      <c r="C2" s="50" t="s">
        <v>4162</v>
      </c>
    </row>
    <row r="3" spans="1:3" x14ac:dyDescent="0.25">
      <c r="A3" s="52">
        <v>132876</v>
      </c>
      <c r="B3" s="60">
        <v>4590</v>
      </c>
      <c r="C3" s="60" t="s">
        <v>24</v>
      </c>
    </row>
    <row r="4" spans="1:3" x14ac:dyDescent="0.25">
      <c r="A4" s="52">
        <v>132877</v>
      </c>
      <c r="B4" s="70">
        <v>4190</v>
      </c>
      <c r="C4" s="60" t="s">
        <v>19</v>
      </c>
    </row>
    <row r="5" spans="1:3" x14ac:dyDescent="0.25">
      <c r="A5" s="52">
        <v>132878</v>
      </c>
      <c r="B5" s="60" t="s">
        <v>4168</v>
      </c>
      <c r="C5" s="60" t="s">
        <v>28</v>
      </c>
    </row>
    <row r="6" spans="1:3" x14ac:dyDescent="0.25">
      <c r="A6" s="52">
        <v>132879</v>
      </c>
      <c r="B6" s="70">
        <v>4590</v>
      </c>
      <c r="C6" s="60" t="s">
        <v>24</v>
      </c>
    </row>
    <row r="7" spans="1:3" x14ac:dyDescent="0.25">
      <c r="A7" s="52">
        <v>132880</v>
      </c>
      <c r="B7" s="70">
        <v>1990</v>
      </c>
      <c r="C7" s="60" t="s">
        <v>28</v>
      </c>
    </row>
    <row r="8" spans="1:3" x14ac:dyDescent="0.25">
      <c r="A8" s="52">
        <v>132881</v>
      </c>
      <c r="B8" s="70">
        <v>4590</v>
      </c>
      <c r="C8" s="60" t="s">
        <v>31</v>
      </c>
    </row>
    <row r="9" spans="1:3" x14ac:dyDescent="0.25">
      <c r="A9" s="52">
        <v>132882</v>
      </c>
      <c r="B9" s="70">
        <v>2890</v>
      </c>
      <c r="C9" s="60" t="s">
        <v>34</v>
      </c>
    </row>
    <row r="10" spans="1:3" x14ac:dyDescent="0.25">
      <c r="A10" s="52">
        <v>132883</v>
      </c>
      <c r="B10" s="76" t="s">
        <v>4285</v>
      </c>
      <c r="C10" s="60"/>
    </row>
    <row r="11" spans="1:3" x14ac:dyDescent="0.25">
      <c r="A11" s="52">
        <v>132884</v>
      </c>
      <c r="B11" s="70">
        <v>2390</v>
      </c>
      <c r="C11" s="60" t="s">
        <v>41</v>
      </c>
    </row>
    <row r="12" spans="1:3" x14ac:dyDescent="0.25">
      <c r="A12" s="52">
        <v>132885</v>
      </c>
      <c r="B12" s="60">
        <v>2890</v>
      </c>
      <c r="C12" s="60" t="s">
        <v>67</v>
      </c>
    </row>
    <row r="13" spans="1:3" x14ac:dyDescent="0.25">
      <c r="A13" s="52">
        <v>132886</v>
      </c>
      <c r="B13" s="62" t="s">
        <v>4170</v>
      </c>
      <c r="C13" s="60"/>
    </row>
    <row r="14" spans="1:3" x14ac:dyDescent="0.25">
      <c r="A14" s="52">
        <v>132887</v>
      </c>
      <c r="B14" s="62" t="s">
        <v>4170</v>
      </c>
      <c r="C14" s="60"/>
    </row>
    <row r="15" spans="1:3" x14ac:dyDescent="0.25">
      <c r="A15" s="52">
        <v>132888</v>
      </c>
      <c r="B15" s="70">
        <v>4990</v>
      </c>
      <c r="C15" s="60" t="s">
        <v>50</v>
      </c>
    </row>
    <row r="16" spans="1:3" x14ac:dyDescent="0.25">
      <c r="A16" s="52">
        <v>132889</v>
      </c>
      <c r="B16" s="70">
        <v>3290</v>
      </c>
      <c r="C16" s="60" t="s">
        <v>53</v>
      </c>
    </row>
    <row r="17" spans="1:5" x14ac:dyDescent="0.25">
      <c r="A17" s="52">
        <v>132890</v>
      </c>
      <c r="B17" s="70">
        <v>5890</v>
      </c>
      <c r="C17" s="60" t="s">
        <v>56</v>
      </c>
      <c r="E17" s="38"/>
    </row>
    <row r="18" spans="1:5" x14ac:dyDescent="0.25">
      <c r="A18" s="52">
        <v>132891</v>
      </c>
      <c r="B18" s="70">
        <v>2690</v>
      </c>
      <c r="C18" s="60" t="s">
        <v>59</v>
      </c>
    </row>
    <row r="19" spans="1:5" x14ac:dyDescent="0.25">
      <c r="A19" s="52">
        <v>132892</v>
      </c>
      <c r="B19" s="70">
        <v>6190</v>
      </c>
      <c r="C19" s="60" t="s">
        <v>62</v>
      </c>
    </row>
    <row r="20" spans="1:5" x14ac:dyDescent="0.25">
      <c r="A20" s="52">
        <v>132893</v>
      </c>
      <c r="B20" s="60" t="s">
        <v>4169</v>
      </c>
      <c r="C20" s="60"/>
      <c r="E20" s="38"/>
    </row>
    <row r="21" spans="1:5" x14ac:dyDescent="0.25">
      <c r="A21" s="52">
        <v>132894</v>
      </c>
      <c r="B21" s="70">
        <v>2890</v>
      </c>
      <c r="C21" s="60" t="s">
        <v>67</v>
      </c>
      <c r="E21" s="38"/>
    </row>
    <row r="22" spans="1:5" x14ac:dyDescent="0.25">
      <c r="A22" s="52">
        <v>132895</v>
      </c>
      <c r="B22" s="76" t="s">
        <v>4285</v>
      </c>
      <c r="C22" s="60"/>
      <c r="E22" s="38"/>
    </row>
    <row r="23" spans="1:5" x14ac:dyDescent="0.25">
      <c r="A23" s="52">
        <v>132896</v>
      </c>
      <c r="B23" s="70">
        <v>2990</v>
      </c>
      <c r="C23" s="60" t="s">
        <v>73</v>
      </c>
      <c r="E23" s="38"/>
    </row>
    <row r="24" spans="1:5" x14ac:dyDescent="0.25">
      <c r="A24" s="52">
        <v>132897</v>
      </c>
      <c r="B24" s="70">
        <v>2990</v>
      </c>
      <c r="C24" s="60" t="s">
        <v>76</v>
      </c>
      <c r="E24" s="38"/>
    </row>
    <row r="25" spans="1:5" x14ac:dyDescent="0.25">
      <c r="A25" s="52">
        <v>132899</v>
      </c>
      <c r="B25" s="60">
        <v>2990</v>
      </c>
      <c r="C25" s="60" t="s">
        <v>4171</v>
      </c>
      <c r="E25" s="38"/>
    </row>
    <row r="26" spans="1:5" x14ac:dyDescent="0.25">
      <c r="A26" s="52">
        <v>132900</v>
      </c>
      <c r="B26" s="62" t="s">
        <v>4170</v>
      </c>
      <c r="C26" s="60"/>
      <c r="E26" s="38"/>
    </row>
    <row r="27" spans="1:5" x14ac:dyDescent="0.25">
      <c r="A27" s="52">
        <v>132901</v>
      </c>
      <c r="B27" s="62" t="s">
        <v>4170</v>
      </c>
      <c r="C27" s="60"/>
      <c r="E27" s="38"/>
    </row>
    <row r="28" spans="1:5" x14ac:dyDescent="0.25">
      <c r="A28" s="52">
        <v>132902</v>
      </c>
      <c r="B28" s="62" t="s">
        <v>4170</v>
      </c>
      <c r="C28" s="60"/>
    </row>
    <row r="29" spans="1:5" x14ac:dyDescent="0.25">
      <c r="A29" s="52">
        <v>132903</v>
      </c>
      <c r="B29" s="70">
        <v>2190</v>
      </c>
      <c r="C29" s="60" t="s">
        <v>87</v>
      </c>
    </row>
    <row r="30" spans="1:5" x14ac:dyDescent="0.25">
      <c r="A30" s="52">
        <v>132898</v>
      </c>
      <c r="B30" s="60">
        <v>2990</v>
      </c>
      <c r="C30" s="60" t="s">
        <v>4172</v>
      </c>
      <c r="E30" s="38"/>
    </row>
    <row r="31" spans="1:5" x14ac:dyDescent="0.25">
      <c r="A31" s="52">
        <v>242804</v>
      </c>
      <c r="B31" s="70">
        <v>4290</v>
      </c>
      <c r="C31" s="60" t="s">
        <v>92</v>
      </c>
      <c r="E31" s="38"/>
    </row>
    <row r="32" spans="1:5" x14ac:dyDescent="0.25">
      <c r="A32" s="52">
        <v>133219</v>
      </c>
      <c r="B32" s="70">
        <v>5590</v>
      </c>
      <c r="C32" s="60" t="s">
        <v>95</v>
      </c>
      <c r="E32" s="38"/>
    </row>
    <row r="33" spans="1:5" x14ac:dyDescent="0.25">
      <c r="A33" s="52">
        <v>133289</v>
      </c>
      <c r="B33" s="62" t="s">
        <v>4170</v>
      </c>
      <c r="C33" s="60"/>
      <c r="E33" s="38"/>
    </row>
    <row r="34" spans="1:5" x14ac:dyDescent="0.25">
      <c r="A34" s="52">
        <v>133300</v>
      </c>
      <c r="B34" s="70">
        <v>449</v>
      </c>
      <c r="C34" s="60" t="s">
        <v>100</v>
      </c>
      <c r="E34" s="38"/>
    </row>
    <row r="35" spans="1:5" x14ac:dyDescent="0.25">
      <c r="A35" s="52">
        <v>133301</v>
      </c>
      <c r="B35" s="70">
        <v>1290</v>
      </c>
      <c r="C35" s="60" t="s">
        <v>103</v>
      </c>
      <c r="E35" s="38"/>
    </row>
    <row r="36" spans="1:5" x14ac:dyDescent="0.25">
      <c r="A36" s="52">
        <v>133302</v>
      </c>
      <c r="B36" s="62" t="s">
        <v>4170</v>
      </c>
      <c r="C36" s="60"/>
      <c r="E36" s="38"/>
    </row>
    <row r="37" spans="1:5" x14ac:dyDescent="0.25">
      <c r="A37" s="52">
        <v>133303</v>
      </c>
      <c r="B37" s="62" t="s">
        <v>4170</v>
      </c>
      <c r="C37" s="60"/>
    </row>
    <row r="38" spans="1:5" x14ac:dyDescent="0.25">
      <c r="A38" s="52">
        <v>133304</v>
      </c>
      <c r="B38" s="70">
        <v>490</v>
      </c>
      <c r="C38" s="60" t="s">
        <v>112</v>
      </c>
    </row>
    <row r="39" spans="1:5" x14ac:dyDescent="0.25">
      <c r="A39" s="52">
        <v>133305</v>
      </c>
      <c r="B39" s="62" t="s">
        <v>4170</v>
      </c>
      <c r="C39" s="60"/>
    </row>
    <row r="40" spans="1:5" x14ac:dyDescent="0.25">
      <c r="A40" s="52">
        <v>133306</v>
      </c>
      <c r="B40" s="60" t="s">
        <v>4170</v>
      </c>
      <c r="C40" s="60"/>
    </row>
    <row r="41" spans="1:5" x14ac:dyDescent="0.25">
      <c r="A41" s="52">
        <v>133324</v>
      </c>
      <c r="B41" s="70">
        <v>15990</v>
      </c>
      <c r="C41" s="60" t="s">
        <v>120</v>
      </c>
    </row>
    <row r="42" spans="1:5" x14ac:dyDescent="0.25">
      <c r="A42" s="52">
        <v>133325</v>
      </c>
      <c r="B42" s="70">
        <v>6290</v>
      </c>
      <c r="C42" s="60" t="s">
        <v>124</v>
      </c>
    </row>
    <row r="43" spans="1:5" x14ac:dyDescent="0.25">
      <c r="A43" s="52">
        <v>133329</v>
      </c>
      <c r="B43" s="70">
        <v>3890</v>
      </c>
      <c r="C43" s="60" t="s">
        <v>127</v>
      </c>
    </row>
    <row r="44" spans="1:5" x14ac:dyDescent="0.25">
      <c r="A44" s="52">
        <v>133351</v>
      </c>
      <c r="B44" s="62" t="s">
        <v>4170</v>
      </c>
      <c r="C44" s="60"/>
    </row>
    <row r="45" spans="1:5" x14ac:dyDescent="0.25">
      <c r="A45" s="52">
        <v>357544</v>
      </c>
      <c r="B45" s="62" t="s">
        <v>4170</v>
      </c>
      <c r="C45" s="60"/>
    </row>
    <row r="46" spans="1:5" x14ac:dyDescent="0.25">
      <c r="A46" s="52">
        <v>357550</v>
      </c>
      <c r="B46" s="62" t="s">
        <v>4170</v>
      </c>
      <c r="C46" s="60"/>
    </row>
    <row r="47" spans="1:5" x14ac:dyDescent="0.25">
      <c r="A47" s="52">
        <v>137073</v>
      </c>
      <c r="B47" s="70">
        <v>3329</v>
      </c>
      <c r="C47" s="60" t="s">
        <v>136</v>
      </c>
    </row>
    <row r="48" spans="1:5" x14ac:dyDescent="0.25">
      <c r="A48" s="52">
        <v>137074</v>
      </c>
      <c r="B48" s="60">
        <v>1949</v>
      </c>
      <c r="C48" s="60" t="s">
        <v>4247</v>
      </c>
    </row>
    <row r="49" spans="1:3" x14ac:dyDescent="0.25">
      <c r="A49" s="52">
        <v>137075</v>
      </c>
      <c r="B49" s="60">
        <v>15590</v>
      </c>
      <c r="C49" s="60" t="s">
        <v>4252</v>
      </c>
    </row>
    <row r="50" spans="1:3" x14ac:dyDescent="0.25">
      <c r="A50" s="52">
        <v>137076</v>
      </c>
      <c r="B50" s="60" t="s">
        <v>4170</v>
      </c>
      <c r="C50" s="60"/>
    </row>
    <row r="51" spans="1:3" x14ac:dyDescent="0.25">
      <c r="A51" s="52">
        <v>333228</v>
      </c>
      <c r="B51" s="70">
        <v>3329</v>
      </c>
      <c r="C51" s="60" t="s">
        <v>136</v>
      </c>
    </row>
    <row r="52" spans="1:3" x14ac:dyDescent="0.25">
      <c r="A52" s="52">
        <v>137077</v>
      </c>
      <c r="B52" s="70">
        <v>8290</v>
      </c>
      <c r="C52" s="60" t="s">
        <v>147</v>
      </c>
    </row>
    <row r="53" spans="1:3" x14ac:dyDescent="0.25">
      <c r="A53" s="52">
        <v>137078</v>
      </c>
      <c r="B53" s="70">
        <v>9690</v>
      </c>
      <c r="C53" s="60" t="s">
        <v>151</v>
      </c>
    </row>
    <row r="54" spans="1:3" x14ac:dyDescent="0.25">
      <c r="A54" s="52">
        <v>137079</v>
      </c>
      <c r="B54" s="60" t="s">
        <v>4170</v>
      </c>
      <c r="C54" s="60"/>
    </row>
    <row r="55" spans="1:3" x14ac:dyDescent="0.25">
      <c r="A55" s="52">
        <v>137080</v>
      </c>
      <c r="B55" s="70">
        <v>19749</v>
      </c>
      <c r="C55" s="60" t="s">
        <v>156</v>
      </c>
    </row>
    <row r="56" spans="1:3" x14ac:dyDescent="0.25">
      <c r="A56" s="52">
        <v>137081</v>
      </c>
      <c r="B56" s="60">
        <v>43990</v>
      </c>
      <c r="C56" s="60" t="s">
        <v>4250</v>
      </c>
    </row>
    <row r="57" spans="1:3" x14ac:dyDescent="0.25">
      <c r="A57" s="52">
        <v>137082</v>
      </c>
      <c r="B57" s="60" t="s">
        <v>4170</v>
      </c>
      <c r="C57" s="60"/>
    </row>
    <row r="58" spans="1:3" x14ac:dyDescent="0.25">
      <c r="A58" s="52">
        <v>137083</v>
      </c>
      <c r="B58" s="60">
        <v>23690</v>
      </c>
      <c r="C58" s="60" t="s">
        <v>4248</v>
      </c>
    </row>
    <row r="59" spans="1:3" x14ac:dyDescent="0.25">
      <c r="A59" s="52">
        <v>137084</v>
      </c>
      <c r="B59" s="60" t="s">
        <v>4170</v>
      </c>
      <c r="C59" s="60"/>
    </row>
    <row r="60" spans="1:3" x14ac:dyDescent="0.25">
      <c r="A60" s="52">
        <v>137085</v>
      </c>
      <c r="B60" s="60" t="s">
        <v>4170</v>
      </c>
      <c r="C60" s="60"/>
    </row>
    <row r="61" spans="1:3" x14ac:dyDescent="0.25">
      <c r="A61" s="52">
        <v>137086</v>
      </c>
      <c r="B61" s="70">
        <v>4890</v>
      </c>
      <c r="C61" s="60" t="s">
        <v>169</v>
      </c>
    </row>
    <row r="62" spans="1:3" x14ac:dyDescent="0.25">
      <c r="A62" s="52">
        <v>137087</v>
      </c>
      <c r="B62" s="70">
        <v>9090</v>
      </c>
      <c r="C62" s="60" t="s">
        <v>172</v>
      </c>
    </row>
    <row r="63" spans="1:3" x14ac:dyDescent="0.25">
      <c r="A63" s="52">
        <v>137088</v>
      </c>
      <c r="B63" s="60" t="s">
        <v>4170</v>
      </c>
      <c r="C63" s="60"/>
    </row>
    <row r="64" spans="1:3" x14ac:dyDescent="0.25">
      <c r="A64" s="52">
        <v>137089</v>
      </c>
      <c r="B64" s="60">
        <v>22290</v>
      </c>
      <c r="C64" s="60" t="s">
        <v>4253</v>
      </c>
    </row>
    <row r="65" spans="1:3" x14ac:dyDescent="0.25">
      <c r="A65" s="52">
        <v>137090</v>
      </c>
      <c r="B65" s="60">
        <v>43990</v>
      </c>
      <c r="C65" s="60" t="s">
        <v>4249</v>
      </c>
    </row>
    <row r="66" spans="1:3" x14ac:dyDescent="0.25">
      <c r="A66" s="52">
        <v>137091</v>
      </c>
      <c r="B66" s="60" t="s">
        <v>4170</v>
      </c>
      <c r="C66" s="60"/>
    </row>
    <row r="67" spans="1:3" x14ac:dyDescent="0.25">
      <c r="A67" s="52">
        <v>137092</v>
      </c>
      <c r="B67" s="70">
        <v>2590</v>
      </c>
      <c r="C67" s="60" t="s">
        <v>183</v>
      </c>
    </row>
    <row r="68" spans="1:3" x14ac:dyDescent="0.25">
      <c r="A68" s="52">
        <v>137094</v>
      </c>
      <c r="B68" s="60">
        <v>2690</v>
      </c>
      <c r="C68" s="60" t="s">
        <v>4251</v>
      </c>
    </row>
    <row r="69" spans="1:3" x14ac:dyDescent="0.25">
      <c r="A69" s="52">
        <v>137095</v>
      </c>
      <c r="B69" s="70">
        <v>11190</v>
      </c>
      <c r="C69" s="60" t="s">
        <v>188</v>
      </c>
    </row>
    <row r="70" spans="1:3" x14ac:dyDescent="0.25">
      <c r="A70" s="52">
        <v>137096</v>
      </c>
      <c r="B70" s="60" t="s">
        <v>4170</v>
      </c>
      <c r="C70" s="60"/>
    </row>
    <row r="71" spans="1:3" x14ac:dyDescent="0.25">
      <c r="A71" s="52">
        <v>137097</v>
      </c>
      <c r="B71" s="60" t="s">
        <v>4170</v>
      </c>
      <c r="C71" s="60"/>
    </row>
    <row r="72" spans="1:3" x14ac:dyDescent="0.25">
      <c r="A72" s="52">
        <v>137098</v>
      </c>
      <c r="B72" s="60" t="s">
        <v>4170</v>
      </c>
      <c r="C72" s="60"/>
    </row>
    <row r="73" spans="1:3" x14ac:dyDescent="0.25">
      <c r="A73" s="52">
        <v>137099</v>
      </c>
      <c r="B73" s="60" t="s">
        <v>4170</v>
      </c>
      <c r="C73" s="60"/>
    </row>
    <row r="74" spans="1:3" x14ac:dyDescent="0.25">
      <c r="A74" s="52">
        <v>137100</v>
      </c>
      <c r="B74" s="60" t="s">
        <v>4170</v>
      </c>
      <c r="C74" s="60"/>
    </row>
    <row r="75" spans="1:3" x14ac:dyDescent="0.25">
      <c r="A75" s="52">
        <v>138722</v>
      </c>
      <c r="B75" s="70">
        <v>3990</v>
      </c>
      <c r="C75" s="60" t="s">
        <v>203</v>
      </c>
    </row>
    <row r="76" spans="1:3" x14ac:dyDescent="0.25">
      <c r="A76" s="52">
        <v>138723</v>
      </c>
      <c r="B76" s="70">
        <v>3990</v>
      </c>
      <c r="C76" s="60" t="s">
        <v>206</v>
      </c>
    </row>
    <row r="77" spans="1:3" x14ac:dyDescent="0.25">
      <c r="A77" s="52">
        <v>138733</v>
      </c>
      <c r="B77" s="60" t="s">
        <v>4170</v>
      </c>
      <c r="C77" s="60"/>
    </row>
    <row r="78" spans="1:3" x14ac:dyDescent="0.25">
      <c r="A78" s="52">
        <v>138734</v>
      </c>
      <c r="B78" s="70">
        <v>9190</v>
      </c>
      <c r="C78" s="60" t="s">
        <v>218</v>
      </c>
    </row>
    <row r="79" spans="1:3" x14ac:dyDescent="0.25">
      <c r="A79" s="52">
        <v>138736</v>
      </c>
      <c r="B79" s="70">
        <v>2890</v>
      </c>
      <c r="C79" s="60" t="s">
        <v>222</v>
      </c>
    </row>
    <row r="80" spans="1:3" x14ac:dyDescent="0.25">
      <c r="A80" s="52">
        <v>138737</v>
      </c>
      <c r="B80" s="76" t="s">
        <v>4285</v>
      </c>
      <c r="C80" s="60"/>
    </row>
    <row r="81" spans="1:3" x14ac:dyDescent="0.25">
      <c r="A81" s="52">
        <v>138738</v>
      </c>
      <c r="B81" s="70">
        <v>3090</v>
      </c>
      <c r="C81" s="60" t="s">
        <v>227</v>
      </c>
    </row>
    <row r="82" spans="1:3" x14ac:dyDescent="0.25">
      <c r="A82" s="52">
        <v>138739</v>
      </c>
      <c r="B82" s="70">
        <v>10790</v>
      </c>
      <c r="C82" s="60" t="s">
        <v>230</v>
      </c>
    </row>
    <row r="83" spans="1:3" x14ac:dyDescent="0.25">
      <c r="A83" s="52">
        <v>138740</v>
      </c>
      <c r="B83" s="60" t="s">
        <v>4170</v>
      </c>
      <c r="C83" s="60"/>
    </row>
    <row r="84" spans="1:3" x14ac:dyDescent="0.25">
      <c r="A84" s="52">
        <v>138741</v>
      </c>
      <c r="B84" s="70">
        <v>30590</v>
      </c>
      <c r="C84" s="60" t="s">
        <v>235</v>
      </c>
    </row>
    <row r="85" spans="1:3" x14ac:dyDescent="0.25">
      <c r="A85" s="52">
        <v>138742</v>
      </c>
      <c r="B85" s="60" t="s">
        <v>4170</v>
      </c>
      <c r="C85" s="60"/>
    </row>
    <row r="86" spans="1:3" x14ac:dyDescent="0.25">
      <c r="A86" s="52">
        <v>138743</v>
      </c>
      <c r="B86" s="60" t="s">
        <v>4170</v>
      </c>
      <c r="C86" s="60"/>
    </row>
    <row r="87" spans="1:3" x14ac:dyDescent="0.25">
      <c r="A87" s="52">
        <v>138744</v>
      </c>
      <c r="B87" s="62" t="s">
        <v>4170</v>
      </c>
      <c r="C87" s="60"/>
    </row>
    <row r="88" spans="1:3" x14ac:dyDescent="0.25">
      <c r="A88" s="52">
        <v>138745</v>
      </c>
      <c r="B88" s="60" t="s">
        <v>4170</v>
      </c>
      <c r="C88" s="60"/>
    </row>
    <row r="89" spans="1:3" x14ac:dyDescent="0.25">
      <c r="A89" s="52">
        <v>138746</v>
      </c>
      <c r="B89" s="70">
        <v>30590</v>
      </c>
      <c r="C89" s="60" t="s">
        <v>250</v>
      </c>
    </row>
    <row r="90" spans="1:3" x14ac:dyDescent="0.25">
      <c r="A90" s="52">
        <v>138747</v>
      </c>
      <c r="B90" s="60" t="s">
        <v>4170</v>
      </c>
      <c r="C90" s="60"/>
    </row>
    <row r="91" spans="1:3" x14ac:dyDescent="0.25">
      <c r="A91" s="52">
        <v>138748</v>
      </c>
      <c r="B91" s="70">
        <v>11390</v>
      </c>
      <c r="C91" s="60" t="s">
        <v>256</v>
      </c>
    </row>
    <row r="92" spans="1:3" x14ac:dyDescent="0.25">
      <c r="A92" s="52">
        <v>138749</v>
      </c>
      <c r="B92" s="70">
        <v>17690</v>
      </c>
      <c r="C92" s="60" t="s">
        <v>259</v>
      </c>
    </row>
    <row r="93" spans="1:3" x14ac:dyDescent="0.25">
      <c r="A93" s="52">
        <v>138750</v>
      </c>
      <c r="B93" s="70">
        <v>17690</v>
      </c>
      <c r="C93" s="60" t="s">
        <v>262</v>
      </c>
    </row>
    <row r="94" spans="1:3" x14ac:dyDescent="0.25">
      <c r="A94" s="52">
        <v>138838</v>
      </c>
      <c r="B94" s="70">
        <v>990</v>
      </c>
      <c r="C94" s="60" t="s">
        <v>264</v>
      </c>
    </row>
    <row r="95" spans="1:3" x14ac:dyDescent="0.25">
      <c r="A95" s="52">
        <v>139262</v>
      </c>
      <c r="B95" s="70">
        <v>990</v>
      </c>
      <c r="C95" s="60" t="s">
        <v>267</v>
      </c>
    </row>
    <row r="96" spans="1:3" x14ac:dyDescent="0.25">
      <c r="A96" s="52">
        <v>139619</v>
      </c>
      <c r="B96" s="70">
        <v>1290</v>
      </c>
      <c r="C96" s="60" t="s">
        <v>271</v>
      </c>
    </row>
    <row r="97" spans="1:3" x14ac:dyDescent="0.25">
      <c r="A97" s="52">
        <v>142251</v>
      </c>
      <c r="B97" s="60">
        <v>9090</v>
      </c>
      <c r="C97" s="60" t="s">
        <v>4289</v>
      </c>
    </row>
    <row r="98" spans="1:3" x14ac:dyDescent="0.25">
      <c r="A98" s="52">
        <v>142253</v>
      </c>
      <c r="B98" s="60">
        <v>9090</v>
      </c>
      <c r="C98" s="60" t="s">
        <v>4290</v>
      </c>
    </row>
    <row r="99" spans="1:3" x14ac:dyDescent="0.25">
      <c r="A99" s="52">
        <v>142285</v>
      </c>
      <c r="B99" s="76" t="s">
        <v>4285</v>
      </c>
      <c r="C99" s="60"/>
    </row>
    <row r="100" spans="1:3" x14ac:dyDescent="0.25">
      <c r="A100" s="52">
        <v>142289</v>
      </c>
      <c r="B100" s="76" t="s">
        <v>4285</v>
      </c>
      <c r="C100" s="60"/>
    </row>
    <row r="101" spans="1:3" x14ac:dyDescent="0.25">
      <c r="A101" s="52">
        <v>145010</v>
      </c>
      <c r="B101" s="60" t="s">
        <v>4170</v>
      </c>
      <c r="C101" s="60"/>
    </row>
    <row r="102" spans="1:3" x14ac:dyDescent="0.25">
      <c r="A102" s="52">
        <v>145011</v>
      </c>
      <c r="B102" s="60" t="s">
        <v>4170</v>
      </c>
      <c r="C102" s="60"/>
    </row>
    <row r="103" spans="1:3" x14ac:dyDescent="0.25">
      <c r="A103" s="52">
        <v>145012</v>
      </c>
      <c r="B103" s="60" t="s">
        <v>4170</v>
      </c>
      <c r="C103" s="60"/>
    </row>
    <row r="104" spans="1:3" x14ac:dyDescent="0.25">
      <c r="A104" s="52">
        <v>145013</v>
      </c>
      <c r="B104" s="70">
        <v>1890</v>
      </c>
      <c r="C104" s="60" t="s">
        <v>290</v>
      </c>
    </row>
    <row r="105" spans="1:3" x14ac:dyDescent="0.25">
      <c r="A105" s="52">
        <v>145014</v>
      </c>
      <c r="B105" s="60">
        <v>1890</v>
      </c>
      <c r="C105" s="60" t="s">
        <v>290</v>
      </c>
    </row>
    <row r="106" spans="1:3" x14ac:dyDescent="0.25">
      <c r="A106" s="52">
        <v>145015</v>
      </c>
      <c r="B106" s="70">
        <v>1890</v>
      </c>
      <c r="C106" s="60" t="s">
        <v>297</v>
      </c>
    </row>
    <row r="107" spans="1:3" x14ac:dyDescent="0.25">
      <c r="A107" s="52">
        <v>145016</v>
      </c>
      <c r="B107" s="60" t="s">
        <v>4170</v>
      </c>
      <c r="C107" s="60"/>
    </row>
    <row r="108" spans="1:3" x14ac:dyDescent="0.25">
      <c r="A108" s="52">
        <v>145017</v>
      </c>
      <c r="B108" s="70">
        <v>2590</v>
      </c>
      <c r="C108" s="60" t="s">
        <v>302</v>
      </c>
    </row>
    <row r="109" spans="1:3" x14ac:dyDescent="0.25">
      <c r="A109" s="52">
        <v>145018</v>
      </c>
      <c r="B109" s="60">
        <v>2390</v>
      </c>
      <c r="C109" s="60" t="s">
        <v>4303</v>
      </c>
    </row>
    <row r="110" spans="1:3" x14ac:dyDescent="0.25">
      <c r="A110" s="52">
        <v>145019</v>
      </c>
      <c r="B110" s="70">
        <v>1390</v>
      </c>
      <c r="C110" s="60" t="s">
        <v>307</v>
      </c>
    </row>
    <row r="111" spans="1:3" x14ac:dyDescent="0.25">
      <c r="A111" s="52">
        <v>145020</v>
      </c>
      <c r="B111" s="70">
        <v>2390</v>
      </c>
      <c r="C111" s="60" t="s">
        <v>310</v>
      </c>
    </row>
    <row r="112" spans="1:3" x14ac:dyDescent="0.25">
      <c r="A112" s="52">
        <v>145021</v>
      </c>
      <c r="B112" s="70">
        <v>1390</v>
      </c>
      <c r="C112" s="60" t="s">
        <v>313</v>
      </c>
    </row>
    <row r="113" spans="1:3" x14ac:dyDescent="0.25">
      <c r="A113" s="52">
        <v>145022</v>
      </c>
      <c r="B113" s="70">
        <v>3990</v>
      </c>
      <c r="C113" s="60" t="s">
        <v>316</v>
      </c>
    </row>
    <row r="114" spans="1:3" x14ac:dyDescent="0.25">
      <c r="A114" s="52">
        <v>145023</v>
      </c>
      <c r="B114" s="70">
        <v>3990</v>
      </c>
      <c r="C114" s="60" t="s">
        <v>319</v>
      </c>
    </row>
    <row r="115" spans="1:3" x14ac:dyDescent="0.25">
      <c r="A115" s="52">
        <v>145024</v>
      </c>
      <c r="B115" s="70">
        <v>290</v>
      </c>
      <c r="C115" s="60" t="s">
        <v>322</v>
      </c>
    </row>
    <row r="116" spans="1:3" x14ac:dyDescent="0.25">
      <c r="A116" s="52">
        <v>145025</v>
      </c>
      <c r="B116" s="70">
        <v>249</v>
      </c>
      <c r="C116" s="60" t="s">
        <v>325</v>
      </c>
    </row>
    <row r="117" spans="1:3" x14ac:dyDescent="0.25">
      <c r="A117" s="52">
        <v>145026</v>
      </c>
      <c r="B117" s="70">
        <v>529</v>
      </c>
      <c r="C117" s="60" t="s">
        <v>328</v>
      </c>
    </row>
    <row r="118" spans="1:3" x14ac:dyDescent="0.25">
      <c r="A118" s="52">
        <v>145027</v>
      </c>
      <c r="B118" s="70">
        <v>249</v>
      </c>
      <c r="C118" s="60" t="s">
        <v>331</v>
      </c>
    </row>
    <row r="119" spans="1:3" x14ac:dyDescent="0.25">
      <c r="A119" s="52">
        <v>145028</v>
      </c>
      <c r="B119" s="70">
        <v>529</v>
      </c>
      <c r="C119" s="60" t="s">
        <v>334</v>
      </c>
    </row>
    <row r="120" spans="1:3" x14ac:dyDescent="0.25">
      <c r="A120" s="52">
        <v>145029</v>
      </c>
      <c r="B120" s="70">
        <v>4590</v>
      </c>
      <c r="C120" s="60" t="s">
        <v>337</v>
      </c>
    </row>
    <row r="121" spans="1:3" x14ac:dyDescent="0.25">
      <c r="A121" s="52">
        <v>145030</v>
      </c>
      <c r="B121" s="70">
        <v>2290</v>
      </c>
      <c r="C121" s="60" t="s">
        <v>340</v>
      </c>
    </row>
    <row r="122" spans="1:3" x14ac:dyDescent="0.25">
      <c r="A122" s="52">
        <v>145031</v>
      </c>
      <c r="B122" s="70">
        <v>2690</v>
      </c>
      <c r="C122" s="60" t="s">
        <v>343</v>
      </c>
    </row>
    <row r="123" spans="1:3" x14ac:dyDescent="0.25">
      <c r="A123" s="52">
        <v>145032</v>
      </c>
      <c r="B123" s="70">
        <v>4590</v>
      </c>
      <c r="C123" s="60" t="s">
        <v>346</v>
      </c>
    </row>
    <row r="124" spans="1:3" x14ac:dyDescent="0.25">
      <c r="A124" s="52">
        <v>152866</v>
      </c>
      <c r="B124" s="60" t="s">
        <v>4170</v>
      </c>
      <c r="C124" s="60"/>
    </row>
    <row r="125" spans="1:3" x14ac:dyDescent="0.25">
      <c r="A125" s="52">
        <v>155727</v>
      </c>
      <c r="B125" s="60" t="s">
        <v>4170</v>
      </c>
      <c r="C125" s="60"/>
    </row>
    <row r="126" spans="1:3" x14ac:dyDescent="0.25">
      <c r="A126" s="52">
        <v>155729</v>
      </c>
      <c r="B126" s="70">
        <v>7490</v>
      </c>
      <c r="C126" s="60" t="s">
        <v>353</v>
      </c>
    </row>
    <row r="127" spans="1:3" x14ac:dyDescent="0.25">
      <c r="A127" s="52">
        <v>155730</v>
      </c>
      <c r="B127" s="70">
        <v>7390</v>
      </c>
      <c r="C127" s="60" t="s">
        <v>356</v>
      </c>
    </row>
    <row r="128" spans="1:3" x14ac:dyDescent="0.25">
      <c r="A128" s="52">
        <v>160331</v>
      </c>
      <c r="B128" s="62" t="s">
        <v>4170</v>
      </c>
      <c r="C128" s="60"/>
    </row>
    <row r="129" spans="1:3" x14ac:dyDescent="0.25">
      <c r="A129" s="52">
        <v>160632</v>
      </c>
      <c r="B129" s="60" t="s">
        <v>4170</v>
      </c>
      <c r="C129" s="60"/>
    </row>
    <row r="130" spans="1:3" x14ac:dyDescent="0.25">
      <c r="A130" s="52">
        <v>160633</v>
      </c>
      <c r="B130" s="60" t="s">
        <v>4170</v>
      </c>
      <c r="C130" s="60"/>
    </row>
    <row r="131" spans="1:3" x14ac:dyDescent="0.25">
      <c r="A131" s="52">
        <v>160634</v>
      </c>
      <c r="B131" s="60" t="s">
        <v>4170</v>
      </c>
      <c r="C131" s="60"/>
    </row>
    <row r="132" spans="1:3" x14ac:dyDescent="0.25">
      <c r="A132" s="52">
        <v>160635</v>
      </c>
      <c r="B132" s="60" t="s">
        <v>4170</v>
      </c>
      <c r="C132" s="60"/>
    </row>
    <row r="133" spans="1:3" x14ac:dyDescent="0.25">
      <c r="A133" s="52">
        <v>160636</v>
      </c>
      <c r="B133" s="60" t="s">
        <v>4170</v>
      </c>
      <c r="C133" s="60"/>
    </row>
    <row r="134" spans="1:3" x14ac:dyDescent="0.25">
      <c r="A134" s="52">
        <v>160637</v>
      </c>
      <c r="B134" s="62" t="s">
        <v>4170</v>
      </c>
      <c r="C134" s="60"/>
    </row>
    <row r="135" spans="1:3" x14ac:dyDescent="0.25">
      <c r="A135" s="52">
        <v>160638</v>
      </c>
      <c r="B135" s="62" t="s">
        <v>4170</v>
      </c>
      <c r="C135" s="60"/>
    </row>
    <row r="136" spans="1:3" x14ac:dyDescent="0.25">
      <c r="A136" s="52">
        <v>160649</v>
      </c>
      <c r="B136" s="60" t="s">
        <v>4170</v>
      </c>
      <c r="C136" s="60"/>
    </row>
    <row r="137" spans="1:3" x14ac:dyDescent="0.25">
      <c r="A137" s="52">
        <v>160650</v>
      </c>
      <c r="B137" s="60" t="s">
        <v>4170</v>
      </c>
      <c r="C137" s="60"/>
    </row>
    <row r="138" spans="1:3" x14ac:dyDescent="0.25">
      <c r="A138" s="52">
        <v>160678</v>
      </c>
      <c r="B138" s="70">
        <v>629</v>
      </c>
      <c r="C138" s="60" t="s">
        <v>383</v>
      </c>
    </row>
    <row r="139" spans="1:3" x14ac:dyDescent="0.25">
      <c r="A139" s="52">
        <v>160695</v>
      </c>
      <c r="B139" s="60" t="s">
        <v>4170</v>
      </c>
      <c r="C139" s="60"/>
    </row>
    <row r="140" spans="1:3" x14ac:dyDescent="0.25">
      <c r="A140" s="52">
        <v>160696</v>
      </c>
      <c r="B140" s="60" t="s">
        <v>4170</v>
      </c>
      <c r="C140" s="60"/>
    </row>
    <row r="141" spans="1:3" x14ac:dyDescent="0.25">
      <c r="A141" s="52">
        <v>160704</v>
      </c>
      <c r="B141" s="60" t="s">
        <v>4170</v>
      </c>
      <c r="C141" s="60"/>
    </row>
    <row r="142" spans="1:3" x14ac:dyDescent="0.25">
      <c r="A142" s="52">
        <v>160705</v>
      </c>
      <c r="B142" s="60" t="s">
        <v>4170</v>
      </c>
      <c r="C142" s="60"/>
    </row>
    <row r="143" spans="1:3" x14ac:dyDescent="0.25">
      <c r="A143" s="52">
        <v>160706</v>
      </c>
      <c r="B143" s="76" t="s">
        <v>4285</v>
      </c>
      <c r="C143" s="60"/>
    </row>
    <row r="144" spans="1:3" x14ac:dyDescent="0.25">
      <c r="A144" s="52">
        <v>160708</v>
      </c>
      <c r="B144" s="70">
        <v>490</v>
      </c>
      <c r="C144" s="60" t="s">
        <v>398</v>
      </c>
    </row>
    <row r="145" spans="1:3" x14ac:dyDescent="0.25">
      <c r="A145" s="52">
        <v>160721</v>
      </c>
      <c r="B145" s="60" t="s">
        <v>4170</v>
      </c>
      <c r="C145" s="60"/>
    </row>
    <row r="146" spans="1:3" x14ac:dyDescent="0.25">
      <c r="A146" s="52">
        <v>160724</v>
      </c>
      <c r="B146" s="60" t="s">
        <v>4170</v>
      </c>
      <c r="C146" s="60"/>
    </row>
    <row r="147" spans="1:3" x14ac:dyDescent="0.25">
      <c r="A147" s="52">
        <v>160725</v>
      </c>
      <c r="B147" s="60" t="s">
        <v>4170</v>
      </c>
      <c r="C147" s="60"/>
    </row>
    <row r="148" spans="1:3" x14ac:dyDescent="0.25">
      <c r="A148" s="52">
        <v>160728</v>
      </c>
      <c r="B148" s="60" t="s">
        <v>4170</v>
      </c>
      <c r="C148" s="60"/>
    </row>
    <row r="149" spans="1:3" x14ac:dyDescent="0.25">
      <c r="A149" s="52">
        <v>160754</v>
      </c>
      <c r="B149" s="60" t="s">
        <v>4170</v>
      </c>
      <c r="C149" s="60"/>
    </row>
    <row r="150" spans="1:3" x14ac:dyDescent="0.25">
      <c r="A150" s="52">
        <v>160783</v>
      </c>
      <c r="B150" s="60" t="s">
        <v>4170</v>
      </c>
      <c r="C150" s="60"/>
    </row>
    <row r="151" spans="1:3" x14ac:dyDescent="0.25">
      <c r="A151" s="52">
        <v>160894</v>
      </c>
      <c r="B151" s="60" t="s">
        <v>4193</v>
      </c>
      <c r="C151" s="60" t="s">
        <v>4192</v>
      </c>
    </row>
    <row r="152" spans="1:3" x14ac:dyDescent="0.25">
      <c r="A152" s="52">
        <v>160895</v>
      </c>
      <c r="B152" s="60">
        <v>5990</v>
      </c>
      <c r="C152" s="60" t="s">
        <v>4175</v>
      </c>
    </row>
    <row r="153" spans="1:3" x14ac:dyDescent="0.25">
      <c r="A153" s="52">
        <v>160896</v>
      </c>
      <c r="B153" s="60" t="s">
        <v>4177</v>
      </c>
      <c r="C153" s="60" t="s">
        <v>4176</v>
      </c>
    </row>
    <row r="154" spans="1:3" x14ac:dyDescent="0.25">
      <c r="A154" s="52">
        <v>160897</v>
      </c>
      <c r="B154" s="60">
        <v>15590</v>
      </c>
      <c r="C154" s="60" t="s">
        <v>4178</v>
      </c>
    </row>
    <row r="155" spans="1:3" x14ac:dyDescent="0.25">
      <c r="A155" s="52">
        <v>160900</v>
      </c>
      <c r="B155" s="60">
        <v>19990</v>
      </c>
      <c r="C155" s="60" t="s">
        <v>4188</v>
      </c>
    </row>
    <row r="156" spans="1:3" x14ac:dyDescent="0.25">
      <c r="A156" s="52">
        <v>160899</v>
      </c>
      <c r="B156" s="60">
        <v>19590</v>
      </c>
      <c r="C156" s="60" t="s">
        <v>4183</v>
      </c>
    </row>
    <row r="157" spans="1:3" x14ac:dyDescent="0.25">
      <c r="A157" s="52">
        <v>160901</v>
      </c>
      <c r="B157" s="60">
        <v>13990</v>
      </c>
      <c r="C157" s="60" t="s">
        <v>4180</v>
      </c>
    </row>
    <row r="158" spans="1:3" x14ac:dyDescent="0.25">
      <c r="A158" s="52">
        <v>160902</v>
      </c>
      <c r="B158" s="60">
        <v>12990</v>
      </c>
      <c r="C158" s="60" t="s">
        <v>4194</v>
      </c>
    </row>
    <row r="159" spans="1:3" x14ac:dyDescent="0.25">
      <c r="A159" s="52">
        <v>160898</v>
      </c>
      <c r="B159" s="60">
        <v>14390</v>
      </c>
      <c r="C159" s="60" t="s">
        <v>4179</v>
      </c>
    </row>
    <row r="160" spans="1:3" x14ac:dyDescent="0.25">
      <c r="A160" s="52">
        <v>160903</v>
      </c>
      <c r="B160" s="60">
        <v>14890</v>
      </c>
      <c r="C160" s="60" t="s">
        <v>4202</v>
      </c>
    </row>
    <row r="161" spans="1:3" x14ac:dyDescent="0.25">
      <c r="A161" s="52">
        <v>160904</v>
      </c>
      <c r="B161" s="60">
        <v>18790</v>
      </c>
      <c r="C161" s="60" t="s">
        <v>4173</v>
      </c>
    </row>
    <row r="162" spans="1:3" x14ac:dyDescent="0.25">
      <c r="A162" s="52">
        <v>160905</v>
      </c>
      <c r="B162" s="60" t="s">
        <v>4198</v>
      </c>
      <c r="C162" s="60" t="s">
        <v>4197</v>
      </c>
    </row>
    <row r="163" spans="1:3" x14ac:dyDescent="0.25">
      <c r="A163" s="52">
        <v>160906</v>
      </c>
      <c r="B163" s="60">
        <v>15490</v>
      </c>
      <c r="C163" s="60" t="s">
        <v>4199</v>
      </c>
    </row>
    <row r="164" spans="1:3" x14ac:dyDescent="0.25">
      <c r="A164" s="52">
        <v>160907</v>
      </c>
      <c r="B164" s="60">
        <v>14590</v>
      </c>
      <c r="C164" s="60" t="s">
        <v>4182</v>
      </c>
    </row>
    <row r="165" spans="1:3" x14ac:dyDescent="0.25">
      <c r="A165" s="52">
        <v>160908</v>
      </c>
      <c r="B165" s="60">
        <v>5990</v>
      </c>
      <c r="C165" s="60" t="s">
        <v>4181</v>
      </c>
    </row>
    <row r="166" spans="1:3" x14ac:dyDescent="0.25">
      <c r="A166" s="52">
        <v>160909</v>
      </c>
      <c r="B166" s="60">
        <v>15390</v>
      </c>
      <c r="C166" s="60" t="s">
        <v>4203</v>
      </c>
    </row>
    <row r="167" spans="1:3" x14ac:dyDescent="0.25">
      <c r="A167" s="52">
        <v>160910</v>
      </c>
      <c r="B167" s="60">
        <v>15590</v>
      </c>
      <c r="C167" s="60" t="s">
        <v>4204</v>
      </c>
    </row>
    <row r="168" spans="1:3" x14ac:dyDescent="0.25">
      <c r="A168" s="52">
        <v>160911</v>
      </c>
      <c r="B168" s="60">
        <v>12490</v>
      </c>
      <c r="C168" s="60" t="s">
        <v>4185</v>
      </c>
    </row>
    <row r="169" spans="1:3" x14ac:dyDescent="0.25">
      <c r="A169" s="52">
        <v>160912</v>
      </c>
      <c r="B169" s="60">
        <v>12790</v>
      </c>
      <c r="C169" s="60" t="s">
        <v>4195</v>
      </c>
    </row>
    <row r="170" spans="1:3" x14ac:dyDescent="0.25">
      <c r="A170" s="52">
        <v>160913</v>
      </c>
      <c r="B170" s="60">
        <v>13190</v>
      </c>
      <c r="C170" s="60" t="s">
        <v>4196</v>
      </c>
    </row>
    <row r="171" spans="1:3" x14ac:dyDescent="0.25">
      <c r="A171" s="52">
        <v>160914</v>
      </c>
      <c r="B171" s="60">
        <v>15990</v>
      </c>
      <c r="C171" s="60" t="s">
        <v>4201</v>
      </c>
    </row>
    <row r="172" spans="1:3" x14ac:dyDescent="0.25">
      <c r="A172" s="52">
        <v>160915</v>
      </c>
      <c r="B172" s="60">
        <v>15890</v>
      </c>
      <c r="C172" s="60" t="s">
        <v>4186</v>
      </c>
    </row>
    <row r="173" spans="1:3" x14ac:dyDescent="0.25">
      <c r="A173" s="52">
        <v>160917</v>
      </c>
      <c r="B173" s="60">
        <v>19290</v>
      </c>
      <c r="C173" s="60" t="s">
        <v>4184</v>
      </c>
    </row>
    <row r="174" spans="1:3" x14ac:dyDescent="0.25">
      <c r="A174" s="52">
        <v>160916</v>
      </c>
      <c r="B174" s="60">
        <v>15990</v>
      </c>
      <c r="C174" s="60" t="s">
        <v>4187</v>
      </c>
    </row>
    <row r="175" spans="1:3" x14ac:dyDescent="0.25">
      <c r="A175" s="52">
        <v>160918</v>
      </c>
      <c r="B175" s="60">
        <v>15890</v>
      </c>
      <c r="C175" s="60" t="s">
        <v>4186</v>
      </c>
    </row>
    <row r="176" spans="1:3" x14ac:dyDescent="0.25">
      <c r="A176" s="52">
        <v>160919</v>
      </c>
      <c r="B176" s="60">
        <v>19190</v>
      </c>
      <c r="C176" s="60" t="s">
        <v>4200</v>
      </c>
    </row>
    <row r="177" spans="1:3" x14ac:dyDescent="0.25">
      <c r="A177" s="52">
        <v>160922</v>
      </c>
      <c r="B177" s="60">
        <v>6590</v>
      </c>
      <c r="C177" s="60" t="s">
        <v>4292</v>
      </c>
    </row>
    <row r="178" spans="1:3" x14ac:dyDescent="0.25">
      <c r="A178" s="52">
        <v>160923</v>
      </c>
      <c r="B178" s="60">
        <v>11590</v>
      </c>
      <c r="C178" s="60" t="s">
        <v>4174</v>
      </c>
    </row>
    <row r="179" spans="1:3" x14ac:dyDescent="0.25">
      <c r="A179" s="52">
        <v>160925</v>
      </c>
      <c r="B179" s="60">
        <v>6990</v>
      </c>
      <c r="C179" s="60" t="s">
        <v>4291</v>
      </c>
    </row>
    <row r="180" spans="1:3" x14ac:dyDescent="0.25">
      <c r="A180" s="52">
        <v>160926</v>
      </c>
      <c r="B180" s="60">
        <v>13190</v>
      </c>
      <c r="C180" s="60" t="s">
        <v>4191</v>
      </c>
    </row>
    <row r="181" spans="1:3" x14ac:dyDescent="0.25">
      <c r="A181" s="52">
        <v>161096</v>
      </c>
      <c r="B181" s="60">
        <v>2690</v>
      </c>
      <c r="C181" s="60" t="s">
        <v>4189</v>
      </c>
    </row>
    <row r="182" spans="1:3" x14ac:dyDescent="0.25">
      <c r="A182" s="52">
        <v>161128</v>
      </c>
      <c r="B182" s="60">
        <v>2690</v>
      </c>
      <c r="C182" s="60" t="s">
        <v>4190</v>
      </c>
    </row>
    <row r="183" spans="1:3" x14ac:dyDescent="0.25">
      <c r="A183" s="52">
        <v>162327</v>
      </c>
      <c r="B183" s="62" t="s">
        <v>4170</v>
      </c>
      <c r="C183" s="60"/>
    </row>
    <row r="184" spans="1:3" x14ac:dyDescent="0.25">
      <c r="A184" s="52">
        <v>162914</v>
      </c>
      <c r="B184" s="70">
        <v>269</v>
      </c>
      <c r="C184" s="60" t="s">
        <v>506</v>
      </c>
    </row>
    <row r="185" spans="1:3" x14ac:dyDescent="0.25">
      <c r="A185" s="52">
        <v>214050</v>
      </c>
      <c r="B185" s="60">
        <v>199</v>
      </c>
      <c r="C185" s="60" t="s">
        <v>4227</v>
      </c>
    </row>
    <row r="186" spans="1:3" x14ac:dyDescent="0.25">
      <c r="A186" s="52">
        <v>162917</v>
      </c>
      <c r="B186" s="60">
        <v>269</v>
      </c>
      <c r="C186" s="60" t="s">
        <v>506</v>
      </c>
    </row>
    <row r="187" spans="1:3" x14ac:dyDescent="0.25">
      <c r="A187" s="52">
        <v>163474</v>
      </c>
      <c r="B187" s="60" t="s">
        <v>4170</v>
      </c>
      <c r="C187" s="60"/>
    </row>
    <row r="188" spans="1:3" x14ac:dyDescent="0.25">
      <c r="A188" s="52">
        <v>163475</v>
      </c>
      <c r="B188" s="60" t="s">
        <v>4170</v>
      </c>
      <c r="C188" s="60"/>
    </row>
    <row r="189" spans="1:3" x14ac:dyDescent="0.25">
      <c r="A189" s="52">
        <v>163476</v>
      </c>
      <c r="B189" s="60" t="s">
        <v>4170</v>
      </c>
      <c r="C189" s="60"/>
    </row>
    <row r="190" spans="1:3" x14ac:dyDescent="0.25">
      <c r="A190" s="52">
        <v>163477</v>
      </c>
      <c r="B190" s="60" t="s">
        <v>4170</v>
      </c>
      <c r="C190" s="60"/>
    </row>
    <row r="191" spans="1:3" x14ac:dyDescent="0.25">
      <c r="A191" s="52">
        <v>163478</v>
      </c>
      <c r="B191" s="60" t="s">
        <v>4170</v>
      </c>
      <c r="C191" s="60"/>
    </row>
    <row r="192" spans="1:3" x14ac:dyDescent="0.25">
      <c r="A192" s="52">
        <v>363635</v>
      </c>
      <c r="B192" s="60" t="s">
        <v>4170</v>
      </c>
      <c r="C192" s="60"/>
    </row>
    <row r="193" spans="1:3" x14ac:dyDescent="0.25">
      <c r="A193" s="52">
        <v>163479</v>
      </c>
      <c r="B193" s="60" t="s">
        <v>4170</v>
      </c>
      <c r="C193" s="60"/>
    </row>
    <row r="194" spans="1:3" x14ac:dyDescent="0.25">
      <c r="A194" s="52">
        <v>163480</v>
      </c>
      <c r="B194" s="70">
        <v>22490</v>
      </c>
      <c r="C194" s="60" t="s">
        <v>528</v>
      </c>
    </row>
    <row r="195" spans="1:3" x14ac:dyDescent="0.25">
      <c r="A195" s="52">
        <v>163481</v>
      </c>
      <c r="B195" s="70">
        <v>7190</v>
      </c>
      <c r="C195" s="60" t="s">
        <v>531</v>
      </c>
    </row>
    <row r="196" spans="1:3" x14ac:dyDescent="0.25">
      <c r="A196" s="52">
        <v>163482</v>
      </c>
      <c r="B196" s="60" t="s">
        <v>4170</v>
      </c>
      <c r="C196" s="60"/>
    </row>
    <row r="197" spans="1:3" x14ac:dyDescent="0.25">
      <c r="A197" s="52">
        <v>163483</v>
      </c>
      <c r="B197" s="62" t="s">
        <v>4170</v>
      </c>
      <c r="C197" s="60"/>
    </row>
    <row r="198" spans="1:3" x14ac:dyDescent="0.25">
      <c r="A198" s="52">
        <v>163484</v>
      </c>
      <c r="B198" s="60" t="s">
        <v>4170</v>
      </c>
      <c r="C198" s="60"/>
    </row>
    <row r="199" spans="1:3" x14ac:dyDescent="0.25">
      <c r="A199" s="52">
        <v>163485</v>
      </c>
      <c r="B199" s="60">
        <v>4790</v>
      </c>
      <c r="C199" s="60" t="s">
        <v>4254</v>
      </c>
    </row>
    <row r="200" spans="1:3" x14ac:dyDescent="0.25">
      <c r="A200" s="52">
        <v>163486</v>
      </c>
      <c r="B200" s="76" t="s">
        <v>4285</v>
      </c>
      <c r="C200" s="60"/>
    </row>
    <row r="201" spans="1:3" x14ac:dyDescent="0.25">
      <c r="A201" s="52">
        <v>163487</v>
      </c>
      <c r="B201" s="70">
        <v>11890</v>
      </c>
      <c r="C201" s="60" t="s">
        <v>546</v>
      </c>
    </row>
    <row r="202" spans="1:3" x14ac:dyDescent="0.25">
      <c r="A202" s="52">
        <v>163488</v>
      </c>
      <c r="B202" s="70">
        <v>11390</v>
      </c>
      <c r="C202" s="60" t="s">
        <v>549</v>
      </c>
    </row>
    <row r="203" spans="1:3" x14ac:dyDescent="0.25">
      <c r="A203" s="52">
        <v>163489</v>
      </c>
      <c r="B203" s="70">
        <v>8890</v>
      </c>
      <c r="C203" s="60" t="s">
        <v>552</v>
      </c>
    </row>
    <row r="204" spans="1:3" x14ac:dyDescent="0.25">
      <c r="A204" s="52">
        <v>163490</v>
      </c>
      <c r="B204" s="70">
        <v>24190</v>
      </c>
      <c r="C204" s="60" t="s">
        <v>555</v>
      </c>
    </row>
    <row r="205" spans="1:3" x14ac:dyDescent="0.25">
      <c r="A205" s="52">
        <v>163491</v>
      </c>
      <c r="B205" s="70">
        <v>5090</v>
      </c>
      <c r="C205" s="60" t="s">
        <v>558</v>
      </c>
    </row>
    <row r="206" spans="1:3" x14ac:dyDescent="0.25">
      <c r="A206" s="52">
        <v>163492</v>
      </c>
      <c r="B206" s="70">
        <v>10390</v>
      </c>
      <c r="C206" s="60" t="s">
        <v>561</v>
      </c>
    </row>
    <row r="207" spans="1:3" x14ac:dyDescent="0.25">
      <c r="A207" s="52">
        <v>163493</v>
      </c>
      <c r="B207" s="70">
        <v>17990</v>
      </c>
      <c r="C207" s="60" t="s">
        <v>564</v>
      </c>
    </row>
    <row r="208" spans="1:3" x14ac:dyDescent="0.25">
      <c r="A208" s="52">
        <v>163494</v>
      </c>
      <c r="B208" s="70">
        <v>5090</v>
      </c>
      <c r="C208" s="60" t="s">
        <v>567</v>
      </c>
    </row>
    <row r="209" spans="1:3" x14ac:dyDescent="0.25">
      <c r="A209" s="52">
        <v>163495</v>
      </c>
      <c r="B209" s="60" t="s">
        <v>4170</v>
      </c>
      <c r="C209" s="60"/>
    </row>
    <row r="210" spans="1:3" x14ac:dyDescent="0.25">
      <c r="A210" s="52">
        <v>163496</v>
      </c>
      <c r="B210" s="60" t="s">
        <v>4170</v>
      </c>
      <c r="C210" s="60"/>
    </row>
    <row r="211" spans="1:3" x14ac:dyDescent="0.25">
      <c r="A211" s="52">
        <v>163497</v>
      </c>
      <c r="B211" s="70">
        <v>2190</v>
      </c>
      <c r="C211" s="60" t="s">
        <v>576</v>
      </c>
    </row>
    <row r="212" spans="1:3" x14ac:dyDescent="0.25">
      <c r="A212" s="52">
        <v>163498</v>
      </c>
      <c r="B212" s="76" t="s">
        <v>4285</v>
      </c>
      <c r="C212" s="60"/>
    </row>
    <row r="213" spans="1:3" x14ac:dyDescent="0.25">
      <c r="A213" s="52">
        <v>163499</v>
      </c>
      <c r="B213" s="70">
        <v>390</v>
      </c>
      <c r="C213" s="60" t="s">
        <v>581</v>
      </c>
    </row>
    <row r="214" spans="1:3" x14ac:dyDescent="0.25">
      <c r="A214" s="52">
        <v>163500</v>
      </c>
      <c r="B214" s="60" t="s">
        <v>4170</v>
      </c>
      <c r="C214" s="60"/>
    </row>
    <row r="215" spans="1:3" x14ac:dyDescent="0.25">
      <c r="A215" s="52">
        <v>163501</v>
      </c>
      <c r="B215" s="70">
        <v>390</v>
      </c>
      <c r="C215" s="60" t="s">
        <v>586</v>
      </c>
    </row>
    <row r="216" spans="1:3" x14ac:dyDescent="0.25">
      <c r="A216" s="52">
        <v>163502</v>
      </c>
      <c r="B216" s="60" t="s">
        <v>4170</v>
      </c>
      <c r="C216" s="60"/>
    </row>
    <row r="217" spans="1:3" x14ac:dyDescent="0.25">
      <c r="A217" s="52">
        <v>163503</v>
      </c>
      <c r="B217" s="60">
        <v>3390</v>
      </c>
      <c r="C217" s="60" t="s">
        <v>4293</v>
      </c>
    </row>
    <row r="218" spans="1:3" x14ac:dyDescent="0.25">
      <c r="A218" s="52">
        <v>315545</v>
      </c>
      <c r="B218" s="60" t="s">
        <v>4169</v>
      </c>
      <c r="C218" s="60"/>
    </row>
    <row r="219" spans="1:3" x14ac:dyDescent="0.25">
      <c r="A219" s="52">
        <v>163504</v>
      </c>
      <c r="B219" s="60" t="s">
        <v>4170</v>
      </c>
      <c r="C219" s="60"/>
    </row>
    <row r="220" spans="1:3" x14ac:dyDescent="0.25">
      <c r="A220" s="52">
        <v>163505</v>
      </c>
      <c r="B220" s="60" t="s">
        <v>4170</v>
      </c>
      <c r="C220" s="60"/>
    </row>
    <row r="221" spans="1:3" x14ac:dyDescent="0.25">
      <c r="A221" s="52">
        <v>163506</v>
      </c>
      <c r="B221" s="60" t="s">
        <v>4170</v>
      </c>
      <c r="C221" s="60"/>
    </row>
    <row r="222" spans="1:3" x14ac:dyDescent="0.25">
      <c r="A222" s="52">
        <v>163507</v>
      </c>
      <c r="B222" s="60" t="s">
        <v>4170</v>
      </c>
      <c r="C222" s="60"/>
    </row>
    <row r="223" spans="1:3" x14ac:dyDescent="0.25">
      <c r="A223" s="52">
        <v>163508</v>
      </c>
      <c r="B223" s="70">
        <v>1890</v>
      </c>
      <c r="C223" s="60" t="s">
        <v>607</v>
      </c>
    </row>
    <row r="224" spans="1:3" x14ac:dyDescent="0.25">
      <c r="A224" s="52">
        <v>163509</v>
      </c>
      <c r="B224" s="70">
        <v>1390</v>
      </c>
      <c r="C224" s="60" t="s">
        <v>611</v>
      </c>
    </row>
    <row r="225" spans="1:3" x14ac:dyDescent="0.25">
      <c r="A225" s="52">
        <v>163510</v>
      </c>
      <c r="B225" s="70">
        <v>1690</v>
      </c>
      <c r="C225" s="60" t="s">
        <v>615</v>
      </c>
    </row>
    <row r="226" spans="1:3" x14ac:dyDescent="0.25">
      <c r="A226" s="52">
        <v>163511</v>
      </c>
      <c r="B226" s="70">
        <v>159</v>
      </c>
      <c r="C226" s="60" t="s">
        <v>619</v>
      </c>
    </row>
    <row r="227" spans="1:3" x14ac:dyDescent="0.25">
      <c r="A227" s="52">
        <v>163512</v>
      </c>
      <c r="B227" s="70">
        <v>13190</v>
      </c>
      <c r="C227" s="60" t="s">
        <v>623</v>
      </c>
    </row>
    <row r="228" spans="1:3" x14ac:dyDescent="0.25">
      <c r="A228" s="52">
        <v>163513</v>
      </c>
      <c r="B228" s="60" t="s">
        <v>4170</v>
      </c>
      <c r="C228" s="60"/>
    </row>
    <row r="229" spans="1:3" x14ac:dyDescent="0.25">
      <c r="A229" s="52">
        <v>163514</v>
      </c>
      <c r="B229" s="70">
        <v>11890</v>
      </c>
      <c r="C229" s="60" t="s">
        <v>630</v>
      </c>
    </row>
    <row r="230" spans="1:3" x14ac:dyDescent="0.25">
      <c r="A230" s="52">
        <v>163515</v>
      </c>
      <c r="B230" s="60" t="s">
        <v>4170</v>
      </c>
      <c r="C230" s="60"/>
    </row>
    <row r="231" spans="1:3" x14ac:dyDescent="0.25">
      <c r="A231" s="52">
        <v>163516</v>
      </c>
      <c r="B231" s="70">
        <v>1190</v>
      </c>
      <c r="C231" s="60" t="s">
        <v>636</v>
      </c>
    </row>
    <row r="232" spans="1:3" x14ac:dyDescent="0.25">
      <c r="A232" s="52">
        <v>163517</v>
      </c>
      <c r="B232" s="60">
        <v>790</v>
      </c>
      <c r="C232" s="60" t="s">
        <v>4308</v>
      </c>
    </row>
    <row r="233" spans="1:3" x14ac:dyDescent="0.25">
      <c r="A233" s="52">
        <v>163518</v>
      </c>
      <c r="B233" s="60">
        <v>890</v>
      </c>
      <c r="C233" s="60" t="s">
        <v>4294</v>
      </c>
    </row>
    <row r="234" spans="1:3" x14ac:dyDescent="0.25">
      <c r="A234" s="52">
        <v>163519</v>
      </c>
      <c r="B234" s="60">
        <v>1190</v>
      </c>
      <c r="C234" s="60" t="s">
        <v>636</v>
      </c>
    </row>
    <row r="235" spans="1:3" x14ac:dyDescent="0.25">
      <c r="A235" s="52">
        <v>163520</v>
      </c>
      <c r="B235" s="70">
        <v>2690</v>
      </c>
      <c r="C235" s="60" t="s">
        <v>644</v>
      </c>
    </row>
    <row r="236" spans="1:3" x14ac:dyDescent="0.25">
      <c r="A236" s="52">
        <v>163521</v>
      </c>
      <c r="B236" s="70">
        <v>690</v>
      </c>
      <c r="C236" s="60" t="s">
        <v>647</v>
      </c>
    </row>
    <row r="237" spans="1:3" x14ac:dyDescent="0.25">
      <c r="A237" s="52">
        <v>163522</v>
      </c>
      <c r="B237" s="60">
        <v>1290</v>
      </c>
      <c r="C237" s="60" t="s">
        <v>4302</v>
      </c>
    </row>
    <row r="238" spans="1:3" x14ac:dyDescent="0.25">
      <c r="A238" s="52">
        <v>163523</v>
      </c>
      <c r="B238" s="70">
        <v>2390</v>
      </c>
      <c r="C238" s="60" t="s">
        <v>652</v>
      </c>
    </row>
    <row r="239" spans="1:3" x14ac:dyDescent="0.25">
      <c r="A239" s="52">
        <v>163524</v>
      </c>
      <c r="B239" s="70">
        <v>2690</v>
      </c>
      <c r="C239" s="60" t="s">
        <v>655</v>
      </c>
    </row>
    <row r="240" spans="1:3" x14ac:dyDescent="0.25">
      <c r="A240" s="52">
        <v>163525</v>
      </c>
      <c r="B240" s="70">
        <v>1390</v>
      </c>
      <c r="C240" s="60" t="s">
        <v>658</v>
      </c>
    </row>
    <row r="241" spans="1:3" x14ac:dyDescent="0.25">
      <c r="A241" s="52">
        <v>163526</v>
      </c>
      <c r="B241" s="60" t="s">
        <v>4170</v>
      </c>
      <c r="C241" s="60"/>
    </row>
    <row r="242" spans="1:3" x14ac:dyDescent="0.25">
      <c r="A242" s="52">
        <v>163527</v>
      </c>
      <c r="B242" s="70">
        <v>1990</v>
      </c>
      <c r="C242" s="60" t="s">
        <v>663</v>
      </c>
    </row>
    <row r="243" spans="1:3" x14ac:dyDescent="0.25">
      <c r="A243" s="52">
        <v>163528</v>
      </c>
      <c r="B243" s="70">
        <v>1790</v>
      </c>
      <c r="C243" s="60" t="s">
        <v>666</v>
      </c>
    </row>
    <row r="244" spans="1:3" x14ac:dyDescent="0.25">
      <c r="A244" s="52">
        <v>163529</v>
      </c>
      <c r="B244" s="70">
        <v>1890</v>
      </c>
      <c r="C244" s="60" t="s">
        <v>669</v>
      </c>
    </row>
    <row r="245" spans="1:3" x14ac:dyDescent="0.25">
      <c r="A245" s="52">
        <v>163530</v>
      </c>
      <c r="B245" s="60">
        <v>1690</v>
      </c>
      <c r="C245" s="60" t="s">
        <v>615</v>
      </c>
    </row>
    <row r="246" spans="1:3" x14ac:dyDescent="0.25">
      <c r="A246" s="52">
        <v>163531</v>
      </c>
      <c r="B246" s="60">
        <v>3390</v>
      </c>
      <c r="C246" s="60" t="s">
        <v>4295</v>
      </c>
    </row>
    <row r="247" spans="1:3" x14ac:dyDescent="0.25">
      <c r="A247" s="52">
        <v>315561</v>
      </c>
      <c r="B247" s="60" t="s">
        <v>4169</v>
      </c>
      <c r="C247" s="60"/>
    </row>
    <row r="248" spans="1:3" x14ac:dyDescent="0.25">
      <c r="A248" s="52">
        <v>163532</v>
      </c>
      <c r="B248" s="70">
        <v>4790</v>
      </c>
      <c r="C248" s="60" t="s">
        <v>677</v>
      </c>
    </row>
    <row r="249" spans="1:3" x14ac:dyDescent="0.25">
      <c r="A249" s="52">
        <v>267660</v>
      </c>
      <c r="B249" s="60" t="s">
        <v>4170</v>
      </c>
      <c r="C249" s="60"/>
    </row>
    <row r="250" spans="1:3" x14ac:dyDescent="0.25">
      <c r="A250" s="52">
        <v>164803</v>
      </c>
      <c r="B250" s="60">
        <v>729</v>
      </c>
      <c r="C250" s="60" t="s">
        <v>684</v>
      </c>
    </row>
    <row r="251" spans="1:3" x14ac:dyDescent="0.25">
      <c r="A251" s="52">
        <v>164804</v>
      </c>
      <c r="B251" s="70">
        <v>729</v>
      </c>
      <c r="C251" s="60" t="s">
        <v>684</v>
      </c>
    </row>
    <row r="252" spans="1:3" x14ac:dyDescent="0.25">
      <c r="A252" s="52">
        <v>164805</v>
      </c>
      <c r="B252" s="60" t="s">
        <v>4170</v>
      </c>
      <c r="C252" s="60"/>
    </row>
    <row r="253" spans="1:3" x14ac:dyDescent="0.25">
      <c r="A253" s="52">
        <v>164806</v>
      </c>
      <c r="B253" s="60" t="s">
        <v>4170</v>
      </c>
      <c r="C253" s="60"/>
    </row>
    <row r="254" spans="1:3" x14ac:dyDescent="0.25">
      <c r="A254" s="52">
        <v>165357</v>
      </c>
      <c r="B254" s="60" t="s">
        <v>4170</v>
      </c>
      <c r="C254" s="60"/>
    </row>
    <row r="255" spans="1:3" x14ac:dyDescent="0.25">
      <c r="A255" s="52">
        <v>165359</v>
      </c>
      <c r="B255" s="60" t="s">
        <v>4170</v>
      </c>
      <c r="C255" s="60"/>
    </row>
    <row r="256" spans="1:3" x14ac:dyDescent="0.25">
      <c r="A256" s="52">
        <v>165360</v>
      </c>
      <c r="B256" s="60" t="s">
        <v>4170</v>
      </c>
      <c r="C256" s="60"/>
    </row>
    <row r="257" spans="1:3" x14ac:dyDescent="0.25">
      <c r="A257" s="52">
        <v>165361</v>
      </c>
      <c r="B257" s="60" t="s">
        <v>4170</v>
      </c>
      <c r="C257" s="60"/>
    </row>
    <row r="258" spans="1:3" x14ac:dyDescent="0.25">
      <c r="A258" s="52">
        <v>165362</v>
      </c>
      <c r="B258" s="60" t="s">
        <v>4170</v>
      </c>
      <c r="C258" s="60"/>
    </row>
    <row r="259" spans="1:3" x14ac:dyDescent="0.25">
      <c r="A259" s="52">
        <v>165363</v>
      </c>
      <c r="B259" s="60" t="s">
        <v>4170</v>
      </c>
      <c r="C259" s="60"/>
    </row>
    <row r="260" spans="1:3" x14ac:dyDescent="0.25">
      <c r="A260" s="52">
        <v>165364</v>
      </c>
      <c r="B260" s="60" t="s">
        <v>4170</v>
      </c>
      <c r="C260" s="60"/>
    </row>
    <row r="261" spans="1:3" x14ac:dyDescent="0.25">
      <c r="A261" s="52">
        <v>165365</v>
      </c>
      <c r="B261" s="60" t="s">
        <v>4170</v>
      </c>
      <c r="C261" s="60"/>
    </row>
    <row r="262" spans="1:3" x14ac:dyDescent="0.25">
      <c r="A262" s="52">
        <v>165366</v>
      </c>
      <c r="B262" s="60" t="s">
        <v>4170</v>
      </c>
      <c r="C262" s="60"/>
    </row>
    <row r="263" spans="1:3" x14ac:dyDescent="0.25">
      <c r="A263" s="52">
        <v>165368</v>
      </c>
      <c r="B263" s="70">
        <v>1690</v>
      </c>
      <c r="C263" s="60" t="s">
        <v>711</v>
      </c>
    </row>
    <row r="264" spans="1:3" x14ac:dyDescent="0.25">
      <c r="A264" s="52">
        <v>165369</v>
      </c>
      <c r="B264" s="70">
        <v>590</v>
      </c>
      <c r="C264" s="60" t="s">
        <v>714</v>
      </c>
    </row>
    <row r="265" spans="1:3" x14ac:dyDescent="0.25">
      <c r="A265" s="52">
        <v>165370</v>
      </c>
      <c r="B265" s="70">
        <v>1490</v>
      </c>
      <c r="C265" s="60" t="s">
        <v>717</v>
      </c>
    </row>
    <row r="266" spans="1:3" x14ac:dyDescent="0.25">
      <c r="A266" s="52">
        <v>165371</v>
      </c>
      <c r="B266" s="70">
        <v>590</v>
      </c>
      <c r="C266" s="60" t="s">
        <v>720</v>
      </c>
    </row>
    <row r="267" spans="1:3" x14ac:dyDescent="0.25">
      <c r="A267" s="52">
        <v>165372</v>
      </c>
      <c r="B267" s="70">
        <v>1090</v>
      </c>
      <c r="C267" s="60" t="s">
        <v>723</v>
      </c>
    </row>
    <row r="268" spans="1:3" x14ac:dyDescent="0.25">
      <c r="A268" s="52">
        <v>165373</v>
      </c>
      <c r="B268" s="60" t="s">
        <v>4170</v>
      </c>
      <c r="C268" s="60"/>
    </row>
    <row r="269" spans="1:3" x14ac:dyDescent="0.25">
      <c r="A269" s="52">
        <v>165375</v>
      </c>
      <c r="B269" s="60" t="s">
        <v>4170</v>
      </c>
      <c r="C269" s="60"/>
    </row>
    <row r="270" spans="1:3" x14ac:dyDescent="0.25">
      <c r="A270" s="52">
        <v>165376</v>
      </c>
      <c r="B270" s="60" t="s">
        <v>4170</v>
      </c>
      <c r="C270" s="60"/>
    </row>
    <row r="271" spans="1:3" x14ac:dyDescent="0.25">
      <c r="A271" s="52">
        <v>165377</v>
      </c>
      <c r="B271" s="70">
        <v>1390</v>
      </c>
      <c r="C271" s="60" t="s">
        <v>733</v>
      </c>
    </row>
    <row r="272" spans="1:3" x14ac:dyDescent="0.25">
      <c r="A272" s="52">
        <v>165378</v>
      </c>
      <c r="B272" s="70">
        <v>1390</v>
      </c>
      <c r="C272" s="60" t="s">
        <v>737</v>
      </c>
    </row>
    <row r="273" spans="1:3" x14ac:dyDescent="0.25">
      <c r="A273" s="52">
        <v>165379</v>
      </c>
      <c r="B273" s="60">
        <v>990</v>
      </c>
      <c r="C273" s="60" t="s">
        <v>4296</v>
      </c>
    </row>
    <row r="274" spans="1:3" x14ac:dyDescent="0.25">
      <c r="A274" s="52">
        <v>165380</v>
      </c>
      <c r="B274" s="60">
        <v>990</v>
      </c>
      <c r="C274" s="60" t="s">
        <v>4297</v>
      </c>
    </row>
    <row r="275" spans="1:3" x14ac:dyDescent="0.25">
      <c r="A275" s="52">
        <v>165381</v>
      </c>
      <c r="B275" s="60" t="s">
        <v>4170</v>
      </c>
      <c r="C275" s="60"/>
    </row>
    <row r="276" spans="1:3" x14ac:dyDescent="0.25">
      <c r="A276" s="52">
        <v>165724</v>
      </c>
      <c r="B276" s="70">
        <v>349</v>
      </c>
      <c r="C276" s="60" t="s">
        <v>746</v>
      </c>
    </row>
    <row r="277" spans="1:3" x14ac:dyDescent="0.25">
      <c r="A277" s="52">
        <v>165725</v>
      </c>
      <c r="B277" s="70">
        <v>329</v>
      </c>
      <c r="C277" s="60" t="s">
        <v>749</v>
      </c>
    </row>
    <row r="278" spans="1:3" x14ac:dyDescent="0.25">
      <c r="A278" s="52">
        <v>165726</v>
      </c>
      <c r="B278" s="60" t="s">
        <v>4170</v>
      </c>
      <c r="C278" s="60"/>
    </row>
    <row r="279" spans="1:3" x14ac:dyDescent="0.25">
      <c r="A279" s="52">
        <v>165727</v>
      </c>
      <c r="B279" s="60">
        <v>1390</v>
      </c>
      <c r="C279" s="60" t="s">
        <v>4286</v>
      </c>
    </row>
    <row r="280" spans="1:3" x14ac:dyDescent="0.25">
      <c r="A280" s="52">
        <v>165728</v>
      </c>
      <c r="B280" s="60" t="s">
        <v>4170</v>
      </c>
      <c r="C280" s="60"/>
    </row>
    <row r="281" spans="1:3" x14ac:dyDescent="0.25">
      <c r="A281" s="52">
        <v>165729</v>
      </c>
      <c r="B281" s="60" t="s">
        <v>4170</v>
      </c>
      <c r="C281" s="60"/>
    </row>
    <row r="282" spans="1:3" x14ac:dyDescent="0.25">
      <c r="A282" s="52">
        <v>165730</v>
      </c>
      <c r="B282" s="70">
        <v>590</v>
      </c>
      <c r="C282" s="60" t="s">
        <v>763</v>
      </c>
    </row>
    <row r="283" spans="1:3" x14ac:dyDescent="0.25">
      <c r="A283" s="52">
        <v>165731</v>
      </c>
      <c r="B283" s="60" t="s">
        <v>4170</v>
      </c>
      <c r="C283" s="60"/>
    </row>
    <row r="284" spans="1:3" x14ac:dyDescent="0.25">
      <c r="A284" s="52">
        <v>165732</v>
      </c>
      <c r="B284" s="60" t="s">
        <v>4170</v>
      </c>
      <c r="C284" s="60"/>
    </row>
    <row r="285" spans="1:3" x14ac:dyDescent="0.25">
      <c r="A285" s="52">
        <v>165733</v>
      </c>
      <c r="B285" s="70">
        <v>590</v>
      </c>
      <c r="C285" s="60" t="s">
        <v>770</v>
      </c>
    </row>
    <row r="286" spans="1:3" x14ac:dyDescent="0.25">
      <c r="A286" s="52">
        <v>165734</v>
      </c>
      <c r="B286" s="60" t="s">
        <v>4170</v>
      </c>
      <c r="C286" s="60"/>
    </row>
    <row r="287" spans="1:3" x14ac:dyDescent="0.25">
      <c r="A287" s="52">
        <v>165735</v>
      </c>
      <c r="B287" s="70">
        <v>290</v>
      </c>
      <c r="C287" s="60" t="s">
        <v>775</v>
      </c>
    </row>
    <row r="288" spans="1:3" x14ac:dyDescent="0.25">
      <c r="A288" s="52">
        <v>165736</v>
      </c>
      <c r="B288" s="70">
        <v>290</v>
      </c>
      <c r="C288" s="60" t="s">
        <v>778</v>
      </c>
    </row>
    <row r="289" spans="1:3" x14ac:dyDescent="0.25">
      <c r="A289" s="52">
        <v>165737</v>
      </c>
      <c r="B289" s="60" t="s">
        <v>4170</v>
      </c>
      <c r="C289" s="60"/>
    </row>
    <row r="290" spans="1:3" x14ac:dyDescent="0.25">
      <c r="A290" s="52">
        <v>165738</v>
      </c>
      <c r="B290" s="60" t="s">
        <v>4170</v>
      </c>
      <c r="C290" s="60"/>
    </row>
    <row r="291" spans="1:3" x14ac:dyDescent="0.25">
      <c r="A291" s="52">
        <v>165739</v>
      </c>
      <c r="B291" s="70">
        <v>1790</v>
      </c>
      <c r="C291" s="60" t="s">
        <v>785</v>
      </c>
    </row>
    <row r="292" spans="1:3" x14ac:dyDescent="0.25">
      <c r="A292" s="52">
        <v>165740</v>
      </c>
      <c r="B292" s="70">
        <v>2690</v>
      </c>
      <c r="C292" s="60" t="s">
        <v>788</v>
      </c>
    </row>
    <row r="293" spans="1:3" x14ac:dyDescent="0.25">
      <c r="A293" s="52">
        <v>165741</v>
      </c>
      <c r="B293" s="70">
        <v>2690</v>
      </c>
      <c r="C293" s="60" t="s">
        <v>791</v>
      </c>
    </row>
    <row r="294" spans="1:3" x14ac:dyDescent="0.25">
      <c r="A294" s="52">
        <v>165746</v>
      </c>
      <c r="B294" s="60" t="s">
        <v>4170</v>
      </c>
      <c r="C294" s="60"/>
    </row>
    <row r="295" spans="1:3" x14ac:dyDescent="0.25">
      <c r="A295" s="52">
        <v>165747</v>
      </c>
      <c r="B295" s="70">
        <v>769</v>
      </c>
      <c r="C295" s="60" t="s">
        <v>797</v>
      </c>
    </row>
    <row r="296" spans="1:3" x14ac:dyDescent="0.25">
      <c r="A296" s="52">
        <v>165748</v>
      </c>
      <c r="B296" s="60" t="s">
        <v>4170</v>
      </c>
      <c r="C296" s="60"/>
    </row>
    <row r="297" spans="1:3" x14ac:dyDescent="0.25">
      <c r="A297" s="52">
        <v>165750</v>
      </c>
      <c r="B297" s="62" t="s">
        <v>4170</v>
      </c>
      <c r="C297" s="60"/>
    </row>
    <row r="298" spans="1:3" x14ac:dyDescent="0.25">
      <c r="A298" s="52">
        <v>166245</v>
      </c>
      <c r="B298" s="60" t="s">
        <v>4170</v>
      </c>
      <c r="C298" s="60"/>
    </row>
    <row r="299" spans="1:3" x14ac:dyDescent="0.25">
      <c r="A299" s="52">
        <v>167463</v>
      </c>
      <c r="B299" s="62" t="s">
        <v>4170</v>
      </c>
      <c r="C299" s="60"/>
    </row>
    <row r="300" spans="1:3" x14ac:dyDescent="0.25">
      <c r="A300" s="52">
        <v>167487</v>
      </c>
      <c r="B300" s="76" t="s">
        <v>4285</v>
      </c>
      <c r="C300" s="60"/>
    </row>
    <row r="301" spans="1:3" x14ac:dyDescent="0.25">
      <c r="A301" s="52">
        <v>167489</v>
      </c>
      <c r="B301" s="60" t="s">
        <v>4170</v>
      </c>
      <c r="C301" s="60"/>
    </row>
    <row r="302" spans="1:3" x14ac:dyDescent="0.25">
      <c r="A302" s="52">
        <v>167492</v>
      </c>
      <c r="B302" s="60" t="s">
        <v>4170</v>
      </c>
      <c r="C302" s="60"/>
    </row>
    <row r="303" spans="1:3" x14ac:dyDescent="0.25">
      <c r="A303" s="52">
        <v>167493</v>
      </c>
      <c r="B303" s="60" t="s">
        <v>4170</v>
      </c>
      <c r="C303" s="60"/>
    </row>
    <row r="304" spans="1:3" x14ac:dyDescent="0.25">
      <c r="A304" s="52">
        <v>167494</v>
      </c>
      <c r="B304" s="60" t="s">
        <v>4170</v>
      </c>
      <c r="C304" s="60"/>
    </row>
    <row r="305" spans="1:3" x14ac:dyDescent="0.25">
      <c r="A305" s="52">
        <v>167495</v>
      </c>
      <c r="B305" s="70">
        <v>949</v>
      </c>
      <c r="C305" s="60" t="s">
        <v>819</v>
      </c>
    </row>
    <row r="306" spans="1:3" x14ac:dyDescent="0.25">
      <c r="A306" s="52">
        <v>167496</v>
      </c>
      <c r="B306" s="70">
        <v>1390</v>
      </c>
      <c r="C306" s="60" t="s">
        <v>822</v>
      </c>
    </row>
    <row r="307" spans="1:3" x14ac:dyDescent="0.25">
      <c r="A307" s="52">
        <v>171177</v>
      </c>
      <c r="B307" s="60" t="s">
        <v>4170</v>
      </c>
      <c r="C307" s="60"/>
    </row>
    <row r="308" spans="1:3" x14ac:dyDescent="0.25">
      <c r="A308" s="52">
        <v>171178</v>
      </c>
      <c r="B308" s="60" t="s">
        <v>4170</v>
      </c>
      <c r="C308" s="60"/>
    </row>
    <row r="309" spans="1:3" x14ac:dyDescent="0.25">
      <c r="A309" s="52">
        <v>171179</v>
      </c>
      <c r="B309" s="62" t="s">
        <v>4170</v>
      </c>
      <c r="C309" s="60"/>
    </row>
    <row r="310" spans="1:3" x14ac:dyDescent="0.25">
      <c r="A310" s="52">
        <v>171994</v>
      </c>
      <c r="B310" s="70">
        <v>1749</v>
      </c>
      <c r="C310" s="60" t="s">
        <v>832</v>
      </c>
    </row>
    <row r="311" spans="1:3" x14ac:dyDescent="0.25">
      <c r="A311" s="52">
        <v>171995</v>
      </c>
      <c r="B311" s="70">
        <v>3390</v>
      </c>
      <c r="C311" s="60" t="s">
        <v>835</v>
      </c>
    </row>
    <row r="312" spans="1:3" x14ac:dyDescent="0.25">
      <c r="A312" s="52">
        <v>181685</v>
      </c>
      <c r="B312" s="60" t="s">
        <v>4170</v>
      </c>
      <c r="C312" s="60"/>
    </row>
    <row r="313" spans="1:3" x14ac:dyDescent="0.25">
      <c r="A313" s="52">
        <v>181686</v>
      </c>
      <c r="B313" s="60">
        <v>1390</v>
      </c>
      <c r="C313" s="60" t="s">
        <v>4298</v>
      </c>
    </row>
    <row r="314" spans="1:3" x14ac:dyDescent="0.25">
      <c r="A314" s="52">
        <v>181687</v>
      </c>
      <c r="B314" s="76" t="s">
        <v>4285</v>
      </c>
      <c r="C314" s="60"/>
    </row>
    <row r="315" spans="1:3" x14ac:dyDescent="0.25">
      <c r="A315" s="52">
        <v>181688</v>
      </c>
      <c r="B315" s="76" t="s">
        <v>4285</v>
      </c>
      <c r="C315" s="60"/>
    </row>
    <row r="316" spans="1:3" x14ac:dyDescent="0.25">
      <c r="A316" s="52">
        <v>181689</v>
      </c>
      <c r="B316" s="60" t="s">
        <v>4170</v>
      </c>
      <c r="C316" s="60"/>
    </row>
    <row r="317" spans="1:3" x14ac:dyDescent="0.25">
      <c r="A317" s="52">
        <v>183900</v>
      </c>
      <c r="B317" s="70">
        <v>6690</v>
      </c>
      <c r="C317" s="60" t="s">
        <v>848</v>
      </c>
    </row>
    <row r="318" spans="1:3" x14ac:dyDescent="0.25">
      <c r="A318" s="52">
        <v>186098</v>
      </c>
      <c r="B318" s="70">
        <v>1990</v>
      </c>
      <c r="C318" s="60" t="s">
        <v>851</v>
      </c>
    </row>
    <row r="319" spans="1:3" x14ac:dyDescent="0.25">
      <c r="A319" s="52">
        <v>186099</v>
      </c>
      <c r="B319" s="60" t="s">
        <v>4170</v>
      </c>
      <c r="C319" s="60"/>
    </row>
    <row r="320" spans="1:3" x14ac:dyDescent="0.25">
      <c r="A320" s="52">
        <v>186100</v>
      </c>
      <c r="B320" s="70">
        <v>5490</v>
      </c>
      <c r="C320" s="60" t="s">
        <v>856</v>
      </c>
    </row>
    <row r="321" spans="1:3" x14ac:dyDescent="0.25">
      <c r="A321" s="52">
        <v>186101</v>
      </c>
      <c r="B321" s="70">
        <v>2390</v>
      </c>
      <c r="C321" s="60" t="s">
        <v>859</v>
      </c>
    </row>
    <row r="322" spans="1:3" x14ac:dyDescent="0.25">
      <c r="A322" s="52">
        <v>186102</v>
      </c>
      <c r="B322" s="60" t="s">
        <v>4170</v>
      </c>
      <c r="C322" s="60"/>
    </row>
    <row r="323" spans="1:3" x14ac:dyDescent="0.25">
      <c r="A323" s="52">
        <v>186138</v>
      </c>
      <c r="B323" s="60" t="s">
        <v>4170</v>
      </c>
      <c r="C323" s="60"/>
    </row>
    <row r="324" spans="1:3" x14ac:dyDescent="0.25">
      <c r="A324" s="52">
        <v>186139</v>
      </c>
      <c r="B324" s="60" t="s">
        <v>4170</v>
      </c>
      <c r="C324" s="60"/>
    </row>
    <row r="325" spans="1:3" x14ac:dyDescent="0.25">
      <c r="A325" s="52">
        <v>186143</v>
      </c>
      <c r="B325" s="60" t="s">
        <v>4170</v>
      </c>
      <c r="C325" s="60"/>
    </row>
    <row r="326" spans="1:3" x14ac:dyDescent="0.25">
      <c r="A326" s="52">
        <v>186144</v>
      </c>
      <c r="B326" s="70">
        <v>190</v>
      </c>
      <c r="C326" s="60" t="s">
        <v>871</v>
      </c>
    </row>
    <row r="327" spans="1:3" x14ac:dyDescent="0.25">
      <c r="A327" s="52">
        <v>186145</v>
      </c>
      <c r="B327" s="60" t="s">
        <v>4170</v>
      </c>
      <c r="C327" s="60"/>
    </row>
    <row r="328" spans="1:3" x14ac:dyDescent="0.25">
      <c r="A328" s="52">
        <v>186146</v>
      </c>
      <c r="B328" s="60" t="s">
        <v>4170</v>
      </c>
      <c r="C328" s="60"/>
    </row>
    <row r="329" spans="1:3" x14ac:dyDescent="0.25">
      <c r="A329" s="52">
        <v>186147</v>
      </c>
      <c r="B329" s="60" t="s">
        <v>4170</v>
      </c>
      <c r="C329" s="60"/>
    </row>
    <row r="330" spans="1:3" x14ac:dyDescent="0.25">
      <c r="A330" s="52">
        <v>186148</v>
      </c>
      <c r="B330" s="70">
        <v>8290</v>
      </c>
      <c r="C330" s="60" t="s">
        <v>881</v>
      </c>
    </row>
    <row r="331" spans="1:3" x14ac:dyDescent="0.25">
      <c r="A331" s="52">
        <v>186149</v>
      </c>
      <c r="B331" s="60" t="s">
        <v>4170</v>
      </c>
      <c r="C331" s="60"/>
    </row>
    <row r="332" spans="1:3" x14ac:dyDescent="0.25">
      <c r="A332" s="52">
        <v>186150</v>
      </c>
      <c r="B332" s="60" t="s">
        <v>4170</v>
      </c>
      <c r="C332" s="60"/>
    </row>
    <row r="333" spans="1:3" x14ac:dyDescent="0.25">
      <c r="A333" s="52">
        <v>186151</v>
      </c>
      <c r="B333" s="60" t="s">
        <v>4170</v>
      </c>
      <c r="C333" s="60"/>
    </row>
    <row r="334" spans="1:3" x14ac:dyDescent="0.25">
      <c r="A334" s="52">
        <v>186152</v>
      </c>
      <c r="B334" s="60" t="s">
        <v>4170</v>
      </c>
      <c r="C334" s="60"/>
    </row>
    <row r="335" spans="1:3" x14ac:dyDescent="0.25">
      <c r="A335" s="52">
        <v>186140</v>
      </c>
      <c r="B335" s="60" t="s">
        <v>4170</v>
      </c>
      <c r="C335" s="60"/>
    </row>
    <row r="336" spans="1:3" x14ac:dyDescent="0.25">
      <c r="A336" s="52">
        <v>186153</v>
      </c>
      <c r="B336" s="60" t="s">
        <v>4170</v>
      </c>
      <c r="C336" s="60"/>
    </row>
    <row r="337" spans="1:3" x14ac:dyDescent="0.25">
      <c r="A337" s="52">
        <v>186154</v>
      </c>
      <c r="B337" s="60" t="s">
        <v>4170</v>
      </c>
      <c r="C337" s="60"/>
    </row>
    <row r="338" spans="1:3" x14ac:dyDescent="0.25">
      <c r="A338" s="52">
        <v>186155</v>
      </c>
      <c r="B338" s="60" t="s">
        <v>4170</v>
      </c>
      <c r="C338" s="60"/>
    </row>
    <row r="339" spans="1:3" x14ac:dyDescent="0.25">
      <c r="A339" s="52">
        <v>186141</v>
      </c>
      <c r="B339" s="60" t="s">
        <v>4170</v>
      </c>
      <c r="C339" s="60"/>
    </row>
    <row r="340" spans="1:3" x14ac:dyDescent="0.25">
      <c r="A340" s="52">
        <v>186142</v>
      </c>
      <c r="B340" s="60" t="s">
        <v>4170</v>
      </c>
      <c r="C340" s="60"/>
    </row>
    <row r="341" spans="1:3" x14ac:dyDescent="0.25">
      <c r="A341" s="52">
        <v>186156</v>
      </c>
      <c r="B341" s="70">
        <v>4690</v>
      </c>
      <c r="C341" s="60" t="s">
        <v>911</v>
      </c>
    </row>
    <row r="342" spans="1:3" x14ac:dyDescent="0.25">
      <c r="A342" s="52">
        <v>186157</v>
      </c>
      <c r="B342" s="60" t="s">
        <v>4170</v>
      </c>
      <c r="C342" s="60"/>
    </row>
    <row r="343" spans="1:3" x14ac:dyDescent="0.25">
      <c r="A343" s="52">
        <v>186158</v>
      </c>
      <c r="B343" s="70">
        <v>439</v>
      </c>
      <c r="C343" s="60" t="s">
        <v>916</v>
      </c>
    </row>
    <row r="344" spans="1:3" x14ac:dyDescent="0.25">
      <c r="A344" s="52">
        <v>186159</v>
      </c>
      <c r="B344" s="60" t="s">
        <v>4170</v>
      </c>
      <c r="C344" s="60"/>
    </row>
    <row r="345" spans="1:3" x14ac:dyDescent="0.25">
      <c r="A345" s="52">
        <v>186160</v>
      </c>
      <c r="B345" s="60" t="s">
        <v>4170</v>
      </c>
      <c r="C345" s="60"/>
    </row>
    <row r="346" spans="1:3" x14ac:dyDescent="0.25">
      <c r="A346" s="52">
        <v>186161</v>
      </c>
      <c r="B346" s="60" t="s">
        <v>4170</v>
      </c>
      <c r="C346" s="60"/>
    </row>
    <row r="347" spans="1:3" x14ac:dyDescent="0.25">
      <c r="A347" s="52">
        <v>186162</v>
      </c>
      <c r="B347" s="70">
        <v>8290</v>
      </c>
      <c r="C347" s="60" t="s">
        <v>926</v>
      </c>
    </row>
    <row r="348" spans="1:3" x14ac:dyDescent="0.25">
      <c r="A348" s="52">
        <v>268424</v>
      </c>
      <c r="B348" s="60" t="s">
        <v>4170</v>
      </c>
      <c r="C348" s="60"/>
    </row>
    <row r="349" spans="1:3" x14ac:dyDescent="0.25">
      <c r="A349" s="52">
        <v>186163</v>
      </c>
      <c r="B349" s="60" t="s">
        <v>4170</v>
      </c>
      <c r="C349" s="60"/>
    </row>
    <row r="350" spans="1:3" x14ac:dyDescent="0.25">
      <c r="A350" s="52">
        <v>186164</v>
      </c>
      <c r="B350" s="60" t="s">
        <v>4170</v>
      </c>
      <c r="C350" s="60"/>
    </row>
    <row r="351" spans="1:3" x14ac:dyDescent="0.25">
      <c r="A351" s="52">
        <v>186165</v>
      </c>
      <c r="B351" s="60" t="s">
        <v>4170</v>
      </c>
      <c r="C351" s="60"/>
    </row>
    <row r="352" spans="1:3" x14ac:dyDescent="0.25">
      <c r="A352" s="52">
        <v>186166</v>
      </c>
      <c r="B352" s="70">
        <v>2490</v>
      </c>
      <c r="C352" s="60" t="s">
        <v>937</v>
      </c>
    </row>
    <row r="353" spans="1:3" x14ac:dyDescent="0.25">
      <c r="A353" s="52">
        <v>186167</v>
      </c>
      <c r="B353" s="60" t="s">
        <v>4170</v>
      </c>
      <c r="C353" s="60"/>
    </row>
    <row r="354" spans="1:3" x14ac:dyDescent="0.25">
      <c r="A354" s="52">
        <v>186168</v>
      </c>
      <c r="B354" s="60" t="s">
        <v>4170</v>
      </c>
      <c r="C354" s="60"/>
    </row>
    <row r="355" spans="1:3" x14ac:dyDescent="0.25">
      <c r="A355" s="52">
        <v>186169</v>
      </c>
      <c r="B355" s="60" t="s">
        <v>4170</v>
      </c>
      <c r="C355" s="60"/>
    </row>
    <row r="356" spans="1:3" x14ac:dyDescent="0.25">
      <c r="A356" s="52">
        <v>186170</v>
      </c>
      <c r="B356" s="70">
        <v>23190</v>
      </c>
      <c r="C356" s="60" t="s">
        <v>946</v>
      </c>
    </row>
    <row r="357" spans="1:3" x14ac:dyDescent="0.25">
      <c r="A357" s="52">
        <v>186171</v>
      </c>
      <c r="B357" s="60" t="s">
        <v>4170</v>
      </c>
      <c r="C357" s="60"/>
    </row>
    <row r="358" spans="1:3" x14ac:dyDescent="0.25">
      <c r="A358" s="52">
        <v>186172</v>
      </c>
      <c r="B358" s="60" t="s">
        <v>4170</v>
      </c>
      <c r="C358" s="60"/>
    </row>
    <row r="359" spans="1:3" x14ac:dyDescent="0.25">
      <c r="A359" s="52">
        <v>186173</v>
      </c>
      <c r="B359" s="60">
        <v>12290</v>
      </c>
      <c r="C359" s="60" t="s">
        <v>4287</v>
      </c>
    </row>
    <row r="360" spans="1:3" x14ac:dyDescent="0.25">
      <c r="A360" s="52">
        <v>186174</v>
      </c>
      <c r="B360" s="70">
        <v>14590</v>
      </c>
      <c r="C360" s="60" t="s">
        <v>956</v>
      </c>
    </row>
    <row r="361" spans="1:3" x14ac:dyDescent="0.25">
      <c r="A361" s="52">
        <v>186175</v>
      </c>
      <c r="B361" s="76" t="s">
        <v>4285</v>
      </c>
      <c r="C361" s="60"/>
    </row>
    <row r="362" spans="1:3" x14ac:dyDescent="0.25">
      <c r="A362" s="52">
        <v>186176</v>
      </c>
      <c r="B362" s="70">
        <v>14590</v>
      </c>
      <c r="C362" s="60" t="s">
        <v>961</v>
      </c>
    </row>
    <row r="363" spans="1:3" x14ac:dyDescent="0.25">
      <c r="A363" s="52">
        <v>186177</v>
      </c>
      <c r="B363" s="70">
        <v>9090</v>
      </c>
      <c r="C363" s="60" t="s">
        <v>965</v>
      </c>
    </row>
    <row r="364" spans="1:3" x14ac:dyDescent="0.25">
      <c r="A364" s="52">
        <v>186178</v>
      </c>
      <c r="B364" s="70">
        <v>21290</v>
      </c>
      <c r="C364" s="60" t="s">
        <v>968</v>
      </c>
    </row>
    <row r="365" spans="1:3" x14ac:dyDescent="0.25">
      <c r="A365" s="52">
        <v>186179</v>
      </c>
      <c r="B365" s="60" t="s">
        <v>4170</v>
      </c>
      <c r="C365" s="60"/>
    </row>
    <row r="366" spans="1:3" x14ac:dyDescent="0.25">
      <c r="A366" s="52">
        <v>186180</v>
      </c>
      <c r="B366" s="70">
        <v>23590</v>
      </c>
      <c r="C366" s="60" t="s">
        <v>973</v>
      </c>
    </row>
    <row r="367" spans="1:3" x14ac:dyDescent="0.25">
      <c r="A367" s="52">
        <v>186181</v>
      </c>
      <c r="B367" s="70">
        <v>22990</v>
      </c>
      <c r="C367" s="60" t="s">
        <v>976</v>
      </c>
    </row>
    <row r="368" spans="1:3" x14ac:dyDescent="0.25">
      <c r="A368" s="52">
        <v>186182</v>
      </c>
      <c r="B368" s="60" t="s">
        <v>4169</v>
      </c>
      <c r="C368" s="60"/>
    </row>
    <row r="369" spans="1:3" x14ac:dyDescent="0.25">
      <c r="A369" s="52">
        <v>186183</v>
      </c>
      <c r="B369" s="70">
        <v>449</v>
      </c>
      <c r="C369" s="60" t="s">
        <v>981</v>
      </c>
    </row>
    <row r="370" spans="1:3" x14ac:dyDescent="0.25">
      <c r="A370" s="52">
        <v>186184</v>
      </c>
      <c r="B370" s="60" t="s">
        <v>4170</v>
      </c>
      <c r="C370" s="60"/>
    </row>
    <row r="371" spans="1:3" x14ac:dyDescent="0.25">
      <c r="A371" s="52">
        <v>186185</v>
      </c>
      <c r="B371" s="60" t="s">
        <v>4170</v>
      </c>
      <c r="C371" s="60"/>
    </row>
    <row r="372" spans="1:3" x14ac:dyDescent="0.25">
      <c r="A372" s="52">
        <v>186186</v>
      </c>
      <c r="B372" s="60" t="s">
        <v>4170</v>
      </c>
      <c r="C372" s="60"/>
    </row>
    <row r="373" spans="1:3" x14ac:dyDescent="0.25">
      <c r="A373" s="52">
        <v>186187</v>
      </c>
      <c r="B373" s="60" t="s">
        <v>4170</v>
      </c>
      <c r="C373" s="60"/>
    </row>
    <row r="374" spans="1:3" x14ac:dyDescent="0.25">
      <c r="A374" s="52">
        <v>186188</v>
      </c>
      <c r="B374" s="60">
        <v>390</v>
      </c>
      <c r="C374" s="60" t="s">
        <v>1100</v>
      </c>
    </row>
    <row r="375" spans="1:3" x14ac:dyDescent="0.25">
      <c r="A375" s="52">
        <v>186189</v>
      </c>
      <c r="B375" s="60">
        <v>449</v>
      </c>
      <c r="C375" s="60" t="s">
        <v>1103</v>
      </c>
    </row>
    <row r="376" spans="1:3" x14ac:dyDescent="0.25">
      <c r="A376" s="52">
        <v>186190</v>
      </c>
      <c r="B376" s="60" t="s">
        <v>4170</v>
      </c>
      <c r="C376" s="60"/>
    </row>
    <row r="377" spans="1:3" x14ac:dyDescent="0.25">
      <c r="A377" s="52">
        <v>186191</v>
      </c>
      <c r="B377" s="70">
        <v>1190</v>
      </c>
      <c r="C377" s="60" t="s">
        <v>998</v>
      </c>
    </row>
    <row r="378" spans="1:3" x14ac:dyDescent="0.25">
      <c r="A378" s="52">
        <v>186192</v>
      </c>
      <c r="B378" s="60" t="s">
        <v>4170</v>
      </c>
      <c r="C378" s="60"/>
    </row>
    <row r="379" spans="1:3" x14ac:dyDescent="0.25">
      <c r="A379" s="52">
        <v>186193</v>
      </c>
      <c r="B379" s="60" t="s">
        <v>4170</v>
      </c>
      <c r="C379" s="60"/>
    </row>
    <row r="380" spans="1:3" x14ac:dyDescent="0.25">
      <c r="A380" s="52">
        <v>186194</v>
      </c>
      <c r="B380" s="60" t="s">
        <v>4170</v>
      </c>
      <c r="C380" s="60"/>
    </row>
    <row r="381" spans="1:3" x14ac:dyDescent="0.25">
      <c r="A381" s="52">
        <v>186195</v>
      </c>
      <c r="B381" s="62" t="s">
        <v>4170</v>
      </c>
      <c r="C381" s="60"/>
    </row>
    <row r="382" spans="1:3" x14ac:dyDescent="0.25">
      <c r="A382" s="52">
        <v>186196</v>
      </c>
      <c r="B382" s="60" t="s">
        <v>4170</v>
      </c>
      <c r="C382" s="60"/>
    </row>
    <row r="383" spans="1:3" x14ac:dyDescent="0.25">
      <c r="A383" s="52">
        <v>186197</v>
      </c>
      <c r="B383" s="60" t="s">
        <v>4170</v>
      </c>
      <c r="C383" s="60"/>
    </row>
    <row r="384" spans="1:3" x14ac:dyDescent="0.25">
      <c r="A384" s="52">
        <v>186198</v>
      </c>
      <c r="B384" s="70">
        <v>7190</v>
      </c>
      <c r="C384" s="60" t="s">
        <v>1015</v>
      </c>
    </row>
    <row r="385" spans="1:3" x14ac:dyDescent="0.25">
      <c r="A385" s="52">
        <v>186199</v>
      </c>
      <c r="B385" s="70">
        <v>5490</v>
      </c>
      <c r="C385" s="60" t="s">
        <v>1018</v>
      </c>
    </row>
    <row r="386" spans="1:3" x14ac:dyDescent="0.25">
      <c r="A386" s="52">
        <v>186201</v>
      </c>
      <c r="B386" s="60" t="s">
        <v>4170</v>
      </c>
      <c r="C386" s="60"/>
    </row>
    <row r="387" spans="1:3" x14ac:dyDescent="0.25">
      <c r="A387" s="52">
        <v>186202</v>
      </c>
      <c r="B387" s="70">
        <v>24190</v>
      </c>
      <c r="C387" s="60" t="s">
        <v>1023</v>
      </c>
    </row>
    <row r="388" spans="1:3" x14ac:dyDescent="0.25">
      <c r="A388" s="52">
        <v>186203</v>
      </c>
      <c r="B388" s="60" t="s">
        <v>4170</v>
      </c>
      <c r="C388" s="60"/>
    </row>
    <row r="389" spans="1:3" x14ac:dyDescent="0.25">
      <c r="A389" s="52">
        <v>186204</v>
      </c>
      <c r="B389" s="60" t="s">
        <v>4170</v>
      </c>
      <c r="C389" s="60"/>
    </row>
    <row r="390" spans="1:3" x14ac:dyDescent="0.25">
      <c r="A390" s="52">
        <v>186205</v>
      </c>
      <c r="B390" s="60" t="s">
        <v>4169</v>
      </c>
      <c r="C390" s="60"/>
    </row>
    <row r="391" spans="1:3" x14ac:dyDescent="0.25">
      <c r="A391" s="52">
        <v>186206</v>
      </c>
      <c r="B391" s="70">
        <v>5290</v>
      </c>
      <c r="C391" s="60" t="s">
        <v>1033</v>
      </c>
    </row>
    <row r="392" spans="1:3" x14ac:dyDescent="0.25">
      <c r="A392" s="52">
        <v>186207</v>
      </c>
      <c r="B392" s="70">
        <v>6190</v>
      </c>
      <c r="C392" s="60" t="s">
        <v>1036</v>
      </c>
    </row>
    <row r="393" spans="1:3" x14ac:dyDescent="0.25">
      <c r="A393" s="52">
        <v>186208</v>
      </c>
      <c r="B393" s="70">
        <v>1490</v>
      </c>
      <c r="C393" s="60" t="s">
        <v>1039</v>
      </c>
    </row>
    <row r="394" spans="1:3" x14ac:dyDescent="0.25">
      <c r="A394" s="52">
        <v>186209</v>
      </c>
      <c r="B394" s="70">
        <v>5090</v>
      </c>
      <c r="C394" s="60" t="s">
        <v>1042</v>
      </c>
    </row>
    <row r="395" spans="1:3" x14ac:dyDescent="0.25">
      <c r="A395" s="52">
        <v>186210</v>
      </c>
      <c r="B395" s="62" t="s">
        <v>4170</v>
      </c>
      <c r="C395" s="60"/>
    </row>
    <row r="396" spans="1:3" x14ac:dyDescent="0.25">
      <c r="A396" s="52">
        <v>186211</v>
      </c>
      <c r="B396" s="70">
        <v>4190</v>
      </c>
      <c r="C396" s="60" t="s">
        <v>1047</v>
      </c>
    </row>
    <row r="397" spans="1:3" x14ac:dyDescent="0.25">
      <c r="A397" s="52">
        <v>186212</v>
      </c>
      <c r="B397" s="70">
        <v>4390</v>
      </c>
      <c r="C397" s="60" t="s">
        <v>1051</v>
      </c>
    </row>
    <row r="398" spans="1:3" x14ac:dyDescent="0.25">
      <c r="A398" s="52">
        <v>186213</v>
      </c>
      <c r="B398" s="70">
        <v>3590</v>
      </c>
      <c r="C398" s="60" t="s">
        <v>1055</v>
      </c>
    </row>
    <row r="399" spans="1:3" x14ac:dyDescent="0.25">
      <c r="A399" s="52">
        <v>186214</v>
      </c>
      <c r="B399" s="70">
        <v>1190</v>
      </c>
      <c r="C399" s="60" t="s">
        <v>1058</v>
      </c>
    </row>
    <row r="400" spans="1:3" x14ac:dyDescent="0.25">
      <c r="A400" s="52">
        <v>186215</v>
      </c>
      <c r="B400" s="70">
        <v>2490</v>
      </c>
      <c r="C400" s="60" t="s">
        <v>1061</v>
      </c>
    </row>
    <row r="401" spans="1:3" x14ac:dyDescent="0.25">
      <c r="A401" s="52">
        <v>186216</v>
      </c>
      <c r="B401" s="70">
        <v>1890</v>
      </c>
      <c r="C401" s="60" t="s">
        <v>1064</v>
      </c>
    </row>
    <row r="402" spans="1:3" x14ac:dyDescent="0.25">
      <c r="A402" s="52">
        <v>186218</v>
      </c>
      <c r="B402" s="70">
        <v>2090</v>
      </c>
      <c r="C402" s="60" t="s">
        <v>1067</v>
      </c>
    </row>
    <row r="403" spans="1:3" x14ac:dyDescent="0.25">
      <c r="A403" s="52">
        <v>186219</v>
      </c>
      <c r="B403" s="70">
        <v>2590</v>
      </c>
      <c r="C403" s="60" t="s">
        <v>1070</v>
      </c>
    </row>
    <row r="404" spans="1:3" x14ac:dyDescent="0.25">
      <c r="A404" s="52">
        <v>186217</v>
      </c>
      <c r="B404" s="70">
        <v>2390</v>
      </c>
      <c r="C404" s="60" t="s">
        <v>1073</v>
      </c>
    </row>
    <row r="405" spans="1:3" x14ac:dyDescent="0.25">
      <c r="A405" s="52">
        <v>186220</v>
      </c>
      <c r="B405" s="70">
        <v>4390</v>
      </c>
      <c r="C405" s="60" t="s">
        <v>1076</v>
      </c>
    </row>
    <row r="406" spans="1:3" x14ac:dyDescent="0.25">
      <c r="A406" s="52">
        <v>186221</v>
      </c>
      <c r="B406" s="70">
        <v>4390</v>
      </c>
      <c r="C406" s="60" t="s">
        <v>1079</v>
      </c>
    </row>
    <row r="407" spans="1:3" x14ac:dyDescent="0.25">
      <c r="A407" s="52">
        <v>186222</v>
      </c>
      <c r="B407" s="70">
        <v>4290</v>
      </c>
      <c r="C407" s="60" t="s">
        <v>1082</v>
      </c>
    </row>
    <row r="408" spans="1:3" x14ac:dyDescent="0.25">
      <c r="A408" s="52">
        <v>186223</v>
      </c>
      <c r="B408" s="70">
        <v>1690</v>
      </c>
      <c r="C408" s="60" t="s">
        <v>1085</v>
      </c>
    </row>
    <row r="409" spans="1:3" x14ac:dyDescent="0.25">
      <c r="A409" s="52">
        <v>186224</v>
      </c>
      <c r="B409" s="70">
        <v>690</v>
      </c>
      <c r="C409" s="60" t="s">
        <v>1088</v>
      </c>
    </row>
    <row r="410" spans="1:3" x14ac:dyDescent="0.25">
      <c r="A410" s="52">
        <v>186225</v>
      </c>
      <c r="B410" s="60" t="s">
        <v>4170</v>
      </c>
      <c r="C410" s="60"/>
    </row>
    <row r="411" spans="1:3" x14ac:dyDescent="0.25">
      <c r="A411" s="52">
        <v>186226</v>
      </c>
      <c r="B411" s="60" t="s">
        <v>4170</v>
      </c>
      <c r="C411" s="60"/>
    </row>
    <row r="412" spans="1:3" x14ac:dyDescent="0.25">
      <c r="A412" s="52">
        <v>186227</v>
      </c>
      <c r="B412" s="70">
        <v>18290</v>
      </c>
      <c r="C412" s="60" t="s">
        <v>1095</v>
      </c>
    </row>
    <row r="413" spans="1:3" x14ac:dyDescent="0.25">
      <c r="A413" s="52">
        <v>186228</v>
      </c>
      <c r="B413" s="60" t="s">
        <v>4169</v>
      </c>
      <c r="C413" s="60"/>
    </row>
    <row r="414" spans="1:3" x14ac:dyDescent="0.25">
      <c r="A414" s="52">
        <v>186229</v>
      </c>
      <c r="B414" s="70">
        <v>390</v>
      </c>
      <c r="C414" s="60" t="s">
        <v>1100</v>
      </c>
    </row>
    <row r="415" spans="1:3" x14ac:dyDescent="0.25">
      <c r="A415" s="52">
        <v>186230</v>
      </c>
      <c r="B415" s="70">
        <v>449</v>
      </c>
      <c r="C415" s="60" t="s">
        <v>1103</v>
      </c>
    </row>
    <row r="416" spans="1:3" x14ac:dyDescent="0.25">
      <c r="A416" s="52">
        <v>186235</v>
      </c>
      <c r="B416" s="62" t="s">
        <v>4170</v>
      </c>
      <c r="C416" s="60"/>
    </row>
    <row r="417" spans="1:3" x14ac:dyDescent="0.25">
      <c r="A417" s="52">
        <v>186231</v>
      </c>
      <c r="B417" s="60">
        <v>6590</v>
      </c>
      <c r="C417" s="60" t="s">
        <v>4211</v>
      </c>
    </row>
    <row r="418" spans="1:3" x14ac:dyDescent="0.25">
      <c r="A418" s="52">
        <v>186232</v>
      </c>
      <c r="B418" s="60">
        <v>7790</v>
      </c>
      <c r="C418" s="60" t="s">
        <v>4224</v>
      </c>
    </row>
    <row r="419" spans="1:3" x14ac:dyDescent="0.25">
      <c r="A419" s="52">
        <v>186233</v>
      </c>
      <c r="B419" s="60">
        <v>11990</v>
      </c>
      <c r="C419" s="60" t="s">
        <v>4215</v>
      </c>
    </row>
    <row r="420" spans="1:3" x14ac:dyDescent="0.25">
      <c r="A420" s="52">
        <v>186234</v>
      </c>
      <c r="B420" s="60">
        <v>20790</v>
      </c>
      <c r="C420" s="60" t="s">
        <v>4220</v>
      </c>
    </row>
    <row r="421" spans="1:3" x14ac:dyDescent="0.25">
      <c r="A421" s="52">
        <v>186236</v>
      </c>
      <c r="B421" s="60">
        <v>10590</v>
      </c>
      <c r="C421" s="60" t="s">
        <v>4226</v>
      </c>
    </row>
    <row r="422" spans="1:3" x14ac:dyDescent="0.25">
      <c r="A422" s="52">
        <v>186237</v>
      </c>
      <c r="B422" s="62" t="s">
        <v>4170</v>
      </c>
      <c r="C422" s="60"/>
    </row>
    <row r="423" spans="1:3" x14ac:dyDescent="0.25">
      <c r="A423" s="52">
        <v>186238</v>
      </c>
      <c r="B423" s="60" t="s">
        <v>4170</v>
      </c>
      <c r="C423" s="60"/>
    </row>
    <row r="424" spans="1:3" x14ac:dyDescent="0.25">
      <c r="A424" s="52">
        <v>186239</v>
      </c>
      <c r="B424" s="60">
        <v>7190</v>
      </c>
      <c r="C424" s="60" t="s">
        <v>4225</v>
      </c>
    </row>
    <row r="425" spans="1:3" x14ac:dyDescent="0.25">
      <c r="A425" s="52">
        <v>186240</v>
      </c>
      <c r="B425" s="60">
        <v>12990</v>
      </c>
      <c r="C425" s="60" t="s">
        <v>4221</v>
      </c>
    </row>
    <row r="426" spans="1:3" x14ac:dyDescent="0.25">
      <c r="A426" s="52">
        <v>186241</v>
      </c>
      <c r="B426" s="60" t="s">
        <v>4170</v>
      </c>
      <c r="C426" s="60"/>
    </row>
    <row r="427" spans="1:3" x14ac:dyDescent="0.25">
      <c r="A427" s="52">
        <v>186242</v>
      </c>
      <c r="B427" s="60">
        <v>6690</v>
      </c>
      <c r="C427" s="60" t="s">
        <v>4217</v>
      </c>
    </row>
    <row r="428" spans="1:3" x14ac:dyDescent="0.25">
      <c r="A428" s="52">
        <v>186243</v>
      </c>
      <c r="B428" s="60">
        <v>11490</v>
      </c>
      <c r="C428" s="60" t="s">
        <v>4216</v>
      </c>
    </row>
    <row r="429" spans="1:3" x14ac:dyDescent="0.25">
      <c r="A429" s="52">
        <v>186244</v>
      </c>
      <c r="B429" s="60">
        <v>3290</v>
      </c>
      <c r="C429" s="60" t="s">
        <v>4213</v>
      </c>
    </row>
    <row r="430" spans="1:3" x14ac:dyDescent="0.25">
      <c r="A430" s="52">
        <v>186245</v>
      </c>
      <c r="B430" s="60">
        <v>11490</v>
      </c>
      <c r="C430" s="60" t="s">
        <v>4214</v>
      </c>
    </row>
    <row r="431" spans="1:3" x14ac:dyDescent="0.25">
      <c r="A431" s="52">
        <v>186246</v>
      </c>
      <c r="B431" s="60">
        <v>7790</v>
      </c>
      <c r="C431" s="60" t="s">
        <v>4223</v>
      </c>
    </row>
    <row r="432" spans="1:3" x14ac:dyDescent="0.25">
      <c r="A432" s="52">
        <v>186247</v>
      </c>
      <c r="B432" s="60">
        <v>8990</v>
      </c>
      <c r="C432" s="60" t="s">
        <v>4212</v>
      </c>
    </row>
    <row r="433" spans="1:3" x14ac:dyDescent="0.25">
      <c r="A433" s="52">
        <v>186248</v>
      </c>
      <c r="B433" s="60">
        <v>11890</v>
      </c>
      <c r="C433" s="60" t="s">
        <v>4218</v>
      </c>
    </row>
    <row r="434" spans="1:3" x14ac:dyDescent="0.25">
      <c r="A434" s="52">
        <v>186249</v>
      </c>
      <c r="B434" s="60">
        <v>8490</v>
      </c>
      <c r="C434" s="60" t="s">
        <v>4219</v>
      </c>
    </row>
    <row r="435" spans="1:3" x14ac:dyDescent="0.25">
      <c r="A435" s="52">
        <v>186250</v>
      </c>
      <c r="B435" s="60">
        <v>17990</v>
      </c>
      <c r="C435" s="60" t="s">
        <v>4222</v>
      </c>
    </row>
    <row r="436" spans="1:3" x14ac:dyDescent="0.25">
      <c r="A436" s="52">
        <v>186251</v>
      </c>
      <c r="B436" s="60">
        <v>5190</v>
      </c>
      <c r="C436" s="60" t="s">
        <v>4310</v>
      </c>
    </row>
    <row r="437" spans="1:3" x14ac:dyDescent="0.25">
      <c r="A437" s="52">
        <v>186252</v>
      </c>
      <c r="B437" s="60" t="s">
        <v>4170</v>
      </c>
      <c r="C437" s="60"/>
    </row>
    <row r="438" spans="1:3" x14ac:dyDescent="0.25">
      <c r="A438" s="52">
        <v>186254</v>
      </c>
      <c r="B438" s="60" t="s">
        <v>4170</v>
      </c>
      <c r="C438" s="60"/>
    </row>
    <row r="439" spans="1:3" x14ac:dyDescent="0.25">
      <c r="A439" s="52">
        <v>347105</v>
      </c>
      <c r="B439" s="62" t="s">
        <v>4170</v>
      </c>
      <c r="C439" s="60"/>
    </row>
    <row r="440" spans="1:3" x14ac:dyDescent="0.25">
      <c r="A440" s="52">
        <v>186257</v>
      </c>
      <c r="B440" s="60">
        <v>890</v>
      </c>
      <c r="C440" s="60" t="s">
        <v>4299</v>
      </c>
    </row>
    <row r="441" spans="1:3" x14ac:dyDescent="0.25">
      <c r="A441" s="52">
        <v>186258</v>
      </c>
      <c r="B441" s="60">
        <v>1290</v>
      </c>
      <c r="C441" s="60" t="s">
        <v>4300</v>
      </c>
    </row>
    <row r="442" spans="1:3" x14ac:dyDescent="0.25">
      <c r="A442" s="52">
        <v>186256</v>
      </c>
      <c r="B442" s="60" t="s">
        <v>4170</v>
      </c>
      <c r="C442" s="60"/>
    </row>
    <row r="443" spans="1:3" x14ac:dyDescent="0.25">
      <c r="A443" s="52">
        <v>186260</v>
      </c>
      <c r="B443" s="60" t="s">
        <v>4170</v>
      </c>
      <c r="C443" s="60"/>
    </row>
    <row r="444" spans="1:3" x14ac:dyDescent="0.25">
      <c r="A444" s="52">
        <v>186261</v>
      </c>
      <c r="B444" s="60" t="s">
        <v>4170</v>
      </c>
      <c r="C444" s="60"/>
    </row>
    <row r="445" spans="1:3" x14ac:dyDescent="0.25">
      <c r="A445" s="52">
        <v>186262</v>
      </c>
      <c r="B445" s="60" t="s">
        <v>4170</v>
      </c>
      <c r="C445" s="60"/>
    </row>
    <row r="446" spans="1:3" x14ac:dyDescent="0.25">
      <c r="A446" s="52">
        <v>186263</v>
      </c>
      <c r="B446" s="60" t="s">
        <v>4170</v>
      </c>
      <c r="C446" s="60"/>
    </row>
    <row r="447" spans="1:3" x14ac:dyDescent="0.25">
      <c r="A447" s="52">
        <v>186264</v>
      </c>
      <c r="B447" s="70">
        <v>11490</v>
      </c>
      <c r="C447" s="60" t="s">
        <v>1179</v>
      </c>
    </row>
    <row r="448" spans="1:3" x14ac:dyDescent="0.25">
      <c r="A448" s="52">
        <v>385885</v>
      </c>
      <c r="B448" s="60" t="s">
        <v>4169</v>
      </c>
      <c r="C448" s="60"/>
    </row>
    <row r="449" spans="1:3" x14ac:dyDescent="0.25">
      <c r="A449" s="52">
        <v>186266</v>
      </c>
      <c r="B449" s="70">
        <v>1590</v>
      </c>
      <c r="C449" s="60" t="s">
        <v>1184</v>
      </c>
    </row>
    <row r="450" spans="1:3" x14ac:dyDescent="0.25">
      <c r="A450" s="52">
        <v>186267</v>
      </c>
      <c r="B450" s="70">
        <v>4290</v>
      </c>
      <c r="C450" s="60" t="s">
        <v>1187</v>
      </c>
    </row>
    <row r="451" spans="1:3" x14ac:dyDescent="0.25">
      <c r="A451" s="52">
        <v>186268</v>
      </c>
      <c r="B451" s="60" t="s">
        <v>4170</v>
      </c>
      <c r="C451" s="60"/>
    </row>
    <row r="452" spans="1:3" x14ac:dyDescent="0.25">
      <c r="A452" s="52">
        <v>186269</v>
      </c>
      <c r="B452" s="70">
        <v>7290</v>
      </c>
      <c r="C452" s="60" t="s">
        <v>1192</v>
      </c>
    </row>
    <row r="453" spans="1:3" x14ac:dyDescent="0.25">
      <c r="A453" s="52">
        <v>186270</v>
      </c>
      <c r="B453" s="70">
        <v>7490</v>
      </c>
      <c r="C453" s="60" t="s">
        <v>1195</v>
      </c>
    </row>
    <row r="454" spans="1:3" x14ac:dyDescent="0.25">
      <c r="A454" s="52">
        <v>186271</v>
      </c>
      <c r="B454" s="70">
        <v>4190</v>
      </c>
      <c r="C454" s="60" t="s">
        <v>1198</v>
      </c>
    </row>
    <row r="455" spans="1:3" x14ac:dyDescent="0.25">
      <c r="A455" s="52">
        <v>186272</v>
      </c>
      <c r="B455" s="70">
        <v>19190</v>
      </c>
      <c r="C455" s="60" t="s">
        <v>1201</v>
      </c>
    </row>
    <row r="456" spans="1:3" x14ac:dyDescent="0.25">
      <c r="A456" s="52">
        <v>186273</v>
      </c>
      <c r="B456" s="70">
        <v>7390</v>
      </c>
      <c r="C456" s="60" t="s">
        <v>1204</v>
      </c>
    </row>
    <row r="457" spans="1:3" x14ac:dyDescent="0.25">
      <c r="A457" s="52">
        <v>186274</v>
      </c>
      <c r="B457" s="70">
        <v>21590</v>
      </c>
      <c r="C457" s="60" t="s">
        <v>1207</v>
      </c>
    </row>
    <row r="458" spans="1:3" x14ac:dyDescent="0.25">
      <c r="A458" s="52">
        <v>186275</v>
      </c>
      <c r="B458" s="60" t="s">
        <v>4170</v>
      </c>
      <c r="C458" s="60"/>
    </row>
    <row r="459" spans="1:3" x14ac:dyDescent="0.25">
      <c r="A459" s="52">
        <v>186276</v>
      </c>
      <c r="B459" s="60" t="s">
        <v>4170</v>
      </c>
      <c r="C459" s="60"/>
    </row>
    <row r="460" spans="1:3" x14ac:dyDescent="0.25">
      <c r="A460" s="52">
        <v>186277</v>
      </c>
      <c r="B460" s="70">
        <v>3190</v>
      </c>
      <c r="C460" s="60" t="s">
        <v>1214</v>
      </c>
    </row>
    <row r="461" spans="1:3" x14ac:dyDescent="0.25">
      <c r="A461" s="52">
        <v>186278</v>
      </c>
      <c r="B461" s="60" t="s">
        <v>4170</v>
      </c>
      <c r="C461" s="60"/>
    </row>
    <row r="462" spans="1:3" x14ac:dyDescent="0.25">
      <c r="A462" s="52">
        <v>186280</v>
      </c>
      <c r="B462" s="76" t="s">
        <v>4285</v>
      </c>
      <c r="C462" s="60"/>
    </row>
    <row r="463" spans="1:3" x14ac:dyDescent="0.25">
      <c r="A463" s="52">
        <v>186281</v>
      </c>
      <c r="B463" s="70">
        <v>2190</v>
      </c>
      <c r="C463" s="60" t="s">
        <v>1221</v>
      </c>
    </row>
    <row r="464" spans="1:3" x14ac:dyDescent="0.25">
      <c r="A464" s="52">
        <v>186282</v>
      </c>
      <c r="B464" s="60" t="s">
        <v>4170</v>
      </c>
      <c r="C464" s="60"/>
    </row>
    <row r="465" spans="1:3" x14ac:dyDescent="0.25">
      <c r="A465" s="52">
        <v>186299</v>
      </c>
      <c r="B465" s="60" t="s">
        <v>4170</v>
      </c>
      <c r="C465" s="60"/>
    </row>
    <row r="466" spans="1:3" x14ac:dyDescent="0.25">
      <c r="A466" s="52">
        <v>186300</v>
      </c>
      <c r="B466" s="70">
        <v>2390</v>
      </c>
      <c r="C466" s="60" t="s">
        <v>1229</v>
      </c>
    </row>
    <row r="467" spans="1:3" x14ac:dyDescent="0.25">
      <c r="A467" s="52">
        <v>186302</v>
      </c>
      <c r="B467" s="60">
        <v>1390</v>
      </c>
      <c r="C467" s="60" t="s">
        <v>4288</v>
      </c>
    </row>
    <row r="468" spans="1:3" x14ac:dyDescent="0.25">
      <c r="A468" s="52">
        <v>186303</v>
      </c>
      <c r="B468" s="60">
        <v>590</v>
      </c>
      <c r="C468" s="60" t="s">
        <v>4305</v>
      </c>
    </row>
    <row r="469" spans="1:3" x14ac:dyDescent="0.25">
      <c r="A469" s="52">
        <v>186304</v>
      </c>
      <c r="B469" s="70">
        <v>1390</v>
      </c>
      <c r="C469" s="60" t="s">
        <v>1236</v>
      </c>
    </row>
    <row r="470" spans="1:3" x14ac:dyDescent="0.25">
      <c r="A470" s="52">
        <v>186305</v>
      </c>
      <c r="B470" s="70">
        <v>1590</v>
      </c>
      <c r="C470" s="60" t="s">
        <v>1239</v>
      </c>
    </row>
    <row r="471" spans="1:3" x14ac:dyDescent="0.25">
      <c r="A471" s="52">
        <v>186306</v>
      </c>
      <c r="B471" s="70">
        <v>10590</v>
      </c>
      <c r="C471" s="60" t="s">
        <v>1242</v>
      </c>
    </row>
    <row r="472" spans="1:3" x14ac:dyDescent="0.25">
      <c r="A472" s="52">
        <v>186307</v>
      </c>
      <c r="B472" s="70">
        <v>1290</v>
      </c>
      <c r="C472" s="60" t="s">
        <v>1245</v>
      </c>
    </row>
    <row r="473" spans="1:3" x14ac:dyDescent="0.25">
      <c r="A473" s="52">
        <v>186308</v>
      </c>
      <c r="B473" s="60" t="s">
        <v>4170</v>
      </c>
      <c r="C473" s="60"/>
    </row>
    <row r="474" spans="1:3" x14ac:dyDescent="0.25">
      <c r="A474" s="52">
        <v>186311</v>
      </c>
      <c r="B474" s="60" t="s">
        <v>4170</v>
      </c>
      <c r="C474" s="60"/>
    </row>
    <row r="475" spans="1:3" x14ac:dyDescent="0.25">
      <c r="A475" s="52">
        <v>186312</v>
      </c>
      <c r="B475" s="60" t="s">
        <v>4170</v>
      </c>
      <c r="C475" s="60"/>
    </row>
    <row r="476" spans="1:3" x14ac:dyDescent="0.25">
      <c r="A476" s="52">
        <v>186315</v>
      </c>
      <c r="B476" s="70">
        <v>7190</v>
      </c>
      <c r="C476" s="60" t="s">
        <v>1254</v>
      </c>
    </row>
    <row r="477" spans="1:3" x14ac:dyDescent="0.25">
      <c r="A477" s="52">
        <v>193348</v>
      </c>
      <c r="B477" s="70">
        <v>4690</v>
      </c>
      <c r="C477" s="60" t="s">
        <v>1257</v>
      </c>
    </row>
    <row r="478" spans="1:3" x14ac:dyDescent="0.25">
      <c r="A478" s="52">
        <v>193353</v>
      </c>
      <c r="B478" s="76" t="s">
        <v>4285</v>
      </c>
      <c r="C478" s="60"/>
    </row>
    <row r="479" spans="1:3" x14ac:dyDescent="0.25">
      <c r="A479" s="52">
        <v>193626</v>
      </c>
      <c r="B479" s="76" t="s">
        <v>4285</v>
      </c>
      <c r="C479" s="60"/>
    </row>
    <row r="480" spans="1:3" x14ac:dyDescent="0.25">
      <c r="A480" s="52">
        <v>193627</v>
      </c>
      <c r="B480" s="70">
        <v>529</v>
      </c>
      <c r="C480" s="60" t="s">
        <v>1265</v>
      </c>
    </row>
    <row r="481" spans="1:3" x14ac:dyDescent="0.25">
      <c r="A481" s="52">
        <v>193628</v>
      </c>
      <c r="B481" s="70">
        <v>529</v>
      </c>
      <c r="C481" s="60" t="s">
        <v>1268</v>
      </c>
    </row>
    <row r="482" spans="1:3" x14ac:dyDescent="0.25">
      <c r="A482" s="52">
        <v>193630</v>
      </c>
      <c r="B482" s="70">
        <v>449</v>
      </c>
      <c r="C482" s="60" t="s">
        <v>1271</v>
      </c>
    </row>
    <row r="483" spans="1:3" x14ac:dyDescent="0.25">
      <c r="A483" s="52">
        <v>193631</v>
      </c>
      <c r="B483" s="70">
        <v>449</v>
      </c>
      <c r="C483" s="60" t="s">
        <v>1274</v>
      </c>
    </row>
    <row r="484" spans="1:3" x14ac:dyDescent="0.25">
      <c r="A484" s="52">
        <v>193632</v>
      </c>
      <c r="B484" s="60" t="s">
        <v>4170</v>
      </c>
      <c r="C484" s="60"/>
    </row>
    <row r="485" spans="1:3" x14ac:dyDescent="0.25">
      <c r="A485" s="52">
        <v>193634</v>
      </c>
      <c r="B485" s="70">
        <v>189</v>
      </c>
      <c r="C485" s="60" t="s">
        <v>1279</v>
      </c>
    </row>
    <row r="486" spans="1:3" x14ac:dyDescent="0.25">
      <c r="A486" s="52">
        <v>193635</v>
      </c>
      <c r="B486" s="70">
        <v>269</v>
      </c>
      <c r="C486" s="60" t="s">
        <v>1282</v>
      </c>
    </row>
    <row r="487" spans="1:3" x14ac:dyDescent="0.25">
      <c r="A487" s="52">
        <v>193636</v>
      </c>
      <c r="B487" s="60">
        <v>295</v>
      </c>
      <c r="C487" s="60" t="s">
        <v>4309</v>
      </c>
    </row>
    <row r="488" spans="1:3" x14ac:dyDescent="0.25">
      <c r="A488" s="52">
        <v>193637</v>
      </c>
      <c r="B488" s="70">
        <v>329</v>
      </c>
      <c r="C488" s="60" t="s">
        <v>1288</v>
      </c>
    </row>
    <row r="489" spans="1:3" x14ac:dyDescent="0.25">
      <c r="A489" s="52">
        <v>193639</v>
      </c>
      <c r="B489" s="70">
        <v>790</v>
      </c>
      <c r="C489" s="60" t="s">
        <v>1291</v>
      </c>
    </row>
    <row r="490" spans="1:3" x14ac:dyDescent="0.25">
      <c r="A490" s="52">
        <v>251176</v>
      </c>
      <c r="B490" s="70">
        <v>790</v>
      </c>
      <c r="C490" s="60" t="s">
        <v>1294</v>
      </c>
    </row>
    <row r="491" spans="1:3" x14ac:dyDescent="0.25">
      <c r="A491" s="52">
        <v>193640</v>
      </c>
      <c r="B491" s="70">
        <v>1690</v>
      </c>
      <c r="C491" s="60" t="s">
        <v>1297</v>
      </c>
    </row>
    <row r="492" spans="1:3" x14ac:dyDescent="0.25">
      <c r="A492" s="52">
        <v>335644</v>
      </c>
      <c r="B492" s="70">
        <v>490</v>
      </c>
      <c r="C492" s="60" t="s">
        <v>1300</v>
      </c>
    </row>
    <row r="493" spans="1:3" x14ac:dyDescent="0.25">
      <c r="A493" s="52">
        <v>193641</v>
      </c>
      <c r="B493" s="70">
        <v>969</v>
      </c>
      <c r="C493" s="60" t="s">
        <v>1303</v>
      </c>
    </row>
    <row r="494" spans="1:3" x14ac:dyDescent="0.25">
      <c r="A494" s="52">
        <v>193642</v>
      </c>
      <c r="B494" s="70">
        <v>1690</v>
      </c>
      <c r="C494" s="60" t="s">
        <v>1306</v>
      </c>
    </row>
    <row r="495" spans="1:3" x14ac:dyDescent="0.25">
      <c r="A495" s="52">
        <v>335659</v>
      </c>
      <c r="B495" s="70">
        <v>490</v>
      </c>
      <c r="C495" s="60" t="s">
        <v>1309</v>
      </c>
    </row>
    <row r="496" spans="1:3" x14ac:dyDescent="0.25">
      <c r="A496" s="52">
        <v>193643</v>
      </c>
      <c r="B496" s="60">
        <v>949</v>
      </c>
      <c r="C496" s="60" t="s">
        <v>4304</v>
      </c>
    </row>
    <row r="497" spans="1:3" x14ac:dyDescent="0.25">
      <c r="A497" s="52">
        <v>194006</v>
      </c>
      <c r="B497" s="76" t="s">
        <v>4285</v>
      </c>
      <c r="C497" s="60"/>
    </row>
    <row r="498" spans="1:3" x14ac:dyDescent="0.25">
      <c r="A498" s="52">
        <v>194007</v>
      </c>
      <c r="B498" s="70">
        <v>990</v>
      </c>
      <c r="C498" s="60" t="s">
        <v>1316</v>
      </c>
    </row>
    <row r="499" spans="1:3" x14ac:dyDescent="0.25">
      <c r="A499" s="52">
        <v>194488</v>
      </c>
      <c r="B499" s="60" t="s">
        <v>4170</v>
      </c>
      <c r="C499" s="60"/>
    </row>
    <row r="500" spans="1:3" x14ac:dyDescent="0.25">
      <c r="A500" s="52">
        <v>194489</v>
      </c>
      <c r="B500" s="60" t="s">
        <v>4170</v>
      </c>
      <c r="C500" s="60"/>
    </row>
    <row r="501" spans="1:3" x14ac:dyDescent="0.25">
      <c r="A501" s="52">
        <v>194509</v>
      </c>
      <c r="B501" s="62" t="s">
        <v>4170</v>
      </c>
      <c r="C501" s="60"/>
    </row>
    <row r="502" spans="1:3" x14ac:dyDescent="0.25">
      <c r="A502" s="52">
        <v>194510</v>
      </c>
      <c r="B502" s="70">
        <v>19990</v>
      </c>
      <c r="C502" s="60" t="s">
        <v>1327</v>
      </c>
    </row>
    <row r="503" spans="1:3" x14ac:dyDescent="0.25">
      <c r="A503" s="52">
        <v>194511</v>
      </c>
      <c r="B503" s="60" t="s">
        <v>4170</v>
      </c>
      <c r="C503" s="60"/>
    </row>
    <row r="504" spans="1:3" x14ac:dyDescent="0.25">
      <c r="A504" s="52">
        <v>194512</v>
      </c>
      <c r="B504" s="60" t="s">
        <v>4170</v>
      </c>
      <c r="C504" s="60"/>
    </row>
    <row r="505" spans="1:3" x14ac:dyDescent="0.25">
      <c r="A505" s="52">
        <v>195159</v>
      </c>
      <c r="B505" s="70">
        <v>1090</v>
      </c>
      <c r="C505" s="60" t="s">
        <v>1334</v>
      </c>
    </row>
    <row r="506" spans="1:3" x14ac:dyDescent="0.25">
      <c r="A506" s="52">
        <v>195160</v>
      </c>
      <c r="B506" s="70">
        <v>1090</v>
      </c>
      <c r="C506" s="60" t="s">
        <v>1337</v>
      </c>
    </row>
    <row r="507" spans="1:3" x14ac:dyDescent="0.25">
      <c r="A507" s="52">
        <v>195161</v>
      </c>
      <c r="B507" s="70">
        <v>9190</v>
      </c>
      <c r="C507" s="60" t="s">
        <v>1340</v>
      </c>
    </row>
    <row r="508" spans="1:3" x14ac:dyDescent="0.25">
      <c r="A508" s="52">
        <v>195162</v>
      </c>
      <c r="B508" s="60" t="s">
        <v>4170</v>
      </c>
      <c r="C508" s="60"/>
    </row>
    <row r="509" spans="1:3" x14ac:dyDescent="0.25">
      <c r="A509" s="52">
        <v>195163</v>
      </c>
      <c r="B509" s="76" t="s">
        <v>4285</v>
      </c>
      <c r="C509" s="60"/>
    </row>
    <row r="510" spans="1:3" x14ac:dyDescent="0.25">
      <c r="A510" s="52">
        <v>195164</v>
      </c>
      <c r="B510" s="60" t="s">
        <v>4170</v>
      </c>
      <c r="C510" s="60"/>
    </row>
    <row r="511" spans="1:3" x14ac:dyDescent="0.25">
      <c r="A511" s="52">
        <v>195165</v>
      </c>
      <c r="B511" s="70">
        <v>19990</v>
      </c>
      <c r="C511" s="60" t="s">
        <v>1350</v>
      </c>
    </row>
    <row r="512" spans="1:3" x14ac:dyDescent="0.25">
      <c r="A512" s="52">
        <v>195166</v>
      </c>
      <c r="B512" s="70">
        <v>2190</v>
      </c>
      <c r="C512" s="60" t="s">
        <v>1353</v>
      </c>
    </row>
    <row r="513" spans="1:3" x14ac:dyDescent="0.25">
      <c r="A513" s="52">
        <v>195167</v>
      </c>
      <c r="B513" s="70">
        <v>2290</v>
      </c>
      <c r="C513" s="60" t="s">
        <v>1356</v>
      </c>
    </row>
    <row r="514" spans="1:3" x14ac:dyDescent="0.25">
      <c r="A514" s="52">
        <v>195178</v>
      </c>
      <c r="B514" s="60" t="s">
        <v>4170</v>
      </c>
      <c r="C514" s="60"/>
    </row>
    <row r="515" spans="1:3" x14ac:dyDescent="0.25">
      <c r="A515" s="52">
        <v>356285</v>
      </c>
      <c r="B515" s="60" t="s">
        <v>4170</v>
      </c>
      <c r="C515" s="60"/>
    </row>
    <row r="516" spans="1:3" x14ac:dyDescent="0.25">
      <c r="A516" s="52">
        <v>195343</v>
      </c>
      <c r="B516" s="70">
        <v>4690</v>
      </c>
      <c r="C516" s="60" t="s">
        <v>1363</v>
      </c>
    </row>
    <row r="517" spans="1:3" x14ac:dyDescent="0.25">
      <c r="A517" s="52">
        <v>195254</v>
      </c>
      <c r="B517" s="60" t="s">
        <v>4169</v>
      </c>
      <c r="C517" s="60"/>
    </row>
    <row r="518" spans="1:3" x14ac:dyDescent="0.25">
      <c r="A518" s="52">
        <v>195255</v>
      </c>
      <c r="B518" s="70">
        <v>2490</v>
      </c>
      <c r="C518" s="60" t="s">
        <v>1368</v>
      </c>
    </row>
    <row r="519" spans="1:3" x14ac:dyDescent="0.25">
      <c r="A519" s="52">
        <v>195257</v>
      </c>
      <c r="B519" s="60" t="s">
        <v>4170</v>
      </c>
      <c r="C519" s="60"/>
    </row>
    <row r="520" spans="1:3" x14ac:dyDescent="0.25">
      <c r="A520" s="52">
        <v>195258</v>
      </c>
      <c r="B520" s="70">
        <v>4990</v>
      </c>
      <c r="C520" s="60" t="s">
        <v>1375</v>
      </c>
    </row>
    <row r="521" spans="1:3" x14ac:dyDescent="0.25">
      <c r="A521" s="52">
        <v>357526</v>
      </c>
      <c r="B521" s="60" t="s">
        <v>4170</v>
      </c>
      <c r="C521" s="60"/>
    </row>
    <row r="522" spans="1:3" x14ac:dyDescent="0.25">
      <c r="A522" s="52">
        <v>357529</v>
      </c>
      <c r="B522" s="60" t="s">
        <v>4170</v>
      </c>
      <c r="C522" s="60"/>
    </row>
    <row r="523" spans="1:3" x14ac:dyDescent="0.25">
      <c r="A523" s="52">
        <v>195259</v>
      </c>
      <c r="B523" s="60" t="s">
        <v>4170</v>
      </c>
      <c r="C523" s="60"/>
    </row>
    <row r="524" spans="1:3" x14ac:dyDescent="0.25">
      <c r="A524" s="52">
        <v>347098</v>
      </c>
      <c r="B524" s="62" t="s">
        <v>4170</v>
      </c>
      <c r="C524" s="60"/>
    </row>
    <row r="525" spans="1:3" x14ac:dyDescent="0.25">
      <c r="A525" s="52">
        <v>195260</v>
      </c>
      <c r="B525" s="60">
        <v>449</v>
      </c>
      <c r="C525" s="60" t="s">
        <v>100</v>
      </c>
    </row>
    <row r="526" spans="1:3" x14ac:dyDescent="0.25">
      <c r="A526" s="52">
        <v>195261</v>
      </c>
      <c r="B526" s="62" t="s">
        <v>4170</v>
      </c>
      <c r="C526" s="60"/>
    </row>
    <row r="527" spans="1:3" x14ac:dyDescent="0.25">
      <c r="A527" s="52">
        <v>195262</v>
      </c>
      <c r="B527" s="70">
        <v>2390</v>
      </c>
      <c r="C527" s="60" t="s">
        <v>1390</v>
      </c>
    </row>
    <row r="528" spans="1:3" x14ac:dyDescent="0.25">
      <c r="A528" s="52">
        <v>195263</v>
      </c>
      <c r="B528" s="60" t="s">
        <v>4170</v>
      </c>
      <c r="C528" s="60"/>
    </row>
    <row r="529" spans="1:3" x14ac:dyDescent="0.25">
      <c r="A529" s="52">
        <v>195264</v>
      </c>
      <c r="B529" s="70">
        <v>690</v>
      </c>
      <c r="C529" s="60" t="s">
        <v>1395</v>
      </c>
    </row>
    <row r="530" spans="1:3" x14ac:dyDescent="0.25">
      <c r="A530" s="52">
        <v>195265</v>
      </c>
      <c r="B530" s="60" t="s">
        <v>4170</v>
      </c>
      <c r="C530" s="60"/>
    </row>
    <row r="531" spans="1:3" x14ac:dyDescent="0.25">
      <c r="A531" s="52">
        <v>195266</v>
      </c>
      <c r="B531" s="60" t="s">
        <v>4170</v>
      </c>
      <c r="C531" s="60"/>
    </row>
    <row r="532" spans="1:3" x14ac:dyDescent="0.25">
      <c r="A532" s="52">
        <v>195267</v>
      </c>
      <c r="B532" s="60" t="s">
        <v>4170</v>
      </c>
      <c r="C532" s="60"/>
    </row>
    <row r="533" spans="1:3" x14ac:dyDescent="0.25">
      <c r="A533" s="52">
        <v>195268</v>
      </c>
      <c r="B533" s="60" t="s">
        <v>4170</v>
      </c>
      <c r="C533" s="60"/>
    </row>
    <row r="534" spans="1:3" x14ac:dyDescent="0.25">
      <c r="A534" s="52">
        <v>195269</v>
      </c>
      <c r="B534" s="70">
        <v>4819</v>
      </c>
      <c r="C534" s="60" t="s">
        <v>1406</v>
      </c>
    </row>
    <row r="535" spans="1:3" x14ac:dyDescent="0.25">
      <c r="A535" s="52">
        <v>195270</v>
      </c>
      <c r="B535" s="70">
        <v>1090</v>
      </c>
      <c r="C535" s="60" t="s">
        <v>1409</v>
      </c>
    </row>
    <row r="536" spans="1:3" x14ac:dyDescent="0.25">
      <c r="A536" s="52">
        <v>195271</v>
      </c>
      <c r="B536" s="70">
        <v>2990</v>
      </c>
      <c r="C536" s="60" t="s">
        <v>1412</v>
      </c>
    </row>
    <row r="537" spans="1:3" x14ac:dyDescent="0.25">
      <c r="A537" s="52">
        <v>195272</v>
      </c>
      <c r="B537" s="70">
        <v>1590</v>
      </c>
      <c r="C537" s="60" t="s">
        <v>1415</v>
      </c>
    </row>
    <row r="538" spans="1:3" x14ac:dyDescent="0.25">
      <c r="A538" s="52">
        <v>195273</v>
      </c>
      <c r="B538" s="60" t="s">
        <v>4170</v>
      </c>
      <c r="C538" s="60"/>
    </row>
    <row r="539" spans="1:3" x14ac:dyDescent="0.25">
      <c r="A539" s="52">
        <v>195274</v>
      </c>
      <c r="B539" s="60" t="s">
        <v>4170</v>
      </c>
      <c r="C539" s="60"/>
    </row>
    <row r="540" spans="1:3" x14ac:dyDescent="0.25">
      <c r="A540" s="52">
        <v>356104</v>
      </c>
      <c r="B540" s="60" t="s">
        <v>4170</v>
      </c>
      <c r="C540" s="60"/>
    </row>
    <row r="541" spans="1:3" x14ac:dyDescent="0.25">
      <c r="A541" s="52">
        <v>347453</v>
      </c>
      <c r="B541" s="62" t="s">
        <v>4170</v>
      </c>
      <c r="C541" s="60"/>
    </row>
    <row r="542" spans="1:3" x14ac:dyDescent="0.25">
      <c r="A542" s="52">
        <v>195304</v>
      </c>
      <c r="B542" s="60">
        <v>3090</v>
      </c>
      <c r="C542" s="60" t="s">
        <v>4301</v>
      </c>
    </row>
    <row r="543" spans="1:3" x14ac:dyDescent="0.25">
      <c r="A543" s="52">
        <v>195305</v>
      </c>
      <c r="B543" s="70">
        <v>2490</v>
      </c>
      <c r="C543" s="60" t="s">
        <v>1429</v>
      </c>
    </row>
    <row r="544" spans="1:3" x14ac:dyDescent="0.25">
      <c r="A544" s="52">
        <v>195306</v>
      </c>
      <c r="B544" s="60" t="s">
        <v>4170</v>
      </c>
      <c r="C544" s="60"/>
    </row>
    <row r="545" spans="1:3" x14ac:dyDescent="0.25">
      <c r="A545" s="52">
        <v>195307</v>
      </c>
      <c r="B545" s="76" t="s">
        <v>4285</v>
      </c>
      <c r="C545" s="60"/>
    </row>
    <row r="546" spans="1:3" x14ac:dyDescent="0.25">
      <c r="A546" s="52">
        <v>195308</v>
      </c>
      <c r="B546" s="60" t="s">
        <v>4170</v>
      </c>
      <c r="C546" s="60"/>
    </row>
    <row r="547" spans="1:3" x14ac:dyDescent="0.25">
      <c r="A547" s="52">
        <v>195309</v>
      </c>
      <c r="B547" s="70">
        <v>649</v>
      </c>
      <c r="C547" s="60" t="s">
        <v>1442</v>
      </c>
    </row>
    <row r="548" spans="1:3" x14ac:dyDescent="0.25">
      <c r="A548" s="52">
        <v>195310</v>
      </c>
      <c r="B548" s="70">
        <v>2690</v>
      </c>
      <c r="C548" s="60" t="s">
        <v>1445</v>
      </c>
    </row>
    <row r="549" spans="1:3" x14ac:dyDescent="0.25">
      <c r="A549" s="52">
        <v>195311</v>
      </c>
      <c r="B549" s="60">
        <v>2690</v>
      </c>
      <c r="C549" s="60" t="s">
        <v>1445</v>
      </c>
    </row>
    <row r="550" spans="1:3" x14ac:dyDescent="0.25">
      <c r="A550" s="52">
        <v>195312</v>
      </c>
      <c r="B550" s="70">
        <v>390</v>
      </c>
      <c r="C550" s="60" t="s">
        <v>1450</v>
      </c>
    </row>
    <row r="551" spans="1:3" x14ac:dyDescent="0.25">
      <c r="A551" s="52">
        <v>195313</v>
      </c>
      <c r="B551" s="62" t="s">
        <v>4170</v>
      </c>
      <c r="C551" s="60"/>
    </row>
    <row r="552" spans="1:3" x14ac:dyDescent="0.25">
      <c r="A552" s="52">
        <v>195314</v>
      </c>
      <c r="B552" s="60" t="s">
        <v>4170</v>
      </c>
      <c r="C552" s="60"/>
    </row>
    <row r="553" spans="1:3" x14ac:dyDescent="0.25">
      <c r="A553" s="52">
        <v>195315</v>
      </c>
      <c r="B553" s="70">
        <v>390</v>
      </c>
      <c r="C553" s="60" t="s">
        <v>1457</v>
      </c>
    </row>
    <row r="554" spans="1:3" x14ac:dyDescent="0.25">
      <c r="A554" s="52">
        <v>251297</v>
      </c>
      <c r="B554" s="60" t="s">
        <v>4170</v>
      </c>
      <c r="C554" s="60"/>
    </row>
    <row r="555" spans="1:3" x14ac:dyDescent="0.25">
      <c r="A555" s="52">
        <v>195316</v>
      </c>
      <c r="B555" s="60" t="s">
        <v>4170</v>
      </c>
      <c r="C555" s="60"/>
    </row>
    <row r="556" spans="1:3" x14ac:dyDescent="0.25">
      <c r="A556" s="52">
        <v>195317</v>
      </c>
      <c r="B556" s="60" t="s">
        <v>4170</v>
      </c>
      <c r="C556" s="60"/>
    </row>
    <row r="557" spans="1:3" x14ac:dyDescent="0.25">
      <c r="A557" s="52">
        <v>195318</v>
      </c>
      <c r="B557" s="70">
        <v>1390</v>
      </c>
      <c r="C557" s="60" t="s">
        <v>1467</v>
      </c>
    </row>
    <row r="558" spans="1:3" x14ac:dyDescent="0.25">
      <c r="A558" s="52">
        <v>195319</v>
      </c>
      <c r="B558" s="70">
        <v>4890</v>
      </c>
      <c r="C558" s="60" t="s">
        <v>1470</v>
      </c>
    </row>
    <row r="559" spans="1:3" x14ac:dyDescent="0.25">
      <c r="A559" s="52">
        <v>195320</v>
      </c>
      <c r="B559" s="60">
        <v>1790</v>
      </c>
      <c r="C559" s="60" t="s">
        <v>1475</v>
      </c>
    </row>
    <row r="560" spans="1:3" x14ac:dyDescent="0.25">
      <c r="A560" s="52">
        <v>195321</v>
      </c>
      <c r="B560" s="70">
        <v>1790</v>
      </c>
      <c r="C560" s="60" t="s">
        <v>1475</v>
      </c>
    </row>
    <row r="561" spans="1:3" x14ac:dyDescent="0.25">
      <c r="A561" s="52">
        <v>195322</v>
      </c>
      <c r="B561" s="60" t="s">
        <v>4170</v>
      </c>
      <c r="C561" s="60"/>
    </row>
    <row r="562" spans="1:3" x14ac:dyDescent="0.25">
      <c r="A562" s="52">
        <v>195323</v>
      </c>
      <c r="B562" s="70">
        <v>3890</v>
      </c>
      <c r="C562" s="60" t="s">
        <v>1480</v>
      </c>
    </row>
    <row r="563" spans="1:3" x14ac:dyDescent="0.25">
      <c r="A563" s="52">
        <v>195324</v>
      </c>
      <c r="B563" s="70">
        <v>2690</v>
      </c>
      <c r="C563" s="60" t="s">
        <v>1483</v>
      </c>
    </row>
    <row r="564" spans="1:3" x14ac:dyDescent="0.25">
      <c r="A564" s="52">
        <v>195325</v>
      </c>
      <c r="B564" s="60" t="s">
        <v>4170</v>
      </c>
      <c r="C564" s="60"/>
    </row>
    <row r="565" spans="1:3" x14ac:dyDescent="0.25">
      <c r="A565" s="52">
        <v>195326</v>
      </c>
      <c r="B565" s="76" t="s">
        <v>4285</v>
      </c>
      <c r="C565" s="60"/>
    </row>
    <row r="566" spans="1:3" x14ac:dyDescent="0.25">
      <c r="A566" s="52">
        <v>195327</v>
      </c>
      <c r="B566" s="70">
        <v>1090</v>
      </c>
      <c r="C566" s="60" t="s">
        <v>1490</v>
      </c>
    </row>
    <row r="567" spans="1:3" x14ac:dyDescent="0.25">
      <c r="A567" s="52">
        <v>195328</v>
      </c>
      <c r="B567" s="60" t="s">
        <v>4170</v>
      </c>
      <c r="C567" s="60"/>
    </row>
    <row r="568" spans="1:3" x14ac:dyDescent="0.25">
      <c r="A568" s="52">
        <v>195329</v>
      </c>
      <c r="B568" s="60" t="s">
        <v>4170</v>
      </c>
      <c r="C568" s="60"/>
    </row>
    <row r="569" spans="1:3" x14ac:dyDescent="0.25">
      <c r="A569" s="52">
        <v>195330</v>
      </c>
      <c r="B569" s="60" t="s">
        <v>4170</v>
      </c>
      <c r="C569" s="60"/>
    </row>
    <row r="570" spans="1:3" x14ac:dyDescent="0.25">
      <c r="A570" s="52">
        <v>195331</v>
      </c>
      <c r="B570" s="70">
        <v>4490</v>
      </c>
      <c r="C570" s="60" t="s">
        <v>1501</v>
      </c>
    </row>
    <row r="571" spans="1:3" x14ac:dyDescent="0.25">
      <c r="A571" s="52">
        <v>195332</v>
      </c>
      <c r="B571" s="60" t="s">
        <v>4170</v>
      </c>
      <c r="C571" s="60"/>
    </row>
    <row r="572" spans="1:3" x14ac:dyDescent="0.25">
      <c r="A572" s="52">
        <v>195333</v>
      </c>
      <c r="B572" s="60" t="s">
        <v>4307</v>
      </c>
      <c r="C572" s="60" t="s">
        <v>4306</v>
      </c>
    </row>
    <row r="573" spans="1:3" x14ac:dyDescent="0.25">
      <c r="A573" s="52">
        <v>195334</v>
      </c>
      <c r="B573" s="70">
        <v>990</v>
      </c>
      <c r="C573" s="60" t="s">
        <v>1509</v>
      </c>
    </row>
    <row r="574" spans="1:3" x14ac:dyDescent="0.25">
      <c r="A574" s="52">
        <v>195335</v>
      </c>
      <c r="B574" s="70">
        <v>890</v>
      </c>
      <c r="C574" s="60" t="s">
        <v>1512</v>
      </c>
    </row>
    <row r="575" spans="1:3" x14ac:dyDescent="0.25">
      <c r="A575" s="52">
        <v>195342</v>
      </c>
      <c r="B575" s="70">
        <v>3590</v>
      </c>
      <c r="C575" s="60" t="s">
        <v>1515</v>
      </c>
    </row>
    <row r="576" spans="1:3" x14ac:dyDescent="0.25">
      <c r="A576" s="52">
        <v>195337</v>
      </c>
      <c r="B576" s="70">
        <v>10390</v>
      </c>
      <c r="C576" s="60" t="s">
        <v>1518</v>
      </c>
    </row>
    <row r="577" spans="1:3" x14ac:dyDescent="0.25">
      <c r="A577" s="52">
        <v>195338</v>
      </c>
      <c r="B577" s="70">
        <v>1390</v>
      </c>
      <c r="C577" s="60" t="s">
        <v>1521</v>
      </c>
    </row>
    <row r="578" spans="1:3" x14ac:dyDescent="0.25">
      <c r="A578" s="52">
        <v>195339</v>
      </c>
      <c r="B578" s="70">
        <v>2390</v>
      </c>
      <c r="C578" s="60" t="s">
        <v>1524</v>
      </c>
    </row>
    <row r="579" spans="1:3" x14ac:dyDescent="0.25">
      <c r="A579" s="52">
        <v>195340</v>
      </c>
      <c r="B579" s="60" t="s">
        <v>4170</v>
      </c>
      <c r="C579" s="60"/>
    </row>
    <row r="580" spans="1:3" x14ac:dyDescent="0.25">
      <c r="A580" s="52">
        <v>195341</v>
      </c>
      <c r="B580" s="70">
        <v>8490</v>
      </c>
      <c r="C580" s="60" t="s">
        <v>1529</v>
      </c>
    </row>
    <row r="581" spans="1:3" x14ac:dyDescent="0.25">
      <c r="A581" s="52">
        <v>195344</v>
      </c>
      <c r="B581" s="60" t="s">
        <v>4170</v>
      </c>
      <c r="C581" s="60"/>
    </row>
    <row r="582" spans="1:3" x14ac:dyDescent="0.25">
      <c r="A582" s="52">
        <v>357534</v>
      </c>
      <c r="B582" s="60" t="s">
        <v>4170</v>
      </c>
      <c r="C582" s="60"/>
    </row>
    <row r="583" spans="1:3" x14ac:dyDescent="0.25">
      <c r="A583" s="52">
        <v>195345</v>
      </c>
      <c r="B583" s="60" t="s">
        <v>4170</v>
      </c>
      <c r="C583" s="60"/>
    </row>
    <row r="584" spans="1:3" x14ac:dyDescent="0.25">
      <c r="A584" s="52">
        <v>195349</v>
      </c>
      <c r="B584" s="60">
        <v>890</v>
      </c>
      <c r="C584" s="60" t="s">
        <v>4244</v>
      </c>
    </row>
    <row r="585" spans="1:3" x14ac:dyDescent="0.25">
      <c r="A585" s="52">
        <v>195350</v>
      </c>
      <c r="B585" s="60">
        <v>890</v>
      </c>
      <c r="C585" s="60" t="s">
        <v>4245</v>
      </c>
    </row>
    <row r="586" spans="1:3" x14ac:dyDescent="0.25">
      <c r="A586" s="52">
        <v>195358</v>
      </c>
      <c r="B586" s="60">
        <v>929</v>
      </c>
      <c r="C586" s="60" t="s">
        <v>4232</v>
      </c>
    </row>
    <row r="587" spans="1:3" x14ac:dyDescent="0.25">
      <c r="A587" s="52">
        <v>195352</v>
      </c>
      <c r="B587" s="62" t="s">
        <v>4170</v>
      </c>
      <c r="C587" s="60"/>
    </row>
    <row r="588" spans="1:3" x14ac:dyDescent="0.25">
      <c r="A588" s="52">
        <v>195354</v>
      </c>
      <c r="B588" s="60">
        <v>929</v>
      </c>
      <c r="C588" s="60" t="s">
        <v>4231</v>
      </c>
    </row>
    <row r="589" spans="1:3" x14ac:dyDescent="0.25">
      <c r="A589" s="52">
        <v>195356</v>
      </c>
      <c r="B589" s="62" t="s">
        <v>4170</v>
      </c>
      <c r="C589" s="60"/>
    </row>
    <row r="590" spans="1:3" x14ac:dyDescent="0.25">
      <c r="A590" s="52">
        <v>201020</v>
      </c>
      <c r="B590" s="70">
        <v>269</v>
      </c>
      <c r="C590" s="60" t="s">
        <v>1552</v>
      </c>
    </row>
    <row r="591" spans="1:3" x14ac:dyDescent="0.25">
      <c r="A591" s="52">
        <v>201023</v>
      </c>
      <c r="B591" s="70">
        <v>199</v>
      </c>
      <c r="C591" s="60" t="s">
        <v>1555</v>
      </c>
    </row>
    <row r="592" spans="1:3" x14ac:dyDescent="0.25">
      <c r="A592" s="52">
        <v>201024</v>
      </c>
      <c r="B592" s="60">
        <v>269</v>
      </c>
      <c r="C592" s="60" t="s">
        <v>1552</v>
      </c>
    </row>
    <row r="593" spans="1:3" x14ac:dyDescent="0.25">
      <c r="A593" s="52">
        <v>201817</v>
      </c>
      <c r="B593" s="60" t="s">
        <v>4170</v>
      </c>
      <c r="C593" s="60"/>
    </row>
    <row r="594" spans="1:3" x14ac:dyDescent="0.25">
      <c r="A594" s="52">
        <v>201818</v>
      </c>
      <c r="B594" s="70">
        <v>1390</v>
      </c>
      <c r="C594" s="60" t="s">
        <v>1562</v>
      </c>
    </row>
    <row r="595" spans="1:3" x14ac:dyDescent="0.25">
      <c r="A595" s="52">
        <v>201820</v>
      </c>
      <c r="B595" s="60" t="s">
        <v>4170</v>
      </c>
      <c r="C595" s="60"/>
    </row>
    <row r="596" spans="1:3" x14ac:dyDescent="0.25">
      <c r="A596" s="52">
        <v>202571</v>
      </c>
      <c r="B596" s="70">
        <v>3390</v>
      </c>
      <c r="C596" s="60" t="s">
        <v>1567</v>
      </c>
    </row>
    <row r="597" spans="1:3" x14ac:dyDescent="0.25">
      <c r="A597" s="52">
        <v>202572</v>
      </c>
      <c r="B597" s="70">
        <v>4690</v>
      </c>
      <c r="C597" s="60" t="s">
        <v>1570</v>
      </c>
    </row>
    <row r="598" spans="1:3" x14ac:dyDescent="0.25">
      <c r="A598" s="52">
        <v>202575</v>
      </c>
      <c r="B598" s="62" t="s">
        <v>4170</v>
      </c>
      <c r="C598" s="60"/>
    </row>
    <row r="599" spans="1:3" x14ac:dyDescent="0.25">
      <c r="A599" s="52">
        <v>202576</v>
      </c>
      <c r="B599" s="62" t="s">
        <v>4170</v>
      </c>
      <c r="C599" s="60"/>
    </row>
    <row r="600" spans="1:3" x14ac:dyDescent="0.25">
      <c r="A600" s="52">
        <v>202577</v>
      </c>
      <c r="B600" s="62" t="s">
        <v>4170</v>
      </c>
      <c r="C600" s="60"/>
    </row>
    <row r="601" spans="1:3" x14ac:dyDescent="0.25">
      <c r="A601" s="52">
        <v>202598</v>
      </c>
      <c r="B601" s="60" t="s">
        <v>4170</v>
      </c>
      <c r="C601" s="60"/>
    </row>
    <row r="602" spans="1:3" x14ac:dyDescent="0.25">
      <c r="A602" s="52">
        <v>202599</v>
      </c>
      <c r="B602" s="60" t="s">
        <v>4170</v>
      </c>
      <c r="C602" s="60"/>
    </row>
    <row r="603" spans="1:3" x14ac:dyDescent="0.25">
      <c r="A603" s="52">
        <v>202611</v>
      </c>
      <c r="B603" s="60" t="s">
        <v>4170</v>
      </c>
      <c r="C603" s="60"/>
    </row>
    <row r="604" spans="1:3" x14ac:dyDescent="0.25">
      <c r="A604" s="52">
        <v>202625</v>
      </c>
      <c r="B604" s="60" t="s">
        <v>4170</v>
      </c>
      <c r="C604" s="60"/>
    </row>
    <row r="605" spans="1:3" x14ac:dyDescent="0.25">
      <c r="A605" s="52">
        <v>202612</v>
      </c>
      <c r="B605" s="70">
        <v>8090</v>
      </c>
      <c r="C605" s="60" t="s">
        <v>1588</v>
      </c>
    </row>
    <row r="606" spans="1:3" x14ac:dyDescent="0.25">
      <c r="A606" s="52">
        <v>202613</v>
      </c>
      <c r="B606" s="70">
        <v>4290</v>
      </c>
      <c r="C606" s="60" t="s">
        <v>1591</v>
      </c>
    </row>
    <row r="607" spans="1:3" x14ac:dyDescent="0.25">
      <c r="A607" s="52">
        <v>202614</v>
      </c>
      <c r="B607" s="60" t="s">
        <v>4170</v>
      </c>
      <c r="C607" s="60"/>
    </row>
    <row r="608" spans="1:3" x14ac:dyDescent="0.25">
      <c r="A608" s="52">
        <v>202615</v>
      </c>
      <c r="B608" s="60" t="s">
        <v>4170</v>
      </c>
      <c r="C608" s="60"/>
    </row>
    <row r="609" spans="1:3" x14ac:dyDescent="0.25">
      <c r="A609" s="52">
        <v>202616</v>
      </c>
      <c r="B609" s="70">
        <v>3790</v>
      </c>
      <c r="C609" s="60" t="s">
        <v>1599</v>
      </c>
    </row>
    <row r="610" spans="1:3" x14ac:dyDescent="0.25">
      <c r="A610" s="52">
        <v>202619</v>
      </c>
      <c r="B610" s="70">
        <v>2690</v>
      </c>
      <c r="C610" s="60" t="s">
        <v>1602</v>
      </c>
    </row>
    <row r="611" spans="1:3" x14ac:dyDescent="0.25">
      <c r="A611" s="52">
        <v>202620</v>
      </c>
      <c r="B611" s="70">
        <v>4190</v>
      </c>
      <c r="C611" s="60" t="s">
        <v>1605</v>
      </c>
    </row>
    <row r="612" spans="1:3" x14ac:dyDescent="0.25">
      <c r="A612" s="52">
        <v>202617</v>
      </c>
      <c r="B612" s="70">
        <v>5890</v>
      </c>
      <c r="C612" s="60" t="s">
        <v>1608</v>
      </c>
    </row>
    <row r="613" spans="1:3" x14ac:dyDescent="0.25">
      <c r="A613" s="52">
        <v>202624</v>
      </c>
      <c r="B613" s="60" t="s">
        <v>4169</v>
      </c>
      <c r="C613" s="60"/>
    </row>
    <row r="614" spans="1:3" x14ac:dyDescent="0.25">
      <c r="A614" s="52">
        <v>202627</v>
      </c>
      <c r="B614" s="76" t="s">
        <v>4285</v>
      </c>
      <c r="C614" s="60"/>
    </row>
    <row r="615" spans="1:3" x14ac:dyDescent="0.25">
      <c r="A615" s="52">
        <v>202628</v>
      </c>
      <c r="B615" s="70">
        <v>2690</v>
      </c>
      <c r="C615" s="60" t="s">
        <v>1616</v>
      </c>
    </row>
    <row r="616" spans="1:3" x14ac:dyDescent="0.25">
      <c r="A616" s="52">
        <v>202733</v>
      </c>
      <c r="B616" s="60" t="s">
        <v>4170</v>
      </c>
      <c r="C616" s="60"/>
    </row>
    <row r="617" spans="1:3" x14ac:dyDescent="0.25">
      <c r="A617" s="52">
        <v>202761</v>
      </c>
      <c r="B617" s="60" t="s">
        <v>4170</v>
      </c>
      <c r="C617" s="60"/>
    </row>
    <row r="618" spans="1:3" x14ac:dyDescent="0.25">
      <c r="A618" s="52">
        <v>363641</v>
      </c>
      <c r="B618" s="60" t="s">
        <v>4170</v>
      </c>
      <c r="C618" s="60"/>
    </row>
    <row r="619" spans="1:3" x14ac:dyDescent="0.25">
      <c r="A619" s="52">
        <v>363694</v>
      </c>
      <c r="B619" s="76" t="s">
        <v>4285</v>
      </c>
      <c r="C619" s="60"/>
    </row>
    <row r="620" spans="1:3" x14ac:dyDescent="0.25">
      <c r="A620" s="52">
        <v>364388</v>
      </c>
      <c r="B620" s="60" t="s">
        <v>4170</v>
      </c>
      <c r="C620" s="60"/>
    </row>
    <row r="621" spans="1:3" x14ac:dyDescent="0.25">
      <c r="A621" s="52">
        <v>204491</v>
      </c>
      <c r="B621" s="60" t="s">
        <v>4170</v>
      </c>
      <c r="C621" s="60"/>
    </row>
    <row r="622" spans="1:3" x14ac:dyDescent="0.25">
      <c r="A622" s="52">
        <v>214051</v>
      </c>
      <c r="B622" s="60" t="s">
        <v>4170</v>
      </c>
      <c r="C622" s="60"/>
    </row>
    <row r="623" spans="1:3" x14ac:dyDescent="0.25">
      <c r="A623" s="52">
        <v>214052</v>
      </c>
      <c r="B623" s="60" t="s">
        <v>4170</v>
      </c>
      <c r="C623" s="60"/>
    </row>
    <row r="624" spans="1:3" x14ac:dyDescent="0.25">
      <c r="A624" s="52">
        <v>214053</v>
      </c>
      <c r="B624" s="60" t="s">
        <v>4170</v>
      </c>
      <c r="C624" s="60"/>
    </row>
    <row r="625" spans="1:3" x14ac:dyDescent="0.25">
      <c r="A625" s="52">
        <v>214055</v>
      </c>
      <c r="B625" s="70">
        <v>590</v>
      </c>
      <c r="C625" s="60" t="s">
        <v>1641</v>
      </c>
    </row>
    <row r="626" spans="1:3" x14ac:dyDescent="0.25">
      <c r="A626" s="52">
        <v>214056</v>
      </c>
      <c r="B626" s="60" t="s">
        <v>4170</v>
      </c>
      <c r="C626" s="60"/>
    </row>
    <row r="627" spans="1:3" x14ac:dyDescent="0.25">
      <c r="A627" s="52">
        <v>214057</v>
      </c>
      <c r="B627" s="70">
        <v>1290</v>
      </c>
      <c r="C627" s="60" t="s">
        <v>1646</v>
      </c>
    </row>
    <row r="628" spans="1:3" x14ac:dyDescent="0.25">
      <c r="A628" s="52">
        <v>214058</v>
      </c>
      <c r="B628" s="70">
        <v>1890</v>
      </c>
      <c r="C628" s="60" t="s">
        <v>1649</v>
      </c>
    </row>
    <row r="629" spans="1:3" x14ac:dyDescent="0.25">
      <c r="A629" s="52">
        <v>214059</v>
      </c>
      <c r="B629" s="70">
        <v>1890</v>
      </c>
      <c r="C629" s="60" t="s">
        <v>1652</v>
      </c>
    </row>
    <row r="630" spans="1:3" x14ac:dyDescent="0.25">
      <c r="A630" s="52">
        <v>214060</v>
      </c>
      <c r="B630" s="60" t="s">
        <v>4170</v>
      </c>
      <c r="C630" s="60"/>
    </row>
    <row r="631" spans="1:3" x14ac:dyDescent="0.25">
      <c r="A631" s="52">
        <v>214061</v>
      </c>
      <c r="B631" s="60" t="s">
        <v>4170</v>
      </c>
      <c r="C631" s="60"/>
    </row>
    <row r="632" spans="1:3" x14ac:dyDescent="0.25">
      <c r="A632" s="52">
        <v>214062</v>
      </c>
      <c r="B632" s="60" t="s">
        <v>4170</v>
      </c>
      <c r="C632" s="60"/>
    </row>
    <row r="633" spans="1:3" x14ac:dyDescent="0.25">
      <c r="A633" s="52">
        <v>214063</v>
      </c>
      <c r="B633" s="60" t="s">
        <v>4170</v>
      </c>
      <c r="C633" s="60"/>
    </row>
    <row r="634" spans="1:3" x14ac:dyDescent="0.25">
      <c r="A634" s="52">
        <v>214064</v>
      </c>
      <c r="B634" s="60" t="s">
        <v>4170</v>
      </c>
      <c r="C634" s="60"/>
    </row>
    <row r="635" spans="1:3" x14ac:dyDescent="0.25">
      <c r="A635" s="52">
        <v>214065</v>
      </c>
      <c r="B635" s="70">
        <v>2690</v>
      </c>
      <c r="C635" s="60" t="s">
        <v>1667</v>
      </c>
    </row>
    <row r="636" spans="1:3" x14ac:dyDescent="0.25">
      <c r="A636" s="52">
        <v>214066</v>
      </c>
      <c r="B636" s="70">
        <v>2290</v>
      </c>
      <c r="C636" s="60" t="s">
        <v>1670</v>
      </c>
    </row>
    <row r="637" spans="1:3" x14ac:dyDescent="0.25">
      <c r="A637" s="52">
        <v>214067</v>
      </c>
      <c r="B637" s="70">
        <v>969</v>
      </c>
      <c r="C637" s="60" t="s">
        <v>1674</v>
      </c>
    </row>
    <row r="638" spans="1:3" x14ac:dyDescent="0.25">
      <c r="A638" s="52">
        <v>214068</v>
      </c>
      <c r="B638" s="70">
        <v>890</v>
      </c>
      <c r="C638" s="60" t="s">
        <v>1677</v>
      </c>
    </row>
    <row r="639" spans="1:3" x14ac:dyDescent="0.25">
      <c r="A639" s="52">
        <v>214069</v>
      </c>
      <c r="B639" s="70">
        <v>190</v>
      </c>
      <c r="C639" s="60" t="s">
        <v>1680</v>
      </c>
    </row>
    <row r="640" spans="1:3" x14ac:dyDescent="0.25">
      <c r="A640" s="52">
        <v>214070</v>
      </c>
      <c r="B640" s="60" t="s">
        <v>4170</v>
      </c>
      <c r="C640" s="60"/>
    </row>
    <row r="641" spans="1:3" x14ac:dyDescent="0.25">
      <c r="A641" s="52">
        <v>214071</v>
      </c>
      <c r="B641" s="60" t="s">
        <v>4170</v>
      </c>
      <c r="C641" s="60"/>
    </row>
    <row r="642" spans="1:3" x14ac:dyDescent="0.25">
      <c r="A642" s="52">
        <v>214072</v>
      </c>
      <c r="B642" s="60" t="s">
        <v>4240</v>
      </c>
      <c r="C642" s="60" t="s">
        <v>1693</v>
      </c>
    </row>
    <row r="643" spans="1:3" x14ac:dyDescent="0.25">
      <c r="A643" s="52">
        <v>214073</v>
      </c>
      <c r="B643" s="76" t="s">
        <v>4285</v>
      </c>
      <c r="C643" s="60"/>
    </row>
    <row r="644" spans="1:3" x14ac:dyDescent="0.25">
      <c r="A644" s="52">
        <v>214074</v>
      </c>
      <c r="B644" s="60" t="s">
        <v>4170</v>
      </c>
      <c r="C644" s="60"/>
    </row>
    <row r="645" spans="1:3" x14ac:dyDescent="0.25">
      <c r="A645" s="52">
        <v>214075</v>
      </c>
      <c r="B645" s="70">
        <v>1490</v>
      </c>
      <c r="C645" s="60" t="s">
        <v>1693</v>
      </c>
    </row>
    <row r="646" spans="1:3" x14ac:dyDescent="0.25">
      <c r="A646" s="52">
        <v>214076</v>
      </c>
      <c r="B646" s="70">
        <v>2990</v>
      </c>
      <c r="C646" s="60" t="s">
        <v>1696</v>
      </c>
    </row>
    <row r="647" spans="1:3" x14ac:dyDescent="0.25">
      <c r="A647" s="52">
        <v>214077</v>
      </c>
      <c r="B647" s="60" t="s">
        <v>4228</v>
      </c>
      <c r="C647" s="60" t="s">
        <v>1555</v>
      </c>
    </row>
    <row r="648" spans="1:3" x14ac:dyDescent="0.25">
      <c r="A648" s="52">
        <v>214078</v>
      </c>
      <c r="B648" s="62" t="s">
        <v>4170</v>
      </c>
      <c r="C648" s="60"/>
    </row>
    <row r="649" spans="1:3" x14ac:dyDescent="0.25">
      <c r="A649" s="52">
        <v>214080</v>
      </c>
      <c r="B649" s="62" t="s">
        <v>4170</v>
      </c>
      <c r="C649" s="60"/>
    </row>
    <row r="650" spans="1:3" x14ac:dyDescent="0.25">
      <c r="A650" s="52">
        <v>214081</v>
      </c>
      <c r="B650" s="60">
        <v>990</v>
      </c>
      <c r="C650" s="60" t="s">
        <v>4233</v>
      </c>
    </row>
    <row r="651" spans="1:3" x14ac:dyDescent="0.25">
      <c r="A651" s="52">
        <v>214082</v>
      </c>
      <c r="B651" s="60">
        <v>990</v>
      </c>
      <c r="C651" s="60" t="s">
        <v>4234</v>
      </c>
    </row>
    <row r="652" spans="1:3" x14ac:dyDescent="0.25">
      <c r="A652" s="52">
        <v>214083</v>
      </c>
      <c r="B652" s="60">
        <v>289</v>
      </c>
      <c r="C652" s="60" t="s">
        <v>4235</v>
      </c>
    </row>
    <row r="653" spans="1:3" x14ac:dyDescent="0.25">
      <c r="A653" s="52">
        <v>214084</v>
      </c>
      <c r="B653" s="60">
        <v>169</v>
      </c>
      <c r="C653" s="60" t="s">
        <v>4229</v>
      </c>
    </row>
    <row r="654" spans="1:3" x14ac:dyDescent="0.25">
      <c r="A654" s="52">
        <v>214085</v>
      </c>
      <c r="B654" s="60">
        <v>249</v>
      </c>
      <c r="C654" s="60" t="s">
        <v>4230</v>
      </c>
    </row>
    <row r="655" spans="1:3" x14ac:dyDescent="0.25">
      <c r="A655" s="52">
        <v>214086</v>
      </c>
      <c r="B655" s="60">
        <v>169</v>
      </c>
      <c r="C655" s="60" t="s">
        <v>4229</v>
      </c>
    </row>
    <row r="656" spans="1:3" x14ac:dyDescent="0.25">
      <c r="A656" s="52">
        <v>214087</v>
      </c>
      <c r="B656" s="60">
        <v>249</v>
      </c>
      <c r="C656" s="60" t="s">
        <v>4230</v>
      </c>
    </row>
    <row r="657" spans="1:3" x14ac:dyDescent="0.25">
      <c r="A657" s="52">
        <v>214089</v>
      </c>
      <c r="B657" s="70">
        <v>2390</v>
      </c>
      <c r="C657" s="60" t="s">
        <v>1718</v>
      </c>
    </row>
    <row r="658" spans="1:3" x14ac:dyDescent="0.25">
      <c r="A658" s="52">
        <v>214090</v>
      </c>
      <c r="B658" s="70">
        <v>3290</v>
      </c>
      <c r="C658" s="60" t="s">
        <v>1721</v>
      </c>
    </row>
    <row r="659" spans="1:3" x14ac:dyDescent="0.25">
      <c r="A659" s="52">
        <v>214091</v>
      </c>
      <c r="B659" s="70">
        <v>1990</v>
      </c>
      <c r="C659" s="60" t="s">
        <v>1724</v>
      </c>
    </row>
    <row r="660" spans="1:3" x14ac:dyDescent="0.25">
      <c r="A660" s="52">
        <v>214092</v>
      </c>
      <c r="B660" s="60">
        <v>3290</v>
      </c>
      <c r="C660" s="60" t="s">
        <v>4237</v>
      </c>
    </row>
    <row r="661" spans="1:3" x14ac:dyDescent="0.25">
      <c r="A661" s="52">
        <v>214093</v>
      </c>
      <c r="B661" s="60">
        <v>2390</v>
      </c>
      <c r="C661" s="60" t="s">
        <v>4238</v>
      </c>
    </row>
    <row r="662" spans="1:3" x14ac:dyDescent="0.25">
      <c r="A662" s="52">
        <v>214094</v>
      </c>
      <c r="B662" s="60">
        <v>290</v>
      </c>
      <c r="C662" s="60" t="s">
        <v>4236</v>
      </c>
    </row>
    <row r="663" spans="1:3" x14ac:dyDescent="0.25">
      <c r="A663" s="52">
        <v>214095</v>
      </c>
      <c r="B663" s="62" t="s">
        <v>4170</v>
      </c>
      <c r="C663" s="60"/>
    </row>
    <row r="664" spans="1:3" x14ac:dyDescent="0.25">
      <c r="A664" s="52">
        <v>214096</v>
      </c>
      <c r="B664" s="60" t="s">
        <v>4170</v>
      </c>
      <c r="C664" s="60"/>
    </row>
    <row r="665" spans="1:3" x14ac:dyDescent="0.25">
      <c r="A665" s="52">
        <v>214100</v>
      </c>
      <c r="B665" s="70">
        <v>190</v>
      </c>
      <c r="C665" s="60" t="s">
        <v>1734</v>
      </c>
    </row>
    <row r="666" spans="1:3" x14ac:dyDescent="0.25">
      <c r="A666" s="52">
        <v>214101</v>
      </c>
      <c r="B666" s="70">
        <v>190</v>
      </c>
      <c r="C666" s="60" t="s">
        <v>1737</v>
      </c>
    </row>
    <row r="667" spans="1:3" x14ac:dyDescent="0.25">
      <c r="A667" s="52">
        <v>214102</v>
      </c>
      <c r="B667" s="60" t="s">
        <v>4170</v>
      </c>
      <c r="C667" s="60"/>
    </row>
    <row r="668" spans="1:3" x14ac:dyDescent="0.25">
      <c r="A668" s="52">
        <v>217684</v>
      </c>
      <c r="B668" s="60" t="s">
        <v>4170</v>
      </c>
      <c r="C668" s="60"/>
    </row>
    <row r="669" spans="1:3" x14ac:dyDescent="0.25">
      <c r="A669" s="52">
        <v>217685</v>
      </c>
      <c r="B669" s="60" t="s">
        <v>4170</v>
      </c>
      <c r="C669" s="60"/>
    </row>
    <row r="670" spans="1:3" x14ac:dyDescent="0.25">
      <c r="A670" s="52">
        <v>217702</v>
      </c>
      <c r="B670" s="70">
        <v>3390</v>
      </c>
      <c r="C670" s="60" t="s">
        <v>1746</v>
      </c>
    </row>
    <row r="671" spans="1:3" x14ac:dyDescent="0.25">
      <c r="A671" s="52">
        <v>217703</v>
      </c>
      <c r="B671" s="70">
        <v>3390</v>
      </c>
      <c r="C671" s="60" t="s">
        <v>1749</v>
      </c>
    </row>
    <row r="672" spans="1:3" x14ac:dyDescent="0.25">
      <c r="A672" s="52">
        <v>217704</v>
      </c>
      <c r="B672" s="60" t="s">
        <v>4170</v>
      </c>
      <c r="C672" s="60"/>
    </row>
    <row r="673" spans="1:3" x14ac:dyDescent="0.25">
      <c r="A673" s="52">
        <v>217705</v>
      </c>
      <c r="B673" s="70">
        <v>4690</v>
      </c>
      <c r="C673" s="60" t="s">
        <v>1755</v>
      </c>
    </row>
    <row r="674" spans="1:3" x14ac:dyDescent="0.25">
      <c r="A674" s="52">
        <v>217706</v>
      </c>
      <c r="B674" s="60" t="s">
        <v>4170</v>
      </c>
      <c r="C674" s="60"/>
    </row>
    <row r="675" spans="1:3" x14ac:dyDescent="0.25">
      <c r="A675" s="52">
        <v>217707</v>
      </c>
      <c r="B675" s="70">
        <v>8890</v>
      </c>
      <c r="C675" s="60" t="s">
        <v>1761</v>
      </c>
    </row>
    <row r="676" spans="1:3" x14ac:dyDescent="0.25">
      <c r="A676" s="52">
        <v>217708</v>
      </c>
      <c r="B676" s="60" t="s">
        <v>4170</v>
      </c>
      <c r="C676" s="60"/>
    </row>
    <row r="677" spans="1:3" x14ac:dyDescent="0.25">
      <c r="A677" s="52">
        <v>217709</v>
      </c>
      <c r="B677" s="60" t="s">
        <v>4170</v>
      </c>
      <c r="C677" s="60"/>
    </row>
    <row r="678" spans="1:3" x14ac:dyDescent="0.25">
      <c r="A678" s="52">
        <v>217710</v>
      </c>
      <c r="B678" s="60" t="s">
        <v>4170</v>
      </c>
      <c r="C678" s="60"/>
    </row>
    <row r="679" spans="1:3" x14ac:dyDescent="0.25">
      <c r="A679" s="52">
        <v>217711</v>
      </c>
      <c r="B679" s="60" t="s">
        <v>4170</v>
      </c>
      <c r="C679" s="60"/>
    </row>
    <row r="680" spans="1:3" x14ac:dyDescent="0.25">
      <c r="A680" s="52">
        <v>217712</v>
      </c>
      <c r="B680" s="70">
        <v>1790</v>
      </c>
      <c r="C680" s="60" t="s">
        <v>1772</v>
      </c>
    </row>
    <row r="681" spans="1:3" x14ac:dyDescent="0.25">
      <c r="A681" s="52">
        <v>217713</v>
      </c>
      <c r="B681" s="70">
        <v>769</v>
      </c>
      <c r="C681" s="60" t="s">
        <v>1775</v>
      </c>
    </row>
    <row r="682" spans="1:3" x14ac:dyDescent="0.25">
      <c r="A682" s="52">
        <v>217714</v>
      </c>
      <c r="B682" s="70">
        <v>769</v>
      </c>
      <c r="C682" s="60" t="s">
        <v>1778</v>
      </c>
    </row>
    <row r="683" spans="1:3" x14ac:dyDescent="0.25">
      <c r="A683" s="52">
        <v>217715</v>
      </c>
      <c r="B683" s="60" t="s">
        <v>4170</v>
      </c>
      <c r="C683" s="60"/>
    </row>
    <row r="684" spans="1:3" x14ac:dyDescent="0.25">
      <c r="A684" s="52">
        <v>217716</v>
      </c>
      <c r="B684" s="60" t="s">
        <v>4170</v>
      </c>
      <c r="C684" s="60"/>
    </row>
    <row r="685" spans="1:3" x14ac:dyDescent="0.25">
      <c r="A685" s="52">
        <v>217717</v>
      </c>
      <c r="B685" s="60" t="s">
        <v>4170</v>
      </c>
      <c r="C685" s="60"/>
    </row>
    <row r="686" spans="1:3" x14ac:dyDescent="0.25">
      <c r="A686" s="52">
        <v>217718</v>
      </c>
      <c r="B686" s="60" t="s">
        <v>4170</v>
      </c>
      <c r="C686" s="60"/>
    </row>
    <row r="687" spans="1:3" x14ac:dyDescent="0.25">
      <c r="A687" s="52">
        <v>217719</v>
      </c>
      <c r="B687" s="70">
        <v>3490</v>
      </c>
      <c r="C687" s="60" t="s">
        <v>1790</v>
      </c>
    </row>
    <row r="688" spans="1:3" x14ac:dyDescent="0.25">
      <c r="A688" s="52">
        <v>217720</v>
      </c>
      <c r="B688" s="60" t="s">
        <v>4170</v>
      </c>
      <c r="C688" s="60"/>
    </row>
    <row r="689" spans="1:3" x14ac:dyDescent="0.25">
      <c r="A689" s="52">
        <v>217721</v>
      </c>
      <c r="B689" s="60" t="s">
        <v>4170</v>
      </c>
      <c r="C689" s="60"/>
    </row>
    <row r="690" spans="1:3" x14ac:dyDescent="0.25">
      <c r="A690" s="52">
        <v>217722</v>
      </c>
      <c r="B690" s="60" t="s">
        <v>4170</v>
      </c>
      <c r="C690" s="60"/>
    </row>
    <row r="691" spans="1:3" x14ac:dyDescent="0.25">
      <c r="A691" s="52">
        <v>217857</v>
      </c>
      <c r="B691" s="70">
        <v>949</v>
      </c>
      <c r="C691" s="60" t="s">
        <v>1799</v>
      </c>
    </row>
    <row r="692" spans="1:3" x14ac:dyDescent="0.25">
      <c r="A692" s="52">
        <v>217858</v>
      </c>
      <c r="B692" s="70">
        <v>829</v>
      </c>
      <c r="C692" s="60" t="s">
        <v>1803</v>
      </c>
    </row>
    <row r="693" spans="1:3" x14ac:dyDescent="0.25">
      <c r="A693" s="52">
        <v>217859</v>
      </c>
      <c r="B693" s="70">
        <v>829</v>
      </c>
      <c r="C693" s="60" t="s">
        <v>1807</v>
      </c>
    </row>
    <row r="694" spans="1:3" x14ac:dyDescent="0.25">
      <c r="A694" s="52">
        <v>217860</v>
      </c>
      <c r="B694" s="60" t="s">
        <v>4170</v>
      </c>
      <c r="C694" s="60"/>
    </row>
    <row r="695" spans="1:3" x14ac:dyDescent="0.25">
      <c r="A695" s="52">
        <v>217861</v>
      </c>
      <c r="B695" s="60" t="s">
        <v>4170</v>
      </c>
      <c r="C695" s="60"/>
    </row>
    <row r="696" spans="1:3" x14ac:dyDescent="0.25">
      <c r="A696" s="52">
        <v>217862</v>
      </c>
      <c r="B696" s="70">
        <v>829</v>
      </c>
      <c r="C696" s="60" t="s">
        <v>1816</v>
      </c>
    </row>
    <row r="697" spans="1:3" x14ac:dyDescent="0.25">
      <c r="A697" s="52">
        <v>217863</v>
      </c>
      <c r="B697" s="60" t="s">
        <v>4170</v>
      </c>
      <c r="C697" s="60"/>
    </row>
    <row r="698" spans="1:3" x14ac:dyDescent="0.25">
      <c r="A698" s="52">
        <v>217864</v>
      </c>
      <c r="B698" s="60" t="s">
        <v>4170</v>
      </c>
      <c r="C698" s="60"/>
    </row>
    <row r="699" spans="1:3" x14ac:dyDescent="0.25">
      <c r="A699" s="52">
        <v>217865</v>
      </c>
      <c r="B699" s="70">
        <v>1690</v>
      </c>
      <c r="C699" s="60" t="s">
        <v>1824</v>
      </c>
    </row>
    <row r="700" spans="1:3" x14ac:dyDescent="0.25">
      <c r="A700" s="52">
        <v>217866</v>
      </c>
      <c r="B700" s="70">
        <v>1390</v>
      </c>
      <c r="C700" s="60" t="s">
        <v>1827</v>
      </c>
    </row>
    <row r="701" spans="1:3" x14ac:dyDescent="0.25">
      <c r="A701" s="52">
        <v>222945</v>
      </c>
      <c r="B701" s="70">
        <v>3090</v>
      </c>
      <c r="C701" s="60" t="s">
        <v>1830</v>
      </c>
    </row>
    <row r="702" spans="1:3" x14ac:dyDescent="0.25">
      <c r="A702" s="52">
        <v>223554</v>
      </c>
      <c r="B702" s="70">
        <v>3290</v>
      </c>
      <c r="C702" s="60" t="s">
        <v>1834</v>
      </c>
    </row>
    <row r="703" spans="1:3" x14ac:dyDescent="0.25">
      <c r="A703" s="52">
        <v>223555</v>
      </c>
      <c r="B703" s="60" t="s">
        <v>4170</v>
      </c>
      <c r="C703" s="60"/>
    </row>
    <row r="704" spans="1:3" x14ac:dyDescent="0.25">
      <c r="A704" s="52">
        <v>223559</v>
      </c>
      <c r="B704" s="60" t="s">
        <v>4170</v>
      </c>
      <c r="C704" s="60"/>
    </row>
    <row r="705" spans="1:3" x14ac:dyDescent="0.25">
      <c r="A705" s="52">
        <v>223560</v>
      </c>
      <c r="B705" s="76" t="s">
        <v>4285</v>
      </c>
      <c r="C705" s="60"/>
    </row>
    <row r="706" spans="1:3" x14ac:dyDescent="0.25">
      <c r="A706" s="52">
        <v>223561</v>
      </c>
      <c r="B706" s="60" t="s">
        <v>4170</v>
      </c>
      <c r="C706" s="60"/>
    </row>
    <row r="707" spans="1:3" x14ac:dyDescent="0.25">
      <c r="A707" s="52">
        <v>223562</v>
      </c>
      <c r="B707" s="60" t="s">
        <v>4170</v>
      </c>
      <c r="C707" s="60"/>
    </row>
    <row r="708" spans="1:3" x14ac:dyDescent="0.25">
      <c r="A708" s="52">
        <v>223563</v>
      </c>
      <c r="B708" s="60" t="s">
        <v>4170</v>
      </c>
      <c r="C708" s="60"/>
    </row>
    <row r="709" spans="1:3" x14ac:dyDescent="0.25">
      <c r="A709" s="52">
        <v>223564</v>
      </c>
      <c r="B709" s="60" t="s">
        <v>4170</v>
      </c>
      <c r="C709" s="60"/>
    </row>
    <row r="710" spans="1:3" x14ac:dyDescent="0.25">
      <c r="A710" s="52">
        <v>223565</v>
      </c>
      <c r="B710" s="62" t="s">
        <v>4170</v>
      </c>
      <c r="C710" s="60"/>
    </row>
    <row r="711" spans="1:3" x14ac:dyDescent="0.25">
      <c r="A711" s="52">
        <v>223566</v>
      </c>
      <c r="B711" s="70">
        <v>1790</v>
      </c>
      <c r="C711" s="60" t="s">
        <v>1856</v>
      </c>
    </row>
    <row r="712" spans="1:3" x14ac:dyDescent="0.25">
      <c r="A712" s="52">
        <v>223567</v>
      </c>
      <c r="B712" s="70">
        <v>1090</v>
      </c>
      <c r="C712" s="60" t="s">
        <v>1860</v>
      </c>
    </row>
    <row r="713" spans="1:3" x14ac:dyDescent="0.25">
      <c r="A713" s="52">
        <v>223568</v>
      </c>
      <c r="B713" s="70">
        <v>1190</v>
      </c>
      <c r="C713" s="60" t="s">
        <v>1864</v>
      </c>
    </row>
    <row r="714" spans="1:3" x14ac:dyDescent="0.25">
      <c r="A714" s="52">
        <v>223569</v>
      </c>
      <c r="B714" s="62" t="s">
        <v>4170</v>
      </c>
      <c r="C714" s="60"/>
    </row>
    <row r="715" spans="1:3" x14ac:dyDescent="0.25">
      <c r="A715" s="52">
        <v>223570</v>
      </c>
      <c r="B715" s="70">
        <v>890</v>
      </c>
      <c r="C715" s="60" t="s">
        <v>1869</v>
      </c>
    </row>
    <row r="716" spans="1:3" x14ac:dyDescent="0.25">
      <c r="A716" s="52">
        <v>223571</v>
      </c>
      <c r="B716" s="70">
        <v>890</v>
      </c>
      <c r="C716" s="60" t="s">
        <v>1872</v>
      </c>
    </row>
    <row r="717" spans="1:3" x14ac:dyDescent="0.25">
      <c r="A717" s="52">
        <v>223572</v>
      </c>
      <c r="B717" s="70">
        <v>1390</v>
      </c>
      <c r="C717" s="60" t="s">
        <v>1875</v>
      </c>
    </row>
    <row r="718" spans="1:3" x14ac:dyDescent="0.25">
      <c r="A718" s="52">
        <v>223573</v>
      </c>
      <c r="B718" s="70">
        <v>1290</v>
      </c>
      <c r="C718" s="60" t="s">
        <v>1878</v>
      </c>
    </row>
    <row r="719" spans="1:3" x14ac:dyDescent="0.25">
      <c r="A719" s="52">
        <v>223574</v>
      </c>
      <c r="B719" s="70">
        <v>1890</v>
      </c>
      <c r="C719" s="60" t="s">
        <v>1881</v>
      </c>
    </row>
    <row r="720" spans="1:3" x14ac:dyDescent="0.25">
      <c r="A720" s="52">
        <v>223581</v>
      </c>
      <c r="B720" s="62" t="s">
        <v>4170</v>
      </c>
      <c r="C720" s="60"/>
    </row>
    <row r="721" spans="1:3" x14ac:dyDescent="0.25">
      <c r="A721" s="52">
        <v>223582</v>
      </c>
      <c r="B721" s="70">
        <v>1490</v>
      </c>
      <c r="C721" s="60" t="s">
        <v>1887</v>
      </c>
    </row>
    <row r="722" spans="1:3" x14ac:dyDescent="0.25">
      <c r="A722" s="52">
        <v>223583</v>
      </c>
      <c r="B722" s="60" t="s">
        <v>4170</v>
      </c>
      <c r="C722" s="60"/>
    </row>
    <row r="723" spans="1:3" x14ac:dyDescent="0.25">
      <c r="A723" s="52">
        <v>223593</v>
      </c>
      <c r="B723" s="60" t="s">
        <v>4170</v>
      </c>
      <c r="C723" s="60"/>
    </row>
    <row r="724" spans="1:3" x14ac:dyDescent="0.25">
      <c r="A724" s="52">
        <v>223594</v>
      </c>
      <c r="B724" s="70">
        <v>199</v>
      </c>
      <c r="C724" s="60" t="s">
        <v>1895</v>
      </c>
    </row>
    <row r="725" spans="1:3" x14ac:dyDescent="0.25">
      <c r="A725" s="52">
        <v>223595</v>
      </c>
      <c r="B725" s="60" t="s">
        <v>4170</v>
      </c>
      <c r="C725" s="60"/>
    </row>
    <row r="726" spans="1:3" x14ac:dyDescent="0.25">
      <c r="A726" s="52">
        <v>223596</v>
      </c>
      <c r="B726" s="70">
        <v>199</v>
      </c>
      <c r="C726" s="60" t="s">
        <v>1900</v>
      </c>
    </row>
    <row r="727" spans="1:3" x14ac:dyDescent="0.25">
      <c r="A727" s="52">
        <v>223597</v>
      </c>
      <c r="B727" s="60" t="s">
        <v>4170</v>
      </c>
      <c r="C727" s="60"/>
    </row>
    <row r="728" spans="1:3" x14ac:dyDescent="0.25">
      <c r="A728" s="52">
        <v>223598</v>
      </c>
      <c r="B728" s="60" t="s">
        <v>4170</v>
      </c>
      <c r="C728" s="60"/>
    </row>
    <row r="729" spans="1:3" x14ac:dyDescent="0.25">
      <c r="A729" s="52">
        <v>223599</v>
      </c>
      <c r="B729" s="60" t="s">
        <v>4170</v>
      </c>
      <c r="C729" s="60"/>
    </row>
    <row r="730" spans="1:3" x14ac:dyDescent="0.25">
      <c r="A730" s="52">
        <v>223601</v>
      </c>
      <c r="B730" s="70">
        <v>229</v>
      </c>
      <c r="C730" s="60" t="s">
        <v>1909</v>
      </c>
    </row>
    <row r="731" spans="1:3" x14ac:dyDescent="0.25">
      <c r="A731" s="52">
        <v>223602</v>
      </c>
      <c r="B731" s="60" t="s">
        <v>4170</v>
      </c>
      <c r="C731" s="60"/>
    </row>
    <row r="732" spans="1:3" x14ac:dyDescent="0.25">
      <c r="A732" s="52">
        <v>223603</v>
      </c>
      <c r="B732" s="60" t="s">
        <v>4170</v>
      </c>
      <c r="C732" s="60"/>
    </row>
    <row r="733" spans="1:3" x14ac:dyDescent="0.25">
      <c r="A733" s="52">
        <v>223604</v>
      </c>
      <c r="B733" s="70">
        <v>849</v>
      </c>
      <c r="C733" s="60" t="s">
        <v>1918</v>
      </c>
    </row>
    <row r="734" spans="1:3" x14ac:dyDescent="0.25">
      <c r="A734" s="52">
        <v>223605</v>
      </c>
      <c r="B734" s="70">
        <v>199</v>
      </c>
      <c r="C734" s="60" t="s">
        <v>1921</v>
      </c>
    </row>
    <row r="735" spans="1:3" x14ac:dyDescent="0.25">
      <c r="A735" s="52">
        <v>223606</v>
      </c>
      <c r="B735" s="70">
        <v>429</v>
      </c>
      <c r="C735" s="60" t="s">
        <v>1924</v>
      </c>
    </row>
    <row r="736" spans="1:3" x14ac:dyDescent="0.25">
      <c r="A736" s="52">
        <v>223607</v>
      </c>
      <c r="B736" s="70">
        <v>449</v>
      </c>
      <c r="C736" s="60" t="s">
        <v>1927</v>
      </c>
    </row>
    <row r="737" spans="1:3" x14ac:dyDescent="0.25">
      <c r="A737" s="52">
        <v>223608</v>
      </c>
      <c r="B737" s="60" t="s">
        <v>4170</v>
      </c>
      <c r="C737" s="60"/>
    </row>
    <row r="738" spans="1:3" x14ac:dyDescent="0.25">
      <c r="A738" s="52">
        <v>223624</v>
      </c>
      <c r="B738" s="76" t="s">
        <v>4285</v>
      </c>
      <c r="C738" s="60"/>
    </row>
    <row r="739" spans="1:3" x14ac:dyDescent="0.25">
      <c r="A739" s="52">
        <v>223625</v>
      </c>
      <c r="B739" s="76" t="s">
        <v>4285</v>
      </c>
      <c r="C739" s="60"/>
    </row>
    <row r="740" spans="1:3" x14ac:dyDescent="0.25">
      <c r="A740" s="52">
        <v>223626</v>
      </c>
      <c r="B740" s="70">
        <v>3390</v>
      </c>
      <c r="C740" s="60" t="s">
        <v>1936</v>
      </c>
    </row>
    <row r="741" spans="1:3" x14ac:dyDescent="0.25">
      <c r="A741" s="52">
        <v>223627</v>
      </c>
      <c r="B741" s="60" t="s">
        <v>4170</v>
      </c>
      <c r="C741" s="60"/>
    </row>
    <row r="742" spans="1:3" x14ac:dyDescent="0.25">
      <c r="A742" s="52">
        <v>223628</v>
      </c>
      <c r="B742" s="62" t="s">
        <v>4170</v>
      </c>
      <c r="C742" s="60"/>
    </row>
    <row r="743" spans="1:3" x14ac:dyDescent="0.25">
      <c r="A743" s="52">
        <v>223629</v>
      </c>
      <c r="B743" s="60" t="s">
        <v>4170</v>
      </c>
      <c r="C743" s="60"/>
    </row>
    <row r="744" spans="1:3" x14ac:dyDescent="0.25">
      <c r="A744" s="52">
        <v>223630</v>
      </c>
      <c r="B744" s="60" t="s">
        <v>4170</v>
      </c>
      <c r="C744" s="60"/>
    </row>
    <row r="745" spans="1:3" x14ac:dyDescent="0.25">
      <c r="A745" s="52">
        <v>223631</v>
      </c>
      <c r="B745" s="60" t="s">
        <v>4170</v>
      </c>
      <c r="C745" s="60"/>
    </row>
    <row r="746" spans="1:3" x14ac:dyDescent="0.25">
      <c r="A746" s="52">
        <v>223632</v>
      </c>
      <c r="B746" s="60" t="s">
        <v>4170</v>
      </c>
      <c r="C746" s="60"/>
    </row>
    <row r="747" spans="1:3" x14ac:dyDescent="0.25">
      <c r="A747" s="52">
        <v>223633</v>
      </c>
      <c r="B747" s="60" t="s">
        <v>4170</v>
      </c>
      <c r="C747" s="60"/>
    </row>
    <row r="748" spans="1:3" x14ac:dyDescent="0.25">
      <c r="A748" s="52">
        <v>223641</v>
      </c>
      <c r="B748" s="60" t="s">
        <v>4170</v>
      </c>
      <c r="C748" s="60"/>
    </row>
    <row r="749" spans="1:3" x14ac:dyDescent="0.25">
      <c r="A749" s="52">
        <v>223645</v>
      </c>
      <c r="B749" s="60" t="s">
        <v>4170</v>
      </c>
      <c r="C749" s="60"/>
    </row>
    <row r="750" spans="1:3" x14ac:dyDescent="0.25">
      <c r="A750" s="52">
        <v>223646</v>
      </c>
      <c r="B750" s="60" t="s">
        <v>4170</v>
      </c>
      <c r="C750" s="60"/>
    </row>
    <row r="751" spans="1:3" x14ac:dyDescent="0.25">
      <c r="A751" s="52">
        <v>223648</v>
      </c>
      <c r="B751" s="70">
        <v>1390</v>
      </c>
      <c r="C751" s="60" t="s">
        <v>1959</v>
      </c>
    </row>
    <row r="752" spans="1:3" x14ac:dyDescent="0.25">
      <c r="A752" s="52">
        <v>223649</v>
      </c>
      <c r="B752" s="70">
        <v>1490</v>
      </c>
      <c r="C752" s="60" t="s">
        <v>1963</v>
      </c>
    </row>
    <row r="753" spans="1:3" x14ac:dyDescent="0.25">
      <c r="A753" s="52">
        <v>223650</v>
      </c>
      <c r="B753" s="60">
        <v>590</v>
      </c>
      <c r="C753" s="60" t="s">
        <v>1968</v>
      </c>
    </row>
    <row r="754" spans="1:3" x14ac:dyDescent="0.25">
      <c r="A754" s="52">
        <v>223651</v>
      </c>
      <c r="B754" s="70">
        <v>590</v>
      </c>
      <c r="C754" s="60" t="s">
        <v>1968</v>
      </c>
    </row>
    <row r="755" spans="1:3" x14ac:dyDescent="0.25">
      <c r="A755" s="52">
        <v>223652</v>
      </c>
      <c r="B755" s="70">
        <v>1490</v>
      </c>
      <c r="C755" s="60" t="s">
        <v>1971</v>
      </c>
    </row>
    <row r="756" spans="1:3" x14ac:dyDescent="0.25">
      <c r="A756" s="52">
        <v>223653</v>
      </c>
      <c r="B756" s="70">
        <v>1990</v>
      </c>
      <c r="C756" s="60" t="s">
        <v>1974</v>
      </c>
    </row>
    <row r="757" spans="1:3" x14ac:dyDescent="0.25">
      <c r="A757" s="52">
        <v>223654</v>
      </c>
      <c r="B757" s="70">
        <v>2190</v>
      </c>
      <c r="C757" s="60" t="s">
        <v>1977</v>
      </c>
    </row>
    <row r="758" spans="1:3" x14ac:dyDescent="0.25">
      <c r="A758" s="52">
        <v>223655</v>
      </c>
      <c r="B758" s="62" t="s">
        <v>4170</v>
      </c>
      <c r="C758" s="60"/>
    </row>
    <row r="759" spans="1:3" x14ac:dyDescent="0.25">
      <c r="A759" s="52">
        <v>223656</v>
      </c>
      <c r="B759" s="60" t="s">
        <v>4170</v>
      </c>
      <c r="C759" s="60"/>
    </row>
    <row r="760" spans="1:3" x14ac:dyDescent="0.25">
      <c r="A760" s="52">
        <v>223657</v>
      </c>
      <c r="B760" s="70">
        <v>290</v>
      </c>
      <c r="C760" s="60" t="s">
        <v>1985</v>
      </c>
    </row>
    <row r="761" spans="1:3" x14ac:dyDescent="0.25">
      <c r="A761" s="52">
        <v>223658</v>
      </c>
      <c r="B761" s="70">
        <v>169</v>
      </c>
      <c r="C761" s="60" t="s">
        <v>1988</v>
      </c>
    </row>
    <row r="762" spans="1:3" x14ac:dyDescent="0.25">
      <c r="A762" s="52">
        <v>223660</v>
      </c>
      <c r="B762" s="60" t="s">
        <v>4170</v>
      </c>
      <c r="C762" s="60"/>
    </row>
    <row r="763" spans="1:3" x14ac:dyDescent="0.25">
      <c r="A763" s="52">
        <v>223661</v>
      </c>
      <c r="B763" s="70">
        <v>199</v>
      </c>
      <c r="C763" s="60" t="s">
        <v>1993</v>
      </c>
    </row>
    <row r="764" spans="1:3" x14ac:dyDescent="0.25">
      <c r="A764" s="52">
        <v>223662</v>
      </c>
      <c r="B764" s="70">
        <v>169</v>
      </c>
      <c r="C764" s="60" t="s">
        <v>1996</v>
      </c>
    </row>
    <row r="765" spans="1:3" x14ac:dyDescent="0.25">
      <c r="A765" s="52">
        <v>223663</v>
      </c>
      <c r="B765" s="60" t="s">
        <v>4240</v>
      </c>
      <c r="C765" s="60" t="s">
        <v>4239</v>
      </c>
    </row>
    <row r="766" spans="1:3" x14ac:dyDescent="0.25">
      <c r="A766" s="52">
        <v>223664</v>
      </c>
      <c r="B766" s="60">
        <v>1490</v>
      </c>
      <c r="C766" s="60" t="s">
        <v>4241</v>
      </c>
    </row>
    <row r="767" spans="1:3" x14ac:dyDescent="0.25">
      <c r="A767" s="52">
        <v>223665</v>
      </c>
      <c r="B767" s="62" t="s">
        <v>4170</v>
      </c>
      <c r="C767" s="60"/>
    </row>
    <row r="768" spans="1:3" x14ac:dyDescent="0.25">
      <c r="A768" s="52">
        <v>223666</v>
      </c>
      <c r="B768" s="70">
        <v>169</v>
      </c>
      <c r="C768" s="60" t="s">
        <v>2005</v>
      </c>
    </row>
    <row r="769" spans="1:3" x14ac:dyDescent="0.25">
      <c r="A769" s="52">
        <v>223667</v>
      </c>
      <c r="B769" s="62" t="s">
        <v>4170</v>
      </c>
      <c r="C769" s="60"/>
    </row>
    <row r="770" spans="1:3" x14ac:dyDescent="0.25">
      <c r="A770" s="52">
        <v>223668</v>
      </c>
      <c r="B770" s="60">
        <v>2190</v>
      </c>
      <c r="C770" s="60" t="s">
        <v>4242</v>
      </c>
    </row>
    <row r="771" spans="1:3" x14ac:dyDescent="0.25">
      <c r="A771" s="52">
        <v>223669</v>
      </c>
      <c r="B771" s="60">
        <v>2190</v>
      </c>
      <c r="C771" s="60" t="s">
        <v>4243</v>
      </c>
    </row>
    <row r="772" spans="1:3" x14ac:dyDescent="0.25">
      <c r="A772" s="52">
        <v>223670</v>
      </c>
      <c r="B772" s="62" t="s">
        <v>4170</v>
      </c>
      <c r="C772" s="60"/>
    </row>
    <row r="773" spans="1:3" x14ac:dyDescent="0.25">
      <c r="A773" s="52">
        <v>223673</v>
      </c>
      <c r="B773" s="70">
        <v>249</v>
      </c>
      <c r="C773" s="60" t="s">
        <v>2016</v>
      </c>
    </row>
    <row r="774" spans="1:3" x14ac:dyDescent="0.25">
      <c r="A774" s="52">
        <v>223678</v>
      </c>
      <c r="B774" s="70">
        <v>1790</v>
      </c>
      <c r="C774" s="60" t="s">
        <v>2019</v>
      </c>
    </row>
    <row r="775" spans="1:3" x14ac:dyDescent="0.25">
      <c r="A775" s="52">
        <v>223679</v>
      </c>
      <c r="B775" s="70">
        <v>1690</v>
      </c>
      <c r="C775" s="60" t="s">
        <v>2023</v>
      </c>
    </row>
    <row r="776" spans="1:3" x14ac:dyDescent="0.25">
      <c r="A776" s="52">
        <v>223680</v>
      </c>
      <c r="B776" s="60" t="s">
        <v>4170</v>
      </c>
      <c r="C776" s="60"/>
    </row>
    <row r="777" spans="1:3" x14ac:dyDescent="0.25">
      <c r="A777" s="52">
        <v>223681</v>
      </c>
      <c r="B777" s="70">
        <v>5090</v>
      </c>
      <c r="C777" s="60" t="s">
        <v>2028</v>
      </c>
    </row>
    <row r="778" spans="1:3" x14ac:dyDescent="0.25">
      <c r="A778" s="52">
        <v>223682</v>
      </c>
      <c r="B778" s="70">
        <v>4790</v>
      </c>
      <c r="C778" s="60" t="s">
        <v>2031</v>
      </c>
    </row>
    <row r="779" spans="1:3" x14ac:dyDescent="0.25">
      <c r="A779" s="52">
        <v>223683</v>
      </c>
      <c r="B779" s="60" t="s">
        <v>4170</v>
      </c>
      <c r="C779" s="60"/>
    </row>
    <row r="780" spans="1:3" x14ac:dyDescent="0.25">
      <c r="A780" s="52">
        <v>223684</v>
      </c>
      <c r="B780" s="60" t="s">
        <v>4170</v>
      </c>
      <c r="C780" s="60"/>
    </row>
    <row r="781" spans="1:3" x14ac:dyDescent="0.25">
      <c r="A781" s="52">
        <v>223685</v>
      </c>
      <c r="B781" s="62" t="s">
        <v>4170</v>
      </c>
      <c r="C781" s="60"/>
    </row>
    <row r="782" spans="1:3" x14ac:dyDescent="0.25">
      <c r="A782" s="52">
        <v>223686</v>
      </c>
      <c r="B782" s="70">
        <v>3090</v>
      </c>
      <c r="C782" s="60" t="s">
        <v>2043</v>
      </c>
    </row>
    <row r="783" spans="1:3" x14ac:dyDescent="0.25">
      <c r="A783" s="52">
        <v>223687</v>
      </c>
      <c r="B783" s="70">
        <v>7800</v>
      </c>
      <c r="C783" s="60" t="s">
        <v>2047</v>
      </c>
    </row>
    <row r="784" spans="1:3" x14ac:dyDescent="0.25">
      <c r="A784" s="52">
        <v>223690</v>
      </c>
      <c r="B784" s="60" t="s">
        <v>4170</v>
      </c>
      <c r="C784" s="60"/>
    </row>
    <row r="785" spans="1:5" x14ac:dyDescent="0.25">
      <c r="A785" s="52">
        <v>223688</v>
      </c>
      <c r="B785" s="60" t="s">
        <v>4170</v>
      </c>
      <c r="C785" s="60"/>
    </row>
    <row r="786" spans="1:5" x14ac:dyDescent="0.25">
      <c r="A786" s="52">
        <v>223689</v>
      </c>
      <c r="B786" s="60" t="s">
        <v>4170</v>
      </c>
      <c r="C786" s="60"/>
    </row>
    <row r="787" spans="1:5" x14ac:dyDescent="0.25">
      <c r="A787" s="52">
        <v>223691</v>
      </c>
      <c r="B787" s="60" t="s">
        <v>4170</v>
      </c>
      <c r="C787" s="60"/>
    </row>
    <row r="788" spans="1:5" x14ac:dyDescent="0.25">
      <c r="A788" s="52">
        <v>223692</v>
      </c>
      <c r="B788" s="70">
        <v>3290</v>
      </c>
      <c r="C788" s="60" t="s">
        <v>2058</v>
      </c>
    </row>
    <row r="789" spans="1:5" x14ac:dyDescent="0.25">
      <c r="A789" s="52">
        <v>223695</v>
      </c>
      <c r="B789" s="70">
        <v>1529</v>
      </c>
      <c r="C789" s="60" t="s">
        <v>2061</v>
      </c>
    </row>
    <row r="790" spans="1:5" x14ac:dyDescent="0.25">
      <c r="A790" s="52">
        <v>223696</v>
      </c>
      <c r="B790" s="70">
        <v>390</v>
      </c>
      <c r="C790" s="60" t="s">
        <v>2064</v>
      </c>
    </row>
    <row r="791" spans="1:5" x14ac:dyDescent="0.25">
      <c r="A791" s="52">
        <v>223700</v>
      </c>
      <c r="B791" s="60" t="s">
        <v>4170</v>
      </c>
      <c r="C791" s="60"/>
    </row>
    <row r="792" spans="1:5" x14ac:dyDescent="0.25">
      <c r="A792" s="52">
        <v>223701</v>
      </c>
      <c r="B792" s="60" t="s">
        <v>4170</v>
      </c>
      <c r="C792" s="60"/>
    </row>
    <row r="793" spans="1:5" x14ac:dyDescent="0.25">
      <c r="A793" s="52">
        <v>223702</v>
      </c>
      <c r="B793" s="60" t="s">
        <v>4170</v>
      </c>
      <c r="C793" s="60"/>
    </row>
    <row r="794" spans="1:5" x14ac:dyDescent="0.25">
      <c r="A794" s="52">
        <v>223703</v>
      </c>
      <c r="B794" s="60" t="s">
        <v>4170</v>
      </c>
      <c r="C794" s="60"/>
    </row>
    <row r="795" spans="1:5" x14ac:dyDescent="0.25">
      <c r="A795" s="52">
        <v>224140</v>
      </c>
      <c r="B795" s="60" t="s">
        <v>4170</v>
      </c>
      <c r="C795" s="60"/>
    </row>
    <row r="796" spans="1:5" x14ac:dyDescent="0.25">
      <c r="A796" s="52">
        <v>226774</v>
      </c>
      <c r="B796" s="60" t="s">
        <v>4170</v>
      </c>
      <c r="C796" s="60"/>
    </row>
    <row r="797" spans="1:5" x14ac:dyDescent="0.25">
      <c r="A797" s="52">
        <v>226776</v>
      </c>
      <c r="B797" s="60" t="s">
        <v>4170</v>
      </c>
      <c r="C797" s="60"/>
      <c r="D797" s="37">
        <v>4460</v>
      </c>
      <c r="E797" s="37" t="s">
        <v>4246</v>
      </c>
    </row>
    <row r="798" spans="1:5" x14ac:dyDescent="0.25">
      <c r="A798" s="52">
        <v>226802</v>
      </c>
      <c r="B798" s="76" t="s">
        <v>4285</v>
      </c>
      <c r="C798" s="60"/>
    </row>
    <row r="799" spans="1:5" x14ac:dyDescent="0.25">
      <c r="A799" s="52">
        <v>226803</v>
      </c>
      <c r="B799" s="60">
        <v>12190</v>
      </c>
      <c r="C799" s="60" t="s">
        <v>2088</v>
      </c>
    </row>
    <row r="800" spans="1:5" x14ac:dyDescent="0.25">
      <c r="A800" s="52">
        <v>226804</v>
      </c>
      <c r="B800" s="60" t="s">
        <v>4169</v>
      </c>
      <c r="C800" s="60"/>
    </row>
    <row r="801" spans="1:3" x14ac:dyDescent="0.25">
      <c r="A801" s="52">
        <v>226805</v>
      </c>
      <c r="B801" s="70">
        <v>12190</v>
      </c>
      <c r="C801" s="60" t="s">
        <v>2088</v>
      </c>
    </row>
    <row r="802" spans="1:3" x14ac:dyDescent="0.25">
      <c r="A802" s="52">
        <v>226819</v>
      </c>
      <c r="B802" s="60" t="s">
        <v>4170</v>
      </c>
      <c r="C802" s="60"/>
    </row>
    <row r="803" spans="1:3" x14ac:dyDescent="0.25">
      <c r="A803" s="52">
        <v>226820</v>
      </c>
      <c r="B803" s="60" t="s">
        <v>4170</v>
      </c>
      <c r="C803" s="60"/>
    </row>
    <row r="804" spans="1:3" x14ac:dyDescent="0.25">
      <c r="A804" s="14" t="s">
        <v>0</v>
      </c>
      <c r="B804" s="21" t="s">
        <v>4162</v>
      </c>
      <c r="C804" s="21" t="s">
        <v>4162</v>
      </c>
    </row>
    <row r="805" spans="1:3" x14ac:dyDescent="0.25">
      <c r="A805" s="24">
        <v>257274</v>
      </c>
      <c r="B805" s="31"/>
      <c r="C805" s="31" t="s">
        <v>2113</v>
      </c>
    </row>
    <row r="806" spans="1:3" x14ac:dyDescent="0.25">
      <c r="A806" s="24">
        <v>257292</v>
      </c>
      <c r="B806" s="31"/>
      <c r="C806" s="31" t="s">
        <v>2121</v>
      </c>
    </row>
    <row r="807" spans="1:3" x14ac:dyDescent="0.25">
      <c r="A807" s="24">
        <v>242806</v>
      </c>
      <c r="B807" s="63" t="s">
        <v>4170</v>
      </c>
      <c r="C807" s="31" t="s">
        <v>4167</v>
      </c>
    </row>
    <row r="808" spans="1:3" x14ac:dyDescent="0.25">
      <c r="A808" s="24">
        <v>242813</v>
      </c>
      <c r="B808" s="63" t="s">
        <v>4170</v>
      </c>
      <c r="C808" s="31" t="s">
        <v>4167</v>
      </c>
    </row>
    <row r="809" spans="1:3" x14ac:dyDescent="0.25">
      <c r="A809" s="24">
        <v>242826</v>
      </c>
      <c r="B809" s="31"/>
      <c r="C809" s="31" t="s">
        <v>2143</v>
      </c>
    </row>
    <row r="810" spans="1:3" x14ac:dyDescent="0.25">
      <c r="A810" s="24">
        <v>242845</v>
      </c>
      <c r="B810" s="31"/>
      <c r="C810" s="31" t="s">
        <v>2151</v>
      </c>
    </row>
    <row r="811" spans="1:3" x14ac:dyDescent="0.25">
      <c r="A811" s="24">
        <v>265985</v>
      </c>
      <c r="B811" s="31"/>
      <c r="C811" s="31" t="s">
        <v>2159</v>
      </c>
    </row>
    <row r="812" spans="1:3" x14ac:dyDescent="0.25">
      <c r="A812" s="24">
        <v>242979</v>
      </c>
      <c r="B812" s="31"/>
      <c r="C812" s="31" t="s">
        <v>2167</v>
      </c>
    </row>
    <row r="813" spans="1:3" x14ac:dyDescent="0.25">
      <c r="A813" s="24">
        <v>243014</v>
      </c>
      <c r="B813" s="31"/>
      <c r="C813" s="31" t="s">
        <v>2167</v>
      </c>
    </row>
    <row r="814" spans="1:3" x14ac:dyDescent="0.25">
      <c r="A814" s="24">
        <v>243049</v>
      </c>
      <c r="B814" s="31"/>
      <c r="C814" s="31" t="s">
        <v>2167</v>
      </c>
    </row>
    <row r="815" spans="1:3" x14ac:dyDescent="0.25">
      <c r="A815" s="24">
        <v>243084</v>
      </c>
      <c r="B815" s="31"/>
      <c r="C815" s="31" t="s">
        <v>2167</v>
      </c>
    </row>
    <row r="816" spans="1:3" x14ac:dyDescent="0.25">
      <c r="A816" s="24">
        <v>243119</v>
      </c>
      <c r="B816" s="31"/>
      <c r="C816" s="31" t="s">
        <v>2199</v>
      </c>
    </row>
    <row r="817" spans="1:3" x14ac:dyDescent="0.25">
      <c r="A817" s="24">
        <v>243196</v>
      </c>
      <c r="B817" s="31"/>
      <c r="C817" s="31" t="s">
        <v>2207</v>
      </c>
    </row>
    <row r="818" spans="1:3" x14ac:dyDescent="0.25">
      <c r="A818" s="24">
        <v>243349</v>
      </c>
      <c r="B818" s="31"/>
      <c r="C818" s="31" t="s">
        <v>2215</v>
      </c>
    </row>
    <row r="819" spans="1:3" x14ac:dyDescent="0.25">
      <c r="A819" s="24">
        <v>243365</v>
      </c>
      <c r="B819" s="31"/>
      <c r="C819" s="31" t="s">
        <v>2199</v>
      </c>
    </row>
    <row r="820" spans="1:3" x14ac:dyDescent="0.25">
      <c r="A820" s="24">
        <v>244304</v>
      </c>
      <c r="B820" s="31"/>
      <c r="C820" s="31" t="s">
        <v>2231</v>
      </c>
    </row>
    <row r="821" spans="1:3" x14ac:dyDescent="0.25">
      <c r="A821" s="24">
        <v>244316</v>
      </c>
      <c r="B821" s="31"/>
      <c r="C821" s="31" t="s">
        <v>2239</v>
      </c>
    </row>
    <row r="822" spans="1:3" x14ac:dyDescent="0.25">
      <c r="A822" s="24">
        <v>244327</v>
      </c>
      <c r="B822" s="31"/>
      <c r="C822" s="31" t="s">
        <v>2247</v>
      </c>
    </row>
    <row r="823" spans="1:3" x14ac:dyDescent="0.25">
      <c r="A823" s="24">
        <v>266099</v>
      </c>
      <c r="B823" s="63" t="s">
        <v>4170</v>
      </c>
      <c r="C823" s="31" t="s">
        <v>4167</v>
      </c>
    </row>
    <row r="824" spans="1:3" x14ac:dyDescent="0.25">
      <c r="A824" s="24">
        <v>266125</v>
      </c>
      <c r="B824" s="63" t="s">
        <v>4170</v>
      </c>
      <c r="C824" s="31" t="s">
        <v>4167</v>
      </c>
    </row>
    <row r="825" spans="1:3" x14ac:dyDescent="0.25">
      <c r="A825" s="24">
        <v>266159</v>
      </c>
      <c r="B825" s="63" t="s">
        <v>4170</v>
      </c>
      <c r="C825" s="31" t="s">
        <v>4167</v>
      </c>
    </row>
    <row r="826" spans="1:3" x14ac:dyDescent="0.25">
      <c r="A826" s="24">
        <v>266185</v>
      </c>
      <c r="B826" s="63" t="s">
        <v>4170</v>
      </c>
      <c r="C826" s="31" t="s">
        <v>4167</v>
      </c>
    </row>
    <row r="827" spans="1:3" x14ac:dyDescent="0.25">
      <c r="A827" s="24">
        <v>265072</v>
      </c>
      <c r="B827" s="31"/>
      <c r="C827" s="31" t="s">
        <v>2283</v>
      </c>
    </row>
    <row r="828" spans="1:3" x14ac:dyDescent="0.25">
      <c r="A828" s="24">
        <v>265084</v>
      </c>
      <c r="B828" s="31"/>
      <c r="C828" s="31" t="s">
        <v>2291</v>
      </c>
    </row>
    <row r="829" spans="1:3" x14ac:dyDescent="0.25">
      <c r="A829" s="24">
        <v>265096</v>
      </c>
      <c r="B829" s="31"/>
      <c r="C829" s="31" t="s">
        <v>2299</v>
      </c>
    </row>
    <row r="830" spans="1:3" x14ac:dyDescent="0.25">
      <c r="A830" s="24">
        <v>265108</v>
      </c>
      <c r="B830" s="31"/>
      <c r="C830" s="31" t="s">
        <v>2291</v>
      </c>
    </row>
    <row r="831" spans="1:3" x14ac:dyDescent="0.25">
      <c r="A831" s="24">
        <v>265139</v>
      </c>
      <c r="B831" s="31"/>
      <c r="C831" s="31" t="s">
        <v>2315</v>
      </c>
    </row>
    <row r="832" spans="1:3" x14ac:dyDescent="0.25">
      <c r="A832" s="24">
        <v>142213</v>
      </c>
      <c r="B832" s="31"/>
      <c r="C832" s="31" t="s">
        <v>2323</v>
      </c>
    </row>
    <row r="833" spans="1:3" x14ac:dyDescent="0.25">
      <c r="A833" s="24">
        <v>265170</v>
      </c>
      <c r="B833" s="31"/>
      <c r="C833" s="31" t="s">
        <v>2331</v>
      </c>
    </row>
    <row r="834" spans="1:3" x14ac:dyDescent="0.25">
      <c r="A834" s="24">
        <v>244225</v>
      </c>
      <c r="B834" s="31"/>
      <c r="C834" s="31" t="s">
        <v>2339</v>
      </c>
    </row>
    <row r="835" spans="1:3" x14ac:dyDescent="0.25">
      <c r="A835" s="24">
        <v>244231</v>
      </c>
      <c r="B835" s="31"/>
      <c r="C835" s="31" t="s">
        <v>2347</v>
      </c>
    </row>
    <row r="836" spans="1:3" x14ac:dyDescent="0.25">
      <c r="A836" s="24">
        <v>244249</v>
      </c>
      <c r="B836" s="31"/>
      <c r="C836" s="31" t="s">
        <v>2355</v>
      </c>
    </row>
    <row r="837" spans="1:3" x14ac:dyDescent="0.25">
      <c r="A837" s="24">
        <v>244267</v>
      </c>
      <c r="B837" s="31"/>
      <c r="C837" s="31" t="s">
        <v>2363</v>
      </c>
    </row>
    <row r="838" spans="1:3" x14ac:dyDescent="0.25">
      <c r="A838" s="24">
        <v>244285</v>
      </c>
      <c r="B838" s="31"/>
      <c r="C838" s="31" t="s">
        <v>2370</v>
      </c>
    </row>
    <row r="839" spans="1:3" x14ac:dyDescent="0.25">
      <c r="A839" s="24">
        <v>244346</v>
      </c>
      <c r="B839" s="31"/>
      <c r="C839" s="31" t="s">
        <v>2378</v>
      </c>
    </row>
    <row r="840" spans="1:3" x14ac:dyDescent="0.25">
      <c r="A840" s="24">
        <v>258049</v>
      </c>
      <c r="B840" s="31"/>
      <c r="C840" s="31" t="s">
        <v>2386</v>
      </c>
    </row>
    <row r="841" spans="1:3" x14ac:dyDescent="0.25">
      <c r="A841" s="24">
        <v>258062</v>
      </c>
      <c r="B841" s="63" t="s">
        <v>4170</v>
      </c>
      <c r="C841" s="31" t="s">
        <v>4167</v>
      </c>
    </row>
    <row r="842" spans="1:3" x14ac:dyDescent="0.25">
      <c r="A842" s="24">
        <v>258069</v>
      </c>
      <c r="B842" s="63" t="s">
        <v>4170</v>
      </c>
      <c r="C842" s="31" t="s">
        <v>4167</v>
      </c>
    </row>
    <row r="843" spans="1:3" x14ac:dyDescent="0.25">
      <c r="A843" s="24">
        <v>244635</v>
      </c>
      <c r="B843" s="63" t="s">
        <v>4170</v>
      </c>
      <c r="C843" s="31" t="s">
        <v>4167</v>
      </c>
    </row>
    <row r="844" spans="1:3" x14ac:dyDescent="0.25">
      <c r="A844" s="24">
        <v>244702</v>
      </c>
      <c r="B844" s="31"/>
      <c r="C844" s="31" t="s">
        <v>2414</v>
      </c>
    </row>
    <row r="845" spans="1:3" x14ac:dyDescent="0.25">
      <c r="A845" s="24">
        <v>147054</v>
      </c>
      <c r="B845" s="63" t="s">
        <v>4170</v>
      </c>
      <c r="C845" s="31" t="s">
        <v>4167</v>
      </c>
    </row>
    <row r="846" spans="1:3" x14ac:dyDescent="0.25">
      <c r="A846" s="24">
        <v>266410</v>
      </c>
      <c r="B846" s="31"/>
      <c r="C846" s="31" t="s">
        <v>2429</v>
      </c>
    </row>
    <row r="847" spans="1:3" x14ac:dyDescent="0.25">
      <c r="A847" s="24">
        <v>266442</v>
      </c>
      <c r="B847" s="31"/>
      <c r="C847" s="31" t="s">
        <v>2429</v>
      </c>
    </row>
    <row r="848" spans="1:3" x14ac:dyDescent="0.25">
      <c r="A848" s="24">
        <v>244834</v>
      </c>
      <c r="B848" s="31"/>
      <c r="C848" s="31" t="s">
        <v>2445</v>
      </c>
    </row>
    <row r="849" spans="1:3" x14ac:dyDescent="0.25">
      <c r="A849" s="24">
        <v>244861</v>
      </c>
      <c r="B849" s="31"/>
      <c r="C849" s="31" t="s">
        <v>2453</v>
      </c>
    </row>
    <row r="850" spans="1:3" x14ac:dyDescent="0.25">
      <c r="A850" s="24">
        <v>149531</v>
      </c>
      <c r="B850" s="31"/>
      <c r="C850" s="31" t="s">
        <v>2460</v>
      </c>
    </row>
    <row r="851" spans="1:3" x14ac:dyDescent="0.25">
      <c r="A851" s="24">
        <v>258207</v>
      </c>
      <c r="B851" s="31"/>
      <c r="C851" s="31" t="s">
        <v>2468</v>
      </c>
    </row>
    <row r="852" spans="1:3" x14ac:dyDescent="0.25">
      <c r="A852" s="24">
        <v>244889</v>
      </c>
      <c r="B852" s="31"/>
      <c r="C852" s="31" t="s">
        <v>2468</v>
      </c>
    </row>
    <row r="853" spans="1:3" x14ac:dyDescent="0.25">
      <c r="A853" s="24">
        <v>244920</v>
      </c>
      <c r="B853" s="31"/>
      <c r="C853" s="31" t="s">
        <v>2484</v>
      </c>
    </row>
    <row r="854" spans="1:3" x14ac:dyDescent="0.25">
      <c r="A854" s="24">
        <v>249905</v>
      </c>
      <c r="B854" s="31"/>
      <c r="C854" s="31" t="s">
        <v>2492</v>
      </c>
    </row>
    <row r="855" spans="1:3" x14ac:dyDescent="0.25">
      <c r="A855" s="24">
        <v>244951</v>
      </c>
      <c r="B855" s="31"/>
      <c r="C855" s="31" t="s">
        <v>2500</v>
      </c>
    </row>
    <row r="856" spans="1:3" x14ac:dyDescent="0.25">
      <c r="A856" s="24">
        <v>244982</v>
      </c>
      <c r="B856" s="31"/>
      <c r="C856" s="31" t="s">
        <v>2508</v>
      </c>
    </row>
    <row r="857" spans="1:3" x14ac:dyDescent="0.25">
      <c r="A857" s="24">
        <v>244998</v>
      </c>
      <c r="B857" s="31"/>
      <c r="C857" s="31" t="s">
        <v>2151</v>
      </c>
    </row>
    <row r="858" spans="1:3" x14ac:dyDescent="0.25">
      <c r="A858" s="24">
        <v>245018</v>
      </c>
      <c r="B858" s="31"/>
      <c r="C858" s="31" t="s">
        <v>2460</v>
      </c>
    </row>
    <row r="859" spans="1:3" x14ac:dyDescent="0.25">
      <c r="A859" s="24">
        <v>266472</v>
      </c>
      <c r="B859" s="31"/>
      <c r="C859" s="31" t="s">
        <v>2532</v>
      </c>
    </row>
    <row r="860" spans="1:3" x14ac:dyDescent="0.25">
      <c r="A860" s="24">
        <v>266500</v>
      </c>
      <c r="B860" s="31"/>
      <c r="C860" s="31" t="s">
        <v>2540</v>
      </c>
    </row>
    <row r="861" spans="1:3" x14ac:dyDescent="0.25">
      <c r="A861" s="24">
        <v>265187</v>
      </c>
      <c r="B861" s="31"/>
      <c r="C861" s="31" t="s">
        <v>2548</v>
      </c>
    </row>
    <row r="862" spans="1:3" x14ac:dyDescent="0.25">
      <c r="A862" s="24">
        <v>154865</v>
      </c>
      <c r="B862" s="31"/>
      <c r="C862" s="31" t="s">
        <v>2556</v>
      </c>
    </row>
    <row r="863" spans="1:3" x14ac:dyDescent="0.25">
      <c r="A863" s="24">
        <v>160844</v>
      </c>
      <c r="B863" s="31"/>
      <c r="C863" s="31" t="s">
        <v>2563</v>
      </c>
    </row>
    <row r="864" spans="1:3" x14ac:dyDescent="0.25">
      <c r="A864" s="24">
        <v>160845</v>
      </c>
      <c r="B864" s="31"/>
      <c r="C864" s="31" t="s">
        <v>2571</v>
      </c>
    </row>
    <row r="865" spans="1:3" x14ac:dyDescent="0.25">
      <c r="A865" s="24">
        <v>247492</v>
      </c>
      <c r="B865" s="31"/>
      <c r="C865" s="31" t="s">
        <v>2579</v>
      </c>
    </row>
    <row r="866" spans="1:3" ht="45" x14ac:dyDescent="0.25">
      <c r="A866" s="24">
        <v>247493</v>
      </c>
      <c r="B866" s="64" t="s">
        <v>4209</v>
      </c>
      <c r="C866" s="31" t="s">
        <v>2579</v>
      </c>
    </row>
    <row r="867" spans="1:3" x14ac:dyDescent="0.25">
      <c r="A867" s="24">
        <v>247514</v>
      </c>
      <c r="B867" s="31"/>
      <c r="C867" s="31" t="s">
        <v>2594</v>
      </c>
    </row>
    <row r="868" spans="1:3" x14ac:dyDescent="0.25">
      <c r="A868" s="24">
        <v>247530</v>
      </c>
      <c r="B868" s="31"/>
      <c r="C868" s="31" t="s">
        <v>2602</v>
      </c>
    </row>
    <row r="869" spans="1:3" x14ac:dyDescent="0.25">
      <c r="A869" s="24">
        <v>247547</v>
      </c>
      <c r="B869" s="31"/>
      <c r="C869" s="31" t="s">
        <v>2609</v>
      </c>
    </row>
    <row r="870" spans="1:3" x14ac:dyDescent="0.25">
      <c r="A870" s="24">
        <v>160870</v>
      </c>
      <c r="B870" s="31"/>
      <c r="C870" s="31" t="s">
        <v>2617</v>
      </c>
    </row>
    <row r="871" spans="1:3" x14ac:dyDescent="0.25">
      <c r="A871" s="24">
        <v>160871</v>
      </c>
      <c r="B871" s="31"/>
      <c r="C871" s="31" t="s">
        <v>2625</v>
      </c>
    </row>
    <row r="872" spans="1:3" x14ac:dyDescent="0.25">
      <c r="A872" s="24">
        <v>160929</v>
      </c>
      <c r="B872" s="31"/>
      <c r="C872" s="31" t="s">
        <v>2633</v>
      </c>
    </row>
    <row r="873" spans="1:3" x14ac:dyDescent="0.25">
      <c r="A873" s="24">
        <v>160956</v>
      </c>
      <c r="B873" s="31"/>
      <c r="C873" s="31" t="s">
        <v>2641</v>
      </c>
    </row>
    <row r="874" spans="1:3" x14ac:dyDescent="0.25">
      <c r="A874" s="24">
        <v>160987</v>
      </c>
      <c r="B874" s="31"/>
      <c r="C874" s="31" t="s">
        <v>2649</v>
      </c>
    </row>
    <row r="875" spans="1:3" x14ac:dyDescent="0.25">
      <c r="A875" s="24">
        <v>160988</v>
      </c>
      <c r="B875" s="31"/>
      <c r="C875" s="31" t="s">
        <v>2657</v>
      </c>
    </row>
    <row r="876" spans="1:3" x14ac:dyDescent="0.25">
      <c r="A876" s="24">
        <v>247988</v>
      </c>
      <c r="B876" s="31"/>
      <c r="C876" s="31" t="s">
        <v>2665</v>
      </c>
    </row>
    <row r="877" spans="1:3" x14ac:dyDescent="0.25">
      <c r="A877" s="24">
        <v>248004</v>
      </c>
      <c r="B877" s="31"/>
      <c r="C877" s="31" t="s">
        <v>2665</v>
      </c>
    </row>
    <row r="878" spans="1:3" x14ac:dyDescent="0.25">
      <c r="A878" s="24">
        <v>161116</v>
      </c>
      <c r="B878" s="31"/>
      <c r="C878" s="31" t="s">
        <v>2681</v>
      </c>
    </row>
    <row r="879" spans="1:3" x14ac:dyDescent="0.25">
      <c r="A879" s="24">
        <v>161133</v>
      </c>
      <c r="B879" s="31"/>
      <c r="C879" s="31" t="s">
        <v>2689</v>
      </c>
    </row>
    <row r="880" spans="1:3" x14ac:dyDescent="0.25">
      <c r="A880" s="24">
        <v>161134</v>
      </c>
      <c r="B880" s="31"/>
      <c r="C880" s="31" t="s">
        <v>2697</v>
      </c>
    </row>
    <row r="881" spans="1:3" x14ac:dyDescent="0.25">
      <c r="A881" s="24">
        <v>161229</v>
      </c>
      <c r="B881" s="31"/>
      <c r="C881" s="31" t="s">
        <v>2705</v>
      </c>
    </row>
    <row r="882" spans="1:3" x14ac:dyDescent="0.25">
      <c r="A882" s="24">
        <v>161243</v>
      </c>
      <c r="B882" s="31"/>
      <c r="C882" s="31" t="s">
        <v>2713</v>
      </c>
    </row>
    <row r="883" spans="1:3" x14ac:dyDescent="0.25">
      <c r="A883" s="24">
        <v>161270</v>
      </c>
      <c r="B883" s="31"/>
      <c r="C883" s="31" t="s">
        <v>2721</v>
      </c>
    </row>
    <row r="884" spans="1:3" x14ac:dyDescent="0.25">
      <c r="A884" s="24">
        <v>162357</v>
      </c>
      <c r="B884" s="63" t="s">
        <v>4170</v>
      </c>
      <c r="C884" s="31" t="s">
        <v>4167</v>
      </c>
    </row>
    <row r="885" spans="1:3" x14ac:dyDescent="0.25">
      <c r="A885" s="24">
        <v>265262</v>
      </c>
      <c r="B885" s="63" t="s">
        <v>4170</v>
      </c>
      <c r="C885" s="31" t="s">
        <v>4167</v>
      </c>
    </row>
    <row r="886" spans="1:3" x14ac:dyDescent="0.25">
      <c r="A886" s="24">
        <v>162403</v>
      </c>
      <c r="B886" s="31"/>
      <c r="C886" s="31" t="s">
        <v>2742</v>
      </c>
    </row>
    <row r="887" spans="1:3" x14ac:dyDescent="0.25">
      <c r="A887" s="24">
        <v>162513</v>
      </c>
      <c r="B887" s="31"/>
      <c r="C887" s="31" t="s">
        <v>2750</v>
      </c>
    </row>
    <row r="888" spans="1:3" x14ac:dyDescent="0.25">
      <c r="A888" s="24">
        <v>162522</v>
      </c>
      <c r="B888" s="31"/>
      <c r="C888" s="31" t="s">
        <v>2758</v>
      </c>
    </row>
    <row r="889" spans="1:3" x14ac:dyDescent="0.25">
      <c r="A889" s="24">
        <v>162541</v>
      </c>
      <c r="B889" s="31"/>
      <c r="C889" s="31" t="s">
        <v>2766</v>
      </c>
    </row>
    <row r="890" spans="1:3" x14ac:dyDescent="0.25">
      <c r="A890" s="24">
        <v>162554</v>
      </c>
      <c r="B890" s="31"/>
      <c r="C890" s="31" t="s">
        <v>2774</v>
      </c>
    </row>
    <row r="891" spans="1:3" x14ac:dyDescent="0.25">
      <c r="A891" s="24">
        <v>162585</v>
      </c>
      <c r="B891" s="31"/>
      <c r="C891" s="31" t="s">
        <v>2782</v>
      </c>
    </row>
    <row r="892" spans="1:3" x14ac:dyDescent="0.25">
      <c r="A892" s="24">
        <v>162330</v>
      </c>
      <c r="B892" s="31"/>
      <c r="C892" s="31" t="s">
        <v>2790</v>
      </c>
    </row>
    <row r="893" spans="1:3" x14ac:dyDescent="0.25">
      <c r="A893" s="24">
        <v>163537</v>
      </c>
      <c r="B893" s="31"/>
      <c r="C893" s="31" t="s">
        <v>2798</v>
      </c>
    </row>
    <row r="894" spans="1:3" x14ac:dyDescent="0.25">
      <c r="A894" s="24">
        <v>265280</v>
      </c>
      <c r="B894" s="31"/>
      <c r="C894" s="31" t="s">
        <v>2805</v>
      </c>
    </row>
    <row r="895" spans="1:3" x14ac:dyDescent="0.25">
      <c r="A895" s="24">
        <v>163574</v>
      </c>
      <c r="B895" s="31"/>
      <c r="C895" s="31" t="s">
        <v>2813</v>
      </c>
    </row>
    <row r="896" spans="1:3" x14ac:dyDescent="0.25">
      <c r="A896" s="24">
        <v>265298</v>
      </c>
      <c r="B896" s="31"/>
      <c r="C896" s="31" t="s">
        <v>2821</v>
      </c>
    </row>
    <row r="897" spans="1:3" x14ac:dyDescent="0.25">
      <c r="A897" s="24">
        <v>163628</v>
      </c>
      <c r="B897" s="31"/>
      <c r="C897" s="31" t="s">
        <v>2829</v>
      </c>
    </row>
    <row r="898" spans="1:3" x14ac:dyDescent="0.25">
      <c r="A898" s="24">
        <v>164097</v>
      </c>
      <c r="B898" s="31"/>
      <c r="C898" s="31" t="s">
        <v>2837</v>
      </c>
    </row>
    <row r="899" spans="1:3" x14ac:dyDescent="0.25">
      <c r="A899" s="24">
        <v>164148</v>
      </c>
      <c r="B899" s="31"/>
      <c r="C899" s="31" t="s">
        <v>2845</v>
      </c>
    </row>
    <row r="900" spans="1:3" x14ac:dyDescent="0.25">
      <c r="A900" s="24">
        <v>248321</v>
      </c>
      <c r="B900" s="31">
        <f>1190/2</f>
        <v>595</v>
      </c>
      <c r="C900" s="31" t="s">
        <v>4210</v>
      </c>
    </row>
    <row r="901" spans="1:3" x14ac:dyDescent="0.25">
      <c r="A901" s="24">
        <v>248340</v>
      </c>
      <c r="B901" s="31">
        <f>1190/2</f>
        <v>595</v>
      </c>
      <c r="C901" s="31" t="s">
        <v>4210</v>
      </c>
    </row>
    <row r="902" spans="1:3" x14ac:dyDescent="0.25">
      <c r="A902" s="24">
        <v>165442</v>
      </c>
      <c r="B902" s="63" t="s">
        <v>4170</v>
      </c>
      <c r="C902" s="31" t="s">
        <v>4167</v>
      </c>
    </row>
    <row r="903" spans="1:3" x14ac:dyDescent="0.25">
      <c r="A903" s="24">
        <v>165462</v>
      </c>
      <c r="B903" s="63" t="s">
        <v>4170</v>
      </c>
      <c r="C903" s="31" t="s">
        <v>4167</v>
      </c>
    </row>
    <row r="904" spans="1:3" x14ac:dyDescent="0.25">
      <c r="A904" s="24">
        <v>165753</v>
      </c>
      <c r="B904" s="63" t="s">
        <v>4170</v>
      </c>
      <c r="C904" s="31" t="s">
        <v>4167</v>
      </c>
    </row>
    <row r="905" spans="1:3" x14ac:dyDescent="0.25">
      <c r="A905" s="24">
        <v>166160</v>
      </c>
      <c r="B905" s="63" t="s">
        <v>4170</v>
      </c>
      <c r="C905" s="31" t="s">
        <v>4167</v>
      </c>
    </row>
    <row r="906" spans="1:3" x14ac:dyDescent="0.25">
      <c r="A906" s="24">
        <v>181963</v>
      </c>
      <c r="B906" s="31"/>
      <c r="C906" s="31" t="s">
        <v>2893</v>
      </c>
    </row>
    <row r="907" spans="1:3" x14ac:dyDescent="0.25">
      <c r="A907" s="24">
        <v>181991</v>
      </c>
      <c r="B907" s="31"/>
      <c r="C907" s="31" t="s">
        <v>2901</v>
      </c>
    </row>
    <row r="908" spans="1:3" x14ac:dyDescent="0.25">
      <c r="A908" s="24">
        <v>182007</v>
      </c>
      <c r="B908" s="31"/>
      <c r="C908" s="31" t="s">
        <v>2909</v>
      </c>
    </row>
    <row r="909" spans="1:3" x14ac:dyDescent="0.25">
      <c r="A909" s="24">
        <v>182034</v>
      </c>
      <c r="B909" s="31"/>
      <c r="C909" s="31" t="s">
        <v>2917</v>
      </c>
    </row>
    <row r="910" spans="1:3" x14ac:dyDescent="0.25">
      <c r="A910" s="24">
        <v>182051</v>
      </c>
      <c r="B910" s="31"/>
      <c r="C910" s="31" t="s">
        <v>2925</v>
      </c>
    </row>
    <row r="911" spans="1:3" x14ac:dyDescent="0.25">
      <c r="A911" s="24">
        <v>182068</v>
      </c>
      <c r="B911" s="31"/>
      <c r="C911" s="31" t="s">
        <v>2933</v>
      </c>
    </row>
    <row r="912" spans="1:3" x14ac:dyDescent="0.25">
      <c r="A912" s="24">
        <v>182095</v>
      </c>
      <c r="B912" s="31"/>
      <c r="C912" s="31" t="s">
        <v>2940</v>
      </c>
    </row>
    <row r="913" spans="1:3" x14ac:dyDescent="0.25">
      <c r="A913" s="24">
        <v>182122</v>
      </c>
      <c r="B913" s="31"/>
      <c r="C913" s="31" t="s">
        <v>2948</v>
      </c>
    </row>
    <row r="914" spans="1:3" x14ac:dyDescent="0.25">
      <c r="A914" s="24">
        <v>182149</v>
      </c>
      <c r="B914" s="31"/>
      <c r="C914" s="31" t="s">
        <v>2956</v>
      </c>
    </row>
    <row r="915" spans="1:3" x14ac:dyDescent="0.25">
      <c r="A915" s="24">
        <v>182183</v>
      </c>
      <c r="B915" s="31"/>
      <c r="C915" s="31" t="s">
        <v>2964</v>
      </c>
    </row>
    <row r="916" spans="1:3" x14ac:dyDescent="0.25">
      <c r="A916" s="24">
        <v>182192</v>
      </c>
      <c r="B916" s="31"/>
      <c r="C916" s="31" t="s">
        <v>2972</v>
      </c>
    </row>
    <row r="917" spans="1:3" x14ac:dyDescent="0.25">
      <c r="A917" s="24">
        <v>182215</v>
      </c>
      <c r="B917" s="31"/>
      <c r="C917" s="31" t="s">
        <v>2980</v>
      </c>
    </row>
    <row r="918" spans="1:3" x14ac:dyDescent="0.25">
      <c r="A918" s="24">
        <v>182246</v>
      </c>
      <c r="B918" s="31"/>
      <c r="C918" s="31" t="s">
        <v>2988</v>
      </c>
    </row>
    <row r="919" spans="1:3" x14ac:dyDescent="0.25">
      <c r="A919" s="24">
        <v>182277</v>
      </c>
      <c r="B919" s="31"/>
      <c r="C919" s="31" t="s">
        <v>2996</v>
      </c>
    </row>
    <row r="920" spans="1:3" x14ac:dyDescent="0.25">
      <c r="A920" s="24">
        <v>182295</v>
      </c>
      <c r="B920" s="31"/>
      <c r="C920" s="31" t="s">
        <v>3004</v>
      </c>
    </row>
    <row r="921" spans="1:3" x14ac:dyDescent="0.25">
      <c r="A921" s="24">
        <v>182312</v>
      </c>
      <c r="B921" s="31"/>
      <c r="C921" s="31" t="s">
        <v>3012</v>
      </c>
    </row>
    <row r="922" spans="1:3" x14ac:dyDescent="0.25">
      <c r="A922" s="24">
        <v>182329</v>
      </c>
      <c r="B922" s="31"/>
      <c r="C922" s="31" t="s">
        <v>3020</v>
      </c>
    </row>
    <row r="923" spans="1:3" x14ac:dyDescent="0.25">
      <c r="A923" s="24">
        <v>182374</v>
      </c>
      <c r="B923" s="31"/>
      <c r="C923" s="31" t="s">
        <v>3028</v>
      </c>
    </row>
    <row r="924" spans="1:3" x14ac:dyDescent="0.25">
      <c r="A924" s="24">
        <v>182419</v>
      </c>
      <c r="B924" s="31"/>
      <c r="C924" s="31" t="s">
        <v>3036</v>
      </c>
    </row>
    <row r="925" spans="1:3" x14ac:dyDescent="0.25">
      <c r="A925" s="24">
        <v>182420</v>
      </c>
      <c r="B925" s="31"/>
      <c r="C925" s="31" t="s">
        <v>3044</v>
      </c>
    </row>
    <row r="926" spans="1:3" x14ac:dyDescent="0.25">
      <c r="A926" s="24">
        <v>182480</v>
      </c>
      <c r="B926" s="31"/>
      <c r="C926" s="31" t="s">
        <v>3052</v>
      </c>
    </row>
    <row r="927" spans="1:3" x14ac:dyDescent="0.25">
      <c r="A927" s="24">
        <v>182525</v>
      </c>
      <c r="B927" s="31"/>
      <c r="C927" s="31" t="s">
        <v>3060</v>
      </c>
    </row>
    <row r="928" spans="1:3" x14ac:dyDescent="0.25">
      <c r="A928" s="24">
        <v>182570</v>
      </c>
      <c r="B928" s="31"/>
      <c r="C928" s="31" t="s">
        <v>3068</v>
      </c>
    </row>
    <row r="929" spans="1:3" x14ac:dyDescent="0.25">
      <c r="A929" s="24">
        <v>182571</v>
      </c>
      <c r="B929" s="31"/>
      <c r="C929" s="31" t="s">
        <v>3076</v>
      </c>
    </row>
    <row r="930" spans="1:3" x14ac:dyDescent="0.25">
      <c r="A930" s="24">
        <v>182631</v>
      </c>
      <c r="B930" s="31"/>
      <c r="C930" s="31" t="s">
        <v>3083</v>
      </c>
    </row>
    <row r="931" spans="1:3" x14ac:dyDescent="0.25">
      <c r="A931" s="24">
        <v>182676</v>
      </c>
      <c r="B931" s="31"/>
      <c r="C931" s="31" t="s">
        <v>3091</v>
      </c>
    </row>
    <row r="932" spans="1:3" x14ac:dyDescent="0.25">
      <c r="A932" s="24">
        <v>259216</v>
      </c>
      <c r="B932" s="31"/>
      <c r="C932" s="31" t="s">
        <v>3099</v>
      </c>
    </row>
    <row r="933" spans="1:3" x14ac:dyDescent="0.25">
      <c r="A933" s="24">
        <v>182727</v>
      </c>
      <c r="B933" s="31"/>
      <c r="C933" s="31" t="s">
        <v>3106</v>
      </c>
    </row>
    <row r="934" spans="1:3" x14ac:dyDescent="0.25">
      <c r="A934" s="24">
        <v>182754</v>
      </c>
      <c r="B934" s="31"/>
      <c r="C934" s="31" t="s">
        <v>3114</v>
      </c>
    </row>
    <row r="935" spans="1:3" x14ac:dyDescent="0.25">
      <c r="A935" s="24">
        <v>182755</v>
      </c>
      <c r="B935" s="31"/>
      <c r="C935" s="31" t="s">
        <v>3122</v>
      </c>
    </row>
    <row r="936" spans="1:3" x14ac:dyDescent="0.25">
      <c r="A936" s="24">
        <v>182772</v>
      </c>
      <c r="B936" s="31"/>
      <c r="C936" s="31" t="s">
        <v>3130</v>
      </c>
    </row>
    <row r="937" spans="1:3" x14ac:dyDescent="0.25">
      <c r="A937" s="24">
        <v>182773</v>
      </c>
      <c r="B937" s="31"/>
      <c r="C937" s="31" t="s">
        <v>3138</v>
      </c>
    </row>
    <row r="938" spans="1:3" x14ac:dyDescent="0.25">
      <c r="A938" s="24">
        <v>182805</v>
      </c>
      <c r="B938" s="31"/>
      <c r="C938" s="31" t="s">
        <v>3146</v>
      </c>
    </row>
    <row r="939" spans="1:3" x14ac:dyDescent="0.25">
      <c r="A939" s="24">
        <v>249375</v>
      </c>
      <c r="B939" s="31"/>
      <c r="C939" s="31" t="s">
        <v>3154</v>
      </c>
    </row>
    <row r="940" spans="1:3" x14ac:dyDescent="0.25">
      <c r="A940" s="24">
        <v>249388</v>
      </c>
      <c r="B940" s="31"/>
      <c r="C940" s="31" t="s">
        <v>3162</v>
      </c>
    </row>
    <row r="941" spans="1:3" x14ac:dyDescent="0.25">
      <c r="A941" s="24">
        <v>249401</v>
      </c>
      <c r="B941" s="31"/>
      <c r="C941" s="31" t="s">
        <v>3170</v>
      </c>
    </row>
    <row r="942" spans="1:3" x14ac:dyDescent="0.25">
      <c r="A942" s="24">
        <v>249419</v>
      </c>
      <c r="B942" s="31"/>
      <c r="C942" s="31" t="s">
        <v>3178</v>
      </c>
    </row>
    <row r="943" spans="1:3" x14ac:dyDescent="0.25">
      <c r="A943" s="24">
        <v>182881</v>
      </c>
      <c r="B943" s="31"/>
      <c r="C943" s="31" t="s">
        <v>3186</v>
      </c>
    </row>
    <row r="944" spans="1:3" x14ac:dyDescent="0.25">
      <c r="A944" s="24">
        <v>182882</v>
      </c>
      <c r="B944" s="31"/>
      <c r="C944" s="31" t="s">
        <v>3186</v>
      </c>
    </row>
    <row r="945" spans="1:3" x14ac:dyDescent="0.25">
      <c r="A945" s="24">
        <v>182926</v>
      </c>
      <c r="B945" s="31"/>
      <c r="C945" s="31" t="s">
        <v>3202</v>
      </c>
    </row>
    <row r="946" spans="1:3" x14ac:dyDescent="0.25">
      <c r="A946" s="24">
        <v>182958</v>
      </c>
      <c r="B946" s="31"/>
      <c r="C946" s="31" t="s">
        <v>3210</v>
      </c>
    </row>
    <row r="947" spans="1:3" x14ac:dyDescent="0.25">
      <c r="A947" s="24">
        <v>182974</v>
      </c>
      <c r="B947" s="31"/>
      <c r="C947" s="31" t="s">
        <v>3218</v>
      </c>
    </row>
    <row r="948" spans="1:3" x14ac:dyDescent="0.25">
      <c r="A948" s="24">
        <v>182992</v>
      </c>
      <c r="B948" s="31"/>
      <c r="C948" s="31" t="s">
        <v>3226</v>
      </c>
    </row>
    <row r="949" spans="1:3" x14ac:dyDescent="0.25">
      <c r="A949" s="24">
        <v>183010</v>
      </c>
      <c r="B949" s="31"/>
      <c r="C949" s="31" t="s">
        <v>3234</v>
      </c>
    </row>
    <row r="950" spans="1:3" x14ac:dyDescent="0.25">
      <c r="A950" s="24">
        <v>183011</v>
      </c>
      <c r="B950" s="31"/>
      <c r="C950" s="31" t="s">
        <v>3242</v>
      </c>
    </row>
    <row r="951" spans="1:3" x14ac:dyDescent="0.25">
      <c r="A951" s="24">
        <v>183043</v>
      </c>
      <c r="B951" s="31"/>
      <c r="C951" s="31" t="s">
        <v>3250</v>
      </c>
    </row>
    <row r="952" spans="1:3" x14ac:dyDescent="0.25">
      <c r="A952" s="24">
        <v>183044</v>
      </c>
      <c r="B952" s="31"/>
      <c r="C952" s="31" t="s">
        <v>3258</v>
      </c>
    </row>
    <row r="953" spans="1:3" x14ac:dyDescent="0.25">
      <c r="A953" s="24">
        <v>183076</v>
      </c>
      <c r="B953" s="31"/>
      <c r="C953" s="31" t="s">
        <v>3266</v>
      </c>
    </row>
    <row r="954" spans="1:3" x14ac:dyDescent="0.25">
      <c r="A954" s="24">
        <v>183103</v>
      </c>
      <c r="B954" s="31"/>
      <c r="C954" s="31" t="s">
        <v>3274</v>
      </c>
    </row>
    <row r="955" spans="1:3" x14ac:dyDescent="0.25">
      <c r="A955" s="24">
        <v>249437</v>
      </c>
      <c r="B955" s="31"/>
      <c r="C955" s="31" t="s">
        <v>3282</v>
      </c>
    </row>
    <row r="956" spans="1:3" x14ac:dyDescent="0.25">
      <c r="A956" s="24">
        <v>249450</v>
      </c>
      <c r="B956" s="31"/>
      <c r="C956" s="31" t="s">
        <v>3290</v>
      </c>
    </row>
    <row r="957" spans="1:3" x14ac:dyDescent="0.25">
      <c r="A957" s="24">
        <v>249463</v>
      </c>
      <c r="B957" s="31"/>
      <c r="C957" s="31" t="s">
        <v>3298</v>
      </c>
    </row>
    <row r="958" spans="1:3" x14ac:dyDescent="0.25">
      <c r="A958" s="24">
        <v>249481</v>
      </c>
      <c r="B958" s="31"/>
      <c r="C958" s="31" t="s">
        <v>3305</v>
      </c>
    </row>
    <row r="959" spans="1:3" x14ac:dyDescent="0.25">
      <c r="A959" s="24">
        <v>183172</v>
      </c>
      <c r="B959" s="31"/>
      <c r="C959" s="31" t="s">
        <v>3313</v>
      </c>
    </row>
    <row r="960" spans="1:3" x14ac:dyDescent="0.25">
      <c r="A960" s="24">
        <v>183173</v>
      </c>
      <c r="B960" s="31"/>
      <c r="C960" s="31" t="s">
        <v>3313</v>
      </c>
    </row>
    <row r="961" spans="1:3" x14ac:dyDescent="0.25">
      <c r="A961" s="24">
        <v>183216</v>
      </c>
      <c r="B961" s="31"/>
      <c r="C961" s="31" t="s">
        <v>3329</v>
      </c>
    </row>
    <row r="962" spans="1:3" x14ac:dyDescent="0.25">
      <c r="A962" s="24">
        <v>183255</v>
      </c>
      <c r="B962" s="31"/>
      <c r="C962" s="31" t="s">
        <v>3337</v>
      </c>
    </row>
    <row r="963" spans="1:3" x14ac:dyDescent="0.25">
      <c r="A963" s="24">
        <v>183271</v>
      </c>
      <c r="B963" s="31"/>
      <c r="C963" s="31" t="s">
        <v>3345</v>
      </c>
    </row>
    <row r="964" spans="1:3" x14ac:dyDescent="0.25">
      <c r="A964" s="24">
        <v>183289</v>
      </c>
      <c r="B964" s="31"/>
      <c r="C964" s="31" t="s">
        <v>3353</v>
      </c>
    </row>
    <row r="965" spans="1:3" x14ac:dyDescent="0.25">
      <c r="A965" s="24">
        <v>162479</v>
      </c>
      <c r="B965" s="31"/>
      <c r="C965" s="31" t="s">
        <v>3361</v>
      </c>
    </row>
    <row r="966" spans="1:3" x14ac:dyDescent="0.25">
      <c r="A966" s="24">
        <v>183314</v>
      </c>
      <c r="B966" s="31"/>
      <c r="C966" s="31" t="s">
        <v>3369</v>
      </c>
    </row>
    <row r="967" spans="1:3" x14ac:dyDescent="0.25">
      <c r="A967" s="24">
        <v>183341</v>
      </c>
      <c r="B967" s="31"/>
      <c r="C967" s="31" t="s">
        <v>3377</v>
      </c>
    </row>
    <row r="968" spans="1:3" x14ac:dyDescent="0.25">
      <c r="A968" s="24">
        <v>183368</v>
      </c>
      <c r="B968" s="31"/>
      <c r="C968" s="31" t="s">
        <v>3385</v>
      </c>
    </row>
    <row r="969" spans="1:3" x14ac:dyDescent="0.25">
      <c r="A969" s="24">
        <v>249500</v>
      </c>
      <c r="B969" s="31"/>
      <c r="C969" s="31" t="s">
        <v>3392</v>
      </c>
    </row>
    <row r="970" spans="1:3" x14ac:dyDescent="0.25">
      <c r="A970" s="24">
        <v>249513</v>
      </c>
      <c r="B970" s="31"/>
      <c r="C970" s="31" t="s">
        <v>3400</v>
      </c>
    </row>
    <row r="971" spans="1:3" x14ac:dyDescent="0.25">
      <c r="A971" s="24">
        <v>249526</v>
      </c>
      <c r="B971" s="31"/>
      <c r="C971" s="31" t="s">
        <v>3408</v>
      </c>
    </row>
    <row r="972" spans="1:3" x14ac:dyDescent="0.25">
      <c r="A972" s="24">
        <v>183435</v>
      </c>
      <c r="B972" s="31"/>
      <c r="C972" s="31" t="s">
        <v>3416</v>
      </c>
    </row>
    <row r="973" spans="1:3" x14ac:dyDescent="0.25">
      <c r="A973" s="24">
        <v>183436</v>
      </c>
      <c r="B973" s="31"/>
      <c r="C973" s="31" t="s">
        <v>3424</v>
      </c>
    </row>
    <row r="974" spans="1:3" x14ac:dyDescent="0.25">
      <c r="A974" s="24">
        <v>183514</v>
      </c>
      <c r="B974" s="31"/>
      <c r="C974" s="31" t="s">
        <v>3432</v>
      </c>
    </row>
    <row r="975" spans="1:3" x14ac:dyDescent="0.25">
      <c r="A975" s="24">
        <v>183515</v>
      </c>
      <c r="B975" s="31"/>
      <c r="C975" s="31" t="s">
        <v>3440</v>
      </c>
    </row>
    <row r="976" spans="1:3" x14ac:dyDescent="0.25">
      <c r="A976" s="24">
        <v>183547</v>
      </c>
      <c r="B976" s="31"/>
      <c r="C976" s="31" t="s">
        <v>3448</v>
      </c>
    </row>
    <row r="977" spans="1:3" x14ac:dyDescent="0.25">
      <c r="A977" s="24">
        <v>183563</v>
      </c>
      <c r="B977" s="31"/>
      <c r="C977" s="31" t="s">
        <v>3456</v>
      </c>
    </row>
    <row r="978" spans="1:3" x14ac:dyDescent="0.25">
      <c r="A978" s="24">
        <v>183580</v>
      </c>
      <c r="B978" s="31"/>
      <c r="C978" s="31" t="s">
        <v>3464</v>
      </c>
    </row>
    <row r="979" spans="1:3" x14ac:dyDescent="0.25">
      <c r="A979" s="24">
        <v>183598</v>
      </c>
      <c r="B979" s="31"/>
      <c r="C979" s="31" t="s">
        <v>3472</v>
      </c>
    </row>
    <row r="980" spans="1:3" x14ac:dyDescent="0.25">
      <c r="A980" s="24">
        <v>183618</v>
      </c>
      <c r="B980" s="31"/>
      <c r="C980" s="31" t="s">
        <v>3480</v>
      </c>
    </row>
    <row r="981" spans="1:3" x14ac:dyDescent="0.25">
      <c r="A981" s="24">
        <v>183645</v>
      </c>
      <c r="B981" s="31"/>
      <c r="C981" s="31" t="s">
        <v>3488</v>
      </c>
    </row>
    <row r="982" spans="1:3" x14ac:dyDescent="0.25">
      <c r="A982" s="24">
        <v>249545</v>
      </c>
      <c r="B982" s="31"/>
      <c r="C982" s="31" t="s">
        <v>3496</v>
      </c>
    </row>
    <row r="983" spans="1:3" x14ac:dyDescent="0.25">
      <c r="A983" s="24">
        <v>249558</v>
      </c>
      <c r="B983" s="31"/>
      <c r="C983" s="31" t="s">
        <v>3504</v>
      </c>
    </row>
    <row r="984" spans="1:3" x14ac:dyDescent="0.25">
      <c r="A984" s="24">
        <v>249571</v>
      </c>
      <c r="B984" s="31"/>
      <c r="C984" s="31" t="s">
        <v>3512</v>
      </c>
    </row>
    <row r="985" spans="1:3" x14ac:dyDescent="0.25">
      <c r="A985" s="24">
        <v>183713</v>
      </c>
      <c r="B985" s="31"/>
      <c r="C985" s="31" t="s">
        <v>3520</v>
      </c>
    </row>
    <row r="986" spans="1:3" x14ac:dyDescent="0.25">
      <c r="A986" s="24">
        <v>183714</v>
      </c>
      <c r="B986" s="31"/>
      <c r="C986" s="31" t="s">
        <v>3528</v>
      </c>
    </row>
    <row r="987" spans="1:3" x14ac:dyDescent="0.25">
      <c r="A987" s="24">
        <v>183790</v>
      </c>
      <c r="B987" s="31"/>
      <c r="C987" s="31" t="s">
        <v>3536</v>
      </c>
    </row>
    <row r="988" spans="1:3" x14ac:dyDescent="0.25">
      <c r="A988" s="24">
        <v>183791</v>
      </c>
      <c r="B988" s="31"/>
      <c r="C988" s="31" t="s">
        <v>3544</v>
      </c>
    </row>
    <row r="989" spans="1:3" x14ac:dyDescent="0.25">
      <c r="A989" s="24">
        <v>183823</v>
      </c>
      <c r="B989" s="31"/>
      <c r="C989" s="31" t="s">
        <v>3552</v>
      </c>
    </row>
    <row r="990" spans="1:3" x14ac:dyDescent="0.25">
      <c r="A990" s="24">
        <v>183839</v>
      </c>
      <c r="B990" s="31"/>
      <c r="C990" s="31" t="s">
        <v>3560</v>
      </c>
    </row>
    <row r="991" spans="1:3" x14ac:dyDescent="0.25">
      <c r="A991" s="24">
        <v>183856</v>
      </c>
      <c r="B991" s="31"/>
      <c r="C991" s="31" t="s">
        <v>3568</v>
      </c>
    </row>
    <row r="992" spans="1:3" x14ac:dyDescent="0.25">
      <c r="A992" s="24">
        <v>183874</v>
      </c>
      <c r="B992" s="31"/>
      <c r="C992" s="31" t="s">
        <v>3576</v>
      </c>
    </row>
    <row r="993" spans="1:3" x14ac:dyDescent="0.25">
      <c r="A993" s="24">
        <v>184093</v>
      </c>
      <c r="B993" s="31"/>
      <c r="C993" s="31" t="s">
        <v>3584</v>
      </c>
    </row>
    <row r="994" spans="1:3" x14ac:dyDescent="0.25">
      <c r="A994" s="24">
        <v>184120</v>
      </c>
      <c r="B994" s="31"/>
      <c r="C994" s="31" t="s">
        <v>3592</v>
      </c>
    </row>
    <row r="995" spans="1:3" x14ac:dyDescent="0.25">
      <c r="A995" s="24">
        <v>184167</v>
      </c>
      <c r="B995" s="31"/>
      <c r="C995" s="31" t="s">
        <v>3600</v>
      </c>
    </row>
    <row r="996" spans="1:3" x14ac:dyDescent="0.25">
      <c r="A996" s="24">
        <v>184203</v>
      </c>
      <c r="B996" s="31"/>
      <c r="C996" s="31" t="s">
        <v>3608</v>
      </c>
    </row>
    <row r="997" spans="1:3" x14ac:dyDescent="0.25">
      <c r="A997" s="24">
        <v>184538</v>
      </c>
      <c r="B997" s="31"/>
      <c r="C997" s="31" t="s">
        <v>3616</v>
      </c>
    </row>
    <row r="998" spans="1:3" x14ac:dyDescent="0.25">
      <c r="A998" s="24">
        <v>249728</v>
      </c>
      <c r="B998" s="31"/>
      <c r="C998" s="31" t="s">
        <v>3624</v>
      </c>
    </row>
    <row r="999" spans="1:3" x14ac:dyDescent="0.25">
      <c r="A999" s="24">
        <v>249759</v>
      </c>
      <c r="B999" s="31"/>
      <c r="C999" s="31" t="s">
        <v>3632</v>
      </c>
    </row>
    <row r="1000" spans="1:3" x14ac:dyDescent="0.25">
      <c r="A1000" s="24">
        <v>249772</v>
      </c>
      <c r="B1000" s="31"/>
      <c r="C1000" s="31" t="s">
        <v>3640</v>
      </c>
    </row>
    <row r="1001" spans="1:3" x14ac:dyDescent="0.25">
      <c r="A1001" s="24">
        <v>249784</v>
      </c>
      <c r="B1001" s="31"/>
      <c r="C1001" s="31" t="s">
        <v>3648</v>
      </c>
    </row>
    <row r="1002" spans="1:3" x14ac:dyDescent="0.25">
      <c r="A1002" s="24">
        <v>249815</v>
      </c>
      <c r="B1002" s="31"/>
      <c r="C1002" s="31" t="s">
        <v>3656</v>
      </c>
    </row>
    <row r="1003" spans="1:3" x14ac:dyDescent="0.25">
      <c r="A1003" s="24">
        <v>249828</v>
      </c>
      <c r="B1003" s="31"/>
      <c r="C1003" s="31" t="s">
        <v>3664</v>
      </c>
    </row>
    <row r="1004" spans="1:3" x14ac:dyDescent="0.25">
      <c r="A1004" s="24">
        <v>249881</v>
      </c>
      <c r="B1004" s="31"/>
      <c r="C1004" s="31" t="s">
        <v>3672</v>
      </c>
    </row>
    <row r="1005" spans="1:3" x14ac:dyDescent="0.25">
      <c r="A1005" s="24">
        <v>249882</v>
      </c>
      <c r="B1005" s="31"/>
      <c r="C1005" s="31" t="s">
        <v>3672</v>
      </c>
    </row>
    <row r="1006" spans="1:3" x14ac:dyDescent="0.25">
      <c r="A1006" s="24">
        <v>249858</v>
      </c>
      <c r="B1006" s="31"/>
      <c r="C1006" s="31" t="s">
        <v>3688</v>
      </c>
    </row>
    <row r="1007" spans="1:3" x14ac:dyDescent="0.25">
      <c r="A1007" s="24">
        <v>249936</v>
      </c>
      <c r="B1007" s="31"/>
      <c r="C1007" s="31" t="s">
        <v>3696</v>
      </c>
    </row>
    <row r="1008" spans="1:3" x14ac:dyDescent="0.25">
      <c r="A1008" s="24">
        <v>249964</v>
      </c>
      <c r="B1008" s="31"/>
      <c r="C1008" s="31" t="s">
        <v>3696</v>
      </c>
    </row>
    <row r="1009" spans="1:3" x14ac:dyDescent="0.25">
      <c r="A1009" s="24">
        <v>268326</v>
      </c>
      <c r="B1009" s="31"/>
      <c r="C1009" s="31" t="s">
        <v>3712</v>
      </c>
    </row>
    <row r="1010" spans="1:3" x14ac:dyDescent="0.25">
      <c r="A1010" s="24">
        <v>268354</v>
      </c>
      <c r="B1010" s="31"/>
      <c r="C1010" s="31" t="s">
        <v>3672</v>
      </c>
    </row>
    <row r="1011" spans="1:3" x14ac:dyDescent="0.25">
      <c r="A1011" s="24">
        <v>250020</v>
      </c>
      <c r="B1011" s="31"/>
      <c r="C1011" s="31" t="s">
        <v>3728</v>
      </c>
    </row>
    <row r="1012" spans="1:3" x14ac:dyDescent="0.25">
      <c r="A1012" s="24">
        <v>184838</v>
      </c>
      <c r="B1012" s="31"/>
      <c r="C1012" s="31" t="s">
        <v>3735</v>
      </c>
    </row>
    <row r="1013" spans="1:3" x14ac:dyDescent="0.25">
      <c r="A1013" s="24">
        <v>184865</v>
      </c>
      <c r="B1013" s="31"/>
      <c r="C1013" s="31" t="s">
        <v>3743</v>
      </c>
    </row>
    <row r="1014" spans="1:3" x14ac:dyDescent="0.25">
      <c r="A1014" s="24">
        <v>184892</v>
      </c>
      <c r="B1014" s="31"/>
      <c r="C1014" s="31" t="s">
        <v>3751</v>
      </c>
    </row>
    <row r="1015" spans="1:3" x14ac:dyDescent="0.25">
      <c r="A1015" s="24">
        <v>184927</v>
      </c>
      <c r="B1015" s="31"/>
      <c r="C1015" s="31" t="s">
        <v>3759</v>
      </c>
    </row>
    <row r="1016" spans="1:3" x14ac:dyDescent="0.25">
      <c r="A1016" s="24">
        <v>184941</v>
      </c>
      <c r="B1016" s="31"/>
      <c r="C1016" s="31" t="s">
        <v>3767</v>
      </c>
    </row>
    <row r="1017" spans="1:3" x14ac:dyDescent="0.25">
      <c r="A1017" s="24">
        <v>184960</v>
      </c>
      <c r="B1017" s="31"/>
      <c r="C1017" s="31" t="s">
        <v>3775</v>
      </c>
    </row>
    <row r="1018" spans="1:3" x14ac:dyDescent="0.25">
      <c r="A1018" s="24">
        <v>184973</v>
      </c>
      <c r="B1018" s="31"/>
      <c r="C1018" s="31" t="s">
        <v>3783</v>
      </c>
    </row>
    <row r="1019" spans="1:3" x14ac:dyDescent="0.25">
      <c r="A1019" s="24">
        <v>185004</v>
      </c>
      <c r="B1019" s="31"/>
      <c r="C1019" s="31" t="s">
        <v>3791</v>
      </c>
    </row>
    <row r="1020" spans="1:3" x14ac:dyDescent="0.25">
      <c r="A1020" s="24">
        <v>185044</v>
      </c>
      <c r="B1020" s="31"/>
      <c r="C1020" s="31" t="s">
        <v>3799</v>
      </c>
    </row>
    <row r="1021" spans="1:3" x14ac:dyDescent="0.25">
      <c r="A1021" s="24">
        <v>185061</v>
      </c>
      <c r="B1021" s="31"/>
      <c r="C1021" s="31" t="s">
        <v>3806</v>
      </c>
    </row>
    <row r="1022" spans="1:3" x14ac:dyDescent="0.25">
      <c r="A1022" s="24">
        <v>250049</v>
      </c>
      <c r="B1022" s="31"/>
      <c r="C1022" s="31" t="s">
        <v>3814</v>
      </c>
    </row>
    <row r="1023" spans="1:3" x14ac:dyDescent="0.25">
      <c r="A1023" s="24">
        <v>259264</v>
      </c>
      <c r="B1023" s="31"/>
      <c r="C1023" s="31" t="s">
        <v>3822</v>
      </c>
    </row>
    <row r="1024" spans="1:3" x14ac:dyDescent="0.25">
      <c r="A1024" s="24">
        <v>185077</v>
      </c>
      <c r="B1024" s="31"/>
      <c r="C1024" s="31" t="s">
        <v>3814</v>
      </c>
    </row>
    <row r="1025" spans="1:3" x14ac:dyDescent="0.25">
      <c r="A1025" s="24">
        <v>250139</v>
      </c>
      <c r="B1025" s="31"/>
      <c r="C1025" s="31" t="s">
        <v>3837</v>
      </c>
    </row>
    <row r="1026" spans="1:3" x14ac:dyDescent="0.25">
      <c r="A1026" s="24">
        <v>250169</v>
      </c>
      <c r="B1026" s="31"/>
      <c r="C1026" s="31" t="s">
        <v>3845</v>
      </c>
    </row>
    <row r="1027" spans="1:3" x14ac:dyDescent="0.25">
      <c r="A1027" s="24">
        <v>250192</v>
      </c>
      <c r="B1027" s="31"/>
      <c r="C1027" s="31" t="s">
        <v>3853</v>
      </c>
    </row>
    <row r="1028" spans="1:3" x14ac:dyDescent="0.25">
      <c r="A1028" s="24">
        <v>250215</v>
      </c>
      <c r="B1028" s="31"/>
      <c r="C1028" s="31" t="s">
        <v>3861</v>
      </c>
    </row>
    <row r="1029" spans="1:3" x14ac:dyDescent="0.25">
      <c r="A1029" s="24">
        <v>250227</v>
      </c>
      <c r="B1029" s="31"/>
      <c r="C1029" s="31" t="s">
        <v>3869</v>
      </c>
    </row>
    <row r="1030" spans="1:3" x14ac:dyDescent="0.25">
      <c r="A1030" s="24">
        <v>250244</v>
      </c>
      <c r="B1030" s="31"/>
      <c r="C1030" s="31" t="s">
        <v>3877</v>
      </c>
    </row>
    <row r="1031" spans="1:3" x14ac:dyDescent="0.25">
      <c r="A1031" s="24">
        <v>250272</v>
      </c>
      <c r="B1031" s="31"/>
      <c r="C1031" s="31" t="s">
        <v>3885</v>
      </c>
    </row>
    <row r="1032" spans="1:3" x14ac:dyDescent="0.25">
      <c r="A1032" s="24">
        <v>250300</v>
      </c>
      <c r="B1032" s="31"/>
      <c r="C1032" s="31" t="s">
        <v>3893</v>
      </c>
    </row>
    <row r="1033" spans="1:3" x14ac:dyDescent="0.25">
      <c r="A1033" s="24">
        <v>342247</v>
      </c>
      <c r="B1033" s="31">
        <v>3949</v>
      </c>
      <c r="C1033" s="31" t="s">
        <v>4206</v>
      </c>
    </row>
    <row r="1034" spans="1:3" x14ac:dyDescent="0.25">
      <c r="A1034" s="24">
        <v>187272</v>
      </c>
      <c r="B1034" s="31">
        <v>3949</v>
      </c>
      <c r="C1034" s="31" t="s">
        <v>4207</v>
      </c>
    </row>
    <row r="1035" spans="1:3" x14ac:dyDescent="0.25">
      <c r="A1035" s="24">
        <v>250390</v>
      </c>
      <c r="B1035" s="31"/>
      <c r="C1035" s="31" t="s">
        <v>3913</v>
      </c>
    </row>
    <row r="1036" spans="1:3" x14ac:dyDescent="0.25">
      <c r="A1036" s="24">
        <v>187080</v>
      </c>
      <c r="B1036" s="31"/>
      <c r="C1036" s="31" t="s">
        <v>3921</v>
      </c>
    </row>
    <row r="1037" spans="1:3" x14ac:dyDescent="0.25">
      <c r="A1037" s="24">
        <v>250415</v>
      </c>
      <c r="B1037" s="31"/>
      <c r="C1037" s="31" t="s">
        <v>3929</v>
      </c>
    </row>
    <row r="1038" spans="1:3" x14ac:dyDescent="0.25">
      <c r="A1038" s="24">
        <v>250428</v>
      </c>
      <c r="B1038" s="31"/>
      <c r="C1038" s="31" t="s">
        <v>3937</v>
      </c>
    </row>
    <row r="1039" spans="1:3" x14ac:dyDescent="0.25">
      <c r="A1039" s="24">
        <v>250441</v>
      </c>
      <c r="B1039" s="31"/>
      <c r="C1039" s="31" t="s">
        <v>3945</v>
      </c>
    </row>
    <row r="1040" spans="1:3" x14ac:dyDescent="0.25">
      <c r="A1040" s="24">
        <v>250459</v>
      </c>
      <c r="B1040" s="31"/>
      <c r="C1040" s="31" t="s">
        <v>3952</v>
      </c>
    </row>
    <row r="1041" spans="1:3" x14ac:dyDescent="0.25">
      <c r="A1041" s="24">
        <v>187122</v>
      </c>
      <c r="B1041" s="31"/>
      <c r="C1041" s="31" t="s">
        <v>3959</v>
      </c>
    </row>
    <row r="1042" spans="1:3" x14ac:dyDescent="0.25">
      <c r="A1042" s="24">
        <v>187140</v>
      </c>
      <c r="B1042" s="31"/>
      <c r="C1042" s="31" t="s">
        <v>3967</v>
      </c>
    </row>
    <row r="1043" spans="1:3" x14ac:dyDescent="0.25">
      <c r="A1043" s="24">
        <v>250477</v>
      </c>
      <c r="B1043" s="31"/>
      <c r="C1043" s="31" t="s">
        <v>3975</v>
      </c>
    </row>
    <row r="1044" spans="1:3" x14ac:dyDescent="0.25">
      <c r="A1044" s="24">
        <v>187159</v>
      </c>
      <c r="B1044" s="31"/>
      <c r="C1044" s="31" t="s">
        <v>3983</v>
      </c>
    </row>
    <row r="1045" spans="1:3" x14ac:dyDescent="0.25">
      <c r="A1045" s="24">
        <v>250503</v>
      </c>
      <c r="B1045" s="31"/>
      <c r="C1045" s="31" t="s">
        <v>3991</v>
      </c>
    </row>
    <row r="1046" spans="1:3" x14ac:dyDescent="0.25">
      <c r="A1046" s="24">
        <v>250516</v>
      </c>
      <c r="B1046" s="31"/>
      <c r="C1046" s="31" t="s">
        <v>3999</v>
      </c>
    </row>
    <row r="1047" spans="1:3" x14ac:dyDescent="0.25">
      <c r="A1047" s="24">
        <v>250529</v>
      </c>
      <c r="B1047" s="31"/>
      <c r="C1047" s="31" t="s">
        <v>4007</v>
      </c>
    </row>
    <row r="1048" spans="1:3" x14ac:dyDescent="0.25">
      <c r="A1048" s="24">
        <v>250547</v>
      </c>
      <c r="B1048" s="31"/>
      <c r="C1048" s="31" t="s">
        <v>4015</v>
      </c>
    </row>
    <row r="1049" spans="1:3" x14ac:dyDescent="0.25">
      <c r="A1049" s="24">
        <v>187201</v>
      </c>
      <c r="B1049" s="31"/>
      <c r="C1049" s="31" t="s">
        <v>4023</v>
      </c>
    </row>
    <row r="1050" spans="1:3" x14ac:dyDescent="0.25">
      <c r="A1050" s="24">
        <v>187218</v>
      </c>
      <c r="B1050" s="31"/>
      <c r="C1050" s="31" t="s">
        <v>4031</v>
      </c>
    </row>
    <row r="1051" spans="1:3" x14ac:dyDescent="0.25">
      <c r="A1051" s="24">
        <v>187241</v>
      </c>
      <c r="B1051" s="31">
        <v>7659</v>
      </c>
      <c r="C1051" s="31" t="s">
        <v>4208</v>
      </c>
    </row>
    <row r="1052" spans="1:3" x14ac:dyDescent="0.25">
      <c r="A1052" s="24">
        <v>250760</v>
      </c>
      <c r="B1052" s="31"/>
      <c r="C1052" s="31" t="s">
        <v>4045</v>
      </c>
    </row>
    <row r="1053" spans="1:3" x14ac:dyDescent="0.25">
      <c r="A1053" s="24">
        <v>268465</v>
      </c>
      <c r="B1053" s="31"/>
      <c r="C1053" s="31" t="s">
        <v>2540</v>
      </c>
    </row>
    <row r="1054" spans="1:3" x14ac:dyDescent="0.25">
      <c r="A1054" s="24">
        <v>251137</v>
      </c>
      <c r="B1054" s="63" t="s">
        <v>4170</v>
      </c>
      <c r="C1054" s="31" t="s">
        <v>4167</v>
      </c>
    </row>
    <row r="1055" spans="1:3" x14ac:dyDescent="0.25">
      <c r="A1055" s="24">
        <v>189334</v>
      </c>
      <c r="B1055" s="31"/>
      <c r="C1055" s="31" t="s">
        <v>4067</v>
      </c>
    </row>
    <row r="1056" spans="1:3" x14ac:dyDescent="0.25">
      <c r="A1056" s="24">
        <v>268496</v>
      </c>
      <c r="B1056" s="31"/>
      <c r="C1056" s="31" t="s">
        <v>4075</v>
      </c>
    </row>
    <row r="1057" spans="1:3" x14ac:dyDescent="0.25">
      <c r="A1057" s="24">
        <v>268497</v>
      </c>
      <c r="B1057" s="31"/>
      <c r="C1057" s="31" t="s">
        <v>4083</v>
      </c>
    </row>
    <row r="1058" spans="1:3" x14ac:dyDescent="0.25">
      <c r="A1058" s="24">
        <v>190309</v>
      </c>
      <c r="B1058" s="31"/>
      <c r="C1058" s="31" t="s">
        <v>4091</v>
      </c>
    </row>
    <row r="1059" spans="1:3" x14ac:dyDescent="0.25">
      <c r="A1059" s="24">
        <v>250826</v>
      </c>
      <c r="B1059" s="31"/>
      <c r="C1059" s="31" t="s">
        <v>4099</v>
      </c>
    </row>
    <row r="1060" spans="1:3" x14ac:dyDescent="0.25">
      <c r="A1060" s="24">
        <v>250914</v>
      </c>
      <c r="B1060" s="31"/>
      <c r="C1060" s="31" t="s">
        <v>4107</v>
      </c>
    </row>
    <row r="1061" spans="1:3" x14ac:dyDescent="0.25">
      <c r="A1061" s="24">
        <v>250949</v>
      </c>
      <c r="B1061" s="31"/>
      <c r="C1061" s="31" t="s">
        <v>4115</v>
      </c>
    </row>
    <row r="1062" spans="1:3" x14ac:dyDescent="0.25">
      <c r="A1062" s="24">
        <v>250976</v>
      </c>
      <c r="B1062" s="31">
        <v>7390</v>
      </c>
      <c r="C1062" s="31" t="s">
        <v>4205</v>
      </c>
    </row>
    <row r="1063" spans="1:3" x14ac:dyDescent="0.25">
      <c r="A1063" s="24">
        <v>251003</v>
      </c>
      <c r="B1063" s="31"/>
      <c r="C1063" s="31" t="s">
        <v>4128</v>
      </c>
    </row>
    <row r="1064" spans="1:3" x14ac:dyDescent="0.25">
      <c r="A1064" s="24">
        <v>251034</v>
      </c>
      <c r="B1064" s="31"/>
      <c r="C1064" s="31" t="s">
        <v>4136</v>
      </c>
    </row>
    <row r="1065" spans="1:3" x14ac:dyDescent="0.25">
      <c r="A1065" s="24">
        <v>251066</v>
      </c>
      <c r="B1065" s="31"/>
      <c r="C1065" s="31" t="s">
        <v>4107</v>
      </c>
    </row>
    <row r="1066" spans="1:3" x14ac:dyDescent="0.25">
      <c r="A1066" s="24">
        <v>251101</v>
      </c>
      <c r="B1066" s="31"/>
      <c r="C1066" s="31" t="s">
        <v>4099</v>
      </c>
    </row>
  </sheetData>
  <conditionalFormatting sqref="A3:A803">
    <cfRule type="expression" dxfId="1" priority="2">
      <formula>AND(ROUNDDOWN($Q3,0)=0,ROUNDDOWN($P3,0)=0)</formula>
    </cfRule>
  </conditionalFormatting>
  <conditionalFormatting sqref="A805:A1066">
    <cfRule type="expression" dxfId="0" priority="1">
      <formula>AND(ROUNDDOWN($Q805,0)=0,ROUNDDOWN($R805,0)=0)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168A4-1D6C-493F-9B35-FAB06D9C1A19}">
  <sheetPr codeName="Лист7">
    <tabColor rgb="FF92D050"/>
  </sheetPr>
  <dimension ref="A1:R1070"/>
  <sheetViews>
    <sheetView workbookViewId="0"/>
  </sheetViews>
  <sheetFormatPr defaultRowHeight="15" x14ac:dyDescent="0.25"/>
  <cols>
    <col min="1" max="2" width="11.140625" style="65" bestFit="1" customWidth="1"/>
    <col min="3" max="3" width="18.5703125" style="65" bestFit="1" customWidth="1"/>
    <col min="4" max="4" width="81.140625" style="65" bestFit="1" customWidth="1"/>
    <col min="5" max="9" width="11.140625" style="65" bestFit="1" customWidth="1"/>
    <col min="10" max="18" width="12.140625" style="65" bestFit="1" customWidth="1"/>
    <col min="19" max="16384" width="9.140625" style="65"/>
  </cols>
  <sheetData>
    <row r="1" spans="1:18" x14ac:dyDescent="0.25">
      <c r="A1" s="66" t="s">
        <v>4255</v>
      </c>
      <c r="B1" s="66" t="s">
        <v>4256</v>
      </c>
      <c r="C1" s="66" t="s">
        <v>4257</v>
      </c>
      <c r="D1" s="66" t="s">
        <v>4258</v>
      </c>
      <c r="E1" s="66" t="s">
        <v>4259</v>
      </c>
      <c r="F1" s="66" t="s">
        <v>4260</v>
      </c>
      <c r="G1" s="66" t="s">
        <v>4261</v>
      </c>
      <c r="H1" s="66" t="s">
        <v>4262</v>
      </c>
      <c r="I1" s="66" t="s">
        <v>4263</v>
      </c>
      <c r="J1" s="66" t="s">
        <v>4264</v>
      </c>
      <c r="K1" s="66" t="s">
        <v>4265</v>
      </c>
      <c r="L1" s="66" t="s">
        <v>4266</v>
      </c>
      <c r="M1" s="66" t="s">
        <v>4267</v>
      </c>
      <c r="N1" s="66" t="s">
        <v>4268</v>
      </c>
      <c r="O1" s="66" t="s">
        <v>4269</v>
      </c>
      <c r="P1" s="66" t="s">
        <v>4270</v>
      </c>
      <c r="Q1" s="66" t="s">
        <v>4271</v>
      </c>
      <c r="R1" s="66" t="s">
        <v>4272</v>
      </c>
    </row>
    <row r="2" spans="1:18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8" ht="30" x14ac:dyDescent="0.25">
      <c r="A3" t="s">
        <v>4273</v>
      </c>
      <c r="B3" t="s">
        <v>4274</v>
      </c>
      <c r="C3" t="s">
        <v>4275</v>
      </c>
      <c r="D3" t="s">
        <v>4276</v>
      </c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8" x14ac:dyDescent="0.25">
      <c r="A4"/>
      <c r="B4" t="s">
        <v>0</v>
      </c>
      <c r="C4" t="s">
        <v>4162</v>
      </c>
      <c r="D4" t="s">
        <v>4162</v>
      </c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1:18" ht="30" x14ac:dyDescent="0.25">
      <c r="A5" t="s">
        <v>4277</v>
      </c>
      <c r="B5">
        <v>132876</v>
      </c>
      <c r="C5">
        <v>4590</v>
      </c>
      <c r="D5" t="s">
        <v>24</v>
      </c>
      <c r="E5">
        <v>4590</v>
      </c>
      <c r="F5"/>
      <c r="G5"/>
      <c r="H5"/>
      <c r="I5"/>
      <c r="J5"/>
      <c r="K5"/>
      <c r="L5"/>
      <c r="M5"/>
      <c r="N5"/>
      <c r="O5"/>
      <c r="P5"/>
      <c r="Q5"/>
      <c r="R5"/>
    </row>
    <row r="6" spans="1:18" x14ac:dyDescent="0.25">
      <c r="A6" t="s">
        <v>4277</v>
      </c>
      <c r="B6">
        <v>132877</v>
      </c>
      <c r="C6"/>
      <c r="D6" t="s">
        <v>19</v>
      </c>
      <c r="E6">
        <v>4190</v>
      </c>
      <c r="F6"/>
      <c r="G6"/>
      <c r="H6"/>
      <c r="I6"/>
      <c r="J6"/>
      <c r="K6"/>
      <c r="L6"/>
      <c r="M6"/>
      <c r="N6"/>
      <c r="O6"/>
      <c r="P6"/>
      <c r="Q6"/>
      <c r="R6"/>
    </row>
    <row r="7" spans="1:18" ht="30" x14ac:dyDescent="0.25">
      <c r="A7" t="s">
        <v>4277</v>
      </c>
      <c r="B7">
        <v>132878</v>
      </c>
      <c r="C7" t="s">
        <v>4168</v>
      </c>
      <c r="D7" t="s">
        <v>28</v>
      </c>
      <c r="E7">
        <v>1990</v>
      </c>
      <c r="F7"/>
      <c r="G7"/>
      <c r="H7"/>
      <c r="I7"/>
      <c r="J7"/>
      <c r="K7"/>
      <c r="L7"/>
      <c r="M7"/>
      <c r="N7"/>
      <c r="O7"/>
      <c r="P7"/>
      <c r="Q7"/>
      <c r="R7"/>
    </row>
    <row r="8" spans="1:18" ht="30" x14ac:dyDescent="0.25">
      <c r="A8" t="s">
        <v>4277</v>
      </c>
      <c r="B8">
        <v>132879</v>
      </c>
      <c r="C8"/>
      <c r="D8" t="s">
        <v>24</v>
      </c>
      <c r="E8">
        <v>4590</v>
      </c>
      <c r="F8"/>
      <c r="G8"/>
      <c r="H8"/>
      <c r="I8"/>
      <c r="J8"/>
      <c r="K8"/>
      <c r="L8"/>
      <c r="M8"/>
      <c r="N8"/>
      <c r="O8"/>
      <c r="P8"/>
      <c r="Q8"/>
      <c r="R8"/>
    </row>
    <row r="9" spans="1:18" ht="30" x14ac:dyDescent="0.25">
      <c r="A9" t="s">
        <v>4277</v>
      </c>
      <c r="B9">
        <v>132880</v>
      </c>
      <c r="C9"/>
      <c r="D9" t="s">
        <v>28</v>
      </c>
      <c r="E9">
        <v>1990</v>
      </c>
      <c r="F9"/>
      <c r="G9"/>
      <c r="H9"/>
      <c r="I9"/>
      <c r="J9"/>
      <c r="K9"/>
      <c r="L9"/>
      <c r="M9"/>
      <c r="N9"/>
      <c r="O9"/>
      <c r="P9"/>
      <c r="Q9"/>
      <c r="R9"/>
    </row>
    <row r="10" spans="1:18" ht="30" x14ac:dyDescent="0.25">
      <c r="A10" t="s">
        <v>4277</v>
      </c>
      <c r="B10">
        <v>132881</v>
      </c>
      <c r="C10"/>
      <c r="D10" t="s">
        <v>31</v>
      </c>
      <c r="E10">
        <v>4590</v>
      </c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1:18" ht="30" x14ac:dyDescent="0.25">
      <c r="A11" t="s">
        <v>4277</v>
      </c>
      <c r="B11">
        <v>132882</v>
      </c>
      <c r="C11"/>
      <c r="D11" t="s">
        <v>34</v>
      </c>
      <c r="E11">
        <v>2890</v>
      </c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8" x14ac:dyDescent="0.25">
      <c r="A12" t="s">
        <v>4277</v>
      </c>
      <c r="B12">
        <v>132883</v>
      </c>
      <c r="C12"/>
      <c r="D12"/>
      <c r="E12" t="s">
        <v>4167</v>
      </c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8" ht="30" x14ac:dyDescent="0.25">
      <c r="A13" t="s">
        <v>4277</v>
      </c>
      <c r="B13">
        <v>132884</v>
      </c>
      <c r="C13"/>
      <c r="D13" t="s">
        <v>41</v>
      </c>
      <c r="E13">
        <v>2390</v>
      </c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8" ht="30" x14ac:dyDescent="0.25">
      <c r="A14" t="s">
        <v>4277</v>
      </c>
      <c r="B14">
        <v>132885</v>
      </c>
      <c r="C14">
        <v>2890</v>
      </c>
      <c r="D14" t="s">
        <v>67</v>
      </c>
      <c r="E14">
        <v>2890</v>
      </c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8" x14ac:dyDescent="0.25">
      <c r="A15" t="s">
        <v>4277</v>
      </c>
      <c r="B15">
        <v>132886</v>
      </c>
      <c r="C15" t="s">
        <v>4170</v>
      </c>
      <c r="D15"/>
      <c r="E15" t="s">
        <v>4167</v>
      </c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18" x14ac:dyDescent="0.25">
      <c r="A16" t="s">
        <v>4277</v>
      </c>
      <c r="B16">
        <v>132887</v>
      </c>
      <c r="C16" t="s">
        <v>4170</v>
      </c>
      <c r="D16"/>
      <c r="E16" t="s">
        <v>4167</v>
      </c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ht="30" x14ac:dyDescent="0.25">
      <c r="A17" t="s">
        <v>4277</v>
      </c>
      <c r="B17">
        <v>132888</v>
      </c>
      <c r="C17"/>
      <c r="D17" t="s">
        <v>50</v>
      </c>
      <c r="E17">
        <v>4990</v>
      </c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ht="30" x14ac:dyDescent="0.25">
      <c r="A18" t="s">
        <v>4277</v>
      </c>
      <c r="B18">
        <v>132889</v>
      </c>
      <c r="C18"/>
      <c r="D18" t="s">
        <v>53</v>
      </c>
      <c r="E18">
        <v>3290</v>
      </c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ht="30" x14ac:dyDescent="0.25">
      <c r="A19" t="s">
        <v>4277</v>
      </c>
      <c r="B19">
        <v>132890</v>
      </c>
      <c r="C19"/>
      <c r="D19" t="s">
        <v>56</v>
      </c>
      <c r="E19">
        <v>5890</v>
      </c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30" x14ac:dyDescent="0.25">
      <c r="A20" t="s">
        <v>4277</v>
      </c>
      <c r="B20">
        <v>132891</v>
      </c>
      <c r="C20"/>
      <c r="D20" t="s">
        <v>59</v>
      </c>
      <c r="E20">
        <v>2690</v>
      </c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ht="30" x14ac:dyDescent="0.25">
      <c r="A21" t="s">
        <v>4277</v>
      </c>
      <c r="B21">
        <v>132892</v>
      </c>
      <c r="C21"/>
      <c r="D21" t="s">
        <v>62</v>
      </c>
      <c r="E21">
        <v>6190</v>
      </c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x14ac:dyDescent="0.25">
      <c r="A22" t="s">
        <v>4277</v>
      </c>
      <c r="B22">
        <v>132893</v>
      </c>
      <c r="C22" t="s">
        <v>4169</v>
      </c>
      <c r="D22"/>
      <c r="E22" t="s">
        <v>4167</v>
      </c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ht="30" x14ac:dyDescent="0.25">
      <c r="A23" t="s">
        <v>4277</v>
      </c>
      <c r="B23">
        <v>132894</v>
      </c>
      <c r="C23"/>
      <c r="D23" t="s">
        <v>67</v>
      </c>
      <c r="E23">
        <v>2890</v>
      </c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x14ac:dyDescent="0.25">
      <c r="A24" t="s">
        <v>4277</v>
      </c>
      <c r="B24">
        <v>132895</v>
      </c>
      <c r="C24"/>
      <c r="D24"/>
      <c r="E24" t="s">
        <v>4167</v>
      </c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ht="30" x14ac:dyDescent="0.25">
      <c r="A25" t="s">
        <v>4277</v>
      </c>
      <c r="B25">
        <v>132896</v>
      </c>
      <c r="C25"/>
      <c r="D25" t="s">
        <v>73</v>
      </c>
      <c r="E25">
        <v>2990</v>
      </c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ht="30" x14ac:dyDescent="0.25">
      <c r="A26" t="s">
        <v>4277</v>
      </c>
      <c r="B26">
        <v>132897</v>
      </c>
      <c r="C26"/>
      <c r="D26" t="s">
        <v>76</v>
      </c>
      <c r="E26">
        <v>2990</v>
      </c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ht="30" x14ac:dyDescent="0.25">
      <c r="A27" t="s">
        <v>4277</v>
      </c>
      <c r="B27">
        <v>132899</v>
      </c>
      <c r="C27">
        <v>2990</v>
      </c>
      <c r="D27" t="s">
        <v>4171</v>
      </c>
      <c r="E27">
        <v>2990</v>
      </c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x14ac:dyDescent="0.25">
      <c r="A28" t="s">
        <v>4277</v>
      </c>
      <c r="B28">
        <v>132900</v>
      </c>
      <c r="C28" t="s">
        <v>4170</v>
      </c>
      <c r="D28"/>
      <c r="E28" t="s">
        <v>4167</v>
      </c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x14ac:dyDescent="0.25">
      <c r="A29" t="s">
        <v>4277</v>
      </c>
      <c r="B29">
        <v>132901</v>
      </c>
      <c r="C29" t="s">
        <v>4170</v>
      </c>
      <c r="D29"/>
      <c r="E29" t="s">
        <v>4167</v>
      </c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x14ac:dyDescent="0.25">
      <c r="A30" t="s">
        <v>4277</v>
      </c>
      <c r="B30">
        <v>132902</v>
      </c>
      <c r="C30" t="s">
        <v>4170</v>
      </c>
      <c r="D30"/>
      <c r="E30" t="s">
        <v>4167</v>
      </c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x14ac:dyDescent="0.25">
      <c r="A31" t="s">
        <v>4277</v>
      </c>
      <c r="B31">
        <v>132903</v>
      </c>
      <c r="C31"/>
      <c r="D31" t="s">
        <v>87</v>
      </c>
      <c r="E31">
        <v>2190</v>
      </c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ht="30" x14ac:dyDescent="0.25">
      <c r="A32" t="s">
        <v>4277</v>
      </c>
      <c r="B32">
        <v>132898</v>
      </c>
      <c r="C32">
        <v>2990</v>
      </c>
      <c r="D32" t="s">
        <v>4172</v>
      </c>
      <c r="E32">
        <v>2990</v>
      </c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ht="30" x14ac:dyDescent="0.25">
      <c r="A33" t="s">
        <v>4277</v>
      </c>
      <c r="B33">
        <v>242804</v>
      </c>
      <c r="C33"/>
      <c r="D33" t="s">
        <v>92</v>
      </c>
      <c r="E33">
        <v>4290</v>
      </c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ht="30" x14ac:dyDescent="0.25">
      <c r="A34" t="s">
        <v>4277</v>
      </c>
      <c r="B34">
        <v>133219</v>
      </c>
      <c r="C34"/>
      <c r="D34" t="s">
        <v>95</v>
      </c>
      <c r="E34">
        <v>5590</v>
      </c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x14ac:dyDescent="0.25">
      <c r="A35" t="s">
        <v>4277</v>
      </c>
      <c r="B35">
        <v>133289</v>
      </c>
      <c r="C35" t="s">
        <v>4170</v>
      </c>
      <c r="D35"/>
      <c r="E35" t="s">
        <v>4167</v>
      </c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x14ac:dyDescent="0.25">
      <c r="A36" t="s">
        <v>4277</v>
      </c>
      <c r="B36">
        <v>133300</v>
      </c>
      <c r="C36"/>
      <c r="D36" t="s">
        <v>100</v>
      </c>
      <c r="E36">
        <v>449</v>
      </c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x14ac:dyDescent="0.25">
      <c r="A37" t="s">
        <v>4277</v>
      </c>
      <c r="B37">
        <v>133301</v>
      </c>
      <c r="C37"/>
      <c r="D37" t="s">
        <v>103</v>
      </c>
      <c r="E37">
        <v>1290</v>
      </c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x14ac:dyDescent="0.25">
      <c r="A38" t="s">
        <v>4277</v>
      </c>
      <c r="B38">
        <v>133302</v>
      </c>
      <c r="C38" t="s">
        <v>4170</v>
      </c>
      <c r="D38"/>
      <c r="E38" t="s">
        <v>4167</v>
      </c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x14ac:dyDescent="0.25">
      <c r="A39" t="s">
        <v>4277</v>
      </c>
      <c r="B39">
        <v>133303</v>
      </c>
      <c r="C39" t="s">
        <v>4170</v>
      </c>
      <c r="D39"/>
      <c r="E39" t="s">
        <v>4167</v>
      </c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x14ac:dyDescent="0.25">
      <c r="A40" t="s">
        <v>4277</v>
      </c>
      <c r="B40">
        <v>133304</v>
      </c>
      <c r="C40"/>
      <c r="D40" t="s">
        <v>112</v>
      </c>
      <c r="E40">
        <v>490</v>
      </c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x14ac:dyDescent="0.25">
      <c r="A41" t="s">
        <v>4277</v>
      </c>
      <c r="B41">
        <v>133305</v>
      </c>
      <c r="C41" t="s">
        <v>4170</v>
      </c>
      <c r="D41"/>
      <c r="E41" t="s">
        <v>4167</v>
      </c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x14ac:dyDescent="0.25">
      <c r="A42" t="s">
        <v>4277</v>
      </c>
      <c r="B42">
        <v>133306</v>
      </c>
      <c r="C42"/>
      <c r="D42"/>
      <c r="E42" t="s">
        <v>4167</v>
      </c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x14ac:dyDescent="0.25">
      <c r="A43" t="s">
        <v>4277</v>
      </c>
      <c r="B43">
        <v>133324</v>
      </c>
      <c r="C43"/>
      <c r="D43" t="s">
        <v>120</v>
      </c>
      <c r="E43">
        <v>15990</v>
      </c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ht="30" x14ac:dyDescent="0.25">
      <c r="A44" t="s">
        <v>4277</v>
      </c>
      <c r="B44">
        <v>133325</v>
      </c>
      <c r="C44"/>
      <c r="D44" t="s">
        <v>124</v>
      </c>
      <c r="E44">
        <v>6290</v>
      </c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ht="30" x14ac:dyDescent="0.25">
      <c r="A45" t="s">
        <v>4277</v>
      </c>
      <c r="B45">
        <v>133329</v>
      </c>
      <c r="C45"/>
      <c r="D45" t="s">
        <v>127</v>
      </c>
      <c r="E45">
        <v>3890</v>
      </c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x14ac:dyDescent="0.25">
      <c r="A46" t="s">
        <v>4277</v>
      </c>
      <c r="B46">
        <v>133351</v>
      </c>
      <c r="C46" t="s">
        <v>4170</v>
      </c>
      <c r="D46"/>
      <c r="E46" t="s">
        <v>4167</v>
      </c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x14ac:dyDescent="0.25">
      <c r="A47" t="s">
        <v>4277</v>
      </c>
      <c r="B47">
        <v>357544</v>
      </c>
      <c r="C47" t="s">
        <v>4170</v>
      </c>
      <c r="D47"/>
      <c r="E47" t="s">
        <v>4167</v>
      </c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x14ac:dyDescent="0.25">
      <c r="A48" t="s">
        <v>4277</v>
      </c>
      <c r="B48">
        <v>357550</v>
      </c>
      <c r="C48" t="s">
        <v>4170</v>
      </c>
      <c r="D48"/>
      <c r="E48" t="s">
        <v>4167</v>
      </c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x14ac:dyDescent="0.25">
      <c r="A49" t="s">
        <v>4277</v>
      </c>
      <c r="B49">
        <v>137073</v>
      </c>
      <c r="C49"/>
      <c r="D49" t="s">
        <v>136</v>
      </c>
      <c r="E49">
        <v>3329</v>
      </c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x14ac:dyDescent="0.25">
      <c r="A50" t="s">
        <v>4277</v>
      </c>
      <c r="B50">
        <v>137074</v>
      </c>
      <c r="C50">
        <v>1949</v>
      </c>
      <c r="D50" t="s">
        <v>4247</v>
      </c>
      <c r="E50">
        <v>1949</v>
      </c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x14ac:dyDescent="0.25">
      <c r="A51" t="s">
        <v>4277</v>
      </c>
      <c r="B51">
        <v>137075</v>
      </c>
      <c r="C51">
        <v>15590</v>
      </c>
      <c r="D51" t="s">
        <v>4252</v>
      </c>
      <c r="E51">
        <v>15590</v>
      </c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x14ac:dyDescent="0.25">
      <c r="A52" t="s">
        <v>4277</v>
      </c>
      <c r="B52">
        <v>137076</v>
      </c>
      <c r="C52"/>
      <c r="D52"/>
      <c r="E52" t="s">
        <v>4167</v>
      </c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x14ac:dyDescent="0.25">
      <c r="A53" t="s">
        <v>4277</v>
      </c>
      <c r="B53">
        <v>333228</v>
      </c>
      <c r="C53"/>
      <c r="D53" t="s">
        <v>136</v>
      </c>
      <c r="E53">
        <v>3329</v>
      </c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ht="30" x14ac:dyDescent="0.25">
      <c r="A54" t="s">
        <v>4277</v>
      </c>
      <c r="B54">
        <v>137077</v>
      </c>
      <c r="C54"/>
      <c r="D54" t="s">
        <v>147</v>
      </c>
      <c r="E54">
        <v>8290</v>
      </c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x14ac:dyDescent="0.25">
      <c r="A55" t="s">
        <v>4277</v>
      </c>
      <c r="B55">
        <v>137078</v>
      </c>
      <c r="C55"/>
      <c r="D55" t="s">
        <v>151</v>
      </c>
      <c r="E55">
        <v>9690</v>
      </c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x14ac:dyDescent="0.25">
      <c r="A56" t="s">
        <v>4277</v>
      </c>
      <c r="B56">
        <v>137079</v>
      </c>
      <c r="C56"/>
      <c r="D56"/>
      <c r="E56" t="s">
        <v>4167</v>
      </c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x14ac:dyDescent="0.25">
      <c r="A57" t="s">
        <v>4277</v>
      </c>
      <c r="B57">
        <v>137080</v>
      </c>
      <c r="C57"/>
      <c r="D57" t="s">
        <v>156</v>
      </c>
      <c r="E57">
        <v>19749</v>
      </c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 t="s">
        <v>4277</v>
      </c>
      <c r="B58">
        <v>137081</v>
      </c>
      <c r="C58">
        <v>43990</v>
      </c>
      <c r="D58" t="s">
        <v>4250</v>
      </c>
      <c r="E58">
        <v>43990</v>
      </c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 t="s">
        <v>4277</v>
      </c>
      <c r="B59">
        <v>137082</v>
      </c>
      <c r="C59"/>
      <c r="D59"/>
      <c r="E59" t="s">
        <v>4167</v>
      </c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 t="s">
        <v>4277</v>
      </c>
      <c r="B60">
        <v>137083</v>
      </c>
      <c r="C60">
        <v>23690</v>
      </c>
      <c r="D60" t="s">
        <v>4248</v>
      </c>
      <c r="E60">
        <v>23690</v>
      </c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 t="s">
        <v>4277</v>
      </c>
      <c r="B61">
        <v>137084</v>
      </c>
      <c r="C61"/>
      <c r="D61"/>
      <c r="E61" t="s">
        <v>4167</v>
      </c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x14ac:dyDescent="0.25">
      <c r="A62" t="s">
        <v>4277</v>
      </c>
      <c r="B62">
        <v>137085</v>
      </c>
      <c r="C62"/>
      <c r="D62"/>
      <c r="E62" t="s">
        <v>4167</v>
      </c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x14ac:dyDescent="0.25">
      <c r="A63" t="s">
        <v>4277</v>
      </c>
      <c r="B63">
        <v>137086</v>
      </c>
      <c r="C63"/>
      <c r="D63" t="s">
        <v>169</v>
      </c>
      <c r="E63">
        <v>4890</v>
      </c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ht="30" x14ac:dyDescent="0.25">
      <c r="A64" t="s">
        <v>4277</v>
      </c>
      <c r="B64">
        <v>137087</v>
      </c>
      <c r="C64"/>
      <c r="D64" t="s">
        <v>172</v>
      </c>
      <c r="E64">
        <v>9090</v>
      </c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x14ac:dyDescent="0.25">
      <c r="A65" t="s">
        <v>4277</v>
      </c>
      <c r="B65">
        <v>137088</v>
      </c>
      <c r="C65"/>
      <c r="D65"/>
      <c r="E65" t="s">
        <v>4167</v>
      </c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x14ac:dyDescent="0.25">
      <c r="A66" t="s">
        <v>4277</v>
      </c>
      <c r="B66">
        <v>137089</v>
      </c>
      <c r="C66">
        <v>22290</v>
      </c>
      <c r="D66" t="s">
        <v>4253</v>
      </c>
      <c r="E66">
        <v>22290</v>
      </c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x14ac:dyDescent="0.25">
      <c r="A67" t="s">
        <v>4277</v>
      </c>
      <c r="B67">
        <v>137090</v>
      </c>
      <c r="C67">
        <v>43990</v>
      </c>
      <c r="D67" t="s">
        <v>4249</v>
      </c>
      <c r="E67">
        <v>43990</v>
      </c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x14ac:dyDescent="0.25">
      <c r="A68" t="s">
        <v>4277</v>
      </c>
      <c r="B68">
        <v>137091</v>
      </c>
      <c r="C68"/>
      <c r="D68"/>
      <c r="E68" t="s">
        <v>4167</v>
      </c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x14ac:dyDescent="0.25">
      <c r="A69" t="s">
        <v>4277</v>
      </c>
      <c r="B69">
        <v>137092</v>
      </c>
      <c r="C69"/>
      <c r="D69" t="s">
        <v>183</v>
      </c>
      <c r="E69">
        <v>2590</v>
      </c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x14ac:dyDescent="0.25">
      <c r="A70" t="s">
        <v>4277</v>
      </c>
      <c r="B70">
        <v>137094</v>
      </c>
      <c r="C70">
        <v>2690</v>
      </c>
      <c r="D70" t="s">
        <v>4251</v>
      </c>
      <c r="E70">
        <v>2690</v>
      </c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x14ac:dyDescent="0.25">
      <c r="A71" t="s">
        <v>4277</v>
      </c>
      <c r="B71">
        <v>137095</v>
      </c>
      <c r="C71"/>
      <c r="D71" t="s">
        <v>188</v>
      </c>
      <c r="E71">
        <v>11190</v>
      </c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x14ac:dyDescent="0.25">
      <c r="A72" t="s">
        <v>4277</v>
      </c>
      <c r="B72">
        <v>137096</v>
      </c>
      <c r="C72"/>
      <c r="D72"/>
      <c r="E72" t="s">
        <v>4167</v>
      </c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x14ac:dyDescent="0.25">
      <c r="A73" t="s">
        <v>4277</v>
      </c>
      <c r="B73">
        <v>137097</v>
      </c>
      <c r="C73"/>
      <c r="D73"/>
      <c r="E73" t="s">
        <v>4167</v>
      </c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x14ac:dyDescent="0.25">
      <c r="A74" t="s">
        <v>4277</v>
      </c>
      <c r="B74">
        <v>137098</v>
      </c>
      <c r="C74"/>
      <c r="D74"/>
      <c r="E74" t="s">
        <v>4167</v>
      </c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x14ac:dyDescent="0.25">
      <c r="A75" t="s">
        <v>4277</v>
      </c>
      <c r="B75">
        <v>137099</v>
      </c>
      <c r="C75"/>
      <c r="D75"/>
      <c r="E75" t="s">
        <v>4167</v>
      </c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x14ac:dyDescent="0.25">
      <c r="A76" t="s">
        <v>4277</v>
      </c>
      <c r="B76">
        <v>137100</v>
      </c>
      <c r="C76"/>
      <c r="D76"/>
      <c r="E76" t="s">
        <v>4167</v>
      </c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30" x14ac:dyDescent="0.25">
      <c r="A77" t="s">
        <v>4277</v>
      </c>
      <c r="B77">
        <v>138722</v>
      </c>
      <c r="C77"/>
      <c r="D77" t="s">
        <v>203</v>
      </c>
      <c r="E77">
        <v>3990</v>
      </c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30" x14ac:dyDescent="0.25">
      <c r="A78" t="s">
        <v>4277</v>
      </c>
      <c r="B78">
        <v>138723</v>
      </c>
      <c r="C78"/>
      <c r="D78" t="s">
        <v>206</v>
      </c>
      <c r="E78">
        <v>3990</v>
      </c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x14ac:dyDescent="0.25">
      <c r="A79" t="s">
        <v>4277</v>
      </c>
      <c r="B79">
        <v>138727</v>
      </c>
      <c r="C79"/>
      <c r="D79"/>
      <c r="E79" t="s">
        <v>4167</v>
      </c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x14ac:dyDescent="0.25">
      <c r="A80" t="s">
        <v>4277</v>
      </c>
      <c r="B80">
        <v>138728</v>
      </c>
      <c r="C80"/>
      <c r="D80"/>
      <c r="E80" t="s">
        <v>4167</v>
      </c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x14ac:dyDescent="0.25">
      <c r="A81" t="s">
        <v>4277</v>
      </c>
      <c r="B81">
        <v>138733</v>
      </c>
      <c r="C81"/>
      <c r="D81"/>
      <c r="E81" t="s">
        <v>4167</v>
      </c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30" x14ac:dyDescent="0.25">
      <c r="A82" t="s">
        <v>4277</v>
      </c>
      <c r="B82">
        <v>138734</v>
      </c>
      <c r="C82"/>
      <c r="D82" t="s">
        <v>218</v>
      </c>
      <c r="E82">
        <v>9190</v>
      </c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30" x14ac:dyDescent="0.25">
      <c r="A83" t="s">
        <v>4277</v>
      </c>
      <c r="B83">
        <v>138736</v>
      </c>
      <c r="C83"/>
      <c r="D83" t="s">
        <v>222</v>
      </c>
      <c r="E83">
        <v>2890</v>
      </c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x14ac:dyDescent="0.25">
      <c r="A84" t="s">
        <v>4277</v>
      </c>
      <c r="B84">
        <v>138737</v>
      </c>
      <c r="C84"/>
      <c r="D84"/>
      <c r="E84" t="s">
        <v>4167</v>
      </c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30" x14ac:dyDescent="0.25">
      <c r="A85" t="s">
        <v>4277</v>
      </c>
      <c r="B85">
        <v>138738</v>
      </c>
      <c r="C85"/>
      <c r="D85" t="s">
        <v>227</v>
      </c>
      <c r="E85">
        <v>3090</v>
      </c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30" x14ac:dyDescent="0.25">
      <c r="A86" t="s">
        <v>4277</v>
      </c>
      <c r="B86">
        <v>138739</v>
      </c>
      <c r="C86"/>
      <c r="D86" t="s">
        <v>230</v>
      </c>
      <c r="E86">
        <v>10790</v>
      </c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 t="s">
        <v>4277</v>
      </c>
      <c r="B87">
        <v>138740</v>
      </c>
      <c r="C87"/>
      <c r="D87"/>
      <c r="E87" t="s">
        <v>4167</v>
      </c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30" x14ac:dyDescent="0.25">
      <c r="A88" t="s">
        <v>4277</v>
      </c>
      <c r="B88">
        <v>138741</v>
      </c>
      <c r="C88"/>
      <c r="D88" t="s">
        <v>235</v>
      </c>
      <c r="E88">
        <v>30590</v>
      </c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 t="s">
        <v>4277</v>
      </c>
      <c r="B89">
        <v>138742</v>
      </c>
      <c r="C89"/>
      <c r="D89"/>
      <c r="E89" t="s">
        <v>4167</v>
      </c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 t="s">
        <v>4277</v>
      </c>
      <c r="B90">
        <v>138743</v>
      </c>
      <c r="C90"/>
      <c r="D90"/>
      <c r="E90" t="s">
        <v>4167</v>
      </c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 t="s">
        <v>4277</v>
      </c>
      <c r="B91">
        <v>138744</v>
      </c>
      <c r="C91"/>
      <c r="D91"/>
      <c r="E91" t="s">
        <v>4167</v>
      </c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 t="s">
        <v>4277</v>
      </c>
      <c r="B92">
        <v>138745</v>
      </c>
      <c r="C92"/>
      <c r="D92"/>
      <c r="E92" t="s">
        <v>4167</v>
      </c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30" x14ac:dyDescent="0.25">
      <c r="A93" t="s">
        <v>4277</v>
      </c>
      <c r="B93">
        <v>138746</v>
      </c>
      <c r="C93"/>
      <c r="D93" t="s">
        <v>250</v>
      </c>
      <c r="E93">
        <v>30590</v>
      </c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 t="s">
        <v>4277</v>
      </c>
      <c r="B94">
        <v>138747</v>
      </c>
      <c r="C94"/>
      <c r="D94"/>
      <c r="E94" t="s">
        <v>4167</v>
      </c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30" x14ac:dyDescent="0.25">
      <c r="A95" t="s">
        <v>4277</v>
      </c>
      <c r="B95">
        <v>138748</v>
      </c>
      <c r="C95"/>
      <c r="D95" t="s">
        <v>256</v>
      </c>
      <c r="E95">
        <v>11390</v>
      </c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30" x14ac:dyDescent="0.25">
      <c r="A96" t="s">
        <v>4277</v>
      </c>
      <c r="B96">
        <v>138749</v>
      </c>
      <c r="C96"/>
      <c r="D96" t="s">
        <v>259</v>
      </c>
      <c r="E96">
        <v>17690</v>
      </c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30" x14ac:dyDescent="0.25">
      <c r="A97" t="s">
        <v>4277</v>
      </c>
      <c r="B97">
        <v>138750</v>
      </c>
      <c r="C97"/>
      <c r="D97" t="s">
        <v>262</v>
      </c>
      <c r="E97">
        <v>17690</v>
      </c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 t="s">
        <v>4277</v>
      </c>
      <c r="B98">
        <v>138838</v>
      </c>
      <c r="C98"/>
      <c r="D98" t="s">
        <v>264</v>
      </c>
      <c r="E98">
        <v>990</v>
      </c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30" x14ac:dyDescent="0.25">
      <c r="A99" t="s">
        <v>4277</v>
      </c>
      <c r="B99">
        <v>139262</v>
      </c>
      <c r="C99"/>
      <c r="D99" t="s">
        <v>267</v>
      </c>
      <c r="E99">
        <v>990</v>
      </c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30" x14ac:dyDescent="0.25">
      <c r="A100" t="s">
        <v>4277</v>
      </c>
      <c r="B100">
        <v>139619</v>
      </c>
      <c r="C100"/>
      <c r="D100" t="s">
        <v>271</v>
      </c>
      <c r="E100">
        <v>1290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 t="s">
        <v>4277</v>
      </c>
      <c r="B101">
        <v>142251</v>
      </c>
      <c r="C101"/>
      <c r="D101"/>
      <c r="E101" t="s">
        <v>4167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 t="s">
        <v>4277</v>
      </c>
      <c r="B102">
        <v>142253</v>
      </c>
      <c r="C102"/>
      <c r="D102"/>
      <c r="E102" t="s">
        <v>4167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 t="s">
        <v>4277</v>
      </c>
      <c r="B103">
        <v>142285</v>
      </c>
      <c r="C103"/>
      <c r="D103"/>
      <c r="E103" t="s">
        <v>4167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 t="s">
        <v>4277</v>
      </c>
      <c r="B104">
        <v>142289</v>
      </c>
      <c r="C104"/>
      <c r="D104"/>
      <c r="E104" t="s">
        <v>4167</v>
      </c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 t="s">
        <v>4277</v>
      </c>
      <c r="B105">
        <v>145010</v>
      </c>
      <c r="C105"/>
      <c r="D105"/>
      <c r="E105" t="s">
        <v>4167</v>
      </c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 t="s">
        <v>4277</v>
      </c>
      <c r="B106">
        <v>145011</v>
      </c>
      <c r="C106"/>
      <c r="D106"/>
      <c r="E106" t="s">
        <v>4167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 t="s">
        <v>4277</v>
      </c>
      <c r="B107">
        <v>145012</v>
      </c>
      <c r="C107"/>
      <c r="D107"/>
      <c r="E107" t="s">
        <v>4167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 t="s">
        <v>4277</v>
      </c>
      <c r="B108">
        <v>145013</v>
      </c>
      <c r="C108"/>
      <c r="D108" t="s">
        <v>290</v>
      </c>
      <c r="E108">
        <v>1890</v>
      </c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 t="s">
        <v>4277</v>
      </c>
      <c r="B109">
        <v>145014</v>
      </c>
      <c r="C109"/>
      <c r="D109"/>
      <c r="E109" t="s">
        <v>4167</v>
      </c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 t="s">
        <v>4277</v>
      </c>
      <c r="B110">
        <v>145015</v>
      </c>
      <c r="C110"/>
      <c r="D110" t="s">
        <v>297</v>
      </c>
      <c r="E110">
        <v>1890</v>
      </c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 t="s">
        <v>4277</v>
      </c>
      <c r="B111">
        <v>145016</v>
      </c>
      <c r="C111"/>
      <c r="D111"/>
      <c r="E111" t="s">
        <v>4167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30" x14ac:dyDescent="0.25">
      <c r="A112" t="s">
        <v>4277</v>
      </c>
      <c r="B112">
        <v>145017</v>
      </c>
      <c r="C112"/>
      <c r="D112" t="s">
        <v>302</v>
      </c>
      <c r="E112">
        <v>2590</v>
      </c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 t="s">
        <v>4277</v>
      </c>
      <c r="B113">
        <v>145018</v>
      </c>
      <c r="C113"/>
      <c r="D113"/>
      <c r="E113" t="s">
        <v>4167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ht="30" x14ac:dyDescent="0.25">
      <c r="A114" t="s">
        <v>4277</v>
      </c>
      <c r="B114">
        <v>145019</v>
      </c>
      <c r="C114"/>
      <c r="D114" t="s">
        <v>307</v>
      </c>
      <c r="E114">
        <v>1390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ht="30" x14ac:dyDescent="0.25">
      <c r="A115" t="s">
        <v>4277</v>
      </c>
      <c r="B115">
        <v>145020</v>
      </c>
      <c r="C115"/>
      <c r="D115" t="s">
        <v>310</v>
      </c>
      <c r="E115">
        <v>2390</v>
      </c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ht="30" x14ac:dyDescent="0.25">
      <c r="A116" t="s">
        <v>4277</v>
      </c>
      <c r="B116">
        <v>145021</v>
      </c>
      <c r="C116"/>
      <c r="D116" t="s">
        <v>313</v>
      </c>
      <c r="E116">
        <v>1390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 t="s">
        <v>4277</v>
      </c>
      <c r="B117">
        <v>145022</v>
      </c>
      <c r="C117"/>
      <c r="D117" t="s">
        <v>316</v>
      </c>
      <c r="E117">
        <v>3990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ht="30" x14ac:dyDescent="0.25">
      <c r="A118" t="s">
        <v>4277</v>
      </c>
      <c r="B118">
        <v>145023</v>
      </c>
      <c r="C118"/>
      <c r="D118" t="s">
        <v>319</v>
      </c>
      <c r="E118">
        <v>3990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 t="s">
        <v>4277</v>
      </c>
      <c r="B119">
        <v>145024</v>
      </c>
      <c r="C119"/>
      <c r="D119" t="s">
        <v>322</v>
      </c>
      <c r="E119">
        <v>290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 t="s">
        <v>4277</v>
      </c>
      <c r="B120">
        <v>145025</v>
      </c>
      <c r="C120"/>
      <c r="D120" t="s">
        <v>325</v>
      </c>
      <c r="E120">
        <v>249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ht="30" x14ac:dyDescent="0.25">
      <c r="A121" t="s">
        <v>4277</v>
      </c>
      <c r="B121">
        <v>145026</v>
      </c>
      <c r="C121"/>
      <c r="D121" t="s">
        <v>328</v>
      </c>
      <c r="E121">
        <v>529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 t="s">
        <v>4277</v>
      </c>
      <c r="B122">
        <v>145027</v>
      </c>
      <c r="C122"/>
      <c r="D122" t="s">
        <v>331</v>
      </c>
      <c r="E122">
        <v>249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ht="30" x14ac:dyDescent="0.25">
      <c r="A123" t="s">
        <v>4277</v>
      </c>
      <c r="B123">
        <v>145028</v>
      </c>
      <c r="C123"/>
      <c r="D123" t="s">
        <v>334</v>
      </c>
      <c r="E123">
        <v>529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ht="30" x14ac:dyDescent="0.25">
      <c r="A124" t="s">
        <v>4277</v>
      </c>
      <c r="B124">
        <v>145029</v>
      </c>
      <c r="C124"/>
      <c r="D124" t="s">
        <v>337</v>
      </c>
      <c r="E124">
        <v>4590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 t="s">
        <v>4277</v>
      </c>
      <c r="B125">
        <v>145030</v>
      </c>
      <c r="C125"/>
      <c r="D125" t="s">
        <v>340</v>
      </c>
      <c r="E125">
        <v>2290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ht="30" x14ac:dyDescent="0.25">
      <c r="A126" t="s">
        <v>4277</v>
      </c>
      <c r="B126">
        <v>145031</v>
      </c>
      <c r="C126"/>
      <c r="D126" t="s">
        <v>343</v>
      </c>
      <c r="E126">
        <v>2690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ht="30" x14ac:dyDescent="0.25">
      <c r="A127" t="s">
        <v>4277</v>
      </c>
      <c r="B127">
        <v>145032</v>
      </c>
      <c r="C127"/>
      <c r="D127" t="s">
        <v>346</v>
      </c>
      <c r="E127">
        <v>4590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 t="s">
        <v>4277</v>
      </c>
      <c r="B128">
        <v>152866</v>
      </c>
      <c r="C128"/>
      <c r="D128"/>
      <c r="E128" t="s">
        <v>4167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 t="s">
        <v>4277</v>
      </c>
      <c r="B129">
        <v>155727</v>
      </c>
      <c r="C129"/>
      <c r="D129"/>
      <c r="E129" t="s">
        <v>4167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ht="30" x14ac:dyDescent="0.25">
      <c r="A130" t="s">
        <v>4277</v>
      </c>
      <c r="B130">
        <v>155729</v>
      </c>
      <c r="C130"/>
      <c r="D130" t="s">
        <v>353</v>
      </c>
      <c r="E130">
        <v>7490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ht="30" x14ac:dyDescent="0.25">
      <c r="A131" t="s">
        <v>4277</v>
      </c>
      <c r="B131">
        <v>155730</v>
      </c>
      <c r="C131"/>
      <c r="D131" t="s">
        <v>356</v>
      </c>
      <c r="E131">
        <v>7390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 t="s">
        <v>4277</v>
      </c>
      <c r="B132">
        <v>160331</v>
      </c>
      <c r="C132" t="s">
        <v>4170</v>
      </c>
      <c r="D132"/>
      <c r="E132" t="s">
        <v>4167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 t="s">
        <v>4277</v>
      </c>
      <c r="B133">
        <v>160632</v>
      </c>
      <c r="C133"/>
      <c r="D133"/>
      <c r="E133" t="s">
        <v>4167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 t="s">
        <v>4277</v>
      </c>
      <c r="B134">
        <v>160633</v>
      </c>
      <c r="C134"/>
      <c r="D134"/>
      <c r="E134" t="s">
        <v>4167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 t="s">
        <v>4277</v>
      </c>
      <c r="B135">
        <v>160634</v>
      </c>
      <c r="C135"/>
      <c r="D135"/>
      <c r="E135" t="s">
        <v>4167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 t="s">
        <v>4277</v>
      </c>
      <c r="B136">
        <v>160635</v>
      </c>
      <c r="C136"/>
      <c r="D136"/>
      <c r="E136" t="s">
        <v>4167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 t="s">
        <v>4277</v>
      </c>
      <c r="B137">
        <v>160636</v>
      </c>
      <c r="C137"/>
      <c r="D137"/>
      <c r="E137" t="s">
        <v>4167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 t="s">
        <v>4277</v>
      </c>
      <c r="B138">
        <v>160637</v>
      </c>
      <c r="C138"/>
      <c r="D138"/>
      <c r="E138" t="s">
        <v>4167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 t="s">
        <v>4277</v>
      </c>
      <c r="B139">
        <v>160638</v>
      </c>
      <c r="C139"/>
      <c r="D139"/>
      <c r="E139" t="s">
        <v>4167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 t="s">
        <v>4277</v>
      </c>
      <c r="B140">
        <v>160649</v>
      </c>
      <c r="C140"/>
      <c r="D140"/>
      <c r="E140" t="s">
        <v>4167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 t="s">
        <v>4277</v>
      </c>
      <c r="B141">
        <v>160650</v>
      </c>
      <c r="C141"/>
      <c r="D141"/>
      <c r="E141" t="s">
        <v>4167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ht="30" x14ac:dyDescent="0.25">
      <c r="A142" t="s">
        <v>4277</v>
      </c>
      <c r="B142">
        <v>160678</v>
      </c>
      <c r="C142"/>
      <c r="D142" t="s">
        <v>383</v>
      </c>
      <c r="E142">
        <v>629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 t="s">
        <v>4277</v>
      </c>
      <c r="B143">
        <v>160695</v>
      </c>
      <c r="C143"/>
      <c r="D143"/>
      <c r="E143" t="s">
        <v>4167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 t="s">
        <v>4277</v>
      </c>
      <c r="B144">
        <v>160696</v>
      </c>
      <c r="C144"/>
      <c r="D144"/>
      <c r="E144" t="s">
        <v>4167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 t="s">
        <v>4277</v>
      </c>
      <c r="B145">
        <v>160704</v>
      </c>
      <c r="C145"/>
      <c r="D145"/>
      <c r="E145" t="s">
        <v>4167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 t="s">
        <v>4277</v>
      </c>
      <c r="B146">
        <v>160705</v>
      </c>
      <c r="C146"/>
      <c r="D146"/>
      <c r="E146" t="s">
        <v>4167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 t="s">
        <v>4277</v>
      </c>
      <c r="B147">
        <v>160706</v>
      </c>
      <c r="C147"/>
      <c r="D147"/>
      <c r="E147" t="s">
        <v>4167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ht="30" x14ac:dyDescent="0.25">
      <c r="A148" t="s">
        <v>4277</v>
      </c>
      <c r="B148">
        <v>160708</v>
      </c>
      <c r="C148"/>
      <c r="D148" t="s">
        <v>398</v>
      </c>
      <c r="E148">
        <v>490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 t="s">
        <v>4277</v>
      </c>
      <c r="B149">
        <v>160721</v>
      </c>
      <c r="C149"/>
      <c r="D149"/>
      <c r="E149" t="s">
        <v>4167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 t="s">
        <v>4277</v>
      </c>
      <c r="B150">
        <v>160724</v>
      </c>
      <c r="C150"/>
      <c r="D150"/>
      <c r="E150" t="s">
        <v>4167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 t="s">
        <v>4277</v>
      </c>
      <c r="B151">
        <v>160725</v>
      </c>
      <c r="C151"/>
      <c r="D151"/>
      <c r="E151" t="s">
        <v>4167</v>
      </c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 t="s">
        <v>4277</v>
      </c>
      <c r="B152">
        <v>160728</v>
      </c>
      <c r="C152"/>
      <c r="D152"/>
      <c r="E152" t="s">
        <v>4167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 t="s">
        <v>4277</v>
      </c>
      <c r="B153">
        <v>160754</v>
      </c>
      <c r="C153"/>
      <c r="D153"/>
      <c r="E153" t="s">
        <v>4167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 t="s">
        <v>4277</v>
      </c>
      <c r="B154">
        <v>160783</v>
      </c>
      <c r="C154"/>
      <c r="D154"/>
      <c r="E154" t="s">
        <v>4167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ht="30" x14ac:dyDescent="0.25">
      <c r="A155" t="s">
        <v>4277</v>
      </c>
      <c r="B155">
        <v>160894</v>
      </c>
      <c r="C155" t="s">
        <v>4193</v>
      </c>
      <c r="D155" t="s">
        <v>4192</v>
      </c>
      <c r="E155">
        <v>13490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 t="s">
        <v>4277</v>
      </c>
      <c r="B156">
        <v>160895</v>
      </c>
      <c r="C156">
        <v>5990</v>
      </c>
      <c r="D156" t="s">
        <v>4175</v>
      </c>
      <c r="E156">
        <v>5990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ht="30" x14ac:dyDescent="0.25">
      <c r="A157" t="s">
        <v>4277</v>
      </c>
      <c r="B157">
        <v>160896</v>
      </c>
      <c r="C157" t="s">
        <v>4177</v>
      </c>
      <c r="D157" t="s">
        <v>4176</v>
      </c>
      <c r="E157">
        <v>13990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ht="30" x14ac:dyDescent="0.25">
      <c r="A158" t="s">
        <v>4277</v>
      </c>
      <c r="B158">
        <v>160897</v>
      </c>
      <c r="C158">
        <v>15590</v>
      </c>
      <c r="D158" t="s">
        <v>4178</v>
      </c>
      <c r="E158">
        <v>15590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ht="30" x14ac:dyDescent="0.25">
      <c r="A159" t="s">
        <v>4277</v>
      </c>
      <c r="B159">
        <v>160900</v>
      </c>
      <c r="C159">
        <v>19990</v>
      </c>
      <c r="D159" t="s">
        <v>4188</v>
      </c>
      <c r="E159">
        <v>19990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ht="30" x14ac:dyDescent="0.25">
      <c r="A160" t="s">
        <v>4277</v>
      </c>
      <c r="B160">
        <v>160899</v>
      </c>
      <c r="C160">
        <v>19590</v>
      </c>
      <c r="D160" t="s">
        <v>4183</v>
      </c>
      <c r="E160">
        <v>19590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 t="s">
        <v>4277</v>
      </c>
      <c r="B161">
        <v>160901</v>
      </c>
      <c r="C161">
        <v>13990</v>
      </c>
      <c r="D161" t="s">
        <v>4180</v>
      </c>
      <c r="E161">
        <v>13990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ht="30" x14ac:dyDescent="0.25">
      <c r="A162" t="s">
        <v>4277</v>
      </c>
      <c r="B162">
        <v>160902</v>
      </c>
      <c r="C162">
        <v>12990</v>
      </c>
      <c r="D162" t="s">
        <v>4194</v>
      </c>
      <c r="E162">
        <v>12990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ht="30" x14ac:dyDescent="0.25">
      <c r="A163" t="s">
        <v>4277</v>
      </c>
      <c r="B163">
        <v>160898</v>
      </c>
      <c r="C163">
        <v>14390</v>
      </c>
      <c r="D163" t="s">
        <v>4179</v>
      </c>
      <c r="E163">
        <v>14390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 t="s">
        <v>4277</v>
      </c>
      <c r="B164">
        <v>160903</v>
      </c>
      <c r="C164">
        <v>14890</v>
      </c>
      <c r="D164" t="s">
        <v>4202</v>
      </c>
      <c r="E164">
        <v>14890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ht="30" x14ac:dyDescent="0.25">
      <c r="A165" t="s">
        <v>4277</v>
      </c>
      <c r="B165">
        <v>160904</v>
      </c>
      <c r="C165">
        <v>18790</v>
      </c>
      <c r="D165" t="s">
        <v>4173</v>
      </c>
      <c r="E165">
        <v>18790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ht="30" x14ac:dyDescent="0.25">
      <c r="A166" t="s">
        <v>4277</v>
      </c>
      <c r="B166">
        <v>160905</v>
      </c>
      <c r="C166" t="s">
        <v>4198</v>
      </c>
      <c r="D166" t="s">
        <v>4197</v>
      </c>
      <c r="E166">
        <v>16590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 t="s">
        <v>4277</v>
      </c>
      <c r="B167">
        <v>160906</v>
      </c>
      <c r="C167">
        <v>15490</v>
      </c>
      <c r="D167" t="s">
        <v>4199</v>
      </c>
      <c r="E167">
        <v>15490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 t="s">
        <v>4277</v>
      </c>
      <c r="B168">
        <v>160907</v>
      </c>
      <c r="C168">
        <v>14590</v>
      </c>
      <c r="D168" t="s">
        <v>4182</v>
      </c>
      <c r="E168">
        <v>14590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 t="s">
        <v>4277</v>
      </c>
      <c r="B169">
        <v>160908</v>
      </c>
      <c r="C169">
        <v>5990</v>
      </c>
      <c r="D169" t="s">
        <v>4181</v>
      </c>
      <c r="E169">
        <v>5990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ht="30" x14ac:dyDescent="0.25">
      <c r="A170" t="s">
        <v>4277</v>
      </c>
      <c r="B170">
        <v>160909</v>
      </c>
      <c r="C170">
        <v>15390</v>
      </c>
      <c r="D170" t="s">
        <v>4203</v>
      </c>
      <c r="E170">
        <v>15390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ht="30" x14ac:dyDescent="0.25">
      <c r="A171" t="s">
        <v>4277</v>
      </c>
      <c r="B171">
        <v>160910</v>
      </c>
      <c r="C171">
        <v>15590</v>
      </c>
      <c r="D171" t="s">
        <v>4204</v>
      </c>
      <c r="E171">
        <v>15590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 t="s">
        <v>4277</v>
      </c>
      <c r="B172">
        <v>160911</v>
      </c>
      <c r="C172">
        <v>12490</v>
      </c>
      <c r="D172" t="s">
        <v>4185</v>
      </c>
      <c r="E172">
        <v>12490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ht="30" x14ac:dyDescent="0.25">
      <c r="A173" t="s">
        <v>4277</v>
      </c>
      <c r="B173">
        <v>160912</v>
      </c>
      <c r="C173">
        <v>12790</v>
      </c>
      <c r="D173" t="s">
        <v>4195</v>
      </c>
      <c r="E173">
        <v>12790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ht="30" x14ac:dyDescent="0.25">
      <c r="A174" t="s">
        <v>4277</v>
      </c>
      <c r="B174">
        <v>160913</v>
      </c>
      <c r="C174">
        <v>13190</v>
      </c>
      <c r="D174" t="s">
        <v>4196</v>
      </c>
      <c r="E174">
        <v>13190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 t="s">
        <v>4277</v>
      </c>
      <c r="B175">
        <v>160914</v>
      </c>
      <c r="C175">
        <v>15990</v>
      </c>
      <c r="D175" t="s">
        <v>4201</v>
      </c>
      <c r="E175">
        <v>15990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ht="30" x14ac:dyDescent="0.25">
      <c r="A176" t="s">
        <v>4277</v>
      </c>
      <c r="B176">
        <v>160915</v>
      </c>
      <c r="C176">
        <v>15890</v>
      </c>
      <c r="D176" t="s">
        <v>4186</v>
      </c>
      <c r="E176">
        <v>15890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ht="30" x14ac:dyDescent="0.25">
      <c r="A177" t="s">
        <v>4277</v>
      </c>
      <c r="B177">
        <v>160917</v>
      </c>
      <c r="C177">
        <v>19290</v>
      </c>
      <c r="D177" t="s">
        <v>4184</v>
      </c>
      <c r="E177">
        <v>19290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ht="30" x14ac:dyDescent="0.25">
      <c r="A178" t="s">
        <v>4277</v>
      </c>
      <c r="B178">
        <v>160916</v>
      </c>
      <c r="C178">
        <v>15990</v>
      </c>
      <c r="D178" t="s">
        <v>4187</v>
      </c>
      <c r="E178">
        <v>15990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ht="30" x14ac:dyDescent="0.25">
      <c r="A179" t="s">
        <v>4277</v>
      </c>
      <c r="B179">
        <v>160918</v>
      </c>
      <c r="C179">
        <v>15890</v>
      </c>
      <c r="D179" t="s">
        <v>4186</v>
      </c>
      <c r="E179">
        <v>15890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 t="s">
        <v>4277</v>
      </c>
      <c r="B180">
        <v>160919</v>
      </c>
      <c r="C180">
        <v>19190</v>
      </c>
      <c r="D180" t="s">
        <v>4200</v>
      </c>
      <c r="E180">
        <v>19190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 t="s">
        <v>4277</v>
      </c>
      <c r="B181">
        <v>160922</v>
      </c>
      <c r="C181"/>
      <c r="D181"/>
      <c r="E181" t="s">
        <v>4167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ht="30" x14ac:dyDescent="0.25">
      <c r="A182" t="s">
        <v>4277</v>
      </c>
      <c r="B182">
        <v>160923</v>
      </c>
      <c r="C182">
        <v>11590</v>
      </c>
      <c r="D182" t="s">
        <v>4174</v>
      </c>
      <c r="E182">
        <v>11590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 t="s">
        <v>4277</v>
      </c>
      <c r="B183">
        <v>160925</v>
      </c>
      <c r="C183"/>
      <c r="D183"/>
      <c r="E183" t="s">
        <v>4167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ht="30" x14ac:dyDescent="0.25">
      <c r="A184" t="s">
        <v>4277</v>
      </c>
      <c r="B184">
        <v>160926</v>
      </c>
      <c r="C184">
        <v>13190</v>
      </c>
      <c r="D184" t="s">
        <v>4191</v>
      </c>
      <c r="E184">
        <v>13190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ht="30" x14ac:dyDescent="0.25">
      <c r="A185" t="s">
        <v>4277</v>
      </c>
      <c r="B185">
        <v>161096</v>
      </c>
      <c r="C185">
        <v>2690</v>
      </c>
      <c r="D185" t="s">
        <v>4189</v>
      </c>
      <c r="E185">
        <v>2690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ht="30" x14ac:dyDescent="0.25">
      <c r="A186" t="s">
        <v>4277</v>
      </c>
      <c r="B186">
        <v>161128</v>
      </c>
      <c r="C186">
        <v>2690</v>
      </c>
      <c r="D186" t="s">
        <v>4190</v>
      </c>
      <c r="E186">
        <v>2690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 t="s">
        <v>4277</v>
      </c>
      <c r="B187">
        <v>162327</v>
      </c>
      <c r="C187" t="s">
        <v>4170</v>
      </c>
      <c r="D187"/>
      <c r="E187" t="s">
        <v>4167</v>
      </c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ht="30" x14ac:dyDescent="0.25">
      <c r="A188" t="s">
        <v>4277</v>
      </c>
      <c r="B188">
        <v>162914</v>
      </c>
      <c r="C188"/>
      <c r="D188" t="s">
        <v>506</v>
      </c>
      <c r="E188">
        <v>269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ht="30" x14ac:dyDescent="0.25">
      <c r="A189" t="s">
        <v>4277</v>
      </c>
      <c r="B189">
        <v>214050</v>
      </c>
      <c r="C189">
        <v>199</v>
      </c>
      <c r="D189" t="s">
        <v>4227</v>
      </c>
      <c r="E189">
        <v>199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ht="30" x14ac:dyDescent="0.25">
      <c r="A190" t="s">
        <v>4277</v>
      </c>
      <c r="B190">
        <v>162917</v>
      </c>
      <c r="C190">
        <v>269</v>
      </c>
      <c r="D190" t="s">
        <v>506</v>
      </c>
      <c r="E190">
        <v>269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 t="s">
        <v>4277</v>
      </c>
      <c r="B191">
        <v>163474</v>
      </c>
      <c r="C191"/>
      <c r="D191"/>
      <c r="E191" t="s">
        <v>4167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 t="s">
        <v>4277</v>
      </c>
      <c r="B192">
        <v>163475</v>
      </c>
      <c r="C192"/>
      <c r="D192"/>
      <c r="E192" t="s">
        <v>4167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 t="s">
        <v>4277</v>
      </c>
      <c r="B193">
        <v>163476</v>
      </c>
      <c r="C193"/>
      <c r="D193"/>
      <c r="E193" t="s">
        <v>4167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 t="s">
        <v>4277</v>
      </c>
      <c r="B194">
        <v>163477</v>
      </c>
      <c r="C194"/>
      <c r="D194"/>
      <c r="E194" t="s">
        <v>4167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 t="s">
        <v>4277</v>
      </c>
      <c r="B195">
        <v>163478</v>
      </c>
      <c r="C195"/>
      <c r="D195"/>
      <c r="E195" t="s">
        <v>4167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 t="s">
        <v>4277</v>
      </c>
      <c r="B196">
        <v>363635</v>
      </c>
      <c r="C196"/>
      <c r="D196"/>
      <c r="E196" t="s">
        <v>4167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 t="s">
        <v>4277</v>
      </c>
      <c r="B197">
        <v>163479</v>
      </c>
      <c r="C197"/>
      <c r="D197"/>
      <c r="E197" t="s">
        <v>4167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ht="30" x14ac:dyDescent="0.25">
      <c r="A198" t="s">
        <v>4277</v>
      </c>
      <c r="B198">
        <v>163480</v>
      </c>
      <c r="C198"/>
      <c r="D198" t="s">
        <v>528</v>
      </c>
      <c r="E198">
        <v>22490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ht="30" x14ac:dyDescent="0.25">
      <c r="A199" t="s">
        <v>4277</v>
      </c>
      <c r="B199">
        <v>163481</v>
      </c>
      <c r="C199"/>
      <c r="D199" t="s">
        <v>531</v>
      </c>
      <c r="E199">
        <v>7190</v>
      </c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 t="s">
        <v>4277</v>
      </c>
      <c r="B200">
        <v>163482</v>
      </c>
      <c r="C200"/>
      <c r="D200"/>
      <c r="E200" t="s">
        <v>4167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 t="s">
        <v>4277</v>
      </c>
      <c r="B201">
        <v>163483</v>
      </c>
      <c r="C201"/>
      <c r="D201"/>
      <c r="E201" t="s">
        <v>4167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 t="s">
        <v>4277</v>
      </c>
      <c r="B202">
        <v>163484</v>
      </c>
      <c r="C202"/>
      <c r="D202"/>
      <c r="E202" t="s">
        <v>4167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ht="30" x14ac:dyDescent="0.25">
      <c r="A203" t="s">
        <v>4277</v>
      </c>
      <c r="B203">
        <v>163485</v>
      </c>
      <c r="C203">
        <v>4790</v>
      </c>
      <c r="D203" t="s">
        <v>4254</v>
      </c>
      <c r="E203">
        <v>4790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 t="s">
        <v>4277</v>
      </c>
      <c r="B204">
        <v>163486</v>
      </c>
      <c r="C204"/>
      <c r="D204"/>
      <c r="E204" t="s">
        <v>4167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ht="30" x14ac:dyDescent="0.25">
      <c r="A205" t="s">
        <v>4277</v>
      </c>
      <c r="B205">
        <v>163487</v>
      </c>
      <c r="C205"/>
      <c r="D205" t="s">
        <v>546</v>
      </c>
      <c r="E205">
        <v>11890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ht="30" x14ac:dyDescent="0.25">
      <c r="A206" t="s">
        <v>4277</v>
      </c>
      <c r="B206">
        <v>163488</v>
      </c>
      <c r="C206"/>
      <c r="D206" t="s">
        <v>549</v>
      </c>
      <c r="E206">
        <v>11390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ht="30" x14ac:dyDescent="0.25">
      <c r="A207" t="s">
        <v>4277</v>
      </c>
      <c r="B207">
        <v>163489</v>
      </c>
      <c r="C207"/>
      <c r="D207" t="s">
        <v>552</v>
      </c>
      <c r="E207">
        <v>8890</v>
      </c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ht="30" x14ac:dyDescent="0.25">
      <c r="A208" t="s">
        <v>4277</v>
      </c>
      <c r="B208">
        <v>163490</v>
      </c>
      <c r="C208"/>
      <c r="D208" t="s">
        <v>555</v>
      </c>
      <c r="E208">
        <v>24190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ht="30" x14ac:dyDescent="0.25">
      <c r="A209" t="s">
        <v>4277</v>
      </c>
      <c r="B209">
        <v>163491</v>
      </c>
      <c r="C209"/>
      <c r="D209" t="s">
        <v>558</v>
      </c>
      <c r="E209">
        <v>5090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ht="30" x14ac:dyDescent="0.25">
      <c r="A210" t="s">
        <v>4277</v>
      </c>
      <c r="B210">
        <v>163492</v>
      </c>
      <c r="C210"/>
      <c r="D210" t="s">
        <v>561</v>
      </c>
      <c r="E210">
        <v>10390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ht="30" x14ac:dyDescent="0.25">
      <c r="A211" t="s">
        <v>4277</v>
      </c>
      <c r="B211">
        <v>163493</v>
      </c>
      <c r="C211"/>
      <c r="D211" t="s">
        <v>564</v>
      </c>
      <c r="E211">
        <v>17990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ht="30" x14ac:dyDescent="0.25">
      <c r="A212" t="s">
        <v>4277</v>
      </c>
      <c r="B212">
        <v>163494</v>
      </c>
      <c r="C212"/>
      <c r="D212" t="s">
        <v>567</v>
      </c>
      <c r="E212">
        <v>5090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 t="s">
        <v>4277</v>
      </c>
      <c r="B213">
        <v>163495</v>
      </c>
      <c r="C213"/>
      <c r="D213"/>
      <c r="E213" t="s">
        <v>4167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 t="s">
        <v>4277</v>
      </c>
      <c r="B214">
        <v>163496</v>
      </c>
      <c r="C214"/>
      <c r="D214"/>
      <c r="E214" t="s">
        <v>4167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 t="s">
        <v>4277</v>
      </c>
      <c r="B215">
        <v>163497</v>
      </c>
      <c r="C215"/>
      <c r="D215" t="s">
        <v>576</v>
      </c>
      <c r="E215">
        <v>2190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 t="s">
        <v>4277</v>
      </c>
      <c r="B216">
        <v>163498</v>
      </c>
      <c r="C216"/>
      <c r="D216"/>
      <c r="E216" t="s">
        <v>4167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ht="30" x14ac:dyDescent="0.25">
      <c r="A217" t="s">
        <v>4277</v>
      </c>
      <c r="B217">
        <v>163499</v>
      </c>
      <c r="C217"/>
      <c r="D217" t="s">
        <v>581</v>
      </c>
      <c r="E217">
        <v>390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 t="s">
        <v>4277</v>
      </c>
      <c r="B218">
        <v>163500</v>
      </c>
      <c r="C218"/>
      <c r="D218"/>
      <c r="E218" t="s">
        <v>4167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ht="30" x14ac:dyDescent="0.25">
      <c r="A219" t="s">
        <v>4277</v>
      </c>
      <c r="B219">
        <v>163501</v>
      </c>
      <c r="C219"/>
      <c r="D219" t="s">
        <v>586</v>
      </c>
      <c r="E219">
        <v>390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 t="s">
        <v>4277</v>
      </c>
      <c r="B220">
        <v>163502</v>
      </c>
      <c r="C220"/>
      <c r="D220"/>
      <c r="E220" t="s">
        <v>4167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 t="s">
        <v>4277</v>
      </c>
      <c r="B221">
        <v>163503</v>
      </c>
      <c r="C221"/>
      <c r="D221"/>
      <c r="E221" t="s">
        <v>4167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 t="s">
        <v>4277</v>
      </c>
      <c r="B222">
        <v>315545</v>
      </c>
      <c r="C222"/>
      <c r="D222"/>
      <c r="E222" t="s">
        <v>4167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 t="s">
        <v>4277</v>
      </c>
      <c r="B223">
        <v>163504</v>
      </c>
      <c r="C223"/>
      <c r="D223"/>
      <c r="E223" t="s">
        <v>4167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 t="s">
        <v>4277</v>
      </c>
      <c r="B224">
        <v>163505</v>
      </c>
      <c r="C224"/>
      <c r="D224"/>
      <c r="E224" t="s">
        <v>4167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 t="s">
        <v>4277</v>
      </c>
      <c r="B225">
        <v>163506</v>
      </c>
      <c r="C225"/>
      <c r="D225"/>
      <c r="E225" t="s">
        <v>4167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 t="s">
        <v>4277</v>
      </c>
      <c r="B226">
        <v>163507</v>
      </c>
      <c r="C226"/>
      <c r="D226"/>
      <c r="E226" t="s">
        <v>4167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ht="30" x14ac:dyDescent="0.25">
      <c r="A227" t="s">
        <v>4277</v>
      </c>
      <c r="B227">
        <v>163508</v>
      </c>
      <c r="C227"/>
      <c r="D227" t="s">
        <v>607</v>
      </c>
      <c r="E227">
        <v>1890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ht="30" x14ac:dyDescent="0.25">
      <c r="A228" t="s">
        <v>4277</v>
      </c>
      <c r="B228">
        <v>163509</v>
      </c>
      <c r="C228"/>
      <c r="D228" t="s">
        <v>611</v>
      </c>
      <c r="E228">
        <v>1390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ht="30" x14ac:dyDescent="0.25">
      <c r="A229" t="s">
        <v>4277</v>
      </c>
      <c r="B229">
        <v>163510</v>
      </c>
      <c r="C229"/>
      <c r="D229" t="s">
        <v>615</v>
      </c>
      <c r="E229">
        <v>1690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 t="s">
        <v>4277</v>
      </c>
      <c r="B230">
        <v>163511</v>
      </c>
      <c r="C230"/>
      <c r="D230" t="s">
        <v>619</v>
      </c>
      <c r="E230">
        <v>159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ht="30" x14ac:dyDescent="0.25">
      <c r="A231" t="s">
        <v>4277</v>
      </c>
      <c r="B231">
        <v>163512</v>
      </c>
      <c r="C231"/>
      <c r="D231" t="s">
        <v>623</v>
      </c>
      <c r="E231">
        <v>13190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 t="s">
        <v>4277</v>
      </c>
      <c r="B232">
        <v>163513</v>
      </c>
      <c r="C232"/>
      <c r="D232"/>
      <c r="E232" t="s">
        <v>4167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ht="30" x14ac:dyDescent="0.25">
      <c r="A233" t="s">
        <v>4277</v>
      </c>
      <c r="B233">
        <v>163514</v>
      </c>
      <c r="C233"/>
      <c r="D233" t="s">
        <v>630</v>
      </c>
      <c r="E233">
        <v>11890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 t="s">
        <v>4277</v>
      </c>
      <c r="B234">
        <v>163515</v>
      </c>
      <c r="C234"/>
      <c r="D234"/>
      <c r="E234" t="s">
        <v>4167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ht="30" x14ac:dyDescent="0.25">
      <c r="A235" t="s">
        <v>4277</v>
      </c>
      <c r="B235">
        <v>163516</v>
      </c>
      <c r="C235"/>
      <c r="D235" t="s">
        <v>636</v>
      </c>
      <c r="E235">
        <v>1190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 t="s">
        <v>4277</v>
      </c>
      <c r="B236">
        <v>163517</v>
      </c>
      <c r="C236"/>
      <c r="D236"/>
      <c r="E236" t="s">
        <v>4167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 t="s">
        <v>4277</v>
      </c>
      <c r="B237">
        <v>163518</v>
      </c>
      <c r="C237"/>
      <c r="D237"/>
      <c r="E237" t="s">
        <v>4167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 t="s">
        <v>4277</v>
      </c>
      <c r="B238">
        <v>163519</v>
      </c>
      <c r="C238"/>
      <c r="D238"/>
      <c r="E238" t="s">
        <v>4167</v>
      </c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ht="30" x14ac:dyDescent="0.25">
      <c r="A239" t="s">
        <v>4277</v>
      </c>
      <c r="B239">
        <v>163520</v>
      </c>
      <c r="C239"/>
      <c r="D239" t="s">
        <v>644</v>
      </c>
      <c r="E239">
        <v>2690</v>
      </c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ht="30" x14ac:dyDescent="0.25">
      <c r="A240" t="s">
        <v>4277</v>
      </c>
      <c r="B240">
        <v>163521</v>
      </c>
      <c r="C240"/>
      <c r="D240" t="s">
        <v>647</v>
      </c>
      <c r="E240">
        <v>690</v>
      </c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 t="s">
        <v>4277</v>
      </c>
      <c r="B241">
        <v>163522</v>
      </c>
      <c r="C241"/>
      <c r="D241"/>
      <c r="E241" t="s">
        <v>4167</v>
      </c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ht="30" x14ac:dyDescent="0.25">
      <c r="A242" t="s">
        <v>4277</v>
      </c>
      <c r="B242">
        <v>163523</v>
      </c>
      <c r="C242"/>
      <c r="D242" t="s">
        <v>652</v>
      </c>
      <c r="E242">
        <v>2390</v>
      </c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ht="30" x14ac:dyDescent="0.25">
      <c r="A243" t="s">
        <v>4277</v>
      </c>
      <c r="B243">
        <v>163524</v>
      </c>
      <c r="C243"/>
      <c r="D243" t="s">
        <v>655</v>
      </c>
      <c r="E243">
        <v>2690</v>
      </c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ht="30" x14ac:dyDescent="0.25">
      <c r="A244" t="s">
        <v>4277</v>
      </c>
      <c r="B244">
        <v>163525</v>
      </c>
      <c r="C244"/>
      <c r="D244" t="s">
        <v>658</v>
      </c>
      <c r="E244">
        <v>1390</v>
      </c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 t="s">
        <v>4277</v>
      </c>
      <c r="B245">
        <v>163526</v>
      </c>
      <c r="C245"/>
      <c r="D245"/>
      <c r="E245" t="s">
        <v>4167</v>
      </c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ht="30" x14ac:dyDescent="0.25">
      <c r="A246" t="s">
        <v>4277</v>
      </c>
      <c r="B246">
        <v>163527</v>
      </c>
      <c r="C246"/>
      <c r="D246" t="s">
        <v>663</v>
      </c>
      <c r="E246">
        <v>1990</v>
      </c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 t="s">
        <v>4277</v>
      </c>
      <c r="B247">
        <v>163528</v>
      </c>
      <c r="C247"/>
      <c r="D247" t="s">
        <v>666</v>
      </c>
      <c r="E247">
        <v>1790</v>
      </c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 t="s">
        <v>4277</v>
      </c>
      <c r="B248">
        <v>163529</v>
      </c>
      <c r="C248"/>
      <c r="D248" t="s">
        <v>669</v>
      </c>
      <c r="E248">
        <v>1890</v>
      </c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 t="s">
        <v>4277</v>
      </c>
      <c r="B249">
        <v>163530</v>
      </c>
      <c r="C249"/>
      <c r="D249"/>
      <c r="E249" t="s">
        <v>4167</v>
      </c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 t="s">
        <v>4277</v>
      </c>
      <c r="B250">
        <v>163531</v>
      </c>
      <c r="C250"/>
      <c r="D250"/>
      <c r="E250" t="s">
        <v>4167</v>
      </c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 t="s">
        <v>4277</v>
      </c>
      <c r="B251">
        <v>315561</v>
      </c>
      <c r="C251"/>
      <c r="D251"/>
      <c r="E251" t="s">
        <v>4167</v>
      </c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ht="30" x14ac:dyDescent="0.25">
      <c r="A252" t="s">
        <v>4277</v>
      </c>
      <c r="B252">
        <v>163532</v>
      </c>
      <c r="C252"/>
      <c r="D252" t="s">
        <v>677</v>
      </c>
      <c r="E252">
        <v>4790</v>
      </c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 t="s">
        <v>4277</v>
      </c>
      <c r="B253">
        <v>267660</v>
      </c>
      <c r="C253"/>
      <c r="D253"/>
      <c r="E253" t="s">
        <v>4167</v>
      </c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 t="s">
        <v>4277</v>
      </c>
      <c r="B254">
        <v>164803</v>
      </c>
      <c r="C254"/>
      <c r="D254"/>
      <c r="E254" t="s">
        <v>4167</v>
      </c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 t="s">
        <v>4277</v>
      </c>
      <c r="B255">
        <v>164804</v>
      </c>
      <c r="C255"/>
      <c r="D255" t="s">
        <v>684</v>
      </c>
      <c r="E255">
        <v>729</v>
      </c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 t="s">
        <v>4277</v>
      </c>
      <c r="B256">
        <v>164805</v>
      </c>
      <c r="C256"/>
      <c r="D256"/>
      <c r="E256" t="s">
        <v>4167</v>
      </c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 t="s">
        <v>4277</v>
      </c>
      <c r="B257">
        <v>164806</v>
      </c>
      <c r="C257"/>
      <c r="D257"/>
      <c r="E257" t="s">
        <v>4167</v>
      </c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 t="s">
        <v>4277</v>
      </c>
      <c r="B258">
        <v>165357</v>
      </c>
      <c r="C258"/>
      <c r="D258"/>
      <c r="E258" t="s">
        <v>4167</v>
      </c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 t="s">
        <v>4277</v>
      </c>
      <c r="B259">
        <v>165359</v>
      </c>
      <c r="C259"/>
      <c r="D259"/>
      <c r="E259" t="s">
        <v>4167</v>
      </c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 t="s">
        <v>4277</v>
      </c>
      <c r="B260">
        <v>165360</v>
      </c>
      <c r="C260"/>
      <c r="D260"/>
      <c r="E260" t="s">
        <v>4167</v>
      </c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 t="s">
        <v>4277</v>
      </c>
      <c r="B261">
        <v>165361</v>
      </c>
      <c r="C261"/>
      <c r="D261"/>
      <c r="E261" t="s">
        <v>4167</v>
      </c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 t="s">
        <v>4277</v>
      </c>
      <c r="B262">
        <v>165362</v>
      </c>
      <c r="C262"/>
      <c r="D262"/>
      <c r="E262" t="s">
        <v>4167</v>
      </c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 t="s">
        <v>4277</v>
      </c>
      <c r="B263">
        <v>165363</v>
      </c>
      <c r="C263"/>
      <c r="D263"/>
      <c r="E263" t="s">
        <v>4167</v>
      </c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 t="s">
        <v>4277</v>
      </c>
      <c r="B264">
        <v>165364</v>
      </c>
      <c r="C264"/>
      <c r="D264"/>
      <c r="E264" t="s">
        <v>4167</v>
      </c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 t="s">
        <v>4277</v>
      </c>
      <c r="B265">
        <v>165365</v>
      </c>
      <c r="C265"/>
      <c r="D265"/>
      <c r="E265" t="s">
        <v>4167</v>
      </c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 t="s">
        <v>4277</v>
      </c>
      <c r="B266">
        <v>165366</v>
      </c>
      <c r="C266"/>
      <c r="D266"/>
      <c r="E266" t="s">
        <v>4167</v>
      </c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ht="30" x14ac:dyDescent="0.25">
      <c r="A267" t="s">
        <v>4277</v>
      </c>
      <c r="B267">
        <v>165368</v>
      </c>
      <c r="C267"/>
      <c r="D267" t="s">
        <v>711</v>
      </c>
      <c r="E267">
        <v>1690</v>
      </c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ht="30" x14ac:dyDescent="0.25">
      <c r="A268" t="s">
        <v>4277</v>
      </c>
      <c r="B268">
        <v>165369</v>
      </c>
      <c r="C268"/>
      <c r="D268" t="s">
        <v>714</v>
      </c>
      <c r="E268">
        <v>590</v>
      </c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ht="30" x14ac:dyDescent="0.25">
      <c r="A269" t="s">
        <v>4277</v>
      </c>
      <c r="B269">
        <v>165370</v>
      </c>
      <c r="C269"/>
      <c r="D269" t="s">
        <v>717</v>
      </c>
      <c r="E269">
        <v>1490</v>
      </c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ht="30" x14ac:dyDescent="0.25">
      <c r="A270" t="s">
        <v>4277</v>
      </c>
      <c r="B270">
        <v>165371</v>
      </c>
      <c r="C270"/>
      <c r="D270" t="s">
        <v>720</v>
      </c>
      <c r="E270">
        <v>590</v>
      </c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ht="30" x14ac:dyDescent="0.25">
      <c r="A271" t="s">
        <v>4277</v>
      </c>
      <c r="B271">
        <v>165372</v>
      </c>
      <c r="C271"/>
      <c r="D271" t="s">
        <v>723</v>
      </c>
      <c r="E271">
        <v>1090</v>
      </c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 t="s">
        <v>4277</v>
      </c>
      <c r="B272">
        <v>165373</v>
      </c>
      <c r="C272"/>
      <c r="D272"/>
      <c r="E272" t="s">
        <v>4167</v>
      </c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 t="s">
        <v>4277</v>
      </c>
      <c r="B273">
        <v>165375</v>
      </c>
      <c r="C273"/>
      <c r="D273"/>
      <c r="E273" t="s">
        <v>4167</v>
      </c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 t="s">
        <v>4277</v>
      </c>
      <c r="B274">
        <v>165376</v>
      </c>
      <c r="C274"/>
      <c r="D274"/>
      <c r="E274" t="s">
        <v>4167</v>
      </c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ht="30" x14ac:dyDescent="0.25">
      <c r="A275" t="s">
        <v>4277</v>
      </c>
      <c r="B275">
        <v>165377</v>
      </c>
      <c r="C275"/>
      <c r="D275" t="s">
        <v>733</v>
      </c>
      <c r="E275">
        <v>1390</v>
      </c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 t="s">
        <v>4277</v>
      </c>
      <c r="B276">
        <v>165378</v>
      </c>
      <c r="C276"/>
      <c r="D276" t="s">
        <v>737</v>
      </c>
      <c r="E276">
        <v>1390</v>
      </c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 t="s">
        <v>4277</v>
      </c>
      <c r="B277">
        <v>165379</v>
      </c>
      <c r="C277"/>
      <c r="D277"/>
      <c r="E277" t="s">
        <v>4167</v>
      </c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 t="s">
        <v>4277</v>
      </c>
      <c r="B278">
        <v>165380</v>
      </c>
      <c r="C278"/>
      <c r="D278"/>
      <c r="E278" t="s">
        <v>4167</v>
      </c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 t="s">
        <v>4277</v>
      </c>
      <c r="B279">
        <v>165381</v>
      </c>
      <c r="C279"/>
      <c r="D279"/>
      <c r="E279" t="s">
        <v>4167</v>
      </c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ht="30" x14ac:dyDescent="0.25">
      <c r="A280" t="s">
        <v>4277</v>
      </c>
      <c r="B280">
        <v>165724</v>
      </c>
      <c r="C280"/>
      <c r="D280" t="s">
        <v>746</v>
      </c>
      <c r="E280">
        <v>349</v>
      </c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ht="30" x14ac:dyDescent="0.25">
      <c r="A281" t="s">
        <v>4277</v>
      </c>
      <c r="B281">
        <v>165725</v>
      </c>
      <c r="C281"/>
      <c r="D281" t="s">
        <v>749</v>
      </c>
      <c r="E281">
        <v>329</v>
      </c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 t="s">
        <v>4277</v>
      </c>
      <c r="B282">
        <v>165726</v>
      </c>
      <c r="C282"/>
      <c r="D282"/>
      <c r="E282" t="s">
        <v>4167</v>
      </c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 t="s">
        <v>4277</v>
      </c>
      <c r="B283">
        <v>165727</v>
      </c>
      <c r="C283"/>
      <c r="D283"/>
      <c r="E283" t="s">
        <v>4167</v>
      </c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 t="s">
        <v>4277</v>
      </c>
      <c r="B284">
        <v>165728</v>
      </c>
      <c r="C284"/>
      <c r="D284"/>
      <c r="E284" t="s">
        <v>4167</v>
      </c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 t="s">
        <v>4277</v>
      </c>
      <c r="B285">
        <v>165729</v>
      </c>
      <c r="C285"/>
      <c r="D285"/>
      <c r="E285" t="s">
        <v>4167</v>
      </c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ht="30" x14ac:dyDescent="0.25">
      <c r="A286" t="s">
        <v>4277</v>
      </c>
      <c r="B286">
        <v>165730</v>
      </c>
      <c r="C286"/>
      <c r="D286" t="s">
        <v>763</v>
      </c>
      <c r="E286">
        <v>590</v>
      </c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 t="s">
        <v>4277</v>
      </c>
      <c r="B287">
        <v>165731</v>
      </c>
      <c r="C287"/>
      <c r="D287"/>
      <c r="E287" t="s">
        <v>4167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 t="s">
        <v>4277</v>
      </c>
      <c r="B288">
        <v>165732</v>
      </c>
      <c r="C288"/>
      <c r="D288"/>
      <c r="E288" t="s">
        <v>4167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ht="30" x14ac:dyDescent="0.25">
      <c r="A289" t="s">
        <v>4277</v>
      </c>
      <c r="B289">
        <v>165733</v>
      </c>
      <c r="C289"/>
      <c r="D289" t="s">
        <v>770</v>
      </c>
      <c r="E289">
        <v>590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 t="s">
        <v>4277</v>
      </c>
      <c r="B290">
        <v>165734</v>
      </c>
      <c r="C290"/>
      <c r="D290"/>
      <c r="E290" t="s">
        <v>4167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ht="30" x14ac:dyDescent="0.25">
      <c r="A291" t="s">
        <v>4277</v>
      </c>
      <c r="B291">
        <v>165735</v>
      </c>
      <c r="C291"/>
      <c r="D291" t="s">
        <v>775</v>
      </c>
      <c r="E291">
        <v>290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ht="30" x14ac:dyDescent="0.25">
      <c r="A292" t="s">
        <v>4277</v>
      </c>
      <c r="B292">
        <v>165736</v>
      </c>
      <c r="C292"/>
      <c r="D292" t="s">
        <v>778</v>
      </c>
      <c r="E292">
        <v>290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 t="s">
        <v>4277</v>
      </c>
      <c r="B293">
        <v>165737</v>
      </c>
      <c r="C293"/>
      <c r="D293"/>
      <c r="E293" t="s">
        <v>4167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 t="s">
        <v>4277</v>
      </c>
      <c r="B294">
        <v>165738</v>
      </c>
      <c r="C294"/>
      <c r="D294"/>
      <c r="E294" t="s">
        <v>4167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ht="30" x14ac:dyDescent="0.25">
      <c r="A295" t="s">
        <v>4277</v>
      </c>
      <c r="B295">
        <v>165739</v>
      </c>
      <c r="C295"/>
      <c r="D295" t="s">
        <v>785</v>
      </c>
      <c r="E295">
        <v>1790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 t="s">
        <v>4277</v>
      </c>
      <c r="B296">
        <v>165740</v>
      </c>
      <c r="C296"/>
      <c r="D296" t="s">
        <v>788</v>
      </c>
      <c r="E296">
        <v>2690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 t="s">
        <v>4277</v>
      </c>
      <c r="B297">
        <v>165741</v>
      </c>
      <c r="C297"/>
      <c r="D297" t="s">
        <v>791</v>
      </c>
      <c r="E297">
        <v>2690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 t="s">
        <v>4277</v>
      </c>
      <c r="B298">
        <v>165746</v>
      </c>
      <c r="C298"/>
      <c r="D298"/>
      <c r="E298" t="s">
        <v>4167</v>
      </c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ht="30" x14ac:dyDescent="0.25">
      <c r="A299" t="s">
        <v>4277</v>
      </c>
      <c r="B299">
        <v>165747</v>
      </c>
      <c r="C299"/>
      <c r="D299" t="s">
        <v>797</v>
      </c>
      <c r="E299">
        <v>769</v>
      </c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 t="s">
        <v>4277</v>
      </c>
      <c r="B300">
        <v>165748</v>
      </c>
      <c r="C300"/>
      <c r="D300"/>
      <c r="E300" t="s">
        <v>4167</v>
      </c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 t="s">
        <v>4277</v>
      </c>
      <c r="B301">
        <v>165750</v>
      </c>
      <c r="C301"/>
      <c r="D301"/>
      <c r="E301" t="s">
        <v>4167</v>
      </c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 t="s">
        <v>4277</v>
      </c>
      <c r="B302">
        <v>166245</v>
      </c>
      <c r="C302"/>
      <c r="D302"/>
      <c r="E302" t="s">
        <v>4167</v>
      </c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 t="s">
        <v>4277</v>
      </c>
      <c r="B303">
        <v>167463</v>
      </c>
      <c r="C303" t="s">
        <v>4170</v>
      </c>
      <c r="D303"/>
      <c r="E303" t="s">
        <v>4167</v>
      </c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 t="s">
        <v>4277</v>
      </c>
      <c r="B304">
        <v>167487</v>
      </c>
      <c r="C304"/>
      <c r="D304"/>
      <c r="E304" t="s">
        <v>4167</v>
      </c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 t="s">
        <v>4277</v>
      </c>
      <c r="B305">
        <v>167489</v>
      </c>
      <c r="C305"/>
      <c r="D305"/>
      <c r="E305" t="s">
        <v>4167</v>
      </c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 t="s">
        <v>4277</v>
      </c>
      <c r="B306">
        <v>167492</v>
      </c>
      <c r="C306"/>
      <c r="D306"/>
      <c r="E306" t="s">
        <v>4167</v>
      </c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 t="s">
        <v>4277</v>
      </c>
      <c r="B307">
        <v>167493</v>
      </c>
      <c r="C307"/>
      <c r="D307"/>
      <c r="E307" t="s">
        <v>4167</v>
      </c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 t="s">
        <v>4277</v>
      </c>
      <c r="B308">
        <v>167494</v>
      </c>
      <c r="C308"/>
      <c r="D308"/>
      <c r="E308" t="s">
        <v>4167</v>
      </c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ht="30" x14ac:dyDescent="0.25">
      <c r="A309" t="s">
        <v>4277</v>
      </c>
      <c r="B309">
        <v>167495</v>
      </c>
      <c r="C309"/>
      <c r="D309" t="s">
        <v>819</v>
      </c>
      <c r="E309">
        <v>949</v>
      </c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ht="30" x14ac:dyDescent="0.25">
      <c r="A310" t="s">
        <v>4277</v>
      </c>
      <c r="B310">
        <v>167496</v>
      </c>
      <c r="C310"/>
      <c r="D310" t="s">
        <v>822</v>
      </c>
      <c r="E310">
        <v>1390</v>
      </c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 t="s">
        <v>4277</v>
      </c>
      <c r="B311">
        <v>171177</v>
      </c>
      <c r="C311"/>
      <c r="D311"/>
      <c r="E311" t="s">
        <v>4167</v>
      </c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 t="s">
        <v>4277</v>
      </c>
      <c r="B312">
        <v>171178</v>
      </c>
      <c r="C312"/>
      <c r="D312"/>
      <c r="E312" t="s">
        <v>4167</v>
      </c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 t="s">
        <v>4277</v>
      </c>
      <c r="B313">
        <v>171179</v>
      </c>
      <c r="C313"/>
      <c r="D313"/>
      <c r="E313" t="s">
        <v>4167</v>
      </c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ht="30" x14ac:dyDescent="0.25">
      <c r="A314" t="s">
        <v>4277</v>
      </c>
      <c r="B314">
        <v>171994</v>
      </c>
      <c r="C314"/>
      <c r="D314" t="s">
        <v>832</v>
      </c>
      <c r="E314">
        <v>1749</v>
      </c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ht="30" x14ac:dyDescent="0.25">
      <c r="A315" t="s">
        <v>4277</v>
      </c>
      <c r="B315">
        <v>171995</v>
      </c>
      <c r="C315"/>
      <c r="D315" t="s">
        <v>835</v>
      </c>
      <c r="E315">
        <v>3390</v>
      </c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 t="s">
        <v>4277</v>
      </c>
      <c r="B316">
        <v>181685</v>
      </c>
      <c r="C316"/>
      <c r="D316"/>
      <c r="E316" t="s">
        <v>4167</v>
      </c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 t="s">
        <v>4277</v>
      </c>
      <c r="B317">
        <v>181686</v>
      </c>
      <c r="C317"/>
      <c r="D317"/>
      <c r="E317" t="s">
        <v>4167</v>
      </c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 t="s">
        <v>4277</v>
      </c>
      <c r="B318">
        <v>181687</v>
      </c>
      <c r="C318"/>
      <c r="D318"/>
      <c r="E318" t="s">
        <v>4167</v>
      </c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 t="s">
        <v>4277</v>
      </c>
      <c r="B319">
        <v>181688</v>
      </c>
      <c r="C319"/>
      <c r="D319"/>
      <c r="E319" t="s">
        <v>4167</v>
      </c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 t="s">
        <v>4277</v>
      </c>
      <c r="B320">
        <v>181689</v>
      </c>
      <c r="C320"/>
      <c r="D320"/>
      <c r="E320" t="s">
        <v>4167</v>
      </c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ht="30" x14ac:dyDescent="0.25">
      <c r="A321" t="s">
        <v>4277</v>
      </c>
      <c r="B321">
        <v>183900</v>
      </c>
      <c r="C321"/>
      <c r="D321" t="s">
        <v>848</v>
      </c>
      <c r="E321">
        <v>6690</v>
      </c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 t="s">
        <v>4277</v>
      </c>
      <c r="B322">
        <v>186098</v>
      </c>
      <c r="C322"/>
      <c r="D322" t="s">
        <v>851</v>
      </c>
      <c r="E322">
        <v>1990</v>
      </c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 t="s">
        <v>4277</v>
      </c>
      <c r="B323">
        <v>186099</v>
      </c>
      <c r="C323"/>
      <c r="D323"/>
      <c r="E323" t="s">
        <v>4167</v>
      </c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ht="30" x14ac:dyDescent="0.25">
      <c r="A324" t="s">
        <v>4277</v>
      </c>
      <c r="B324">
        <v>186100</v>
      </c>
      <c r="C324"/>
      <c r="D324" t="s">
        <v>856</v>
      </c>
      <c r="E324">
        <v>5490</v>
      </c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ht="30" x14ac:dyDescent="0.25">
      <c r="A325" t="s">
        <v>4277</v>
      </c>
      <c r="B325">
        <v>186101</v>
      </c>
      <c r="C325"/>
      <c r="D325" t="s">
        <v>859</v>
      </c>
      <c r="E325">
        <v>2390</v>
      </c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 t="s">
        <v>4277</v>
      </c>
      <c r="B326">
        <v>186102</v>
      </c>
      <c r="C326"/>
      <c r="D326"/>
      <c r="E326" t="s">
        <v>4167</v>
      </c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 t="s">
        <v>4277</v>
      </c>
      <c r="B327">
        <v>186138</v>
      </c>
      <c r="C327"/>
      <c r="D327"/>
      <c r="E327" t="s">
        <v>4167</v>
      </c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 t="s">
        <v>4277</v>
      </c>
      <c r="B328">
        <v>186139</v>
      </c>
      <c r="C328"/>
      <c r="D328"/>
      <c r="E328" t="s">
        <v>4167</v>
      </c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 t="s">
        <v>4277</v>
      </c>
      <c r="B329">
        <v>186143</v>
      </c>
      <c r="C329"/>
      <c r="D329"/>
      <c r="E329" t="s">
        <v>4167</v>
      </c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ht="30" x14ac:dyDescent="0.25">
      <c r="A330" t="s">
        <v>4277</v>
      </c>
      <c r="B330">
        <v>186144</v>
      </c>
      <c r="C330"/>
      <c r="D330" t="s">
        <v>871</v>
      </c>
      <c r="E330">
        <v>190</v>
      </c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 t="s">
        <v>4277</v>
      </c>
      <c r="B331">
        <v>186145</v>
      </c>
      <c r="C331"/>
      <c r="D331"/>
      <c r="E331" t="s">
        <v>4167</v>
      </c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 t="s">
        <v>4277</v>
      </c>
      <c r="B332">
        <v>186146</v>
      </c>
      <c r="C332"/>
      <c r="D332"/>
      <c r="E332" t="s">
        <v>4167</v>
      </c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 t="s">
        <v>4277</v>
      </c>
      <c r="B333">
        <v>186147</v>
      </c>
      <c r="C333"/>
      <c r="D333"/>
      <c r="E333" t="s">
        <v>4167</v>
      </c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ht="30" x14ac:dyDescent="0.25">
      <c r="A334" t="s">
        <v>4277</v>
      </c>
      <c r="B334">
        <v>186148</v>
      </c>
      <c r="C334"/>
      <c r="D334" t="s">
        <v>881</v>
      </c>
      <c r="E334">
        <v>8290</v>
      </c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 t="s">
        <v>4277</v>
      </c>
      <c r="B335">
        <v>186149</v>
      </c>
      <c r="C335"/>
      <c r="D335"/>
      <c r="E335" t="s">
        <v>4167</v>
      </c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 t="s">
        <v>4277</v>
      </c>
      <c r="B336">
        <v>186150</v>
      </c>
      <c r="C336"/>
      <c r="D336"/>
      <c r="E336" t="s">
        <v>4167</v>
      </c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 t="s">
        <v>4277</v>
      </c>
      <c r="B337">
        <v>186151</v>
      </c>
      <c r="C337"/>
      <c r="D337"/>
      <c r="E337" t="s">
        <v>4167</v>
      </c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 t="s">
        <v>4277</v>
      </c>
      <c r="B338">
        <v>186152</v>
      </c>
      <c r="C338"/>
      <c r="D338"/>
      <c r="E338" t="s">
        <v>4167</v>
      </c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 t="s">
        <v>4277</v>
      </c>
      <c r="B339">
        <v>186140</v>
      </c>
      <c r="C339"/>
      <c r="D339"/>
      <c r="E339" t="s">
        <v>4167</v>
      </c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 t="s">
        <v>4277</v>
      </c>
      <c r="B340">
        <v>186153</v>
      </c>
      <c r="C340"/>
      <c r="D340"/>
      <c r="E340" t="s">
        <v>4167</v>
      </c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 t="s">
        <v>4277</v>
      </c>
      <c r="B341">
        <v>186154</v>
      </c>
      <c r="C341"/>
      <c r="D341"/>
      <c r="E341" t="s">
        <v>4167</v>
      </c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 t="s">
        <v>4277</v>
      </c>
      <c r="B342">
        <v>186155</v>
      </c>
      <c r="C342"/>
      <c r="D342"/>
      <c r="E342" t="s">
        <v>4167</v>
      </c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 t="s">
        <v>4277</v>
      </c>
      <c r="B343">
        <v>186141</v>
      </c>
      <c r="C343"/>
      <c r="D343"/>
      <c r="E343" t="s">
        <v>4167</v>
      </c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 t="s">
        <v>4277</v>
      </c>
      <c r="B344">
        <v>186142</v>
      </c>
      <c r="C344"/>
      <c r="D344"/>
      <c r="E344" t="s">
        <v>4167</v>
      </c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ht="30" x14ac:dyDescent="0.25">
      <c r="A345" t="s">
        <v>4277</v>
      </c>
      <c r="B345">
        <v>186156</v>
      </c>
      <c r="C345"/>
      <c r="D345" t="s">
        <v>911</v>
      </c>
      <c r="E345">
        <v>4690</v>
      </c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 t="s">
        <v>4277</v>
      </c>
      <c r="B346">
        <v>186157</v>
      </c>
      <c r="C346"/>
      <c r="D346"/>
      <c r="E346" t="s">
        <v>4167</v>
      </c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ht="30" x14ac:dyDescent="0.25">
      <c r="A347" t="s">
        <v>4277</v>
      </c>
      <c r="B347">
        <v>186158</v>
      </c>
      <c r="C347"/>
      <c r="D347" t="s">
        <v>916</v>
      </c>
      <c r="E347">
        <v>439</v>
      </c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 t="s">
        <v>4277</v>
      </c>
      <c r="B348">
        <v>186159</v>
      </c>
      <c r="C348"/>
      <c r="D348"/>
      <c r="E348" t="s">
        <v>4167</v>
      </c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 t="s">
        <v>4277</v>
      </c>
      <c r="B349">
        <v>186160</v>
      </c>
      <c r="C349"/>
      <c r="D349"/>
      <c r="E349" t="s">
        <v>4167</v>
      </c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 t="s">
        <v>4277</v>
      </c>
      <c r="B350">
        <v>186161</v>
      </c>
      <c r="C350"/>
      <c r="D350"/>
      <c r="E350" t="s">
        <v>4167</v>
      </c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ht="30" x14ac:dyDescent="0.25">
      <c r="A351" t="s">
        <v>4277</v>
      </c>
      <c r="B351">
        <v>186162</v>
      </c>
      <c r="C351"/>
      <c r="D351" t="s">
        <v>926</v>
      </c>
      <c r="E351">
        <v>8290</v>
      </c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 t="s">
        <v>4277</v>
      </c>
      <c r="B352">
        <v>268424</v>
      </c>
      <c r="C352"/>
      <c r="D352"/>
      <c r="E352" t="s">
        <v>4167</v>
      </c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 t="s">
        <v>4277</v>
      </c>
      <c r="B353">
        <v>186163</v>
      </c>
      <c r="C353"/>
      <c r="D353"/>
      <c r="E353" t="s">
        <v>4167</v>
      </c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 t="s">
        <v>4277</v>
      </c>
      <c r="B354">
        <v>186164</v>
      </c>
      <c r="C354"/>
      <c r="D354"/>
      <c r="E354" t="s">
        <v>4167</v>
      </c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 t="s">
        <v>4277</v>
      </c>
      <c r="B355">
        <v>186165</v>
      </c>
      <c r="C355"/>
      <c r="D355"/>
      <c r="E355" t="s">
        <v>4167</v>
      </c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 t="s">
        <v>4277</v>
      </c>
      <c r="B356">
        <v>186166</v>
      </c>
      <c r="C356"/>
      <c r="D356" t="s">
        <v>937</v>
      </c>
      <c r="E356">
        <v>2490</v>
      </c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 t="s">
        <v>4277</v>
      </c>
      <c r="B357">
        <v>186167</v>
      </c>
      <c r="C357"/>
      <c r="D357"/>
      <c r="E357" t="s">
        <v>4167</v>
      </c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 t="s">
        <v>4277</v>
      </c>
      <c r="B358">
        <v>186168</v>
      </c>
      <c r="C358"/>
      <c r="D358"/>
      <c r="E358" t="s">
        <v>4167</v>
      </c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 t="s">
        <v>4277</v>
      </c>
      <c r="B359">
        <v>186169</v>
      </c>
      <c r="C359"/>
      <c r="D359"/>
      <c r="E359" t="s">
        <v>4167</v>
      </c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ht="30" x14ac:dyDescent="0.25">
      <c r="A360" t="s">
        <v>4277</v>
      </c>
      <c r="B360">
        <v>186170</v>
      </c>
      <c r="C360"/>
      <c r="D360" t="s">
        <v>946</v>
      </c>
      <c r="E360">
        <v>23190</v>
      </c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 t="s">
        <v>4277</v>
      </c>
      <c r="B361">
        <v>186171</v>
      </c>
      <c r="C361"/>
      <c r="D361"/>
      <c r="E361" t="s">
        <v>4167</v>
      </c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 t="s">
        <v>4277</v>
      </c>
      <c r="B362">
        <v>186172</v>
      </c>
      <c r="C362"/>
      <c r="D362"/>
      <c r="E362" t="s">
        <v>4167</v>
      </c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 t="s">
        <v>4277</v>
      </c>
      <c r="B363">
        <v>186173</v>
      </c>
      <c r="C363"/>
      <c r="D363"/>
      <c r="E363" t="s">
        <v>4167</v>
      </c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ht="30" x14ac:dyDescent="0.25">
      <c r="A364" t="s">
        <v>4277</v>
      </c>
      <c r="B364">
        <v>186174</v>
      </c>
      <c r="C364"/>
      <c r="D364" t="s">
        <v>956</v>
      </c>
      <c r="E364">
        <v>14590</v>
      </c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 t="s">
        <v>4277</v>
      </c>
      <c r="B365">
        <v>186175</v>
      </c>
      <c r="C365"/>
      <c r="D365"/>
      <c r="E365" t="s">
        <v>4167</v>
      </c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ht="30" x14ac:dyDescent="0.25">
      <c r="A366" t="s">
        <v>4277</v>
      </c>
      <c r="B366">
        <v>186176</v>
      </c>
      <c r="C366"/>
      <c r="D366" t="s">
        <v>961</v>
      </c>
      <c r="E366">
        <v>14590</v>
      </c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ht="30" x14ac:dyDescent="0.25">
      <c r="A367" t="s">
        <v>4277</v>
      </c>
      <c r="B367">
        <v>186177</v>
      </c>
      <c r="C367"/>
      <c r="D367" t="s">
        <v>965</v>
      </c>
      <c r="E367">
        <v>9090</v>
      </c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ht="30" x14ac:dyDescent="0.25">
      <c r="A368" t="s">
        <v>4277</v>
      </c>
      <c r="B368">
        <v>186178</v>
      </c>
      <c r="C368"/>
      <c r="D368" t="s">
        <v>968</v>
      </c>
      <c r="E368">
        <v>21290</v>
      </c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 t="s">
        <v>4277</v>
      </c>
      <c r="B369">
        <v>186179</v>
      </c>
      <c r="C369"/>
      <c r="D369"/>
      <c r="E369" t="s">
        <v>4167</v>
      </c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 t="s">
        <v>4277</v>
      </c>
      <c r="B370">
        <v>186180</v>
      </c>
      <c r="C370"/>
      <c r="D370" t="s">
        <v>973</v>
      </c>
      <c r="E370">
        <v>23590</v>
      </c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 t="s">
        <v>4277</v>
      </c>
      <c r="B371">
        <v>186181</v>
      </c>
      <c r="C371"/>
      <c r="D371" t="s">
        <v>976</v>
      </c>
      <c r="E371">
        <v>22990</v>
      </c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 t="s">
        <v>4277</v>
      </c>
      <c r="B372">
        <v>186182</v>
      </c>
      <c r="C372"/>
      <c r="D372"/>
      <c r="E372" t="s">
        <v>4167</v>
      </c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ht="30" x14ac:dyDescent="0.25">
      <c r="A373" t="s">
        <v>4277</v>
      </c>
      <c r="B373">
        <v>186183</v>
      </c>
      <c r="C373"/>
      <c r="D373" t="s">
        <v>981</v>
      </c>
      <c r="E373">
        <v>449</v>
      </c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 t="s">
        <v>4277</v>
      </c>
      <c r="B374">
        <v>186184</v>
      </c>
      <c r="C374"/>
      <c r="D374"/>
      <c r="E374" t="s">
        <v>4167</v>
      </c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 t="s">
        <v>4277</v>
      </c>
      <c r="B375">
        <v>186185</v>
      </c>
      <c r="C375"/>
      <c r="D375"/>
      <c r="E375" t="s">
        <v>4167</v>
      </c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 t="s">
        <v>4277</v>
      </c>
      <c r="B376">
        <v>186186</v>
      </c>
      <c r="C376"/>
      <c r="D376"/>
      <c r="E376" t="s">
        <v>4167</v>
      </c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 t="s">
        <v>4277</v>
      </c>
      <c r="B377">
        <v>186187</v>
      </c>
      <c r="C377"/>
      <c r="D377"/>
      <c r="E377" t="s">
        <v>4167</v>
      </c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 t="s">
        <v>4277</v>
      </c>
      <c r="B378">
        <v>186188</v>
      </c>
      <c r="C378"/>
      <c r="D378"/>
      <c r="E378" t="s">
        <v>4167</v>
      </c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 t="s">
        <v>4277</v>
      </c>
      <c r="B379">
        <v>186189</v>
      </c>
      <c r="C379"/>
      <c r="D379"/>
      <c r="E379" t="s">
        <v>4167</v>
      </c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 t="s">
        <v>4277</v>
      </c>
      <c r="B380">
        <v>186190</v>
      </c>
      <c r="C380"/>
      <c r="D380"/>
      <c r="E380" t="s">
        <v>4167</v>
      </c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ht="30" x14ac:dyDescent="0.25">
      <c r="A381" t="s">
        <v>4277</v>
      </c>
      <c r="B381">
        <v>186191</v>
      </c>
      <c r="C381"/>
      <c r="D381" t="s">
        <v>998</v>
      </c>
      <c r="E381">
        <v>1190</v>
      </c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 t="s">
        <v>4277</v>
      </c>
      <c r="B382">
        <v>186192</v>
      </c>
      <c r="C382"/>
      <c r="D382"/>
      <c r="E382" t="s">
        <v>4167</v>
      </c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 t="s">
        <v>4277</v>
      </c>
      <c r="B383">
        <v>186193</v>
      </c>
      <c r="C383"/>
      <c r="D383"/>
      <c r="E383" t="s">
        <v>4167</v>
      </c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 t="s">
        <v>4277</v>
      </c>
      <c r="B384">
        <v>186194</v>
      </c>
      <c r="C384"/>
      <c r="D384"/>
      <c r="E384" t="s">
        <v>4167</v>
      </c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 t="s">
        <v>4277</v>
      </c>
      <c r="B385">
        <v>186195</v>
      </c>
      <c r="C385"/>
      <c r="D385"/>
      <c r="E385" t="s">
        <v>4167</v>
      </c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 t="s">
        <v>4277</v>
      </c>
      <c r="B386">
        <v>186196</v>
      </c>
      <c r="C386"/>
      <c r="D386"/>
      <c r="E386" t="s">
        <v>4167</v>
      </c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 t="s">
        <v>4277</v>
      </c>
      <c r="B387">
        <v>186197</v>
      </c>
      <c r="C387"/>
      <c r="D387"/>
      <c r="E387" t="s">
        <v>4167</v>
      </c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 t="s">
        <v>4277</v>
      </c>
      <c r="B388">
        <v>186198</v>
      </c>
      <c r="C388"/>
      <c r="D388" t="s">
        <v>1015</v>
      </c>
      <c r="E388">
        <v>7190</v>
      </c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 t="s">
        <v>4277</v>
      </c>
      <c r="B389">
        <v>186199</v>
      </c>
      <c r="C389"/>
      <c r="D389" t="s">
        <v>1018</v>
      </c>
      <c r="E389">
        <v>5490</v>
      </c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 t="s">
        <v>4277</v>
      </c>
      <c r="B390">
        <v>186201</v>
      </c>
      <c r="C390"/>
      <c r="D390"/>
      <c r="E390" t="s">
        <v>4167</v>
      </c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 t="s">
        <v>4277</v>
      </c>
      <c r="B391">
        <v>186202</v>
      </c>
      <c r="C391"/>
      <c r="D391" t="s">
        <v>1023</v>
      </c>
      <c r="E391">
        <v>24190</v>
      </c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 t="s">
        <v>4277</v>
      </c>
      <c r="B392">
        <v>186203</v>
      </c>
      <c r="C392"/>
      <c r="D392"/>
      <c r="E392" t="s">
        <v>4167</v>
      </c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 t="s">
        <v>4277</v>
      </c>
      <c r="B393">
        <v>186204</v>
      </c>
      <c r="C393"/>
      <c r="D393"/>
      <c r="E393" t="s">
        <v>4167</v>
      </c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 t="s">
        <v>4277</v>
      </c>
      <c r="B394">
        <v>186205</v>
      </c>
      <c r="C394"/>
      <c r="D394"/>
      <c r="E394" t="s">
        <v>4167</v>
      </c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ht="30" x14ac:dyDescent="0.25">
      <c r="A395" t="s">
        <v>4277</v>
      </c>
      <c r="B395">
        <v>186206</v>
      </c>
      <c r="C395"/>
      <c r="D395" t="s">
        <v>1033</v>
      </c>
      <c r="E395">
        <v>5290</v>
      </c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 t="s">
        <v>4277</v>
      </c>
      <c r="B396">
        <v>186207</v>
      </c>
      <c r="C396"/>
      <c r="D396" t="s">
        <v>1036</v>
      </c>
      <c r="E396">
        <v>6190</v>
      </c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ht="30" x14ac:dyDescent="0.25">
      <c r="A397" t="s">
        <v>4277</v>
      </c>
      <c r="B397">
        <v>186208</v>
      </c>
      <c r="C397"/>
      <c r="D397" t="s">
        <v>1039</v>
      </c>
      <c r="E397">
        <v>1490</v>
      </c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ht="30" x14ac:dyDescent="0.25">
      <c r="A398" t="s">
        <v>4277</v>
      </c>
      <c r="B398">
        <v>186209</v>
      </c>
      <c r="C398"/>
      <c r="D398" t="s">
        <v>1042</v>
      </c>
      <c r="E398">
        <v>5090</v>
      </c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 t="s">
        <v>4277</v>
      </c>
      <c r="B399">
        <v>186210</v>
      </c>
      <c r="C399"/>
      <c r="D399"/>
      <c r="E399" t="s">
        <v>4167</v>
      </c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ht="30" x14ac:dyDescent="0.25">
      <c r="A400" t="s">
        <v>4277</v>
      </c>
      <c r="B400">
        <v>186211</v>
      </c>
      <c r="C400"/>
      <c r="D400" t="s">
        <v>1047</v>
      </c>
      <c r="E400">
        <v>4190</v>
      </c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ht="30" x14ac:dyDescent="0.25">
      <c r="A401" t="s">
        <v>4277</v>
      </c>
      <c r="B401">
        <v>186212</v>
      </c>
      <c r="C401"/>
      <c r="D401" t="s">
        <v>1051</v>
      </c>
      <c r="E401">
        <v>4390</v>
      </c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ht="30" x14ac:dyDescent="0.25">
      <c r="A402" t="s">
        <v>4277</v>
      </c>
      <c r="B402">
        <v>186213</v>
      </c>
      <c r="C402"/>
      <c r="D402" t="s">
        <v>1055</v>
      </c>
      <c r="E402">
        <v>3590</v>
      </c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 t="s">
        <v>4277</v>
      </c>
      <c r="B403">
        <v>186214</v>
      </c>
      <c r="C403"/>
      <c r="D403" t="s">
        <v>1058</v>
      </c>
      <c r="E403">
        <v>1190</v>
      </c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 t="s">
        <v>4277</v>
      </c>
      <c r="B404">
        <v>186215</v>
      </c>
      <c r="C404"/>
      <c r="D404" t="s">
        <v>1061</v>
      </c>
      <c r="E404">
        <v>2490</v>
      </c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ht="30" x14ac:dyDescent="0.25">
      <c r="A405" t="s">
        <v>4277</v>
      </c>
      <c r="B405">
        <v>186216</v>
      </c>
      <c r="C405"/>
      <c r="D405" t="s">
        <v>1064</v>
      </c>
      <c r="E405">
        <v>1890</v>
      </c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ht="30" x14ac:dyDescent="0.25">
      <c r="A406" t="s">
        <v>4277</v>
      </c>
      <c r="B406">
        <v>186218</v>
      </c>
      <c r="C406"/>
      <c r="D406" t="s">
        <v>1067</v>
      </c>
      <c r="E406">
        <v>2090</v>
      </c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 t="s">
        <v>4277</v>
      </c>
      <c r="B407">
        <v>186219</v>
      </c>
      <c r="C407"/>
      <c r="D407" t="s">
        <v>1070</v>
      </c>
      <c r="E407">
        <v>2590</v>
      </c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ht="30" x14ac:dyDescent="0.25">
      <c r="A408" t="s">
        <v>4277</v>
      </c>
      <c r="B408">
        <v>186217</v>
      </c>
      <c r="C408"/>
      <c r="D408" t="s">
        <v>1073</v>
      </c>
      <c r="E408">
        <v>2390</v>
      </c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 t="s">
        <v>4277</v>
      </c>
      <c r="B409">
        <v>186220</v>
      </c>
      <c r="C409"/>
      <c r="D409" t="s">
        <v>1076</v>
      </c>
      <c r="E409">
        <v>4390</v>
      </c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ht="30" x14ac:dyDescent="0.25">
      <c r="A410" t="s">
        <v>4277</v>
      </c>
      <c r="B410">
        <v>186221</v>
      </c>
      <c r="C410"/>
      <c r="D410" t="s">
        <v>1079</v>
      </c>
      <c r="E410">
        <v>4390</v>
      </c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ht="30" x14ac:dyDescent="0.25">
      <c r="A411" t="s">
        <v>4277</v>
      </c>
      <c r="B411">
        <v>186222</v>
      </c>
      <c r="C411"/>
      <c r="D411" t="s">
        <v>1082</v>
      </c>
      <c r="E411">
        <v>4290</v>
      </c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ht="30" x14ac:dyDescent="0.25">
      <c r="A412" t="s">
        <v>4277</v>
      </c>
      <c r="B412">
        <v>186223</v>
      </c>
      <c r="C412"/>
      <c r="D412" t="s">
        <v>1085</v>
      </c>
      <c r="E412">
        <v>1690</v>
      </c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ht="30" x14ac:dyDescent="0.25">
      <c r="A413" t="s">
        <v>4277</v>
      </c>
      <c r="B413">
        <v>186224</v>
      </c>
      <c r="C413"/>
      <c r="D413" t="s">
        <v>1088</v>
      </c>
      <c r="E413">
        <v>690</v>
      </c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 t="s">
        <v>4277</v>
      </c>
      <c r="B414">
        <v>186225</v>
      </c>
      <c r="C414"/>
      <c r="D414"/>
      <c r="E414" t="s">
        <v>4167</v>
      </c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 t="s">
        <v>4277</v>
      </c>
      <c r="B415">
        <v>186226</v>
      </c>
      <c r="C415"/>
      <c r="D415"/>
      <c r="E415" t="s">
        <v>4167</v>
      </c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ht="30" x14ac:dyDescent="0.25">
      <c r="A416" t="s">
        <v>4277</v>
      </c>
      <c r="B416">
        <v>186227</v>
      </c>
      <c r="C416"/>
      <c r="D416" t="s">
        <v>1095</v>
      </c>
      <c r="E416">
        <v>18290</v>
      </c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 t="s">
        <v>4277</v>
      </c>
      <c r="B417">
        <v>186228</v>
      </c>
      <c r="C417"/>
      <c r="D417"/>
      <c r="E417" t="s">
        <v>4167</v>
      </c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ht="30" x14ac:dyDescent="0.25">
      <c r="A418" t="s">
        <v>4277</v>
      </c>
      <c r="B418">
        <v>186229</v>
      </c>
      <c r="C418"/>
      <c r="D418" t="s">
        <v>1100</v>
      </c>
      <c r="E418">
        <v>390</v>
      </c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ht="30" x14ac:dyDescent="0.25">
      <c r="A419" t="s">
        <v>4277</v>
      </c>
      <c r="B419">
        <v>186230</v>
      </c>
      <c r="C419"/>
      <c r="D419" t="s">
        <v>1103</v>
      </c>
      <c r="E419">
        <v>449</v>
      </c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 t="s">
        <v>4277</v>
      </c>
      <c r="B420">
        <v>186235</v>
      </c>
      <c r="C420" t="s">
        <v>4170</v>
      </c>
      <c r="D420"/>
      <c r="E420" t="s">
        <v>4167</v>
      </c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ht="30" x14ac:dyDescent="0.25">
      <c r="A421" t="s">
        <v>4277</v>
      </c>
      <c r="B421">
        <v>186231</v>
      </c>
      <c r="C421">
        <v>6590</v>
      </c>
      <c r="D421" t="s">
        <v>4211</v>
      </c>
      <c r="E421">
        <v>6590</v>
      </c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 t="s">
        <v>4277</v>
      </c>
      <c r="B422">
        <v>186232</v>
      </c>
      <c r="C422">
        <v>7790</v>
      </c>
      <c r="D422" t="s">
        <v>4224</v>
      </c>
      <c r="E422">
        <v>7790</v>
      </c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ht="30" x14ac:dyDescent="0.25">
      <c r="A423" t="s">
        <v>4277</v>
      </c>
      <c r="B423">
        <v>186233</v>
      </c>
      <c r="C423">
        <v>11990</v>
      </c>
      <c r="D423" t="s">
        <v>4215</v>
      </c>
      <c r="E423">
        <v>11990</v>
      </c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ht="30" x14ac:dyDescent="0.25">
      <c r="A424" t="s">
        <v>4277</v>
      </c>
      <c r="B424">
        <v>186234</v>
      </c>
      <c r="C424">
        <v>20790</v>
      </c>
      <c r="D424" t="s">
        <v>4220</v>
      </c>
      <c r="E424">
        <v>20790</v>
      </c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 t="s">
        <v>4277</v>
      </c>
      <c r="B425">
        <v>186236</v>
      </c>
      <c r="C425">
        <v>10590</v>
      </c>
      <c r="D425" t="s">
        <v>4226</v>
      </c>
      <c r="E425">
        <v>10590</v>
      </c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 t="s">
        <v>4277</v>
      </c>
      <c r="B426">
        <v>186237</v>
      </c>
      <c r="C426" t="s">
        <v>4170</v>
      </c>
      <c r="D426"/>
      <c r="E426" t="s">
        <v>4167</v>
      </c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 t="s">
        <v>4277</v>
      </c>
      <c r="B427">
        <v>186238</v>
      </c>
      <c r="C427"/>
      <c r="D427"/>
      <c r="E427" t="s">
        <v>4167</v>
      </c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ht="30" x14ac:dyDescent="0.25">
      <c r="A428" t="s">
        <v>4277</v>
      </c>
      <c r="B428">
        <v>186239</v>
      </c>
      <c r="C428">
        <v>7190</v>
      </c>
      <c r="D428" t="s">
        <v>4225</v>
      </c>
      <c r="E428">
        <v>7190</v>
      </c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ht="30" x14ac:dyDescent="0.25">
      <c r="A429" t="s">
        <v>4277</v>
      </c>
      <c r="B429">
        <v>186240</v>
      </c>
      <c r="C429">
        <v>12990</v>
      </c>
      <c r="D429" t="s">
        <v>4221</v>
      </c>
      <c r="E429">
        <v>12990</v>
      </c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 t="s">
        <v>4277</v>
      </c>
      <c r="B430">
        <v>186241</v>
      </c>
      <c r="C430"/>
      <c r="D430"/>
      <c r="E430" t="s">
        <v>4167</v>
      </c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ht="30" x14ac:dyDescent="0.25">
      <c r="A431" t="s">
        <v>4277</v>
      </c>
      <c r="B431">
        <v>186242</v>
      </c>
      <c r="C431">
        <v>6690</v>
      </c>
      <c r="D431" t="s">
        <v>4217</v>
      </c>
      <c r="E431">
        <v>6690</v>
      </c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ht="30" x14ac:dyDescent="0.25">
      <c r="A432" t="s">
        <v>4277</v>
      </c>
      <c r="B432">
        <v>186243</v>
      </c>
      <c r="C432">
        <v>11490</v>
      </c>
      <c r="D432" t="s">
        <v>4216</v>
      </c>
      <c r="E432">
        <v>11490</v>
      </c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 t="s">
        <v>4277</v>
      </c>
      <c r="B433">
        <v>186244</v>
      </c>
      <c r="C433">
        <v>3290</v>
      </c>
      <c r="D433" t="s">
        <v>4213</v>
      </c>
      <c r="E433">
        <v>3290</v>
      </c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 t="s">
        <v>4277</v>
      </c>
      <c r="B434">
        <v>186245</v>
      </c>
      <c r="C434">
        <v>11490</v>
      </c>
      <c r="D434" t="s">
        <v>4214</v>
      </c>
      <c r="E434">
        <v>11490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 t="s">
        <v>4277</v>
      </c>
      <c r="B435">
        <v>186246</v>
      </c>
      <c r="C435">
        <v>7790</v>
      </c>
      <c r="D435" t="s">
        <v>4223</v>
      </c>
      <c r="E435">
        <v>7790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ht="30" x14ac:dyDescent="0.25">
      <c r="A436" t="s">
        <v>4277</v>
      </c>
      <c r="B436">
        <v>186247</v>
      </c>
      <c r="C436">
        <v>8990</v>
      </c>
      <c r="D436" t="s">
        <v>4212</v>
      </c>
      <c r="E436">
        <v>8990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ht="30" x14ac:dyDescent="0.25">
      <c r="A437" t="s">
        <v>4277</v>
      </c>
      <c r="B437">
        <v>186248</v>
      </c>
      <c r="C437">
        <v>11890</v>
      </c>
      <c r="D437" t="s">
        <v>4218</v>
      </c>
      <c r="E437">
        <v>11890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ht="30" x14ac:dyDescent="0.25">
      <c r="A438" t="s">
        <v>4277</v>
      </c>
      <c r="B438">
        <v>186249</v>
      </c>
      <c r="C438">
        <v>8490</v>
      </c>
      <c r="D438" t="s">
        <v>4219</v>
      </c>
      <c r="E438">
        <v>8490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ht="30" x14ac:dyDescent="0.25">
      <c r="A439" t="s">
        <v>4277</v>
      </c>
      <c r="B439">
        <v>186250</v>
      </c>
      <c r="C439">
        <v>17990</v>
      </c>
      <c r="D439" t="s">
        <v>4222</v>
      </c>
      <c r="E439">
        <v>17990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 t="s">
        <v>4277</v>
      </c>
      <c r="B440">
        <v>186251</v>
      </c>
      <c r="C440"/>
      <c r="D440"/>
      <c r="E440" t="s">
        <v>4167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 t="s">
        <v>4277</v>
      </c>
      <c r="B441">
        <v>186252</v>
      </c>
      <c r="C441"/>
      <c r="D441"/>
      <c r="E441" t="s">
        <v>4167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 t="s">
        <v>4277</v>
      </c>
      <c r="B442">
        <v>186254</v>
      </c>
      <c r="C442"/>
      <c r="D442"/>
      <c r="E442" t="s">
        <v>4167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 t="s">
        <v>4277</v>
      </c>
      <c r="B443">
        <v>347105</v>
      </c>
      <c r="C443"/>
      <c r="D443"/>
      <c r="E443" t="s">
        <v>4167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 t="s">
        <v>4277</v>
      </c>
      <c r="B444">
        <v>186257</v>
      </c>
      <c r="C444"/>
      <c r="D444"/>
      <c r="E444" t="s">
        <v>4167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 t="s">
        <v>4277</v>
      </c>
      <c r="B445">
        <v>186258</v>
      </c>
      <c r="C445"/>
      <c r="D445"/>
      <c r="E445" t="s">
        <v>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 t="s">
        <v>4277</v>
      </c>
      <c r="B446">
        <v>186256</v>
      </c>
      <c r="C446"/>
      <c r="D446"/>
      <c r="E446" t="s">
        <v>4167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 t="s">
        <v>4277</v>
      </c>
      <c r="B447">
        <v>186260</v>
      </c>
      <c r="C447"/>
      <c r="D447"/>
      <c r="E447" t="s">
        <v>4167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 t="s">
        <v>4277</v>
      </c>
      <c r="B448">
        <v>186261</v>
      </c>
      <c r="C448"/>
      <c r="D448"/>
      <c r="E448" t="s">
        <v>4167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 t="s">
        <v>4277</v>
      </c>
      <c r="B449">
        <v>186262</v>
      </c>
      <c r="C449"/>
      <c r="D449"/>
      <c r="E449" t="s">
        <v>4167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 t="s">
        <v>4277</v>
      </c>
      <c r="B450">
        <v>186263</v>
      </c>
      <c r="C450"/>
      <c r="D450"/>
      <c r="E450" t="s">
        <v>4167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ht="30" x14ac:dyDescent="0.25">
      <c r="A451" t="s">
        <v>4277</v>
      </c>
      <c r="B451">
        <v>186264</v>
      </c>
      <c r="C451"/>
      <c r="D451" t="s">
        <v>1179</v>
      </c>
      <c r="E451">
        <v>11490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 t="s">
        <v>4277</v>
      </c>
      <c r="B452">
        <v>385885</v>
      </c>
      <c r="C452"/>
      <c r="D452"/>
      <c r="E452" t="s">
        <v>4167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ht="30" x14ac:dyDescent="0.25">
      <c r="A453" t="s">
        <v>4277</v>
      </c>
      <c r="B453">
        <v>186266</v>
      </c>
      <c r="C453"/>
      <c r="D453" t="s">
        <v>1184</v>
      </c>
      <c r="E453">
        <v>1590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ht="30" x14ac:dyDescent="0.25">
      <c r="A454" t="s">
        <v>4277</v>
      </c>
      <c r="B454">
        <v>186267</v>
      </c>
      <c r="C454"/>
      <c r="D454" t="s">
        <v>1187</v>
      </c>
      <c r="E454">
        <v>4290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 t="s">
        <v>4277</v>
      </c>
      <c r="B455">
        <v>186268</v>
      </c>
      <c r="C455"/>
      <c r="D455"/>
      <c r="E455" t="s">
        <v>4167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ht="30" x14ac:dyDescent="0.25">
      <c r="A456" t="s">
        <v>4277</v>
      </c>
      <c r="B456">
        <v>186269</v>
      </c>
      <c r="C456"/>
      <c r="D456" t="s">
        <v>1192</v>
      </c>
      <c r="E456">
        <v>7290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ht="30" x14ac:dyDescent="0.25">
      <c r="A457" t="s">
        <v>4277</v>
      </c>
      <c r="B457">
        <v>186270</v>
      </c>
      <c r="C457"/>
      <c r="D457" t="s">
        <v>1195</v>
      </c>
      <c r="E457">
        <v>7490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ht="30" x14ac:dyDescent="0.25">
      <c r="A458" t="s">
        <v>4277</v>
      </c>
      <c r="B458">
        <v>186271</v>
      </c>
      <c r="C458"/>
      <c r="D458" t="s">
        <v>1198</v>
      </c>
      <c r="E458">
        <v>4190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 t="s">
        <v>4277</v>
      </c>
      <c r="B459">
        <v>186272</v>
      </c>
      <c r="C459"/>
      <c r="D459" t="s">
        <v>1201</v>
      </c>
      <c r="E459">
        <v>19190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ht="30" x14ac:dyDescent="0.25">
      <c r="A460" t="s">
        <v>4277</v>
      </c>
      <c r="B460">
        <v>186273</v>
      </c>
      <c r="C460"/>
      <c r="D460" t="s">
        <v>1204</v>
      </c>
      <c r="E460">
        <v>7390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 t="s">
        <v>4277</v>
      </c>
      <c r="B461">
        <v>186274</v>
      </c>
      <c r="C461"/>
      <c r="D461" t="s">
        <v>1207</v>
      </c>
      <c r="E461">
        <v>21590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 t="s">
        <v>4277</v>
      </c>
      <c r="B462">
        <v>186275</v>
      </c>
      <c r="C462"/>
      <c r="D462"/>
      <c r="E462" t="s">
        <v>4167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 t="s">
        <v>4277</v>
      </c>
      <c r="B463">
        <v>186276</v>
      </c>
      <c r="C463"/>
      <c r="D463"/>
      <c r="E463" t="s">
        <v>4167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 t="s">
        <v>4277</v>
      </c>
      <c r="B464">
        <v>186277</v>
      </c>
      <c r="C464"/>
      <c r="D464" t="s">
        <v>1214</v>
      </c>
      <c r="E464">
        <v>3190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 t="s">
        <v>4277</v>
      </c>
      <c r="B465">
        <v>186278</v>
      </c>
      <c r="C465"/>
      <c r="D465"/>
      <c r="E465" t="s">
        <v>4167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 t="s">
        <v>4277</v>
      </c>
      <c r="B466">
        <v>186280</v>
      </c>
      <c r="C466"/>
      <c r="D466"/>
      <c r="E466" t="s">
        <v>4167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 t="s">
        <v>4277</v>
      </c>
      <c r="B467">
        <v>186281</v>
      </c>
      <c r="C467"/>
      <c r="D467" t="s">
        <v>1221</v>
      </c>
      <c r="E467">
        <v>2190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 t="s">
        <v>4277</v>
      </c>
      <c r="B468">
        <v>186282</v>
      </c>
      <c r="C468"/>
      <c r="D468"/>
      <c r="E468" t="s">
        <v>4167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 t="s">
        <v>4277</v>
      </c>
      <c r="B469">
        <v>186299</v>
      </c>
      <c r="C469"/>
      <c r="D469"/>
      <c r="E469" t="s">
        <v>4167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ht="30" x14ac:dyDescent="0.25">
      <c r="A470" t="s">
        <v>4277</v>
      </c>
      <c r="B470">
        <v>186300</v>
      </c>
      <c r="C470"/>
      <c r="D470" t="s">
        <v>1229</v>
      </c>
      <c r="E470">
        <v>2390</v>
      </c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 t="s">
        <v>4277</v>
      </c>
      <c r="B471">
        <v>186302</v>
      </c>
      <c r="C471"/>
      <c r="D471"/>
      <c r="E471" t="s">
        <v>4167</v>
      </c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 t="s">
        <v>4277</v>
      </c>
      <c r="B472">
        <v>186303</v>
      </c>
      <c r="C472"/>
      <c r="D472"/>
      <c r="E472" t="s">
        <v>4167</v>
      </c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 t="s">
        <v>4277</v>
      </c>
      <c r="B473">
        <v>186304</v>
      </c>
      <c r="C473"/>
      <c r="D473" t="s">
        <v>1236</v>
      </c>
      <c r="E473">
        <v>1390</v>
      </c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 t="s">
        <v>4277</v>
      </c>
      <c r="B474">
        <v>186305</v>
      </c>
      <c r="C474"/>
      <c r="D474" t="s">
        <v>1239</v>
      </c>
      <c r="E474">
        <v>1590</v>
      </c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ht="30" x14ac:dyDescent="0.25">
      <c r="A475" t="s">
        <v>4277</v>
      </c>
      <c r="B475">
        <v>186306</v>
      </c>
      <c r="C475"/>
      <c r="D475" t="s">
        <v>1242</v>
      </c>
      <c r="E475">
        <v>10590</v>
      </c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ht="30" x14ac:dyDescent="0.25">
      <c r="A476" t="s">
        <v>4277</v>
      </c>
      <c r="B476">
        <v>186307</v>
      </c>
      <c r="C476"/>
      <c r="D476" t="s">
        <v>1245</v>
      </c>
      <c r="E476">
        <v>1290</v>
      </c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 t="s">
        <v>4277</v>
      </c>
      <c r="B477">
        <v>186308</v>
      </c>
      <c r="C477"/>
      <c r="D477"/>
      <c r="E477" t="s">
        <v>4167</v>
      </c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 t="s">
        <v>4277</v>
      </c>
      <c r="B478">
        <v>186311</v>
      </c>
      <c r="C478"/>
      <c r="D478"/>
      <c r="E478" t="s">
        <v>4167</v>
      </c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 t="s">
        <v>4277</v>
      </c>
      <c r="B479">
        <v>186312</v>
      </c>
      <c r="C479"/>
      <c r="D479"/>
      <c r="E479" t="s">
        <v>4167</v>
      </c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ht="30" x14ac:dyDescent="0.25">
      <c r="A480" t="s">
        <v>4277</v>
      </c>
      <c r="B480">
        <v>186315</v>
      </c>
      <c r="C480"/>
      <c r="D480" t="s">
        <v>1254</v>
      </c>
      <c r="E480">
        <v>7190</v>
      </c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 t="s">
        <v>4277</v>
      </c>
      <c r="B481">
        <v>193348</v>
      </c>
      <c r="C481"/>
      <c r="D481" t="s">
        <v>1257</v>
      </c>
      <c r="E481">
        <v>4690</v>
      </c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 t="s">
        <v>4277</v>
      </c>
      <c r="B482">
        <v>193353</v>
      </c>
      <c r="C482"/>
      <c r="D482"/>
      <c r="E482" t="s">
        <v>4167</v>
      </c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 t="s">
        <v>4277</v>
      </c>
      <c r="B483">
        <v>193626</v>
      </c>
      <c r="C483"/>
      <c r="D483"/>
      <c r="E483" t="s">
        <v>4167</v>
      </c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 t="s">
        <v>4277</v>
      </c>
      <c r="B484">
        <v>193627</v>
      </c>
      <c r="C484"/>
      <c r="D484" t="s">
        <v>1265</v>
      </c>
      <c r="E484">
        <v>529</v>
      </c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 t="s">
        <v>4277</v>
      </c>
      <c r="B485">
        <v>193628</v>
      </c>
      <c r="C485"/>
      <c r="D485" t="s">
        <v>1268</v>
      </c>
      <c r="E485">
        <v>529</v>
      </c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ht="30" x14ac:dyDescent="0.25">
      <c r="A486" t="s">
        <v>4277</v>
      </c>
      <c r="B486">
        <v>193630</v>
      </c>
      <c r="C486"/>
      <c r="D486" t="s">
        <v>1271</v>
      </c>
      <c r="E486">
        <v>449</v>
      </c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 t="s">
        <v>4277</v>
      </c>
      <c r="B487">
        <v>193631</v>
      </c>
      <c r="C487"/>
      <c r="D487" t="s">
        <v>1274</v>
      </c>
      <c r="E487">
        <v>449</v>
      </c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 t="s">
        <v>4277</v>
      </c>
      <c r="B488">
        <v>193632</v>
      </c>
      <c r="C488"/>
      <c r="D488"/>
      <c r="E488" t="s">
        <v>4167</v>
      </c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 t="s">
        <v>4277</v>
      </c>
      <c r="B489">
        <v>193634</v>
      </c>
      <c r="C489"/>
      <c r="D489" t="s">
        <v>1279</v>
      </c>
      <c r="E489">
        <v>189</v>
      </c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 t="s">
        <v>4277</v>
      </c>
      <c r="B490">
        <v>193635</v>
      </c>
      <c r="C490"/>
      <c r="D490" t="s">
        <v>1282</v>
      </c>
      <c r="E490">
        <v>269</v>
      </c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 t="s">
        <v>4277</v>
      </c>
      <c r="B491">
        <v>193636</v>
      </c>
      <c r="C491"/>
      <c r="D491"/>
      <c r="E491" t="s">
        <v>4167</v>
      </c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 t="s">
        <v>4277</v>
      </c>
      <c r="B492">
        <v>193637</v>
      </c>
      <c r="C492"/>
      <c r="D492" t="s">
        <v>1288</v>
      </c>
      <c r="E492">
        <v>329</v>
      </c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 t="s">
        <v>4277</v>
      </c>
      <c r="B493">
        <v>193639</v>
      </c>
      <c r="C493"/>
      <c r="D493" t="s">
        <v>1291</v>
      </c>
      <c r="E493">
        <v>790</v>
      </c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 t="s">
        <v>4277</v>
      </c>
      <c r="B494">
        <v>251176</v>
      </c>
      <c r="C494"/>
      <c r="D494" t="s">
        <v>1294</v>
      </c>
      <c r="E494">
        <v>790</v>
      </c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 t="s">
        <v>4277</v>
      </c>
      <c r="B495">
        <v>193640</v>
      </c>
      <c r="C495"/>
      <c r="D495" t="s">
        <v>1297</v>
      </c>
      <c r="E495">
        <v>1690</v>
      </c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ht="30" x14ac:dyDescent="0.25">
      <c r="A496" t="s">
        <v>4277</v>
      </c>
      <c r="B496">
        <v>335644</v>
      </c>
      <c r="C496"/>
      <c r="D496" t="s">
        <v>1300</v>
      </c>
      <c r="E496">
        <v>490</v>
      </c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 t="s">
        <v>4277</v>
      </c>
      <c r="B497">
        <v>193641</v>
      </c>
      <c r="C497"/>
      <c r="D497" t="s">
        <v>1303</v>
      </c>
      <c r="E497">
        <v>969</v>
      </c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 t="s">
        <v>4277</v>
      </c>
      <c r="B498">
        <v>193642</v>
      </c>
      <c r="C498"/>
      <c r="D498" t="s">
        <v>1306</v>
      </c>
      <c r="E498">
        <v>1690</v>
      </c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ht="30" x14ac:dyDescent="0.25">
      <c r="A499" t="s">
        <v>4277</v>
      </c>
      <c r="B499">
        <v>335659</v>
      </c>
      <c r="C499"/>
      <c r="D499" t="s">
        <v>1309</v>
      </c>
      <c r="E499">
        <v>490</v>
      </c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 t="s">
        <v>4277</v>
      </c>
      <c r="B500">
        <v>193643</v>
      </c>
      <c r="C500"/>
      <c r="D500"/>
      <c r="E500" t="s">
        <v>4167</v>
      </c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 t="s">
        <v>4277</v>
      </c>
      <c r="B501">
        <v>194006</v>
      </c>
      <c r="C501"/>
      <c r="D501"/>
      <c r="E501" t="s">
        <v>4167</v>
      </c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ht="30" x14ac:dyDescent="0.25">
      <c r="A502" t="s">
        <v>4277</v>
      </c>
      <c r="B502">
        <v>194007</v>
      </c>
      <c r="C502"/>
      <c r="D502" t="s">
        <v>1316</v>
      </c>
      <c r="E502">
        <v>990</v>
      </c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 t="s">
        <v>4277</v>
      </c>
      <c r="B503">
        <v>194488</v>
      </c>
      <c r="C503"/>
      <c r="D503"/>
      <c r="E503" t="s">
        <v>4167</v>
      </c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 t="s">
        <v>4277</v>
      </c>
      <c r="B504">
        <v>194489</v>
      </c>
      <c r="C504"/>
      <c r="D504"/>
      <c r="E504" t="s">
        <v>4167</v>
      </c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 t="s">
        <v>4277</v>
      </c>
      <c r="B505">
        <v>194509</v>
      </c>
      <c r="C505"/>
      <c r="D505"/>
      <c r="E505" t="s">
        <v>4167</v>
      </c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 t="s">
        <v>4277</v>
      </c>
      <c r="B506">
        <v>194510</v>
      </c>
      <c r="C506"/>
      <c r="D506" t="s">
        <v>1327</v>
      </c>
      <c r="E506">
        <v>19990</v>
      </c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 t="s">
        <v>4277</v>
      </c>
      <c r="B507">
        <v>194511</v>
      </c>
      <c r="C507"/>
      <c r="D507"/>
      <c r="E507" t="s">
        <v>4167</v>
      </c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 t="s">
        <v>4277</v>
      </c>
      <c r="B508">
        <v>194512</v>
      </c>
      <c r="C508"/>
      <c r="D508"/>
      <c r="E508" t="s">
        <v>4167</v>
      </c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ht="30" x14ac:dyDescent="0.25">
      <c r="A509" t="s">
        <v>4277</v>
      </c>
      <c r="B509">
        <v>195159</v>
      </c>
      <c r="C509"/>
      <c r="D509" t="s">
        <v>1334</v>
      </c>
      <c r="E509">
        <v>1090</v>
      </c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ht="30" x14ac:dyDescent="0.25">
      <c r="A510" t="s">
        <v>4277</v>
      </c>
      <c r="B510">
        <v>195160</v>
      </c>
      <c r="C510"/>
      <c r="D510" t="s">
        <v>1337</v>
      </c>
      <c r="E510">
        <v>1090</v>
      </c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ht="30" x14ac:dyDescent="0.25">
      <c r="A511" t="s">
        <v>4277</v>
      </c>
      <c r="B511">
        <v>195161</v>
      </c>
      <c r="C511"/>
      <c r="D511" t="s">
        <v>1340</v>
      </c>
      <c r="E511">
        <v>9190</v>
      </c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 t="s">
        <v>4277</v>
      </c>
      <c r="B512">
        <v>195162</v>
      </c>
      <c r="C512"/>
      <c r="D512"/>
      <c r="E512" t="s">
        <v>4167</v>
      </c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 t="s">
        <v>4277</v>
      </c>
      <c r="B513">
        <v>195163</v>
      </c>
      <c r="C513"/>
      <c r="D513"/>
      <c r="E513" t="s">
        <v>4167</v>
      </c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 t="s">
        <v>4277</v>
      </c>
      <c r="B514">
        <v>195164</v>
      </c>
      <c r="C514"/>
      <c r="D514"/>
      <c r="E514" t="s">
        <v>4167</v>
      </c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 t="s">
        <v>4277</v>
      </c>
      <c r="B515">
        <v>195165</v>
      </c>
      <c r="C515"/>
      <c r="D515" t="s">
        <v>1350</v>
      </c>
      <c r="E515">
        <v>19990</v>
      </c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 t="s">
        <v>4277</v>
      </c>
      <c r="B516">
        <v>195166</v>
      </c>
      <c r="C516"/>
      <c r="D516" t="s">
        <v>1353</v>
      </c>
      <c r="E516">
        <v>2190</v>
      </c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 t="s">
        <v>4277</v>
      </c>
      <c r="B517">
        <v>195167</v>
      </c>
      <c r="C517"/>
      <c r="D517" t="s">
        <v>1356</v>
      </c>
      <c r="E517">
        <v>2290</v>
      </c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 t="s">
        <v>4277</v>
      </c>
      <c r="B518">
        <v>195178</v>
      </c>
      <c r="C518"/>
      <c r="D518"/>
      <c r="E518" t="s">
        <v>4167</v>
      </c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 t="s">
        <v>4277</v>
      </c>
      <c r="B519">
        <v>356285</v>
      </c>
      <c r="C519"/>
      <c r="D519"/>
      <c r="E519" t="s">
        <v>4167</v>
      </c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 t="s">
        <v>4277</v>
      </c>
      <c r="B520">
        <v>195343</v>
      </c>
      <c r="C520"/>
      <c r="D520" t="s">
        <v>1363</v>
      </c>
      <c r="E520">
        <v>4690</v>
      </c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 t="s">
        <v>4277</v>
      </c>
      <c r="B521">
        <v>195254</v>
      </c>
      <c r="C521"/>
      <c r="D521"/>
      <c r="E521" t="s">
        <v>4167</v>
      </c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ht="30" x14ac:dyDescent="0.25">
      <c r="A522" t="s">
        <v>4277</v>
      </c>
      <c r="B522">
        <v>195255</v>
      </c>
      <c r="C522"/>
      <c r="D522" t="s">
        <v>1368</v>
      </c>
      <c r="E522">
        <v>2490</v>
      </c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 t="s">
        <v>4277</v>
      </c>
      <c r="B523">
        <v>195257</v>
      </c>
      <c r="C523"/>
      <c r="D523"/>
      <c r="E523" t="s">
        <v>4167</v>
      </c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 t="s">
        <v>4277</v>
      </c>
      <c r="B524">
        <v>195258</v>
      </c>
      <c r="C524"/>
      <c r="D524" t="s">
        <v>1375</v>
      </c>
      <c r="E524">
        <v>4990</v>
      </c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 t="s">
        <v>4277</v>
      </c>
      <c r="B525">
        <v>357526</v>
      </c>
      <c r="C525"/>
      <c r="D525"/>
      <c r="E525" t="s">
        <v>4167</v>
      </c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 t="s">
        <v>4277</v>
      </c>
      <c r="B526">
        <v>357529</v>
      </c>
      <c r="C526"/>
      <c r="D526"/>
      <c r="E526" t="s">
        <v>4167</v>
      </c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 t="s">
        <v>4277</v>
      </c>
      <c r="B527">
        <v>195259</v>
      </c>
      <c r="C527"/>
      <c r="D527"/>
      <c r="E527" t="s">
        <v>4167</v>
      </c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 t="s">
        <v>4277</v>
      </c>
      <c r="B528">
        <v>347098</v>
      </c>
      <c r="C528"/>
      <c r="D528"/>
      <c r="E528" t="s">
        <v>4167</v>
      </c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 t="s">
        <v>4277</v>
      </c>
      <c r="B529">
        <v>195260</v>
      </c>
      <c r="C529">
        <v>449</v>
      </c>
      <c r="D529" t="s">
        <v>100</v>
      </c>
      <c r="E529">
        <v>449</v>
      </c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 t="s">
        <v>4277</v>
      </c>
      <c r="B530">
        <v>195261</v>
      </c>
      <c r="C530"/>
      <c r="D530"/>
      <c r="E530" t="s">
        <v>4167</v>
      </c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 t="s">
        <v>4277</v>
      </c>
      <c r="B531">
        <v>195262</v>
      </c>
      <c r="C531"/>
      <c r="D531" t="s">
        <v>1390</v>
      </c>
      <c r="E531">
        <v>2390</v>
      </c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 t="s">
        <v>4277</v>
      </c>
      <c r="B532">
        <v>195263</v>
      </c>
      <c r="C532"/>
      <c r="D532"/>
      <c r="E532" t="s">
        <v>4167</v>
      </c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ht="30" x14ac:dyDescent="0.25">
      <c r="A533" t="s">
        <v>4277</v>
      </c>
      <c r="B533">
        <v>195264</v>
      </c>
      <c r="C533"/>
      <c r="D533" t="s">
        <v>1395</v>
      </c>
      <c r="E533">
        <v>690</v>
      </c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 t="s">
        <v>4277</v>
      </c>
      <c r="B534">
        <v>195265</v>
      </c>
      <c r="C534"/>
      <c r="D534"/>
      <c r="E534" t="s">
        <v>4167</v>
      </c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 t="s">
        <v>4277</v>
      </c>
      <c r="B535">
        <v>195266</v>
      </c>
      <c r="C535"/>
      <c r="D535"/>
      <c r="E535" t="s">
        <v>4167</v>
      </c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 t="s">
        <v>4277</v>
      </c>
      <c r="B536">
        <v>195267</v>
      </c>
      <c r="C536"/>
      <c r="D536"/>
      <c r="E536" t="s">
        <v>4167</v>
      </c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 t="s">
        <v>4277</v>
      </c>
      <c r="B537">
        <v>195268</v>
      </c>
      <c r="C537"/>
      <c r="D537"/>
      <c r="E537" t="s">
        <v>4167</v>
      </c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 t="s">
        <v>4277</v>
      </c>
      <c r="B538">
        <v>195269</v>
      </c>
      <c r="C538"/>
      <c r="D538" t="s">
        <v>1406</v>
      </c>
      <c r="E538">
        <v>4819</v>
      </c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ht="30" x14ac:dyDescent="0.25">
      <c r="A539" t="s">
        <v>4277</v>
      </c>
      <c r="B539">
        <v>195270</v>
      </c>
      <c r="C539"/>
      <c r="D539" t="s">
        <v>1409</v>
      </c>
      <c r="E539">
        <v>1090</v>
      </c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 t="s">
        <v>4277</v>
      </c>
      <c r="B540">
        <v>195271</v>
      </c>
      <c r="C540"/>
      <c r="D540" t="s">
        <v>1412</v>
      </c>
      <c r="E540">
        <v>2990</v>
      </c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ht="30" x14ac:dyDescent="0.25">
      <c r="A541" t="s">
        <v>4277</v>
      </c>
      <c r="B541">
        <v>195272</v>
      </c>
      <c r="C541"/>
      <c r="D541" t="s">
        <v>1415</v>
      </c>
      <c r="E541">
        <v>1590</v>
      </c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 t="s">
        <v>4277</v>
      </c>
      <c r="B542">
        <v>195273</v>
      </c>
      <c r="C542"/>
      <c r="D542"/>
      <c r="E542" t="s">
        <v>4167</v>
      </c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 t="s">
        <v>4277</v>
      </c>
      <c r="B543">
        <v>195274</v>
      </c>
      <c r="C543"/>
      <c r="D543"/>
      <c r="E543" t="s">
        <v>4167</v>
      </c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 t="s">
        <v>4277</v>
      </c>
      <c r="B544">
        <v>356104</v>
      </c>
      <c r="C544"/>
      <c r="D544"/>
      <c r="E544" t="s">
        <v>4167</v>
      </c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 t="s">
        <v>4277</v>
      </c>
      <c r="B545">
        <v>347453</v>
      </c>
      <c r="C545"/>
      <c r="D545"/>
      <c r="E545" t="s">
        <v>4167</v>
      </c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 t="s">
        <v>4277</v>
      </c>
      <c r="B546">
        <v>195304</v>
      </c>
      <c r="C546"/>
      <c r="D546"/>
      <c r="E546" t="s">
        <v>4167</v>
      </c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ht="30" x14ac:dyDescent="0.25">
      <c r="A547" t="s">
        <v>4277</v>
      </c>
      <c r="B547">
        <v>195305</v>
      </c>
      <c r="C547"/>
      <c r="D547" t="s">
        <v>1429</v>
      </c>
      <c r="E547">
        <v>2490</v>
      </c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 t="s">
        <v>4277</v>
      </c>
      <c r="B548">
        <v>195306</v>
      </c>
      <c r="C548"/>
      <c r="D548"/>
      <c r="E548" t="s">
        <v>4167</v>
      </c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 t="s">
        <v>4277</v>
      </c>
      <c r="B549">
        <v>195307</v>
      </c>
      <c r="C549"/>
      <c r="D549"/>
      <c r="E549" t="s">
        <v>4167</v>
      </c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 t="s">
        <v>4277</v>
      </c>
      <c r="B550">
        <v>195308</v>
      </c>
      <c r="C550"/>
      <c r="D550"/>
      <c r="E550" t="s">
        <v>4167</v>
      </c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 t="s">
        <v>4277</v>
      </c>
      <c r="B551">
        <v>195309</v>
      </c>
      <c r="C551"/>
      <c r="D551" t="s">
        <v>1442</v>
      </c>
      <c r="E551">
        <v>649</v>
      </c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ht="30" x14ac:dyDescent="0.25">
      <c r="A552" t="s">
        <v>4277</v>
      </c>
      <c r="B552">
        <v>195310</v>
      </c>
      <c r="C552"/>
      <c r="D552" t="s">
        <v>1445</v>
      </c>
      <c r="E552">
        <v>2690</v>
      </c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 t="s">
        <v>4277</v>
      </c>
      <c r="B553">
        <v>195311</v>
      </c>
      <c r="C553"/>
      <c r="D553"/>
      <c r="E553" t="s">
        <v>4167</v>
      </c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 t="s">
        <v>4277</v>
      </c>
      <c r="B554">
        <v>195312</v>
      </c>
      <c r="C554"/>
      <c r="D554" t="s">
        <v>1450</v>
      </c>
      <c r="E554">
        <v>390</v>
      </c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 t="s">
        <v>4277</v>
      </c>
      <c r="B555">
        <v>195313</v>
      </c>
      <c r="C555"/>
      <c r="D555"/>
      <c r="E555" t="s">
        <v>4167</v>
      </c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 t="s">
        <v>4277</v>
      </c>
      <c r="B556">
        <v>195314</v>
      </c>
      <c r="C556"/>
      <c r="D556"/>
      <c r="E556" t="s">
        <v>4167</v>
      </c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 t="s">
        <v>4277</v>
      </c>
      <c r="B557">
        <v>195315</v>
      </c>
      <c r="C557"/>
      <c r="D557" t="s">
        <v>1457</v>
      </c>
      <c r="E557">
        <v>390</v>
      </c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 t="s">
        <v>4277</v>
      </c>
      <c r="B558">
        <v>251297</v>
      </c>
      <c r="C558"/>
      <c r="D558"/>
      <c r="E558" t="s">
        <v>4167</v>
      </c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 t="s">
        <v>4277</v>
      </c>
      <c r="B559">
        <v>195316</v>
      </c>
      <c r="C559"/>
      <c r="D559"/>
      <c r="E559" t="s">
        <v>4167</v>
      </c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 t="s">
        <v>4277</v>
      </c>
      <c r="B560">
        <v>195317</v>
      </c>
      <c r="C560"/>
      <c r="D560"/>
      <c r="E560" t="s">
        <v>4167</v>
      </c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ht="30" x14ac:dyDescent="0.25">
      <c r="A561" t="s">
        <v>4277</v>
      </c>
      <c r="B561">
        <v>195318</v>
      </c>
      <c r="C561"/>
      <c r="D561" t="s">
        <v>1467</v>
      </c>
      <c r="E561">
        <v>1390</v>
      </c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 t="s">
        <v>4277</v>
      </c>
      <c r="B562">
        <v>195319</v>
      </c>
      <c r="C562"/>
      <c r="D562" t="s">
        <v>1470</v>
      </c>
      <c r="E562">
        <v>4890</v>
      </c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 t="s">
        <v>4277</v>
      </c>
      <c r="B563">
        <v>195320</v>
      </c>
      <c r="C563"/>
      <c r="D563"/>
      <c r="E563" t="s">
        <v>4167</v>
      </c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ht="30" x14ac:dyDescent="0.25">
      <c r="A564" t="s">
        <v>4277</v>
      </c>
      <c r="B564">
        <v>195321</v>
      </c>
      <c r="C564"/>
      <c r="D564" t="s">
        <v>1475</v>
      </c>
      <c r="E564">
        <v>1790</v>
      </c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 t="s">
        <v>4277</v>
      </c>
      <c r="B565">
        <v>195322</v>
      </c>
      <c r="C565"/>
      <c r="D565"/>
      <c r="E565" t="s">
        <v>4167</v>
      </c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 t="s">
        <v>4277</v>
      </c>
      <c r="B566">
        <v>195323</v>
      </c>
      <c r="C566"/>
      <c r="D566" t="s">
        <v>1480</v>
      </c>
      <c r="E566">
        <v>3890</v>
      </c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ht="30" x14ac:dyDescent="0.25">
      <c r="A567" t="s">
        <v>4277</v>
      </c>
      <c r="B567">
        <v>195324</v>
      </c>
      <c r="C567"/>
      <c r="D567" t="s">
        <v>1483</v>
      </c>
      <c r="E567">
        <v>2690</v>
      </c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 t="s">
        <v>4277</v>
      </c>
      <c r="B568">
        <v>195325</v>
      </c>
      <c r="C568"/>
      <c r="D568"/>
      <c r="E568" t="s">
        <v>4167</v>
      </c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 t="s">
        <v>4277</v>
      </c>
      <c r="B569">
        <v>195326</v>
      </c>
      <c r="C569"/>
      <c r="D569"/>
      <c r="E569" t="s">
        <v>4167</v>
      </c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 t="s">
        <v>4277</v>
      </c>
      <c r="B570">
        <v>195327</v>
      </c>
      <c r="C570"/>
      <c r="D570" t="s">
        <v>1490</v>
      </c>
      <c r="E570">
        <v>1090</v>
      </c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 t="s">
        <v>4277</v>
      </c>
      <c r="B571">
        <v>195328</v>
      </c>
      <c r="C571"/>
      <c r="D571"/>
      <c r="E571" t="s">
        <v>4167</v>
      </c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 t="s">
        <v>4277</v>
      </c>
      <c r="B572">
        <v>195329</v>
      </c>
      <c r="C572"/>
      <c r="D572"/>
      <c r="E572" t="s">
        <v>4167</v>
      </c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 t="s">
        <v>4277</v>
      </c>
      <c r="B573">
        <v>195330</v>
      </c>
      <c r="C573"/>
      <c r="D573"/>
      <c r="E573" t="s">
        <v>4167</v>
      </c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ht="30" x14ac:dyDescent="0.25">
      <c r="A574" t="s">
        <v>4277</v>
      </c>
      <c r="B574">
        <v>195331</v>
      </c>
      <c r="C574"/>
      <c r="D574" t="s">
        <v>1501</v>
      </c>
      <c r="E574">
        <v>4490</v>
      </c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 t="s">
        <v>4277</v>
      </c>
      <c r="B575">
        <v>195332</v>
      </c>
      <c r="C575"/>
      <c r="D575"/>
      <c r="E575" t="s">
        <v>4167</v>
      </c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 t="s">
        <v>4277</v>
      </c>
      <c r="B576">
        <v>195333</v>
      </c>
      <c r="C576"/>
      <c r="D576"/>
      <c r="E576" t="s">
        <v>4167</v>
      </c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 t="s">
        <v>4277</v>
      </c>
      <c r="B577">
        <v>195334</v>
      </c>
      <c r="C577"/>
      <c r="D577" t="s">
        <v>1509</v>
      </c>
      <c r="E577">
        <v>990</v>
      </c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 t="s">
        <v>4277</v>
      </c>
      <c r="B578">
        <v>195335</v>
      </c>
      <c r="C578"/>
      <c r="D578" t="s">
        <v>1512</v>
      </c>
      <c r="E578">
        <v>890</v>
      </c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ht="30" x14ac:dyDescent="0.25">
      <c r="A579" t="s">
        <v>4277</v>
      </c>
      <c r="B579">
        <v>195342</v>
      </c>
      <c r="C579"/>
      <c r="D579" t="s">
        <v>1515</v>
      </c>
      <c r="E579">
        <v>3590</v>
      </c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 t="s">
        <v>4277</v>
      </c>
      <c r="B580">
        <v>195337</v>
      </c>
      <c r="C580"/>
      <c r="D580" t="s">
        <v>1518</v>
      </c>
      <c r="E580">
        <v>10390</v>
      </c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ht="30" x14ac:dyDescent="0.25">
      <c r="A581" t="s">
        <v>4277</v>
      </c>
      <c r="B581">
        <v>195338</v>
      </c>
      <c r="C581"/>
      <c r="D581" t="s">
        <v>1521</v>
      </c>
      <c r="E581">
        <v>1390</v>
      </c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ht="30" x14ac:dyDescent="0.25">
      <c r="A582" t="s">
        <v>4277</v>
      </c>
      <c r="B582">
        <v>195339</v>
      </c>
      <c r="C582"/>
      <c r="D582" t="s">
        <v>1524</v>
      </c>
      <c r="E582">
        <v>2390</v>
      </c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 t="s">
        <v>4277</v>
      </c>
      <c r="B583">
        <v>195340</v>
      </c>
      <c r="C583"/>
      <c r="D583"/>
      <c r="E583" t="s">
        <v>4167</v>
      </c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ht="30" x14ac:dyDescent="0.25">
      <c r="A584" t="s">
        <v>4277</v>
      </c>
      <c r="B584">
        <v>195341</v>
      </c>
      <c r="C584"/>
      <c r="D584" t="s">
        <v>1529</v>
      </c>
      <c r="E584">
        <v>8490</v>
      </c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 t="s">
        <v>4277</v>
      </c>
      <c r="B585">
        <v>195344</v>
      </c>
      <c r="C585"/>
      <c r="D585"/>
      <c r="E585" t="s">
        <v>4167</v>
      </c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 t="s">
        <v>4277</v>
      </c>
      <c r="B586">
        <v>357534</v>
      </c>
      <c r="C586"/>
      <c r="D586"/>
      <c r="E586" t="s">
        <v>4167</v>
      </c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 t="s">
        <v>4277</v>
      </c>
      <c r="B587">
        <v>195345</v>
      </c>
      <c r="C587"/>
      <c r="D587"/>
      <c r="E587" t="s">
        <v>4167</v>
      </c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 t="s">
        <v>4277</v>
      </c>
      <c r="B588">
        <v>195349</v>
      </c>
      <c r="C588">
        <v>890</v>
      </c>
      <c r="D588" t="s">
        <v>4244</v>
      </c>
      <c r="E588">
        <v>890</v>
      </c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 t="s">
        <v>4277</v>
      </c>
      <c r="B589">
        <v>195350</v>
      </c>
      <c r="C589">
        <v>890</v>
      </c>
      <c r="D589" t="s">
        <v>4245</v>
      </c>
      <c r="E589">
        <v>890</v>
      </c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 t="s">
        <v>4277</v>
      </c>
      <c r="B590">
        <v>195358</v>
      </c>
      <c r="C590">
        <v>929</v>
      </c>
      <c r="D590" t="s">
        <v>4232</v>
      </c>
      <c r="E590">
        <v>929</v>
      </c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 t="s">
        <v>4277</v>
      </c>
      <c r="B591">
        <v>195352</v>
      </c>
      <c r="C591" t="s">
        <v>4170</v>
      </c>
      <c r="D591"/>
      <c r="E591" t="s">
        <v>4167</v>
      </c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 t="s">
        <v>4277</v>
      </c>
      <c r="B592">
        <v>195354</v>
      </c>
      <c r="C592">
        <v>929</v>
      </c>
      <c r="D592" t="s">
        <v>4231</v>
      </c>
      <c r="E592">
        <v>929</v>
      </c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 t="s">
        <v>4277</v>
      </c>
      <c r="B593">
        <v>195356</v>
      </c>
      <c r="C593" t="s">
        <v>4170</v>
      </c>
      <c r="D593"/>
      <c r="E593" t="s">
        <v>4167</v>
      </c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ht="30" x14ac:dyDescent="0.25">
      <c r="A594" t="s">
        <v>4277</v>
      </c>
      <c r="B594">
        <v>201020</v>
      </c>
      <c r="C594"/>
      <c r="D594" t="s">
        <v>1552</v>
      </c>
      <c r="E594">
        <v>269</v>
      </c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 t="s">
        <v>4277</v>
      </c>
      <c r="B595">
        <v>201023</v>
      </c>
      <c r="C595"/>
      <c r="D595" t="s">
        <v>1555</v>
      </c>
      <c r="E595">
        <v>199</v>
      </c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ht="30" x14ac:dyDescent="0.25">
      <c r="A596" t="s">
        <v>4277</v>
      </c>
      <c r="B596">
        <v>201024</v>
      </c>
      <c r="C596">
        <v>199</v>
      </c>
      <c r="D596" t="s">
        <v>1552</v>
      </c>
      <c r="E596">
        <v>269</v>
      </c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 t="s">
        <v>4277</v>
      </c>
      <c r="B597">
        <v>201817</v>
      </c>
      <c r="C597"/>
      <c r="D597"/>
      <c r="E597" t="s">
        <v>4167</v>
      </c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ht="30" x14ac:dyDescent="0.25">
      <c r="A598" t="s">
        <v>4277</v>
      </c>
      <c r="B598">
        <v>201818</v>
      </c>
      <c r="C598"/>
      <c r="D598" t="s">
        <v>1562</v>
      </c>
      <c r="E598">
        <v>1390</v>
      </c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 t="s">
        <v>4277</v>
      </c>
      <c r="B599">
        <v>201820</v>
      </c>
      <c r="C599"/>
      <c r="D599"/>
      <c r="E599" t="s">
        <v>4167</v>
      </c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ht="30" x14ac:dyDescent="0.25">
      <c r="A600" t="s">
        <v>4277</v>
      </c>
      <c r="B600">
        <v>202571</v>
      </c>
      <c r="C600"/>
      <c r="D600" t="s">
        <v>1567</v>
      </c>
      <c r="E600">
        <v>3390</v>
      </c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ht="30" x14ac:dyDescent="0.25">
      <c r="A601" t="s">
        <v>4277</v>
      </c>
      <c r="B601">
        <v>202572</v>
      </c>
      <c r="C601"/>
      <c r="D601" t="s">
        <v>1570</v>
      </c>
      <c r="E601">
        <v>4690</v>
      </c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 t="s">
        <v>4277</v>
      </c>
      <c r="B602">
        <v>202575</v>
      </c>
      <c r="C602"/>
      <c r="D602"/>
      <c r="E602" t="s">
        <v>4167</v>
      </c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 t="s">
        <v>4277</v>
      </c>
      <c r="B603">
        <v>202576</v>
      </c>
      <c r="C603"/>
      <c r="D603"/>
      <c r="E603" t="s">
        <v>4167</v>
      </c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 t="s">
        <v>4277</v>
      </c>
      <c r="B604">
        <v>202577</v>
      </c>
      <c r="C604"/>
      <c r="D604"/>
      <c r="E604" t="s">
        <v>4167</v>
      </c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 t="s">
        <v>4277</v>
      </c>
      <c r="B605">
        <v>202598</v>
      </c>
      <c r="C605"/>
      <c r="D605"/>
      <c r="E605" t="s">
        <v>4167</v>
      </c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 t="s">
        <v>4277</v>
      </c>
      <c r="B606">
        <v>202599</v>
      </c>
      <c r="C606"/>
      <c r="D606"/>
      <c r="E606" t="s">
        <v>4167</v>
      </c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 t="s">
        <v>4277</v>
      </c>
      <c r="B607">
        <v>202611</v>
      </c>
      <c r="C607"/>
      <c r="D607"/>
      <c r="E607" t="s">
        <v>4167</v>
      </c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 t="s">
        <v>4277</v>
      </c>
      <c r="B608">
        <v>202625</v>
      </c>
      <c r="C608"/>
      <c r="D608"/>
      <c r="E608" t="s">
        <v>4167</v>
      </c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 t="s">
        <v>4277</v>
      </c>
      <c r="B609">
        <v>202612</v>
      </c>
      <c r="C609"/>
      <c r="D609" t="s">
        <v>1588</v>
      </c>
      <c r="E609">
        <v>8090</v>
      </c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ht="30" x14ac:dyDescent="0.25">
      <c r="A610" t="s">
        <v>4277</v>
      </c>
      <c r="B610">
        <v>202613</v>
      </c>
      <c r="C610"/>
      <c r="D610" t="s">
        <v>1591</v>
      </c>
      <c r="E610">
        <v>4290</v>
      </c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 t="s">
        <v>4277</v>
      </c>
      <c r="B611">
        <v>202614</v>
      </c>
      <c r="C611"/>
      <c r="D611"/>
      <c r="E611" t="s">
        <v>4167</v>
      </c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 t="s">
        <v>4277</v>
      </c>
      <c r="B612">
        <v>202615</v>
      </c>
      <c r="C612"/>
      <c r="D612"/>
      <c r="E612" t="s">
        <v>4167</v>
      </c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ht="30" x14ac:dyDescent="0.25">
      <c r="A613" t="s">
        <v>4277</v>
      </c>
      <c r="B613">
        <v>202616</v>
      </c>
      <c r="C613"/>
      <c r="D613" t="s">
        <v>1599</v>
      </c>
      <c r="E613">
        <v>3790</v>
      </c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ht="30" x14ac:dyDescent="0.25">
      <c r="A614" t="s">
        <v>4277</v>
      </c>
      <c r="B614">
        <v>202619</v>
      </c>
      <c r="C614"/>
      <c r="D614" t="s">
        <v>1602</v>
      </c>
      <c r="E614">
        <v>2690</v>
      </c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ht="30" x14ac:dyDescent="0.25">
      <c r="A615" t="s">
        <v>4277</v>
      </c>
      <c r="B615">
        <v>202620</v>
      </c>
      <c r="C615"/>
      <c r="D615" t="s">
        <v>1605</v>
      </c>
      <c r="E615">
        <v>4190</v>
      </c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ht="30" x14ac:dyDescent="0.25">
      <c r="A616" t="s">
        <v>4277</v>
      </c>
      <c r="B616">
        <v>202617</v>
      </c>
      <c r="C616"/>
      <c r="D616" t="s">
        <v>1608</v>
      </c>
      <c r="E616">
        <v>5890</v>
      </c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 t="s">
        <v>4277</v>
      </c>
      <c r="B617">
        <v>202624</v>
      </c>
      <c r="C617"/>
      <c r="D617"/>
      <c r="E617" t="s">
        <v>4167</v>
      </c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 t="s">
        <v>4277</v>
      </c>
      <c r="B618">
        <v>202627</v>
      </c>
      <c r="C618"/>
      <c r="D618"/>
      <c r="E618" t="s">
        <v>4167</v>
      </c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ht="30" x14ac:dyDescent="0.25">
      <c r="A619" t="s">
        <v>4277</v>
      </c>
      <c r="B619">
        <v>202628</v>
      </c>
      <c r="C619"/>
      <c r="D619" t="s">
        <v>1616</v>
      </c>
      <c r="E619">
        <v>2690</v>
      </c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 t="s">
        <v>4277</v>
      </c>
      <c r="B620">
        <v>202733</v>
      </c>
      <c r="C620"/>
      <c r="D620"/>
      <c r="E620" t="s">
        <v>4167</v>
      </c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 t="s">
        <v>4277</v>
      </c>
      <c r="B621">
        <v>202761</v>
      </c>
      <c r="C621"/>
      <c r="D621"/>
      <c r="E621" t="s">
        <v>4167</v>
      </c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 t="s">
        <v>4277</v>
      </c>
      <c r="B622">
        <v>363641</v>
      </c>
      <c r="C622"/>
      <c r="D622"/>
      <c r="E622" t="s">
        <v>4167</v>
      </c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 t="s">
        <v>4277</v>
      </c>
      <c r="B623">
        <v>363694</v>
      </c>
      <c r="C623"/>
      <c r="D623"/>
      <c r="E623" t="s">
        <v>4167</v>
      </c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 t="s">
        <v>4277</v>
      </c>
      <c r="B624">
        <v>364388</v>
      </c>
      <c r="C624"/>
      <c r="D624"/>
      <c r="E624" t="s">
        <v>4167</v>
      </c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 t="s">
        <v>4277</v>
      </c>
      <c r="B625">
        <v>204491</v>
      </c>
      <c r="C625"/>
      <c r="D625"/>
      <c r="E625" t="s">
        <v>4167</v>
      </c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 t="s">
        <v>4277</v>
      </c>
      <c r="B626">
        <v>214051</v>
      </c>
      <c r="C626"/>
      <c r="D626"/>
      <c r="E626" t="s">
        <v>4167</v>
      </c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 t="s">
        <v>4277</v>
      </c>
      <c r="B627">
        <v>214052</v>
      </c>
      <c r="C627"/>
      <c r="D627"/>
      <c r="E627" t="s">
        <v>4167</v>
      </c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 t="s">
        <v>4277</v>
      </c>
      <c r="B628">
        <v>214053</v>
      </c>
      <c r="C628"/>
      <c r="D628"/>
      <c r="E628" t="s">
        <v>4167</v>
      </c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 t="s">
        <v>4277</v>
      </c>
      <c r="B629">
        <v>214055</v>
      </c>
      <c r="C629"/>
      <c r="D629" t="s">
        <v>1641</v>
      </c>
      <c r="E629">
        <v>590</v>
      </c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 t="s">
        <v>4277</v>
      </c>
      <c r="B630">
        <v>214056</v>
      </c>
      <c r="C630"/>
      <c r="D630"/>
      <c r="E630" t="s">
        <v>4167</v>
      </c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 t="s">
        <v>4277</v>
      </c>
      <c r="B631">
        <v>214057</v>
      </c>
      <c r="C631"/>
      <c r="D631" t="s">
        <v>1646</v>
      </c>
      <c r="E631">
        <v>1290</v>
      </c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 t="s">
        <v>4277</v>
      </c>
      <c r="B632">
        <v>214058</v>
      </c>
      <c r="C632"/>
      <c r="D632" t="s">
        <v>1649</v>
      </c>
      <c r="E632">
        <v>1890</v>
      </c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 t="s">
        <v>4277</v>
      </c>
      <c r="B633">
        <v>214059</v>
      </c>
      <c r="C633"/>
      <c r="D633" t="s">
        <v>1652</v>
      </c>
      <c r="E633">
        <v>1890</v>
      </c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 t="s">
        <v>4277</v>
      </c>
      <c r="B634">
        <v>214060</v>
      </c>
      <c r="C634"/>
      <c r="D634"/>
      <c r="E634" t="s">
        <v>4167</v>
      </c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 t="s">
        <v>4277</v>
      </c>
      <c r="B635">
        <v>214061</v>
      </c>
      <c r="C635"/>
      <c r="D635"/>
      <c r="E635" t="s">
        <v>4167</v>
      </c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 t="s">
        <v>4277</v>
      </c>
      <c r="B636">
        <v>214062</v>
      </c>
      <c r="C636"/>
      <c r="D636"/>
      <c r="E636" t="s">
        <v>4167</v>
      </c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 t="s">
        <v>4277</v>
      </c>
      <c r="B637">
        <v>214063</v>
      </c>
      <c r="C637"/>
      <c r="D637"/>
      <c r="E637" t="s">
        <v>4167</v>
      </c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 t="s">
        <v>4277</v>
      </c>
      <c r="B638">
        <v>214064</v>
      </c>
      <c r="C638"/>
      <c r="D638"/>
      <c r="E638" t="s">
        <v>4167</v>
      </c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ht="30" x14ac:dyDescent="0.25">
      <c r="A639" t="s">
        <v>4277</v>
      </c>
      <c r="B639">
        <v>214065</v>
      </c>
      <c r="C639"/>
      <c r="D639" t="s">
        <v>1667</v>
      </c>
      <c r="E639">
        <v>2690</v>
      </c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ht="30" x14ac:dyDescent="0.25">
      <c r="A640" t="s">
        <v>4277</v>
      </c>
      <c r="B640">
        <v>214066</v>
      </c>
      <c r="C640"/>
      <c r="D640" t="s">
        <v>1670</v>
      </c>
      <c r="E640">
        <v>2290</v>
      </c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ht="30" x14ac:dyDescent="0.25">
      <c r="A641" t="s">
        <v>4277</v>
      </c>
      <c r="B641">
        <v>214067</v>
      </c>
      <c r="C641"/>
      <c r="D641" t="s">
        <v>1674</v>
      </c>
      <c r="E641">
        <v>969</v>
      </c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ht="30" x14ac:dyDescent="0.25">
      <c r="A642" t="s">
        <v>4277</v>
      </c>
      <c r="B642">
        <v>214068</v>
      </c>
      <c r="C642"/>
      <c r="D642" t="s">
        <v>1677</v>
      </c>
      <c r="E642">
        <v>890</v>
      </c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ht="30" x14ac:dyDescent="0.25">
      <c r="A643" t="s">
        <v>4277</v>
      </c>
      <c r="B643">
        <v>214069</v>
      </c>
      <c r="C643"/>
      <c r="D643" t="s">
        <v>1680</v>
      </c>
      <c r="E643">
        <v>190</v>
      </c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 t="s">
        <v>4277</v>
      </c>
      <c r="B644">
        <v>214070</v>
      </c>
      <c r="C644"/>
      <c r="D644"/>
      <c r="E644" t="s">
        <v>4167</v>
      </c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 t="s">
        <v>4277</v>
      </c>
      <c r="B645">
        <v>214071</v>
      </c>
      <c r="C645"/>
      <c r="D645"/>
      <c r="E645" t="s">
        <v>4167</v>
      </c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 t="s">
        <v>4277</v>
      </c>
      <c r="B646">
        <v>214072</v>
      </c>
      <c r="C646"/>
      <c r="D646"/>
      <c r="E646" t="s">
        <v>4167</v>
      </c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 t="s">
        <v>4277</v>
      </c>
      <c r="B647">
        <v>214073</v>
      </c>
      <c r="C647"/>
      <c r="D647"/>
      <c r="E647" t="s">
        <v>4167</v>
      </c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 t="s">
        <v>4277</v>
      </c>
      <c r="B648">
        <v>214074</v>
      </c>
      <c r="C648"/>
      <c r="D648"/>
      <c r="E648" t="s">
        <v>4167</v>
      </c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ht="30" x14ac:dyDescent="0.25">
      <c r="A649" t="s">
        <v>4277</v>
      </c>
      <c r="B649">
        <v>214075</v>
      </c>
      <c r="C649"/>
      <c r="D649" t="s">
        <v>1693</v>
      </c>
      <c r="E649">
        <v>1490</v>
      </c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ht="30" x14ac:dyDescent="0.25">
      <c r="A650" t="s">
        <v>4277</v>
      </c>
      <c r="B650">
        <v>214076</v>
      </c>
      <c r="C650"/>
      <c r="D650" t="s">
        <v>1696</v>
      </c>
      <c r="E650">
        <v>2990</v>
      </c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 t="s">
        <v>4277</v>
      </c>
      <c r="B651">
        <v>214077</v>
      </c>
      <c r="C651" t="s">
        <v>4228</v>
      </c>
      <c r="D651" t="s">
        <v>1555</v>
      </c>
      <c r="E651">
        <v>199</v>
      </c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 t="s">
        <v>4277</v>
      </c>
      <c r="B652">
        <v>214078</v>
      </c>
      <c r="C652" t="s">
        <v>4170</v>
      </c>
      <c r="D652"/>
      <c r="E652" t="s">
        <v>4167</v>
      </c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 t="s">
        <v>4277</v>
      </c>
      <c r="B653">
        <v>214080</v>
      </c>
      <c r="C653" t="s">
        <v>4170</v>
      </c>
      <c r="D653"/>
      <c r="E653" t="s">
        <v>4167</v>
      </c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ht="30" x14ac:dyDescent="0.25">
      <c r="A654" t="s">
        <v>4277</v>
      </c>
      <c r="B654">
        <v>214081</v>
      </c>
      <c r="C654">
        <v>990</v>
      </c>
      <c r="D654" t="s">
        <v>4233</v>
      </c>
      <c r="E654">
        <v>990</v>
      </c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ht="30" x14ac:dyDescent="0.25">
      <c r="A655" t="s">
        <v>4277</v>
      </c>
      <c r="B655">
        <v>214082</v>
      </c>
      <c r="C655">
        <v>990</v>
      </c>
      <c r="D655" t="s">
        <v>4234</v>
      </c>
      <c r="E655">
        <v>990</v>
      </c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ht="30" x14ac:dyDescent="0.25">
      <c r="A656" t="s">
        <v>4277</v>
      </c>
      <c r="B656">
        <v>214083</v>
      </c>
      <c r="C656">
        <v>289</v>
      </c>
      <c r="D656" t="s">
        <v>4235</v>
      </c>
      <c r="E656">
        <v>289</v>
      </c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ht="30" x14ac:dyDescent="0.25">
      <c r="A657" t="s">
        <v>4277</v>
      </c>
      <c r="B657">
        <v>214084</v>
      </c>
      <c r="C657">
        <v>169</v>
      </c>
      <c r="D657" t="s">
        <v>4229</v>
      </c>
      <c r="E657">
        <v>169</v>
      </c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ht="30" x14ac:dyDescent="0.25">
      <c r="A658" t="s">
        <v>4277</v>
      </c>
      <c r="B658">
        <v>214085</v>
      </c>
      <c r="C658">
        <v>249</v>
      </c>
      <c r="D658" t="s">
        <v>4230</v>
      </c>
      <c r="E658">
        <v>249</v>
      </c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ht="30" x14ac:dyDescent="0.25">
      <c r="A659" t="s">
        <v>4277</v>
      </c>
      <c r="B659">
        <v>214086</v>
      </c>
      <c r="C659">
        <v>169</v>
      </c>
      <c r="D659" t="s">
        <v>4229</v>
      </c>
      <c r="E659">
        <v>169</v>
      </c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ht="30" x14ac:dyDescent="0.25">
      <c r="A660" t="s">
        <v>4277</v>
      </c>
      <c r="B660">
        <v>214087</v>
      </c>
      <c r="C660">
        <v>249</v>
      </c>
      <c r="D660" t="s">
        <v>4230</v>
      </c>
      <c r="E660">
        <v>249</v>
      </c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ht="30" x14ac:dyDescent="0.25">
      <c r="A661" t="s">
        <v>4277</v>
      </c>
      <c r="B661">
        <v>214089</v>
      </c>
      <c r="C661"/>
      <c r="D661" t="s">
        <v>1718</v>
      </c>
      <c r="E661">
        <v>2390</v>
      </c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ht="30" x14ac:dyDescent="0.25">
      <c r="A662" t="s">
        <v>4277</v>
      </c>
      <c r="B662">
        <v>214090</v>
      </c>
      <c r="C662"/>
      <c r="D662" t="s">
        <v>1721</v>
      </c>
      <c r="E662">
        <v>3290</v>
      </c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ht="30" x14ac:dyDescent="0.25">
      <c r="A663" t="s">
        <v>4277</v>
      </c>
      <c r="B663">
        <v>214091</v>
      </c>
      <c r="C663"/>
      <c r="D663" t="s">
        <v>1724</v>
      </c>
      <c r="E663">
        <v>1990</v>
      </c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ht="30" x14ac:dyDescent="0.25">
      <c r="A664" t="s">
        <v>4277</v>
      </c>
      <c r="B664">
        <v>214092</v>
      </c>
      <c r="C664">
        <v>3290</v>
      </c>
      <c r="D664" t="s">
        <v>4237</v>
      </c>
      <c r="E664">
        <v>3290</v>
      </c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ht="30" x14ac:dyDescent="0.25">
      <c r="A665" t="s">
        <v>4277</v>
      </c>
      <c r="B665">
        <v>214093</v>
      </c>
      <c r="C665">
        <v>2390</v>
      </c>
      <c r="D665" t="s">
        <v>4238</v>
      </c>
      <c r="E665">
        <v>2390</v>
      </c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ht="30" x14ac:dyDescent="0.25">
      <c r="A666" t="s">
        <v>4277</v>
      </c>
      <c r="B666">
        <v>214094</v>
      </c>
      <c r="C666">
        <v>290</v>
      </c>
      <c r="D666" t="s">
        <v>4236</v>
      </c>
      <c r="E666">
        <v>290</v>
      </c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 t="s">
        <v>4277</v>
      </c>
      <c r="B667">
        <v>214095</v>
      </c>
      <c r="C667" t="s">
        <v>4170</v>
      </c>
      <c r="D667"/>
      <c r="E667" t="s">
        <v>4167</v>
      </c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 t="s">
        <v>4277</v>
      </c>
      <c r="B668">
        <v>214096</v>
      </c>
      <c r="C668"/>
      <c r="D668"/>
      <c r="E668" t="s">
        <v>4167</v>
      </c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 t="s">
        <v>4277</v>
      </c>
      <c r="B669">
        <v>214100</v>
      </c>
      <c r="C669"/>
      <c r="D669" t="s">
        <v>1734</v>
      </c>
      <c r="E669">
        <v>190</v>
      </c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 t="s">
        <v>4277</v>
      </c>
      <c r="B670">
        <v>214101</v>
      </c>
      <c r="C670"/>
      <c r="D670" t="s">
        <v>1737</v>
      </c>
      <c r="E670">
        <v>190</v>
      </c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 t="s">
        <v>4277</v>
      </c>
      <c r="B671">
        <v>214102</v>
      </c>
      <c r="C671"/>
      <c r="D671"/>
      <c r="E671" t="s">
        <v>4167</v>
      </c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 t="s">
        <v>4277</v>
      </c>
      <c r="B672">
        <v>217684</v>
      </c>
      <c r="C672"/>
      <c r="D672"/>
      <c r="E672" t="s">
        <v>4167</v>
      </c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 t="s">
        <v>4277</v>
      </c>
      <c r="B673">
        <v>217685</v>
      </c>
      <c r="C673"/>
      <c r="D673"/>
      <c r="E673" t="s">
        <v>4167</v>
      </c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ht="30" x14ac:dyDescent="0.25">
      <c r="A674" t="s">
        <v>4277</v>
      </c>
      <c r="B674">
        <v>217702</v>
      </c>
      <c r="C674"/>
      <c r="D674" t="s">
        <v>1746</v>
      </c>
      <c r="E674">
        <v>3390</v>
      </c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ht="30" x14ac:dyDescent="0.25">
      <c r="A675" t="s">
        <v>4277</v>
      </c>
      <c r="B675">
        <v>217703</v>
      </c>
      <c r="C675"/>
      <c r="D675" t="s">
        <v>1749</v>
      </c>
      <c r="E675">
        <v>3390</v>
      </c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 t="s">
        <v>4277</v>
      </c>
      <c r="B676">
        <v>217704</v>
      </c>
      <c r="C676"/>
      <c r="D676"/>
      <c r="E676" t="s">
        <v>4167</v>
      </c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 t="s">
        <v>4277</v>
      </c>
      <c r="B677">
        <v>217705</v>
      </c>
      <c r="C677"/>
      <c r="D677" t="s">
        <v>1755</v>
      </c>
      <c r="E677">
        <v>4690</v>
      </c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 t="s">
        <v>4277</v>
      </c>
      <c r="B678">
        <v>217706</v>
      </c>
      <c r="C678"/>
      <c r="D678"/>
      <c r="E678" t="s">
        <v>4167</v>
      </c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 t="s">
        <v>4277</v>
      </c>
      <c r="B679">
        <v>217707</v>
      </c>
      <c r="C679"/>
      <c r="D679" t="s">
        <v>1761</v>
      </c>
      <c r="E679">
        <v>8890</v>
      </c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 t="s">
        <v>4277</v>
      </c>
      <c r="B680">
        <v>217708</v>
      </c>
      <c r="C680"/>
      <c r="D680"/>
      <c r="E680" t="s">
        <v>4167</v>
      </c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 t="s">
        <v>4277</v>
      </c>
      <c r="B681">
        <v>217709</v>
      </c>
      <c r="C681"/>
      <c r="D681"/>
      <c r="E681" t="s">
        <v>4167</v>
      </c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 t="s">
        <v>4277</v>
      </c>
      <c r="B682">
        <v>217710</v>
      </c>
      <c r="C682"/>
      <c r="D682"/>
      <c r="E682" t="s">
        <v>4167</v>
      </c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 t="s">
        <v>4277</v>
      </c>
      <c r="B683">
        <v>217711</v>
      </c>
      <c r="C683"/>
      <c r="D683"/>
      <c r="E683" t="s">
        <v>4167</v>
      </c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 t="s">
        <v>4277</v>
      </c>
      <c r="B684">
        <v>217712</v>
      </c>
      <c r="C684"/>
      <c r="D684" t="s">
        <v>1772</v>
      </c>
      <c r="E684">
        <v>1790</v>
      </c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ht="30" x14ac:dyDescent="0.25">
      <c r="A685" t="s">
        <v>4277</v>
      </c>
      <c r="B685">
        <v>217713</v>
      </c>
      <c r="C685"/>
      <c r="D685" t="s">
        <v>1775</v>
      </c>
      <c r="E685">
        <v>769</v>
      </c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ht="30" x14ac:dyDescent="0.25">
      <c r="A686" t="s">
        <v>4277</v>
      </c>
      <c r="B686">
        <v>217714</v>
      </c>
      <c r="C686"/>
      <c r="D686" t="s">
        <v>1778</v>
      </c>
      <c r="E686">
        <v>769</v>
      </c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 t="s">
        <v>4277</v>
      </c>
      <c r="B687">
        <v>217715</v>
      </c>
      <c r="C687"/>
      <c r="D687"/>
      <c r="E687" t="s">
        <v>4167</v>
      </c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 t="s">
        <v>4277</v>
      </c>
      <c r="B688">
        <v>217716</v>
      </c>
      <c r="C688"/>
      <c r="D688"/>
      <c r="E688" t="s">
        <v>4167</v>
      </c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 t="s">
        <v>4277</v>
      </c>
      <c r="B689">
        <v>217717</v>
      </c>
      <c r="C689"/>
      <c r="D689"/>
      <c r="E689" t="s">
        <v>4167</v>
      </c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 t="s">
        <v>4277</v>
      </c>
      <c r="B690">
        <v>217718</v>
      </c>
      <c r="C690"/>
      <c r="D690"/>
      <c r="E690" t="s">
        <v>4167</v>
      </c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 t="s">
        <v>4277</v>
      </c>
      <c r="B691">
        <v>217719</v>
      </c>
      <c r="C691"/>
      <c r="D691" t="s">
        <v>1790</v>
      </c>
      <c r="E691">
        <v>3490</v>
      </c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 t="s">
        <v>4277</v>
      </c>
      <c r="B692">
        <v>217720</v>
      </c>
      <c r="C692"/>
      <c r="D692"/>
      <c r="E692" t="s">
        <v>4167</v>
      </c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 t="s">
        <v>4277</v>
      </c>
      <c r="B693">
        <v>217721</v>
      </c>
      <c r="C693"/>
      <c r="D693"/>
      <c r="E693" t="s">
        <v>4167</v>
      </c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 t="s">
        <v>4277</v>
      </c>
      <c r="B694">
        <v>217722</v>
      </c>
      <c r="C694"/>
      <c r="D694"/>
      <c r="E694" t="s">
        <v>4167</v>
      </c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ht="30" x14ac:dyDescent="0.25">
      <c r="A695" t="s">
        <v>4277</v>
      </c>
      <c r="B695">
        <v>217857</v>
      </c>
      <c r="C695"/>
      <c r="D695" t="s">
        <v>1799</v>
      </c>
      <c r="E695">
        <v>949</v>
      </c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ht="30" x14ac:dyDescent="0.25">
      <c r="A696" t="s">
        <v>4277</v>
      </c>
      <c r="B696">
        <v>217858</v>
      </c>
      <c r="C696"/>
      <c r="D696" t="s">
        <v>1803</v>
      </c>
      <c r="E696">
        <v>829</v>
      </c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 t="s">
        <v>4277</v>
      </c>
      <c r="B697">
        <v>217859</v>
      </c>
      <c r="C697"/>
      <c r="D697" t="s">
        <v>1807</v>
      </c>
      <c r="E697">
        <v>829</v>
      </c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 t="s">
        <v>4277</v>
      </c>
      <c r="B698">
        <v>217860</v>
      </c>
      <c r="C698"/>
      <c r="D698"/>
      <c r="E698" t="s">
        <v>4167</v>
      </c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 t="s">
        <v>4277</v>
      </c>
      <c r="B699">
        <v>217861</v>
      </c>
      <c r="C699"/>
      <c r="D699"/>
      <c r="E699" t="s">
        <v>4167</v>
      </c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 t="s">
        <v>4277</v>
      </c>
      <c r="B700">
        <v>217862</v>
      </c>
      <c r="C700"/>
      <c r="D700" t="s">
        <v>1816</v>
      </c>
      <c r="E700">
        <v>829</v>
      </c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 t="s">
        <v>4277</v>
      </c>
      <c r="B701">
        <v>217863</v>
      </c>
      <c r="C701"/>
      <c r="D701"/>
      <c r="E701" t="s">
        <v>4167</v>
      </c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 t="s">
        <v>4277</v>
      </c>
      <c r="B702">
        <v>217864</v>
      </c>
      <c r="C702"/>
      <c r="D702"/>
      <c r="E702" t="s">
        <v>4167</v>
      </c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 t="s">
        <v>4277</v>
      </c>
      <c r="B703">
        <v>217865</v>
      </c>
      <c r="C703"/>
      <c r="D703" t="s">
        <v>1824</v>
      </c>
      <c r="E703">
        <v>1690</v>
      </c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 t="s">
        <v>4277</v>
      </c>
      <c r="B704">
        <v>217866</v>
      </c>
      <c r="C704"/>
      <c r="D704" t="s">
        <v>1827</v>
      </c>
      <c r="E704">
        <v>1390</v>
      </c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ht="30" x14ac:dyDescent="0.25">
      <c r="A705" t="s">
        <v>4277</v>
      </c>
      <c r="B705">
        <v>222945</v>
      </c>
      <c r="C705"/>
      <c r="D705" t="s">
        <v>1830</v>
      </c>
      <c r="E705">
        <v>3090</v>
      </c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 t="s">
        <v>4277</v>
      </c>
      <c r="B706">
        <v>223554</v>
      </c>
      <c r="C706"/>
      <c r="D706" t="s">
        <v>1834</v>
      </c>
      <c r="E706">
        <v>3290</v>
      </c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 t="s">
        <v>4277</v>
      </c>
      <c r="B707">
        <v>223555</v>
      </c>
      <c r="C707"/>
      <c r="D707"/>
      <c r="E707" t="s">
        <v>4167</v>
      </c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 t="s">
        <v>4277</v>
      </c>
      <c r="B708">
        <v>223559</v>
      </c>
      <c r="C708"/>
      <c r="D708"/>
      <c r="E708" t="s">
        <v>4167</v>
      </c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 t="s">
        <v>4277</v>
      </c>
      <c r="B709">
        <v>223560</v>
      </c>
      <c r="C709"/>
      <c r="D709"/>
      <c r="E709" t="s">
        <v>4167</v>
      </c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 t="s">
        <v>4277</v>
      </c>
      <c r="B710">
        <v>223561</v>
      </c>
      <c r="C710"/>
      <c r="D710"/>
      <c r="E710" t="s">
        <v>4167</v>
      </c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 t="s">
        <v>4277</v>
      </c>
      <c r="B711">
        <v>223562</v>
      </c>
      <c r="C711"/>
      <c r="D711"/>
      <c r="E711" t="s">
        <v>4167</v>
      </c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 t="s">
        <v>4277</v>
      </c>
      <c r="B712">
        <v>223563</v>
      </c>
      <c r="C712"/>
      <c r="D712"/>
      <c r="E712" t="s">
        <v>4167</v>
      </c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 t="s">
        <v>4277</v>
      </c>
      <c r="B713">
        <v>223564</v>
      </c>
      <c r="C713"/>
      <c r="D713"/>
      <c r="E713" t="s">
        <v>4167</v>
      </c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 t="s">
        <v>4277</v>
      </c>
      <c r="B714">
        <v>223565</v>
      </c>
      <c r="C714"/>
      <c r="D714"/>
      <c r="E714" t="s">
        <v>4167</v>
      </c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 t="s">
        <v>4277</v>
      </c>
      <c r="B715">
        <v>223566</v>
      </c>
      <c r="C715"/>
      <c r="D715" t="s">
        <v>1856</v>
      </c>
      <c r="E715">
        <v>1790</v>
      </c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ht="30" x14ac:dyDescent="0.25">
      <c r="A716" t="s">
        <v>4277</v>
      </c>
      <c r="B716">
        <v>223567</v>
      </c>
      <c r="C716"/>
      <c r="D716" t="s">
        <v>1860</v>
      </c>
      <c r="E716">
        <v>1090</v>
      </c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ht="30" x14ac:dyDescent="0.25">
      <c r="A717" t="s">
        <v>4277</v>
      </c>
      <c r="B717">
        <v>223568</v>
      </c>
      <c r="C717"/>
      <c r="D717" t="s">
        <v>1864</v>
      </c>
      <c r="E717">
        <v>1190</v>
      </c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 t="s">
        <v>4277</v>
      </c>
      <c r="B718">
        <v>223569</v>
      </c>
      <c r="C718"/>
      <c r="D718"/>
      <c r="E718" t="s">
        <v>4167</v>
      </c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ht="30" x14ac:dyDescent="0.25">
      <c r="A719" t="s">
        <v>4277</v>
      </c>
      <c r="B719">
        <v>223570</v>
      </c>
      <c r="C719"/>
      <c r="D719" t="s">
        <v>1869</v>
      </c>
      <c r="E719">
        <v>890</v>
      </c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ht="30" x14ac:dyDescent="0.25">
      <c r="A720" t="s">
        <v>4277</v>
      </c>
      <c r="B720">
        <v>223571</v>
      </c>
      <c r="C720"/>
      <c r="D720" t="s">
        <v>1872</v>
      </c>
      <c r="E720">
        <v>890</v>
      </c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ht="30" x14ac:dyDescent="0.25">
      <c r="A721" t="s">
        <v>4277</v>
      </c>
      <c r="B721">
        <v>223572</v>
      </c>
      <c r="C721"/>
      <c r="D721" t="s">
        <v>1875</v>
      </c>
      <c r="E721">
        <v>1390</v>
      </c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ht="30" x14ac:dyDescent="0.25">
      <c r="A722" t="s">
        <v>4277</v>
      </c>
      <c r="B722">
        <v>223573</v>
      </c>
      <c r="C722"/>
      <c r="D722" t="s">
        <v>1878</v>
      </c>
      <c r="E722">
        <v>1290</v>
      </c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ht="30" x14ac:dyDescent="0.25">
      <c r="A723" t="s">
        <v>4277</v>
      </c>
      <c r="B723">
        <v>223574</v>
      </c>
      <c r="C723"/>
      <c r="D723" t="s">
        <v>1881</v>
      </c>
      <c r="E723">
        <v>1890</v>
      </c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 t="s">
        <v>4277</v>
      </c>
      <c r="B724">
        <v>223581</v>
      </c>
      <c r="C724"/>
      <c r="D724"/>
      <c r="E724" t="s">
        <v>4167</v>
      </c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ht="30" x14ac:dyDescent="0.25">
      <c r="A725" t="s">
        <v>4277</v>
      </c>
      <c r="B725">
        <v>223582</v>
      </c>
      <c r="C725"/>
      <c r="D725" t="s">
        <v>1887</v>
      </c>
      <c r="E725">
        <v>1490</v>
      </c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 t="s">
        <v>4277</v>
      </c>
      <c r="B726">
        <v>223583</v>
      </c>
      <c r="C726"/>
      <c r="D726"/>
      <c r="E726" t="s">
        <v>4167</v>
      </c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 t="s">
        <v>4277</v>
      </c>
      <c r="B727">
        <v>223593</v>
      </c>
      <c r="C727"/>
      <c r="D727"/>
      <c r="E727" t="s">
        <v>4167</v>
      </c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ht="30" x14ac:dyDescent="0.25">
      <c r="A728" t="s">
        <v>4277</v>
      </c>
      <c r="B728">
        <v>223594</v>
      </c>
      <c r="C728"/>
      <c r="D728" t="s">
        <v>1895</v>
      </c>
      <c r="E728">
        <v>199</v>
      </c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 t="s">
        <v>4277</v>
      </c>
      <c r="B729">
        <v>223595</v>
      </c>
      <c r="C729"/>
      <c r="D729"/>
      <c r="E729" t="s">
        <v>4167</v>
      </c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ht="30" x14ac:dyDescent="0.25">
      <c r="A730" t="s">
        <v>4277</v>
      </c>
      <c r="B730">
        <v>223596</v>
      </c>
      <c r="C730"/>
      <c r="D730" t="s">
        <v>1900</v>
      </c>
      <c r="E730">
        <v>199</v>
      </c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 t="s">
        <v>4277</v>
      </c>
      <c r="B731">
        <v>223597</v>
      </c>
      <c r="C731"/>
      <c r="D731"/>
      <c r="E731" t="s">
        <v>4167</v>
      </c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 t="s">
        <v>4277</v>
      </c>
      <c r="B732">
        <v>223598</v>
      </c>
      <c r="C732"/>
      <c r="D732"/>
      <c r="E732" t="s">
        <v>4167</v>
      </c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 t="s">
        <v>4277</v>
      </c>
      <c r="B733">
        <v>223599</v>
      </c>
      <c r="C733"/>
      <c r="D733"/>
      <c r="E733" t="s">
        <v>4167</v>
      </c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 t="s">
        <v>4277</v>
      </c>
      <c r="B734">
        <v>223601</v>
      </c>
      <c r="C734"/>
      <c r="D734" t="s">
        <v>1909</v>
      </c>
      <c r="E734">
        <v>229</v>
      </c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 t="s">
        <v>4277</v>
      </c>
      <c r="B735">
        <v>223602</v>
      </c>
      <c r="C735"/>
      <c r="D735"/>
      <c r="E735" t="s">
        <v>4167</v>
      </c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 t="s">
        <v>4277</v>
      </c>
      <c r="B736">
        <v>223603</v>
      </c>
      <c r="C736"/>
      <c r="D736"/>
      <c r="E736" t="s">
        <v>4167</v>
      </c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 t="s">
        <v>4277</v>
      </c>
      <c r="B737">
        <v>223604</v>
      </c>
      <c r="C737"/>
      <c r="D737" t="s">
        <v>1918</v>
      </c>
      <c r="E737">
        <v>849</v>
      </c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ht="30" x14ac:dyDescent="0.25">
      <c r="A738" t="s">
        <v>4277</v>
      </c>
      <c r="B738">
        <v>223605</v>
      </c>
      <c r="C738"/>
      <c r="D738" t="s">
        <v>1921</v>
      </c>
      <c r="E738">
        <v>199</v>
      </c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ht="30" x14ac:dyDescent="0.25">
      <c r="A739" t="s">
        <v>4277</v>
      </c>
      <c r="B739">
        <v>223606</v>
      </c>
      <c r="C739"/>
      <c r="D739" t="s">
        <v>1924</v>
      </c>
      <c r="E739">
        <v>429</v>
      </c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 t="s">
        <v>4277</v>
      </c>
      <c r="B740">
        <v>223607</v>
      </c>
      <c r="C740"/>
      <c r="D740" t="s">
        <v>1927</v>
      </c>
      <c r="E740">
        <v>449</v>
      </c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 t="s">
        <v>4277</v>
      </c>
      <c r="B741">
        <v>223608</v>
      </c>
      <c r="C741"/>
      <c r="D741"/>
      <c r="E741" t="s">
        <v>4167</v>
      </c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 t="s">
        <v>4277</v>
      </c>
      <c r="B742">
        <v>223624</v>
      </c>
      <c r="C742"/>
      <c r="D742"/>
      <c r="E742" t="s">
        <v>4167</v>
      </c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 t="s">
        <v>4277</v>
      </c>
      <c r="B743">
        <v>223625</v>
      </c>
      <c r="C743"/>
      <c r="D743"/>
      <c r="E743" t="s">
        <v>4167</v>
      </c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ht="30" x14ac:dyDescent="0.25">
      <c r="A744" t="s">
        <v>4277</v>
      </c>
      <c r="B744">
        <v>223626</v>
      </c>
      <c r="C744"/>
      <c r="D744" t="s">
        <v>1936</v>
      </c>
      <c r="E744">
        <v>3390</v>
      </c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 t="s">
        <v>4277</v>
      </c>
      <c r="B745">
        <v>223627</v>
      </c>
      <c r="C745"/>
      <c r="D745"/>
      <c r="E745" t="s">
        <v>4167</v>
      </c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 t="s">
        <v>4277</v>
      </c>
      <c r="B746">
        <v>223628</v>
      </c>
      <c r="C746"/>
      <c r="D746"/>
      <c r="E746" t="s">
        <v>4167</v>
      </c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 t="s">
        <v>4277</v>
      </c>
      <c r="B747">
        <v>223629</v>
      </c>
      <c r="C747"/>
      <c r="D747"/>
      <c r="E747" t="s">
        <v>4167</v>
      </c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 t="s">
        <v>4277</v>
      </c>
      <c r="B748">
        <v>223630</v>
      </c>
      <c r="C748"/>
      <c r="D748"/>
      <c r="E748" t="s">
        <v>4167</v>
      </c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 t="s">
        <v>4277</v>
      </c>
      <c r="B749">
        <v>223631</v>
      </c>
      <c r="C749"/>
      <c r="D749"/>
      <c r="E749" t="s">
        <v>4167</v>
      </c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 t="s">
        <v>4277</v>
      </c>
      <c r="B750">
        <v>223632</v>
      </c>
      <c r="C750"/>
      <c r="D750"/>
      <c r="E750" t="s">
        <v>4167</v>
      </c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 t="s">
        <v>4277</v>
      </c>
      <c r="B751">
        <v>223633</v>
      </c>
      <c r="C751"/>
      <c r="D751"/>
      <c r="E751" t="s">
        <v>4167</v>
      </c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 t="s">
        <v>4277</v>
      </c>
      <c r="B752">
        <v>223641</v>
      </c>
      <c r="C752"/>
      <c r="D752"/>
      <c r="E752" t="s">
        <v>4167</v>
      </c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 t="s">
        <v>4277</v>
      </c>
      <c r="B753">
        <v>223645</v>
      </c>
      <c r="C753"/>
      <c r="D753"/>
      <c r="E753" t="s">
        <v>4167</v>
      </c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 t="s">
        <v>4277</v>
      </c>
      <c r="B754">
        <v>223646</v>
      </c>
      <c r="C754"/>
      <c r="D754"/>
      <c r="E754" t="s">
        <v>4167</v>
      </c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 t="s">
        <v>4277</v>
      </c>
      <c r="B755">
        <v>223648</v>
      </c>
      <c r="C755"/>
      <c r="D755" t="s">
        <v>1959</v>
      </c>
      <c r="E755">
        <v>1390</v>
      </c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ht="30" x14ac:dyDescent="0.25">
      <c r="A756" t="s">
        <v>4277</v>
      </c>
      <c r="B756">
        <v>223649</v>
      </c>
      <c r="C756"/>
      <c r="D756" t="s">
        <v>1963</v>
      </c>
      <c r="E756">
        <v>1490</v>
      </c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 t="s">
        <v>4277</v>
      </c>
      <c r="B757">
        <v>223650</v>
      </c>
      <c r="C757"/>
      <c r="D757"/>
      <c r="E757" t="s">
        <v>4167</v>
      </c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ht="30" x14ac:dyDescent="0.25">
      <c r="A758" t="s">
        <v>4277</v>
      </c>
      <c r="B758">
        <v>223651</v>
      </c>
      <c r="C758"/>
      <c r="D758" t="s">
        <v>1968</v>
      </c>
      <c r="E758">
        <v>590</v>
      </c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ht="30" x14ac:dyDescent="0.25">
      <c r="A759" t="s">
        <v>4277</v>
      </c>
      <c r="B759">
        <v>223652</v>
      </c>
      <c r="C759"/>
      <c r="D759" t="s">
        <v>1971</v>
      </c>
      <c r="E759">
        <v>1490</v>
      </c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ht="30" x14ac:dyDescent="0.25">
      <c r="A760" t="s">
        <v>4277</v>
      </c>
      <c r="B760">
        <v>223653</v>
      </c>
      <c r="C760"/>
      <c r="D760" t="s">
        <v>1974</v>
      </c>
      <c r="E760">
        <v>1990</v>
      </c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ht="30" x14ac:dyDescent="0.25">
      <c r="A761" t="s">
        <v>4277</v>
      </c>
      <c r="B761">
        <v>223654</v>
      </c>
      <c r="C761"/>
      <c r="D761" t="s">
        <v>1977</v>
      </c>
      <c r="E761">
        <v>2190</v>
      </c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 t="s">
        <v>4277</v>
      </c>
      <c r="B762">
        <v>223655</v>
      </c>
      <c r="C762"/>
      <c r="D762"/>
      <c r="E762" t="s">
        <v>4167</v>
      </c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 t="s">
        <v>4277</v>
      </c>
      <c r="B763">
        <v>223656</v>
      </c>
      <c r="C763"/>
      <c r="D763"/>
      <c r="E763" t="s">
        <v>4167</v>
      </c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 t="s">
        <v>4277</v>
      </c>
      <c r="B764">
        <v>223657</v>
      </c>
      <c r="C764"/>
      <c r="D764" t="s">
        <v>1985</v>
      </c>
      <c r="E764">
        <v>290</v>
      </c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 t="s">
        <v>4277</v>
      </c>
      <c r="B765">
        <v>223658</v>
      </c>
      <c r="C765"/>
      <c r="D765" t="s">
        <v>1988</v>
      </c>
      <c r="E765">
        <v>169</v>
      </c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 t="s">
        <v>4277</v>
      </c>
      <c r="B766">
        <v>223660</v>
      </c>
      <c r="C766"/>
      <c r="D766"/>
      <c r="E766" t="s">
        <v>4167</v>
      </c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 t="s">
        <v>4277</v>
      </c>
      <c r="B767">
        <v>223661</v>
      </c>
      <c r="C767"/>
      <c r="D767" t="s">
        <v>1993</v>
      </c>
      <c r="E767">
        <v>199</v>
      </c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 t="s">
        <v>4277</v>
      </c>
      <c r="B768">
        <v>223662</v>
      </c>
      <c r="C768"/>
      <c r="D768" t="s">
        <v>1996</v>
      </c>
      <c r="E768">
        <v>169</v>
      </c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ht="30" x14ac:dyDescent="0.25">
      <c r="A769" t="s">
        <v>4277</v>
      </c>
      <c r="B769">
        <v>223663</v>
      </c>
      <c r="C769" t="s">
        <v>4240</v>
      </c>
      <c r="D769" t="s">
        <v>4239</v>
      </c>
      <c r="E769">
        <v>1490</v>
      </c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ht="30" x14ac:dyDescent="0.25">
      <c r="A770" t="s">
        <v>4277</v>
      </c>
      <c r="B770">
        <v>223664</v>
      </c>
      <c r="C770">
        <v>1490</v>
      </c>
      <c r="D770" t="s">
        <v>4241</v>
      </c>
      <c r="E770">
        <v>1490</v>
      </c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 t="s">
        <v>4277</v>
      </c>
      <c r="B771">
        <v>223665</v>
      </c>
      <c r="C771" t="s">
        <v>4170</v>
      </c>
      <c r="D771"/>
      <c r="E771" t="s">
        <v>4167</v>
      </c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ht="30" x14ac:dyDescent="0.25">
      <c r="A772" t="s">
        <v>4277</v>
      </c>
      <c r="B772">
        <v>223666</v>
      </c>
      <c r="C772"/>
      <c r="D772" t="s">
        <v>2005</v>
      </c>
      <c r="E772">
        <v>169</v>
      </c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 t="s">
        <v>4277</v>
      </c>
      <c r="B773">
        <v>223667</v>
      </c>
      <c r="C773" t="s">
        <v>4170</v>
      </c>
      <c r="D773"/>
      <c r="E773" t="s">
        <v>4167</v>
      </c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 t="s">
        <v>4277</v>
      </c>
      <c r="B774">
        <v>223668</v>
      </c>
      <c r="C774">
        <v>2190</v>
      </c>
      <c r="D774" t="s">
        <v>4242</v>
      </c>
      <c r="E774">
        <v>2190</v>
      </c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ht="30" x14ac:dyDescent="0.25">
      <c r="A775" t="s">
        <v>4277</v>
      </c>
      <c r="B775">
        <v>223669</v>
      </c>
      <c r="C775">
        <v>2190</v>
      </c>
      <c r="D775" t="s">
        <v>4243</v>
      </c>
      <c r="E775">
        <v>2190</v>
      </c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 t="s">
        <v>4277</v>
      </c>
      <c r="B776">
        <v>223670</v>
      </c>
      <c r="C776" t="s">
        <v>4170</v>
      </c>
      <c r="D776"/>
      <c r="E776" t="s">
        <v>4167</v>
      </c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ht="30" x14ac:dyDescent="0.25">
      <c r="A777" t="s">
        <v>4277</v>
      </c>
      <c r="B777">
        <v>223673</v>
      </c>
      <c r="C777"/>
      <c r="D777" t="s">
        <v>2016</v>
      </c>
      <c r="E777">
        <v>249</v>
      </c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ht="30" x14ac:dyDescent="0.25">
      <c r="A778" t="s">
        <v>4277</v>
      </c>
      <c r="B778">
        <v>223678</v>
      </c>
      <c r="C778"/>
      <c r="D778" t="s">
        <v>2019</v>
      </c>
      <c r="E778">
        <v>1790</v>
      </c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ht="30" x14ac:dyDescent="0.25">
      <c r="A779" t="s">
        <v>4277</v>
      </c>
      <c r="B779">
        <v>223679</v>
      </c>
      <c r="C779"/>
      <c r="D779" t="s">
        <v>2023</v>
      </c>
      <c r="E779">
        <v>1690</v>
      </c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 t="s">
        <v>4277</v>
      </c>
      <c r="B780">
        <v>223680</v>
      </c>
      <c r="C780"/>
      <c r="D780"/>
      <c r="E780" t="s">
        <v>4167</v>
      </c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 t="s">
        <v>4277</v>
      </c>
      <c r="B781">
        <v>223681</v>
      </c>
      <c r="C781"/>
      <c r="D781" t="s">
        <v>2028</v>
      </c>
      <c r="E781">
        <v>5090</v>
      </c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 t="s">
        <v>4277</v>
      </c>
      <c r="B782">
        <v>223682</v>
      </c>
      <c r="C782"/>
      <c r="D782" t="s">
        <v>2031</v>
      </c>
      <c r="E782">
        <v>4790</v>
      </c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 t="s">
        <v>4277</v>
      </c>
      <c r="B783">
        <v>223683</v>
      </c>
      <c r="C783"/>
      <c r="D783"/>
      <c r="E783" t="s">
        <v>4167</v>
      </c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 t="s">
        <v>4277</v>
      </c>
      <c r="B784">
        <v>223684</v>
      </c>
      <c r="C784"/>
      <c r="D784"/>
      <c r="E784" t="s">
        <v>4167</v>
      </c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 t="s">
        <v>4277</v>
      </c>
      <c r="B785">
        <v>223685</v>
      </c>
      <c r="C785"/>
      <c r="D785"/>
      <c r="E785" t="s">
        <v>4167</v>
      </c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ht="30" x14ac:dyDescent="0.25">
      <c r="A786" t="s">
        <v>4277</v>
      </c>
      <c r="B786">
        <v>223686</v>
      </c>
      <c r="C786"/>
      <c r="D786" t="s">
        <v>2043</v>
      </c>
      <c r="E786">
        <v>3090</v>
      </c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 t="s">
        <v>4277</v>
      </c>
      <c r="B787">
        <v>223687</v>
      </c>
      <c r="C787"/>
      <c r="D787" t="s">
        <v>2047</v>
      </c>
      <c r="E787">
        <v>7800</v>
      </c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 t="s">
        <v>4277</v>
      </c>
      <c r="B788">
        <v>223690</v>
      </c>
      <c r="C788"/>
      <c r="D788"/>
      <c r="E788" t="s">
        <v>4167</v>
      </c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 t="s">
        <v>4277</v>
      </c>
      <c r="B789">
        <v>223688</v>
      </c>
      <c r="C789"/>
      <c r="D789"/>
      <c r="E789" t="s">
        <v>4167</v>
      </c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 t="s">
        <v>4277</v>
      </c>
      <c r="B790">
        <v>223689</v>
      </c>
      <c r="C790"/>
      <c r="D790"/>
      <c r="E790" t="s">
        <v>4167</v>
      </c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 t="s">
        <v>4277</v>
      </c>
      <c r="B791">
        <v>223691</v>
      </c>
      <c r="C791"/>
      <c r="D791"/>
      <c r="E791" t="s">
        <v>4167</v>
      </c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ht="30" x14ac:dyDescent="0.25">
      <c r="A792" t="s">
        <v>4277</v>
      </c>
      <c r="B792">
        <v>223692</v>
      </c>
      <c r="C792"/>
      <c r="D792" t="s">
        <v>2058</v>
      </c>
      <c r="E792">
        <v>3290</v>
      </c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 t="s">
        <v>4277</v>
      </c>
      <c r="B793">
        <v>223695</v>
      </c>
      <c r="C793"/>
      <c r="D793" t="s">
        <v>2061</v>
      </c>
      <c r="E793">
        <v>1529</v>
      </c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 t="s">
        <v>4277</v>
      </c>
      <c r="B794">
        <v>223696</v>
      </c>
      <c r="C794"/>
      <c r="D794" t="s">
        <v>2064</v>
      </c>
      <c r="E794">
        <v>390</v>
      </c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 t="s">
        <v>4277</v>
      </c>
      <c r="B795">
        <v>223700</v>
      </c>
      <c r="C795"/>
      <c r="D795"/>
      <c r="E795" t="s">
        <v>4167</v>
      </c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 t="s">
        <v>4277</v>
      </c>
      <c r="B796">
        <v>223701</v>
      </c>
      <c r="C796"/>
      <c r="D796"/>
      <c r="E796" t="s">
        <v>4167</v>
      </c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 t="s">
        <v>4277</v>
      </c>
      <c r="B797">
        <v>223702</v>
      </c>
      <c r="C797"/>
      <c r="D797"/>
      <c r="E797" t="s">
        <v>4167</v>
      </c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 t="s">
        <v>4277</v>
      </c>
      <c r="B798">
        <v>223703</v>
      </c>
      <c r="C798"/>
      <c r="D798"/>
      <c r="E798" t="s">
        <v>4167</v>
      </c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 t="s">
        <v>4277</v>
      </c>
      <c r="B799">
        <v>224140</v>
      </c>
      <c r="C799"/>
      <c r="D799"/>
      <c r="E799" t="s">
        <v>4167</v>
      </c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 t="s">
        <v>4277</v>
      </c>
      <c r="B800">
        <v>226774</v>
      </c>
      <c r="C800" t="s">
        <v>4170</v>
      </c>
      <c r="D800"/>
      <c r="E800" t="s">
        <v>4167</v>
      </c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 t="s">
        <v>4277</v>
      </c>
      <c r="B801">
        <v>226776</v>
      </c>
      <c r="C801" t="s">
        <v>4170</v>
      </c>
      <c r="D801"/>
      <c r="E801" t="s">
        <v>4167</v>
      </c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 t="s">
        <v>4277</v>
      </c>
      <c r="B802">
        <v>226802</v>
      </c>
      <c r="C802"/>
      <c r="D802"/>
      <c r="E802" t="s">
        <v>4167</v>
      </c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 t="s">
        <v>4277</v>
      </c>
      <c r="B803">
        <v>226803</v>
      </c>
      <c r="C803">
        <v>12190</v>
      </c>
      <c r="D803" t="s">
        <v>2088</v>
      </c>
      <c r="E803">
        <v>12190</v>
      </c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 t="s">
        <v>4277</v>
      </c>
      <c r="B804">
        <v>226804</v>
      </c>
      <c r="C804" t="s">
        <v>4169</v>
      </c>
      <c r="D804"/>
      <c r="E804" t="s">
        <v>4167</v>
      </c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 t="s">
        <v>4277</v>
      </c>
      <c r="B805">
        <v>226805</v>
      </c>
      <c r="C805"/>
      <c r="D805" t="s">
        <v>2088</v>
      </c>
      <c r="E805">
        <v>12190</v>
      </c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 t="s">
        <v>4277</v>
      </c>
      <c r="B806">
        <v>226819</v>
      </c>
      <c r="C806"/>
      <c r="D806"/>
      <c r="E806" t="s">
        <v>4167</v>
      </c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 t="s">
        <v>4277</v>
      </c>
      <c r="B807">
        <v>226820</v>
      </c>
      <c r="C807"/>
      <c r="D807"/>
      <c r="E807" t="s">
        <v>4167</v>
      </c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 t="s">
        <v>4277</v>
      </c>
      <c r="B808" t="s">
        <v>0</v>
      </c>
      <c r="C808" t="s">
        <v>4162</v>
      </c>
      <c r="D808" t="s">
        <v>4162</v>
      </c>
      <c r="E808" t="s">
        <v>4167</v>
      </c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 t="s">
        <v>4277</v>
      </c>
      <c r="B809">
        <v>257274</v>
      </c>
      <c r="C809"/>
      <c r="D809" t="s">
        <v>2113</v>
      </c>
      <c r="E809">
        <v>8390</v>
      </c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ht="30" x14ac:dyDescent="0.25">
      <c r="A810" t="s">
        <v>4277</v>
      </c>
      <c r="B810">
        <v>257292</v>
      </c>
      <c r="C810"/>
      <c r="D810" t="s">
        <v>2121</v>
      </c>
      <c r="E810">
        <v>8490</v>
      </c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 t="s">
        <v>4277</v>
      </c>
      <c r="B811">
        <v>242806</v>
      </c>
      <c r="C811" t="s">
        <v>4170</v>
      </c>
      <c r="D811"/>
      <c r="E811" t="s">
        <v>4167</v>
      </c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 t="s">
        <v>4277</v>
      </c>
      <c r="B812">
        <v>242813</v>
      </c>
      <c r="C812" t="s">
        <v>4170</v>
      </c>
      <c r="D812"/>
      <c r="E812" t="s">
        <v>4167</v>
      </c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ht="30" x14ac:dyDescent="0.25">
      <c r="A813" t="s">
        <v>4277</v>
      </c>
      <c r="B813">
        <v>242826</v>
      </c>
      <c r="C813"/>
      <c r="D813" t="s">
        <v>2143</v>
      </c>
      <c r="E813">
        <v>10990</v>
      </c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 t="s">
        <v>4277</v>
      </c>
      <c r="B814">
        <v>242845</v>
      </c>
      <c r="C814"/>
      <c r="D814" t="s">
        <v>2151</v>
      </c>
      <c r="E814">
        <v>8490</v>
      </c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 t="s">
        <v>4277</v>
      </c>
      <c r="B815">
        <v>265985</v>
      </c>
      <c r="C815"/>
      <c r="D815" t="s">
        <v>2159</v>
      </c>
      <c r="E815">
        <v>4290</v>
      </c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 t="s">
        <v>4277</v>
      </c>
      <c r="B816">
        <v>242979</v>
      </c>
      <c r="C816"/>
      <c r="D816" t="s">
        <v>2167</v>
      </c>
      <c r="E816">
        <v>2190</v>
      </c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 t="s">
        <v>4277</v>
      </c>
      <c r="B817">
        <v>243014</v>
      </c>
      <c r="C817"/>
      <c r="D817" t="s">
        <v>2167</v>
      </c>
      <c r="E817">
        <v>2190</v>
      </c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 t="s">
        <v>4277</v>
      </c>
      <c r="B818">
        <v>243049</v>
      </c>
      <c r="C818"/>
      <c r="D818" t="s">
        <v>2167</v>
      </c>
      <c r="E818">
        <v>2190</v>
      </c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 t="s">
        <v>4277</v>
      </c>
      <c r="B819">
        <v>243084</v>
      </c>
      <c r="C819"/>
      <c r="D819" t="s">
        <v>2167</v>
      </c>
      <c r="E819">
        <v>2190</v>
      </c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 t="s">
        <v>4277</v>
      </c>
      <c r="B820">
        <v>243119</v>
      </c>
      <c r="C820"/>
      <c r="D820" t="s">
        <v>2199</v>
      </c>
      <c r="E820">
        <v>2390</v>
      </c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ht="30" x14ac:dyDescent="0.25">
      <c r="A821" t="s">
        <v>4277</v>
      </c>
      <c r="B821">
        <v>243196</v>
      </c>
      <c r="C821"/>
      <c r="D821" t="s">
        <v>2207</v>
      </c>
      <c r="E821">
        <v>10390</v>
      </c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ht="30" x14ac:dyDescent="0.25">
      <c r="A822" t="s">
        <v>4277</v>
      </c>
      <c r="B822">
        <v>243349</v>
      </c>
      <c r="C822"/>
      <c r="D822" t="s">
        <v>2215</v>
      </c>
      <c r="E822">
        <v>7890</v>
      </c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 t="s">
        <v>4277</v>
      </c>
      <c r="B823">
        <v>243365</v>
      </c>
      <c r="C823"/>
      <c r="D823" t="s">
        <v>2199</v>
      </c>
      <c r="E823">
        <v>2390</v>
      </c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ht="30" x14ac:dyDescent="0.25">
      <c r="A824" t="s">
        <v>4277</v>
      </c>
      <c r="B824">
        <v>244304</v>
      </c>
      <c r="C824"/>
      <c r="D824" t="s">
        <v>2231</v>
      </c>
      <c r="E824">
        <v>21190</v>
      </c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ht="30" x14ac:dyDescent="0.25">
      <c r="A825" t="s">
        <v>4277</v>
      </c>
      <c r="B825">
        <v>244316</v>
      </c>
      <c r="C825"/>
      <c r="D825" t="s">
        <v>2239</v>
      </c>
      <c r="E825">
        <v>21190</v>
      </c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 t="s">
        <v>4277</v>
      </c>
      <c r="B826">
        <v>244327</v>
      </c>
      <c r="C826"/>
      <c r="D826" t="s">
        <v>2247</v>
      </c>
      <c r="E826">
        <v>30790</v>
      </c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 t="s">
        <v>4277</v>
      </c>
      <c r="B827">
        <v>266099</v>
      </c>
      <c r="C827" t="s">
        <v>4170</v>
      </c>
      <c r="D827"/>
      <c r="E827" t="s">
        <v>4167</v>
      </c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 t="s">
        <v>4277</v>
      </c>
      <c r="B828">
        <v>266125</v>
      </c>
      <c r="C828" t="s">
        <v>4170</v>
      </c>
      <c r="D828"/>
      <c r="E828" t="s">
        <v>4167</v>
      </c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 t="s">
        <v>4277</v>
      </c>
      <c r="B829">
        <v>266159</v>
      </c>
      <c r="C829" t="s">
        <v>4170</v>
      </c>
      <c r="D829"/>
      <c r="E829" t="s">
        <v>4167</v>
      </c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 t="s">
        <v>4277</v>
      </c>
      <c r="B830">
        <v>266185</v>
      </c>
      <c r="C830" t="s">
        <v>4170</v>
      </c>
      <c r="D830"/>
      <c r="E830" t="s">
        <v>4167</v>
      </c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 t="s">
        <v>4277</v>
      </c>
      <c r="B831">
        <v>265072</v>
      </c>
      <c r="C831"/>
      <c r="D831" t="s">
        <v>2283</v>
      </c>
      <c r="E831">
        <v>30390</v>
      </c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 t="s">
        <v>4277</v>
      </c>
      <c r="B832">
        <v>265084</v>
      </c>
      <c r="C832"/>
      <c r="D832" t="s">
        <v>2291</v>
      </c>
      <c r="E832">
        <v>15690</v>
      </c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 t="s">
        <v>4277</v>
      </c>
      <c r="B833">
        <v>265096</v>
      </c>
      <c r="C833"/>
      <c r="D833" t="s">
        <v>2299</v>
      </c>
      <c r="E833">
        <v>15390</v>
      </c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 t="s">
        <v>4277</v>
      </c>
      <c r="B834">
        <v>265108</v>
      </c>
      <c r="C834"/>
      <c r="D834" t="s">
        <v>2291</v>
      </c>
      <c r="E834">
        <v>15690</v>
      </c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 t="s">
        <v>4277</v>
      </c>
      <c r="B835">
        <v>265139</v>
      </c>
      <c r="C835"/>
      <c r="D835" t="s">
        <v>2315</v>
      </c>
      <c r="E835">
        <v>17990</v>
      </c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 t="s">
        <v>4277</v>
      </c>
      <c r="B836">
        <v>142213</v>
      </c>
      <c r="C836"/>
      <c r="D836" t="s">
        <v>2323</v>
      </c>
      <c r="E836">
        <v>17190</v>
      </c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 t="s">
        <v>4277</v>
      </c>
      <c r="B837">
        <v>265170</v>
      </c>
      <c r="C837"/>
      <c r="D837" t="s">
        <v>2331</v>
      </c>
      <c r="E837">
        <v>12790</v>
      </c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ht="30" x14ac:dyDescent="0.25">
      <c r="A838" t="s">
        <v>4277</v>
      </c>
      <c r="B838">
        <v>244225</v>
      </c>
      <c r="C838"/>
      <c r="D838" t="s">
        <v>2339</v>
      </c>
      <c r="E838">
        <v>20390</v>
      </c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 t="s">
        <v>4277</v>
      </c>
      <c r="B839">
        <v>244231</v>
      </c>
      <c r="C839"/>
      <c r="D839" t="s">
        <v>2347</v>
      </c>
      <c r="E839">
        <v>31490</v>
      </c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 t="s">
        <v>4277</v>
      </c>
      <c r="B840">
        <v>244249</v>
      </c>
      <c r="C840"/>
      <c r="D840" t="s">
        <v>2355</v>
      </c>
      <c r="E840">
        <v>30990</v>
      </c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 t="s">
        <v>4277</v>
      </c>
      <c r="B841">
        <v>244267</v>
      </c>
      <c r="C841"/>
      <c r="D841" t="s">
        <v>2363</v>
      </c>
      <c r="E841">
        <v>31490</v>
      </c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 t="s">
        <v>4277</v>
      </c>
      <c r="B842">
        <v>244285</v>
      </c>
      <c r="C842"/>
      <c r="D842" t="s">
        <v>2370</v>
      </c>
      <c r="E842">
        <v>34990</v>
      </c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 t="s">
        <v>4277</v>
      </c>
      <c r="B843">
        <v>244346</v>
      </c>
      <c r="C843"/>
      <c r="D843" t="s">
        <v>2378</v>
      </c>
      <c r="E843">
        <v>34990</v>
      </c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 t="s">
        <v>4277</v>
      </c>
      <c r="B844">
        <v>258049</v>
      </c>
      <c r="C844"/>
      <c r="D844" t="s">
        <v>2386</v>
      </c>
      <c r="E844">
        <v>249</v>
      </c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 t="s">
        <v>4277</v>
      </c>
      <c r="B845">
        <v>258062</v>
      </c>
      <c r="C845" t="s">
        <v>4170</v>
      </c>
      <c r="D845"/>
      <c r="E845" t="s">
        <v>4167</v>
      </c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 t="s">
        <v>4277</v>
      </c>
      <c r="B846">
        <v>258069</v>
      </c>
      <c r="C846" t="s">
        <v>4170</v>
      </c>
      <c r="D846"/>
      <c r="E846" t="s">
        <v>4167</v>
      </c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 t="s">
        <v>4277</v>
      </c>
      <c r="B847">
        <v>244635</v>
      </c>
      <c r="C847" t="s">
        <v>4170</v>
      </c>
      <c r="D847"/>
      <c r="E847" t="s">
        <v>4167</v>
      </c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ht="30" x14ac:dyDescent="0.25">
      <c r="A848" t="s">
        <v>4277</v>
      </c>
      <c r="B848">
        <v>244702</v>
      </c>
      <c r="C848"/>
      <c r="D848" t="s">
        <v>2414</v>
      </c>
      <c r="E848">
        <v>9390</v>
      </c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 t="s">
        <v>4277</v>
      </c>
      <c r="B849">
        <v>147054</v>
      </c>
      <c r="C849" t="s">
        <v>4170</v>
      </c>
      <c r="D849"/>
      <c r="E849" t="s">
        <v>4167</v>
      </c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 t="s">
        <v>4277</v>
      </c>
      <c r="B850">
        <v>266410</v>
      </c>
      <c r="C850"/>
      <c r="D850" t="s">
        <v>2429</v>
      </c>
      <c r="E850">
        <v>5890</v>
      </c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 t="s">
        <v>4277</v>
      </c>
      <c r="B851">
        <v>266442</v>
      </c>
      <c r="C851"/>
      <c r="D851" t="s">
        <v>2429</v>
      </c>
      <c r="E851">
        <v>5890</v>
      </c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 t="s">
        <v>4277</v>
      </c>
      <c r="B852">
        <v>244834</v>
      </c>
      <c r="C852"/>
      <c r="D852" t="s">
        <v>2445</v>
      </c>
      <c r="E852">
        <v>1890</v>
      </c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 t="s">
        <v>4277</v>
      </c>
      <c r="B853">
        <v>244861</v>
      </c>
      <c r="C853"/>
      <c r="D853" t="s">
        <v>2453</v>
      </c>
      <c r="E853">
        <v>2290</v>
      </c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 t="s">
        <v>4277</v>
      </c>
      <c r="B854">
        <v>149531</v>
      </c>
      <c r="C854"/>
      <c r="D854" t="s">
        <v>2460</v>
      </c>
      <c r="E854">
        <v>1990</v>
      </c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 t="s">
        <v>4277</v>
      </c>
      <c r="B855">
        <v>258207</v>
      </c>
      <c r="C855"/>
      <c r="D855" t="s">
        <v>2468</v>
      </c>
      <c r="E855">
        <v>4990</v>
      </c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 t="s">
        <v>4277</v>
      </c>
      <c r="B856">
        <v>244889</v>
      </c>
      <c r="C856"/>
      <c r="D856" t="s">
        <v>2468</v>
      </c>
      <c r="E856">
        <v>4990</v>
      </c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 t="s">
        <v>4277</v>
      </c>
      <c r="B857">
        <v>244920</v>
      </c>
      <c r="C857"/>
      <c r="D857" t="s">
        <v>2484</v>
      </c>
      <c r="E857">
        <v>2290</v>
      </c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 t="s">
        <v>4277</v>
      </c>
      <c r="B858">
        <v>249905</v>
      </c>
      <c r="C858"/>
      <c r="D858" t="s">
        <v>2492</v>
      </c>
      <c r="E858">
        <v>3590</v>
      </c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 t="s">
        <v>4277</v>
      </c>
      <c r="B859">
        <v>244951</v>
      </c>
      <c r="C859"/>
      <c r="D859" t="s">
        <v>2500</v>
      </c>
      <c r="E859">
        <v>2290</v>
      </c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 t="s">
        <v>4277</v>
      </c>
      <c r="B860">
        <v>244982</v>
      </c>
      <c r="C860"/>
      <c r="D860" t="s">
        <v>2508</v>
      </c>
      <c r="E860">
        <v>3490</v>
      </c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 t="s">
        <v>4277</v>
      </c>
      <c r="B861">
        <v>244998</v>
      </c>
      <c r="C861"/>
      <c r="D861" t="s">
        <v>2151</v>
      </c>
      <c r="E861">
        <v>8490</v>
      </c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 t="s">
        <v>4277</v>
      </c>
      <c r="B862">
        <v>245018</v>
      </c>
      <c r="C862"/>
      <c r="D862" t="s">
        <v>2460</v>
      </c>
      <c r="E862">
        <v>1990</v>
      </c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 t="s">
        <v>4277</v>
      </c>
      <c r="B863">
        <v>266472</v>
      </c>
      <c r="C863"/>
      <c r="D863" t="s">
        <v>2532</v>
      </c>
      <c r="E863">
        <v>4390</v>
      </c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 t="s">
        <v>4277</v>
      </c>
      <c r="B864">
        <v>266500</v>
      </c>
      <c r="C864"/>
      <c r="D864" t="s">
        <v>2540</v>
      </c>
      <c r="E864">
        <v>2690</v>
      </c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 t="s">
        <v>4277</v>
      </c>
      <c r="B865">
        <v>265187</v>
      </c>
      <c r="C865"/>
      <c r="D865" t="s">
        <v>2548</v>
      </c>
      <c r="E865">
        <v>9190</v>
      </c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 t="s">
        <v>4277</v>
      </c>
      <c r="B866">
        <v>154865</v>
      </c>
      <c r="C866"/>
      <c r="D866" t="s">
        <v>2556</v>
      </c>
      <c r="E866">
        <v>14990</v>
      </c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 t="s">
        <v>4277</v>
      </c>
      <c r="B867">
        <v>160844</v>
      </c>
      <c r="C867"/>
      <c r="D867" t="s">
        <v>2563</v>
      </c>
      <c r="E867">
        <v>8490</v>
      </c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ht="30" x14ac:dyDescent="0.25">
      <c r="A868" t="s">
        <v>4277</v>
      </c>
      <c r="B868">
        <v>160845</v>
      </c>
      <c r="C868"/>
      <c r="D868" t="s">
        <v>2571</v>
      </c>
      <c r="E868">
        <v>8490</v>
      </c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ht="30" x14ac:dyDescent="0.25">
      <c r="A869" t="s">
        <v>4277</v>
      </c>
      <c r="B869">
        <v>247492</v>
      </c>
      <c r="C869"/>
      <c r="D869" t="s">
        <v>2579</v>
      </c>
      <c r="E869">
        <v>9990</v>
      </c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ht="30" x14ac:dyDescent="0.25">
      <c r="A870" t="s">
        <v>4277</v>
      </c>
      <c r="B870">
        <v>247493</v>
      </c>
      <c r="C870" t="s">
        <v>4209</v>
      </c>
      <c r="D870" t="s">
        <v>2579</v>
      </c>
      <c r="E870">
        <v>9990</v>
      </c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 t="s">
        <v>4277</v>
      </c>
      <c r="B871">
        <v>247514</v>
      </c>
      <c r="C871"/>
      <c r="D871" t="s">
        <v>2594</v>
      </c>
      <c r="E871">
        <v>4690</v>
      </c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 t="s">
        <v>4277</v>
      </c>
      <c r="B872">
        <v>247530</v>
      </c>
      <c r="C872"/>
      <c r="D872" t="s">
        <v>2602</v>
      </c>
      <c r="E872">
        <v>4490</v>
      </c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ht="30" x14ac:dyDescent="0.25">
      <c r="A873" t="s">
        <v>4277</v>
      </c>
      <c r="B873">
        <v>247547</v>
      </c>
      <c r="C873"/>
      <c r="D873" t="s">
        <v>2609</v>
      </c>
      <c r="E873">
        <v>9990</v>
      </c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 t="s">
        <v>4277</v>
      </c>
      <c r="B874">
        <v>160870</v>
      </c>
      <c r="C874"/>
      <c r="D874" t="s">
        <v>2617</v>
      </c>
      <c r="E874">
        <v>8590</v>
      </c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ht="30" x14ac:dyDescent="0.25">
      <c r="A875" t="s">
        <v>4277</v>
      </c>
      <c r="B875">
        <v>160871</v>
      </c>
      <c r="C875"/>
      <c r="D875" t="s">
        <v>2625</v>
      </c>
      <c r="E875">
        <v>8490</v>
      </c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 t="s">
        <v>4277</v>
      </c>
      <c r="B876">
        <v>160929</v>
      </c>
      <c r="C876"/>
      <c r="D876" t="s">
        <v>2633</v>
      </c>
      <c r="E876">
        <v>2690</v>
      </c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 t="s">
        <v>4277</v>
      </c>
      <c r="B877">
        <v>160956</v>
      </c>
      <c r="C877"/>
      <c r="D877" t="s">
        <v>2641</v>
      </c>
      <c r="E877">
        <v>8990</v>
      </c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 t="s">
        <v>4277</v>
      </c>
      <c r="B878">
        <v>160987</v>
      </c>
      <c r="C878"/>
      <c r="D878" t="s">
        <v>2649</v>
      </c>
      <c r="E878">
        <v>8490</v>
      </c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 t="s">
        <v>4277</v>
      </c>
      <c r="B879">
        <v>160988</v>
      </c>
      <c r="C879"/>
      <c r="D879" t="s">
        <v>2657</v>
      </c>
      <c r="E879">
        <v>9190</v>
      </c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 t="s">
        <v>4277</v>
      </c>
      <c r="B880">
        <v>247988</v>
      </c>
      <c r="C880"/>
      <c r="D880" t="s">
        <v>2665</v>
      </c>
      <c r="E880">
        <v>4690</v>
      </c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 t="s">
        <v>4277</v>
      </c>
      <c r="B881">
        <v>248004</v>
      </c>
      <c r="C881"/>
      <c r="D881" t="s">
        <v>2665</v>
      </c>
      <c r="E881">
        <v>4690</v>
      </c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ht="30" x14ac:dyDescent="0.25">
      <c r="A882" t="s">
        <v>4277</v>
      </c>
      <c r="B882">
        <v>161116</v>
      </c>
      <c r="C882"/>
      <c r="D882" t="s">
        <v>2681</v>
      </c>
      <c r="E882">
        <v>8490</v>
      </c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 t="s">
        <v>4277</v>
      </c>
      <c r="B883">
        <v>161133</v>
      </c>
      <c r="C883"/>
      <c r="D883" t="s">
        <v>2689</v>
      </c>
      <c r="E883">
        <v>8490</v>
      </c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 t="s">
        <v>4277</v>
      </c>
      <c r="B884">
        <v>161134</v>
      </c>
      <c r="C884"/>
      <c r="D884" t="s">
        <v>2697</v>
      </c>
      <c r="E884">
        <v>9190</v>
      </c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ht="30" x14ac:dyDescent="0.25">
      <c r="A885" t="s">
        <v>4277</v>
      </c>
      <c r="B885">
        <v>161229</v>
      </c>
      <c r="C885"/>
      <c r="D885" t="s">
        <v>2705</v>
      </c>
      <c r="E885">
        <v>8490</v>
      </c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 t="s">
        <v>4277</v>
      </c>
      <c r="B886">
        <v>161243</v>
      </c>
      <c r="C886"/>
      <c r="D886" t="s">
        <v>2713</v>
      </c>
      <c r="E886">
        <v>2690</v>
      </c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 t="s">
        <v>4277</v>
      </c>
      <c r="B887">
        <v>161270</v>
      </c>
      <c r="C887"/>
      <c r="D887" t="s">
        <v>2721</v>
      </c>
      <c r="E887">
        <v>9690</v>
      </c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 t="s">
        <v>4277</v>
      </c>
      <c r="B888">
        <v>162357</v>
      </c>
      <c r="C888" t="s">
        <v>4170</v>
      </c>
      <c r="D888"/>
      <c r="E888" t="s">
        <v>4167</v>
      </c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 t="s">
        <v>4277</v>
      </c>
      <c r="B889">
        <v>265262</v>
      </c>
      <c r="C889" t="s">
        <v>4170</v>
      </c>
      <c r="D889"/>
      <c r="E889" t="s">
        <v>4167</v>
      </c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 t="s">
        <v>4277</v>
      </c>
      <c r="B890">
        <v>162403</v>
      </c>
      <c r="C890"/>
      <c r="D890" t="s">
        <v>2742</v>
      </c>
      <c r="E890">
        <v>20590</v>
      </c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 t="s">
        <v>4277</v>
      </c>
      <c r="B891">
        <v>162513</v>
      </c>
      <c r="C891"/>
      <c r="D891" t="s">
        <v>2750</v>
      </c>
      <c r="E891">
        <v>15990</v>
      </c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 t="s">
        <v>4277</v>
      </c>
      <c r="B892">
        <v>162522</v>
      </c>
      <c r="C892"/>
      <c r="D892" t="s">
        <v>2758</v>
      </c>
      <c r="E892">
        <v>19690</v>
      </c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 t="s">
        <v>4277</v>
      </c>
      <c r="B893">
        <v>162541</v>
      </c>
      <c r="C893"/>
      <c r="D893" t="s">
        <v>2766</v>
      </c>
      <c r="E893">
        <v>18790</v>
      </c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 t="s">
        <v>4277</v>
      </c>
      <c r="B894">
        <v>162554</v>
      </c>
      <c r="C894"/>
      <c r="D894" t="s">
        <v>2774</v>
      </c>
      <c r="E894">
        <v>15690</v>
      </c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 t="s">
        <v>4277</v>
      </c>
      <c r="B895">
        <v>162585</v>
      </c>
      <c r="C895"/>
      <c r="D895" t="s">
        <v>2782</v>
      </c>
      <c r="E895">
        <v>18490</v>
      </c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 t="s">
        <v>4277</v>
      </c>
      <c r="B896">
        <v>162330</v>
      </c>
      <c r="C896"/>
      <c r="D896" t="s">
        <v>2790</v>
      </c>
      <c r="E896">
        <v>390</v>
      </c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 t="s">
        <v>4277</v>
      </c>
      <c r="B897">
        <v>163537</v>
      </c>
      <c r="C897"/>
      <c r="D897" t="s">
        <v>2798</v>
      </c>
      <c r="E897">
        <v>590</v>
      </c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ht="30" x14ac:dyDescent="0.25">
      <c r="A898" t="s">
        <v>4277</v>
      </c>
      <c r="B898">
        <v>265280</v>
      </c>
      <c r="C898"/>
      <c r="D898" t="s">
        <v>2805</v>
      </c>
      <c r="E898">
        <v>1290</v>
      </c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ht="30" x14ac:dyDescent="0.25">
      <c r="A899" t="s">
        <v>4277</v>
      </c>
      <c r="B899">
        <v>163574</v>
      </c>
      <c r="C899"/>
      <c r="D899" t="s">
        <v>2813</v>
      </c>
      <c r="E899">
        <v>549</v>
      </c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 t="s">
        <v>4277</v>
      </c>
      <c r="B900">
        <v>265298</v>
      </c>
      <c r="C900"/>
      <c r="D900" t="s">
        <v>2821</v>
      </c>
      <c r="E900">
        <v>990</v>
      </c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 t="s">
        <v>4277</v>
      </c>
      <c r="B901">
        <v>163628</v>
      </c>
      <c r="C901"/>
      <c r="D901" t="s">
        <v>2829</v>
      </c>
      <c r="E901">
        <v>590</v>
      </c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ht="30" x14ac:dyDescent="0.25">
      <c r="A902" t="s">
        <v>4277</v>
      </c>
      <c r="B902">
        <v>164097</v>
      </c>
      <c r="C902"/>
      <c r="D902" t="s">
        <v>2837</v>
      </c>
      <c r="E902">
        <v>1190</v>
      </c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ht="30" x14ac:dyDescent="0.25">
      <c r="A903" t="s">
        <v>4277</v>
      </c>
      <c r="B903">
        <v>164148</v>
      </c>
      <c r="C903"/>
      <c r="D903" t="s">
        <v>2845</v>
      </c>
      <c r="E903">
        <v>729</v>
      </c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 t="s">
        <v>4277</v>
      </c>
      <c r="B904">
        <v>248321</v>
      </c>
      <c r="C904">
        <v>595</v>
      </c>
      <c r="D904" t="s">
        <v>4210</v>
      </c>
      <c r="E904">
        <v>1190</v>
      </c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 t="s">
        <v>4277</v>
      </c>
      <c r="B905">
        <v>248340</v>
      </c>
      <c r="C905">
        <v>595</v>
      </c>
      <c r="D905" t="s">
        <v>4210</v>
      </c>
      <c r="E905">
        <v>1190</v>
      </c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 t="s">
        <v>4277</v>
      </c>
      <c r="B906">
        <v>165442</v>
      </c>
      <c r="C906" t="s">
        <v>4170</v>
      </c>
      <c r="D906"/>
      <c r="E906" t="s">
        <v>4167</v>
      </c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 t="s">
        <v>4277</v>
      </c>
      <c r="B907">
        <v>165462</v>
      </c>
      <c r="C907" t="s">
        <v>4170</v>
      </c>
      <c r="D907"/>
      <c r="E907" t="s">
        <v>4167</v>
      </c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 t="s">
        <v>4277</v>
      </c>
      <c r="B908">
        <v>165753</v>
      </c>
      <c r="C908" t="s">
        <v>4170</v>
      </c>
      <c r="D908"/>
      <c r="E908" t="s">
        <v>4167</v>
      </c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 t="s">
        <v>4277</v>
      </c>
      <c r="B909">
        <v>166160</v>
      </c>
      <c r="C909" t="s">
        <v>4170</v>
      </c>
      <c r="D909"/>
      <c r="E909" t="s">
        <v>4167</v>
      </c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 t="s">
        <v>4277</v>
      </c>
      <c r="B910">
        <v>181963</v>
      </c>
      <c r="C910"/>
      <c r="D910" t="s">
        <v>2893</v>
      </c>
      <c r="E910">
        <v>14990</v>
      </c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 t="s">
        <v>4277</v>
      </c>
      <c r="B911">
        <v>181991</v>
      </c>
      <c r="C911"/>
      <c r="D911" t="s">
        <v>2901</v>
      </c>
      <c r="E911">
        <v>14990</v>
      </c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 t="s">
        <v>4277</v>
      </c>
      <c r="B912">
        <v>182007</v>
      </c>
      <c r="C912"/>
      <c r="D912" t="s">
        <v>2909</v>
      </c>
      <c r="E912">
        <v>15990</v>
      </c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 t="s">
        <v>4277</v>
      </c>
      <c r="B913">
        <v>182034</v>
      </c>
      <c r="C913"/>
      <c r="D913" t="s">
        <v>2917</v>
      </c>
      <c r="E913">
        <v>28590</v>
      </c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ht="30" x14ac:dyDescent="0.25">
      <c r="A914" t="s">
        <v>4277</v>
      </c>
      <c r="B914">
        <v>182051</v>
      </c>
      <c r="C914"/>
      <c r="D914" t="s">
        <v>2925</v>
      </c>
      <c r="E914">
        <v>28790</v>
      </c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 t="s">
        <v>4277</v>
      </c>
      <c r="B915">
        <v>182068</v>
      </c>
      <c r="C915"/>
      <c r="D915" t="s">
        <v>2933</v>
      </c>
      <c r="E915">
        <v>6890</v>
      </c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 t="s">
        <v>4277</v>
      </c>
      <c r="B916">
        <v>182095</v>
      </c>
      <c r="C916"/>
      <c r="D916" t="s">
        <v>2940</v>
      </c>
      <c r="E916">
        <v>13290</v>
      </c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 t="s">
        <v>4277</v>
      </c>
      <c r="B917">
        <v>182122</v>
      </c>
      <c r="C917"/>
      <c r="D917" t="s">
        <v>2948</v>
      </c>
      <c r="E917">
        <v>10990</v>
      </c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 t="s">
        <v>4277</v>
      </c>
      <c r="B918">
        <v>182149</v>
      </c>
      <c r="C918"/>
      <c r="D918" t="s">
        <v>2956</v>
      </c>
      <c r="E918">
        <v>6790</v>
      </c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 t="s">
        <v>4277</v>
      </c>
      <c r="B919">
        <v>182183</v>
      </c>
      <c r="C919"/>
      <c r="D919" t="s">
        <v>2964</v>
      </c>
      <c r="E919">
        <v>22990</v>
      </c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 t="s">
        <v>4277</v>
      </c>
      <c r="B920">
        <v>182192</v>
      </c>
      <c r="C920"/>
      <c r="D920" t="s">
        <v>2972</v>
      </c>
      <c r="E920">
        <v>16890</v>
      </c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 t="s">
        <v>4277</v>
      </c>
      <c r="B921">
        <v>182215</v>
      </c>
      <c r="C921"/>
      <c r="D921" t="s">
        <v>2980</v>
      </c>
      <c r="E921">
        <v>15990</v>
      </c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 t="s">
        <v>4277</v>
      </c>
      <c r="B922">
        <v>182246</v>
      </c>
      <c r="C922"/>
      <c r="D922" t="s">
        <v>2988</v>
      </c>
      <c r="E922">
        <v>17390</v>
      </c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ht="30" x14ac:dyDescent="0.25">
      <c r="A923" t="s">
        <v>4277</v>
      </c>
      <c r="B923">
        <v>182277</v>
      </c>
      <c r="C923"/>
      <c r="D923" t="s">
        <v>2996</v>
      </c>
      <c r="E923">
        <v>28690</v>
      </c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ht="30" x14ac:dyDescent="0.25">
      <c r="A924" t="s">
        <v>4277</v>
      </c>
      <c r="B924">
        <v>182295</v>
      </c>
      <c r="C924"/>
      <c r="D924" t="s">
        <v>3004</v>
      </c>
      <c r="E924">
        <v>28590</v>
      </c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ht="30" x14ac:dyDescent="0.25">
      <c r="A925" t="s">
        <v>4277</v>
      </c>
      <c r="B925">
        <v>182312</v>
      </c>
      <c r="C925"/>
      <c r="D925" t="s">
        <v>3012</v>
      </c>
      <c r="E925">
        <v>28590</v>
      </c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ht="30" x14ac:dyDescent="0.25">
      <c r="A926" t="s">
        <v>4277</v>
      </c>
      <c r="B926">
        <v>182329</v>
      </c>
      <c r="C926"/>
      <c r="D926" t="s">
        <v>3020</v>
      </c>
      <c r="E926">
        <v>16390</v>
      </c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ht="30" x14ac:dyDescent="0.25">
      <c r="A927" t="s">
        <v>4277</v>
      </c>
      <c r="B927">
        <v>182374</v>
      </c>
      <c r="C927"/>
      <c r="D927" t="s">
        <v>3028</v>
      </c>
      <c r="E927">
        <v>20890</v>
      </c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ht="30" x14ac:dyDescent="0.25">
      <c r="A928" t="s">
        <v>4277</v>
      </c>
      <c r="B928">
        <v>182419</v>
      </c>
      <c r="C928"/>
      <c r="D928" t="s">
        <v>3036</v>
      </c>
      <c r="E928">
        <v>17490</v>
      </c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ht="30" x14ac:dyDescent="0.25">
      <c r="A929" t="s">
        <v>4277</v>
      </c>
      <c r="B929">
        <v>182420</v>
      </c>
      <c r="C929"/>
      <c r="D929" t="s">
        <v>3044</v>
      </c>
      <c r="E929">
        <v>13990</v>
      </c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ht="30" x14ac:dyDescent="0.25">
      <c r="A930" t="s">
        <v>4277</v>
      </c>
      <c r="B930">
        <v>182480</v>
      </c>
      <c r="C930"/>
      <c r="D930" t="s">
        <v>3052</v>
      </c>
      <c r="E930">
        <v>16390</v>
      </c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ht="30" x14ac:dyDescent="0.25">
      <c r="A931" t="s">
        <v>4277</v>
      </c>
      <c r="B931">
        <v>182525</v>
      </c>
      <c r="C931"/>
      <c r="D931" t="s">
        <v>3060</v>
      </c>
      <c r="E931">
        <v>20890</v>
      </c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ht="30" x14ac:dyDescent="0.25">
      <c r="A932" t="s">
        <v>4277</v>
      </c>
      <c r="B932">
        <v>182570</v>
      </c>
      <c r="C932"/>
      <c r="D932" t="s">
        <v>3068</v>
      </c>
      <c r="E932">
        <v>15790</v>
      </c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ht="30" x14ac:dyDescent="0.25">
      <c r="A933" t="s">
        <v>4277</v>
      </c>
      <c r="B933">
        <v>182571</v>
      </c>
      <c r="C933"/>
      <c r="D933" t="s">
        <v>3076</v>
      </c>
      <c r="E933">
        <v>14590</v>
      </c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ht="30" x14ac:dyDescent="0.25">
      <c r="A934" t="s">
        <v>4277</v>
      </c>
      <c r="B934">
        <v>182631</v>
      </c>
      <c r="C934"/>
      <c r="D934" t="s">
        <v>3083</v>
      </c>
      <c r="E934">
        <v>16390</v>
      </c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ht="30" x14ac:dyDescent="0.25">
      <c r="A935" t="s">
        <v>4277</v>
      </c>
      <c r="B935">
        <v>182676</v>
      </c>
      <c r="C935"/>
      <c r="D935" t="s">
        <v>3091</v>
      </c>
      <c r="E935">
        <v>16390</v>
      </c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ht="30" x14ac:dyDescent="0.25">
      <c r="A936" t="s">
        <v>4277</v>
      </c>
      <c r="B936">
        <v>259216</v>
      </c>
      <c r="C936"/>
      <c r="D936" t="s">
        <v>3099</v>
      </c>
      <c r="E936">
        <v>390</v>
      </c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 t="s">
        <v>4277</v>
      </c>
      <c r="B937">
        <v>182727</v>
      </c>
      <c r="C937"/>
      <c r="D937" t="s">
        <v>3106</v>
      </c>
      <c r="E937">
        <v>9590</v>
      </c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 t="s">
        <v>4277</v>
      </c>
      <c r="B938">
        <v>182754</v>
      </c>
      <c r="C938"/>
      <c r="D938" t="s">
        <v>3114</v>
      </c>
      <c r="E938">
        <v>23590</v>
      </c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ht="30" x14ac:dyDescent="0.25">
      <c r="A939" t="s">
        <v>4277</v>
      </c>
      <c r="B939">
        <v>182755</v>
      </c>
      <c r="C939"/>
      <c r="D939" t="s">
        <v>3122</v>
      </c>
      <c r="E939">
        <v>17890</v>
      </c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ht="30" x14ac:dyDescent="0.25">
      <c r="A940" t="s">
        <v>4277</v>
      </c>
      <c r="B940">
        <v>182772</v>
      </c>
      <c r="C940"/>
      <c r="D940" t="s">
        <v>3130</v>
      </c>
      <c r="E940">
        <v>25590</v>
      </c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ht="30" x14ac:dyDescent="0.25">
      <c r="A941" t="s">
        <v>4277</v>
      </c>
      <c r="B941">
        <v>182773</v>
      </c>
      <c r="C941"/>
      <c r="D941" t="s">
        <v>3138</v>
      </c>
      <c r="E941">
        <v>17190</v>
      </c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 t="s">
        <v>4277</v>
      </c>
      <c r="B942">
        <v>182805</v>
      </c>
      <c r="C942"/>
      <c r="D942" t="s">
        <v>3146</v>
      </c>
      <c r="E942">
        <v>10890</v>
      </c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 t="s">
        <v>4277</v>
      </c>
      <c r="B943">
        <v>249375</v>
      </c>
      <c r="C943"/>
      <c r="D943" t="s">
        <v>3154</v>
      </c>
      <c r="E943">
        <v>30790</v>
      </c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 t="s">
        <v>4277</v>
      </c>
      <c r="B944">
        <v>249388</v>
      </c>
      <c r="C944"/>
      <c r="D944" t="s">
        <v>3162</v>
      </c>
      <c r="E944">
        <v>36990</v>
      </c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 t="s">
        <v>4277</v>
      </c>
      <c r="B945">
        <v>249401</v>
      </c>
      <c r="C945"/>
      <c r="D945" t="s">
        <v>3170</v>
      </c>
      <c r="E945">
        <v>30790</v>
      </c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 t="s">
        <v>4277</v>
      </c>
      <c r="B946">
        <v>249419</v>
      </c>
      <c r="C946"/>
      <c r="D946" t="s">
        <v>3178</v>
      </c>
      <c r="E946">
        <v>30890</v>
      </c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 t="s">
        <v>4277</v>
      </c>
      <c r="B947">
        <v>182881</v>
      </c>
      <c r="C947"/>
      <c r="D947" t="s">
        <v>3186</v>
      </c>
      <c r="E947">
        <v>15390</v>
      </c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 t="s">
        <v>4277</v>
      </c>
      <c r="B948">
        <v>182882</v>
      </c>
      <c r="C948"/>
      <c r="D948" t="s">
        <v>3186</v>
      </c>
      <c r="E948">
        <v>15390</v>
      </c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ht="30" x14ac:dyDescent="0.25">
      <c r="A949" t="s">
        <v>4277</v>
      </c>
      <c r="B949">
        <v>182926</v>
      </c>
      <c r="C949"/>
      <c r="D949" t="s">
        <v>3202</v>
      </c>
      <c r="E949">
        <v>15290</v>
      </c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ht="30" x14ac:dyDescent="0.25">
      <c r="A950" t="s">
        <v>4277</v>
      </c>
      <c r="B950">
        <v>182958</v>
      </c>
      <c r="C950"/>
      <c r="D950" t="s">
        <v>3210</v>
      </c>
      <c r="E950">
        <v>17490</v>
      </c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ht="30" x14ac:dyDescent="0.25">
      <c r="A951" t="s">
        <v>4277</v>
      </c>
      <c r="B951">
        <v>182974</v>
      </c>
      <c r="C951"/>
      <c r="D951" t="s">
        <v>3218</v>
      </c>
      <c r="E951">
        <v>27490</v>
      </c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ht="30" x14ac:dyDescent="0.25">
      <c r="A952" t="s">
        <v>4277</v>
      </c>
      <c r="B952">
        <v>182992</v>
      </c>
      <c r="C952"/>
      <c r="D952" t="s">
        <v>3226</v>
      </c>
      <c r="E952">
        <v>17890</v>
      </c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 t="s">
        <v>4277</v>
      </c>
      <c r="B953">
        <v>183010</v>
      </c>
      <c r="C953"/>
      <c r="D953" t="s">
        <v>3234</v>
      </c>
      <c r="E953">
        <v>23590</v>
      </c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ht="30" x14ac:dyDescent="0.25">
      <c r="A954" t="s">
        <v>4277</v>
      </c>
      <c r="B954">
        <v>183011</v>
      </c>
      <c r="C954"/>
      <c r="D954" t="s">
        <v>3242</v>
      </c>
      <c r="E954">
        <v>17890</v>
      </c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ht="30" x14ac:dyDescent="0.25">
      <c r="A955" t="s">
        <v>4277</v>
      </c>
      <c r="B955">
        <v>183043</v>
      </c>
      <c r="C955"/>
      <c r="D955" t="s">
        <v>3250</v>
      </c>
      <c r="E955">
        <v>25590</v>
      </c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ht="30" x14ac:dyDescent="0.25">
      <c r="A956" t="s">
        <v>4277</v>
      </c>
      <c r="B956">
        <v>183044</v>
      </c>
      <c r="C956"/>
      <c r="D956" t="s">
        <v>3258</v>
      </c>
      <c r="E956">
        <v>17190</v>
      </c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 t="s">
        <v>4277</v>
      </c>
      <c r="B957">
        <v>183076</v>
      </c>
      <c r="C957"/>
      <c r="D957" t="s">
        <v>3266</v>
      </c>
      <c r="E957">
        <v>10890</v>
      </c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 t="s">
        <v>4277</v>
      </c>
      <c r="B958">
        <v>183103</v>
      </c>
      <c r="C958"/>
      <c r="D958" t="s">
        <v>3274</v>
      </c>
      <c r="E958">
        <v>10890</v>
      </c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 t="s">
        <v>4277</v>
      </c>
      <c r="B959">
        <v>249437</v>
      </c>
      <c r="C959"/>
      <c r="D959" t="s">
        <v>3282</v>
      </c>
      <c r="E959">
        <v>30790</v>
      </c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 t="s">
        <v>4277</v>
      </c>
      <c r="B960">
        <v>249450</v>
      </c>
      <c r="C960"/>
      <c r="D960" t="s">
        <v>3290</v>
      </c>
      <c r="E960">
        <v>36990</v>
      </c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 t="s">
        <v>4277</v>
      </c>
      <c r="B961">
        <v>249463</v>
      </c>
      <c r="C961"/>
      <c r="D961" t="s">
        <v>3298</v>
      </c>
      <c r="E961">
        <v>30790</v>
      </c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 t="s">
        <v>4277</v>
      </c>
      <c r="B962">
        <v>249481</v>
      </c>
      <c r="C962"/>
      <c r="D962" t="s">
        <v>3305</v>
      </c>
      <c r="E962">
        <v>30890</v>
      </c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 t="s">
        <v>4277</v>
      </c>
      <c r="B963">
        <v>183172</v>
      </c>
      <c r="C963"/>
      <c r="D963" t="s">
        <v>3313</v>
      </c>
      <c r="E963">
        <v>15390</v>
      </c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 t="s">
        <v>4277</v>
      </c>
      <c r="B964">
        <v>183173</v>
      </c>
      <c r="C964"/>
      <c r="D964" t="s">
        <v>3313</v>
      </c>
      <c r="E964">
        <v>15390</v>
      </c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ht="30" x14ac:dyDescent="0.25">
      <c r="A965" t="s">
        <v>4277</v>
      </c>
      <c r="B965">
        <v>183216</v>
      </c>
      <c r="C965"/>
      <c r="D965" t="s">
        <v>3329</v>
      </c>
      <c r="E965">
        <v>15290</v>
      </c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 t="s">
        <v>4277</v>
      </c>
      <c r="B966">
        <v>183255</v>
      </c>
      <c r="C966"/>
      <c r="D966" t="s">
        <v>3337</v>
      </c>
      <c r="E966">
        <v>17590</v>
      </c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 t="s">
        <v>4277</v>
      </c>
      <c r="B967">
        <v>183271</v>
      </c>
      <c r="C967"/>
      <c r="D967" t="s">
        <v>3345</v>
      </c>
      <c r="E967">
        <v>27490</v>
      </c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ht="30" x14ac:dyDescent="0.25">
      <c r="A968" t="s">
        <v>4277</v>
      </c>
      <c r="B968">
        <v>183289</v>
      </c>
      <c r="C968"/>
      <c r="D968" t="s">
        <v>3353</v>
      </c>
      <c r="E968">
        <v>16990</v>
      </c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 t="s">
        <v>4277</v>
      </c>
      <c r="B969">
        <v>162479</v>
      </c>
      <c r="C969"/>
      <c r="D969" t="s">
        <v>3361</v>
      </c>
      <c r="E969">
        <v>8290</v>
      </c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 t="s">
        <v>4277</v>
      </c>
      <c r="B970">
        <v>183314</v>
      </c>
      <c r="C970"/>
      <c r="D970" t="s">
        <v>3369</v>
      </c>
      <c r="E970">
        <v>13790</v>
      </c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 t="s">
        <v>4277</v>
      </c>
      <c r="B971">
        <v>183341</v>
      </c>
      <c r="C971"/>
      <c r="D971" t="s">
        <v>3377</v>
      </c>
      <c r="E971">
        <v>10890</v>
      </c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 t="s">
        <v>4277</v>
      </c>
      <c r="B972">
        <v>183368</v>
      </c>
      <c r="C972"/>
      <c r="D972" t="s">
        <v>3385</v>
      </c>
      <c r="E972">
        <v>10890</v>
      </c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 t="s">
        <v>4277</v>
      </c>
      <c r="B973">
        <v>249500</v>
      </c>
      <c r="C973"/>
      <c r="D973" t="s">
        <v>3392</v>
      </c>
      <c r="E973">
        <v>30790</v>
      </c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 t="s">
        <v>4277</v>
      </c>
      <c r="B974">
        <v>249513</v>
      </c>
      <c r="C974"/>
      <c r="D974" t="s">
        <v>3400</v>
      </c>
      <c r="E974">
        <v>32990</v>
      </c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 t="s">
        <v>4277</v>
      </c>
      <c r="B975">
        <v>249526</v>
      </c>
      <c r="C975"/>
      <c r="D975" t="s">
        <v>3408</v>
      </c>
      <c r="E975">
        <v>33790</v>
      </c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ht="30" x14ac:dyDescent="0.25">
      <c r="A976" t="s">
        <v>4277</v>
      </c>
      <c r="B976">
        <v>183435</v>
      </c>
      <c r="C976"/>
      <c r="D976" t="s">
        <v>3416</v>
      </c>
      <c r="E976">
        <v>16290</v>
      </c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ht="30" x14ac:dyDescent="0.25">
      <c r="A977" t="s">
        <v>4277</v>
      </c>
      <c r="B977">
        <v>183436</v>
      </c>
      <c r="C977"/>
      <c r="D977" t="s">
        <v>3424</v>
      </c>
      <c r="E977">
        <v>13990</v>
      </c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 t="s">
        <v>4277</v>
      </c>
      <c r="B978">
        <v>183514</v>
      </c>
      <c r="C978"/>
      <c r="D978" t="s">
        <v>3432</v>
      </c>
      <c r="E978">
        <v>23490</v>
      </c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ht="30" x14ac:dyDescent="0.25">
      <c r="A979" t="s">
        <v>4277</v>
      </c>
      <c r="B979">
        <v>183515</v>
      </c>
      <c r="C979"/>
      <c r="D979" t="s">
        <v>3440</v>
      </c>
      <c r="E979">
        <v>17290</v>
      </c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 t="s">
        <v>4277</v>
      </c>
      <c r="B980">
        <v>183547</v>
      </c>
      <c r="C980"/>
      <c r="D980" t="s">
        <v>3448</v>
      </c>
      <c r="E980">
        <v>16890</v>
      </c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ht="30" x14ac:dyDescent="0.25">
      <c r="A981" t="s">
        <v>4277</v>
      </c>
      <c r="B981">
        <v>183563</v>
      </c>
      <c r="C981"/>
      <c r="D981" t="s">
        <v>3456</v>
      </c>
      <c r="E981">
        <v>17590</v>
      </c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ht="30" x14ac:dyDescent="0.25">
      <c r="A982" t="s">
        <v>4277</v>
      </c>
      <c r="B982">
        <v>183580</v>
      </c>
      <c r="C982"/>
      <c r="D982" t="s">
        <v>3464</v>
      </c>
      <c r="E982">
        <v>17590</v>
      </c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ht="30" x14ac:dyDescent="0.25">
      <c r="A983" t="s">
        <v>4277</v>
      </c>
      <c r="B983">
        <v>183598</v>
      </c>
      <c r="C983"/>
      <c r="D983" t="s">
        <v>3472</v>
      </c>
      <c r="E983">
        <v>16290</v>
      </c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 t="s">
        <v>4277</v>
      </c>
      <c r="B984">
        <v>183618</v>
      </c>
      <c r="C984"/>
      <c r="D984" t="s">
        <v>3480</v>
      </c>
      <c r="E984">
        <v>10890</v>
      </c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 t="s">
        <v>4277</v>
      </c>
      <c r="B985">
        <v>183645</v>
      </c>
      <c r="C985"/>
      <c r="D985" t="s">
        <v>3488</v>
      </c>
      <c r="E985">
        <v>10290</v>
      </c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 t="s">
        <v>4277</v>
      </c>
      <c r="B986">
        <v>249545</v>
      </c>
      <c r="C986"/>
      <c r="D986" t="s">
        <v>3496</v>
      </c>
      <c r="E986">
        <v>30790</v>
      </c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 t="s">
        <v>4277</v>
      </c>
      <c r="B987">
        <v>249558</v>
      </c>
      <c r="C987"/>
      <c r="D987" t="s">
        <v>3504</v>
      </c>
      <c r="E987">
        <v>36990</v>
      </c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 t="s">
        <v>4277</v>
      </c>
      <c r="B988">
        <v>249571</v>
      </c>
      <c r="C988"/>
      <c r="D988" t="s">
        <v>3512</v>
      </c>
      <c r="E988">
        <v>30790</v>
      </c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ht="30" x14ac:dyDescent="0.25">
      <c r="A989" t="s">
        <v>4277</v>
      </c>
      <c r="B989">
        <v>183713</v>
      </c>
      <c r="C989"/>
      <c r="D989" t="s">
        <v>3520</v>
      </c>
      <c r="E989">
        <v>16290</v>
      </c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ht="30" x14ac:dyDescent="0.25">
      <c r="A990" t="s">
        <v>4277</v>
      </c>
      <c r="B990">
        <v>183714</v>
      </c>
      <c r="C990"/>
      <c r="D990" t="s">
        <v>3528</v>
      </c>
      <c r="E990">
        <v>13990</v>
      </c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 t="s">
        <v>4277</v>
      </c>
      <c r="B991">
        <v>183790</v>
      </c>
      <c r="C991"/>
      <c r="D991" t="s">
        <v>3536</v>
      </c>
      <c r="E991">
        <v>23490</v>
      </c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ht="30" x14ac:dyDescent="0.25">
      <c r="A992" t="s">
        <v>4277</v>
      </c>
      <c r="B992">
        <v>183791</v>
      </c>
      <c r="C992"/>
      <c r="D992" t="s">
        <v>3544</v>
      </c>
      <c r="E992">
        <v>17290</v>
      </c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 t="s">
        <v>4277</v>
      </c>
      <c r="B993">
        <v>183823</v>
      </c>
      <c r="C993"/>
      <c r="D993" t="s">
        <v>3552</v>
      </c>
      <c r="E993">
        <v>16890</v>
      </c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ht="30" x14ac:dyDescent="0.25">
      <c r="A994" t="s">
        <v>4277</v>
      </c>
      <c r="B994">
        <v>183839</v>
      </c>
      <c r="C994"/>
      <c r="D994" t="s">
        <v>3560</v>
      </c>
      <c r="E994">
        <v>17590</v>
      </c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ht="30" x14ac:dyDescent="0.25">
      <c r="A995" t="s">
        <v>4277</v>
      </c>
      <c r="B995">
        <v>183856</v>
      </c>
      <c r="C995"/>
      <c r="D995" t="s">
        <v>3568</v>
      </c>
      <c r="E995">
        <v>17990</v>
      </c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ht="30" x14ac:dyDescent="0.25">
      <c r="A996" t="s">
        <v>4277</v>
      </c>
      <c r="B996">
        <v>183874</v>
      </c>
      <c r="C996"/>
      <c r="D996" t="s">
        <v>3576</v>
      </c>
      <c r="E996">
        <v>17790</v>
      </c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 t="s">
        <v>4277</v>
      </c>
      <c r="B997">
        <v>184093</v>
      </c>
      <c r="C997"/>
      <c r="D997" t="s">
        <v>3584</v>
      </c>
      <c r="E997">
        <v>8490</v>
      </c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 t="s">
        <v>4277</v>
      </c>
      <c r="B998">
        <v>184120</v>
      </c>
      <c r="C998"/>
      <c r="D998" t="s">
        <v>3592</v>
      </c>
      <c r="E998">
        <v>8490</v>
      </c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 t="s">
        <v>4277</v>
      </c>
      <c r="B999">
        <v>184167</v>
      </c>
      <c r="C999"/>
      <c r="D999" t="s">
        <v>3600</v>
      </c>
      <c r="E999">
        <v>3390</v>
      </c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 t="s">
        <v>4277</v>
      </c>
      <c r="B1000">
        <v>184203</v>
      </c>
      <c r="C1000"/>
      <c r="D1000" t="s">
        <v>3608</v>
      </c>
      <c r="E1000">
        <v>3490</v>
      </c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 t="s">
        <v>4277</v>
      </c>
      <c r="B1001">
        <v>184538</v>
      </c>
      <c r="C1001"/>
      <c r="D1001" t="s">
        <v>3616</v>
      </c>
      <c r="E1001">
        <v>3090</v>
      </c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 t="s">
        <v>4277</v>
      </c>
      <c r="B1002">
        <v>249728</v>
      </c>
      <c r="C1002"/>
      <c r="D1002" t="s">
        <v>3624</v>
      </c>
      <c r="E1002">
        <v>5490</v>
      </c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 t="s">
        <v>4277</v>
      </c>
      <c r="B1003">
        <v>249759</v>
      </c>
      <c r="C1003"/>
      <c r="D1003" t="s">
        <v>3632</v>
      </c>
      <c r="E1003">
        <v>9190</v>
      </c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 t="s">
        <v>4277</v>
      </c>
      <c r="B1004">
        <v>249772</v>
      </c>
      <c r="C1004"/>
      <c r="D1004" t="s">
        <v>3640</v>
      </c>
      <c r="E1004">
        <v>5190</v>
      </c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 t="s">
        <v>4277</v>
      </c>
      <c r="B1005">
        <v>249784</v>
      </c>
      <c r="C1005"/>
      <c r="D1005" t="s">
        <v>3648</v>
      </c>
      <c r="E1005">
        <v>4990</v>
      </c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 t="s">
        <v>4277</v>
      </c>
      <c r="B1006">
        <v>249815</v>
      </c>
      <c r="C1006"/>
      <c r="D1006" t="s">
        <v>3656</v>
      </c>
      <c r="E1006">
        <v>10390</v>
      </c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 t="s">
        <v>4277</v>
      </c>
      <c r="B1007">
        <v>249828</v>
      </c>
      <c r="C1007"/>
      <c r="D1007" t="s">
        <v>3664</v>
      </c>
      <c r="E1007">
        <v>4590</v>
      </c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 t="s">
        <v>4277</v>
      </c>
      <c r="B1008">
        <v>249881</v>
      </c>
      <c r="C1008"/>
      <c r="D1008" t="s">
        <v>3672</v>
      </c>
      <c r="E1008">
        <v>5190</v>
      </c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 t="s">
        <v>4277</v>
      </c>
      <c r="B1009">
        <v>249882</v>
      </c>
      <c r="C1009"/>
      <c r="D1009" t="s">
        <v>3672</v>
      </c>
      <c r="E1009">
        <v>5190</v>
      </c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 t="s">
        <v>4277</v>
      </c>
      <c r="B1010">
        <v>249858</v>
      </c>
      <c r="C1010"/>
      <c r="D1010" t="s">
        <v>3688</v>
      </c>
      <c r="E1010">
        <v>3590</v>
      </c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 t="s">
        <v>4277</v>
      </c>
      <c r="B1011">
        <v>249936</v>
      </c>
      <c r="C1011"/>
      <c r="D1011" t="s">
        <v>3696</v>
      </c>
      <c r="E1011">
        <v>4390</v>
      </c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 t="s">
        <v>4277</v>
      </c>
      <c r="B1012">
        <v>249964</v>
      </c>
      <c r="C1012"/>
      <c r="D1012" t="s">
        <v>3696</v>
      </c>
      <c r="E1012">
        <v>4390</v>
      </c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 t="s">
        <v>4277</v>
      </c>
      <c r="B1013">
        <v>268326</v>
      </c>
      <c r="C1013"/>
      <c r="D1013" t="s">
        <v>3712</v>
      </c>
      <c r="E1013">
        <v>3990</v>
      </c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 t="s">
        <v>4277</v>
      </c>
      <c r="B1014">
        <v>268354</v>
      </c>
      <c r="C1014"/>
      <c r="D1014" t="s">
        <v>3672</v>
      </c>
      <c r="E1014">
        <v>5190</v>
      </c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 t="s">
        <v>4277</v>
      </c>
      <c r="B1015">
        <v>250020</v>
      </c>
      <c r="C1015"/>
      <c r="D1015" t="s">
        <v>3728</v>
      </c>
      <c r="E1015">
        <v>4390</v>
      </c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 t="s">
        <v>4277</v>
      </c>
      <c r="B1016">
        <v>184838</v>
      </c>
      <c r="C1016"/>
      <c r="D1016" t="s">
        <v>3735</v>
      </c>
      <c r="E1016">
        <v>7790</v>
      </c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 t="s">
        <v>4277</v>
      </c>
      <c r="B1017">
        <v>184865</v>
      </c>
      <c r="C1017"/>
      <c r="D1017" t="s">
        <v>3743</v>
      </c>
      <c r="E1017">
        <v>13390</v>
      </c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 t="s">
        <v>4277</v>
      </c>
      <c r="B1018">
        <v>184892</v>
      </c>
      <c r="C1018"/>
      <c r="D1018" t="s">
        <v>3751</v>
      </c>
      <c r="E1018">
        <v>9090</v>
      </c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 t="s">
        <v>4277</v>
      </c>
      <c r="B1019">
        <v>184927</v>
      </c>
      <c r="C1019"/>
      <c r="D1019" t="s">
        <v>3759</v>
      </c>
      <c r="E1019">
        <v>21790</v>
      </c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 t="s">
        <v>4277</v>
      </c>
      <c r="B1020">
        <v>184941</v>
      </c>
      <c r="C1020"/>
      <c r="D1020" t="s">
        <v>3767</v>
      </c>
      <c r="E1020">
        <v>20590</v>
      </c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 t="s">
        <v>4277</v>
      </c>
      <c r="B1021">
        <v>184960</v>
      </c>
      <c r="C1021"/>
      <c r="D1021" t="s">
        <v>3775</v>
      </c>
      <c r="E1021">
        <v>14990</v>
      </c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 t="s">
        <v>4277</v>
      </c>
      <c r="B1022">
        <v>184973</v>
      </c>
      <c r="C1022"/>
      <c r="D1022" t="s">
        <v>3783</v>
      </c>
      <c r="E1022">
        <v>15990</v>
      </c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 t="s">
        <v>4277</v>
      </c>
      <c r="B1023">
        <v>185004</v>
      </c>
      <c r="C1023"/>
      <c r="D1023" t="s">
        <v>3791</v>
      </c>
      <c r="E1023">
        <v>14390</v>
      </c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 t="s">
        <v>4277</v>
      </c>
      <c r="B1024">
        <v>185044</v>
      </c>
      <c r="C1024"/>
      <c r="D1024" t="s">
        <v>3799</v>
      </c>
      <c r="E1024">
        <v>9190</v>
      </c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 t="s">
        <v>4277</v>
      </c>
      <c r="B1025">
        <v>185061</v>
      </c>
      <c r="C1025"/>
      <c r="D1025" t="s">
        <v>3806</v>
      </c>
      <c r="E1025">
        <v>14990</v>
      </c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 t="s">
        <v>4277</v>
      </c>
      <c r="B1026">
        <v>250049</v>
      </c>
      <c r="C1026"/>
      <c r="D1026" t="s">
        <v>3814</v>
      </c>
      <c r="E1026">
        <v>19290</v>
      </c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 t="s">
        <v>4277</v>
      </c>
      <c r="B1027">
        <v>259264</v>
      </c>
      <c r="C1027"/>
      <c r="D1027" t="s">
        <v>3822</v>
      </c>
      <c r="E1027">
        <v>15590</v>
      </c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 t="s">
        <v>4277</v>
      </c>
      <c r="B1028">
        <v>185077</v>
      </c>
      <c r="C1028"/>
      <c r="D1028" t="s">
        <v>3814</v>
      </c>
      <c r="E1028">
        <v>19290</v>
      </c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 t="s">
        <v>4277</v>
      </c>
      <c r="B1029">
        <v>250139</v>
      </c>
      <c r="C1029"/>
      <c r="D1029" t="s">
        <v>3837</v>
      </c>
      <c r="E1029">
        <v>5590</v>
      </c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 t="s">
        <v>4277</v>
      </c>
      <c r="B1030">
        <v>250169</v>
      </c>
      <c r="C1030"/>
      <c r="D1030" t="s">
        <v>3845</v>
      </c>
      <c r="E1030">
        <v>3590</v>
      </c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 t="s">
        <v>4277</v>
      </c>
      <c r="B1031">
        <v>250192</v>
      </c>
      <c r="C1031"/>
      <c r="D1031" t="s">
        <v>3853</v>
      </c>
      <c r="E1031">
        <v>3590</v>
      </c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 t="s">
        <v>4277</v>
      </c>
      <c r="B1032">
        <v>250215</v>
      </c>
      <c r="C1032"/>
      <c r="D1032" t="s">
        <v>3861</v>
      </c>
      <c r="E1032">
        <v>2890</v>
      </c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ht="30" x14ac:dyDescent="0.25">
      <c r="A1033" t="s">
        <v>4277</v>
      </c>
      <c r="B1033">
        <v>250227</v>
      </c>
      <c r="C1033"/>
      <c r="D1033" t="s">
        <v>3869</v>
      </c>
      <c r="E1033">
        <v>9090</v>
      </c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ht="30" x14ac:dyDescent="0.25">
      <c r="A1034" t="s">
        <v>4277</v>
      </c>
      <c r="B1034">
        <v>250244</v>
      </c>
      <c r="C1034"/>
      <c r="D1034" t="s">
        <v>3877</v>
      </c>
      <c r="E1034">
        <v>7690</v>
      </c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 t="s">
        <v>4277</v>
      </c>
      <c r="B1035">
        <v>250272</v>
      </c>
      <c r="C1035"/>
      <c r="D1035" t="s">
        <v>3885</v>
      </c>
      <c r="E1035">
        <v>7990</v>
      </c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 t="s">
        <v>4277</v>
      </c>
      <c r="B1036">
        <v>250300</v>
      </c>
      <c r="C1036"/>
      <c r="D1036" t="s">
        <v>3893</v>
      </c>
      <c r="E1036">
        <v>3590</v>
      </c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 t="s">
        <v>4277</v>
      </c>
      <c r="B1037">
        <v>342247</v>
      </c>
      <c r="C1037">
        <v>3949</v>
      </c>
      <c r="D1037" t="s">
        <v>4206</v>
      </c>
      <c r="E1037">
        <v>3949</v>
      </c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 t="s">
        <v>4277</v>
      </c>
      <c r="B1038">
        <v>187272</v>
      </c>
      <c r="C1038">
        <v>3949</v>
      </c>
      <c r="D1038" t="s">
        <v>4207</v>
      </c>
      <c r="E1038">
        <v>3949</v>
      </c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 t="s">
        <v>4277</v>
      </c>
      <c r="B1039">
        <v>250390</v>
      </c>
      <c r="C1039"/>
      <c r="D1039" t="s">
        <v>3913</v>
      </c>
      <c r="E1039">
        <v>1990</v>
      </c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 t="s">
        <v>4277</v>
      </c>
      <c r="B1040">
        <v>187080</v>
      </c>
      <c r="C1040"/>
      <c r="D1040" t="s">
        <v>3921</v>
      </c>
      <c r="E1040">
        <v>8890</v>
      </c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 t="s">
        <v>4277</v>
      </c>
      <c r="B1041">
        <v>250415</v>
      </c>
      <c r="C1041"/>
      <c r="D1041" t="s">
        <v>3929</v>
      </c>
      <c r="E1041">
        <v>11890</v>
      </c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 t="s">
        <v>4277</v>
      </c>
      <c r="B1042">
        <v>250428</v>
      </c>
      <c r="C1042"/>
      <c r="D1042" t="s">
        <v>3937</v>
      </c>
      <c r="E1042">
        <v>11890</v>
      </c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 t="s">
        <v>4277</v>
      </c>
      <c r="B1043">
        <v>250441</v>
      </c>
      <c r="C1043"/>
      <c r="D1043" t="s">
        <v>3945</v>
      </c>
      <c r="E1043">
        <v>7190</v>
      </c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 t="s">
        <v>4277</v>
      </c>
      <c r="B1044">
        <v>250459</v>
      </c>
      <c r="C1044"/>
      <c r="D1044" t="s">
        <v>3952</v>
      </c>
      <c r="E1044">
        <v>8490</v>
      </c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ht="30" x14ac:dyDescent="0.25">
      <c r="A1045" t="s">
        <v>4277</v>
      </c>
      <c r="B1045">
        <v>187122</v>
      </c>
      <c r="C1045"/>
      <c r="D1045" t="s">
        <v>3959</v>
      </c>
      <c r="E1045">
        <v>4590</v>
      </c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ht="30" x14ac:dyDescent="0.25">
      <c r="A1046" t="s">
        <v>4277</v>
      </c>
      <c r="B1046">
        <v>187140</v>
      </c>
      <c r="C1046"/>
      <c r="D1046" t="s">
        <v>3967</v>
      </c>
      <c r="E1046">
        <v>7390</v>
      </c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 t="s">
        <v>4277</v>
      </c>
      <c r="B1047">
        <v>250477</v>
      </c>
      <c r="C1047"/>
      <c r="D1047" t="s">
        <v>3975</v>
      </c>
      <c r="E1047">
        <v>1990</v>
      </c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 t="s">
        <v>4277</v>
      </c>
      <c r="B1048">
        <v>187159</v>
      </c>
      <c r="C1048"/>
      <c r="D1048" t="s">
        <v>3983</v>
      </c>
      <c r="E1048">
        <v>8890</v>
      </c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 t="s">
        <v>4277</v>
      </c>
      <c r="B1049">
        <v>250503</v>
      </c>
      <c r="C1049"/>
      <c r="D1049" t="s">
        <v>3991</v>
      </c>
      <c r="E1049">
        <v>11290</v>
      </c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 t="s">
        <v>4277</v>
      </c>
      <c r="B1050">
        <v>250516</v>
      </c>
      <c r="C1050"/>
      <c r="D1050" t="s">
        <v>3999</v>
      </c>
      <c r="E1050">
        <v>11990</v>
      </c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 t="s">
        <v>4277</v>
      </c>
      <c r="B1051">
        <v>250529</v>
      </c>
      <c r="C1051"/>
      <c r="D1051" t="s">
        <v>4007</v>
      </c>
      <c r="E1051">
        <v>7190</v>
      </c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 t="s">
        <v>4277</v>
      </c>
      <c r="B1052">
        <v>250547</v>
      </c>
      <c r="C1052"/>
      <c r="D1052" t="s">
        <v>4015</v>
      </c>
      <c r="E1052">
        <v>8490</v>
      </c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ht="30" x14ac:dyDescent="0.25">
      <c r="A1053" t="s">
        <v>4277</v>
      </c>
      <c r="B1053">
        <v>187201</v>
      </c>
      <c r="C1053"/>
      <c r="D1053" t="s">
        <v>4023</v>
      </c>
      <c r="E1053">
        <v>4790</v>
      </c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ht="30" x14ac:dyDescent="0.25">
      <c r="A1054" t="s">
        <v>4277</v>
      </c>
      <c r="B1054">
        <v>187218</v>
      </c>
      <c r="C1054"/>
      <c r="D1054" t="s">
        <v>4031</v>
      </c>
      <c r="E1054">
        <v>5190</v>
      </c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 t="s">
        <v>4277</v>
      </c>
      <c r="B1055">
        <v>187241</v>
      </c>
      <c r="C1055">
        <v>7659</v>
      </c>
      <c r="D1055" t="s">
        <v>4208</v>
      </c>
      <c r="E1055">
        <v>7659</v>
      </c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 t="s">
        <v>4277</v>
      </c>
      <c r="B1056">
        <v>250760</v>
      </c>
      <c r="C1056"/>
      <c r="D1056" t="s">
        <v>4045</v>
      </c>
      <c r="E1056">
        <v>2590</v>
      </c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 t="s">
        <v>4277</v>
      </c>
      <c r="B1057">
        <v>268465</v>
      </c>
      <c r="C1057"/>
      <c r="D1057" t="s">
        <v>2540</v>
      </c>
      <c r="E1057">
        <v>2690</v>
      </c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 t="s">
        <v>4277</v>
      </c>
      <c r="B1058">
        <v>251137</v>
      </c>
      <c r="C1058" t="s">
        <v>4170</v>
      </c>
      <c r="D1058"/>
      <c r="E1058" t="s">
        <v>4167</v>
      </c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ht="30" x14ac:dyDescent="0.25">
      <c r="A1059" t="s">
        <v>4277</v>
      </c>
      <c r="B1059">
        <v>189334</v>
      </c>
      <c r="C1059"/>
      <c r="D1059" t="s">
        <v>4067</v>
      </c>
      <c r="E1059">
        <v>9090</v>
      </c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 t="s">
        <v>4277</v>
      </c>
      <c r="B1060">
        <v>268496</v>
      </c>
      <c r="C1060"/>
      <c r="D1060" t="s">
        <v>4075</v>
      </c>
      <c r="E1060">
        <v>3790</v>
      </c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 t="s">
        <v>4277</v>
      </c>
      <c r="B1061">
        <v>268497</v>
      </c>
      <c r="C1061"/>
      <c r="D1061" t="s">
        <v>4083</v>
      </c>
      <c r="E1061">
        <v>3890</v>
      </c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 t="s">
        <v>4277</v>
      </c>
      <c r="B1062">
        <v>190309</v>
      </c>
      <c r="C1062"/>
      <c r="D1062" t="s">
        <v>4091</v>
      </c>
      <c r="E1062">
        <v>9390</v>
      </c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 t="s">
        <v>4277</v>
      </c>
      <c r="B1063">
        <v>250826</v>
      </c>
      <c r="C1063"/>
      <c r="D1063" t="s">
        <v>4099</v>
      </c>
      <c r="E1063">
        <v>2390</v>
      </c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 t="s">
        <v>4277</v>
      </c>
      <c r="B1064">
        <v>250914</v>
      </c>
      <c r="C1064"/>
      <c r="D1064" t="s">
        <v>4107</v>
      </c>
      <c r="E1064">
        <v>1990</v>
      </c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 t="s">
        <v>4277</v>
      </c>
      <c r="B1065">
        <v>250949</v>
      </c>
      <c r="C1065"/>
      <c r="D1065" t="s">
        <v>4115</v>
      </c>
      <c r="E1065">
        <v>2390</v>
      </c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 t="s">
        <v>4277</v>
      </c>
      <c r="B1066">
        <v>250976</v>
      </c>
      <c r="C1066">
        <v>7390</v>
      </c>
      <c r="D1066" t="s">
        <v>4205</v>
      </c>
      <c r="E1066">
        <v>7390</v>
      </c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 t="s">
        <v>4277</v>
      </c>
      <c r="B1067">
        <v>251003</v>
      </c>
      <c r="C1067"/>
      <c r="D1067" t="s">
        <v>4128</v>
      </c>
      <c r="E1067">
        <v>2690</v>
      </c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 t="s">
        <v>4277</v>
      </c>
      <c r="B1068">
        <v>251034</v>
      </c>
      <c r="C1068"/>
      <c r="D1068" t="s">
        <v>4136</v>
      </c>
      <c r="E1068">
        <v>2990</v>
      </c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 t="s">
        <v>4277</v>
      </c>
      <c r="B1069">
        <v>251066</v>
      </c>
      <c r="C1069"/>
      <c r="D1069" t="s">
        <v>4107</v>
      </c>
      <c r="E1069">
        <v>1990</v>
      </c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 t="s">
        <v>4277</v>
      </c>
      <c r="B1070">
        <v>251101</v>
      </c>
      <c r="C1070"/>
      <c r="D1070" t="s">
        <v>4099</v>
      </c>
      <c r="E1070">
        <v>2390</v>
      </c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871CD5-7914-40C5-91E2-90F66AB653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2024-07-11T13:01:43Z</dcterms:created>
  <dcterms:modified xsi:type="dcterms:W3CDTF">2024-07-16T13:08:17Z</dcterms:modified>
</cp:coreProperties>
</file>