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FE49C06D-345B-47AB-8D65-4F185CE60616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1" r:id="rId1"/>
    <sheet name="Импорт" sheetId="6" r:id="rId2"/>
    <sheet name="Наценка" sheetId="3" r:id="rId3"/>
    <sheet name="Выгр Кат" sheetId="2" r:id="rId4"/>
    <sheet name="Ссылки" sheetId="4" r:id="rId5"/>
    <sheet name="Из ГУГЛа" sheetId="5" r:id="rId6"/>
  </sheets>
  <definedNames>
    <definedName name="_xlnm._FilterDatabase" localSheetId="3" hidden="1">'Выгр Кат'!$A$1:$O$22</definedName>
    <definedName name="_xlnm._FilterDatabase" localSheetId="1" hidden="1">Импорт!$A$2:$C$2</definedName>
    <definedName name="_xlnm._FilterDatabase" localSheetId="0" hidden="1">Кат!$A$2:$AE$23</definedName>
    <definedName name="ExternalData_1" localSheetId="5" hidden="1">'Из ГУГЛа'!$A$1:$T$1005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7" i="1"/>
  <c r="K9" i="1"/>
  <c r="U16" i="1"/>
  <c r="U19" i="1"/>
  <c r="U15" i="1"/>
  <c r="U6" i="1"/>
  <c r="U4" i="1"/>
  <c r="U7" i="1"/>
  <c r="U13" i="1"/>
  <c r="U9" i="1"/>
  <c r="U11" i="1"/>
  <c r="U3" i="1"/>
  <c r="AC1" i="1"/>
  <c r="U5" i="1"/>
  <c r="X1" i="1"/>
  <c r="U14" i="1"/>
  <c r="V23" i="1"/>
  <c r="V22" i="1"/>
  <c r="V10" i="1"/>
  <c r="V14" i="1"/>
  <c r="V8" i="1"/>
  <c r="V20" i="1"/>
  <c r="V5" i="1"/>
  <c r="V3" i="1"/>
  <c r="V11" i="1"/>
  <c r="V9" i="1"/>
  <c r="V13" i="1"/>
  <c r="V7" i="1"/>
  <c r="V4" i="1"/>
  <c r="V6" i="1"/>
  <c r="V15" i="1"/>
  <c r="V19" i="1"/>
  <c r="V16" i="1"/>
  <c r="V17" i="1"/>
  <c r="V12" i="1"/>
  <c r="V18" i="1"/>
  <c r="AA23" i="1"/>
  <c r="AA22" i="1"/>
  <c r="AA10" i="1"/>
  <c r="AA14" i="1"/>
  <c r="AA8" i="1"/>
  <c r="AA20" i="1"/>
  <c r="AA5" i="1"/>
  <c r="AA3" i="1"/>
  <c r="AA11" i="1"/>
  <c r="AA9" i="1"/>
  <c r="AA13" i="1"/>
  <c r="AA7" i="1"/>
  <c r="AA4" i="1"/>
  <c r="AA6" i="1"/>
  <c r="AA15" i="1"/>
  <c r="AA19" i="1"/>
  <c r="AA16" i="1"/>
  <c r="AA17" i="1"/>
  <c r="AA12" i="1"/>
  <c r="AA18" i="1"/>
  <c r="AA21" i="1"/>
  <c r="V21" i="1"/>
  <c r="C8" i="1"/>
  <c r="K5" i="1"/>
  <c r="K11" i="1"/>
  <c r="K13" i="1"/>
  <c r="K19" i="1"/>
  <c r="K16" i="1"/>
  <c r="K34" i="1"/>
  <c r="K27" i="1"/>
  <c r="K33" i="1"/>
  <c r="K32" i="1"/>
  <c r="K31" i="1"/>
  <c r="K30" i="1"/>
  <c r="K29" i="1"/>
  <c r="K28" i="1"/>
  <c r="U20" i="1"/>
  <c r="U8" i="1"/>
  <c r="U18" i="1"/>
  <c r="U12" i="1"/>
  <c r="K12" i="1" s="1"/>
  <c r="U17" i="1"/>
  <c r="N3" i="2"/>
  <c r="E8" i="1" s="1"/>
  <c r="O3" i="2"/>
  <c r="N4" i="2"/>
  <c r="O4" i="2"/>
  <c r="N5" i="2"/>
  <c r="O5" i="2"/>
  <c r="N6" i="2"/>
  <c r="E21" i="1" s="1"/>
  <c r="O6" i="2"/>
  <c r="N7" i="2"/>
  <c r="E10" i="1" s="1"/>
  <c r="O7" i="2"/>
  <c r="N8" i="2"/>
  <c r="O8" i="2"/>
  <c r="N9" i="2"/>
  <c r="O9" i="2"/>
  <c r="N10" i="2"/>
  <c r="E23" i="1" s="1"/>
  <c r="O10" i="2"/>
  <c r="N11" i="2"/>
  <c r="O11" i="2"/>
  <c r="N12" i="2"/>
  <c r="O12" i="2"/>
  <c r="N13" i="2"/>
  <c r="E3" i="1" s="1"/>
  <c r="O13" i="2"/>
  <c r="N14" i="2"/>
  <c r="E5" i="1" s="1"/>
  <c r="O14" i="2"/>
  <c r="N15" i="2"/>
  <c r="E11" i="1" s="1"/>
  <c r="O15" i="2"/>
  <c r="N16" i="2"/>
  <c r="O16" i="2"/>
  <c r="N17" i="2"/>
  <c r="O17" i="2"/>
  <c r="N18" i="2"/>
  <c r="O18" i="2"/>
  <c r="N19" i="2"/>
  <c r="O19" i="2"/>
  <c r="N20" i="2"/>
  <c r="E7" i="1" s="1"/>
  <c r="O20" i="2"/>
  <c r="N21" i="2"/>
  <c r="E19" i="1" s="1"/>
  <c r="O21" i="2"/>
  <c r="N22" i="2"/>
  <c r="E15" i="1" s="1"/>
  <c r="O22" i="2"/>
  <c r="O2" i="2"/>
  <c r="B23" i="1"/>
  <c r="B22" i="1"/>
  <c r="B19" i="1"/>
  <c r="B5" i="1"/>
  <c r="B3" i="1"/>
  <c r="B11" i="1"/>
  <c r="B9" i="1"/>
  <c r="B13" i="1"/>
  <c r="B7" i="1"/>
  <c r="B17" i="1"/>
  <c r="B16" i="1"/>
  <c r="B12" i="1"/>
  <c r="B18" i="1"/>
  <c r="B4" i="1"/>
  <c r="B14" i="1"/>
  <c r="B8" i="1"/>
  <c r="B6" i="1"/>
  <c r="B15" i="1"/>
  <c r="B10" i="1"/>
  <c r="B20" i="1"/>
  <c r="B21" i="1"/>
  <c r="F19" i="1"/>
  <c r="C16" i="1"/>
  <c r="C4" i="1"/>
  <c r="N2" i="2"/>
  <c r="C23" i="1"/>
  <c r="D23" i="1"/>
  <c r="F23" i="1"/>
  <c r="D22" i="1"/>
  <c r="C19" i="1"/>
  <c r="D19" i="1"/>
  <c r="C5" i="1"/>
  <c r="D5" i="1"/>
  <c r="F5" i="1"/>
  <c r="C3" i="1"/>
  <c r="D3" i="1"/>
  <c r="F3" i="1"/>
  <c r="C11" i="1"/>
  <c r="D11" i="1"/>
  <c r="F11" i="1"/>
  <c r="C9" i="1"/>
  <c r="D9" i="1"/>
  <c r="E9" i="1"/>
  <c r="F9" i="1"/>
  <c r="C13" i="1"/>
  <c r="D13" i="1"/>
  <c r="E13" i="1"/>
  <c r="F13" i="1"/>
  <c r="C7" i="1"/>
  <c r="D7" i="1"/>
  <c r="C17" i="1"/>
  <c r="D17" i="1"/>
  <c r="E17" i="1"/>
  <c r="F17" i="1"/>
  <c r="C12" i="1"/>
  <c r="D12" i="1"/>
  <c r="E12" i="1"/>
  <c r="F12" i="1"/>
  <c r="C18" i="1"/>
  <c r="D18" i="1"/>
  <c r="E18" i="1"/>
  <c r="F18" i="1"/>
  <c r="D4" i="1"/>
  <c r="F4" i="1"/>
  <c r="C14" i="1"/>
  <c r="D14" i="1"/>
  <c r="E14" i="1"/>
  <c r="F14" i="1"/>
  <c r="D8" i="1"/>
  <c r="F8" i="1"/>
  <c r="C6" i="1"/>
  <c r="D6" i="1"/>
  <c r="E6" i="1"/>
  <c r="F6" i="1"/>
  <c r="C15" i="1"/>
  <c r="D15" i="1"/>
  <c r="F15" i="1"/>
  <c r="C10" i="1"/>
  <c r="D10" i="1"/>
  <c r="F10" i="1"/>
  <c r="C20" i="1"/>
  <c r="D20" i="1"/>
  <c r="E20" i="1"/>
  <c r="F20" i="1"/>
  <c r="M23" i="1"/>
  <c r="N23" i="1"/>
  <c r="M22" i="1"/>
  <c r="N22" i="1"/>
  <c r="M19" i="1"/>
  <c r="O19" i="1" s="1"/>
  <c r="N19" i="1"/>
  <c r="M5" i="1"/>
  <c r="O5" i="1" s="1"/>
  <c r="N5" i="1"/>
  <c r="M3" i="1"/>
  <c r="O3" i="1" s="1"/>
  <c r="N3" i="1"/>
  <c r="M11" i="1"/>
  <c r="O11" i="1" s="1"/>
  <c r="N11" i="1"/>
  <c r="M9" i="1"/>
  <c r="O9" i="1" s="1"/>
  <c r="N9" i="1"/>
  <c r="M13" i="1"/>
  <c r="O13" i="1" s="1"/>
  <c r="N13" i="1"/>
  <c r="M7" i="1"/>
  <c r="O7" i="1" s="1"/>
  <c r="N7" i="1"/>
  <c r="M17" i="1"/>
  <c r="O17" i="1" s="1"/>
  <c r="N17" i="1"/>
  <c r="M12" i="1"/>
  <c r="O12" i="1" s="1"/>
  <c r="N12" i="1"/>
  <c r="M18" i="1"/>
  <c r="O18" i="1" s="1"/>
  <c r="N18" i="1"/>
  <c r="M4" i="1"/>
  <c r="O4" i="1" s="1"/>
  <c r="N4" i="1"/>
  <c r="M14" i="1"/>
  <c r="O14" i="1" s="1"/>
  <c r="N14" i="1"/>
  <c r="M8" i="1"/>
  <c r="O8" i="1" s="1"/>
  <c r="N8" i="1"/>
  <c r="M6" i="1"/>
  <c r="O6" i="1" s="1"/>
  <c r="N6" i="1"/>
  <c r="M15" i="1"/>
  <c r="O15" i="1" s="1"/>
  <c r="N15" i="1"/>
  <c r="M10" i="1"/>
  <c r="N10" i="1"/>
  <c r="M20" i="1"/>
  <c r="O20" i="1" s="1"/>
  <c r="N20" i="1"/>
  <c r="N21" i="1"/>
  <c r="M21" i="1"/>
  <c r="F21" i="1"/>
  <c r="D21" i="1"/>
  <c r="C21" i="1"/>
  <c r="K20" i="1"/>
  <c r="K15" i="1"/>
  <c r="K6" i="1"/>
  <c r="K8" i="1"/>
  <c r="K14" i="1"/>
  <c r="K4" i="1"/>
  <c r="K18" i="1"/>
  <c r="K17" i="1"/>
  <c r="H1" i="1" l="1"/>
  <c r="N16" i="1"/>
  <c r="F7" i="1"/>
  <c r="F16" i="1"/>
  <c r="F22" i="1"/>
  <c r="E4" i="1"/>
  <c r="E16" i="1"/>
  <c r="E22" i="1"/>
  <c r="D16" i="1"/>
  <c r="M16" i="1"/>
  <c r="O16" i="1" s="1"/>
  <c r="C22" i="1"/>
  <c r="T23" i="1"/>
  <c r="T22" i="1"/>
  <c r="T19" i="1"/>
  <c r="T5" i="1"/>
  <c r="T3" i="1"/>
  <c r="T11" i="1"/>
  <c r="T9" i="1"/>
  <c r="T13" i="1"/>
  <c r="T7" i="1"/>
  <c r="T17" i="1"/>
  <c r="T16" i="1"/>
  <c r="T12" i="1"/>
  <c r="T18" i="1"/>
  <c r="T4" i="1"/>
  <c r="T14" i="1"/>
  <c r="T8" i="1"/>
  <c r="T6" i="1"/>
  <c r="T15" i="1"/>
  <c r="T10" i="1"/>
  <c r="T20" i="1"/>
  <c r="T21" i="1"/>
  <c r="T1" i="1" l="1"/>
  <c r="I10" i="1" l="1"/>
  <c r="L20" i="1"/>
  <c r="Q20" i="1" s="1"/>
  <c r="K26" i="1"/>
  <c r="P20" i="1" l="1"/>
  <c r="O10" i="1"/>
  <c r="R20" i="1"/>
  <c r="S20" i="1"/>
  <c r="J20" i="1" l="1"/>
  <c r="L1" i="1"/>
  <c r="L15" i="1" l="1"/>
  <c r="L6" i="1"/>
  <c r="L8" i="1"/>
  <c r="L14" i="1"/>
  <c r="L4" i="1"/>
  <c r="L18" i="1"/>
  <c r="L12" i="1"/>
  <c r="L17" i="1"/>
  <c r="L7" i="1"/>
  <c r="L13" i="1"/>
  <c r="L9" i="1"/>
  <c r="L11" i="1"/>
  <c r="L3" i="1"/>
  <c r="L5" i="1"/>
  <c r="L19" i="1"/>
  <c r="P17" i="1" l="1"/>
  <c r="Q17" i="1"/>
  <c r="P11" i="1"/>
  <c r="Q11" i="1"/>
  <c r="P14" i="1"/>
  <c r="Q14" i="1"/>
  <c r="P9" i="1"/>
  <c r="Q9" i="1"/>
  <c r="P8" i="1"/>
  <c r="Q8" i="1"/>
  <c r="P13" i="1"/>
  <c r="Q13" i="1"/>
  <c r="P4" i="1"/>
  <c r="Q4" i="1"/>
  <c r="P6" i="1"/>
  <c r="Q6" i="1"/>
  <c r="P7" i="1"/>
  <c r="Q7" i="1"/>
  <c r="P12" i="1"/>
  <c r="Q12" i="1"/>
  <c r="P19" i="1"/>
  <c r="Q19" i="1"/>
  <c r="P5" i="1"/>
  <c r="Q5" i="1"/>
  <c r="P3" i="1"/>
  <c r="Q3" i="1"/>
  <c r="P15" i="1"/>
  <c r="Q15" i="1"/>
  <c r="P18" i="1"/>
  <c r="Q18" i="1"/>
  <c r="I1" i="1"/>
  <c r="R12" i="1" l="1"/>
  <c r="S12" i="1"/>
  <c r="R18" i="1"/>
  <c r="S18" i="1"/>
  <c r="S4" i="1"/>
  <c r="R4" i="1"/>
  <c r="R15" i="1"/>
  <c r="S15" i="1"/>
  <c r="R6" i="1"/>
  <c r="S6" i="1"/>
  <c r="R8" i="1"/>
  <c r="S8" i="1"/>
  <c r="R14" i="1"/>
  <c r="S14" i="1"/>
  <c r="R17" i="1"/>
  <c r="S17" i="1"/>
  <c r="S7" i="1"/>
  <c r="R7" i="1"/>
  <c r="R9" i="1"/>
  <c r="S9" i="1"/>
  <c r="R3" i="1"/>
  <c r="S3" i="1"/>
  <c r="R13" i="1"/>
  <c r="S13" i="1"/>
  <c r="R11" i="1"/>
  <c r="S11" i="1"/>
  <c r="R5" i="1"/>
  <c r="S5" i="1"/>
  <c r="R19" i="1"/>
  <c r="S19" i="1"/>
  <c r="L23" i="1"/>
  <c r="L22" i="1"/>
  <c r="L21" i="1"/>
  <c r="P21" i="1" l="1"/>
  <c r="Q21" i="1"/>
  <c r="P22" i="1"/>
  <c r="Q22" i="1"/>
  <c r="P23" i="1"/>
  <c r="Q23" i="1"/>
  <c r="J12" i="1"/>
  <c r="I23" i="1"/>
  <c r="I22" i="1"/>
  <c r="I21" i="1"/>
  <c r="J19" i="1"/>
  <c r="J11" i="1"/>
  <c r="O22" i="1" l="1"/>
  <c r="O23" i="1"/>
  <c r="O21" i="1"/>
  <c r="J17" i="1"/>
  <c r="J8" i="1"/>
  <c r="J6" i="1"/>
  <c r="J7" i="1"/>
  <c r="J16" i="1"/>
  <c r="L16" i="1" s="1"/>
  <c r="Q16" i="1" s="1"/>
  <c r="J15" i="1"/>
  <c r="J9" i="1"/>
  <c r="J21" i="1"/>
  <c r="K21" i="1" s="1"/>
  <c r="J23" i="1"/>
  <c r="K23" i="1" s="1"/>
  <c r="J22" i="1"/>
  <c r="K22" i="1" s="1"/>
  <c r="J4" i="1"/>
  <c r="J13" i="1"/>
  <c r="J18" i="1"/>
  <c r="J3" i="1"/>
  <c r="J14" i="1"/>
  <c r="J5" i="1"/>
  <c r="P16" i="1" l="1"/>
  <c r="R23" i="1"/>
  <c r="S23" i="1"/>
  <c r="R22" i="1"/>
  <c r="S22" i="1"/>
  <c r="S21" i="1"/>
  <c r="R21" i="1"/>
  <c r="R16" i="1"/>
  <c r="S16" i="1"/>
  <c r="J10" i="1" l="1"/>
  <c r="K10" i="1" s="1"/>
  <c r="L10" i="1" s="1"/>
  <c r="P10" i="1" l="1"/>
  <c r="Q10" i="1"/>
  <c r="S10" i="1" s="1"/>
  <c r="S1" i="1" s="1"/>
  <c r="R10" i="1" l="1"/>
  <c r="R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8C5940-96CB-445E-9C38-FCB9F75CAE30}" keepAlive="1" name="Запрос — 100 деталей" description="Соединение с запросом &quot;100 деталей&quot; в книге." type="5" refreshedVersion="7" background="1" saveData="1">
    <dbPr connection="Provider=Microsoft.Mashup.OleDb.1;Data Source=$Workbook$;Location=&quot;100 деталей&quot;;Extended Properties=&quot;&quot;" command="SELECT * FROM [100 деталей]"/>
  </connection>
</connections>
</file>

<file path=xl/sharedStrings.xml><?xml version="1.0" encoding="utf-8"?>
<sst xmlns="http://schemas.openxmlformats.org/spreadsheetml/2006/main" count="322" uniqueCount="121">
  <si>
    <t>ID</t>
  </si>
  <si>
    <t>Под заказ</t>
  </si>
  <si>
    <t>Поставщик</t>
  </si>
  <si>
    <t>1</t>
  </si>
  <si>
    <t>Маховик (облегчённый, алюминиевый) для ВАЗ 2101-2107 (с 16-ти клапанным двигателем)</t>
  </si>
  <si>
    <t>100 деталей</t>
  </si>
  <si>
    <t>Маховик необлегчённый для ВАЗ 2108-21099, 2113-2115 (под сцепление 2110-2112 с КПП 2109)</t>
  </si>
  <si>
    <t>4</t>
  </si>
  <si>
    <t>Розница</t>
  </si>
  <si>
    <t>Закуп</t>
  </si>
  <si>
    <t>Наименование</t>
  </si>
  <si>
    <t>Розн</t>
  </si>
  <si>
    <t>Факт</t>
  </si>
  <si>
    <t>https://motorring.ru/product/5803-mahovik-oblegchennyy-100detaley-dlya-vaz-2110-2112</t>
  </si>
  <si>
    <t>https://motorring.ru/product/31895-mahovik-oblegchennyy-100detaley-pod-sceplenie-2123-dlya-2101-4x4</t>
  </si>
  <si>
    <t>https://motorring.ru/product/5805-mahovik-oblegchennyy-4kg-sceplenie-2110-vaz-2108-21099-2113-2115</t>
  </si>
  <si>
    <t>https://motorring.ru/product/8244-mahovik-oblegchennyy-100detaley-dlya-vaz-2108-21099</t>
  </si>
  <si>
    <t>https://motorring.ru/product/29296-mahovik-oblegchennyy-100detaley-turbo-pod-sceplenie-2110</t>
  </si>
  <si>
    <t>https://motorring.ru/product/14199-mahovik-oblegchennyy-100detaley-pod-trosovuyu-korobku</t>
  </si>
  <si>
    <t>https://motorring.ru/product/31898-mahovik-oblegchennyy-100detaley-8v-2101</t>
  </si>
  <si>
    <t>https://motorring.ru/product/37236-mahovik-oblegchennyy-stalnoy-100detaley-vaz-2110-2112</t>
  </si>
  <si>
    <t>https://motorring.ru/product/37234-mahovik-oblegchennyy-sceplenie-2123-100detaley-lada-vesta</t>
  </si>
  <si>
    <t>https://motorring.ru/product/40316-mahovik-oblegchennyy-stalnoy-100detaley-tros-kpp-granta</t>
  </si>
  <si>
    <t>https://motorring.ru/product/1025-mahovik-oblegchennyy-100detaley-215mm-dlya-shevrole-niva</t>
  </si>
  <si>
    <t>https://motorring.ru/product/1026-mahovik-oblegchennyy-100detaley-turbo-215mm-dlya-shevrole</t>
  </si>
  <si>
    <t>https://motorring.ru/product/31897-mahovik-oblegchennyy-100detaley-16v-2101</t>
  </si>
  <si>
    <t>https://motorring.ru/product/37235-mahovik-oblegchennyy-100detaley-lada-vesta</t>
  </si>
  <si>
    <t>https://motorring.ru/product/5807-mahovik-oblegchennyy-100detaley-pod-sceplenie-2123-dlya-2101</t>
  </si>
  <si>
    <t>Column1</t>
  </si>
  <si>
    <t>Column2</t>
  </si>
  <si>
    <t>Column3</t>
  </si>
  <si>
    <t>Column4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</si>
  <si>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</si>
  <si>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</si>
  <si>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</si>
  <si>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</si>
  <si>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</si>
  <si>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</si>
  <si>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</si>
  <si>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</si>
  <si>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</si>
  <si>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</si>
  <si>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</si>
  <si>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Разн</t>
  </si>
  <si>
    <t>Рек</t>
  </si>
  <si>
    <t>%</t>
  </si>
  <si>
    <t>MR</t>
  </si>
  <si>
    <t>Column19</t>
  </si>
  <si>
    <t>https://docs.google.com/spreadsheets/d/1f8_y-lcqVEuKpceVw_F97NEKzue5YmQtx8GIXUS_2B8/export?format=xlsx</t>
  </si>
  <si>
    <t>Код</t>
  </si>
  <si>
    <t>Кат. Номер</t>
  </si>
  <si>
    <t>Ст З</t>
  </si>
  <si>
    <t>Ст Р</t>
  </si>
  <si>
    <t>Наименование элемента</t>
  </si>
  <si>
    <t>Y / N</t>
  </si>
  <si>
    <t>Ссылка на конкурентов</t>
  </si>
  <si>
    <t>Кол-во</t>
  </si>
  <si>
    <t>Маховик "Турбо" облегченный для ВАЗ 2108-21099, 2113-2115 (сцепление 2110)</t>
  </si>
  <si>
    <t>Y</t>
  </si>
  <si>
    <t>Маховик "Турбо" облегченный для Шевроле Нива (сцепление 2123)</t>
  </si>
  <si>
    <t>Маховик "Турбо" облегченный, тяжёлый для ВАЗ 2101-2107, Лада Нива 4х4 (16-ти клапанный двигатель)</t>
  </si>
  <si>
    <t>0</t>
  </si>
  <si>
    <t>Маховик облегченный для ВАЗ 2101-2107, Лада Нива 4х4 (сцепление 2123, 16-ти клапанный двигатель)</t>
  </si>
  <si>
    <t>Маховик облегченный для ВАЗ 2108-21099, 2113-2115 (сцепление 2110)</t>
  </si>
  <si>
    <t>Маховик облегченный для ВАЗ 2110-2112</t>
  </si>
  <si>
    <t>Маховик облегченный для Лада Веста</t>
  </si>
  <si>
    <t>Маховик облегченный тяжелый для Лада Веста (сцепление 2123)</t>
  </si>
  <si>
    <t>Маховик облегченный, балансированный для ВАЗ 2101-2107 (16-ти клапанный двигатель)</t>
  </si>
  <si>
    <t>Маховик облегченный, балансированный для ВАЗ 2108-21099, 2113-2115</t>
  </si>
  <si>
    <t>Маховик облегченный, балансированный для ВАЗ 2108-21099, 2113-2115 (сцепление 2110)</t>
  </si>
  <si>
    <t>Маховик облегченный, балансированный для ВАЗ 2110-2112</t>
  </si>
  <si>
    <t>Маховик облегченный, балансированный для ВАЗ 2110-2112, Лада (Калина, Приора, Гранта)</t>
  </si>
  <si>
    <t>Маховик облегченный, балансированный для Лада Гранта</t>
  </si>
  <si>
    <t>Маховик облегченный, балансированный для Лада Нива 4х4</t>
  </si>
  <si>
    <t>Маховик облегченный, балансированный для Лада Приора 2, Калина 2, Гранта, Веста (тросовая КПП)</t>
  </si>
  <si>
    <t>Маховик облегченный, балансированный для Шевроле Нива</t>
  </si>
  <si>
    <t/>
  </si>
  <si>
    <t>Каталожный номер</t>
  </si>
  <si>
    <t>Артикул поставщика</t>
  </si>
  <si>
    <t>4490 снят</t>
  </si>
  <si>
    <t>СВОД</t>
  </si>
  <si>
    <t>Данные</t>
  </si>
  <si>
    <t>Переменные</t>
  </si>
  <si>
    <t>(дубль) Маховик облегченный тяжёлый для ВАЗ 2101-2107, Лада Нива 4х4 (сцепление 2123, 16-ти клапанный двигатель)</t>
  </si>
  <si>
    <t>N</t>
  </si>
  <si>
    <t>Маховик облегченный, балансированный для ВАЗ 2101-2107 (8-ми клапанный двигатель)</t>
  </si>
  <si>
    <t>OZON</t>
  </si>
  <si>
    <t>Доп</t>
  </si>
  <si>
    <t>ЗЦ</t>
  </si>
  <si>
    <t>РЦ</t>
  </si>
  <si>
    <t>Column20</t>
  </si>
  <si>
    <t>https://www.ozon.ru/product/mahovik-sto-detaley-2123-16kl-tyazhelyy-4-6kg-1090108245/</t>
  </si>
  <si>
    <t>https://www.ozon.ru/product/mahovik-oblegchennyy-vaz-2101-2107-928074588/</t>
  </si>
  <si>
    <t>https://www.ozon.ru/product/mahovik-vaz-2101-2107-16kl-oblegchennyy-balansirovannyy-852494579/</t>
  </si>
  <si>
    <t>https://www.ozon.ru/product/mahovik-2108-sport-oblegchennyy-100-detaley-879426533/</t>
  </si>
  <si>
    <t>https://www.ozon.ru/product/mahovik-vaz-2108-pod-stseplenie-2110-oblegchennyy-balansirovannyy-855598916/</t>
  </si>
  <si>
    <t>https://www.ozon.ru/product/mahovik-vaz-2110-standartnyy-1573727887/</t>
  </si>
  <si>
    <t>https://www.ozon.ru/product/mahovik-vaz-2101-2107-niva-oblegchennyy-balansirovannyy-852409995/</t>
  </si>
  <si>
    <t>https://www.ozon.ru/product/mahovik-vaz-2123-niva-shevrole-dlya-vaz-2101-2107-16v-oblegchennyy-100-detaley-v-1588977930/</t>
  </si>
  <si>
    <t>https://www.ozon.ru/product/mahovik-vaz-2123-shevi-niva-oblegchennyy-balansirovannyy-852432193/</t>
  </si>
  <si>
    <t>https://www.ozon.ru/product/mahovik-vaz-2181-granta-standartnyy-1573733384/</t>
  </si>
  <si>
    <t>https://www.ozon.ru/product/mahovik-vaz-2181-trosovaya-kpp-oblegchennyy-100-detaley-v-sbore-balansirovannyy-1588981083/</t>
  </si>
  <si>
    <t>Google</t>
  </si>
  <si>
    <t>Ряд</t>
  </si>
  <si>
    <t>Примечание</t>
  </si>
  <si>
    <t>Column5</t>
  </si>
  <si>
    <t>Column6</t>
  </si>
  <si>
    <t>Column7</t>
  </si>
  <si>
    <t>2108 под 10 сцеп</t>
  </si>
  <si>
    <t>2101 тяж</t>
  </si>
  <si>
    <t>2108 под 10 сцеп необлчг</t>
  </si>
  <si>
    <t>2101 под 16кл</t>
  </si>
  <si>
    <t>веста</t>
  </si>
  <si>
    <t>веста под 23 сцеп</t>
  </si>
  <si>
    <t>2101 под 16кл 23 сцеп</t>
  </si>
  <si>
    <t>гранта</t>
  </si>
  <si>
    <t>2101 под сток сцеп</t>
  </si>
  <si>
    <t>2108 под сток сцеп</t>
  </si>
  <si>
    <t>2110 под сток сцеп</t>
  </si>
  <si>
    <t>2121 под сток сцеп</t>
  </si>
  <si>
    <t>2123 под сток сцеп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</si>
</sst>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9C0006"/>
      <name val="Calibri"/>
      <family val="2"/>
      <charset val="204"/>
    </font>
    <font>
      <i/>
      <sz val="10"/>
      <color rgb="FF7F7F7F"/>
      <name val="Calibri"/>
      <family val="2"/>
      <charset val="204"/>
    </font>
    <font>
      <sz val="10"/>
      <color rgb="FFFA7D00"/>
      <name val="Calibri"/>
      <family val="2"/>
      <charset val="204"/>
    </font>
    <font>
      <sz val="10"/>
      <color rgb="FFFF0000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theme="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scheme val="minor"/>
    </font>
    <font>
      <sz val="8"/>
      <name val="Calibri"/>
      <family val="2"/>
      <charset val="20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6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7" fillId="32" borderId="1" applyNumberFormat="0" applyFont="0" applyBorder="0" applyAlignment="0" applyProtection="0"/>
    <xf numFmtId="0" fontId="18" fillId="27" borderId="2" applyNumberFormat="0" applyFont="0" applyBorder="0" applyAlignment="0" applyProtection="0"/>
    <xf numFmtId="0" fontId="19" fillId="33" borderId="3" applyNumberFormat="0" applyFont="0" applyBorder="0" applyAlignment="0" applyProtection="0"/>
    <xf numFmtId="0" fontId="19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3" fillId="3" borderId="0" applyNumberFormat="0" applyBorder="0" applyAlignment="0" applyProtection="0"/>
    <xf numFmtId="0" fontId="22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25" fillId="0" borderId="6" applyNumberFormat="0" applyFill="0" applyAlignment="0" applyProtection="0"/>
    <xf numFmtId="0" fontId="21" fillId="7" borderId="7" applyNumberFormat="0" applyAlignment="0" applyProtection="0"/>
    <xf numFmtId="0" fontId="2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4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9" fillId="0" borderId="12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0" fillId="0" borderId="13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1" fillId="0" borderId="14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9" fillId="29" borderId="15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2" fillId="30" borderId="16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3" fillId="3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/>
    <xf numFmtId="0" fontId="29" fillId="0" borderId="12" applyFill="0" applyAlignment="0" applyProtection="0"/>
  </cellStyleXfs>
  <cellXfs count="77">
    <xf numFmtId="0" fontId="0" fillId="0" borderId="0" xfId="0"/>
    <xf numFmtId="1" fontId="4" fillId="0" borderId="10" xfId="0" applyNumberFormat="1" applyFont="1" applyBorder="1" applyAlignment="1">
      <alignment horizontal="right" wrapText="1"/>
    </xf>
    <xf numFmtId="2" fontId="4" fillId="0" borderId="10" xfId="0" applyNumberFormat="1" applyFont="1" applyBorder="1" applyAlignment="1">
      <alignment horizontal="left" wrapText="1"/>
    </xf>
    <xf numFmtId="2" fontId="0" fillId="0" borderId="0" xfId="0" applyNumberFormat="1"/>
    <xf numFmtId="0" fontId="6" fillId="0" borderId="0" xfId="44" applyAlignment="1">
      <alignment horizontal="left" vertical="top" wrapText="1"/>
    </xf>
    <xf numFmtId="0" fontId="7" fillId="0" borderId="0" xfId="44" applyFont="1" applyAlignment="1">
      <alignment horizontal="left" vertical="top" wrapText="1"/>
    </xf>
    <xf numFmtId="1" fontId="0" fillId="0" borderId="0" xfId="0" applyNumberFormat="1"/>
    <xf numFmtId="1" fontId="4" fillId="0" borderId="10" xfId="0" applyNumberFormat="1" applyFont="1" applyBorder="1" applyAlignment="1">
      <alignment wrapText="1"/>
    </xf>
    <xf numFmtId="2" fontId="4" fillId="27" borderId="10" xfId="0" applyNumberFormat="1" applyFont="1" applyFill="1" applyBorder="1" applyAlignment="1">
      <alignment wrapText="1"/>
    </xf>
    <xf numFmtId="2" fontId="4" fillId="27" borderId="10" xfId="0" applyNumberFormat="1" applyFont="1" applyFill="1" applyBorder="1" applyAlignment="1">
      <alignment horizontal="left" wrapText="1"/>
    </xf>
    <xf numFmtId="2" fontId="23" fillId="3" borderId="10" xfId="8" applyNumberFormat="1" applyBorder="1" applyAlignment="1">
      <alignment horizontal="left" wrapText="1"/>
    </xf>
    <xf numFmtId="0" fontId="28" fillId="0" borderId="17" xfId="0" applyFont="1" applyBorder="1" applyAlignment="1">
      <alignment horizontal="right" wrapText="1"/>
    </xf>
    <xf numFmtId="0" fontId="28" fillId="0" borderId="18" xfId="0" applyFont="1" applyBorder="1" applyAlignment="1">
      <alignment horizontal="right" wrapText="1"/>
    </xf>
    <xf numFmtId="0" fontId="28" fillId="0" borderId="19" xfId="0" applyFont="1" applyBorder="1" applyAlignment="1">
      <alignment horizontal="right" wrapText="1"/>
    </xf>
    <xf numFmtId="1" fontId="4" fillId="0" borderId="10" xfId="0" applyNumberFormat="1" applyFont="1" applyBorder="1" applyAlignment="1">
      <alignment horizontal="left" wrapText="1"/>
    </xf>
    <xf numFmtId="2" fontId="4" fillId="0" borderId="20" xfId="0" applyNumberFormat="1" applyFont="1" applyBorder="1" applyAlignment="1">
      <alignment horizontal="left" wrapText="1"/>
    </xf>
    <xf numFmtId="1" fontId="4" fillId="0" borderId="11" xfId="0" applyNumberFormat="1" applyFont="1" applyBorder="1" applyAlignment="1">
      <alignment horizontal="left" wrapText="1"/>
    </xf>
    <xf numFmtId="1" fontId="0" fillId="0" borderId="11" xfId="0" applyNumberFormat="1" applyBorder="1" applyAlignment="1" applyProtection="1">
      <alignment horizontal="left" vertical="top" wrapText="1"/>
    </xf>
    <xf numFmtId="2" fontId="13" fillId="27" borderId="10" xfId="8" applyNumberFormat="1" applyFont="1" applyFill="1" applyBorder="1" applyAlignment="1">
      <alignment horizontal="left" wrapText="1"/>
    </xf>
    <xf numFmtId="0" fontId="7" fillId="35" borderId="11" xfId="0" applyFont="1" applyFill="1" applyBorder="1" applyAlignment="1">
      <alignment horizontal="left" vertical="top" wrapText="1"/>
    </xf>
    <xf numFmtId="1" fontId="7" fillId="36" borderId="11" xfId="0" applyNumberFormat="1" applyFont="1" applyFill="1" applyBorder="1" applyAlignment="1">
      <alignment horizontal="left" vertical="top" wrapText="1"/>
    </xf>
    <xf numFmtId="0" fontId="0" fillId="28" borderId="11" xfId="0" applyFill="1" applyBorder="1"/>
    <xf numFmtId="1" fontId="23" fillId="3" borderId="10" xfId="8" applyNumberFormat="1" applyBorder="1" applyAlignment="1">
      <alignment horizontal="left" wrapText="1"/>
    </xf>
    <xf numFmtId="1" fontId="13" fillId="27" borderId="10" xfId="8" applyNumberFormat="1" applyFont="1" applyFill="1" applyBorder="1" applyAlignment="1">
      <alignment horizontal="left" wrapText="1"/>
    </xf>
    <xf numFmtId="1" fontId="4" fillId="34" borderId="10" xfId="0" applyNumberFormat="1" applyFont="1" applyFill="1" applyBorder="1" applyAlignment="1">
      <alignment horizontal="left" wrapText="1"/>
    </xf>
    <xf numFmtId="1" fontId="4" fillId="27" borderId="10" xfId="0" applyNumberFormat="1" applyFont="1" applyFill="1" applyBorder="1" applyAlignment="1">
      <alignment horizontal="left" wrapText="1"/>
    </xf>
    <xf numFmtId="9" fontId="7" fillId="34" borderId="11" xfId="1" applyFont="1" applyFill="1" applyBorder="1" applyAlignment="1">
      <alignment horizontal="left" vertical="top" wrapText="1"/>
    </xf>
    <xf numFmtId="9" fontId="30" fillId="34" borderId="11" xfId="0" applyNumberFormat="1" applyFont="1" applyFill="1" applyBorder="1" applyAlignment="1">
      <alignment horizontal="left" vertical="center"/>
    </xf>
    <xf numFmtId="1" fontId="7" fillId="34" borderId="11" xfId="1" applyNumberFormat="1" applyFont="1" applyFill="1" applyBorder="1" applyAlignment="1">
      <alignment horizontal="left" vertical="top" wrapText="1"/>
    </xf>
    <xf numFmtId="0" fontId="30" fillId="34" borderId="11" xfId="0" applyFont="1" applyFill="1" applyBorder="1" applyAlignment="1">
      <alignment horizontal="left" vertical="center"/>
    </xf>
    <xf numFmtId="1" fontId="30" fillId="34" borderId="11" xfId="0" applyNumberFormat="1" applyFont="1" applyFill="1" applyBorder="1" applyAlignment="1">
      <alignment horizontal="left" vertical="center"/>
    </xf>
    <xf numFmtId="0" fontId="0" fillId="34" borderId="11" xfId="0" applyFill="1" applyBorder="1" applyAlignment="1">
      <alignment horizontal="left" vertical="center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9" fontId="0" fillId="0" borderId="0" xfId="1" applyFont="1" applyAlignment="1">
      <alignment horizontal="left"/>
    </xf>
    <xf numFmtId="2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9" fontId="0" fillId="27" borderId="11" xfId="0" applyNumberFormat="1" applyFill="1" applyBorder="1" applyAlignment="1">
      <alignment horizontal="left"/>
    </xf>
    <xf numFmtId="2" fontId="0" fillId="27" borderId="0" xfId="0" applyNumberFormat="1" applyFill="1" applyAlignment="1">
      <alignment horizontal="left"/>
    </xf>
    <xf numFmtId="0" fontId="8" fillId="0" borderId="11" xfId="0" applyFont="1" applyBorder="1" applyAlignment="1">
      <alignment horizontal="left" vertical="center" wrapText="1"/>
    </xf>
    <xf numFmtId="2" fontId="8" fillId="0" borderId="11" xfId="0" applyNumberFormat="1" applyFont="1" applyBorder="1" applyAlignment="1">
      <alignment horizontal="left" vertical="center" wrapText="1"/>
    </xf>
    <xf numFmtId="2" fontId="8" fillId="0" borderId="21" xfId="0" applyNumberFormat="1" applyFont="1" applyBorder="1" applyAlignment="1">
      <alignment horizontal="left" vertical="center" wrapText="1"/>
    </xf>
    <xf numFmtId="1" fontId="4" fillId="0" borderId="10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9" fontId="2" fillId="0" borderId="11" xfId="1" applyFont="1" applyBorder="1" applyAlignment="1">
      <alignment horizontal="left" wrapText="1"/>
    </xf>
    <xf numFmtId="0" fontId="9" fillId="0" borderId="12" xfId="19" applyAlignment="1">
      <alignment horizontal="left"/>
    </xf>
    <xf numFmtId="0" fontId="5" fillId="0" borderId="11" xfId="43" applyBorder="1" applyAlignment="1">
      <alignment horizontal="left"/>
    </xf>
    <xf numFmtId="0" fontId="28" fillId="0" borderId="11" xfId="0" applyFont="1" applyBorder="1" applyAlignment="1">
      <alignment horizontal="left"/>
    </xf>
    <xf numFmtId="10" fontId="0" fillId="0" borderId="0" xfId="1" applyNumberFormat="1" applyFont="1" applyAlignment="1">
      <alignment horizontal="left"/>
    </xf>
    <xf numFmtId="1" fontId="9" fillId="0" borderId="12" xfId="19" applyNumberFormat="1" applyBorder="1" applyAlignment="1">
      <alignment horizontal="left" wrapText="1"/>
    </xf>
    <xf numFmtId="0" fontId="9" fillId="0" borderId="11" xfId="19" applyBorder="1" applyAlignment="1">
      <alignment horizontal="left"/>
    </xf>
    <xf numFmtId="1" fontId="0" fillId="37" borderId="11" xfId="0" applyNumberFormat="1" applyFill="1" applyBorder="1" applyAlignment="1">
      <alignment horizontal="left" vertical="center"/>
    </xf>
    <xf numFmtId="1" fontId="0" fillId="34" borderId="11" xfId="0" applyNumberFormat="1" applyFill="1" applyBorder="1" applyAlignment="1">
      <alignment horizontal="left"/>
    </xf>
    <xf numFmtId="1" fontId="0" fillId="38" borderId="11" xfId="0" applyNumberFormat="1" applyFill="1" applyBorder="1" applyAlignment="1">
      <alignment horizontal="left"/>
    </xf>
    <xf numFmtId="1" fontId="0" fillId="39" borderId="11" xfId="0" applyNumberFormat="1" applyFill="1" applyBorder="1" applyAlignment="1">
      <alignment horizontal="left"/>
    </xf>
    <xf numFmtId="1" fontId="0" fillId="40" borderId="11" xfId="0" applyNumberFormat="1" applyFill="1" applyBorder="1" applyAlignment="1">
      <alignment horizontal="left"/>
    </xf>
    <xf numFmtId="1" fontId="0" fillId="41" borderId="11" xfId="0" applyNumberFormat="1" applyFill="1" applyBorder="1" applyAlignment="1">
      <alignment horizontal="left"/>
    </xf>
    <xf numFmtId="1" fontId="4" fillId="33" borderId="11" xfId="0" applyNumberFormat="1" applyFont="1" applyFill="1" applyBorder="1" applyAlignment="1">
      <alignment horizontal="left" vertical="center"/>
    </xf>
    <xf numFmtId="1" fontId="4" fillId="42" borderId="11" xfId="0" applyNumberFormat="1" applyFont="1" applyFill="1" applyBorder="1" applyAlignment="1">
      <alignment horizontal="left" vertical="center"/>
    </xf>
    <xf numFmtId="1" fontId="32" fillId="34" borderId="11" xfId="0" applyNumberFormat="1" applyFont="1" applyFill="1" applyBorder="1" applyAlignment="1">
      <alignment horizontal="left" vertical="center"/>
    </xf>
    <xf numFmtId="1" fontId="4" fillId="42" borderId="10" xfId="0" applyNumberFormat="1" applyFont="1" applyFill="1" applyBorder="1" applyAlignment="1">
      <alignment horizontal="left" vertical="center"/>
    </xf>
    <xf numFmtId="0" fontId="7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7" fillId="27" borderId="11" xfId="0" applyNumberFormat="1" applyFont="1" applyFill="1" applyBorder="1" applyAlignment="1" applyProtection="1">
      <alignment horizontal="left" vertical="top" wrapText="1"/>
    </xf>
    <xf numFmtId="1" fontId="4" fillId="34" borderId="11" xfId="0" applyNumberFormat="1" applyFont="1" applyFill="1" applyBorder="1" applyAlignment="1">
      <alignment horizontal="left" wrapText="1"/>
    </xf>
    <xf numFmtId="1" fontId="0" fillId="37" borderId="10" xfId="0" applyNumberFormat="1" applyFill="1" applyBorder="1" applyAlignment="1">
      <alignment horizontal="left" vertical="center"/>
    </xf>
    <xf numFmtId="0" fontId="9" fillId="0" borderId="12" xfId="19" applyBorder="1" applyAlignment="1">
      <alignment horizontal="left"/>
    </xf>
    <xf numFmtId="1" fontId="4" fillId="0" borderId="12" xfId="0" applyNumberFormat="1" applyFont="1" applyBorder="1" applyAlignment="1">
      <alignment horizontal="left" wrapText="1"/>
    </xf>
    <xf numFmtId="0" fontId="5" fillId="0" borderId="10" xfId="43" applyBorder="1" applyAlignment="1">
      <alignment horizontal="left"/>
    </xf>
    <xf numFmtId="2" fontId="4" fillId="0" borderId="11" xfId="0" applyNumberFormat="1" applyFont="1" applyBorder="1" applyAlignment="1">
      <alignment horizontal="left" wrapText="1"/>
    </xf>
    <xf numFmtId="0" fontId="5" fillId="0" borderId="20" xfId="43" applyBorder="1" applyAlignment="1">
      <alignment horizontal="left"/>
    </xf>
    <xf numFmtId="9" fontId="0" fillId="0" borderId="0" xfId="1" applyFont="1" applyAlignment="1">
      <alignment horizontal="left" wrapText="1"/>
    </xf>
    <xf numFmtId="2" fontId="0" fillId="0" borderId="0" xfId="0" applyNumberFormat="1" applyAlignment="1">
      <alignment horizontal="left" wrapText="1"/>
    </xf>
    <xf numFmtId="2" fontId="4" fillId="0" borderId="22" xfId="0" applyNumberFormat="1" applyFont="1" applyBorder="1" applyAlignment="1">
      <alignment horizontal="left" wrapText="1"/>
    </xf>
  </cellXfs>
  <cellStyles count="46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0" builtinId="20" customBuiltin="1"/>
    <cellStyle name="Вывод" xfId="11" builtinId="21" customBuiltin="1"/>
    <cellStyle name="Вычисление" xfId="12" builtinId="22" customBuiltin="1"/>
    <cellStyle name="Гиперссылка" xfId="43" builtinId="8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8" builtinId="25" customBuiltin="1"/>
    <cellStyle name="Контрольная ячейка" xfId="14" builtinId="23" customBuiltin="1"/>
    <cellStyle name="Моторринг" xfId="45" xr:uid="{C9AC2458-4158-4937-850B-C4FC4D639A50}"/>
    <cellStyle name="Название" xfId="2" builtinId="15" customBuiltin="1"/>
    <cellStyle name="Нейтральный" xfId="9" builtinId="28" customBuiltin="1"/>
    <cellStyle name="Обычный" xfId="0" builtinId="0" customBuiltin="1"/>
    <cellStyle name="Обычный 2" xfId="44" xr:uid="{8C21F7C2-C62E-4305-B0E8-CDA5348D51E3}"/>
    <cellStyle name="Плохой" xfId="8" builtinId="27" customBuiltin="1"/>
    <cellStyle name="Пояснение" xfId="17" builtinId="53" customBuiltin="1"/>
    <cellStyle name="Примечание" xfId="16" builtinId="10" customBuiltin="1"/>
    <cellStyle name="Процентный" xfId="1" builtinId="5"/>
    <cellStyle name="Связанная ячейка" xfId="13" builtinId="24" customBuiltin="1"/>
    <cellStyle name="Текст предупреждения" xfId="15" builtinId="11" customBuiltin="1"/>
    <cellStyle name="Хороший" xfId="7" builtinId="26" customBuiltin="1"/>
  </cellStyles>
  <dxfs count="13">
    <dxf>
      <fill>
        <patternFill patternType="none">
          <fgColor indexed="64"/>
          <bgColor indexed="65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266700</xdr:colOff>
          <xdr:row>1</xdr:row>
          <xdr:rowOff>19050</xdr:rowOff>
        </xdr:from>
        <xdr:to>
          <xdr:col>17</xdr:col>
          <xdr:colOff>581025</xdr:colOff>
          <xdr:row>4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6C8D1C3-5DFF-40FE-8BC9-9FF78B265A8F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798E59-1829-4002-A2B3-83C2212308AF}" name="_100_деталей" displayName="_100_деталей" ref="A1:T1005" tableType="queryTable" totalsRowShown="0">
  <autoFilter ref="A1:T1005" xr:uid="{DF798E59-1829-4002-A2B3-83C2212308AF}"/>
  <tableColumns count="20">
    <tableColumn id="1" xr3:uid="{22EB1632-F1F5-4B85-9146-27414F161985}" uniqueName="1" name="Column1" queryTableFieldId="1" dataDxfId="12"/>
    <tableColumn id="2" xr3:uid="{E0C91190-51F0-4DAF-9787-5B656C233984}" uniqueName="2" name="Column2" queryTableFieldId="2"/>
    <tableColumn id="3" xr3:uid="{4C0D4548-378A-436A-AC43-F85A1016DC7C}" uniqueName="3" name="Column3" queryTableFieldId="3"/>
    <tableColumn id="4" xr3:uid="{06943773-F28B-468F-AF74-4C01D9BC8748}" uniqueName="4" name="Column4" queryTableFieldId="4" dataDxfId="11"/>
    <tableColumn id="5" xr3:uid="{210CB601-10B6-436A-B66E-712E0D3D5E06}" uniqueName="5" name="Column5" queryTableFieldId="5"/>
    <tableColumn id="6" xr3:uid="{20686A64-E1F0-42BD-8C9E-BD28C4FD0EFA}" uniqueName="6" name="Column6" queryTableFieldId="6" dataDxfId="10"/>
    <tableColumn id="7" xr3:uid="{0AF3FFD5-0EC5-4B28-BDC6-7AC523153734}" uniqueName="7" name="Column7" queryTableFieldId="7"/>
    <tableColumn id="8" xr3:uid="{8FCBFC85-3ED3-4B04-9844-01DF5303A6FD}" uniqueName="8" name="Column8" queryTableFieldId="8"/>
    <tableColumn id="9" xr3:uid="{00A8648A-05E8-4E56-9360-2BD8F2446EBF}" uniqueName="9" name="Column9" queryTableFieldId="9" dataDxfId="9"/>
    <tableColumn id="10" xr3:uid="{E9951728-78B0-47D9-9ADA-DBD9F7E8FD7A}" uniqueName="10" name="Column10" queryTableFieldId="10" dataDxfId="8"/>
    <tableColumn id="11" xr3:uid="{B4D1EB26-CCE8-4C96-8203-C159594ECF84}" uniqueName="11" name="Column11" queryTableFieldId="11"/>
    <tableColumn id="12" xr3:uid="{5359B587-E077-4B15-BF15-8F4ACA9B0905}" uniqueName="12" name="Column12" queryTableFieldId="12"/>
    <tableColumn id="13" xr3:uid="{CF9D74CA-38E6-41B6-B67A-762F3A6660AB}" uniqueName="13" name="Column13" queryTableFieldId="13"/>
    <tableColumn id="14" xr3:uid="{92CF1AC0-CE7A-4509-A020-ACCC6169F4AC}" uniqueName="14" name="Column14" queryTableFieldId="14"/>
    <tableColumn id="15" xr3:uid="{946ABF2B-F617-4429-B0EA-A3293A9E6946}" uniqueName="15" name="Column15" queryTableFieldId="15"/>
    <tableColumn id="16" xr3:uid="{E46743F2-D6AB-4B13-94B9-2F5DF33E5B3E}" uniqueName="16" name="Column16" queryTableFieldId="16"/>
    <tableColumn id="17" xr3:uid="{617B8DB5-8E29-4556-A9B9-A6A38CBB0B25}" uniqueName="17" name="Column17" queryTableFieldId="17"/>
    <tableColumn id="18" xr3:uid="{B6C62E69-582B-4228-8545-3956025949A0}" uniqueName="18" name="Column18" queryTableFieldId="18"/>
    <tableColumn id="19" xr3:uid="{36F0005D-C598-4847-A363-E45B8A98062F}" uniqueName="19" name="Column19" queryTableFieldId="19"/>
    <tableColumn id="20" xr3:uid="{B389D699-6556-4926-B5AA-D6DAB74B48F5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zon.ru/product/mahovik-vaz-2123-shevi-niva-oblegchennyy-balansirovannyy-852432193/" TargetMode="External"/><Relationship Id="rId3" Type="http://schemas.openxmlformats.org/officeDocument/2006/relationships/hyperlink" Target="https://www.ozon.ru/product/mahovik-vaz-2101-2107-16kl-oblegchennyy-balansirovannyy-852494579/" TargetMode="External"/><Relationship Id="rId7" Type="http://schemas.openxmlformats.org/officeDocument/2006/relationships/hyperlink" Target="https://www.ozon.ru/product/mahovik-vaz-2123-niva-shevrole-dlya-vaz-2101-2107-16v-oblegchennyy-100-detaley-v-1588977930/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s://www.ozon.ru/product/mahovik-oblegchennyy-vaz-2101-2107-928074588/" TargetMode="External"/><Relationship Id="rId1" Type="http://schemas.openxmlformats.org/officeDocument/2006/relationships/hyperlink" Target="https://www.ozon.ru/product/mahovik-sto-detaley-2123-16kl-tyazhelyy-4-6kg-1090108245/" TargetMode="External"/><Relationship Id="rId6" Type="http://schemas.openxmlformats.org/officeDocument/2006/relationships/hyperlink" Target="https://www.ozon.ru/product/mahovik-vaz-2110-standartnyy-1573727887/" TargetMode="External"/><Relationship Id="rId11" Type="http://schemas.openxmlformats.org/officeDocument/2006/relationships/hyperlink" Target="https://www.ozon.ru/product/mahovik-oblegchennyy-vaz-2101-2107-928074588/" TargetMode="External"/><Relationship Id="rId5" Type="http://schemas.openxmlformats.org/officeDocument/2006/relationships/hyperlink" Target="https://www.ozon.ru/product/mahovik-vaz-2108-pod-stseplenie-2110-oblegchennyy-balansirovannyy-855598916/" TargetMode="External"/><Relationship Id="rId10" Type="http://schemas.openxmlformats.org/officeDocument/2006/relationships/hyperlink" Target="https://www.ozon.ru/product/mahovik-vaz-2181-trosovaya-kpp-oblegchennyy-100-detaley-v-sbore-balansirovannyy-1588981083/" TargetMode="External"/><Relationship Id="rId4" Type="http://schemas.openxmlformats.org/officeDocument/2006/relationships/hyperlink" Target="https://www.ozon.ru/product/mahovik-2108-sport-oblegchennyy-100-detaley-879426533/" TargetMode="External"/><Relationship Id="rId9" Type="http://schemas.openxmlformats.org/officeDocument/2006/relationships/hyperlink" Target="https://www.ozon.ru/product/mahovik-vaz-2181-granta-standartnyy-1573733384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zon.ru/product/mahovik-vaz-2123-niva-shevrole-dlya-vaz-2101-2107-16v-oblegchennyy-100-detaley-v-1588977930/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www.ozon.ru/product/mahovik-vaz-2101-2107-16kl-oblegchennyy-balansirovannyy-852494579/" TargetMode="External"/><Relationship Id="rId7" Type="http://schemas.openxmlformats.org/officeDocument/2006/relationships/hyperlink" Target="https://www.ozon.ru/product/mahovik-vaz-2101-2107-niva-oblegchennyy-balansirovannyy-852409995/" TargetMode="External"/><Relationship Id="rId12" Type="http://schemas.openxmlformats.org/officeDocument/2006/relationships/printerSettings" Target="../printerSettings/printerSettings3.bin"/><Relationship Id="rId2" Type="http://schemas.openxmlformats.org/officeDocument/2006/relationships/hyperlink" Target="https://www.ozon.ru/product/mahovik-oblegchennyy-vaz-2101-2107-928074588/" TargetMode="External"/><Relationship Id="rId16" Type="http://schemas.openxmlformats.org/officeDocument/2006/relationships/image" Target="../media/image1.emf"/><Relationship Id="rId1" Type="http://schemas.openxmlformats.org/officeDocument/2006/relationships/hyperlink" Target="https://www.ozon.ru/product/mahovik-sto-detaley-2123-16kl-tyazhelyy-4-6kg-1090108245/" TargetMode="External"/><Relationship Id="rId6" Type="http://schemas.openxmlformats.org/officeDocument/2006/relationships/hyperlink" Target="https://www.ozon.ru/product/mahovik-vaz-2110-standartnyy-1573727887/" TargetMode="External"/><Relationship Id="rId11" Type="http://schemas.openxmlformats.org/officeDocument/2006/relationships/hyperlink" Target="https://www.ozon.ru/product/mahovik-vaz-2181-trosovaya-kpp-oblegchennyy-100-detaley-v-sbore-balansirovannyy-1588981083/" TargetMode="External"/><Relationship Id="rId5" Type="http://schemas.openxmlformats.org/officeDocument/2006/relationships/hyperlink" Target="https://www.ozon.ru/product/mahovik-vaz-2108-pod-stseplenie-2110-oblegchennyy-balansirovannyy-855598916/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https://www.ozon.ru/product/mahovik-vaz-2181-granta-standartnyy-1573733384/" TargetMode="External"/><Relationship Id="rId4" Type="http://schemas.openxmlformats.org/officeDocument/2006/relationships/hyperlink" Target="https://www.ozon.ru/product/mahovik-2108-sport-oblegchennyy-100-detaley-879426533/" TargetMode="External"/><Relationship Id="rId9" Type="http://schemas.openxmlformats.org/officeDocument/2006/relationships/hyperlink" Target="https://www.ozon.ru/product/mahovik-vaz-2123-shevi-niva-oblegchennyy-balansirovannyy-852432193/" TargetMode="External"/><Relationship Id="rId1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E34"/>
  <sheetViews>
    <sheetView showGridLines="0" tabSelected="1" workbookViewId="0">
      <pane ySplit="2" topLeftCell="A3" activePane="bottomLeft" state="frozen"/>
      <selection pane="bottomLeft" activeCell="M6" sqref="M6"/>
    </sheetView>
  </sheetViews>
  <sheetFormatPr defaultRowHeight="15" x14ac:dyDescent="0.25"/>
  <cols>
    <col min="1" max="2" width="7" style="32" bestFit="1" customWidth="1"/>
    <col min="3" max="3" width="36.7109375" style="36" customWidth="1"/>
    <col min="4" max="4" width="3.5703125" style="36" customWidth="1"/>
    <col min="5" max="5" width="4.85546875" style="36" bestFit="1" customWidth="1"/>
    <col min="6" max="6" width="13.5703125" style="36" bestFit="1" customWidth="1"/>
    <col min="7" max="7" width="13.5703125" style="75" customWidth="1"/>
    <col min="8" max="8" width="9.85546875" style="36" customWidth="1"/>
    <col min="9" max="9" width="5.28515625" style="32" bestFit="1" customWidth="1"/>
    <col min="10" max="10" width="4.85546875" style="36" bestFit="1" customWidth="1"/>
    <col min="11" max="12" width="6" style="32" bestFit="1" customWidth="1"/>
    <col min="13" max="13" width="6.7109375" style="36" bestFit="1" customWidth="1"/>
    <col min="14" max="14" width="6.85546875" style="36" bestFit="1" customWidth="1"/>
    <col min="15" max="16" width="7.42578125" style="36" bestFit="1" customWidth="1"/>
    <col min="17" max="17" width="6" style="36" bestFit="1" customWidth="1"/>
    <col min="18" max="18" width="7.28515625" style="35" bestFit="1" customWidth="1"/>
    <col min="19" max="19" width="5.85546875" style="50" bestFit="1" customWidth="1"/>
    <col min="20" max="20" width="9.85546875" style="50" bestFit="1" customWidth="1"/>
    <col min="21" max="21" width="8.5703125" style="32" bestFit="1" customWidth="1"/>
    <col min="22" max="22" width="8" style="32" bestFit="1" customWidth="1"/>
    <col min="23" max="23" width="3.7109375" style="36" customWidth="1"/>
    <col min="24" max="24" width="7" style="36" bestFit="1" customWidth="1"/>
    <col min="25" max="25" width="8.5703125" style="32" bestFit="1" customWidth="1"/>
    <col min="26" max="26" width="9.140625" style="34"/>
    <col min="27" max="27" width="8" style="32" bestFit="1" customWidth="1"/>
    <col min="28" max="28" width="3.7109375" style="36" customWidth="1"/>
    <col min="29" max="29" width="7" style="36" bestFit="1" customWidth="1"/>
    <col min="30" max="30" width="8.5703125" style="32" bestFit="1" customWidth="1"/>
    <col min="31" max="31" width="6.5703125" style="36" bestFit="1" customWidth="1"/>
    <col min="32" max="16384" width="9.140625" style="36"/>
  </cols>
  <sheetData>
    <row r="1" spans="1:31" x14ac:dyDescent="0.25">
      <c r="B1" s="33">
        <v>2</v>
      </c>
      <c r="C1" s="33">
        <v>3</v>
      </c>
      <c r="D1" s="34">
        <v>4</v>
      </c>
      <c r="E1" s="34">
        <v>14</v>
      </c>
      <c r="F1" s="34">
        <v>5</v>
      </c>
      <c r="G1" s="74"/>
      <c r="H1" s="35">
        <f>COUNT($U:$U)/COUNT($A:$A)</f>
        <v>0.80952380952380953</v>
      </c>
      <c r="I1" s="22">
        <f>M1</f>
        <v>8</v>
      </c>
      <c r="L1" s="22">
        <f>N1</f>
        <v>9</v>
      </c>
      <c r="M1" s="34">
        <v>8</v>
      </c>
      <c r="N1" s="34">
        <v>9</v>
      </c>
      <c r="O1" s="32"/>
      <c r="P1" s="32"/>
      <c r="Q1" s="37">
        <v>0.2</v>
      </c>
      <c r="R1" s="38" t="str">
        <f>_xlfn.CONCAT(ROUND(MIN(R3:R9000)*100,0),"-",ROUND(MAX(R3:R9000)*100,0),"%")</f>
        <v>22-38%</v>
      </c>
      <c r="S1" s="38" t="str">
        <f>_xlfn.CONCAT(ROUND(SUBTOTAL(5,S3:S9000)*100,0)," - ",ROUND(SUBTOTAL(4,S3:S9000)*100,0),"%")</f>
        <v>-5 - 5%</v>
      </c>
      <c r="T1" s="38" t="str">
        <f>_xlfn.CONCAT(ROUND(SUBTOTAL(5,T3:T90000)*100,0)," - ",ROUND(SUBTOTAL(4,T3:T90000)*100,0),"%")</f>
        <v>17 - 45%</v>
      </c>
      <c r="U1" s="39"/>
      <c r="V1" s="32">
        <v>6</v>
      </c>
      <c r="W1" s="34"/>
      <c r="X1" s="31">
        <f>AB1</f>
        <v>0</v>
      </c>
      <c r="Y1" s="39"/>
      <c r="AA1" s="32">
        <v>7</v>
      </c>
      <c r="AB1" s="34"/>
      <c r="AC1" s="53">
        <f>AL1</f>
        <v>0</v>
      </c>
      <c r="AD1" s="36"/>
    </row>
    <row r="2" spans="1:31" x14ac:dyDescent="0.25">
      <c r="A2" s="14" t="s">
        <v>0</v>
      </c>
      <c r="B2" s="19" t="s">
        <v>49</v>
      </c>
      <c r="C2" s="19" t="s">
        <v>10</v>
      </c>
      <c r="D2" s="19"/>
      <c r="E2" s="19"/>
      <c r="F2" s="19" t="s">
        <v>50</v>
      </c>
      <c r="G2" s="72" t="s">
        <v>104</v>
      </c>
      <c r="H2" s="76" t="s">
        <v>2</v>
      </c>
      <c r="I2" s="25" t="s">
        <v>88</v>
      </c>
      <c r="J2" s="2"/>
      <c r="K2" s="14"/>
      <c r="L2" s="25" t="s">
        <v>89</v>
      </c>
      <c r="M2" s="19" t="s">
        <v>51</v>
      </c>
      <c r="N2" s="19" t="s">
        <v>52</v>
      </c>
      <c r="O2" s="20" t="s">
        <v>43</v>
      </c>
      <c r="P2" s="20" t="s">
        <v>43</v>
      </c>
      <c r="Q2" s="26">
        <v>0</v>
      </c>
      <c r="R2" s="40" t="s">
        <v>12</v>
      </c>
      <c r="S2" s="40" t="s">
        <v>45</v>
      </c>
      <c r="T2" s="40" t="s">
        <v>44</v>
      </c>
      <c r="U2" s="41"/>
      <c r="V2" s="61" t="s">
        <v>102</v>
      </c>
      <c r="W2" s="27"/>
      <c r="X2" s="27" t="s">
        <v>87</v>
      </c>
      <c r="Y2" s="41" t="s">
        <v>46</v>
      </c>
      <c r="Z2" s="42" t="s">
        <v>46</v>
      </c>
      <c r="AA2" s="61" t="s">
        <v>102</v>
      </c>
      <c r="AB2" s="27"/>
      <c r="AC2" s="27" t="s">
        <v>87</v>
      </c>
      <c r="AD2" s="43" t="s">
        <v>86</v>
      </c>
      <c r="AE2" s="43" t="s">
        <v>86</v>
      </c>
    </row>
    <row r="3" spans="1:31" ht="45" x14ac:dyDescent="0.25">
      <c r="A3" s="44">
        <v>163874</v>
      </c>
      <c r="B3" s="44">
        <f>VLOOKUP($A3,'Выгр Кат'!$A:$R,B$1,0)</f>
        <v>816</v>
      </c>
      <c r="C3" s="45" t="str">
        <f>VLOOKUP($A3,'Выгр Кат'!$A:$R,C$1,0)</f>
        <v>Маховик облегченный, балансированный для ВАЗ 2101-2107 (16-ти клапанный двигатель)</v>
      </c>
      <c r="D3" s="44" t="str">
        <f>VLOOKUP($A3,'Выгр Кат'!$A:$R,D$1,0)</f>
        <v>Y</v>
      </c>
      <c r="E3" s="44" t="str">
        <f>VLOOKUP($A3,'Выгр Кат'!$A:$R,E$1,0)</f>
        <v>1</v>
      </c>
      <c r="F3" s="44">
        <f>VLOOKUP($A3,'Выгр Кат'!$A:$R,F$1,0)</f>
        <v>0</v>
      </c>
      <c r="G3" s="45" t="s">
        <v>111</v>
      </c>
      <c r="H3" s="76" t="s">
        <v>5</v>
      </c>
      <c r="I3" s="23">
        <v>3200</v>
      </c>
      <c r="J3" s="2">
        <f>VLOOKUP(I3,Наценка!$A$1:$B$8,2,1)</f>
        <v>1.3</v>
      </c>
      <c r="K3" s="60">
        <f>I3*1.24</f>
        <v>3968</v>
      </c>
      <c r="L3" s="25">
        <f>IF(K3&lt;=1000,(ROUNDUP(K3,-1)-1),(ROUNDDOWN(K3,-2)-10))</f>
        <v>3890</v>
      </c>
      <c r="M3" s="44">
        <f>VLOOKUP($A3,'Выгр Кат'!$A:$R,M$1,0)</f>
        <v>3200</v>
      </c>
      <c r="N3" s="44">
        <f>VLOOKUP($A3,'Выгр Кат'!$A:$R,N$1,0)</f>
        <v>3890</v>
      </c>
      <c r="O3" s="20">
        <f>M3-I3</f>
        <v>0</v>
      </c>
      <c r="P3" s="20">
        <f>N3-L3</f>
        <v>0</v>
      </c>
      <c r="Q3" s="28">
        <f>IFERROR(L3*(1-$Q$2),"")</f>
        <v>3890</v>
      </c>
      <c r="R3" s="46">
        <f>IFERROR(Q3/I3-1,"")</f>
        <v>0.21562499999999996</v>
      </c>
      <c r="S3" s="46">
        <f>IFERROR((U3-Q3)/U3,"")</f>
        <v>2.5306940616386872E-2</v>
      </c>
      <c r="T3" s="46">
        <f>IFERROR(IF(U3="","",U3/I3-1),"")</f>
        <v>0.24718749999999989</v>
      </c>
      <c r="U3" s="68">
        <f>AD3</f>
        <v>3991</v>
      </c>
      <c r="V3" s="30">
        <f>IFERROR((VLOOKUP($A3,'Из ГУГЛа'!$B:$Z,V$1,0)+X3)*W3,VLOOKUP($A3,'Из ГУГЛа'!$B:$Z,V$1,0))</f>
        <v>4390</v>
      </c>
      <c r="W3" s="29">
        <v>1</v>
      </c>
      <c r="X3" s="29">
        <v>0</v>
      </c>
      <c r="Y3" s="52">
        <v>4390</v>
      </c>
      <c r="Z3" s="34" t="s">
        <v>25</v>
      </c>
      <c r="AA3" s="30">
        <f>IFERROR((VLOOKUP($A3,'Из ГУГЛа'!$B:$Z,AA$1,0)+AC3)*AB3,VLOOKUP($A3,'Из ГУГЛа'!$B:$Z,AA$1,0))</f>
        <v>3991</v>
      </c>
      <c r="AB3" s="29">
        <v>1</v>
      </c>
      <c r="AC3" s="29">
        <v>0</v>
      </c>
      <c r="AD3" s="14">
        <v>3991</v>
      </c>
      <c r="AE3" s="71" t="s">
        <v>93</v>
      </c>
    </row>
    <row r="4" spans="1:31" ht="45" x14ac:dyDescent="0.25">
      <c r="A4" s="44">
        <v>163896</v>
      </c>
      <c r="B4" s="44">
        <f>VLOOKUP($A4,'Выгр Кат'!$A:$R,B$1,0)</f>
        <v>38874</v>
      </c>
      <c r="C4" s="45" t="str">
        <f>VLOOKUP($A4,'Выгр Кат'!$A:$R,C$1,0)</f>
        <v>Маховик облегченный для ВАЗ 2101-2107, Лада Нива 4х4 (сцепление 2123, 16-ти клапанный двигатель)</v>
      </c>
      <c r="D4" s="44" t="str">
        <f>VLOOKUP($A4,'Выгр Кат'!$A:$R,D$1,0)</f>
        <v>Y</v>
      </c>
      <c r="E4" s="44" t="str">
        <f>VLOOKUP($A4,'Выгр Кат'!$A:$R,E$1,0)</f>
        <v>1</v>
      </c>
      <c r="F4" s="44">
        <f>VLOOKUP($A4,'Выгр Кат'!$A:$R,F$1,0)</f>
        <v>0</v>
      </c>
      <c r="G4" s="45" t="s">
        <v>114</v>
      </c>
      <c r="H4" s="76" t="s">
        <v>5</v>
      </c>
      <c r="I4" s="23">
        <v>3200</v>
      </c>
      <c r="J4" s="2">
        <f>VLOOKUP(I4,Наценка!$A$1:$B$8,2,1)</f>
        <v>1.3</v>
      </c>
      <c r="K4" s="24">
        <f>U4-150</f>
        <v>4063</v>
      </c>
      <c r="L4" s="25">
        <f>IF(K4&lt;=1000,(ROUNDUP(K4,-1)-1),(ROUNDDOWN(K4,-2)-10))</f>
        <v>3990</v>
      </c>
      <c r="M4" s="44">
        <f>VLOOKUP($A4,'Выгр Кат'!$A:$R,M$1,0)</f>
        <v>3200</v>
      </c>
      <c r="N4" s="44">
        <f>VLOOKUP($A4,'Выгр Кат'!$A:$R,N$1,0)</f>
        <v>4090</v>
      </c>
      <c r="O4" s="20">
        <f>M4-I4</f>
        <v>0</v>
      </c>
      <c r="P4" s="20">
        <f>N4-L4</f>
        <v>100</v>
      </c>
      <c r="Q4" s="28">
        <f>IFERROR(L4*(1-$Q$2),"")</f>
        <v>3990</v>
      </c>
      <c r="R4" s="46">
        <f>IFERROR(Q4/I4-1,"")</f>
        <v>0.24687499999999996</v>
      </c>
      <c r="S4" s="46">
        <f>IFERROR((U4-Q4)/U4,"")</f>
        <v>5.2931402800854496E-2</v>
      </c>
      <c r="T4" s="46">
        <f>IFERROR(IF(U4="","",U4/I4-1),"")</f>
        <v>0.31656250000000008</v>
      </c>
      <c r="U4" s="68">
        <f>AD4</f>
        <v>4213</v>
      </c>
      <c r="V4" s="30">
        <f>IFERROR((VLOOKUP($A4,'Из ГУГЛа'!$B:$Z,V$1,0)+X4)*W4,VLOOKUP($A4,'Из ГУГЛа'!$B:$Z,V$1,0))</f>
        <v>4590</v>
      </c>
      <c r="W4" s="29">
        <v>1</v>
      </c>
      <c r="X4" s="29">
        <v>0</v>
      </c>
      <c r="Y4" s="52">
        <v>4590</v>
      </c>
      <c r="Z4" s="34" t="s">
        <v>14</v>
      </c>
      <c r="AA4" s="30">
        <f>IFERROR((VLOOKUP($A4,'Из ГУГЛа'!$B:$Z,AA$1,0)+AC4)*AB4,VLOOKUP($A4,'Из ГУГЛа'!$B:$Z,AA$1,0))</f>
        <v>4213</v>
      </c>
      <c r="AB4" s="29">
        <v>1</v>
      </c>
      <c r="AC4" s="29">
        <v>0</v>
      </c>
      <c r="AD4" s="14">
        <v>4213</v>
      </c>
      <c r="AE4" s="71" t="s">
        <v>98</v>
      </c>
    </row>
    <row r="5" spans="1:31" ht="45" x14ac:dyDescent="0.25">
      <c r="A5" s="44">
        <v>163873</v>
      </c>
      <c r="B5" s="44">
        <f>VLOOKUP($A5,'Выгр Кат'!$A:$R,B$1,0)</f>
        <v>819</v>
      </c>
      <c r="C5" s="45" t="str">
        <f>VLOOKUP($A5,'Выгр Кат'!$A:$R,C$1,0)</f>
        <v>Маховик облегченный, балансированный для ВАЗ 2101-2107 (8-ми клапанный двигатель)</v>
      </c>
      <c r="D5" s="44" t="str">
        <f>VLOOKUP($A5,'Выгр Кат'!$A:$R,D$1,0)</f>
        <v>Y</v>
      </c>
      <c r="E5" s="44" t="str">
        <f>VLOOKUP($A5,'Выгр Кат'!$A:$R,E$1,0)</f>
        <v>1ск4</v>
      </c>
      <c r="F5" s="44">
        <f>VLOOKUP($A5,'Выгр Кат'!$A:$R,F$1,0)</f>
        <v>0</v>
      </c>
      <c r="G5" s="45" t="s">
        <v>116</v>
      </c>
      <c r="H5" s="76" t="s">
        <v>5</v>
      </c>
      <c r="I5" s="23">
        <v>3200</v>
      </c>
      <c r="J5" s="2">
        <f>VLOOKUP(I5,Наценка!$A$1:$B$8,2,1)</f>
        <v>1.3</v>
      </c>
      <c r="K5" s="62">
        <f>I5*1.24</f>
        <v>3968</v>
      </c>
      <c r="L5" s="25">
        <f>IF(K5&lt;=1000,(ROUNDUP(K5,-1)-1),(ROUNDDOWN(K5,-2)-10))</f>
        <v>3890</v>
      </c>
      <c r="M5" s="44">
        <f>VLOOKUP($A5,'Выгр Кат'!$A:$R,M$1,0)</f>
        <v>3200</v>
      </c>
      <c r="N5" s="44">
        <f>VLOOKUP($A5,'Выгр Кат'!$A:$R,N$1,0)</f>
        <v>3890</v>
      </c>
      <c r="O5" s="20">
        <f>M5-I5</f>
        <v>0</v>
      </c>
      <c r="P5" s="20">
        <f>N5-L5</f>
        <v>0</v>
      </c>
      <c r="Q5" s="28">
        <f>IFERROR(L5*(1-$Q$2),"")</f>
        <v>3890</v>
      </c>
      <c r="R5" s="46">
        <f>IFERROR(Q5/I5-1,"")</f>
        <v>0.21562499999999996</v>
      </c>
      <c r="S5" s="46">
        <f>IFERROR((U5-Q5)/U5,"")</f>
        <v>1.5439129334345734E-2</v>
      </c>
      <c r="T5" s="46">
        <f>IFERROR(IF(U5="","",U5/I5-1),"")</f>
        <v>0.23468749999999994</v>
      </c>
      <c r="U5" s="68">
        <f>AD5</f>
        <v>3951</v>
      </c>
      <c r="V5" s="30">
        <f>IFERROR((VLOOKUP($A5,'Из ГУГЛа'!$B:$Z,V$1,0)+X5)*W5,VLOOKUP($A5,'Из ГУГЛа'!$B:$Z,V$1,0))</f>
        <v>4590</v>
      </c>
      <c r="W5" s="29">
        <v>1</v>
      </c>
      <c r="X5" s="29">
        <v>0</v>
      </c>
      <c r="Y5" s="52">
        <v>4590</v>
      </c>
      <c r="Z5" s="34" t="s">
        <v>19</v>
      </c>
      <c r="AA5" s="30">
        <f>IFERROR((VLOOKUP($A5,'Из ГУГЛа'!$B:$Z,AA$1,0)+AC5)*AB5,VLOOKUP($A5,'Из ГУГЛа'!$B:$Z,AA$1,0))</f>
        <v>3951</v>
      </c>
      <c r="AB5" s="29">
        <v>1</v>
      </c>
      <c r="AC5" s="29">
        <v>0</v>
      </c>
      <c r="AD5" s="14">
        <v>3951</v>
      </c>
      <c r="AE5" s="73" t="s">
        <v>92</v>
      </c>
    </row>
    <row r="6" spans="1:31" ht="45.75" thickBot="1" x14ac:dyDescent="0.3">
      <c r="A6" s="44">
        <v>163899</v>
      </c>
      <c r="B6" s="44">
        <f>VLOOKUP($A6,'Выгр Кат'!$A:$R,B$1,0)</f>
        <v>38875</v>
      </c>
      <c r="C6" s="45" t="str">
        <f>VLOOKUP($A6,'Выгр Кат'!$A:$R,C$1,0)</f>
        <v>Маховик "Турбо" облегченный, тяжёлый для ВАЗ 2101-2107, Лада Нива 4х4 (16-ти клапанный двигатель)</v>
      </c>
      <c r="D6" s="44" t="str">
        <f>VLOOKUP($A6,'Выгр Кат'!$A:$R,D$1,0)</f>
        <v>Y</v>
      </c>
      <c r="E6" s="44" t="str">
        <f>VLOOKUP($A6,'Выгр Кат'!$A:$R,E$1,0)</f>
        <v>1</v>
      </c>
      <c r="F6" s="44">
        <f>VLOOKUP($A6,'Выгр Кат'!$A:$R,F$1,0)</f>
        <v>0</v>
      </c>
      <c r="G6" s="45" t="s">
        <v>109</v>
      </c>
      <c r="H6" s="76" t="s">
        <v>5</v>
      </c>
      <c r="I6" s="23">
        <v>3200</v>
      </c>
      <c r="J6" s="2">
        <f>VLOOKUP(I6,Наценка!$A$1:$B$8,2,1)</f>
        <v>1.3</v>
      </c>
      <c r="K6" s="24">
        <f>U6-150</f>
        <v>3902</v>
      </c>
      <c r="L6" s="25">
        <f>IF(K6&lt;=1000,(ROUNDUP(K6,-1)-1),(ROUNDDOWN(K6,-2)-10))</f>
        <v>3890</v>
      </c>
      <c r="M6" s="44">
        <f>VLOOKUP($A6,'Выгр Кат'!$A:$R,M$1,0)</f>
        <v>3200</v>
      </c>
      <c r="N6" s="44">
        <f>VLOOKUP($A6,'Выгр Кат'!$A:$R,N$1,0)</f>
        <v>3890</v>
      </c>
      <c r="O6" s="20">
        <f>M6-I6</f>
        <v>0</v>
      </c>
      <c r="P6" s="20">
        <f>N6-L6</f>
        <v>0</v>
      </c>
      <c r="Q6" s="28">
        <f>IFERROR(L6*(1-$Q$2),"")</f>
        <v>3890</v>
      </c>
      <c r="R6" s="46">
        <f>IFERROR(Q6/I6-1,"")</f>
        <v>0.21562499999999996</v>
      </c>
      <c r="S6" s="46">
        <f>IFERROR((U6-Q6)/U6,"")</f>
        <v>3.998025666337611E-2</v>
      </c>
      <c r="T6" s="46">
        <f>IFERROR(IF(U6="","",U6/I6-1),"")</f>
        <v>0.2662500000000001</v>
      </c>
      <c r="U6" s="53">
        <f>AD6</f>
        <v>4052</v>
      </c>
      <c r="V6" s="30">
        <f>IFERROR((VLOOKUP($A6,'Из ГУГЛа'!$B:$Z,V$1,0)+X6)*W6,VLOOKUP($A6,'Из ГУГЛа'!$B:$Z,V$1,0))</f>
        <v>4490</v>
      </c>
      <c r="W6" s="29">
        <v>1</v>
      </c>
      <c r="X6" s="29">
        <v>0</v>
      </c>
      <c r="Y6" s="69">
        <v>4490</v>
      </c>
      <c r="Z6" s="34" t="s">
        <v>27</v>
      </c>
      <c r="AA6" s="30">
        <f>IFERROR((VLOOKUP($A6,'Из ГУГЛа'!$B:$Z,AA$1,0)+AC6)*AB6,VLOOKUP($A6,'Из ГУГЛа'!$B:$Z,AA$1,0))</f>
        <v>4052</v>
      </c>
      <c r="AB6" s="29">
        <v>1</v>
      </c>
      <c r="AC6" s="29">
        <v>0</v>
      </c>
      <c r="AD6" s="14">
        <v>4052</v>
      </c>
      <c r="AE6" s="48" t="s">
        <v>91</v>
      </c>
    </row>
    <row r="7" spans="1:31" ht="31.5" thickTop="1" thickBot="1" x14ac:dyDescent="0.3">
      <c r="A7" s="44">
        <v>163879</v>
      </c>
      <c r="B7" s="44">
        <f>VLOOKUP($A7,'Выгр Кат'!$A:$R,B$1,0)</f>
        <v>822</v>
      </c>
      <c r="C7" s="45" t="str">
        <f>VLOOKUP($A7,'Выгр Кат'!$A:$R,C$1,0)</f>
        <v>Маховик облегченный, балансированный для Лада Нива 4х4</v>
      </c>
      <c r="D7" s="44" t="str">
        <f>VLOOKUP($A7,'Выгр Кат'!$A:$R,D$1,0)</f>
        <v>Y</v>
      </c>
      <c r="E7" s="44" t="str">
        <f>VLOOKUP($A7,'Выгр Кат'!$A:$R,E$1,0)</f>
        <v>1</v>
      </c>
      <c r="F7" s="44">
        <f>VLOOKUP($A7,'Выгр Кат'!$A:$R,F$1,0)</f>
        <v>0</v>
      </c>
      <c r="G7" s="45" t="s">
        <v>119</v>
      </c>
      <c r="H7" s="76" t="s">
        <v>5</v>
      </c>
      <c r="I7" s="23">
        <v>3200</v>
      </c>
      <c r="J7" s="2">
        <f>VLOOKUP(I7,Наценка!$A$1:$B$8,2,1)</f>
        <v>1.3</v>
      </c>
      <c r="K7" s="60">
        <f>I7*1.24</f>
        <v>3968</v>
      </c>
      <c r="L7" s="25">
        <f>IF(K7&lt;=1000,(ROUNDUP(K7,-1)-1),(ROUNDDOWN(K7,-2)-10))</f>
        <v>3890</v>
      </c>
      <c r="M7" s="44">
        <f>VLOOKUP($A7,'Выгр Кат'!$A:$R,M$1,0)</f>
        <v>3200</v>
      </c>
      <c r="N7" s="44">
        <f>VLOOKUP($A7,'Выгр Кат'!$A:$R,N$1,0)</f>
        <v>3890</v>
      </c>
      <c r="O7" s="20">
        <f>M7-I7</f>
        <v>0</v>
      </c>
      <c r="P7" s="20">
        <f>N7-L7</f>
        <v>0</v>
      </c>
      <c r="Q7" s="28">
        <f>IFERROR(L7*(1-$Q$2),"")</f>
        <v>3890</v>
      </c>
      <c r="R7" s="46">
        <f>IFERROR(Q7/I7-1,"")</f>
        <v>0.21562499999999996</v>
      </c>
      <c r="S7" s="46">
        <f>IFERROR((U7-Q7)/U7,"")</f>
        <v>1.5439129334345734E-2</v>
      </c>
      <c r="T7" s="46">
        <f>IFERROR(IF(U7="","",U7/I7-1),"")</f>
        <v>0.23468749999999994</v>
      </c>
      <c r="U7" s="53">
        <f>AD7</f>
        <v>3951</v>
      </c>
      <c r="V7" s="30">
        <f>IFERROR((VLOOKUP($A7,'Из ГУГЛа'!$B:$Z,V$1,0)+X7)*W7,VLOOKUP($A7,'Из ГУГЛа'!$B:$Z,V$1,0))</f>
        <v>4590</v>
      </c>
      <c r="W7" s="29">
        <v>1</v>
      </c>
      <c r="X7" s="29">
        <v>0</v>
      </c>
      <c r="Y7" s="47">
        <v>4590</v>
      </c>
      <c r="Z7" s="34" t="s">
        <v>19</v>
      </c>
      <c r="AA7" s="30">
        <f>IFERROR((VLOOKUP($A7,'Из ГУГЛа'!$B:$Z,AA$1,0)+AC7)*AB7,VLOOKUP($A7,'Из ГУГЛа'!$B:$Z,AA$1,0))</f>
        <v>4060</v>
      </c>
      <c r="AB7" s="29">
        <v>1</v>
      </c>
      <c r="AC7" s="29">
        <v>0</v>
      </c>
      <c r="AD7" s="14">
        <v>3951</v>
      </c>
      <c r="AE7" s="73" t="s">
        <v>92</v>
      </c>
    </row>
    <row r="8" spans="1:31" ht="46.5" thickTop="1" thickBot="1" x14ac:dyDescent="0.3">
      <c r="A8" s="44">
        <v>163898</v>
      </c>
      <c r="B8" s="44">
        <f>VLOOKUP($A8,'Выгр Кат'!$A:$R,B$1,0)</f>
        <v>38876</v>
      </c>
      <c r="C8" s="45" t="str">
        <f>VLOOKUP($A8,'Выгр Кат'!$A:$R,C$1,0)</f>
        <v>Маховик "Турбо" облегченный для ВАЗ 2108-21099, 2113-2115 (сцепление 2110)</v>
      </c>
      <c r="D8" s="44" t="str">
        <f>VLOOKUP($A8,'Выгр Кат'!$A:$R,D$1,0)</f>
        <v>Y</v>
      </c>
      <c r="E8" s="44" t="str">
        <f>VLOOKUP($A8,'Выгр Кат'!$A:$R,E$1,0)</f>
        <v>1</v>
      </c>
      <c r="F8" s="44">
        <f>VLOOKUP($A8,'Выгр Кат'!$A:$R,F$1,0)</f>
        <v>0</v>
      </c>
      <c r="G8" s="72" t="s">
        <v>108</v>
      </c>
      <c r="H8" s="76" t="s">
        <v>5</v>
      </c>
      <c r="I8" s="23">
        <v>3100</v>
      </c>
      <c r="J8" s="2">
        <f>VLOOKUP(I8,Наценка!$A$1:$B$8,2,1)</f>
        <v>1.3</v>
      </c>
      <c r="K8" s="24">
        <f>U8-150</f>
        <v>4040</v>
      </c>
      <c r="L8" s="25">
        <f>IF(K8&lt;=1000,(ROUNDUP(K8,-1)-1),(ROUNDDOWN(K8,-2)-10))</f>
        <v>3990</v>
      </c>
      <c r="M8" s="44">
        <f>VLOOKUP($A8,'Выгр Кат'!$A:$R,M$1,0)</f>
        <v>3100</v>
      </c>
      <c r="N8" s="44">
        <f>VLOOKUP($A8,'Выгр Кат'!$A:$R,N$1,0)</f>
        <v>3990</v>
      </c>
      <c r="O8" s="20">
        <f>M8-I8</f>
        <v>0</v>
      </c>
      <c r="P8" s="20">
        <f>N8-L8</f>
        <v>0</v>
      </c>
      <c r="Q8" s="28">
        <f>IFERROR(L8*(1-$Q$2),"")</f>
        <v>3990</v>
      </c>
      <c r="R8" s="46">
        <f>IFERROR(Q8/I8-1,"")</f>
        <v>0.2870967741935484</v>
      </c>
      <c r="S8" s="46">
        <f>IFERROR((U8-Q8)/U8,"")</f>
        <v>4.77326968973747E-2</v>
      </c>
      <c r="T8" s="46">
        <f>IFERROR(IF(U8="","",U8/I8-1),"")</f>
        <v>0.35161290322580641</v>
      </c>
      <c r="U8" s="31">
        <f>Y8</f>
        <v>4190</v>
      </c>
      <c r="V8" s="30">
        <f>IFERROR((VLOOKUP($A8,'Из ГУГЛа'!$B:$Z,V$1,0)+X8)*W8,VLOOKUP($A8,'Из ГУГЛа'!$B:$Z,V$1,0))</f>
        <v>4190</v>
      </c>
      <c r="W8" s="29">
        <v>1</v>
      </c>
      <c r="X8" s="29">
        <v>0</v>
      </c>
      <c r="Y8" s="69">
        <v>4190</v>
      </c>
      <c r="Z8" s="34" t="s">
        <v>17</v>
      </c>
      <c r="AA8" s="30" t="str">
        <f>IFERROR((VLOOKUP($A8,'Из ГУГЛа'!$B:$Z,AA$1,0)+AC8)*AB8,VLOOKUP($A8,'Из ГУГЛа'!$B:$Z,AA$1,0))</f>
        <v/>
      </c>
      <c r="AB8" s="29">
        <v>1</v>
      </c>
      <c r="AC8" s="29">
        <v>0</v>
      </c>
      <c r="AD8" s="14"/>
      <c r="AE8" s="49"/>
    </row>
    <row r="9" spans="1:31" ht="46.5" thickTop="1" thickBot="1" x14ac:dyDescent="0.3">
      <c r="A9" s="44">
        <v>163876</v>
      </c>
      <c r="B9" s="44">
        <f>VLOOKUP($A9,'Выгр Кат'!$A:$R,B$1,0)</f>
        <v>825</v>
      </c>
      <c r="C9" s="45" t="str">
        <f>VLOOKUP($A9,'Выгр Кат'!$A:$R,C$1,0)</f>
        <v>Маховик облегченный, балансированный для ВАЗ 2108-21099, 2113-2115 (сцепление 2110)</v>
      </c>
      <c r="D9" s="44" t="str">
        <f>VLOOKUP($A9,'Выгр Кат'!$A:$R,D$1,0)</f>
        <v>Y</v>
      </c>
      <c r="E9" s="44" t="str">
        <f>VLOOKUP($A9,'Выгр Кат'!$A:$R,E$1,0)</f>
        <v>1</v>
      </c>
      <c r="F9" s="44">
        <f>VLOOKUP($A9,'Выгр Кат'!$A:$R,F$1,0)</f>
        <v>0</v>
      </c>
      <c r="G9" s="45" t="s">
        <v>108</v>
      </c>
      <c r="H9" s="76" t="s">
        <v>5</v>
      </c>
      <c r="I9" s="23">
        <v>3200</v>
      </c>
      <c r="J9" s="2">
        <f>VLOOKUP(I9,Наценка!$A$1:$B$8,2,1)</f>
        <v>1.3</v>
      </c>
      <c r="K9" s="60">
        <f>I9*1.24</f>
        <v>3968</v>
      </c>
      <c r="L9" s="25">
        <f>IF(K9&lt;=1000,(ROUNDUP(K9,-1)-1),(ROUNDDOWN(K9,-2)-10))</f>
        <v>3890</v>
      </c>
      <c r="M9" s="44">
        <f>VLOOKUP($A9,'Выгр Кат'!$A:$R,M$1,0)</f>
        <v>3200</v>
      </c>
      <c r="N9" s="44">
        <f>VLOOKUP($A9,'Выгр Кат'!$A:$R,N$1,0)</f>
        <v>3890</v>
      </c>
      <c r="O9" s="20">
        <f>M9-I9</f>
        <v>0</v>
      </c>
      <c r="P9" s="20">
        <f>N9-L9</f>
        <v>0</v>
      </c>
      <c r="Q9" s="28">
        <f>IFERROR(L9*(1-$Q$2),"")</f>
        <v>3890</v>
      </c>
      <c r="R9" s="46">
        <f>IFERROR(Q9/I9-1,"")</f>
        <v>0.21562499999999996</v>
      </c>
      <c r="S9" s="46">
        <f>IFERROR((U9-Q9)/U9,"")</f>
        <v>3.0408773678963111E-2</v>
      </c>
      <c r="T9" s="46">
        <f>IFERROR(IF(U9="","",U9/I9-1),"")</f>
        <v>0.25374999999999992</v>
      </c>
      <c r="U9" s="53">
        <f>AD9</f>
        <v>4012</v>
      </c>
      <c r="V9" s="30">
        <f>IFERROR((VLOOKUP($A9,'Из ГУГЛа'!$B:$Z,V$1,0)+X9)*W9,VLOOKUP($A9,'Из ГУГЛа'!$B:$Z,V$1,0))</f>
        <v>4590</v>
      </c>
      <c r="W9" s="29">
        <v>1</v>
      </c>
      <c r="X9" s="29">
        <v>0</v>
      </c>
      <c r="Y9" s="47">
        <v>4590</v>
      </c>
      <c r="Z9" s="34" t="s">
        <v>15</v>
      </c>
      <c r="AA9" s="30">
        <f>IFERROR((VLOOKUP($A9,'Из ГУГЛа'!$B:$Z,AA$1,0)+AC9)*AB9,VLOOKUP($A9,'Из ГУГЛа'!$B:$Z,AA$1,0))</f>
        <v>4012</v>
      </c>
      <c r="AB9" s="29">
        <v>1</v>
      </c>
      <c r="AC9" s="29">
        <v>0</v>
      </c>
      <c r="AD9" s="14">
        <v>4012</v>
      </c>
      <c r="AE9" s="48" t="s">
        <v>95</v>
      </c>
    </row>
    <row r="10" spans="1:31" ht="46.5" thickTop="1" thickBot="1" x14ac:dyDescent="0.3">
      <c r="A10" s="44">
        <v>163878</v>
      </c>
      <c r="B10" s="44">
        <f>VLOOKUP($A10,'Выгр Кат'!$A:$R,B$1,0)</f>
        <v>30919</v>
      </c>
      <c r="C10" s="45" t="str">
        <f>VLOOKUP($A10,'Выгр Кат'!$A:$R,C$1,0)</f>
        <v>Маховик необлегчённый для ВАЗ 2108-21099, 2113-2115 (под сцепление 2110-2112 с КПП 2109)</v>
      </c>
      <c r="D10" s="44" t="str">
        <f>VLOOKUP($A10,'Выгр Кат'!$A:$R,D$1,0)</f>
        <v>Y</v>
      </c>
      <c r="E10" s="44" t="str">
        <f>VLOOKUP($A10,'Выгр Кат'!$A:$R,E$1,0)</f>
        <v>1</v>
      </c>
      <c r="F10" s="44">
        <f>VLOOKUP($A10,'Выгр Кат'!$A:$R,F$1,0)</f>
        <v>0</v>
      </c>
      <c r="G10" s="72" t="s">
        <v>110</v>
      </c>
      <c r="H10" s="76" t="s">
        <v>5</v>
      </c>
      <c r="I10" s="22">
        <f>M10</f>
        <v>2400</v>
      </c>
      <c r="J10" s="2">
        <f>VLOOKUP(I10,Наценка!$A$1:$B$8,2,1)</f>
        <v>1.3</v>
      </c>
      <c r="K10" s="14">
        <f>I10*J10</f>
        <v>3120</v>
      </c>
      <c r="L10" s="25">
        <f>IF(K10&lt;=1000,(ROUNDUP(K10,-1)-1),(ROUNDDOWN(K10,-2)-10))</f>
        <v>3090</v>
      </c>
      <c r="M10" s="44">
        <f>VLOOKUP($A10,'Выгр Кат'!$A:$R,M$1,0)</f>
        <v>2400</v>
      </c>
      <c r="N10" s="44">
        <f>VLOOKUP($A10,'Выгр Кат'!$A:$R,N$1,0)</f>
        <v>3090</v>
      </c>
      <c r="O10" s="20">
        <f>M10-I10</f>
        <v>0</v>
      </c>
      <c r="P10" s="20">
        <f>N10-L10</f>
        <v>0</v>
      </c>
      <c r="Q10" s="28">
        <f>IFERROR(L10*(1-$Q$2),"")</f>
        <v>3090</v>
      </c>
      <c r="R10" s="46">
        <f>IFERROR(Q10/I10-1,"")</f>
        <v>0.28750000000000009</v>
      </c>
      <c r="S10" s="46" t="str">
        <f>IFERROR((U10-Q10)/U10,"")</f>
        <v/>
      </c>
      <c r="T10" s="46" t="str">
        <f>IFERROR(IF(U10="","",U10/I10-1),"")</f>
        <v/>
      </c>
      <c r="U10" s="16"/>
      <c r="V10" s="30" t="str">
        <f>IFERROR((VLOOKUP($A10,'Из ГУГЛа'!$B:$Z,V$1,0)+X10)*W10,VLOOKUP($A10,'Из ГУГЛа'!$B:$Z,V$1,0))</f>
        <v/>
      </c>
      <c r="W10" s="29">
        <v>1</v>
      </c>
      <c r="X10" s="29">
        <v>0</v>
      </c>
      <c r="Y10" s="51"/>
      <c r="AA10" s="30" t="str">
        <f>IFERROR((VLOOKUP($A10,'Из ГУГЛа'!$B:$Z,AA$1,0)+AC10)*AB10,VLOOKUP($A10,'Из ГУГЛа'!$B:$Z,AA$1,0))</f>
        <v/>
      </c>
      <c r="AB10" s="29">
        <v>1</v>
      </c>
      <c r="AC10" s="29">
        <v>0</v>
      </c>
      <c r="AD10" s="14"/>
      <c r="AE10" s="48"/>
    </row>
    <row r="11" spans="1:31" ht="46.5" thickTop="1" thickBot="1" x14ac:dyDescent="0.3">
      <c r="A11" s="44">
        <v>163875</v>
      </c>
      <c r="B11" s="44">
        <f>VLOOKUP($A11,'Выгр Кат'!$A:$R,B$1,0)</f>
        <v>815</v>
      </c>
      <c r="C11" s="45" t="str">
        <f>VLOOKUP($A11,'Выгр Кат'!$A:$R,C$1,0)</f>
        <v>Маховик облегченный, балансированный для ВАЗ 2108-21099, 2113-2115</v>
      </c>
      <c r="D11" s="44" t="str">
        <f>VLOOKUP($A11,'Выгр Кат'!$A:$R,D$1,0)</f>
        <v>Y</v>
      </c>
      <c r="E11" s="44" t="str">
        <f>VLOOKUP($A11,'Выгр Кат'!$A:$R,E$1,0)</f>
        <v>1</v>
      </c>
      <c r="F11" s="44">
        <f>VLOOKUP($A11,'Выгр Кат'!$A:$R,F$1,0)</f>
        <v>0</v>
      </c>
      <c r="G11" s="45" t="s">
        <v>117</v>
      </c>
      <c r="H11" s="76" t="s">
        <v>5</v>
      </c>
      <c r="I11" s="23">
        <v>3200</v>
      </c>
      <c r="J11" s="2">
        <f>VLOOKUP(I11,Наценка!$A$1:$B$8,2,1)</f>
        <v>1.3</v>
      </c>
      <c r="K11" s="60">
        <f>I11*1.24</f>
        <v>3968</v>
      </c>
      <c r="L11" s="25">
        <f>IF(K11&lt;=1000,(ROUNDUP(K11,-1)-1),(ROUNDDOWN(K11,-2)-10))</f>
        <v>3890</v>
      </c>
      <c r="M11" s="44">
        <f>VLOOKUP($A11,'Выгр Кат'!$A:$R,M$1,0)</f>
        <v>3200</v>
      </c>
      <c r="N11" s="44">
        <f>VLOOKUP($A11,'Выгр Кат'!$A:$R,N$1,0)</f>
        <v>3890</v>
      </c>
      <c r="O11" s="20">
        <f>M11-I11</f>
        <v>0</v>
      </c>
      <c r="P11" s="20">
        <f>N11-L11</f>
        <v>0</v>
      </c>
      <c r="Q11" s="28">
        <f>IFERROR(L11*(1-$Q$2),"")</f>
        <v>3890</v>
      </c>
      <c r="R11" s="46">
        <f>IFERROR(Q11/I11-1,"")</f>
        <v>0.21562499999999996</v>
      </c>
      <c r="S11" s="46">
        <f>IFERROR((U11-Q11)/U11,"")</f>
        <v>-1.7259414225941423E-2</v>
      </c>
      <c r="T11" s="46">
        <f>IFERROR(IF(U11="","",U11/I11-1),"")</f>
        <v>0.19500000000000006</v>
      </c>
      <c r="U11" s="53">
        <f>AD11</f>
        <v>3824</v>
      </c>
      <c r="V11" s="30">
        <f>IFERROR((VLOOKUP($A11,'Из ГУГЛа'!$B:$Z,V$1,0)+X11)*W11,VLOOKUP($A11,'Из ГУГЛа'!$B:$Z,V$1,0))</f>
        <v>4590</v>
      </c>
      <c r="W11" s="29">
        <v>1</v>
      </c>
      <c r="X11" s="29">
        <v>0</v>
      </c>
      <c r="Y11" s="69">
        <v>4590</v>
      </c>
      <c r="Z11" s="34" t="s">
        <v>16</v>
      </c>
      <c r="AA11" s="30">
        <f>IFERROR((VLOOKUP($A11,'Из ГУГЛа'!$B:$Z,AA$1,0)+AC11)*AB11,VLOOKUP($A11,'Из ГУГЛа'!$B:$Z,AA$1,0))</f>
        <v>3824</v>
      </c>
      <c r="AB11" s="29">
        <v>1</v>
      </c>
      <c r="AC11" s="29">
        <v>0</v>
      </c>
      <c r="AD11" s="14">
        <v>3824</v>
      </c>
      <c r="AE11" s="48" t="s">
        <v>94</v>
      </c>
    </row>
    <row r="12" spans="1:31" ht="31.5" thickTop="1" thickBot="1" x14ac:dyDescent="0.3">
      <c r="A12" s="44">
        <v>163894</v>
      </c>
      <c r="B12" s="44">
        <f>VLOOKUP($A12,'Выгр Кат'!$A:$R,B$1,0)</f>
        <v>38880</v>
      </c>
      <c r="C12" s="45" t="str">
        <f>VLOOKUP($A12,'Выгр Кат'!$A:$R,C$1,0)</f>
        <v>Маховик облегченный, балансированный для ВАЗ 2110-2112</v>
      </c>
      <c r="D12" s="44" t="str">
        <f>VLOOKUP($A12,'Выгр Кат'!$A:$R,D$1,0)</f>
        <v>Y</v>
      </c>
      <c r="E12" s="44" t="str">
        <f>VLOOKUP($A12,'Выгр Кат'!$A:$R,E$1,0)</f>
        <v>1</v>
      </c>
      <c r="F12" s="44">
        <f>VLOOKUP($A12,'Выгр Кат'!$A:$R,F$1,0)</f>
        <v>0</v>
      </c>
      <c r="G12" s="45" t="s">
        <v>118</v>
      </c>
      <c r="H12" s="76" t="s">
        <v>5</v>
      </c>
      <c r="I12" s="23">
        <v>9160</v>
      </c>
      <c r="J12" s="2">
        <f>VLOOKUP(I12,Наценка!$A$1:$B$8,2,1)</f>
        <v>1.3</v>
      </c>
      <c r="K12" s="24">
        <f>U12-150</f>
        <v>11640</v>
      </c>
      <c r="L12" s="25">
        <f>IF(K12&lt;=1000,(ROUNDUP(K12,-1)-1),(ROUNDDOWN(K12,-2)-10))</f>
        <v>11590</v>
      </c>
      <c r="M12" s="44">
        <f>VLOOKUP($A12,'Выгр Кат'!$A:$R,M$1,0)</f>
        <v>9160</v>
      </c>
      <c r="N12" s="44">
        <f>VLOOKUP($A12,'Выгр Кат'!$A:$R,N$1,0)</f>
        <v>11590</v>
      </c>
      <c r="O12" s="20">
        <f>M12-I12</f>
        <v>0</v>
      </c>
      <c r="P12" s="20">
        <f>N12-L12</f>
        <v>0</v>
      </c>
      <c r="Q12" s="28">
        <f>IFERROR(L12*(1-$Q$2),"")</f>
        <v>11590</v>
      </c>
      <c r="R12" s="46">
        <f>IFERROR(Q12/I12-1,"")</f>
        <v>0.26528384279475992</v>
      </c>
      <c r="S12" s="46">
        <f>IFERROR((U12-Q12)/U12,"")</f>
        <v>1.6963528413910092E-2</v>
      </c>
      <c r="T12" s="46">
        <f>IFERROR(IF(U12="","",U12/I12-1),"")</f>
        <v>0.28711790393013104</v>
      </c>
      <c r="U12" s="31">
        <f>Y12</f>
        <v>11790</v>
      </c>
      <c r="V12" s="30">
        <f>IFERROR((VLOOKUP($A12,'Из ГУГЛа'!$B:$Z,V$1,0)+X12)*W12,VLOOKUP($A12,'Из ГУГЛа'!$B:$Z,V$1,0))</f>
        <v>11790</v>
      </c>
      <c r="W12" s="29">
        <v>1</v>
      </c>
      <c r="X12" s="29">
        <v>0</v>
      </c>
      <c r="Y12" s="69">
        <v>11790</v>
      </c>
      <c r="Z12" s="34" t="s">
        <v>20</v>
      </c>
      <c r="AA12" s="30" t="str">
        <f>IFERROR((VLOOKUP($A12,'Из ГУГЛа'!$B:$Z,AA$1,0)+AC12)*AB12,VLOOKUP($A12,'Из ГУГЛа'!$B:$Z,AA$1,0))</f>
        <v/>
      </c>
      <c r="AB12" s="29">
        <v>1</v>
      </c>
      <c r="AC12" s="29">
        <v>0</v>
      </c>
      <c r="AD12" s="14"/>
      <c r="AE12" s="49"/>
    </row>
    <row r="13" spans="1:31" ht="46.5" thickTop="1" thickBot="1" x14ac:dyDescent="0.3">
      <c r="A13" s="44">
        <v>163877</v>
      </c>
      <c r="B13" s="44">
        <f>VLOOKUP($A13,'Выгр Кат'!$A:$R,B$1,0)</f>
        <v>810</v>
      </c>
      <c r="C13" s="45" t="str">
        <f>VLOOKUP($A13,'Выгр Кат'!$A:$R,C$1,0)</f>
        <v>Маховик облегченный, балансированный для ВАЗ 2110-2112, Лада (Калина, Приора, Гранта)</v>
      </c>
      <c r="D13" s="44" t="str">
        <f>VLOOKUP($A13,'Выгр Кат'!$A:$R,D$1,0)</f>
        <v>Y</v>
      </c>
      <c r="E13" s="44" t="str">
        <f>VLOOKUP($A13,'Выгр Кат'!$A:$R,E$1,0)</f>
        <v>1</v>
      </c>
      <c r="F13" s="44">
        <f>VLOOKUP($A13,'Выгр Кат'!$A:$R,F$1,0)</f>
        <v>0</v>
      </c>
      <c r="G13" s="45" t="s">
        <v>118</v>
      </c>
      <c r="H13" s="76" t="s">
        <v>5</v>
      </c>
      <c r="I13" s="23">
        <v>3200</v>
      </c>
      <c r="J13" s="2">
        <f>VLOOKUP(I13,Наценка!$A$1:$B$8,2,1)</f>
        <v>1.3</v>
      </c>
      <c r="K13" s="60">
        <f>I13*1.24</f>
        <v>3968</v>
      </c>
      <c r="L13" s="25">
        <f>IF(K13&lt;=1000,(ROUNDUP(K13,-1)-1),(ROUNDDOWN(K13,-2)-10))</f>
        <v>3890</v>
      </c>
      <c r="M13" s="44">
        <f>VLOOKUP($A13,'Выгр Кат'!$A:$R,M$1,0)</f>
        <v>3200</v>
      </c>
      <c r="N13" s="44">
        <f>VLOOKUP($A13,'Выгр Кат'!$A:$R,N$1,0)</f>
        <v>3890</v>
      </c>
      <c r="O13" s="20">
        <f>M13-I13</f>
        <v>0</v>
      </c>
      <c r="P13" s="20">
        <f>N13-L13</f>
        <v>0</v>
      </c>
      <c r="Q13" s="28">
        <f>IFERROR(L13*(1-$Q$2),"")</f>
        <v>3890</v>
      </c>
      <c r="R13" s="46">
        <f>IFERROR(Q13/I13-1,"")</f>
        <v>0.21562499999999996</v>
      </c>
      <c r="S13" s="46">
        <f>IFERROR((U13-Q13)/U13,"")</f>
        <v>2.3594377510040159E-2</v>
      </c>
      <c r="T13" s="46">
        <f>IFERROR(IF(U13="","",U13/I13-1),"")</f>
        <v>0.24500000000000011</v>
      </c>
      <c r="U13" s="53">
        <f>AD13</f>
        <v>3984</v>
      </c>
      <c r="V13" s="30">
        <f>IFERROR((VLOOKUP($A13,'Из ГУГЛа'!$B:$Z,V$1,0)+X13)*W13,VLOOKUP($A13,'Из ГУГЛа'!$B:$Z,V$1,0))</f>
        <v>4390</v>
      </c>
      <c r="W13" s="29">
        <v>1</v>
      </c>
      <c r="X13" s="29">
        <v>0</v>
      </c>
      <c r="Y13" s="47">
        <v>4390</v>
      </c>
      <c r="Z13" s="34" t="s">
        <v>13</v>
      </c>
      <c r="AA13" s="30">
        <f>IFERROR((VLOOKUP($A13,'Из ГУГЛа'!$B:$Z,AA$1,0)+AC13)*AB13,VLOOKUP($A13,'Из ГУГЛа'!$B:$Z,AA$1,0))</f>
        <v>3984</v>
      </c>
      <c r="AB13" s="29">
        <v>1</v>
      </c>
      <c r="AC13" s="29">
        <v>0</v>
      </c>
      <c r="AD13" s="14">
        <v>3984</v>
      </c>
      <c r="AE13" s="48" t="s">
        <v>96</v>
      </c>
    </row>
    <row r="14" spans="1:31" ht="31.5" thickTop="1" thickBot="1" x14ac:dyDescent="0.3">
      <c r="A14" s="44">
        <v>163897</v>
      </c>
      <c r="B14" s="44">
        <f>VLOOKUP($A14,'Выгр Кат'!$A:$R,B$1,0)</f>
        <v>38877</v>
      </c>
      <c r="C14" s="45" t="str">
        <f>VLOOKUP($A14,'Выгр Кат'!$A:$R,C$1,0)</f>
        <v>Маховик "Турбо" облегченный для Шевроле Нива (сцепление 2123)</v>
      </c>
      <c r="D14" s="44" t="str">
        <f>VLOOKUP($A14,'Выгр Кат'!$A:$R,D$1,0)</f>
        <v>Y</v>
      </c>
      <c r="E14" s="44" t="str">
        <f>VLOOKUP($A14,'Выгр Кат'!$A:$R,E$1,0)</f>
        <v>1</v>
      </c>
      <c r="F14" s="44">
        <f>VLOOKUP($A14,'Выгр Кат'!$A:$R,F$1,0)</f>
        <v>0</v>
      </c>
      <c r="G14" s="45" t="s">
        <v>120</v>
      </c>
      <c r="H14" s="76" t="s">
        <v>5</v>
      </c>
      <c r="I14" s="23">
        <v>3100</v>
      </c>
      <c r="J14" s="2">
        <f>VLOOKUP(I14,Наценка!$A$1:$B$8,2,1)</f>
        <v>1.3</v>
      </c>
      <c r="K14" s="67">
        <f>U14-150</f>
        <v>4340</v>
      </c>
      <c r="L14" s="25">
        <f>IF(K14&lt;=1000,(ROUNDUP(K14,-1)-1),(ROUNDDOWN(K14,-2)-10))</f>
        <v>4290</v>
      </c>
      <c r="M14" s="44">
        <f>VLOOKUP($A14,'Выгр Кат'!$A:$R,M$1,0)</f>
        <v>3100</v>
      </c>
      <c r="N14" s="44">
        <f>VLOOKUP($A14,'Выгр Кат'!$A:$R,N$1,0)</f>
        <v>4290</v>
      </c>
      <c r="O14" s="20">
        <f>M14-I14</f>
        <v>0</v>
      </c>
      <c r="P14" s="20">
        <f>N14-L14</f>
        <v>0</v>
      </c>
      <c r="Q14" s="28">
        <f>IFERROR(L14*(1-$Q$2),"")</f>
        <v>4290</v>
      </c>
      <c r="R14" s="46">
        <f>IFERROR(Q14/I14-1,"")</f>
        <v>0.38387096774193541</v>
      </c>
      <c r="S14" s="46">
        <f>IFERROR((U14-Q14)/U14,"")</f>
        <v>4.4543429844097995E-2</v>
      </c>
      <c r="T14" s="46">
        <f>IFERROR(IF(U14="","",U14/I14-1),"")</f>
        <v>0.44838709677419364</v>
      </c>
      <c r="U14" s="31">
        <f>Y14</f>
        <v>4490</v>
      </c>
      <c r="V14" s="30">
        <f>IFERROR((VLOOKUP($A14,'Из ГУГЛа'!$B:$Z,V$1,0)+X14)*W14,VLOOKUP($A14,'Из ГУГЛа'!$B:$Z,V$1,0))</f>
        <v>4490</v>
      </c>
      <c r="W14" s="29">
        <v>1</v>
      </c>
      <c r="X14" s="29">
        <v>0</v>
      </c>
      <c r="Y14" s="69">
        <v>4490</v>
      </c>
      <c r="Z14" s="34" t="s">
        <v>24</v>
      </c>
      <c r="AA14" s="30" t="str">
        <f>IFERROR((VLOOKUP($A14,'Из ГУГЛа'!$B:$Z,AA$1,0)+AC14)*AB14,VLOOKUP($A14,'Из ГУГЛа'!$B:$Z,AA$1,0))</f>
        <v/>
      </c>
      <c r="AB14" s="29">
        <v>1</v>
      </c>
      <c r="AC14" s="29">
        <v>0</v>
      </c>
      <c r="AD14" s="14"/>
      <c r="AE14" s="48"/>
    </row>
    <row r="15" spans="1:31" ht="31.5" thickTop="1" thickBot="1" x14ac:dyDescent="0.3">
      <c r="A15" s="44">
        <v>163900</v>
      </c>
      <c r="B15" s="44">
        <f>VLOOKUP($A15,'Выгр Кат'!$A:$R,B$1,0)</f>
        <v>6916</v>
      </c>
      <c r="C15" s="45" t="str">
        <f>VLOOKUP($A15,'Выгр Кат'!$A:$R,C$1,0)</f>
        <v>Маховик облегченный, балансированный для Шевроле Нива</v>
      </c>
      <c r="D15" s="44" t="str">
        <f>VLOOKUP($A15,'Выгр Кат'!$A:$R,D$1,0)</f>
        <v>Y</v>
      </c>
      <c r="E15" s="44" t="str">
        <f>VLOOKUP($A15,'Выгр Кат'!$A:$R,E$1,0)</f>
        <v>1</v>
      </c>
      <c r="F15" s="44">
        <f>VLOOKUP($A15,'Выгр Кат'!$A:$R,F$1,0)</f>
        <v>0</v>
      </c>
      <c r="G15" s="45" t="s">
        <v>120</v>
      </c>
      <c r="H15" s="76" t="s">
        <v>5</v>
      </c>
      <c r="I15" s="23">
        <v>3200</v>
      </c>
      <c r="J15" s="2">
        <f>VLOOKUP(I15,Наценка!$A$1:$B$8,2,1)</f>
        <v>1.3</v>
      </c>
      <c r="K15" s="24">
        <f>U15-150</f>
        <v>3910</v>
      </c>
      <c r="L15" s="25">
        <f>IF(K15&lt;=1000,(ROUNDUP(K15,-1)-1),(ROUNDDOWN(K15,-2)-10))</f>
        <v>3890</v>
      </c>
      <c r="M15" s="44">
        <f>VLOOKUP($A15,'Выгр Кат'!$A:$R,M$1,0)</f>
        <v>3200</v>
      </c>
      <c r="N15" s="44">
        <f>VLOOKUP($A15,'Выгр Кат'!$A:$R,N$1,0)</f>
        <v>3890</v>
      </c>
      <c r="O15" s="20">
        <f>M15-I15</f>
        <v>0</v>
      </c>
      <c r="P15" s="20">
        <f>N15-L15</f>
        <v>0</v>
      </c>
      <c r="Q15" s="28">
        <f>IFERROR(L15*(1-$Q$2),"")</f>
        <v>3890</v>
      </c>
      <c r="R15" s="46">
        <f>IFERROR(Q15/I15-1,"")</f>
        <v>0.21562499999999996</v>
      </c>
      <c r="S15" s="46">
        <f>IFERROR((U15-Q15)/U15,"")</f>
        <v>4.1871921182266007E-2</v>
      </c>
      <c r="T15" s="46">
        <f>IFERROR(IF(U15="","",U15/I15-1),"")</f>
        <v>0.26875000000000004</v>
      </c>
      <c r="U15" s="53">
        <f>AD15</f>
        <v>4060</v>
      </c>
      <c r="V15" s="30">
        <f>IFERROR((VLOOKUP($A15,'Из ГУГЛа'!$B:$Z,V$1,0)+X15)*W15,VLOOKUP($A15,'Из ГУГЛа'!$B:$Z,V$1,0))</f>
        <v>4590</v>
      </c>
      <c r="W15" s="29">
        <v>1</v>
      </c>
      <c r="X15" s="29">
        <v>0</v>
      </c>
      <c r="Y15" s="47">
        <v>4590</v>
      </c>
      <c r="Z15" s="34" t="s">
        <v>23</v>
      </c>
      <c r="AA15" s="30">
        <f>IFERROR((VLOOKUP($A15,'Из ГУГЛа'!$B:$Z,AA$1,0)+AC15)*AB15,VLOOKUP($A15,'Из ГУГЛа'!$B:$Z,AA$1,0))</f>
        <v>4060</v>
      </c>
      <c r="AB15" s="29">
        <v>1</v>
      </c>
      <c r="AC15" s="29">
        <v>0</v>
      </c>
      <c r="AD15" s="14">
        <v>4060</v>
      </c>
      <c r="AE15" s="48" t="s">
        <v>99</v>
      </c>
    </row>
    <row r="16" spans="1:31" ht="27.75" thickTop="1" thickBot="1" x14ac:dyDescent="0.3">
      <c r="A16" s="44">
        <v>163893</v>
      </c>
      <c r="B16" s="44">
        <f>VLOOKUP($A16,'Выгр Кат'!$A:$R,B$1,0)</f>
        <v>38878</v>
      </c>
      <c r="C16" s="45" t="str">
        <f>VLOOKUP($A16,'Выгр Кат'!$A:$R,C$1,0)</f>
        <v>Маховик облегченный для Лада Веста</v>
      </c>
      <c r="D16" s="44" t="str">
        <f>VLOOKUP($A16,'Выгр Кат'!$A:$R,D$1,0)</f>
        <v>Y</v>
      </c>
      <c r="E16" s="44" t="str">
        <f>VLOOKUP($A16,'Выгр Кат'!$A:$R,E$1,0)</f>
        <v>1</v>
      </c>
      <c r="F16" s="44">
        <f>VLOOKUP($A16,'Выгр Кат'!$A:$R,F$1,0)</f>
        <v>0</v>
      </c>
      <c r="G16" s="45" t="s">
        <v>112</v>
      </c>
      <c r="H16" s="76" t="s">
        <v>5</v>
      </c>
      <c r="I16" s="23">
        <v>3800</v>
      </c>
      <c r="J16" s="2">
        <f>VLOOKUP(I16,Наценка!$A$1:$B$8,2,1)</f>
        <v>1.3</v>
      </c>
      <c r="K16" s="62">
        <f>I16*1.24</f>
        <v>4712</v>
      </c>
      <c r="L16" s="25">
        <f>IF(K16&lt;=1000,(ROUNDUP(K16,-1)-1),(ROUNDDOWN(K16,-2)-10))</f>
        <v>4690</v>
      </c>
      <c r="M16" s="44">
        <f>VLOOKUP($A16,'Выгр Кат'!$A:$R,M$1,0)</f>
        <v>3800</v>
      </c>
      <c r="N16" s="44">
        <f>VLOOKUP($A16,'Выгр Кат'!$A:$R,N$1,0)</f>
        <v>4690</v>
      </c>
      <c r="O16" s="20">
        <f>M16-I16</f>
        <v>0</v>
      </c>
      <c r="P16" s="20">
        <f>N16-L16</f>
        <v>0</v>
      </c>
      <c r="Q16" s="28">
        <f>IFERROR(L16*(1-$Q$2),"")</f>
        <v>4690</v>
      </c>
      <c r="R16" s="46">
        <f>IFERROR(Q16/I16-1,"")</f>
        <v>0.23421052631578942</v>
      </c>
      <c r="S16" s="46">
        <f>IFERROR((U16-Q16)/U16,"")</f>
        <v>-4.1759218125277657E-2</v>
      </c>
      <c r="T16" s="46">
        <f>IFERROR(IF(U16="","",U16/I16-1),"")</f>
        <v>0.18473684210526309</v>
      </c>
      <c r="U16" s="53">
        <f>AD16</f>
        <v>4502</v>
      </c>
      <c r="V16" s="30">
        <f>IFERROR((VLOOKUP($A16,'Из ГУГЛа'!$B:$Z,V$1,0)+X16)*W16,VLOOKUP($A16,'Из ГУГЛа'!$B:$Z,V$1,0))</f>
        <v>4490</v>
      </c>
      <c r="W16" s="29">
        <v>1</v>
      </c>
      <c r="X16" s="29">
        <v>0</v>
      </c>
      <c r="Y16" s="47" t="s">
        <v>79</v>
      </c>
      <c r="Z16" s="34" t="s">
        <v>26</v>
      </c>
      <c r="AA16" s="30">
        <f>IFERROR((VLOOKUP($A16,'Из ГУГЛа'!$B:$Z,AA$1,0)+AC16)*AB16,VLOOKUP($A16,'Из ГУГЛа'!$B:$Z,AA$1,0))</f>
        <v>4502</v>
      </c>
      <c r="AB16" s="29">
        <v>1</v>
      </c>
      <c r="AC16" s="29">
        <v>0</v>
      </c>
      <c r="AD16" s="14">
        <v>4502</v>
      </c>
      <c r="AE16" s="48" t="s">
        <v>101</v>
      </c>
    </row>
    <row r="17" spans="1:31" ht="31.5" thickTop="1" thickBot="1" x14ac:dyDescent="0.3">
      <c r="A17" s="44">
        <v>163892</v>
      </c>
      <c r="B17" s="44">
        <f>VLOOKUP($A17,'Выгр Кат'!$A:$R,B$1,0)</f>
        <v>38879</v>
      </c>
      <c r="C17" s="45" t="str">
        <f>VLOOKUP($A17,'Выгр Кат'!$A:$R,C$1,0)</f>
        <v>Маховик облегченный тяжелый для Лада Веста (сцепление 2123)</v>
      </c>
      <c r="D17" s="44" t="str">
        <f>VLOOKUP($A17,'Выгр Кат'!$A:$R,D$1,0)</f>
        <v>Y</v>
      </c>
      <c r="E17" s="44" t="str">
        <f>VLOOKUP($A17,'Выгр Кат'!$A:$R,E$1,0)</f>
        <v>1</v>
      </c>
      <c r="F17" s="44">
        <f>VLOOKUP($A17,'Выгр Кат'!$A:$R,F$1,0)</f>
        <v>0</v>
      </c>
      <c r="G17" s="45" t="s">
        <v>113</v>
      </c>
      <c r="H17" s="76" t="s">
        <v>5</v>
      </c>
      <c r="I17" s="23">
        <v>4000</v>
      </c>
      <c r="J17" s="2">
        <f>VLOOKUP(I17,Наценка!$A$1:$B$8,2,1)</f>
        <v>1.3</v>
      </c>
      <c r="K17" s="24">
        <f>U17-150</f>
        <v>5340</v>
      </c>
      <c r="L17" s="25">
        <f>IF(K17&lt;=1000,(ROUNDUP(K17,-1)-1),(ROUNDDOWN(K17,-2)-10))</f>
        <v>5290</v>
      </c>
      <c r="M17" s="44">
        <f>VLOOKUP($A17,'Выгр Кат'!$A:$R,M$1,0)</f>
        <v>4000</v>
      </c>
      <c r="N17" s="44">
        <f>VLOOKUP($A17,'Выгр Кат'!$A:$R,N$1,0)</f>
        <v>5290</v>
      </c>
      <c r="O17" s="20">
        <f>M17-I17</f>
        <v>0</v>
      </c>
      <c r="P17" s="20">
        <f>N17-L17</f>
        <v>0</v>
      </c>
      <c r="Q17" s="28">
        <f>IFERROR(L17*(1-$Q$2),"")</f>
        <v>5290</v>
      </c>
      <c r="R17" s="46">
        <f>IFERROR(Q17/I17-1,"")</f>
        <v>0.32250000000000001</v>
      </c>
      <c r="S17" s="46">
        <f>IFERROR((U17-Q17)/U17,"")</f>
        <v>3.6429872495446269E-2</v>
      </c>
      <c r="T17" s="46">
        <f>IFERROR(IF(U17="","",U17/I17-1),"")</f>
        <v>0.37250000000000005</v>
      </c>
      <c r="U17" s="31">
        <f>Y17</f>
        <v>5490</v>
      </c>
      <c r="V17" s="30">
        <f>IFERROR((VLOOKUP($A17,'Из ГУГЛа'!$B:$Z,V$1,0)+X17)*W17,VLOOKUP($A17,'Из ГУГЛа'!$B:$Z,V$1,0))</f>
        <v>5490</v>
      </c>
      <c r="W17" s="29">
        <v>1</v>
      </c>
      <c r="X17" s="29">
        <v>0</v>
      </c>
      <c r="Y17" s="47">
        <v>5490</v>
      </c>
      <c r="Z17" s="34" t="s">
        <v>21</v>
      </c>
      <c r="AA17" s="30" t="str">
        <f>IFERROR((VLOOKUP($A17,'Из ГУГЛа'!$B:$Z,AA$1,0)+AC17)*AB17,VLOOKUP($A17,'Из ГУГЛа'!$B:$Z,AA$1,0))</f>
        <v/>
      </c>
      <c r="AB17" s="29">
        <v>1</v>
      </c>
      <c r="AC17" s="29">
        <v>0</v>
      </c>
      <c r="AD17" s="14"/>
      <c r="AE17" s="49"/>
    </row>
    <row r="18" spans="1:31" ht="31.5" thickTop="1" thickBot="1" x14ac:dyDescent="0.3">
      <c r="A18" s="44">
        <v>163895</v>
      </c>
      <c r="B18" s="44">
        <f>VLOOKUP($A18,'Выгр Кат'!$A:$R,B$1,0)</f>
        <v>38881</v>
      </c>
      <c r="C18" s="45" t="str">
        <f>VLOOKUP($A18,'Выгр Кат'!$A:$R,C$1,0)</f>
        <v>Маховик облегченный, балансированный для Лада Гранта</v>
      </c>
      <c r="D18" s="44" t="str">
        <f>VLOOKUP($A18,'Выгр Кат'!$A:$R,D$1,0)</f>
        <v>Y</v>
      </c>
      <c r="E18" s="44" t="str">
        <f>VLOOKUP($A18,'Выгр Кат'!$A:$R,E$1,0)</f>
        <v>1</v>
      </c>
      <c r="F18" s="44">
        <f>VLOOKUP($A18,'Выгр Кат'!$A:$R,F$1,0)</f>
        <v>0</v>
      </c>
      <c r="G18" s="45" t="s">
        <v>115</v>
      </c>
      <c r="H18" s="76" t="s">
        <v>5</v>
      </c>
      <c r="I18" s="23">
        <v>9160</v>
      </c>
      <c r="J18" s="2">
        <f>VLOOKUP(I18,Наценка!$A$1:$B$8,2,1)</f>
        <v>1.3</v>
      </c>
      <c r="K18" s="24">
        <f>U18-150</f>
        <v>12340</v>
      </c>
      <c r="L18" s="25">
        <f>IF(K18&lt;=1000,(ROUNDUP(K18,-1)-1),(ROUNDDOWN(K18,-2)-10))</f>
        <v>12290</v>
      </c>
      <c r="M18" s="44">
        <f>VLOOKUP($A18,'Выгр Кат'!$A:$R,M$1,0)</f>
        <v>9160</v>
      </c>
      <c r="N18" s="44">
        <f>VLOOKUP($A18,'Выгр Кат'!$A:$R,N$1,0)</f>
        <v>12290</v>
      </c>
      <c r="O18" s="20">
        <f>M18-I18</f>
        <v>0</v>
      </c>
      <c r="P18" s="20">
        <f>N18-L18</f>
        <v>0</v>
      </c>
      <c r="Q18" s="28">
        <f>IFERROR(L18*(1-$Q$2),"")</f>
        <v>12290</v>
      </c>
      <c r="R18" s="46">
        <f>IFERROR(Q18/I18-1,"")</f>
        <v>0.34170305676855905</v>
      </c>
      <c r="S18" s="46">
        <f>IFERROR((U18-Q18)/U18,"")</f>
        <v>1.6012810248198558E-2</v>
      </c>
      <c r="T18" s="46">
        <f>IFERROR(IF(U18="","",U18/I18-1),"")</f>
        <v>0.36353711790393017</v>
      </c>
      <c r="U18" s="31">
        <f>Y18</f>
        <v>12490</v>
      </c>
      <c r="V18" s="30">
        <f>IFERROR((VLOOKUP($A18,'Из ГУГЛа'!$B:$Z,V$1,0)+X18)*W18,VLOOKUP($A18,'Из ГУГЛа'!$B:$Z,V$1,0))</f>
        <v>12490</v>
      </c>
      <c r="W18" s="29">
        <v>1</v>
      </c>
      <c r="X18" s="29">
        <v>0</v>
      </c>
      <c r="Y18" s="47">
        <v>12490</v>
      </c>
      <c r="Z18" s="34" t="s">
        <v>22</v>
      </c>
      <c r="AA18" s="30" t="str">
        <f>IFERROR((VLOOKUP($A18,'Из ГУГЛа'!$B:$Z,AA$1,0)+AC18)*AB18,VLOOKUP($A18,'Из ГУГЛа'!$B:$Z,AA$1,0))</f>
        <v/>
      </c>
      <c r="AB18" s="29">
        <v>1</v>
      </c>
      <c r="AC18" s="29">
        <v>0</v>
      </c>
      <c r="AD18" s="14"/>
      <c r="AE18" s="49"/>
    </row>
    <row r="19" spans="1:31" ht="61.5" thickTop="1" thickBot="1" x14ac:dyDescent="0.3">
      <c r="A19" s="44">
        <v>163842</v>
      </c>
      <c r="B19" s="44">
        <f>VLOOKUP($A19,'Выгр Кат'!$A:$R,B$1,0)</f>
        <v>804</v>
      </c>
      <c r="C19" s="45" t="str">
        <f>VLOOKUP($A19,'Выгр Кат'!$A:$R,C$1,0)</f>
        <v>Маховик облегченный, балансированный для Лада Приора 2, Калина 2, Гранта, Веста (тросовая КПП)</v>
      </c>
      <c r="D19" s="44" t="str">
        <f>VLOOKUP($A19,'Выгр Кат'!$A:$R,D$1,0)</f>
        <v>Y</v>
      </c>
      <c r="E19" s="44" t="str">
        <f>VLOOKUP($A19,'Выгр Кат'!$A:$R,E$1,0)</f>
        <v>1ск4</v>
      </c>
      <c r="F19" s="44">
        <f>VLOOKUP($A19,'Выгр Кат'!$A:$R,F$1,0)</f>
        <v>0</v>
      </c>
      <c r="G19" s="45" t="s">
        <v>115</v>
      </c>
      <c r="H19" s="76" t="s">
        <v>5</v>
      </c>
      <c r="I19" s="23">
        <v>3400</v>
      </c>
      <c r="J19" s="2">
        <f>VLOOKUP(I19,Наценка!$A$1:$B$8,2,1)</f>
        <v>1.3</v>
      </c>
      <c r="K19" s="60">
        <f>I19*1.24</f>
        <v>4216</v>
      </c>
      <c r="L19" s="25">
        <f>IF(K19&lt;=1000,(ROUNDUP(K19,-1)-1),(ROUNDDOWN(K19,-2)-10))</f>
        <v>4190</v>
      </c>
      <c r="M19" s="44">
        <f>VLOOKUP($A19,'Выгр Кат'!$A:$R,M$1,0)</f>
        <v>3400</v>
      </c>
      <c r="N19" s="44">
        <f>VLOOKUP($A19,'Выгр Кат'!$A:$R,N$1,0)</f>
        <v>4190</v>
      </c>
      <c r="O19" s="20">
        <f>M19-I19</f>
        <v>0</v>
      </c>
      <c r="P19" s="20">
        <f>N19-L19</f>
        <v>0</v>
      </c>
      <c r="Q19" s="28">
        <f>IFERROR(L19*(1-$Q$2),"")</f>
        <v>4190</v>
      </c>
      <c r="R19" s="46">
        <f>IFERROR(Q19/I19-1,"")</f>
        <v>0.23235294117647065</v>
      </c>
      <c r="S19" s="46">
        <f>IFERROR((U19-Q19)/U19,"")</f>
        <v>-5.1706827309236945E-2</v>
      </c>
      <c r="T19" s="46">
        <f>IFERROR(IF(U19="","",U19/I19-1),"")</f>
        <v>0.17176470588235304</v>
      </c>
      <c r="U19" s="53">
        <f>AD19</f>
        <v>3984</v>
      </c>
      <c r="V19" s="30">
        <f>IFERROR((VLOOKUP($A19,'Из ГУГЛа'!$B:$Z,V$1,0)+X19)*W19,VLOOKUP($A19,'Из ГУГЛа'!$B:$Z,V$1,0))</f>
        <v>4890</v>
      </c>
      <c r="W19" s="29">
        <v>1</v>
      </c>
      <c r="X19" s="29">
        <v>0</v>
      </c>
      <c r="Y19" s="69">
        <v>4890</v>
      </c>
      <c r="Z19" s="34" t="s">
        <v>18</v>
      </c>
      <c r="AA19" s="30">
        <f>IFERROR((VLOOKUP($A19,'Из ГУГЛа'!$B:$Z,AA$1,0)+AC19)*AB19,VLOOKUP($A19,'Из ГУГЛа'!$B:$Z,AA$1,0))</f>
        <v>3984</v>
      </c>
      <c r="AB19" s="29">
        <v>1</v>
      </c>
      <c r="AC19" s="29">
        <v>0</v>
      </c>
      <c r="AD19" s="14">
        <v>3984</v>
      </c>
      <c r="AE19" s="48" t="s">
        <v>100</v>
      </c>
    </row>
    <row r="20" spans="1:31" ht="61.5" thickTop="1" thickBot="1" x14ac:dyDescent="0.3">
      <c r="A20" s="44">
        <v>163891</v>
      </c>
      <c r="B20" s="44">
        <f>VLOOKUP($A20,'Выгр Кат'!$A:$R,B$1,0)</f>
        <v>155552</v>
      </c>
      <c r="C20" s="45" t="str">
        <f>VLOOKUP($A20,'Выгр Кат'!$A:$R,C$1,0)</f>
        <v>(дубль) Маховик облегченный тяжёлый для ВАЗ 2101-2107, Лада Нива 4х4 (сцепление 2123, 16-ти клапанный двигатель)</v>
      </c>
      <c r="D20" s="44" t="str">
        <f>VLOOKUP($A20,'Выгр Кат'!$A:$R,D$1,0)</f>
        <v>N</v>
      </c>
      <c r="E20" s="44" t="str">
        <f>VLOOKUP($A20,'Выгр Кат'!$A:$R,E$1,0)</f>
        <v>1</v>
      </c>
      <c r="F20" s="44">
        <f>VLOOKUP($A20,'Выгр Кат'!$A:$R,F$1,0)</f>
        <v>0</v>
      </c>
      <c r="G20" s="45"/>
      <c r="H20" s="76" t="s">
        <v>5</v>
      </c>
      <c r="I20" s="23">
        <v>3100</v>
      </c>
      <c r="J20" s="2">
        <f>VLOOKUP(I20,Наценка!$A$1:$B$8,2,1)</f>
        <v>1.3</v>
      </c>
      <c r="K20" s="67">
        <f>U20-150</f>
        <v>4340</v>
      </c>
      <c r="L20" s="25">
        <f>IF(K20&lt;=1000,(ROUNDUP(K20,-1)-1),(ROUNDDOWN(K20,-2)-10))</f>
        <v>4290</v>
      </c>
      <c r="M20" s="44">
        <f>VLOOKUP($A20,'Выгр Кат'!$A:$R,M$1,0)</f>
        <v>3100</v>
      </c>
      <c r="N20" s="44">
        <f>VLOOKUP($A20,'Выгр Кат'!$A:$R,N$1,0)</f>
        <v>4290</v>
      </c>
      <c r="O20" s="20">
        <f>M20-I20</f>
        <v>0</v>
      </c>
      <c r="P20" s="20">
        <f>N20-L20</f>
        <v>0</v>
      </c>
      <c r="Q20" s="28">
        <f>IFERROR(L20*(1-$Q$2),"")</f>
        <v>4290</v>
      </c>
      <c r="R20" s="46">
        <f>IFERROR(Q20/I20-1,"")</f>
        <v>0.38387096774193541</v>
      </c>
      <c r="S20" s="46">
        <f>IFERROR((U20-Q20)/U20,"")</f>
        <v>4.4543429844097995E-2</v>
      </c>
      <c r="T20" s="46">
        <f>IFERROR(IF(U20="","",U20/I20-1),"")</f>
        <v>0.44838709677419364</v>
      </c>
      <c r="U20" s="31">
        <f>Y20</f>
        <v>4490</v>
      </c>
      <c r="V20" s="30">
        <f>IFERROR((VLOOKUP($A20,'Из ГУГЛа'!$B:$Z,V$1,0)+X20)*W20,VLOOKUP($A20,'Из ГУГЛа'!$B:$Z,V$1,0))</f>
        <v>4490</v>
      </c>
      <c r="W20" s="29">
        <v>1</v>
      </c>
      <c r="X20" s="29">
        <v>0</v>
      </c>
      <c r="Y20" s="69">
        <v>4490</v>
      </c>
      <c r="Z20" s="34" t="s">
        <v>27</v>
      </c>
      <c r="AA20" s="30" t="str">
        <f>IFERROR((VLOOKUP($A20,'Из ГУГЛа'!$B:$Z,AA$1,0)+AC20)*AB20,VLOOKUP($A20,'Из ГУГЛа'!$B:$Z,AA$1,0))</f>
        <v/>
      </c>
      <c r="AB20" s="29">
        <v>1</v>
      </c>
      <c r="AC20" s="29">
        <v>0</v>
      </c>
      <c r="AD20" s="14"/>
      <c r="AE20" s="48"/>
    </row>
    <row r="21" spans="1:31" ht="46.5" thickTop="1" thickBot="1" x14ac:dyDescent="0.3">
      <c r="A21" s="44">
        <v>163870</v>
      </c>
      <c r="B21" s="44">
        <f>VLOOKUP($A21,'Выгр Кат'!$A:$R,B$1,0)</f>
        <v>37217</v>
      </c>
      <c r="C21" s="45" t="str">
        <f>VLOOKUP($A21,'Выгр Кат'!$A:$R,C$1,0)</f>
        <v>Маховик (облегчённый, алюминиевый) для ВАЗ 2101-2107 (с 16-ти клапанным двигателем)</v>
      </c>
      <c r="D21" s="44" t="str">
        <f>VLOOKUP($A21,'Выгр Кат'!$A:$R,D$1,0)</f>
        <v>Y</v>
      </c>
      <c r="E21" s="44" t="str">
        <f>VLOOKUP($A21,'Выгр Кат'!$A:$R,E$1,0)</f>
        <v>0</v>
      </c>
      <c r="F21" s="44">
        <f>VLOOKUP($A21,'Выгр Кат'!$A:$R,F$1,0)</f>
        <v>0</v>
      </c>
      <c r="G21" s="45"/>
      <c r="H21" s="76" t="s">
        <v>5</v>
      </c>
      <c r="I21" s="22">
        <f>M21</f>
        <v>0</v>
      </c>
      <c r="J21" s="2" t="e">
        <f>VLOOKUP(I21,Наценка!$A$1:$B$8,2,1)</f>
        <v>#N/A</v>
      </c>
      <c r="K21" s="14" t="e">
        <f>I21*J21</f>
        <v>#N/A</v>
      </c>
      <c r="L21" s="22">
        <f>N21</f>
        <v>0</v>
      </c>
      <c r="M21" s="44">
        <f>VLOOKUP($A21,'Выгр Кат'!$A:$R,M$1,0)</f>
        <v>0</v>
      </c>
      <c r="N21" s="44">
        <f>VLOOKUP($A21,'Выгр Кат'!$A:$R,N$1,0)</f>
        <v>0</v>
      </c>
      <c r="O21" s="20">
        <f>M21-I21</f>
        <v>0</v>
      </c>
      <c r="P21" s="20">
        <f>N21-L21</f>
        <v>0</v>
      </c>
      <c r="Q21" s="28">
        <f>IFERROR(L21*(1-$Q$2),"")</f>
        <v>0</v>
      </c>
      <c r="R21" s="46" t="str">
        <f>IFERROR(Q21/I21-1,"")</f>
        <v/>
      </c>
      <c r="S21" s="46" t="str">
        <f>IFERROR((U21-Q21)/U21,"")</f>
        <v/>
      </c>
      <c r="T21" s="46" t="str">
        <f>IFERROR(IF(U21="","",U21/I21-1),"")</f>
        <v/>
      </c>
      <c r="U21" s="16"/>
      <c r="V21" s="30" t="str">
        <f>IFERROR((VLOOKUP($A21,'Из ГУГЛа'!$B:$Z,V$1,0)+X21)*W21,VLOOKUP($A21,'Из ГУГЛа'!$B:$Z,V$1,0))</f>
        <v/>
      </c>
      <c r="W21" s="29">
        <v>1</v>
      </c>
      <c r="X21" s="29">
        <v>0</v>
      </c>
      <c r="Y21" s="70"/>
      <c r="AA21" s="30" t="str">
        <f>IFERROR((VLOOKUP($A21,'Из ГУГЛа'!$B:$Z,AA$1,0)+AC21)*AB21,VLOOKUP($A21,'Из ГУГЛа'!$B:$Z,AA$1,0))</f>
        <v/>
      </c>
      <c r="AB21" s="29">
        <v>1</v>
      </c>
      <c r="AC21" s="29">
        <v>0</v>
      </c>
      <c r="AD21" s="14"/>
      <c r="AE21" s="72"/>
    </row>
    <row r="22" spans="1:31" ht="30.75" thickTop="1" x14ac:dyDescent="0.25">
      <c r="A22" s="44">
        <v>163872</v>
      </c>
      <c r="B22" s="44">
        <f>VLOOKUP($A22,'Выгр Кат'!$A:$R,B$1,0)</f>
        <v>37216</v>
      </c>
      <c r="C22" s="45" t="str">
        <f>VLOOKUP($A22,'Выгр Кат'!$A:$R,C$1,0)</f>
        <v>Маховик облегченный для ВАЗ 2108-21099, 2113-2115 (сцепление 2110)</v>
      </c>
      <c r="D22" s="44" t="str">
        <f>VLOOKUP($A22,'Выгр Кат'!$A:$R,D$1,0)</f>
        <v>Y</v>
      </c>
      <c r="E22" s="44" t="str">
        <f>VLOOKUP($A22,'Выгр Кат'!$A:$R,E$1,0)</f>
        <v>0</v>
      </c>
      <c r="F22" s="44">
        <f>VLOOKUP($A22,'Выгр Кат'!$A:$R,F$1,0)</f>
        <v>0</v>
      </c>
      <c r="G22" s="45"/>
      <c r="H22" s="76" t="s">
        <v>5</v>
      </c>
      <c r="I22" s="22">
        <f>M22</f>
        <v>0</v>
      </c>
      <c r="J22" s="2" t="e">
        <f>VLOOKUP(I22,Наценка!$A$1:$B$8,2,1)</f>
        <v>#N/A</v>
      </c>
      <c r="K22" s="14" t="e">
        <f>I22*J22</f>
        <v>#N/A</v>
      </c>
      <c r="L22" s="22">
        <f>N22</f>
        <v>0</v>
      </c>
      <c r="M22" s="44">
        <f>VLOOKUP($A22,'Выгр Кат'!$A:$R,M$1,0)</f>
        <v>0</v>
      </c>
      <c r="N22" s="44">
        <f>VLOOKUP($A22,'Выгр Кат'!$A:$R,N$1,0)</f>
        <v>0</v>
      </c>
      <c r="O22" s="20">
        <f>M22-I22</f>
        <v>0</v>
      </c>
      <c r="P22" s="20">
        <f>N22-L22</f>
        <v>0</v>
      </c>
      <c r="Q22" s="28">
        <f>IFERROR(L22*(1-$Q$2),"")</f>
        <v>0</v>
      </c>
      <c r="R22" s="46" t="str">
        <f>IFERROR(Q22/I22-1,"")</f>
        <v/>
      </c>
      <c r="S22" s="46" t="str">
        <f>IFERROR((U22-Q22)/U22,"")</f>
        <v/>
      </c>
      <c r="T22" s="46" t="str">
        <f>IFERROR(IF(U22="","",U22/I22-1),"")</f>
        <v/>
      </c>
      <c r="U22" s="14"/>
      <c r="V22" s="30" t="str">
        <f>IFERROR((VLOOKUP($A22,'Из ГУГЛа'!$B:$Z,V$1,0)+X22)*W22,VLOOKUP($A22,'Из ГУГЛа'!$B:$Z,V$1,0))</f>
        <v/>
      </c>
      <c r="W22" s="29">
        <v>1</v>
      </c>
      <c r="X22" s="29">
        <v>0</v>
      </c>
      <c r="Y22" s="16"/>
      <c r="AA22" s="30" t="str">
        <f>IFERROR((VLOOKUP($A22,'Из ГУГЛа'!$B:$Z,AA$1,0)+AC22)*AB22,VLOOKUP($A22,'Из ГУГЛа'!$B:$Z,AA$1,0))</f>
        <v/>
      </c>
      <c r="AB22" s="29">
        <v>1</v>
      </c>
      <c r="AC22" s="29">
        <v>0</v>
      </c>
      <c r="AD22" s="14"/>
      <c r="AE22" s="72"/>
    </row>
    <row r="23" spans="1:31" ht="30.75" thickBot="1" x14ac:dyDescent="0.3">
      <c r="A23" s="44">
        <v>163871</v>
      </c>
      <c r="B23" s="44">
        <f>VLOOKUP($A23,'Выгр Кат'!$A:$R,B$1,0)</f>
        <v>37218</v>
      </c>
      <c r="C23" s="45" t="str">
        <f>VLOOKUP($A23,'Выгр Кат'!$A:$R,C$1,0)</f>
        <v>Маховик облегченный для ВАЗ 2110-2112</v>
      </c>
      <c r="D23" s="44" t="str">
        <f>VLOOKUP($A23,'Выгр Кат'!$A:$R,D$1,0)</f>
        <v>Y</v>
      </c>
      <c r="E23" s="44" t="str">
        <f>VLOOKUP($A23,'Выгр Кат'!$A:$R,E$1,0)</f>
        <v>0</v>
      </c>
      <c r="F23" s="44">
        <f>VLOOKUP($A23,'Выгр Кат'!$A:$R,F$1,0)</f>
        <v>0</v>
      </c>
      <c r="G23" s="45"/>
      <c r="H23" s="76" t="s">
        <v>5</v>
      </c>
      <c r="I23" s="22">
        <f>M23</f>
        <v>0</v>
      </c>
      <c r="J23" s="2" t="e">
        <f>VLOOKUP(I23,Наценка!$A$1:$B$8,2,1)</f>
        <v>#N/A</v>
      </c>
      <c r="K23" s="14" t="e">
        <f>I23*J23</f>
        <v>#N/A</v>
      </c>
      <c r="L23" s="22">
        <f>N23</f>
        <v>0</v>
      </c>
      <c r="M23" s="44">
        <f>VLOOKUP($A23,'Выгр Кат'!$A:$R,M$1,0)</f>
        <v>0</v>
      </c>
      <c r="N23" s="44">
        <f>VLOOKUP($A23,'Выгр Кат'!$A:$R,N$1,0)</f>
        <v>0</v>
      </c>
      <c r="O23" s="20">
        <f>M23-I23</f>
        <v>0</v>
      </c>
      <c r="P23" s="20">
        <f>N23-L23</f>
        <v>0</v>
      </c>
      <c r="Q23" s="28">
        <f>IFERROR(L23*(1-$Q$2),"")</f>
        <v>0</v>
      </c>
      <c r="R23" s="46" t="str">
        <f>IFERROR(Q23/I23-1,"")</f>
        <v/>
      </c>
      <c r="S23" s="46" t="str">
        <f>IFERROR((U23-Q23)/U23,"")</f>
        <v/>
      </c>
      <c r="T23" s="46" t="str">
        <f>IFERROR(IF(U23="","",U23/I23-1),"")</f>
        <v/>
      </c>
      <c r="U23" s="16"/>
      <c r="V23" s="30" t="str">
        <f>IFERROR((VLOOKUP($A23,'Из ГУГЛа'!$B:$Z,V$1,0)+X23)*W23,VLOOKUP($A23,'Из ГУГЛа'!$B:$Z,V$1,0))</f>
        <v/>
      </c>
      <c r="W23" s="29">
        <v>1</v>
      </c>
      <c r="X23" s="29">
        <v>0</v>
      </c>
      <c r="Y23" s="70"/>
      <c r="AA23" s="30" t="str">
        <f>IFERROR((VLOOKUP($A23,'Из ГУГЛа'!$B:$Z,AA$1,0)+AC23)*AB23,VLOOKUP($A23,'Из ГУГЛа'!$B:$Z,AA$1,0))</f>
        <v/>
      </c>
      <c r="AB23" s="29">
        <v>1</v>
      </c>
      <c r="AC23" s="29">
        <v>0</v>
      </c>
      <c r="AD23" s="14"/>
      <c r="AE23" s="72"/>
    </row>
    <row r="24" spans="1:31" ht="15.75" thickTop="1" x14ac:dyDescent="0.25"/>
    <row r="26" spans="1:31" x14ac:dyDescent="0.25">
      <c r="K26" s="14">
        <f>I26*J26</f>
        <v>0</v>
      </c>
    </row>
    <row r="27" spans="1:31" x14ac:dyDescent="0.25">
      <c r="K27" s="54">
        <f>U27-10</f>
        <v>-10</v>
      </c>
    </row>
    <row r="28" spans="1:31" x14ac:dyDescent="0.25">
      <c r="K28" s="55">
        <f>U28-30</f>
        <v>-30</v>
      </c>
    </row>
    <row r="29" spans="1:31" x14ac:dyDescent="0.25">
      <c r="K29" s="56">
        <f>U29-100</f>
        <v>-100</v>
      </c>
    </row>
    <row r="30" spans="1:31" x14ac:dyDescent="0.25">
      <c r="K30" s="57">
        <f>U30</f>
        <v>0</v>
      </c>
    </row>
    <row r="31" spans="1:31" x14ac:dyDescent="0.25">
      <c r="K31" s="57">
        <f>U31*1.02</f>
        <v>0</v>
      </c>
    </row>
    <row r="32" spans="1:31" x14ac:dyDescent="0.25">
      <c r="K32" s="58">
        <f>U32*1.05</f>
        <v>0</v>
      </c>
    </row>
    <row r="33" spans="11:11" x14ac:dyDescent="0.25">
      <c r="K33" s="59">
        <f>U33*1.08</f>
        <v>0</v>
      </c>
    </row>
    <row r="34" spans="11:11" x14ac:dyDescent="0.25">
      <c r="K34" s="60">
        <f>I34*1.24</f>
        <v>0</v>
      </c>
    </row>
  </sheetData>
  <autoFilter ref="A2:AE23" xr:uid="{C2B5A7BA-8697-471C-8FFD-018547995483}"/>
  <conditionalFormatting sqref="S3:S23">
    <cfRule type="cellIs" dxfId="6" priority="8" operator="lessThan">
      <formula>-5%</formula>
    </cfRule>
  </conditionalFormatting>
  <conditionalFormatting sqref="T3:T23 R3:R23">
    <cfRule type="cellIs" dxfId="5" priority="7" operator="lessThan">
      <formula>$Q$1</formula>
    </cfRule>
  </conditionalFormatting>
  <conditionalFormatting sqref="C3:C23">
    <cfRule type="expression" dxfId="4" priority="6">
      <formula>OR(D3="N",E3="0")</formula>
    </cfRule>
  </conditionalFormatting>
  <conditionalFormatting sqref="A3:A23">
    <cfRule type="expression" dxfId="3" priority="5">
      <formula>AND($P3=0,$O3=0)</formula>
    </cfRule>
  </conditionalFormatting>
  <conditionalFormatting sqref="V3:V23 AA3:AA23">
    <cfRule type="expression" dxfId="2" priority="2">
      <formula>VALUE(V3)&lt;&gt;Y3</formula>
    </cfRule>
  </conditionalFormatting>
  <hyperlinks>
    <hyperlink ref="AE6" r:id="rId1" xr:uid="{1A3D4757-3223-4B1C-B90E-B67C4BE855AC}"/>
    <hyperlink ref="AE5" r:id="rId2" xr:uid="{55B035FF-9271-4A63-84AD-0EB4C0FF1382}"/>
    <hyperlink ref="AE3" r:id="rId3" xr:uid="{0694250D-96F9-43D4-A6B0-41C6D88A0F32}"/>
    <hyperlink ref="AE11" r:id="rId4" xr:uid="{32A755D7-C38D-45F5-B932-7672072BC00D}"/>
    <hyperlink ref="AE9" r:id="rId5" xr:uid="{3879714E-7DDE-463C-A38C-57CCE1FA3042}"/>
    <hyperlink ref="AE13" r:id="rId6" xr:uid="{976CA10B-E2C7-47BB-9877-39D3AF640256}"/>
    <hyperlink ref="AE4" r:id="rId7" xr:uid="{116B73C3-ECA5-492A-A435-9B14111620DB}"/>
    <hyperlink ref="AE15" r:id="rId8" xr:uid="{26C60437-6038-4BD6-BE25-127EF724D2E6}"/>
    <hyperlink ref="AE19" r:id="rId9" xr:uid="{5B0AFA1E-E72A-4091-A92C-6D2DA980F555}"/>
    <hyperlink ref="AE16" r:id="rId10" xr:uid="{0AD9D6F9-426B-42F5-9034-8BBDAFBE270B}"/>
    <hyperlink ref="AE7" r:id="rId11" xr:uid="{0329C4BE-DC7F-4423-8989-DED5406CCDB9}"/>
  </hyperlinks>
  <pageMargins left="0.75" right="0.75" top="1" bottom="1" header="0.5" footer="0.5"/>
  <pageSetup paperSize="9"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9FD67-CDB4-46AC-B9FF-751F54864614}">
  <sheetPr codeName="Лист5"/>
  <dimension ref="A1:C19"/>
  <sheetViews>
    <sheetView workbookViewId="0">
      <selection activeCell="F10" sqref="F10"/>
    </sheetView>
  </sheetViews>
  <sheetFormatPr defaultRowHeight="15" x14ac:dyDescent="0.25"/>
  <cols>
    <col min="1" max="1" width="8.42578125" style="6" customWidth="1"/>
    <col min="2" max="2" width="7.85546875" style="3" bestFit="1" customWidth="1"/>
    <col min="3" max="3" width="8.42578125" style="3" bestFit="1" customWidth="1"/>
  </cols>
  <sheetData>
    <row r="1" spans="1:3" x14ac:dyDescent="0.25">
      <c r="B1" s="10">
        <v>7</v>
      </c>
      <c r="C1" s="10">
        <v>8</v>
      </c>
    </row>
    <row r="2" spans="1:3" x14ac:dyDescent="0.25">
      <c r="A2" s="7" t="s">
        <v>0</v>
      </c>
      <c r="B2" s="8" t="s">
        <v>9</v>
      </c>
      <c r="C2" s="8" t="s">
        <v>11</v>
      </c>
    </row>
    <row r="3" spans="1:3" x14ac:dyDescent="0.25">
      <c r="A3" s="1">
        <v>804</v>
      </c>
      <c r="B3" s="18">
        <v>3400</v>
      </c>
      <c r="C3" s="9">
        <v>4390</v>
      </c>
    </row>
    <row r="4" spans="1:3" x14ac:dyDescent="0.25">
      <c r="A4" s="1">
        <v>819</v>
      </c>
      <c r="B4" s="18">
        <v>3200</v>
      </c>
      <c r="C4" s="9">
        <v>4190</v>
      </c>
    </row>
    <row r="5" spans="1:3" x14ac:dyDescent="0.25">
      <c r="A5" s="1">
        <v>816</v>
      </c>
      <c r="B5" s="18">
        <v>3200</v>
      </c>
      <c r="C5" s="9">
        <v>4190</v>
      </c>
    </row>
    <row r="6" spans="1:3" x14ac:dyDescent="0.25">
      <c r="A6" s="1">
        <v>815</v>
      </c>
      <c r="B6" s="18">
        <v>3200</v>
      </c>
      <c r="C6" s="9">
        <v>4190</v>
      </c>
    </row>
    <row r="7" spans="1:3" x14ac:dyDescent="0.25">
      <c r="A7" s="1">
        <v>825</v>
      </c>
      <c r="B7" s="18">
        <v>3200</v>
      </c>
      <c r="C7" s="9">
        <v>4190</v>
      </c>
    </row>
    <row r="8" spans="1:3" x14ac:dyDescent="0.25">
      <c r="A8" s="1">
        <v>810</v>
      </c>
      <c r="B8" s="18">
        <v>3200</v>
      </c>
      <c r="C8" s="9">
        <v>4190</v>
      </c>
    </row>
    <row r="9" spans="1:3" x14ac:dyDescent="0.25">
      <c r="A9" s="1">
        <v>822</v>
      </c>
      <c r="B9" s="18">
        <v>3200</v>
      </c>
      <c r="C9" s="9">
        <v>4190</v>
      </c>
    </row>
    <row r="10" spans="1:3" x14ac:dyDescent="0.25">
      <c r="A10" s="1">
        <v>38879</v>
      </c>
      <c r="B10" s="18">
        <v>4000</v>
      </c>
      <c r="C10" s="9">
        <v>5290</v>
      </c>
    </row>
    <row r="11" spans="1:3" x14ac:dyDescent="0.25">
      <c r="A11" s="1">
        <v>38878</v>
      </c>
      <c r="B11" s="18">
        <v>3800</v>
      </c>
      <c r="C11" s="9">
        <v>4890</v>
      </c>
    </row>
    <row r="12" spans="1:3" x14ac:dyDescent="0.25">
      <c r="A12" s="1">
        <v>38880</v>
      </c>
      <c r="B12" s="18">
        <v>9160</v>
      </c>
      <c r="C12" s="9">
        <v>11590</v>
      </c>
    </row>
    <row r="13" spans="1:3" x14ac:dyDescent="0.25">
      <c r="A13" s="1">
        <v>38881</v>
      </c>
      <c r="B13" s="18">
        <v>9160</v>
      </c>
      <c r="C13" s="9">
        <v>11590</v>
      </c>
    </row>
    <row r="14" spans="1:3" x14ac:dyDescent="0.25">
      <c r="A14" s="1">
        <v>38874</v>
      </c>
      <c r="B14" s="18">
        <v>3200</v>
      </c>
      <c r="C14" s="9">
        <v>4190</v>
      </c>
    </row>
    <row r="15" spans="1:3" x14ac:dyDescent="0.25">
      <c r="A15" s="1">
        <v>38877</v>
      </c>
      <c r="B15" s="18">
        <v>3100</v>
      </c>
      <c r="C15" s="9">
        <v>4290</v>
      </c>
    </row>
    <row r="16" spans="1:3" x14ac:dyDescent="0.25">
      <c r="A16" s="1">
        <v>38876</v>
      </c>
      <c r="B16" s="18">
        <v>3100</v>
      </c>
      <c r="C16" s="9">
        <v>3990</v>
      </c>
    </row>
    <row r="17" spans="1:3" x14ac:dyDescent="0.25">
      <c r="A17" s="1">
        <v>38875</v>
      </c>
      <c r="B17" s="18">
        <v>3200</v>
      </c>
      <c r="C17" s="9">
        <v>4290</v>
      </c>
    </row>
    <row r="18" spans="1:3" x14ac:dyDescent="0.25">
      <c r="A18" s="1">
        <v>6916</v>
      </c>
      <c r="B18" s="18">
        <v>3200</v>
      </c>
      <c r="C18" s="9">
        <v>4390</v>
      </c>
    </row>
    <row r="19" spans="1:3" x14ac:dyDescent="0.25">
      <c r="A19" s="17">
        <v>155552</v>
      </c>
      <c r="B19" s="18">
        <v>3100</v>
      </c>
      <c r="C19" s="9">
        <v>4290</v>
      </c>
    </row>
  </sheetData>
  <autoFilter ref="A2:C2" xr:uid="{59EDDE2C-3212-4051-A09D-B5AF2C82217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A6DB-7B0B-44A3-BCF0-A6110D752F58}">
  <sheetPr codeName="Лист2"/>
  <dimension ref="A1:B8"/>
  <sheetViews>
    <sheetView workbookViewId="0">
      <selection activeCell="B37" sqref="B37"/>
    </sheetView>
  </sheetViews>
  <sheetFormatPr defaultRowHeight="15" x14ac:dyDescent="0.25"/>
  <sheetData>
    <row r="1" spans="1:2" ht="15.75" thickBot="1" x14ac:dyDescent="0.3">
      <c r="A1" s="11">
        <v>0.1</v>
      </c>
      <c r="B1" s="13">
        <v>1.3</v>
      </c>
    </row>
    <row r="2" spans="1:2" ht="15.75" thickBot="1" x14ac:dyDescent="0.3">
      <c r="A2" s="12">
        <v>100</v>
      </c>
      <c r="B2" s="13">
        <v>1.3</v>
      </c>
    </row>
    <row r="3" spans="1:2" ht="15.75" thickBot="1" x14ac:dyDescent="0.3">
      <c r="A3" s="12">
        <v>300</v>
      </c>
      <c r="B3" s="13">
        <v>1.3</v>
      </c>
    </row>
    <row r="4" spans="1:2" ht="15.75" thickBot="1" x14ac:dyDescent="0.3">
      <c r="A4" s="12">
        <v>500</v>
      </c>
      <c r="B4" s="13">
        <v>1.3</v>
      </c>
    </row>
    <row r="5" spans="1:2" ht="15.75" thickBot="1" x14ac:dyDescent="0.3">
      <c r="A5" s="12">
        <v>1000</v>
      </c>
      <c r="B5" s="13">
        <v>1.3</v>
      </c>
    </row>
    <row r="6" spans="1:2" ht="15.75" thickBot="1" x14ac:dyDescent="0.3">
      <c r="A6" s="12">
        <v>2000</v>
      </c>
      <c r="B6" s="13">
        <v>1.3</v>
      </c>
    </row>
    <row r="7" spans="1:2" ht="15.75" thickBot="1" x14ac:dyDescent="0.3">
      <c r="A7" s="12">
        <v>5000</v>
      </c>
      <c r="B7" s="13">
        <v>1.3</v>
      </c>
    </row>
    <row r="8" spans="1:2" ht="15.75" thickBot="1" x14ac:dyDescent="0.3">
      <c r="A8" s="12">
        <v>10000</v>
      </c>
      <c r="B8" s="13">
        <v>1.3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D8B9-1B73-461A-83BD-C50064CEEE01}">
  <sheetPr codeName="Лист3">
    <outlinePr summaryBelow="0"/>
  </sheetPr>
  <dimension ref="A1:O22"/>
  <sheetViews>
    <sheetView showRuler="0" zoomScaleNormal="100" workbookViewId="0">
      <pane ySplit="1" topLeftCell="A17" activePane="bottomLeft" state="frozen"/>
      <selection pane="bottomLeft" activeCell="C21" sqref="C21"/>
    </sheetView>
  </sheetViews>
  <sheetFormatPr defaultRowHeight="15" x14ac:dyDescent="0.25"/>
  <cols>
    <col min="1" max="2" width="7.7109375" style="4" customWidth="1"/>
    <col min="3" max="3" width="33.28515625" style="4" customWidth="1"/>
    <col min="4" max="5" width="22.28515625" style="4" customWidth="1"/>
    <col min="6" max="6" width="33.28515625" style="4" customWidth="1"/>
    <col min="7" max="7" width="22.28515625" style="4" customWidth="1"/>
    <col min="8" max="11" width="11.140625" style="4" customWidth="1"/>
    <col min="12" max="12" width="5.5703125" style="4" customWidth="1"/>
    <col min="13" max="13" width="11.140625" style="4" customWidth="1"/>
    <col min="14" max="14" width="9.140625" style="4"/>
    <col min="15" max="15" width="11.85546875" style="4" customWidth="1"/>
    <col min="16" max="16384" width="9.140625" style="4"/>
  </cols>
  <sheetData>
    <row r="1" spans="1:15" s="5" customFormat="1" ht="45" x14ac:dyDescent="0.25">
      <c r="A1" s="63" t="s">
        <v>0</v>
      </c>
      <c r="B1" s="63" t="s">
        <v>49</v>
      </c>
      <c r="C1" s="63" t="s">
        <v>53</v>
      </c>
      <c r="D1" s="63" t="s">
        <v>54</v>
      </c>
      <c r="E1" s="63" t="s">
        <v>77</v>
      </c>
      <c r="F1" s="63" t="s">
        <v>78</v>
      </c>
      <c r="G1" s="63" t="s">
        <v>2</v>
      </c>
      <c r="H1" s="63" t="s">
        <v>9</v>
      </c>
      <c r="I1" s="63" t="s">
        <v>8</v>
      </c>
      <c r="J1" s="63" t="s">
        <v>55</v>
      </c>
      <c r="K1" s="63" t="s">
        <v>56</v>
      </c>
      <c r="L1" s="63" t="s">
        <v>103</v>
      </c>
      <c r="M1" s="63" t="s">
        <v>1</v>
      </c>
      <c r="N1" s="21"/>
      <c r="O1" s="21"/>
    </row>
    <row r="2" spans="1:15" ht="60" x14ac:dyDescent="0.25">
      <c r="A2" s="64">
        <v>163891</v>
      </c>
      <c r="B2" s="64">
        <v>155552</v>
      </c>
      <c r="C2" s="65" t="s">
        <v>83</v>
      </c>
      <c r="D2" s="65" t="s">
        <v>84</v>
      </c>
      <c r="E2" s="65"/>
      <c r="F2" s="65"/>
      <c r="G2" s="65" t="s">
        <v>5</v>
      </c>
      <c r="H2" s="66">
        <v>3100</v>
      </c>
      <c r="I2" s="66">
        <v>4290</v>
      </c>
      <c r="J2" s="65"/>
      <c r="K2" s="65" t="s">
        <v>3</v>
      </c>
      <c r="L2" s="65"/>
      <c r="M2" s="65"/>
      <c r="N2" s="21" t="str">
        <f>_xlfn.CONCAT(K2,IF(L2&lt;&gt;"",_xlfn.CONCAT("ск",L2),""))</f>
        <v>1</v>
      </c>
      <c r="O2" s="21" t="str">
        <f>INDEX(Кат!$H:$H,MATCH($A2,Кат!$A:$A,0))</f>
        <v>100 деталей</v>
      </c>
    </row>
    <row r="3" spans="1:15" ht="45" x14ac:dyDescent="0.25">
      <c r="A3" s="64">
        <v>163898</v>
      </c>
      <c r="B3" s="64">
        <v>38876</v>
      </c>
      <c r="C3" s="65" t="s">
        <v>57</v>
      </c>
      <c r="D3" s="65" t="s">
        <v>58</v>
      </c>
      <c r="E3" s="65"/>
      <c r="F3" s="65"/>
      <c r="G3" s="65" t="s">
        <v>5</v>
      </c>
      <c r="H3" s="66">
        <v>3100</v>
      </c>
      <c r="I3" s="66">
        <v>3990</v>
      </c>
      <c r="J3" s="65"/>
      <c r="K3" s="65" t="s">
        <v>3</v>
      </c>
      <c r="L3" s="65"/>
      <c r="M3" s="65"/>
      <c r="N3" s="21" t="str">
        <f t="shared" ref="N3:N22" si="0">_xlfn.CONCAT(K3,IF(L3&lt;&gt;"",_xlfn.CONCAT("ск",L3),""))</f>
        <v>1</v>
      </c>
      <c r="O3" s="21" t="str">
        <f>INDEX(Кат!$H:$H,MATCH($A3,Кат!$A:$A,0))</f>
        <v>100 деталей</v>
      </c>
    </row>
    <row r="4" spans="1:15" ht="45" x14ac:dyDescent="0.25">
      <c r="A4" s="64">
        <v>163897</v>
      </c>
      <c r="B4" s="64">
        <v>38877</v>
      </c>
      <c r="C4" s="65" t="s">
        <v>59</v>
      </c>
      <c r="D4" s="65" t="s">
        <v>58</v>
      </c>
      <c r="E4" s="65"/>
      <c r="F4" s="65"/>
      <c r="G4" s="65" t="s">
        <v>5</v>
      </c>
      <c r="H4" s="66">
        <v>3100</v>
      </c>
      <c r="I4" s="66">
        <v>4290</v>
      </c>
      <c r="J4" s="65"/>
      <c r="K4" s="65" t="s">
        <v>3</v>
      </c>
      <c r="L4" s="65"/>
      <c r="M4" s="65"/>
      <c r="N4" s="21" t="str">
        <f t="shared" si="0"/>
        <v>1</v>
      </c>
      <c r="O4" s="21" t="str">
        <f>INDEX(Кат!$H:$H,MATCH($A4,Кат!$A:$A,0))</f>
        <v>100 деталей</v>
      </c>
    </row>
    <row r="5" spans="1:15" ht="60" x14ac:dyDescent="0.25">
      <c r="A5" s="64">
        <v>163899</v>
      </c>
      <c r="B5" s="64">
        <v>38875</v>
      </c>
      <c r="C5" s="65" t="s">
        <v>60</v>
      </c>
      <c r="D5" s="65" t="s">
        <v>58</v>
      </c>
      <c r="E5" s="65"/>
      <c r="F5" s="65"/>
      <c r="G5" s="65" t="s">
        <v>5</v>
      </c>
      <c r="H5" s="66">
        <v>3200</v>
      </c>
      <c r="I5" s="66">
        <v>3890</v>
      </c>
      <c r="J5" s="65"/>
      <c r="K5" s="65" t="s">
        <v>3</v>
      </c>
      <c r="L5" s="65"/>
      <c r="M5" s="65"/>
      <c r="N5" s="21" t="str">
        <f t="shared" si="0"/>
        <v>1</v>
      </c>
      <c r="O5" s="21" t="str">
        <f>INDEX(Кат!$H:$H,MATCH($A5,Кат!$A:$A,0))</f>
        <v>100 деталей</v>
      </c>
    </row>
    <row r="6" spans="1:15" ht="45" x14ac:dyDescent="0.25">
      <c r="A6" s="64">
        <v>163870</v>
      </c>
      <c r="B6" s="64">
        <v>37217</v>
      </c>
      <c r="C6" s="65" t="s">
        <v>4</v>
      </c>
      <c r="D6" s="65" t="s">
        <v>58</v>
      </c>
      <c r="E6" s="65"/>
      <c r="F6" s="65"/>
      <c r="G6" s="65" t="s">
        <v>5</v>
      </c>
      <c r="H6" s="66"/>
      <c r="I6" s="66">
        <v>0</v>
      </c>
      <c r="J6" s="65"/>
      <c r="K6" s="65" t="s">
        <v>61</v>
      </c>
      <c r="L6" s="65"/>
      <c r="M6" s="65"/>
      <c r="N6" s="21" t="str">
        <f t="shared" si="0"/>
        <v>0</v>
      </c>
      <c r="O6" s="21" t="str">
        <f>INDEX(Кат!$H:$H,MATCH($A6,Кат!$A:$A,0))</f>
        <v>100 деталей</v>
      </c>
    </row>
    <row r="7" spans="1:15" ht="45" x14ac:dyDescent="0.25">
      <c r="A7" s="64">
        <v>163878</v>
      </c>
      <c r="B7" s="64">
        <v>30919</v>
      </c>
      <c r="C7" s="65" t="s">
        <v>6</v>
      </c>
      <c r="D7" s="65" t="s">
        <v>58</v>
      </c>
      <c r="E7" s="65"/>
      <c r="F7" s="65"/>
      <c r="G7" s="65" t="s">
        <v>5</v>
      </c>
      <c r="H7" s="66">
        <v>2400</v>
      </c>
      <c r="I7" s="66">
        <v>3090</v>
      </c>
      <c r="J7" s="65"/>
      <c r="K7" s="65" t="s">
        <v>3</v>
      </c>
      <c r="L7" s="65"/>
      <c r="M7" s="65"/>
      <c r="N7" s="21" t="str">
        <f t="shared" si="0"/>
        <v>1</v>
      </c>
      <c r="O7" s="21" t="str">
        <f>INDEX(Кат!$H:$H,MATCH($A7,Кат!$A:$A,0))</f>
        <v>100 деталей</v>
      </c>
    </row>
    <row r="8" spans="1:15" ht="60" x14ac:dyDescent="0.25">
      <c r="A8" s="64">
        <v>163896</v>
      </c>
      <c r="B8" s="64">
        <v>38874</v>
      </c>
      <c r="C8" s="65" t="s">
        <v>62</v>
      </c>
      <c r="D8" s="65" t="s">
        <v>58</v>
      </c>
      <c r="E8" s="65"/>
      <c r="F8" s="65"/>
      <c r="G8" s="65" t="s">
        <v>5</v>
      </c>
      <c r="H8" s="66">
        <v>3200</v>
      </c>
      <c r="I8" s="66">
        <v>4090</v>
      </c>
      <c r="J8" s="65"/>
      <c r="K8" s="65" t="s">
        <v>3</v>
      </c>
      <c r="L8" s="65"/>
      <c r="M8" s="65" t="s">
        <v>58</v>
      </c>
      <c r="N8" s="21" t="str">
        <f t="shared" si="0"/>
        <v>1</v>
      </c>
      <c r="O8" s="21" t="str">
        <f>INDEX(Кат!$H:$H,MATCH($A8,Кат!$A:$A,0))</f>
        <v>100 деталей</v>
      </c>
    </row>
    <row r="9" spans="1:15" ht="45" x14ac:dyDescent="0.25">
      <c r="A9" s="64">
        <v>163872</v>
      </c>
      <c r="B9" s="64">
        <v>37216</v>
      </c>
      <c r="C9" s="65" t="s">
        <v>63</v>
      </c>
      <c r="D9" s="65" t="s">
        <v>58</v>
      </c>
      <c r="E9" s="65"/>
      <c r="F9" s="65"/>
      <c r="G9" s="65" t="s">
        <v>5</v>
      </c>
      <c r="H9" s="66"/>
      <c r="I9" s="66">
        <v>0</v>
      </c>
      <c r="J9" s="65"/>
      <c r="K9" s="65" t="s">
        <v>61</v>
      </c>
      <c r="L9" s="65"/>
      <c r="M9" s="65"/>
      <c r="N9" s="21" t="str">
        <f t="shared" si="0"/>
        <v>0</v>
      </c>
      <c r="O9" s="21" t="str">
        <f>INDEX(Кат!$H:$H,MATCH($A9,Кат!$A:$A,0))</f>
        <v>100 деталей</v>
      </c>
    </row>
    <row r="10" spans="1:15" ht="30" x14ac:dyDescent="0.25">
      <c r="A10" s="64">
        <v>163871</v>
      </c>
      <c r="B10" s="64">
        <v>37218</v>
      </c>
      <c r="C10" s="65" t="s">
        <v>64</v>
      </c>
      <c r="D10" s="65" t="s">
        <v>58</v>
      </c>
      <c r="E10" s="65"/>
      <c r="F10" s="65"/>
      <c r="G10" s="65" t="s">
        <v>5</v>
      </c>
      <c r="H10" s="66"/>
      <c r="I10" s="66">
        <v>0</v>
      </c>
      <c r="J10" s="65"/>
      <c r="K10" s="65" t="s">
        <v>61</v>
      </c>
      <c r="L10" s="65"/>
      <c r="M10" s="65"/>
      <c r="N10" s="21" t="str">
        <f t="shared" si="0"/>
        <v>0</v>
      </c>
      <c r="O10" s="21" t="str">
        <f>INDEX(Кат!$H:$H,MATCH($A10,Кат!$A:$A,0))</f>
        <v>100 деталей</v>
      </c>
    </row>
    <row r="11" spans="1:15" ht="30" x14ac:dyDescent="0.25">
      <c r="A11" s="64">
        <v>163893</v>
      </c>
      <c r="B11" s="64">
        <v>38878</v>
      </c>
      <c r="C11" s="65" t="s">
        <v>65</v>
      </c>
      <c r="D11" s="65" t="s">
        <v>58</v>
      </c>
      <c r="E11" s="65"/>
      <c r="F11" s="65"/>
      <c r="G11" s="65" t="s">
        <v>5</v>
      </c>
      <c r="H11" s="66">
        <v>3800</v>
      </c>
      <c r="I11" s="66">
        <v>4690</v>
      </c>
      <c r="J11" s="65"/>
      <c r="K11" s="65" t="s">
        <v>3</v>
      </c>
      <c r="L11" s="65"/>
      <c r="M11" s="65"/>
      <c r="N11" s="21" t="str">
        <f t="shared" si="0"/>
        <v>1</v>
      </c>
      <c r="O11" s="21" t="str">
        <f>INDEX(Кат!$H:$H,MATCH($A11,Кат!$A:$A,0))</f>
        <v>100 деталей</v>
      </c>
    </row>
    <row r="12" spans="1:15" ht="30" x14ac:dyDescent="0.25">
      <c r="A12" s="64">
        <v>163892</v>
      </c>
      <c r="B12" s="64">
        <v>38879</v>
      </c>
      <c r="C12" s="65" t="s">
        <v>66</v>
      </c>
      <c r="D12" s="65" t="s">
        <v>58</v>
      </c>
      <c r="E12" s="65"/>
      <c r="F12" s="65"/>
      <c r="G12" s="65" t="s">
        <v>5</v>
      </c>
      <c r="H12" s="66">
        <v>4000</v>
      </c>
      <c r="I12" s="66">
        <v>5290</v>
      </c>
      <c r="J12" s="65"/>
      <c r="K12" s="65" t="s">
        <v>3</v>
      </c>
      <c r="L12" s="65"/>
      <c r="M12" s="65"/>
      <c r="N12" s="21" t="str">
        <f t="shared" si="0"/>
        <v>1</v>
      </c>
      <c r="O12" s="21" t="str">
        <f>INDEX(Кат!$H:$H,MATCH($A12,Кат!$A:$A,0))</f>
        <v>100 деталей</v>
      </c>
    </row>
    <row r="13" spans="1:15" ht="45" x14ac:dyDescent="0.25">
      <c r="A13" s="64">
        <v>163874</v>
      </c>
      <c r="B13" s="64">
        <v>816</v>
      </c>
      <c r="C13" s="65" t="s">
        <v>67</v>
      </c>
      <c r="D13" s="65" t="s">
        <v>58</v>
      </c>
      <c r="E13" s="65"/>
      <c r="F13" s="65"/>
      <c r="G13" s="65" t="s">
        <v>5</v>
      </c>
      <c r="H13" s="66">
        <v>3200</v>
      </c>
      <c r="I13" s="66">
        <v>3890</v>
      </c>
      <c r="J13" s="65"/>
      <c r="K13" s="65" t="s">
        <v>3</v>
      </c>
      <c r="L13" s="65"/>
      <c r="M13" s="65"/>
      <c r="N13" s="21" t="str">
        <f t="shared" si="0"/>
        <v>1</v>
      </c>
      <c r="O13" s="21" t="str">
        <f>INDEX(Кат!$H:$H,MATCH($A13,Кат!$A:$A,0))</f>
        <v>100 деталей</v>
      </c>
    </row>
    <row r="14" spans="1:15" ht="45" x14ac:dyDescent="0.25">
      <c r="A14" s="64">
        <v>163873</v>
      </c>
      <c r="B14" s="64">
        <v>819</v>
      </c>
      <c r="C14" s="65" t="s">
        <v>85</v>
      </c>
      <c r="D14" s="65" t="s">
        <v>58</v>
      </c>
      <c r="E14" s="65"/>
      <c r="F14" s="65"/>
      <c r="G14" s="65" t="s">
        <v>5</v>
      </c>
      <c r="H14" s="66">
        <v>3200</v>
      </c>
      <c r="I14" s="66">
        <v>3890</v>
      </c>
      <c r="J14" s="65"/>
      <c r="K14" s="65" t="s">
        <v>3</v>
      </c>
      <c r="L14" s="65" t="s">
        <v>7</v>
      </c>
      <c r="M14" s="65"/>
      <c r="N14" s="21" t="str">
        <f t="shared" si="0"/>
        <v>1ск4</v>
      </c>
      <c r="O14" s="21" t="str">
        <f>INDEX(Кат!$H:$H,MATCH($A14,Кат!$A:$A,0))</f>
        <v>100 деталей</v>
      </c>
    </row>
    <row r="15" spans="1:15" ht="45" x14ac:dyDescent="0.25">
      <c r="A15" s="64">
        <v>163875</v>
      </c>
      <c r="B15" s="64">
        <v>815</v>
      </c>
      <c r="C15" s="65" t="s">
        <v>68</v>
      </c>
      <c r="D15" s="65" t="s">
        <v>58</v>
      </c>
      <c r="E15" s="65"/>
      <c r="F15" s="65"/>
      <c r="G15" s="65" t="s">
        <v>5</v>
      </c>
      <c r="H15" s="66">
        <v>3200</v>
      </c>
      <c r="I15" s="66">
        <v>3890</v>
      </c>
      <c r="J15" s="65"/>
      <c r="K15" s="65" t="s">
        <v>3</v>
      </c>
      <c r="L15" s="65"/>
      <c r="M15" s="65"/>
      <c r="N15" s="21" t="str">
        <f t="shared" si="0"/>
        <v>1</v>
      </c>
      <c r="O15" s="21" t="str">
        <f>INDEX(Кат!$H:$H,MATCH($A15,Кат!$A:$A,0))</f>
        <v>100 деталей</v>
      </c>
    </row>
    <row r="16" spans="1:15" ht="45" x14ac:dyDescent="0.25">
      <c r="A16" s="64">
        <v>163876</v>
      </c>
      <c r="B16" s="64">
        <v>825</v>
      </c>
      <c r="C16" s="65" t="s">
        <v>69</v>
      </c>
      <c r="D16" s="65" t="s">
        <v>58</v>
      </c>
      <c r="E16" s="65"/>
      <c r="F16" s="65"/>
      <c r="G16" s="65" t="s">
        <v>5</v>
      </c>
      <c r="H16" s="66">
        <v>3200</v>
      </c>
      <c r="I16" s="66">
        <v>3890</v>
      </c>
      <c r="J16" s="65"/>
      <c r="K16" s="65" t="s">
        <v>3</v>
      </c>
      <c r="L16" s="65"/>
      <c r="M16" s="65"/>
      <c r="N16" s="21" t="str">
        <f t="shared" si="0"/>
        <v>1</v>
      </c>
      <c r="O16" s="21" t="str">
        <f>INDEX(Кат!$H:$H,MATCH($A16,Кат!$A:$A,0))</f>
        <v>100 деталей</v>
      </c>
    </row>
    <row r="17" spans="1:15" ht="45" x14ac:dyDescent="0.25">
      <c r="A17" s="64">
        <v>163894</v>
      </c>
      <c r="B17" s="64">
        <v>38880</v>
      </c>
      <c r="C17" s="65" t="s">
        <v>70</v>
      </c>
      <c r="D17" s="65" t="s">
        <v>58</v>
      </c>
      <c r="E17" s="65"/>
      <c r="F17" s="65"/>
      <c r="G17" s="65" t="s">
        <v>5</v>
      </c>
      <c r="H17" s="66">
        <v>9160</v>
      </c>
      <c r="I17" s="66">
        <v>11590</v>
      </c>
      <c r="J17" s="65"/>
      <c r="K17" s="65" t="s">
        <v>3</v>
      </c>
      <c r="L17" s="65"/>
      <c r="M17" s="65"/>
      <c r="N17" s="21" t="str">
        <f t="shared" si="0"/>
        <v>1</v>
      </c>
      <c r="O17" s="21" t="str">
        <f>INDEX(Кат!$H:$H,MATCH($A17,Кат!$A:$A,0))</f>
        <v>100 деталей</v>
      </c>
    </row>
    <row r="18" spans="1:15" ht="60" x14ac:dyDescent="0.25">
      <c r="A18" s="64">
        <v>163877</v>
      </c>
      <c r="B18" s="64">
        <v>810</v>
      </c>
      <c r="C18" s="65" t="s">
        <v>71</v>
      </c>
      <c r="D18" s="65" t="s">
        <v>58</v>
      </c>
      <c r="E18" s="65"/>
      <c r="F18" s="65"/>
      <c r="G18" s="65" t="s">
        <v>5</v>
      </c>
      <c r="H18" s="66">
        <v>3200</v>
      </c>
      <c r="I18" s="66">
        <v>3890</v>
      </c>
      <c r="J18" s="65"/>
      <c r="K18" s="65" t="s">
        <v>3</v>
      </c>
      <c r="L18" s="65"/>
      <c r="M18" s="65"/>
      <c r="N18" s="21" t="str">
        <f t="shared" si="0"/>
        <v>1</v>
      </c>
      <c r="O18" s="21" t="str">
        <f>INDEX(Кат!$H:$H,MATCH($A18,Кат!$A:$A,0))</f>
        <v>100 деталей</v>
      </c>
    </row>
    <row r="19" spans="1:15" ht="30" x14ac:dyDescent="0.25">
      <c r="A19" s="64">
        <v>163895</v>
      </c>
      <c r="B19" s="64">
        <v>38881</v>
      </c>
      <c r="C19" s="65" t="s">
        <v>72</v>
      </c>
      <c r="D19" s="65" t="s">
        <v>58</v>
      </c>
      <c r="E19" s="65"/>
      <c r="F19" s="65"/>
      <c r="G19" s="65" t="s">
        <v>5</v>
      </c>
      <c r="H19" s="66">
        <v>9160</v>
      </c>
      <c r="I19" s="66">
        <v>12290</v>
      </c>
      <c r="J19" s="65"/>
      <c r="K19" s="65" t="s">
        <v>3</v>
      </c>
      <c r="L19" s="65"/>
      <c r="M19" s="65"/>
      <c r="N19" s="21" t="str">
        <f t="shared" si="0"/>
        <v>1</v>
      </c>
      <c r="O19" s="21" t="str">
        <f>INDEX(Кат!$H:$H,MATCH($A19,Кат!$A:$A,0))</f>
        <v>100 деталей</v>
      </c>
    </row>
    <row r="20" spans="1:15" ht="45" x14ac:dyDescent="0.25">
      <c r="A20" s="64">
        <v>163879</v>
      </c>
      <c r="B20" s="64">
        <v>822</v>
      </c>
      <c r="C20" s="65" t="s">
        <v>73</v>
      </c>
      <c r="D20" s="65" t="s">
        <v>58</v>
      </c>
      <c r="E20" s="65"/>
      <c r="F20" s="65"/>
      <c r="G20" s="65" t="s">
        <v>5</v>
      </c>
      <c r="H20" s="66">
        <v>3200</v>
      </c>
      <c r="I20" s="66">
        <v>3890</v>
      </c>
      <c r="J20" s="65"/>
      <c r="K20" s="65" t="s">
        <v>3</v>
      </c>
      <c r="L20" s="65"/>
      <c r="M20" s="65"/>
      <c r="N20" s="21" t="str">
        <f t="shared" si="0"/>
        <v>1</v>
      </c>
      <c r="O20" s="21" t="str">
        <f>INDEX(Кат!$H:$H,MATCH($A20,Кат!$A:$A,0))</f>
        <v>100 деталей</v>
      </c>
    </row>
    <row r="21" spans="1:15" ht="60" x14ac:dyDescent="0.25">
      <c r="A21" s="64">
        <v>163842</v>
      </c>
      <c r="B21" s="64">
        <v>804</v>
      </c>
      <c r="C21" s="65" t="s">
        <v>74</v>
      </c>
      <c r="D21" s="65" t="s">
        <v>58</v>
      </c>
      <c r="E21" s="65"/>
      <c r="F21" s="65"/>
      <c r="G21" s="65" t="s">
        <v>5</v>
      </c>
      <c r="H21" s="66">
        <v>3400</v>
      </c>
      <c r="I21" s="66">
        <v>4190</v>
      </c>
      <c r="J21" s="65"/>
      <c r="K21" s="65" t="s">
        <v>3</v>
      </c>
      <c r="L21" s="65" t="s">
        <v>7</v>
      </c>
      <c r="M21" s="65"/>
      <c r="N21" s="21" t="str">
        <f t="shared" si="0"/>
        <v>1ск4</v>
      </c>
      <c r="O21" s="21" t="str">
        <f>INDEX(Кат!$H:$H,MATCH($A21,Кат!$A:$A,0))</f>
        <v>100 деталей</v>
      </c>
    </row>
    <row r="22" spans="1:15" ht="45" x14ac:dyDescent="0.25">
      <c r="A22" s="64">
        <v>163900</v>
      </c>
      <c r="B22" s="64">
        <v>6916</v>
      </c>
      <c r="C22" s="65" t="s">
        <v>75</v>
      </c>
      <c r="D22" s="65" t="s">
        <v>58</v>
      </c>
      <c r="E22" s="65"/>
      <c r="F22" s="65"/>
      <c r="G22" s="65" t="s">
        <v>5</v>
      </c>
      <c r="H22" s="66">
        <v>3200</v>
      </c>
      <c r="I22" s="66">
        <v>3890</v>
      </c>
      <c r="J22" s="65"/>
      <c r="K22" s="65" t="s">
        <v>3</v>
      </c>
      <c r="L22" s="65"/>
      <c r="M22" s="65"/>
      <c r="N22" s="21" t="str">
        <f t="shared" si="0"/>
        <v>1</v>
      </c>
      <c r="O22" s="21" t="str">
        <f>INDEX(Кат!$H:$H,MATCH($A22,Кат!$A:$A,0))</f>
        <v>100 деталей</v>
      </c>
    </row>
  </sheetData>
  <sheetProtection formatCells="0" formatColumns="0" formatRows="0" insertColumns="0" insertRows="0" insertHyperlinks="0" deleteColumns="0" deleteRows="0" sort="0" autoFilter="0" pivotTables="0"/>
  <autoFilter ref="A1:O22" xr:uid="{1F31B540-E9EE-4E86-8F06-BDD0C3ED1F26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929AB-E108-49DA-A419-46AD0403A2CB}">
  <sheetPr codeName="Лист4">
    <tabColor rgb="FF92D050"/>
  </sheetPr>
  <dimension ref="A1:E24"/>
  <sheetViews>
    <sheetView workbookViewId="0">
      <selection activeCell="A3" sqref="A3:E23"/>
    </sheetView>
  </sheetViews>
  <sheetFormatPr defaultRowHeight="15" x14ac:dyDescent="0.25"/>
  <cols>
    <col min="1" max="1" width="7" style="32" bestFit="1" customWidth="1"/>
    <col min="2" max="2" width="8.5703125" style="32" bestFit="1" customWidth="1"/>
    <col min="3" max="3" width="9.140625" style="34"/>
    <col min="4" max="4" width="8.5703125" style="32" bestFit="1" customWidth="1"/>
    <col min="5" max="5" width="6.5703125" style="36" bestFit="1" customWidth="1"/>
  </cols>
  <sheetData>
    <row r="1" spans="1:5" x14ac:dyDescent="0.25">
      <c r="B1" s="39"/>
      <c r="D1" s="53">
        <v>0</v>
      </c>
    </row>
    <row r="2" spans="1:5" x14ac:dyDescent="0.25">
      <c r="A2" s="14" t="s">
        <v>0</v>
      </c>
      <c r="B2" s="41" t="s">
        <v>46</v>
      </c>
      <c r="C2" s="42" t="s">
        <v>46</v>
      </c>
      <c r="D2" s="43" t="s">
        <v>86</v>
      </c>
      <c r="E2" s="43" t="s">
        <v>86</v>
      </c>
    </row>
    <row r="3" spans="1:5" x14ac:dyDescent="0.25">
      <c r="A3" s="44">
        <v>163870</v>
      </c>
      <c r="B3" s="16"/>
      <c r="D3" s="14"/>
      <c r="E3" s="2"/>
    </row>
    <row r="4" spans="1:5" x14ac:dyDescent="0.25">
      <c r="A4" s="44">
        <v>163871</v>
      </c>
      <c r="B4" s="16"/>
      <c r="D4" s="14"/>
      <c r="E4" s="2"/>
    </row>
    <row r="5" spans="1:5" x14ac:dyDescent="0.25">
      <c r="A5" s="44">
        <v>163872</v>
      </c>
      <c r="B5" s="16"/>
      <c r="D5" s="14"/>
      <c r="E5" s="15"/>
    </row>
    <row r="6" spans="1:5" ht="15.75" thickBot="1" x14ac:dyDescent="0.3">
      <c r="A6" s="44">
        <v>163878</v>
      </c>
      <c r="B6" s="51"/>
      <c r="D6" s="14"/>
      <c r="E6" s="48"/>
    </row>
    <row r="7" spans="1:5" ht="16.5" thickTop="1" thickBot="1" x14ac:dyDescent="0.3">
      <c r="A7" s="44">
        <v>163897</v>
      </c>
      <c r="B7" s="47">
        <v>4490</v>
      </c>
      <c r="C7" s="34" t="s">
        <v>24</v>
      </c>
      <c r="D7" s="14"/>
      <c r="E7" s="48"/>
    </row>
    <row r="8" spans="1:5" ht="16.5" thickTop="1" thickBot="1" x14ac:dyDescent="0.3">
      <c r="A8" s="44">
        <v>163898</v>
      </c>
      <c r="B8" s="47">
        <v>4190</v>
      </c>
      <c r="C8" s="34" t="s">
        <v>17</v>
      </c>
      <c r="D8" s="14"/>
      <c r="E8" s="49"/>
    </row>
    <row r="9" spans="1:5" ht="16.5" thickTop="1" thickBot="1" x14ac:dyDescent="0.3">
      <c r="A9" s="44">
        <v>163891</v>
      </c>
      <c r="B9" s="47">
        <v>4490</v>
      </c>
      <c r="C9" s="34" t="s">
        <v>27</v>
      </c>
      <c r="D9" s="14"/>
      <c r="E9" s="48"/>
    </row>
    <row r="10" spans="1:5" ht="16.5" thickTop="1" thickBot="1" x14ac:dyDescent="0.3">
      <c r="A10" s="44">
        <v>163873</v>
      </c>
      <c r="B10" s="47">
        <v>4590</v>
      </c>
      <c r="C10" s="34" t="s">
        <v>19</v>
      </c>
      <c r="D10" s="14">
        <v>3986</v>
      </c>
      <c r="E10" s="48" t="s">
        <v>92</v>
      </c>
    </row>
    <row r="11" spans="1:5" ht="16.5" thickTop="1" thickBot="1" x14ac:dyDescent="0.3">
      <c r="A11" s="44">
        <v>163874</v>
      </c>
      <c r="B11" s="47">
        <v>4390</v>
      </c>
      <c r="C11" s="34" t="s">
        <v>25</v>
      </c>
      <c r="D11" s="14">
        <v>4056</v>
      </c>
      <c r="E11" s="48" t="s">
        <v>93</v>
      </c>
    </row>
    <row r="12" spans="1:5" ht="16.5" thickTop="1" thickBot="1" x14ac:dyDescent="0.3">
      <c r="A12" s="44">
        <v>163875</v>
      </c>
      <c r="B12" s="47">
        <v>4590</v>
      </c>
      <c r="C12" s="34" t="s">
        <v>16</v>
      </c>
      <c r="D12" s="14">
        <v>3793</v>
      </c>
      <c r="E12" s="48" t="s">
        <v>94</v>
      </c>
    </row>
    <row r="13" spans="1:5" ht="16.5" thickTop="1" thickBot="1" x14ac:dyDescent="0.3">
      <c r="A13" s="44">
        <v>163876</v>
      </c>
      <c r="B13" s="47">
        <v>4390</v>
      </c>
      <c r="C13" s="34" t="s">
        <v>15</v>
      </c>
      <c r="D13" s="14">
        <v>4056</v>
      </c>
      <c r="E13" s="48" t="s">
        <v>95</v>
      </c>
    </row>
    <row r="14" spans="1:5" ht="16.5" thickTop="1" thickBot="1" x14ac:dyDescent="0.3">
      <c r="A14" s="44">
        <v>163877</v>
      </c>
      <c r="B14" s="47">
        <v>4390</v>
      </c>
      <c r="C14" s="34" t="s">
        <v>13</v>
      </c>
      <c r="D14" s="14">
        <v>3959</v>
      </c>
      <c r="E14" s="48" t="s">
        <v>96</v>
      </c>
    </row>
    <row r="15" spans="1:5" ht="16.5" thickTop="1" thickBot="1" x14ac:dyDescent="0.3">
      <c r="A15" s="44">
        <v>163879</v>
      </c>
      <c r="B15" s="47">
        <v>4590</v>
      </c>
      <c r="C15" s="34" t="s">
        <v>19</v>
      </c>
      <c r="D15" s="14">
        <v>4125</v>
      </c>
      <c r="E15" s="48" t="s">
        <v>97</v>
      </c>
    </row>
    <row r="16" spans="1:5" ht="16.5" thickTop="1" thickBot="1" x14ac:dyDescent="0.3">
      <c r="A16" s="44">
        <v>163896</v>
      </c>
      <c r="B16" s="47">
        <v>4590</v>
      </c>
      <c r="C16" s="34" t="s">
        <v>14</v>
      </c>
      <c r="D16" s="14">
        <v>4286</v>
      </c>
      <c r="E16" s="48" t="s">
        <v>98</v>
      </c>
    </row>
    <row r="17" spans="1:5" ht="16.5" thickTop="1" thickBot="1" x14ac:dyDescent="0.3">
      <c r="A17" s="44">
        <v>163899</v>
      </c>
      <c r="B17" s="47">
        <v>4490</v>
      </c>
      <c r="C17" s="34" t="s">
        <v>27</v>
      </c>
      <c r="D17" s="14">
        <v>4114</v>
      </c>
      <c r="E17" s="48" t="s">
        <v>91</v>
      </c>
    </row>
    <row r="18" spans="1:5" ht="16.5" thickTop="1" thickBot="1" x14ac:dyDescent="0.3">
      <c r="A18" s="44">
        <v>163900</v>
      </c>
      <c r="B18" s="47">
        <v>4590</v>
      </c>
      <c r="C18" s="34" t="s">
        <v>23</v>
      </c>
      <c r="D18" s="14">
        <v>4125</v>
      </c>
      <c r="E18" s="48" t="s">
        <v>99</v>
      </c>
    </row>
    <row r="19" spans="1:5" ht="16.5" thickTop="1" thickBot="1" x14ac:dyDescent="0.3">
      <c r="A19" s="44">
        <v>163842</v>
      </c>
      <c r="B19" s="47">
        <v>4890</v>
      </c>
      <c r="C19" s="34" t="s">
        <v>18</v>
      </c>
      <c r="D19" s="14">
        <v>3959</v>
      </c>
      <c r="E19" s="48" t="s">
        <v>100</v>
      </c>
    </row>
    <row r="20" spans="1:5" ht="16.5" thickTop="1" thickBot="1" x14ac:dyDescent="0.3">
      <c r="A20" s="44">
        <v>163893</v>
      </c>
      <c r="B20" s="47" t="s">
        <v>79</v>
      </c>
      <c r="C20" s="34" t="s">
        <v>26</v>
      </c>
      <c r="D20" s="14">
        <v>4541</v>
      </c>
      <c r="E20" s="48" t="s">
        <v>101</v>
      </c>
    </row>
    <row r="21" spans="1:5" ht="16.5" thickTop="1" thickBot="1" x14ac:dyDescent="0.3">
      <c r="A21" s="44">
        <v>163892</v>
      </c>
      <c r="B21" s="47">
        <v>5490</v>
      </c>
      <c r="C21" s="34" t="s">
        <v>21</v>
      </c>
      <c r="D21" s="14"/>
      <c r="E21" s="49"/>
    </row>
    <row r="22" spans="1:5" ht="15.75" thickTop="1" x14ac:dyDescent="0.25">
      <c r="A22" s="44">
        <v>163894</v>
      </c>
      <c r="B22" s="52">
        <v>11790</v>
      </c>
      <c r="C22" s="34" t="s">
        <v>20</v>
      </c>
      <c r="D22" s="14"/>
      <c r="E22" s="49"/>
    </row>
    <row r="23" spans="1:5" ht="15.75" thickBot="1" x14ac:dyDescent="0.3">
      <c r="A23" s="44">
        <v>163895</v>
      </c>
      <c r="B23" s="47">
        <v>12490</v>
      </c>
      <c r="C23" s="34" t="s">
        <v>22</v>
      </c>
      <c r="D23" s="14"/>
      <c r="E23" s="49"/>
    </row>
    <row r="24" spans="1:5" ht="15.75" thickTop="1" x14ac:dyDescent="0.25"/>
  </sheetData>
  <conditionalFormatting sqref="A3:A23">
    <cfRule type="expression" dxfId="1" priority="1">
      <formula>AND($O3=0,$N3=0)</formula>
    </cfRule>
  </conditionalFormatting>
  <hyperlinks>
    <hyperlink ref="E17" r:id="rId1" xr:uid="{38E631F4-16FE-49B2-9701-EEA97F17C220}"/>
    <hyperlink ref="E10" r:id="rId2" xr:uid="{40E55019-C79F-46FB-8F5C-23A32239052F}"/>
    <hyperlink ref="E11" r:id="rId3" xr:uid="{B3D42407-87C9-4E75-8DC2-F159E9536DB2}"/>
    <hyperlink ref="E12" r:id="rId4" xr:uid="{EEFA0D4F-93C0-4A37-ABBE-AC2A5993B5D1}"/>
    <hyperlink ref="E13" r:id="rId5" xr:uid="{CB92B0D2-B023-4FC9-938C-508009DE1658}"/>
    <hyperlink ref="E14" r:id="rId6" xr:uid="{6E64D50D-37EB-41F4-A7CE-4F4FF64385E7}"/>
    <hyperlink ref="E15" r:id="rId7" xr:uid="{3D4611CE-B753-44CF-AEF7-F3A652851E1B}"/>
    <hyperlink ref="E16" r:id="rId8" xr:uid="{52553986-3008-4991-B95B-A8449FAAF9BE}"/>
    <hyperlink ref="E18" r:id="rId9" xr:uid="{9D008A23-E20A-4459-8BC8-7B615A81515B}"/>
    <hyperlink ref="E19" r:id="rId10" xr:uid="{E6705880-08C6-4D6C-AC1F-B888C285BFBD}"/>
    <hyperlink ref="E20" r:id="rId11" xr:uid="{1AA71537-7130-45B4-9A8E-FE6005EF94B0}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5121" r:id="rId15" name="CommandButton1">
          <controlPr defaultSize="0" autoLine="0" r:id="rId16">
            <anchor moveWithCells="1">
              <from>
                <xdr:col>14</xdr:col>
                <xdr:colOff>266700</xdr:colOff>
                <xdr:row>1</xdr:row>
                <xdr:rowOff>19050</xdr:rowOff>
              </from>
              <to>
                <xdr:col>17</xdr:col>
                <xdr:colOff>581025</xdr:colOff>
                <xdr:row>4</xdr:row>
                <xdr:rowOff>0</xdr:rowOff>
              </to>
            </anchor>
          </controlPr>
        </control>
      </mc:Choice>
      <mc:Fallback>
        <control shapeId="5121" r:id="rId1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71C43-CD67-425F-B7DE-CA389A438BF6}">
  <sheetPr codeName="Лист6">
    <tabColor rgb="FF92D050"/>
  </sheetPr>
  <dimension ref="A1:T25"/>
  <sheetViews>
    <sheetView workbookViewId="0">
      <selection activeCell="C29" sqref="C29"/>
    </sheetView>
  </sheetViews>
  <sheetFormatPr defaultRowHeight="15" x14ac:dyDescent="0.25"/>
  <cols>
    <col min="1" max="1" width="12" bestFit="1" customWidth="1"/>
    <col min="2" max="2" width="11.140625" bestFit="1" customWidth="1"/>
    <col min="3" max="3" width="13.28515625" bestFit="1" customWidth="1"/>
    <col min="4" max="4" width="81.140625" bestFit="1" customWidth="1"/>
    <col min="5" max="5" width="11.140625" bestFit="1" customWidth="1"/>
    <col min="6" max="6" width="81.140625" bestFit="1" customWidth="1"/>
    <col min="7" max="9" width="11.140625" bestFit="1" customWidth="1"/>
    <col min="10" max="20" width="12.140625" bestFit="1" customWidth="1"/>
  </cols>
  <sheetData>
    <row r="1" spans="1:20" x14ac:dyDescent="0.25">
      <c r="A1" t="s">
        <v>28</v>
      </c>
      <c r="B1" t="s">
        <v>29</v>
      </c>
      <c r="C1" t="s">
        <v>30</v>
      </c>
      <c r="D1" t="s">
        <v>31</v>
      </c>
      <c r="E1" t="s">
        <v>105</v>
      </c>
      <c r="F1" t="s">
        <v>106</v>
      </c>
      <c r="G1" t="s">
        <v>107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47</v>
      </c>
      <c r="T1" t="s">
        <v>90</v>
      </c>
    </row>
    <row r="3" spans="1:20" x14ac:dyDescent="0.25">
      <c r="A3" t="s">
        <v>80</v>
      </c>
      <c r="B3" t="s">
        <v>81</v>
      </c>
      <c r="C3" t="s">
        <v>82</v>
      </c>
      <c r="D3" t="s">
        <v>48</v>
      </c>
    </row>
    <row r="4" spans="1:20" x14ac:dyDescent="0.25">
      <c r="B4" t="s">
        <v>0</v>
      </c>
      <c r="C4" t="s">
        <v>46</v>
      </c>
      <c r="D4" t="s">
        <v>46</v>
      </c>
      <c r="E4" t="s">
        <v>86</v>
      </c>
      <c r="F4" t="s">
        <v>86</v>
      </c>
      <c r="G4" t="s">
        <v>46</v>
      </c>
      <c r="H4" t="s">
        <v>86</v>
      </c>
    </row>
    <row r="5" spans="1:20" x14ac:dyDescent="0.25">
      <c r="A5" t="s">
        <v>5</v>
      </c>
      <c r="B5">
        <v>163870</v>
      </c>
      <c r="G5" t="s">
        <v>76</v>
      </c>
      <c r="H5" t="s">
        <v>76</v>
      </c>
    </row>
    <row r="6" spans="1:20" x14ac:dyDescent="0.25">
      <c r="A6" t="s">
        <v>5</v>
      </c>
      <c r="B6">
        <v>163871</v>
      </c>
      <c r="G6" t="s">
        <v>76</v>
      </c>
      <c r="H6" t="s">
        <v>76</v>
      </c>
    </row>
    <row r="7" spans="1:20" x14ac:dyDescent="0.25">
      <c r="A7" t="s">
        <v>5</v>
      </c>
      <c r="B7">
        <v>163872</v>
      </c>
      <c r="G7" t="s">
        <v>76</v>
      </c>
      <c r="H7" t="s">
        <v>76</v>
      </c>
    </row>
    <row r="8" spans="1:20" x14ac:dyDescent="0.25">
      <c r="A8" t="s">
        <v>5</v>
      </c>
      <c r="B8">
        <v>163878</v>
      </c>
      <c r="G8" t="s">
        <v>76</v>
      </c>
      <c r="H8" t="s">
        <v>76</v>
      </c>
    </row>
    <row r="9" spans="1:20" x14ac:dyDescent="0.25">
      <c r="A9" t="s">
        <v>5</v>
      </c>
      <c r="B9">
        <v>163897</v>
      </c>
      <c r="C9">
        <v>4490</v>
      </c>
      <c r="D9" t="s">
        <v>24</v>
      </c>
      <c r="G9">
        <v>4490</v>
      </c>
      <c r="H9" t="s">
        <v>76</v>
      </c>
    </row>
    <row r="10" spans="1:20" x14ac:dyDescent="0.25">
      <c r="A10" t="s">
        <v>5</v>
      </c>
      <c r="B10">
        <v>163898</v>
      </c>
      <c r="C10">
        <v>4190</v>
      </c>
      <c r="D10" t="s">
        <v>17</v>
      </c>
      <c r="G10">
        <v>4190</v>
      </c>
      <c r="H10" t="s">
        <v>76</v>
      </c>
    </row>
    <row r="11" spans="1:20" x14ac:dyDescent="0.25">
      <c r="A11" t="s">
        <v>5</v>
      </c>
      <c r="B11">
        <v>163891</v>
      </c>
      <c r="C11">
        <v>4490</v>
      </c>
      <c r="D11" t="s">
        <v>27</v>
      </c>
      <c r="G11">
        <v>4490</v>
      </c>
      <c r="H11" t="s">
        <v>76</v>
      </c>
    </row>
    <row r="12" spans="1:20" x14ac:dyDescent="0.25">
      <c r="A12" t="s">
        <v>5</v>
      </c>
      <c r="B12">
        <v>163873</v>
      </c>
      <c r="C12">
        <v>4590</v>
      </c>
      <c r="D12" t="s">
        <v>19</v>
      </c>
      <c r="E12">
        <v>3986</v>
      </c>
      <c r="F12" t="s">
        <v>92</v>
      </c>
      <c r="G12">
        <v>4590</v>
      </c>
      <c r="H12">
        <v>3951</v>
      </c>
    </row>
    <row r="13" spans="1:20" x14ac:dyDescent="0.25">
      <c r="A13" t="s">
        <v>5</v>
      </c>
      <c r="B13">
        <v>163874</v>
      </c>
      <c r="C13">
        <v>4390</v>
      </c>
      <c r="D13" t="s">
        <v>25</v>
      </c>
      <c r="E13">
        <v>4056</v>
      </c>
      <c r="F13" t="s">
        <v>93</v>
      </c>
      <c r="G13">
        <v>4390</v>
      </c>
      <c r="H13">
        <v>3991</v>
      </c>
    </row>
    <row r="14" spans="1:20" x14ac:dyDescent="0.25">
      <c r="A14" t="s">
        <v>5</v>
      </c>
      <c r="B14">
        <v>163875</v>
      </c>
      <c r="C14">
        <v>4590</v>
      </c>
      <c r="D14" t="s">
        <v>16</v>
      </c>
      <c r="E14">
        <v>3793</v>
      </c>
      <c r="F14" t="s">
        <v>94</v>
      </c>
      <c r="G14">
        <v>4590</v>
      </c>
      <c r="H14">
        <v>3824</v>
      </c>
    </row>
    <row r="15" spans="1:20" x14ac:dyDescent="0.25">
      <c r="A15" t="s">
        <v>5</v>
      </c>
      <c r="B15">
        <v>163876</v>
      </c>
      <c r="C15">
        <v>4390</v>
      </c>
      <c r="D15" t="s">
        <v>15</v>
      </c>
      <c r="E15">
        <v>4056</v>
      </c>
      <c r="F15" t="s">
        <v>95</v>
      </c>
      <c r="G15">
        <v>4590</v>
      </c>
      <c r="H15">
        <v>4012</v>
      </c>
    </row>
    <row r="16" spans="1:20" x14ac:dyDescent="0.25">
      <c r="A16" t="s">
        <v>5</v>
      </c>
      <c r="B16">
        <v>163877</v>
      </c>
      <c r="C16">
        <v>4390</v>
      </c>
      <c r="D16" t="s">
        <v>13</v>
      </c>
      <c r="E16">
        <v>3959</v>
      </c>
      <c r="F16" t="s">
        <v>96</v>
      </c>
      <c r="G16">
        <v>4390</v>
      </c>
      <c r="H16">
        <v>3984</v>
      </c>
    </row>
    <row r="17" spans="1:8" x14ac:dyDescent="0.25">
      <c r="A17" t="s">
        <v>5</v>
      </c>
      <c r="B17">
        <v>163879</v>
      </c>
      <c r="C17">
        <v>4590</v>
      </c>
      <c r="D17" t="s">
        <v>19</v>
      </c>
      <c r="E17">
        <v>4125</v>
      </c>
      <c r="F17" t="s">
        <v>97</v>
      </c>
      <c r="G17">
        <v>4590</v>
      </c>
      <c r="H17">
        <v>4060</v>
      </c>
    </row>
    <row r="18" spans="1:8" x14ac:dyDescent="0.25">
      <c r="A18" t="s">
        <v>5</v>
      </c>
      <c r="B18">
        <v>163896</v>
      </c>
      <c r="C18">
        <v>4590</v>
      </c>
      <c r="D18" t="s">
        <v>14</v>
      </c>
      <c r="E18">
        <v>4286</v>
      </c>
      <c r="F18" t="s">
        <v>98</v>
      </c>
      <c r="G18">
        <v>4590</v>
      </c>
      <c r="H18">
        <v>4213</v>
      </c>
    </row>
    <row r="19" spans="1:8" x14ac:dyDescent="0.25">
      <c r="A19" t="s">
        <v>5</v>
      </c>
      <c r="B19">
        <v>163899</v>
      </c>
      <c r="C19">
        <v>4490</v>
      </c>
      <c r="D19" t="s">
        <v>27</v>
      </c>
      <c r="E19">
        <v>4114</v>
      </c>
      <c r="F19" t="s">
        <v>91</v>
      </c>
      <c r="G19">
        <v>4490</v>
      </c>
      <c r="H19">
        <v>4052</v>
      </c>
    </row>
    <row r="20" spans="1:8" x14ac:dyDescent="0.25">
      <c r="A20" t="s">
        <v>5</v>
      </c>
      <c r="B20">
        <v>163900</v>
      </c>
      <c r="C20">
        <v>4590</v>
      </c>
      <c r="D20" t="s">
        <v>23</v>
      </c>
      <c r="E20">
        <v>4125</v>
      </c>
      <c r="F20" t="s">
        <v>99</v>
      </c>
      <c r="G20">
        <v>4590</v>
      </c>
      <c r="H20">
        <v>4060</v>
      </c>
    </row>
    <row r="21" spans="1:8" x14ac:dyDescent="0.25">
      <c r="A21" t="s">
        <v>5</v>
      </c>
      <c r="B21">
        <v>163842</v>
      </c>
      <c r="C21">
        <v>4890</v>
      </c>
      <c r="D21" t="s">
        <v>18</v>
      </c>
      <c r="E21">
        <v>3959</v>
      </c>
      <c r="F21" t="s">
        <v>100</v>
      </c>
      <c r="G21">
        <v>4890</v>
      </c>
      <c r="H21">
        <v>3984</v>
      </c>
    </row>
    <row r="22" spans="1:8" x14ac:dyDescent="0.25">
      <c r="A22" t="s">
        <v>5</v>
      </c>
      <c r="B22">
        <v>163893</v>
      </c>
      <c r="C22" t="s">
        <v>79</v>
      </c>
      <c r="D22" t="s">
        <v>26</v>
      </c>
      <c r="E22">
        <v>4541</v>
      </c>
      <c r="F22" t="s">
        <v>101</v>
      </c>
      <c r="G22">
        <v>4490</v>
      </c>
      <c r="H22">
        <v>4502</v>
      </c>
    </row>
    <row r="23" spans="1:8" x14ac:dyDescent="0.25">
      <c r="A23" t="s">
        <v>5</v>
      </c>
      <c r="B23">
        <v>163892</v>
      </c>
      <c r="C23">
        <v>5490</v>
      </c>
      <c r="D23" t="s">
        <v>21</v>
      </c>
      <c r="G23">
        <v>5490</v>
      </c>
      <c r="H23" t="s">
        <v>76</v>
      </c>
    </row>
    <row r="24" spans="1:8" x14ac:dyDescent="0.25">
      <c r="A24" t="s">
        <v>5</v>
      </c>
      <c r="B24">
        <v>163894</v>
      </c>
      <c r="C24">
        <v>11790</v>
      </c>
      <c r="D24" t="s">
        <v>20</v>
      </c>
      <c r="G24">
        <v>11790</v>
      </c>
      <c r="H24" t="s">
        <v>76</v>
      </c>
    </row>
    <row r="25" spans="1:8" x14ac:dyDescent="0.25">
      <c r="A25" t="s">
        <v>5</v>
      </c>
      <c r="B25">
        <v>163895</v>
      </c>
      <c r="C25">
        <v>12490</v>
      </c>
      <c r="D25" t="s">
        <v>22</v>
      </c>
      <c r="G25">
        <v>12490</v>
      </c>
      <c r="H25" t="s">
        <v>76</v>
      </c>
    </row>
  </sheetData>
  <phoneticPr fontId="3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C2DA79-D59E-423E-9200-9A99853EA6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Кат</vt:lpstr>
      <vt:lpstr>Импорт</vt:lpstr>
      <vt:lpstr>Наценка</vt:lpstr>
      <vt:lpstr>Выгр Кат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Алексей Тонких</dc:creator>
  <cp:lastModifiedBy>Snab TimeTurbo</cp:lastModifiedBy>
  <dcterms:created xsi:type="dcterms:W3CDTF">2023-09-22T05:02:39Z</dcterms:created>
  <dcterms:modified xsi:type="dcterms:W3CDTF">2024-07-29T13:52:13Z</dcterms:modified>
</cp:coreProperties>
</file>