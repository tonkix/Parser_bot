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00000000-0000-0000-0000-0000000000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min\tonk1x\TT data\Прайс-листы\"/>
    </mc:Choice>
  </mc:AlternateContent>
  <xr:revisionPtr revIDLastSave="0" documentId="13_ncr:1_{EDEFEF4C-8C38-433C-8C16-D6E0142CDF2C}" xr6:coauthVersionLast="47" xr6:coauthVersionMax="47" xr10:uidLastSave="{00000000-0000-0000-0000-000000000000}"/>
  <bookViews>
    <workbookView xWindow="28680" yWindow="-120" windowWidth="29040" windowHeight="15990" activeTab="1" xr2:uid="{00000000-000D-0000-FFFF-FFFF00000000}"/>
  </bookViews>
  <sheets>
    <sheet name="Кат" sheetId="1" r:id="rId1"/>
    <sheet name="Торг" sheetId="3" r:id="rId2"/>
    <sheet name="Наценка" sheetId="5" r:id="rId3"/>
    <sheet name="Выгр Кат" sheetId="2" r:id="rId4"/>
    <sheet name="Выгр Торг" sheetId="4" r:id="rId5"/>
    <sheet name="Ссылки" sheetId="6" r:id="rId6"/>
    <sheet name="Из ГУГЛа" sheetId="7" r:id="rId7"/>
  </sheets>
  <definedNames>
    <definedName name="_xlnm._FilterDatabase" localSheetId="3" hidden="1">'Выгр Кат'!$A$1:$O$53</definedName>
    <definedName name="_xlnm._FilterDatabase" localSheetId="4" hidden="1">'Выгр Торг'!$A$1:$Q$23</definedName>
    <definedName name="_xlnm._FilterDatabase" localSheetId="0" hidden="1">Кат!$A$2:$X$54</definedName>
    <definedName name="_xlnm._FilterDatabase" localSheetId="1" hidden="1">Торг!$A$2:$Y$24</definedName>
    <definedName name="ExternalData_1" localSheetId="6" hidden="1">'Из ГУГЛа'!$A$1:$T$550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5" i="1" l="1"/>
  <c r="K52" i="1"/>
  <c r="R53" i="1"/>
  <c r="N53" i="1"/>
  <c r="M53" i="1"/>
  <c r="I53" i="1" s="1"/>
  <c r="F53" i="1"/>
  <c r="D53" i="1"/>
  <c r="C53" i="1"/>
  <c r="B53" i="1"/>
  <c r="R52" i="1"/>
  <c r="N52" i="1"/>
  <c r="M52" i="1"/>
  <c r="F52" i="1"/>
  <c r="D52" i="1"/>
  <c r="C52" i="1"/>
  <c r="B52" i="1"/>
  <c r="R51" i="1"/>
  <c r="N51" i="1"/>
  <c r="M51" i="1"/>
  <c r="I51" i="1" s="1"/>
  <c r="F51" i="1"/>
  <c r="D51" i="1"/>
  <c r="C51" i="1"/>
  <c r="B51" i="1"/>
  <c r="O53" i="2"/>
  <c r="N53" i="2"/>
  <c r="O52" i="2"/>
  <c r="N52" i="2"/>
  <c r="E51" i="1" s="1"/>
  <c r="K33" i="1"/>
  <c r="K32" i="1"/>
  <c r="K27" i="1"/>
  <c r="K24" i="1"/>
  <c r="K23" i="1"/>
  <c r="K22" i="1"/>
  <c r="K21" i="1"/>
  <c r="K40" i="1"/>
  <c r="K49" i="1"/>
  <c r="K50" i="1"/>
  <c r="L24" i="3"/>
  <c r="K64" i="1"/>
  <c r="K63" i="1"/>
  <c r="K62" i="1"/>
  <c r="K61" i="1"/>
  <c r="K60" i="1"/>
  <c r="K59" i="1"/>
  <c r="K58" i="1"/>
  <c r="K57" i="1"/>
  <c r="L9" i="3"/>
  <c r="L8" i="3"/>
  <c r="L7" i="3"/>
  <c r="L6" i="3"/>
  <c r="L3" i="3"/>
  <c r="L4" i="3"/>
  <c r="L5" i="3"/>
  <c r="L27" i="3"/>
  <c r="L28" i="3"/>
  <c r="L35" i="3"/>
  <c r="L34" i="3"/>
  <c r="L33" i="3"/>
  <c r="L32" i="3"/>
  <c r="L31" i="3"/>
  <c r="L30" i="3"/>
  <c r="L29" i="3"/>
  <c r="X13" i="1"/>
  <c r="K13" i="1" s="1"/>
  <c r="W51" i="1" l="1"/>
  <c r="J51" i="1"/>
  <c r="W53" i="1"/>
  <c r="J53" i="1"/>
  <c r="O51" i="1"/>
  <c r="I52" i="1"/>
  <c r="O53" i="1"/>
  <c r="H1" i="1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3" i="3"/>
  <c r="R4" i="1"/>
  <c r="R5" i="1"/>
  <c r="W5" i="1"/>
  <c r="R6" i="1"/>
  <c r="R7" i="1"/>
  <c r="R8" i="1"/>
  <c r="R9" i="1"/>
  <c r="W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W45" i="1"/>
  <c r="R46" i="1"/>
  <c r="R47" i="1"/>
  <c r="R48" i="1"/>
  <c r="R49" i="1"/>
  <c r="R50" i="1"/>
  <c r="R54" i="1"/>
  <c r="R3" i="1"/>
  <c r="W3" i="1"/>
  <c r="A7" i="3"/>
  <c r="C7" i="3"/>
  <c r="D7" i="3"/>
  <c r="E7" i="3"/>
  <c r="G7" i="3"/>
  <c r="N7" i="3"/>
  <c r="O7" i="3"/>
  <c r="A8" i="3"/>
  <c r="C8" i="3"/>
  <c r="D8" i="3"/>
  <c r="E8" i="3"/>
  <c r="G8" i="3"/>
  <c r="N8" i="3"/>
  <c r="J8" i="3" s="1"/>
  <c r="X8" i="3" s="1"/>
  <c r="O8" i="3"/>
  <c r="A9" i="3"/>
  <c r="C9" i="3"/>
  <c r="D9" i="3"/>
  <c r="E9" i="3"/>
  <c r="G9" i="3"/>
  <c r="N9" i="3"/>
  <c r="O9" i="3"/>
  <c r="A10" i="3"/>
  <c r="C10" i="3"/>
  <c r="D10" i="3"/>
  <c r="E10" i="3"/>
  <c r="G10" i="3"/>
  <c r="N10" i="3"/>
  <c r="J10" i="3" s="1"/>
  <c r="X10" i="3" s="1"/>
  <c r="O10" i="3"/>
  <c r="A11" i="3"/>
  <c r="C11" i="3"/>
  <c r="D11" i="3"/>
  <c r="E11" i="3"/>
  <c r="G11" i="3"/>
  <c r="N11" i="3"/>
  <c r="O11" i="3"/>
  <c r="A12" i="3"/>
  <c r="C12" i="3"/>
  <c r="D12" i="3"/>
  <c r="E12" i="3"/>
  <c r="G12" i="3"/>
  <c r="N12" i="3"/>
  <c r="J12" i="3" s="1"/>
  <c r="X12" i="3" s="1"/>
  <c r="O12" i="3"/>
  <c r="A13" i="3"/>
  <c r="C13" i="3"/>
  <c r="D13" i="3"/>
  <c r="E13" i="3"/>
  <c r="G13" i="3"/>
  <c r="N13" i="3"/>
  <c r="O13" i="3"/>
  <c r="A14" i="3"/>
  <c r="C14" i="3"/>
  <c r="D14" i="3"/>
  <c r="E14" i="3"/>
  <c r="G14" i="3"/>
  <c r="N14" i="3"/>
  <c r="J14" i="3" s="1"/>
  <c r="X14" i="3" s="1"/>
  <c r="O14" i="3"/>
  <c r="A15" i="3"/>
  <c r="C15" i="3"/>
  <c r="D15" i="3"/>
  <c r="E15" i="3"/>
  <c r="G15" i="3"/>
  <c r="N15" i="3"/>
  <c r="O15" i="3"/>
  <c r="A16" i="3"/>
  <c r="C16" i="3"/>
  <c r="D16" i="3"/>
  <c r="E16" i="3"/>
  <c r="G16" i="3"/>
  <c r="N16" i="3"/>
  <c r="J16" i="3" s="1"/>
  <c r="X16" i="3" s="1"/>
  <c r="O16" i="3"/>
  <c r="A17" i="3"/>
  <c r="C17" i="3"/>
  <c r="D17" i="3"/>
  <c r="E17" i="3"/>
  <c r="G17" i="3"/>
  <c r="N17" i="3"/>
  <c r="O17" i="3"/>
  <c r="A18" i="3"/>
  <c r="C18" i="3"/>
  <c r="D18" i="3"/>
  <c r="E18" i="3"/>
  <c r="G18" i="3"/>
  <c r="N18" i="3"/>
  <c r="J18" i="3" s="1"/>
  <c r="X18" i="3" s="1"/>
  <c r="O18" i="3"/>
  <c r="A19" i="3"/>
  <c r="C19" i="3"/>
  <c r="D19" i="3"/>
  <c r="E19" i="3"/>
  <c r="G19" i="3"/>
  <c r="N19" i="3"/>
  <c r="O19" i="3"/>
  <c r="A20" i="3"/>
  <c r="C20" i="3"/>
  <c r="D20" i="3"/>
  <c r="E20" i="3"/>
  <c r="G20" i="3"/>
  <c r="N20" i="3"/>
  <c r="J20" i="3" s="1"/>
  <c r="X20" i="3" s="1"/>
  <c r="O20" i="3"/>
  <c r="A21" i="3"/>
  <c r="C21" i="3"/>
  <c r="D21" i="3"/>
  <c r="E21" i="3"/>
  <c r="G21" i="3"/>
  <c r="N21" i="3"/>
  <c r="O21" i="3"/>
  <c r="A22" i="3"/>
  <c r="C22" i="3"/>
  <c r="D22" i="3"/>
  <c r="E22" i="3"/>
  <c r="G22" i="3"/>
  <c r="N22" i="3"/>
  <c r="J22" i="3" s="1"/>
  <c r="X22" i="3" s="1"/>
  <c r="O22" i="3"/>
  <c r="A23" i="3"/>
  <c r="C23" i="3"/>
  <c r="D23" i="3"/>
  <c r="E23" i="3"/>
  <c r="G23" i="3"/>
  <c r="N23" i="3"/>
  <c r="O23" i="3"/>
  <c r="A24" i="3"/>
  <c r="C24" i="3"/>
  <c r="D24" i="3"/>
  <c r="E24" i="3"/>
  <c r="G24" i="3"/>
  <c r="N24" i="3"/>
  <c r="J24" i="3" s="1"/>
  <c r="X24" i="3" s="1"/>
  <c r="O24" i="3"/>
  <c r="A6" i="3"/>
  <c r="C6" i="3"/>
  <c r="D6" i="3"/>
  <c r="E6" i="3"/>
  <c r="G6" i="3"/>
  <c r="N6" i="3"/>
  <c r="O6" i="3"/>
  <c r="B37" i="1"/>
  <c r="C37" i="1"/>
  <c r="D37" i="1"/>
  <c r="F37" i="1"/>
  <c r="M37" i="1"/>
  <c r="N37" i="1"/>
  <c r="B38" i="1"/>
  <c r="C38" i="1"/>
  <c r="D38" i="1"/>
  <c r="F38" i="1"/>
  <c r="M38" i="1"/>
  <c r="N38" i="1"/>
  <c r="B39" i="1"/>
  <c r="C39" i="1"/>
  <c r="D39" i="1"/>
  <c r="F39" i="1"/>
  <c r="M39" i="1"/>
  <c r="N39" i="1"/>
  <c r="B40" i="1"/>
  <c r="C40" i="1"/>
  <c r="D40" i="1"/>
  <c r="F40" i="1"/>
  <c r="M40" i="1"/>
  <c r="I40" i="1" s="1"/>
  <c r="J40" i="1" s="1"/>
  <c r="L40" i="1" s="1"/>
  <c r="Q40" i="1" s="1"/>
  <c r="U40" i="1" s="1"/>
  <c r="N40" i="1"/>
  <c r="B41" i="1"/>
  <c r="C41" i="1"/>
  <c r="D41" i="1"/>
  <c r="F41" i="1"/>
  <c r="M41" i="1"/>
  <c r="I41" i="1" s="1"/>
  <c r="W41" i="1" s="1"/>
  <c r="N41" i="1"/>
  <c r="B42" i="1"/>
  <c r="C42" i="1"/>
  <c r="D42" i="1"/>
  <c r="F42" i="1"/>
  <c r="M42" i="1"/>
  <c r="I42" i="1" s="1"/>
  <c r="W42" i="1" s="1"/>
  <c r="N42" i="1"/>
  <c r="B43" i="1"/>
  <c r="C43" i="1"/>
  <c r="D43" i="1"/>
  <c r="F43" i="1"/>
  <c r="M43" i="1"/>
  <c r="I43" i="1" s="1"/>
  <c r="J43" i="1" s="1"/>
  <c r="K43" i="1" s="1"/>
  <c r="L43" i="1" s="1"/>
  <c r="Q43" i="1" s="1"/>
  <c r="N43" i="1"/>
  <c r="B44" i="1"/>
  <c r="C44" i="1"/>
  <c r="D44" i="1"/>
  <c r="F44" i="1"/>
  <c r="M44" i="1"/>
  <c r="I44" i="1" s="1"/>
  <c r="W44" i="1" s="1"/>
  <c r="N44" i="1"/>
  <c r="B45" i="1"/>
  <c r="C45" i="1"/>
  <c r="D45" i="1"/>
  <c r="F45" i="1"/>
  <c r="M45" i="1"/>
  <c r="I45" i="1" s="1"/>
  <c r="N45" i="1"/>
  <c r="B46" i="1"/>
  <c r="C46" i="1"/>
  <c r="D46" i="1"/>
  <c r="F46" i="1"/>
  <c r="M46" i="1"/>
  <c r="N46" i="1"/>
  <c r="B47" i="1"/>
  <c r="C47" i="1"/>
  <c r="D47" i="1"/>
  <c r="F47" i="1"/>
  <c r="M47" i="1"/>
  <c r="I47" i="1" s="1"/>
  <c r="W47" i="1" s="1"/>
  <c r="N47" i="1"/>
  <c r="B48" i="1"/>
  <c r="C48" i="1"/>
  <c r="D48" i="1"/>
  <c r="F48" i="1"/>
  <c r="M48" i="1"/>
  <c r="N48" i="1"/>
  <c r="B49" i="1"/>
  <c r="C49" i="1"/>
  <c r="D49" i="1"/>
  <c r="F49" i="1"/>
  <c r="M49" i="1"/>
  <c r="N49" i="1"/>
  <c r="B50" i="1"/>
  <c r="C50" i="1"/>
  <c r="D50" i="1"/>
  <c r="F50" i="1"/>
  <c r="M50" i="1"/>
  <c r="N50" i="1"/>
  <c r="B54" i="1"/>
  <c r="C54" i="1"/>
  <c r="D54" i="1"/>
  <c r="F54" i="1"/>
  <c r="M54" i="1"/>
  <c r="N54" i="1"/>
  <c r="B36" i="1"/>
  <c r="C36" i="1"/>
  <c r="D36" i="1"/>
  <c r="F36" i="1"/>
  <c r="M36" i="1"/>
  <c r="N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M14" i="1"/>
  <c r="M26" i="1"/>
  <c r="A4" i="3"/>
  <c r="A5" i="3"/>
  <c r="A3" i="3"/>
  <c r="C5" i="3"/>
  <c r="C4" i="3"/>
  <c r="C3" i="3"/>
  <c r="O4" i="3"/>
  <c r="O5" i="3"/>
  <c r="P5" i="4"/>
  <c r="F9" i="3" s="1"/>
  <c r="P6" i="4"/>
  <c r="P7" i="4"/>
  <c r="P8" i="4"/>
  <c r="P9" i="4"/>
  <c r="F10" i="3" s="1"/>
  <c r="P10" i="4"/>
  <c r="F11" i="3" s="1"/>
  <c r="P11" i="4"/>
  <c r="F12" i="3" s="1"/>
  <c r="P12" i="4"/>
  <c r="F13" i="3" s="1"/>
  <c r="P13" i="4"/>
  <c r="F14" i="3" s="1"/>
  <c r="P14" i="4"/>
  <c r="F15" i="3" s="1"/>
  <c r="P15" i="4"/>
  <c r="F16" i="3" s="1"/>
  <c r="P16" i="4"/>
  <c r="F17" i="3" s="1"/>
  <c r="P17" i="4"/>
  <c r="F18" i="3" s="1"/>
  <c r="P18" i="4"/>
  <c r="F19" i="3" s="1"/>
  <c r="P19" i="4"/>
  <c r="F20" i="3" s="1"/>
  <c r="P20" i="4"/>
  <c r="F21" i="3" s="1"/>
  <c r="P21" i="4"/>
  <c r="F22" i="3" s="1"/>
  <c r="P22" i="4"/>
  <c r="F23" i="3" s="1"/>
  <c r="P23" i="4"/>
  <c r="F24" i="3" s="1"/>
  <c r="C3" i="1"/>
  <c r="D3" i="1"/>
  <c r="F3" i="1"/>
  <c r="C4" i="1"/>
  <c r="D4" i="1"/>
  <c r="F4" i="1"/>
  <c r="C5" i="1"/>
  <c r="D5" i="1"/>
  <c r="F5" i="1"/>
  <c r="C6" i="1"/>
  <c r="D6" i="1"/>
  <c r="F6" i="1"/>
  <c r="C7" i="1"/>
  <c r="D7" i="1"/>
  <c r="F7" i="1"/>
  <c r="C8" i="1"/>
  <c r="D8" i="1"/>
  <c r="F8" i="1"/>
  <c r="C9" i="1"/>
  <c r="D9" i="1"/>
  <c r="F9" i="1"/>
  <c r="C11" i="1"/>
  <c r="D11" i="1"/>
  <c r="F11" i="1"/>
  <c r="C12" i="1"/>
  <c r="D12" i="1"/>
  <c r="F12" i="1"/>
  <c r="C13" i="1"/>
  <c r="D13" i="1"/>
  <c r="F13" i="1"/>
  <c r="C15" i="1"/>
  <c r="D15" i="1"/>
  <c r="F15" i="1"/>
  <c r="C16" i="1"/>
  <c r="D16" i="1"/>
  <c r="F16" i="1"/>
  <c r="C17" i="1"/>
  <c r="D17" i="1"/>
  <c r="F17" i="1"/>
  <c r="C18" i="1"/>
  <c r="D18" i="1"/>
  <c r="F18" i="1"/>
  <c r="C19" i="1"/>
  <c r="D19" i="1"/>
  <c r="F19" i="1"/>
  <c r="C20" i="1"/>
  <c r="D20" i="1"/>
  <c r="F20" i="1"/>
  <c r="C21" i="1"/>
  <c r="D21" i="1"/>
  <c r="F21" i="1"/>
  <c r="C22" i="1"/>
  <c r="D22" i="1"/>
  <c r="F22" i="1"/>
  <c r="C23" i="1"/>
  <c r="D23" i="1"/>
  <c r="F23" i="1"/>
  <c r="C24" i="1"/>
  <c r="D24" i="1"/>
  <c r="F24" i="1"/>
  <c r="C25" i="1"/>
  <c r="D25" i="1"/>
  <c r="F25" i="1"/>
  <c r="C27" i="1"/>
  <c r="D27" i="1"/>
  <c r="F27" i="1"/>
  <c r="C28" i="1"/>
  <c r="D28" i="1"/>
  <c r="F28" i="1"/>
  <c r="C29" i="1"/>
  <c r="D29" i="1"/>
  <c r="F29" i="1"/>
  <c r="C30" i="1"/>
  <c r="D30" i="1"/>
  <c r="F30" i="1"/>
  <c r="C31" i="1"/>
  <c r="D31" i="1"/>
  <c r="F31" i="1"/>
  <c r="C32" i="1"/>
  <c r="D32" i="1"/>
  <c r="F32" i="1"/>
  <c r="C33" i="1"/>
  <c r="D33" i="1"/>
  <c r="F33" i="1"/>
  <c r="C34" i="1"/>
  <c r="D34" i="1"/>
  <c r="F34" i="1"/>
  <c r="C35" i="1"/>
  <c r="D35" i="1"/>
  <c r="F35" i="1"/>
  <c r="D5" i="3"/>
  <c r="E5" i="3"/>
  <c r="F5" i="3"/>
  <c r="G5" i="3"/>
  <c r="M3" i="1"/>
  <c r="I3" i="1" s="1"/>
  <c r="N3" i="1"/>
  <c r="M4" i="1"/>
  <c r="N4" i="1"/>
  <c r="M5" i="1"/>
  <c r="I5" i="1" s="1"/>
  <c r="N5" i="1"/>
  <c r="M6" i="1"/>
  <c r="I6" i="1" s="1"/>
  <c r="W6" i="1" s="1"/>
  <c r="N6" i="1"/>
  <c r="M7" i="1"/>
  <c r="I7" i="1" s="1"/>
  <c r="W7" i="1" s="1"/>
  <c r="N7" i="1"/>
  <c r="M8" i="1"/>
  <c r="I8" i="1" s="1"/>
  <c r="W8" i="1" s="1"/>
  <c r="N8" i="1"/>
  <c r="M9" i="1"/>
  <c r="I9" i="1" s="1"/>
  <c r="N9" i="1"/>
  <c r="M11" i="1"/>
  <c r="I11" i="1" s="1"/>
  <c r="K11" i="1" s="1"/>
  <c r="N11" i="1"/>
  <c r="M12" i="1"/>
  <c r="N12" i="1"/>
  <c r="M13" i="1"/>
  <c r="N13" i="1"/>
  <c r="M15" i="1"/>
  <c r="N15" i="1"/>
  <c r="M16" i="1"/>
  <c r="N16" i="1"/>
  <c r="M17" i="1"/>
  <c r="I17" i="1" s="1"/>
  <c r="W17" i="1" s="1"/>
  <c r="N17" i="1"/>
  <c r="M18" i="1"/>
  <c r="I18" i="1" s="1"/>
  <c r="W18" i="1" s="1"/>
  <c r="N18" i="1"/>
  <c r="M19" i="1"/>
  <c r="I19" i="1" s="1"/>
  <c r="W19" i="1" s="1"/>
  <c r="N19" i="1"/>
  <c r="M20" i="1"/>
  <c r="I20" i="1" s="1"/>
  <c r="W20" i="1" s="1"/>
  <c r="N20" i="1"/>
  <c r="M21" i="1"/>
  <c r="I21" i="1" s="1"/>
  <c r="W21" i="1" s="1"/>
  <c r="N21" i="1"/>
  <c r="M22" i="1"/>
  <c r="N22" i="1"/>
  <c r="M23" i="1"/>
  <c r="I23" i="1" s="1"/>
  <c r="W23" i="1" s="1"/>
  <c r="N23" i="1"/>
  <c r="M24" i="1"/>
  <c r="I24" i="1" s="1"/>
  <c r="W24" i="1" s="1"/>
  <c r="N24" i="1"/>
  <c r="M25" i="1"/>
  <c r="N25" i="1"/>
  <c r="M27" i="1"/>
  <c r="N27" i="1"/>
  <c r="M28" i="1"/>
  <c r="N28" i="1"/>
  <c r="M29" i="1"/>
  <c r="I29" i="1" s="1"/>
  <c r="W29" i="1" s="1"/>
  <c r="N29" i="1"/>
  <c r="M30" i="1"/>
  <c r="I30" i="1" s="1"/>
  <c r="W30" i="1" s="1"/>
  <c r="N30" i="1"/>
  <c r="M31" i="1"/>
  <c r="I31" i="1" s="1"/>
  <c r="W31" i="1" s="1"/>
  <c r="N31" i="1"/>
  <c r="M32" i="1"/>
  <c r="I32" i="1" s="1"/>
  <c r="W32" i="1" s="1"/>
  <c r="N32" i="1"/>
  <c r="M33" i="1"/>
  <c r="I33" i="1" s="1"/>
  <c r="W33" i="1" s="1"/>
  <c r="N33" i="1"/>
  <c r="M34" i="1"/>
  <c r="N34" i="1"/>
  <c r="M35" i="1"/>
  <c r="I35" i="1" s="1"/>
  <c r="W35" i="1" s="1"/>
  <c r="N35" i="1"/>
  <c r="N3" i="2"/>
  <c r="E35" i="1" s="1"/>
  <c r="N4" i="2"/>
  <c r="E5" i="1" s="1"/>
  <c r="O4" i="2"/>
  <c r="N5" i="2"/>
  <c r="E34" i="1" s="1"/>
  <c r="N6" i="2"/>
  <c r="N7" i="2"/>
  <c r="E19" i="1" s="1"/>
  <c r="N8" i="2"/>
  <c r="E36" i="1" s="1"/>
  <c r="N9" i="2"/>
  <c r="E13" i="1" s="1"/>
  <c r="N10" i="2"/>
  <c r="E29" i="1" s="1"/>
  <c r="N11" i="2"/>
  <c r="E37" i="1" s="1"/>
  <c r="N12" i="2"/>
  <c r="E38" i="1" s="1"/>
  <c r="N13" i="2"/>
  <c r="E27" i="1" s="1"/>
  <c r="N14" i="2"/>
  <c r="E39" i="1" s="1"/>
  <c r="N15" i="2"/>
  <c r="E33" i="1" s="1"/>
  <c r="N16" i="2"/>
  <c r="E32" i="1" s="1"/>
  <c r="N17" i="2"/>
  <c r="E52" i="1" s="1"/>
  <c r="N18" i="2"/>
  <c r="E53" i="1" s="1"/>
  <c r="N19" i="2"/>
  <c r="O19" i="2"/>
  <c r="N20" i="2"/>
  <c r="N21" i="2"/>
  <c r="N22" i="2"/>
  <c r="N23" i="2"/>
  <c r="E28" i="1" s="1"/>
  <c r="N24" i="2"/>
  <c r="N25" i="2"/>
  <c r="N26" i="2"/>
  <c r="N27" i="2"/>
  <c r="N28" i="2"/>
  <c r="N29" i="2"/>
  <c r="N30" i="2"/>
  <c r="N31" i="2"/>
  <c r="N32" i="2"/>
  <c r="N33" i="2"/>
  <c r="N34" i="2"/>
  <c r="N35" i="2"/>
  <c r="E45" i="1" s="1"/>
  <c r="N36" i="2"/>
  <c r="N37" i="2"/>
  <c r="N38" i="2"/>
  <c r="N39" i="2"/>
  <c r="N40" i="2"/>
  <c r="O40" i="2"/>
  <c r="N41" i="2"/>
  <c r="O41" i="2"/>
  <c r="N42" i="2"/>
  <c r="N43" i="2"/>
  <c r="O43" i="2"/>
  <c r="N44" i="2"/>
  <c r="E12" i="1" s="1"/>
  <c r="N45" i="2"/>
  <c r="N46" i="2"/>
  <c r="N47" i="2"/>
  <c r="N48" i="2"/>
  <c r="O48" i="2"/>
  <c r="N49" i="2"/>
  <c r="N50" i="2"/>
  <c r="N51" i="2"/>
  <c r="E23" i="1" s="1"/>
  <c r="O2" i="2"/>
  <c r="N2" i="2"/>
  <c r="E9" i="1" s="1"/>
  <c r="P3" i="4"/>
  <c r="F7" i="3" s="1"/>
  <c r="P4" i="4"/>
  <c r="F8" i="3" s="1"/>
  <c r="P2" i="4"/>
  <c r="F6" i="3" s="1"/>
  <c r="E54" i="1" l="1"/>
  <c r="E31" i="1"/>
  <c r="E46" i="1"/>
  <c r="E11" i="1"/>
  <c r="K53" i="1"/>
  <c r="L53" i="1" s="1"/>
  <c r="K51" i="1"/>
  <c r="L51" i="1" s="1"/>
  <c r="J52" i="1"/>
  <c r="W52" i="1"/>
  <c r="O52" i="1"/>
  <c r="E15" i="1"/>
  <c r="E20" i="1"/>
  <c r="E4" i="1"/>
  <c r="E48" i="1"/>
  <c r="E50" i="1"/>
  <c r="E49" i="1"/>
  <c r="E47" i="1"/>
  <c r="E22" i="1"/>
  <c r="E18" i="1"/>
  <c r="E41" i="1"/>
  <c r="E43" i="1"/>
  <c r="E8" i="1"/>
  <c r="E42" i="1"/>
  <c r="E6" i="1"/>
  <c r="E44" i="1"/>
  <c r="E17" i="1"/>
  <c r="E16" i="1"/>
  <c r="E30" i="1"/>
  <c r="E25" i="1"/>
  <c r="E40" i="1"/>
  <c r="E24" i="1"/>
  <c r="E7" i="1"/>
  <c r="E3" i="1"/>
  <c r="E21" i="1"/>
  <c r="W11" i="1"/>
  <c r="W40" i="1"/>
  <c r="W43" i="1"/>
  <c r="U43" i="1"/>
  <c r="V43" i="1"/>
  <c r="V40" i="1"/>
  <c r="J42" i="1"/>
  <c r="K42" i="1" s="1"/>
  <c r="L42" i="1" s="1"/>
  <c r="Q42" i="1" s="1"/>
  <c r="J44" i="1"/>
  <c r="K44" i="1" s="1"/>
  <c r="L44" i="1" s="1"/>
  <c r="J47" i="1"/>
  <c r="K47" i="1" s="1"/>
  <c r="L47" i="1" s="1"/>
  <c r="Q47" i="1" s="1"/>
  <c r="J45" i="1"/>
  <c r="K45" i="1" s="1"/>
  <c r="L45" i="1" s="1"/>
  <c r="Q45" i="1" s="1"/>
  <c r="U45" i="1" s="1"/>
  <c r="J41" i="1"/>
  <c r="K41" i="1" s="1"/>
  <c r="L41" i="1" s="1"/>
  <c r="Q41" i="1" s="1"/>
  <c r="O8" i="1"/>
  <c r="O33" i="1"/>
  <c r="O20" i="1"/>
  <c r="O6" i="1"/>
  <c r="I22" i="1"/>
  <c r="O43" i="1"/>
  <c r="I34" i="1"/>
  <c r="I46" i="1"/>
  <c r="W46" i="1" s="1"/>
  <c r="O32" i="1"/>
  <c r="O19" i="1"/>
  <c r="I12" i="1"/>
  <c r="I13" i="1"/>
  <c r="I25" i="1"/>
  <c r="J25" i="1" s="1"/>
  <c r="K25" i="1" s="1"/>
  <c r="L25" i="1" s="1"/>
  <c r="I36" i="1"/>
  <c r="W36" i="1" s="1"/>
  <c r="I48" i="1"/>
  <c r="W48" i="1" s="1"/>
  <c r="O45" i="1"/>
  <c r="O7" i="1"/>
  <c r="O31" i="1"/>
  <c r="O24" i="1"/>
  <c r="O18" i="1"/>
  <c r="O11" i="1"/>
  <c r="O41" i="1"/>
  <c r="I14" i="1"/>
  <c r="J14" i="1" s="1"/>
  <c r="K14" i="1" s="1"/>
  <c r="L14" i="1" s="1"/>
  <c r="Q14" i="1" s="1"/>
  <c r="I26" i="1"/>
  <c r="I37" i="1"/>
  <c r="W37" i="1" s="1"/>
  <c r="I49" i="1"/>
  <c r="W49" i="1" s="1"/>
  <c r="O47" i="1"/>
  <c r="O44" i="1"/>
  <c r="I15" i="1"/>
  <c r="I27" i="1"/>
  <c r="J27" i="1" s="1"/>
  <c r="L27" i="1" s="1"/>
  <c r="I38" i="1"/>
  <c r="I50" i="1"/>
  <c r="O21" i="1"/>
  <c r="O35" i="1"/>
  <c r="O30" i="1"/>
  <c r="O23" i="1"/>
  <c r="O9" i="1"/>
  <c r="O3" i="1"/>
  <c r="I4" i="1"/>
  <c r="J4" i="1" s="1"/>
  <c r="K4" i="1" s="1"/>
  <c r="L4" i="1" s="1"/>
  <c r="I16" i="1"/>
  <c r="I28" i="1"/>
  <c r="I39" i="1"/>
  <c r="I54" i="1"/>
  <c r="W54" i="1" s="1"/>
  <c r="O17" i="1"/>
  <c r="O29" i="1"/>
  <c r="O42" i="1"/>
  <c r="P40" i="1"/>
  <c r="O40" i="1"/>
  <c r="O5" i="1"/>
  <c r="K18" i="3"/>
  <c r="L18" i="3" s="1"/>
  <c r="M18" i="3" s="1"/>
  <c r="R18" i="3" s="1"/>
  <c r="V18" i="3" s="1"/>
  <c r="K12" i="3"/>
  <c r="L12" i="3" s="1"/>
  <c r="M12" i="3" s="1"/>
  <c r="R12" i="3" s="1"/>
  <c r="P12" i="3"/>
  <c r="K22" i="3"/>
  <c r="L22" i="3" s="1"/>
  <c r="M22" i="3" s="1"/>
  <c r="K16" i="3"/>
  <c r="L16" i="3" s="1"/>
  <c r="M16" i="3" s="1"/>
  <c r="R16" i="3" s="1"/>
  <c r="K10" i="3"/>
  <c r="L10" i="3" s="1"/>
  <c r="M10" i="3" s="1"/>
  <c r="R10" i="3" s="1"/>
  <c r="P10" i="3"/>
  <c r="K24" i="3"/>
  <c r="M24" i="3" s="1"/>
  <c r="R24" i="3" s="1"/>
  <c r="K20" i="3"/>
  <c r="L20" i="3" s="1"/>
  <c r="M20" i="3" s="1"/>
  <c r="R20" i="3" s="1"/>
  <c r="K14" i="3"/>
  <c r="L14" i="3" s="1"/>
  <c r="M14" i="3" s="1"/>
  <c r="R14" i="3" s="1"/>
  <c r="V14" i="3" s="1"/>
  <c r="P14" i="3"/>
  <c r="K8" i="3"/>
  <c r="M8" i="3" s="1"/>
  <c r="R8" i="3" s="1"/>
  <c r="P8" i="3"/>
  <c r="P24" i="3"/>
  <c r="J23" i="3"/>
  <c r="P22" i="3"/>
  <c r="J21" i="3"/>
  <c r="X21" i="3" s="1"/>
  <c r="P20" i="3"/>
  <c r="J19" i="3"/>
  <c r="P18" i="3"/>
  <c r="J17" i="3"/>
  <c r="P16" i="3"/>
  <c r="J15" i="3"/>
  <c r="J13" i="3"/>
  <c r="J11" i="3"/>
  <c r="X11" i="3" s="1"/>
  <c r="J9" i="3"/>
  <c r="J7" i="3"/>
  <c r="X7" i="3" s="1"/>
  <c r="J6" i="3"/>
  <c r="X6" i="3" s="1"/>
  <c r="P43" i="1"/>
  <c r="N26" i="1"/>
  <c r="F26" i="1"/>
  <c r="F14" i="1"/>
  <c r="E26" i="1"/>
  <c r="E14" i="1"/>
  <c r="D26" i="1"/>
  <c r="D14" i="1"/>
  <c r="C26" i="1"/>
  <c r="C14" i="1"/>
  <c r="N14" i="1"/>
  <c r="O8" i="2"/>
  <c r="O44" i="2"/>
  <c r="O38" i="2"/>
  <c r="O50" i="2"/>
  <c r="O32" i="2"/>
  <c r="O37" i="2"/>
  <c r="O25" i="2"/>
  <c r="O7" i="2"/>
  <c r="O13" i="2"/>
  <c r="O49" i="2"/>
  <c r="O36" i="2"/>
  <c r="O24" i="2"/>
  <c r="O12" i="2"/>
  <c r="N10" i="1"/>
  <c r="O31" i="2"/>
  <c r="O42" i="2"/>
  <c r="O30" i="2"/>
  <c r="O18" i="2"/>
  <c r="O6" i="2"/>
  <c r="M10" i="1"/>
  <c r="O35" i="2"/>
  <c r="O29" i="2"/>
  <c r="O17" i="2"/>
  <c r="O5" i="2"/>
  <c r="O47" i="2"/>
  <c r="O23" i="2"/>
  <c r="O11" i="2"/>
  <c r="F10" i="1"/>
  <c r="O16" i="2"/>
  <c r="E10" i="1"/>
  <c r="O28" i="2"/>
  <c r="O10" i="2"/>
  <c r="D10" i="1"/>
  <c r="O34" i="2"/>
  <c r="O51" i="2"/>
  <c r="O39" i="2"/>
  <c r="O27" i="2"/>
  <c r="O21" i="2"/>
  <c r="O9" i="2"/>
  <c r="O3" i="2"/>
  <c r="C10" i="1"/>
  <c r="O46" i="2"/>
  <c r="O22" i="2"/>
  <c r="O45" i="2"/>
  <c r="O33" i="2"/>
  <c r="O15" i="2"/>
  <c r="O26" i="2"/>
  <c r="O20" i="2"/>
  <c r="O14" i="2"/>
  <c r="G4" i="3"/>
  <c r="E4" i="3"/>
  <c r="D4" i="3"/>
  <c r="F4" i="3"/>
  <c r="N4" i="3"/>
  <c r="J4" i="3" s="1"/>
  <c r="X4" i="3" s="1"/>
  <c r="N5" i="3"/>
  <c r="J5" i="3" s="1"/>
  <c r="X5" i="3" s="1"/>
  <c r="J3" i="1"/>
  <c r="K3" i="1" s="1"/>
  <c r="L3" i="1" s="1"/>
  <c r="J5" i="1"/>
  <c r="K5" i="1" s="1"/>
  <c r="L5" i="1" s="1"/>
  <c r="J6" i="1"/>
  <c r="K6" i="1" s="1"/>
  <c r="L6" i="1" s="1"/>
  <c r="J7" i="1"/>
  <c r="K7" i="1" s="1"/>
  <c r="L7" i="1" s="1"/>
  <c r="J8" i="1"/>
  <c r="K8" i="1" s="1"/>
  <c r="L8" i="1" s="1"/>
  <c r="J9" i="1"/>
  <c r="K9" i="1" s="1"/>
  <c r="L9" i="1" s="1"/>
  <c r="J11" i="1"/>
  <c r="J13" i="1"/>
  <c r="L13" i="1" s="1"/>
  <c r="J17" i="1"/>
  <c r="K17" i="1" s="1"/>
  <c r="L17" i="1" s="1"/>
  <c r="J18" i="1"/>
  <c r="K18" i="1" s="1"/>
  <c r="L18" i="1" s="1"/>
  <c r="J19" i="1"/>
  <c r="K19" i="1" s="1"/>
  <c r="L19" i="1" s="1"/>
  <c r="J20" i="1"/>
  <c r="K20" i="1" s="1"/>
  <c r="L20" i="1" s="1"/>
  <c r="J21" i="1"/>
  <c r="L21" i="1" s="1"/>
  <c r="J23" i="1"/>
  <c r="L23" i="1" s="1"/>
  <c r="J24" i="1"/>
  <c r="L24" i="1" s="1"/>
  <c r="J26" i="1"/>
  <c r="K26" i="1" s="1"/>
  <c r="L26" i="1" s="1"/>
  <c r="Q26" i="1" s="1"/>
  <c r="J29" i="1"/>
  <c r="K29" i="1" s="1"/>
  <c r="L29" i="1" s="1"/>
  <c r="J30" i="1"/>
  <c r="K30" i="1" s="1"/>
  <c r="L30" i="1" s="1"/>
  <c r="J31" i="1"/>
  <c r="K31" i="1" s="1"/>
  <c r="L31" i="1" s="1"/>
  <c r="J32" i="1"/>
  <c r="L32" i="1" s="1"/>
  <c r="J33" i="1"/>
  <c r="L33" i="1" s="1"/>
  <c r="J35" i="1"/>
  <c r="K35" i="1" s="1"/>
  <c r="L35" i="1" s="1"/>
  <c r="K1" i="1"/>
  <c r="I1" i="1"/>
  <c r="K28" i="1"/>
  <c r="L11" i="1" l="1"/>
  <c r="O12" i="1"/>
  <c r="W12" i="1"/>
  <c r="Q51" i="1"/>
  <c r="P51" i="1"/>
  <c r="Q53" i="1"/>
  <c r="P53" i="1"/>
  <c r="L52" i="1"/>
  <c r="V51" i="1"/>
  <c r="U51" i="1"/>
  <c r="V53" i="1"/>
  <c r="U53" i="1"/>
  <c r="P17" i="3"/>
  <c r="X17" i="3"/>
  <c r="P19" i="3"/>
  <c r="X19" i="3"/>
  <c r="P15" i="3"/>
  <c r="X15" i="3"/>
  <c r="J12" i="1"/>
  <c r="K12" i="1" s="1"/>
  <c r="L12" i="1" s="1"/>
  <c r="Q12" i="1" s="1"/>
  <c r="W18" i="3"/>
  <c r="W14" i="3"/>
  <c r="V16" i="3"/>
  <c r="W16" i="3"/>
  <c r="P9" i="3"/>
  <c r="X9" i="3"/>
  <c r="W12" i="3"/>
  <c r="V12" i="3"/>
  <c r="P13" i="3"/>
  <c r="X13" i="3"/>
  <c r="Q22" i="3"/>
  <c r="R22" i="3"/>
  <c r="X23" i="3"/>
  <c r="W20" i="3"/>
  <c r="V20" i="3"/>
  <c r="V10" i="3"/>
  <c r="W10" i="3"/>
  <c r="O34" i="1"/>
  <c r="W34" i="1"/>
  <c r="O26" i="1"/>
  <c r="W26" i="1"/>
  <c r="O22" i="1"/>
  <c r="W22" i="1"/>
  <c r="O4" i="1"/>
  <c r="W4" i="1"/>
  <c r="J22" i="1"/>
  <c r="L22" i="1" s="1"/>
  <c r="Q22" i="1" s="1"/>
  <c r="W24" i="3"/>
  <c r="V24" i="3"/>
  <c r="V8" i="3"/>
  <c r="W8" i="3"/>
  <c r="O28" i="1"/>
  <c r="W28" i="1"/>
  <c r="O38" i="1"/>
  <c r="W38" i="1"/>
  <c r="O39" i="1"/>
  <c r="W39" i="1"/>
  <c r="O13" i="1"/>
  <c r="W13" i="1"/>
  <c r="O25" i="1"/>
  <c r="W25" i="1"/>
  <c r="O16" i="1"/>
  <c r="W16" i="1"/>
  <c r="J15" i="1"/>
  <c r="K15" i="1" s="1"/>
  <c r="L15" i="1" s="1"/>
  <c r="P15" i="1" s="1"/>
  <c r="W15" i="1"/>
  <c r="O14" i="1"/>
  <c r="W14" i="1"/>
  <c r="O50" i="1"/>
  <c r="W50" i="1"/>
  <c r="J34" i="1"/>
  <c r="K34" i="1" s="1"/>
  <c r="L34" i="1" s="1"/>
  <c r="P34" i="1" s="1"/>
  <c r="O15" i="1"/>
  <c r="J28" i="1"/>
  <c r="J16" i="1"/>
  <c r="K16" i="1" s="1"/>
  <c r="L16" i="1" s="1"/>
  <c r="Q16" i="1" s="1"/>
  <c r="P42" i="1"/>
  <c r="P41" i="1"/>
  <c r="P32" i="1"/>
  <c r="Q32" i="1"/>
  <c r="P20" i="1"/>
  <c r="Q20" i="1"/>
  <c r="P7" i="1"/>
  <c r="Q7" i="1"/>
  <c r="P30" i="1"/>
  <c r="Q30" i="1"/>
  <c r="P5" i="1"/>
  <c r="Q5" i="1"/>
  <c r="O27" i="1"/>
  <c r="W27" i="1"/>
  <c r="P18" i="1"/>
  <c r="Q18" i="1"/>
  <c r="P17" i="1"/>
  <c r="Q17" i="1"/>
  <c r="P4" i="1"/>
  <c r="Q4" i="1"/>
  <c r="P31" i="1"/>
  <c r="Q31" i="1"/>
  <c r="P29" i="1"/>
  <c r="Q29" i="1"/>
  <c r="P3" i="1"/>
  <c r="Q3" i="1"/>
  <c r="P19" i="1"/>
  <c r="Q19" i="1"/>
  <c r="P27" i="1"/>
  <c r="Q27" i="1"/>
  <c r="U14" i="1"/>
  <c r="V14" i="1"/>
  <c r="U41" i="1"/>
  <c r="V41" i="1"/>
  <c r="P25" i="1"/>
  <c r="Q25" i="1"/>
  <c r="P35" i="1"/>
  <c r="Q35" i="1"/>
  <c r="P24" i="1"/>
  <c r="Q24" i="1"/>
  <c r="U47" i="1"/>
  <c r="V47" i="1"/>
  <c r="P13" i="1"/>
  <c r="Q13" i="1"/>
  <c r="P11" i="1"/>
  <c r="Q11" i="1"/>
  <c r="P44" i="1"/>
  <c r="Q44" i="1"/>
  <c r="P9" i="1"/>
  <c r="Q9" i="1"/>
  <c r="U42" i="1"/>
  <c r="V42" i="1"/>
  <c r="P6" i="1"/>
  <c r="Q6" i="1"/>
  <c r="U26" i="1"/>
  <c r="V26" i="1"/>
  <c r="P23" i="1"/>
  <c r="Q23" i="1"/>
  <c r="P33" i="1"/>
  <c r="Q33" i="1"/>
  <c r="P21" i="1"/>
  <c r="Q21" i="1"/>
  <c r="P8" i="1"/>
  <c r="Q8" i="1"/>
  <c r="P47" i="1"/>
  <c r="V45" i="1"/>
  <c r="J49" i="1"/>
  <c r="L49" i="1" s="1"/>
  <c r="Q49" i="1" s="1"/>
  <c r="J48" i="1"/>
  <c r="K48" i="1" s="1"/>
  <c r="L48" i="1" s="1"/>
  <c r="Q48" i="1" s="1"/>
  <c r="J46" i="1"/>
  <c r="K46" i="1" s="1"/>
  <c r="L46" i="1" s="1"/>
  <c r="Q46" i="1" s="1"/>
  <c r="J37" i="1"/>
  <c r="K37" i="1" s="1"/>
  <c r="L37" i="1" s="1"/>
  <c r="Q37" i="1" s="1"/>
  <c r="J36" i="1"/>
  <c r="K36" i="1" s="1"/>
  <c r="L36" i="1" s="1"/>
  <c r="Q36" i="1" s="1"/>
  <c r="I10" i="1"/>
  <c r="O46" i="1"/>
  <c r="O49" i="1"/>
  <c r="P45" i="1"/>
  <c r="J54" i="1"/>
  <c r="K54" i="1" s="1"/>
  <c r="L54" i="1" s="1"/>
  <c r="Q54" i="1" s="1"/>
  <c r="J50" i="1"/>
  <c r="L50" i="1" s="1"/>
  <c r="Q50" i="1" s="1"/>
  <c r="O54" i="1"/>
  <c r="O36" i="1"/>
  <c r="J39" i="1"/>
  <c r="K39" i="1" s="1"/>
  <c r="L39" i="1" s="1"/>
  <c r="Q39" i="1" s="1"/>
  <c r="J38" i="1"/>
  <c r="K38" i="1" s="1"/>
  <c r="L38" i="1" s="1"/>
  <c r="Q38" i="1" s="1"/>
  <c r="O37" i="1"/>
  <c r="O48" i="1"/>
  <c r="Q16" i="3"/>
  <c r="Q14" i="3"/>
  <c r="Q10" i="3"/>
  <c r="Q18" i="3"/>
  <c r="K21" i="3"/>
  <c r="L21" i="3" s="1"/>
  <c r="M21" i="3" s="1"/>
  <c r="R21" i="3" s="1"/>
  <c r="Q24" i="3"/>
  <c r="K7" i="3"/>
  <c r="M7" i="3" s="1"/>
  <c r="R7" i="3" s="1"/>
  <c r="K23" i="3"/>
  <c r="L23" i="3" s="1"/>
  <c r="Q12" i="3"/>
  <c r="K11" i="3"/>
  <c r="L11" i="3" s="1"/>
  <c r="M11" i="3" s="1"/>
  <c r="R11" i="3" s="1"/>
  <c r="P7" i="3"/>
  <c r="K13" i="3"/>
  <c r="L13" i="3" s="1"/>
  <c r="M13" i="3" s="1"/>
  <c r="R13" i="3" s="1"/>
  <c r="P23" i="3"/>
  <c r="P21" i="3"/>
  <c r="K19" i="3"/>
  <c r="L19" i="3" s="1"/>
  <c r="M19" i="3" s="1"/>
  <c r="R19" i="3" s="1"/>
  <c r="Q8" i="3"/>
  <c r="K9" i="3"/>
  <c r="M9" i="3" s="1"/>
  <c r="R9" i="3" s="1"/>
  <c r="K15" i="3"/>
  <c r="L15" i="3" s="1"/>
  <c r="M15" i="3" s="1"/>
  <c r="R15" i="3" s="1"/>
  <c r="Q20" i="3"/>
  <c r="K17" i="3"/>
  <c r="L17" i="3" s="1"/>
  <c r="M17" i="3" s="1"/>
  <c r="R17" i="3" s="1"/>
  <c r="P11" i="3"/>
  <c r="K6" i="3"/>
  <c r="M6" i="3" s="1"/>
  <c r="R6" i="3" s="1"/>
  <c r="P6" i="3"/>
  <c r="P26" i="1"/>
  <c r="P14" i="1"/>
  <c r="P5" i="3"/>
  <c r="P4" i="3"/>
  <c r="L28" i="1"/>
  <c r="Q28" i="1" s="1"/>
  <c r="K4" i="3"/>
  <c r="M4" i="3" s="1"/>
  <c r="R4" i="3" s="1"/>
  <c r="K5" i="3"/>
  <c r="M5" i="3" s="1"/>
  <c r="R5" i="3" s="1"/>
  <c r="Q52" i="1" l="1"/>
  <c r="P52" i="1"/>
  <c r="P12" i="1"/>
  <c r="V52" i="1"/>
  <c r="U52" i="1"/>
  <c r="W15" i="3"/>
  <c r="V15" i="3"/>
  <c r="V22" i="3"/>
  <c r="W22" i="3"/>
  <c r="V19" i="3"/>
  <c r="W19" i="3"/>
  <c r="W13" i="3"/>
  <c r="V13" i="3"/>
  <c r="W21" i="3"/>
  <c r="V21" i="3"/>
  <c r="V11" i="3"/>
  <c r="W11" i="3"/>
  <c r="V17" i="3"/>
  <c r="W17" i="3"/>
  <c r="M23" i="3"/>
  <c r="R23" i="3" s="1"/>
  <c r="W23" i="3" s="1"/>
  <c r="P22" i="1"/>
  <c r="J10" i="1"/>
  <c r="K10" i="1" s="1"/>
  <c r="L10" i="1" s="1"/>
  <c r="Q10" i="1" s="1"/>
  <c r="U10" i="1" s="1"/>
  <c r="W10" i="1"/>
  <c r="W1" i="1" s="1"/>
  <c r="V9" i="3"/>
  <c r="W9" i="3"/>
  <c r="V6" i="3"/>
  <c r="W6" i="3"/>
  <c r="V7" i="3"/>
  <c r="W7" i="3"/>
  <c r="V4" i="3"/>
  <c r="W4" i="3"/>
  <c r="V5" i="3"/>
  <c r="W5" i="3"/>
  <c r="Q15" i="1"/>
  <c r="U15" i="1" s="1"/>
  <c r="P16" i="1"/>
  <c r="Q34" i="1"/>
  <c r="U34" i="1" s="1"/>
  <c r="U33" i="1"/>
  <c r="V33" i="1"/>
  <c r="U5" i="1"/>
  <c r="V5" i="1"/>
  <c r="U37" i="1"/>
  <c r="V37" i="1"/>
  <c r="U12" i="1"/>
  <c r="V12" i="1"/>
  <c r="U31" i="1"/>
  <c r="V31" i="1"/>
  <c r="U29" i="1"/>
  <c r="V29" i="1"/>
  <c r="U30" i="1"/>
  <c r="V30" i="1"/>
  <c r="U23" i="1"/>
  <c r="V23" i="1"/>
  <c r="U24" i="1"/>
  <c r="V24" i="1"/>
  <c r="V27" i="1"/>
  <c r="U27" i="1"/>
  <c r="U46" i="1"/>
  <c r="V46" i="1"/>
  <c r="U4" i="1"/>
  <c r="V4" i="1"/>
  <c r="U7" i="1"/>
  <c r="V7" i="1"/>
  <c r="U22" i="1"/>
  <c r="V22" i="1"/>
  <c r="V48" i="1"/>
  <c r="U48" i="1"/>
  <c r="U6" i="1"/>
  <c r="V6" i="1"/>
  <c r="U44" i="1"/>
  <c r="V44" i="1"/>
  <c r="U35" i="1"/>
  <c r="V35" i="1"/>
  <c r="V19" i="1"/>
  <c r="U19" i="1"/>
  <c r="U38" i="1"/>
  <c r="V38" i="1"/>
  <c r="U50" i="1"/>
  <c r="V50" i="1"/>
  <c r="U17" i="1"/>
  <c r="V17" i="1"/>
  <c r="U20" i="1"/>
  <c r="V20" i="1"/>
  <c r="U39" i="1"/>
  <c r="V39" i="1"/>
  <c r="V54" i="1"/>
  <c r="U54" i="1"/>
  <c r="U8" i="1"/>
  <c r="V8" i="1"/>
  <c r="U11" i="1"/>
  <c r="V11" i="1"/>
  <c r="V25" i="1"/>
  <c r="U25" i="1"/>
  <c r="V3" i="1"/>
  <c r="U3" i="1"/>
  <c r="U18" i="1"/>
  <c r="V18" i="1"/>
  <c r="U32" i="1"/>
  <c r="V32" i="1"/>
  <c r="V36" i="1"/>
  <c r="U36" i="1"/>
  <c r="U49" i="1"/>
  <c r="V49" i="1"/>
  <c r="U28" i="1"/>
  <c r="V28" i="1"/>
  <c r="U21" i="1"/>
  <c r="V21" i="1"/>
  <c r="U9" i="1"/>
  <c r="V9" i="1"/>
  <c r="V13" i="1"/>
  <c r="U13" i="1"/>
  <c r="U16" i="1"/>
  <c r="V16" i="1"/>
  <c r="O10" i="1"/>
  <c r="P39" i="1"/>
  <c r="P36" i="1"/>
  <c r="P50" i="1"/>
  <c r="P37" i="1"/>
  <c r="P54" i="1"/>
  <c r="P46" i="1"/>
  <c r="P48" i="1"/>
  <c r="P38" i="1"/>
  <c r="P49" i="1"/>
  <c r="Q9" i="3"/>
  <c r="Q15" i="3"/>
  <c r="Q13" i="3"/>
  <c r="Q7" i="3"/>
  <c r="Q19" i="3"/>
  <c r="Q11" i="3"/>
  <c r="Q17" i="3"/>
  <c r="Q21" i="3"/>
  <c r="Q6" i="3"/>
  <c r="Q4" i="3"/>
  <c r="Q5" i="3"/>
  <c r="P28" i="1"/>
  <c r="V23" i="3" l="1"/>
  <c r="Q23" i="3"/>
  <c r="P10" i="1"/>
  <c r="V10" i="1"/>
  <c r="V15" i="1"/>
  <c r="V34" i="1"/>
  <c r="V1" i="1"/>
  <c r="U1" i="1"/>
  <c r="O3" i="3"/>
  <c r="N3" i="3"/>
  <c r="Q21" i="4"/>
  <c r="Q15" i="4"/>
  <c r="Q9" i="4"/>
  <c r="Q3" i="4"/>
  <c r="Q20" i="4"/>
  <c r="Q14" i="4"/>
  <c r="Q8" i="4"/>
  <c r="Q4" i="4"/>
  <c r="Q19" i="4"/>
  <c r="Q13" i="4"/>
  <c r="Q7" i="4"/>
  <c r="Q18" i="4"/>
  <c r="Q12" i="4"/>
  <c r="Q6" i="4"/>
  <c r="E3" i="3"/>
  <c r="Q23" i="4"/>
  <c r="Q17" i="4"/>
  <c r="Q11" i="4"/>
  <c r="Q5" i="4"/>
  <c r="F3" i="3"/>
  <c r="G3" i="3"/>
  <c r="Q2" i="4"/>
  <c r="Q22" i="4"/>
  <c r="Q16" i="4"/>
  <c r="D3" i="3"/>
  <c r="Q10" i="4"/>
  <c r="J3" i="3" l="1"/>
  <c r="X3" i="3" s="1"/>
  <c r="X1" i="3" s="1"/>
  <c r="K3" i="3" l="1"/>
  <c r="M3" i="3" s="1"/>
  <c r="R3" i="3" s="1"/>
  <c r="P3" i="3"/>
  <c r="W3" i="3" l="1"/>
  <c r="W1" i="3" s="1"/>
  <c r="V3" i="3"/>
  <c r="V1" i="3" s="1"/>
  <c r="Q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DBFB64-0B87-48F6-BA01-A1F87A6EB689}" keepAlive="1" name="Запрос — АВТОСВЕТ" description="Соединение с запросом &quot;АВТОСВЕТ&quot; в книге." type="5" refreshedVersion="7" background="1" saveData="1">
    <dbPr connection="Provider=Microsoft.Mashup.OleDb.1;Data Source=$Workbook$;Location=АВТОСВЕТ;Extended Properties=&quot;&quot;" command="SELECT * FROM [АВТОСВЕТ]"/>
  </connection>
</connections>
</file>

<file path=xl/sharedStrings.xml><?xml version="1.0" encoding="utf-8"?>
<sst xmlns="http://schemas.openxmlformats.org/spreadsheetml/2006/main" count="936" uniqueCount="240">
  <si>
    <t>ID</t>
  </si>
  <si>
    <t>Наименование</t>
  </si>
  <si>
    <t>Поставщик</t>
  </si>
  <si>
    <t>Закуп</t>
  </si>
  <si>
    <t>Розница</t>
  </si>
  <si>
    <t>1</t>
  </si>
  <si>
    <t>6</t>
  </si>
  <si>
    <t>Под заказ</t>
  </si>
  <si>
    <t>АВТОСВЕТ</t>
  </si>
  <si>
    <t>Термолента до 800 градусов белая (5 см х 10 м)</t>
  </si>
  <si>
    <t>АВТОСВЕТ</t>
  </si>
  <si>
    <t>Универсальный звуковой сигнал "SH"</t>
  </si>
  <si>
    <t>АВТОСВЕТ</t>
  </si>
  <si>
    <t>LED (диодные) подфарники с дневными ходовыми огнями и бегающим поворотником "стрелки", тонированные для Лада Нива 4х4</t>
  </si>
  <si>
    <t>АВТОСВЕТ</t>
  </si>
  <si>
    <t>Комплект вспышек ФСО со строб контроллером</t>
  </si>
  <si>
    <t>АВТОСВЕТ</t>
  </si>
  <si>
    <t>Стробоскоп двойного свечения в решетку (красно-синий)</t>
  </si>
  <si>
    <t>АВТОСВЕТ</t>
  </si>
  <si>
    <t>Стробоскопы под лобовое стекло</t>
  </si>
  <si>
    <t>АВТОСВЕТ</t>
  </si>
  <si>
    <t>3D ангельские глазки "MTF" 3DA7K</t>
  </si>
  <si>
    <t>3DA7K</t>
  </si>
  <si>
    <t>АВТОСВЕТ</t>
  </si>
  <si>
    <t>Комплект Вспышки ФСО и строб контроллер "люкс"</t>
  </si>
  <si>
    <t>АВТОСВЕТ</t>
  </si>
  <si>
    <t>Насадка на глушитель AKRAPOVIC (аналог)</t>
  </si>
  <si>
    <t>АВТОСВЕТ</t>
  </si>
  <si>
    <t>Термолента до 800 градусов синяя (5 см х 10 м)</t>
  </si>
  <si>
    <t>АВТОСВЕТ</t>
  </si>
  <si>
    <t>Вспышки ФСО 48W (красно-синие, 2 режима)</t>
  </si>
  <si>
    <t>АВТОСВЕТ</t>
  </si>
  <si>
    <t>АВТОСВЕТ</t>
  </si>
  <si>
    <t>АВТОСВЕТ</t>
  </si>
  <si>
    <t>Раздвоенная насадка на глушитель AKRAPOVIC (аналог, левая сторона)</t>
  </si>
  <si>
    <t>АВТОСВЕТ</t>
  </si>
  <si>
    <t>Раздвоенная насадка на глушитель AKRAPOVIC (аналог, правая сторона)</t>
  </si>
  <si>
    <t>АВТОСВЕТ</t>
  </si>
  <si>
    <t>Накладки на тормозные суппорта "Brembo" 240 мм</t>
  </si>
  <si>
    <t>АВТОСВЕТ</t>
  </si>
  <si>
    <t>LED стробоскопы с беспроводным пультом</t>
  </si>
  <si>
    <t>АВТОСВЕТ</t>
  </si>
  <si>
    <t>Камера заднего вида "AVTOSVET" (подсветка, на пластиковом кронштейне) универсальная</t>
  </si>
  <si>
    <t>АВТОСВЕТ</t>
  </si>
  <si>
    <t>Основание платы фонаря заднего в сборе, правое для ВАЗ 2108-21099, 2113, 2114</t>
  </si>
  <si>
    <t>210803716096</t>
  </si>
  <si>
    <t>АВТОСВЕТ</t>
  </si>
  <si>
    <t>Основание платы фонаря заднего в сборе, левое для ВАЗ 2108-21099, 2113, 2114</t>
  </si>
  <si>
    <t>210803716097</t>
  </si>
  <si>
    <t>АВТОСВЕТ</t>
  </si>
  <si>
    <t>АВТОСВЕТ</t>
  </si>
  <si>
    <t>АВТОСВЕТ</t>
  </si>
  <si>
    <t>АВТОСВЕТ</t>
  </si>
  <si>
    <t>LED подсветка днища / салона с пультом управления (универсальная)</t>
  </si>
  <si>
    <t>АВТОСВЕТ</t>
  </si>
  <si>
    <t>Задние фонари "ТехАвтоСвет" (белый поворотник, без ламп) для ВАЗ 2108-21099, 2113, 2114</t>
  </si>
  <si>
    <t>АВТОСВЕТ</t>
  </si>
  <si>
    <t>Насадка глушителя "C2R" синяя подсветка, универсальная</t>
  </si>
  <si>
    <t>АВТОСВЕТ</t>
  </si>
  <si>
    <t>Вставка в выхлопную трубу для изменения звука (электронная заслонка)</t>
  </si>
  <si>
    <t>АВТОСВЕТ</t>
  </si>
  <si>
    <t>21910823101500</t>
  </si>
  <si>
    <t>АВТОСВЕТ</t>
  </si>
  <si>
    <t>Термолента до 800 градусов чёрная (5 см х 10 м)</t>
  </si>
  <si>
    <t>АВТОСВЕТ</t>
  </si>
  <si>
    <t>АВТОСВЕТ</t>
  </si>
  <si>
    <t>АВТОСВЕТ</t>
  </si>
  <si>
    <t>Линзованные светодиодные противотуманные фары (ПТФ) для Лада Гранта FL, Веста, XRAY, Ларгус FL, Нива 4х4, Нива Легенд</t>
  </si>
  <si>
    <t>LED FLASH LIGHT подсветка днища / салона с пультом управления (универсальная)</t>
  </si>
  <si>
    <t>АВТОСВЕТ</t>
  </si>
  <si>
    <t>Cтробоскоп светодиодный "Автосвет" под лобовое стекло (красно-синий)</t>
  </si>
  <si>
    <t>АВТОСВЕТ</t>
  </si>
  <si>
    <t>Воздушный фильтр нулевого сопротивления (без отверстия) (Синий)</t>
  </si>
  <si>
    <t>Воздушный фильтр нулевого сопротивления (без отверстия)</t>
  </si>
  <si>
    <t>Воздушный фильтр нулевого сопротивления (без отверстия) (Серый)</t>
  </si>
  <si>
    <t>Воздушный фильтр нулевого сопротивления (без отверстия) (Красный)</t>
  </si>
  <si>
    <t>Розн</t>
  </si>
  <si>
    <t>Разн</t>
  </si>
  <si>
    <t>Факт</t>
  </si>
  <si>
    <t>%</t>
  </si>
  <si>
    <t>Рек</t>
  </si>
  <si>
    <t>MR</t>
  </si>
  <si>
    <t>Постав</t>
  </si>
  <si>
    <t>-</t>
  </si>
  <si>
    <t>Кат. Номер</t>
  </si>
  <si>
    <t>Ст З</t>
  </si>
  <si>
    <t>Ст Р</t>
  </si>
  <si>
    <t>Код</t>
  </si>
  <si>
    <t>Наименование элемента</t>
  </si>
  <si>
    <t>Y / N</t>
  </si>
  <si>
    <t>Каталожный номер</t>
  </si>
  <si>
    <t>Артикул поставщика</t>
  </si>
  <si>
    <t>Ссылка на конкурентов</t>
  </si>
  <si>
    <t>Кол-во</t>
  </si>
  <si>
    <t>Склад</t>
  </si>
  <si>
    <t>Y</t>
  </si>
  <si>
    <t>0</t>
  </si>
  <si>
    <t>Вспышка "ФСО" под строб контроллер 48W "55мм" (16 светодиодов по 3 ВТ)</t>
  </si>
  <si>
    <t>G0001-55MM</t>
  </si>
  <si>
    <t>Задние светодиодные фонари, серо-белые для Лада Калина (седан)</t>
  </si>
  <si>
    <t>Задние фонари "PLAZMA" красные для Лада Гранта седан, Гранта FL седан</t>
  </si>
  <si>
    <t>Задние фонари "ТехАвтоСвет" белые для ВАЗ 2108-21099, 2113, 2114</t>
  </si>
  <si>
    <t>Задние фонари в стиле Tiggo 8 PRO красные, динамический поворотник для ВАЗ 2110</t>
  </si>
  <si>
    <t>https://motorring.ru/product/38324-fonari-svetodiodnye-stile-audi-vaz-2110-krasnii</t>
  </si>
  <si>
    <t>Задние фонари в стиле Tiggo 8 PRO тонированные, динамический поворотник для ВАЗ 2110</t>
  </si>
  <si>
    <t>Комплект LED RGB ламп в габариты с пультом LightSpace 16 цветов</t>
  </si>
  <si>
    <t>ZMB 78</t>
  </si>
  <si>
    <t>Противотуманные фары "линза" (Bi-Led) для Лада Приора 2</t>
  </si>
  <si>
    <t>Противотуманные фары "линза" для Лада Приора 2</t>
  </si>
  <si>
    <t>Рейка рулевая (2.0 оборота) для Лада Гранта</t>
  </si>
  <si>
    <t>Светодиодные фары Bi-LED (ДХО, линза, повторитель) для Лада Нива 4х4</t>
  </si>
  <si>
    <t>Светодиодные фонари задние, тонированные "СЕВиЕМ" для ВАЗ 2110</t>
  </si>
  <si>
    <t>Светодиодный (LED) плафон багажного отделения, с кнопкой для ВАЗ 2110-2112</t>
  </si>
  <si>
    <t>Строб контроллер "ЛЮКС" с пультом дистанционного управления</t>
  </si>
  <si>
    <t>Термолента базальтовая до 1200 градусов (5 см х10 м)</t>
  </si>
  <si>
    <t>N</t>
  </si>
  <si>
    <t>Универсальная губа "Samurai" (белая, 2.6 м)</t>
  </si>
  <si>
    <t>Универсальная губа "Samurai" (чёрная, 2.6 м)</t>
  </si>
  <si>
    <t>PZT-01</t>
  </si>
  <si>
    <t>Упор "Тольятти" крышки багажника для Лада Гранта лифтбек</t>
  </si>
  <si>
    <t>Фары передние "AMG style" с Bi-Led линзами для Лада Приора</t>
  </si>
  <si>
    <t>Элемент каталога</t>
  </si>
  <si>
    <t>Код товара</t>
  </si>
  <si>
    <t>Ссылка</t>
  </si>
  <si>
    <t>Ряд</t>
  </si>
  <si>
    <t>Воздушный фильтр нулевого сопротивления "AIR-FILTER" инжекторный (конус)</t>
  </si>
  <si>
    <t>Воздушный фильтр нулевого сопротивления "AIR-FILTER" инжекторный (конус) (Красный)</t>
  </si>
  <si>
    <t>Воздушный фильтр нулевого сопротивления "AIR-FILTER" инжекторный (конус) (Синий)</t>
  </si>
  <si>
    <t>Воздушный фильтр нулевого сопротивления "AIR-FILTER" инжекторный (конус) (Черный карбон)</t>
  </si>
  <si>
    <t>Воздушный фильтр нулевого сопротивления "AIR-FILTER" инжекторный (конус) (Чёрный)</t>
  </si>
  <si>
    <t>Маслоуловитель (маслосборник) "Greddy style"</t>
  </si>
  <si>
    <t>Маслоуловитель (маслосборник) "Greddy style" (Красный)</t>
  </si>
  <si>
    <t>Маслоуловитель (маслосборник) "Greddy style" (Серебро)</t>
  </si>
  <si>
    <t>Маслоуловитель (маслосборник) "Greddy style" (Синий)</t>
  </si>
  <si>
    <t>Маслоуловитель (маслосборник) "Greddy style" (Чёрный)</t>
  </si>
  <si>
    <t>Термолента цветная (5 см х 10 м)</t>
  </si>
  <si>
    <t>Термолента белая (5 см х 10 м)</t>
  </si>
  <si>
    <t>Термолента жёлтая (5 см х 10 м)</t>
  </si>
  <si>
    <t>Термолента зелёная (5 см х 10 м)</t>
  </si>
  <si>
    <t>Термолента красная (5 см х 10 м)</t>
  </si>
  <si>
    <t>Термолента оранжевая (5 см х 10 м)</t>
  </si>
  <si>
    <t>Термолента серая (5 см х 10 м)</t>
  </si>
  <si>
    <t>Термолента серебряная (5 см х 10 м)</t>
  </si>
  <si>
    <t>Термолента синяя (5 см х 10 м)</t>
  </si>
  <si>
    <t>Термолента чёрная (5 см х 10 м)</t>
  </si>
  <si>
    <t>Фильтр нулевого сопротивления для ВАЗ (2101-2107, 2108-21099, 2110-2112, 2113-2115), Лада (Ока, Нива 4х4)</t>
  </si>
  <si>
    <t>Фильтр нулевого сопротивления для ВАЗ (2101-2107, 2108-21099, 2110-2112, 2113-2115), Лада (Ока, Нива 4х4) (Красный)</t>
  </si>
  <si>
    <t>.00642</t>
  </si>
  <si>
    <t>Фильтр нулевого сопротивления для ВАЗ (2101-2107, 2108-21099, 2110-2112, 2113-2115), Лада (Ока, Нива 4х4) (Синий)</t>
  </si>
  <si>
    <t>.00641</t>
  </si>
  <si>
    <t>Элемент</t>
  </si>
  <si>
    <t>Из ГУГЛа</t>
  </si>
  <si>
    <t>Доп.</t>
  </si>
  <si>
    <t>https://motorring.ru/product/3003-vozdushnyy-filytr-nulevogo-soprotivleniya-prosport</t>
  </si>
  <si>
    <t>https://motorring.ru/product/3009-vozdushnyy-filytr-nulevogo-soprotivleniya-inghektornyy</t>
  </si>
  <si>
    <t>https://motorring.ru/product/2368-filytr-nulevogo-soprotivleniya-karbyurator-vaz</t>
  </si>
  <si>
    <t>https://motorring.ru/product/29225-filytr-nulevogo-soprotivleniya-siniy-karbyurator-vaz</t>
  </si>
  <si>
    <t>https://motorring.ru/product/38485-filytr-nulevogo-soprotivleniya-inghektor-krasniy-vaz</t>
  </si>
  <si>
    <t>https://motorring.ru/product/2370-filytr-nulevogo-soprotivleniya-inghektor-dlya-vaz</t>
  </si>
  <si>
    <t>https://motorring.ru/product/32067-komplekt-chernyh-linzovannyh-far-stile-amg-dlya-lada-priora</t>
  </si>
  <si>
    <t>https://motorring.ru/product/34428-universalynaya-rezinovaya-guba-samurai-beliy-kant</t>
  </si>
  <si>
    <t>https://motorring.ru/product/12708-universalynaya-rezinovaya-guba-samurai-bamper</t>
  </si>
  <si>
    <t>https://motorring.ru/product/20552-svetodiodnye-fonari-klyushki-vaz-2110</t>
  </si>
  <si>
    <t>4190 снят</t>
  </si>
  <si>
    <t>не нашел</t>
  </si>
  <si>
    <t>https://motorring.ru/product/21338-korpusa-zadnih-fonarey-belym-povorotnikom-vaz-2108-21099</t>
  </si>
  <si>
    <t>https://motorring.ru/product/41035-kruglaya-nasadka-glushitelya-akrapovic-tq004c-skosom</t>
  </si>
  <si>
    <t>https://motorring.ru/product/21150-steklo-pravoy-fary-avtosvet-vaz-2113-2115</t>
  </si>
  <si>
    <t>https://motorring.ru/product/10393-filytr-nulevogo-soprotivleniya-shtatnyy-korpus</t>
  </si>
  <si>
    <t>не такие</t>
  </si>
  <si>
    <t>https://motorring.ru/product/21483-termolenta-titan-vypusknuyu-sistemu</t>
  </si>
  <si>
    <t>https://motorring.ru/product/11752-vspyshki-fso-48w-16-svetodiodov</t>
  </si>
  <si>
    <t>https://motorring.ru/product/27379-vspyshka-fso-belo-krasnaya-svetodiodov</t>
  </si>
  <si>
    <t>Column1</t>
  </si>
  <si>
    <t>Column2</t>
  </si>
  <si>
    <t>Column3</t>
  </si>
  <si>
    <t>Column4</t>
  </si>
  <si>
    <t>#VALUE!</t>
  </si>
  <si>
    <t>#VALUE!_1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</si>
  <si>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</si>
  <si>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</si>
  <si>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</si>
  <si>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</si>
  <si>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</si>
  <si>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</si>
  <si>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</si>
  <si>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</si>
  <si>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</si>
  <si>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</si>
  <si>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</si>
  <si>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</si>
  <si>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</si>
  <si>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</si>
  <si>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https://docs.google.com/spreadsheets/d/1f8_y-lcqVEuKpceVw_F97NEKzue5YmQtx8GIXUS_2B8/export?format=xlsx</t>
  </si>
  <si>
    <t>//*[@id="e-curr-price"]/text()</t>
  </si>
  <si>
    <t>//*[@class="p_club_price pb5"]/text()</t>
  </si>
  <si>
    <t>Цена</t>
  </si>
  <si>
    <t/>
  </si>
  <si>
    <t>590</t>
  </si>
  <si>
    <t>2890</t>
  </si>
  <si>
    <t>899</t>
  </si>
  <si>
    <t>1690</t>
  </si>
  <si>
    <t>1590</t>
  </si>
  <si>
    <t>9190</t>
  </si>
  <si>
    <t>4190</t>
  </si>
  <si>
    <t>890</t>
  </si>
  <si>
    <t>790</t>
  </si>
  <si>
    <t>769</t>
  </si>
  <si>
    <t>949</t>
  </si>
  <si>
    <t>1190</t>
  </si>
  <si>
    <t>https://motorring.ru/product/37863-platy-zadnih-fonarey-dlya-vaz-2108-21099</t>
  </si>
  <si>
    <t>https://motorring.ru/product/32730-led-rgb-lampy-gabarity-puytom-lightspace-t10-w5w</t>
  </si>
  <si>
    <t>https://motorring.ru/product/25891-termolenta-steklovolokno-krasnaya-vypusknuyu-sistemu</t>
  </si>
  <si>
    <t>990 снят</t>
  </si>
  <si>
    <t>https://motorring.ru/product/4465-termolenta-vypusknuyu-sistemu</t>
  </si>
  <si>
    <t>https://motorring.ru/product/25892-termolenta-alyuminizirovannoe-steklovolokno-vypusknuyu</t>
  </si>
  <si>
    <t>1290 снят</t>
  </si>
  <si>
    <t>Замки капота под скрытую установку без ключей, D1 пластик</t>
  </si>
  <si>
    <t>Замки капота под скрытую установку с ключом, D1 пластик</t>
  </si>
  <si>
    <t>8582-КПТ</t>
  </si>
  <si>
    <t>Сигналы звуковые "Super Horn" универсальные</t>
  </si>
  <si>
    <t>2689697702</t>
  </si>
  <si>
    <t>https://motorring.ru/product/26000-zamki-kapota-pod-skrytuyu-ustanovku-plastik</t>
  </si>
  <si>
    <t>https://motorring.ru/product/8582-zamki-kapota-pod-skrytuyu-ustanovku-klyuchom-plastik</t>
  </si>
  <si>
    <t>СВОД</t>
  </si>
  <si>
    <t>Данные</t>
  </si>
  <si>
    <t>Переменные</t>
  </si>
  <si>
    <t>829</t>
  </si>
  <si>
    <t>290</t>
  </si>
  <si>
    <t>22490</t>
  </si>
  <si>
    <t>929</t>
  </si>
  <si>
    <t>990</t>
  </si>
  <si>
    <t>1290</t>
  </si>
  <si>
    <t>1490</t>
  </si>
  <si>
    <t xml:space="preserve">Кат. </t>
  </si>
  <si>
    <t xml:space="preserve">Арт. </t>
  </si>
  <si>
    <t>Патрубок впускной алюминиевый (красный, 16-ти / 8-ми клапанный двигатель)</t>
  </si>
  <si>
    <t>Патрубок впускной алюминиевый (синий, 16-ти / 8-ми клапанный двигатель)</t>
  </si>
  <si>
    <t>Патрубок впускной алюминиевый для фильтра нулевого сопротивления (серебристый, 16-ти / 8-ми клапанный)</t>
  </si>
  <si>
    <t>Фильтр нулевого сопротивления в штатный корпус (инджекторный двигатель)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</si>
</sst>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1"/>
      <charset val="204"/>
    </font>
    <font>
      <b/>
      <sz val="11"/>
      <color theme="1"/>
      <name val="Calibri"/>
      <family val="1"/>
      <charset val="204"/>
    </font>
    <font>
      <b/>
      <sz val="15"/>
      <color theme="3"/>
      <name val="Calibri"/>
      <family val="2"/>
      <charset val="204"/>
    </font>
    <font>
      <b/>
      <sz val="13"/>
      <color theme="3"/>
      <name val="Calibri"/>
      <family val="2"/>
      <charset val="204"/>
    </font>
    <font>
      <b/>
      <sz val="11"/>
      <color theme="3"/>
      <name val="Calibri"/>
      <family val="2"/>
      <charset val="204"/>
    </font>
    <font>
      <sz val="10"/>
      <color rgb="FF9C0006"/>
      <name val="Calibri"/>
      <family val="2"/>
      <charset val="204"/>
    </font>
    <font>
      <sz val="10"/>
      <color theme="0"/>
      <name val="Calibri"/>
      <family val="2"/>
      <charset val="204"/>
    </font>
    <font>
      <sz val="11"/>
      <color theme="1"/>
      <name val="Calibri"/>
      <family val="2"/>
      <charset val="204"/>
    </font>
    <font>
      <sz val="10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name val="Calibri"/>
      <family val="2"/>
      <charset val="204"/>
    </font>
    <font>
      <u/>
      <sz val="11"/>
      <color theme="10"/>
      <name val="Calibri"/>
      <family val="2"/>
      <scheme val="minor"/>
    </font>
    <font>
      <sz val="1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 diagonalUp="1" diagonalDown="1">
      <left/>
      <right/>
      <top/>
      <bottom/>
      <diagonal style="double">
        <color rgb="FFC00000"/>
      </diagonal>
    </border>
    <border>
      <left/>
      <right style="double">
        <color theme="0"/>
      </right>
      <top/>
      <bottom style="double">
        <color theme="0"/>
      </bottom>
      <diagonal/>
    </border>
  </borders>
  <cellStyleXfs count="14">
    <xf numFmtId="0" fontId="0" fillId="0" borderId="0"/>
    <xf numFmtId="9" fontId="2" fillId="0" borderId="0" applyFont="0" applyFill="0" applyBorder="0" applyAlignment="0" applyProtection="0"/>
    <xf numFmtId="0" fontId="5" fillId="9" borderId="4" applyNumberFormat="0" applyFont="0" applyBorder="0" applyAlignment="0" applyProtection="0"/>
    <xf numFmtId="0" fontId="6" fillId="2" borderId="5" applyNumberFormat="0" applyFont="0" applyBorder="0" applyAlignment="0" applyProtection="0"/>
    <xf numFmtId="0" fontId="7" fillId="10" borderId="6" applyNumberFormat="0" applyFont="0" applyBorder="0" applyAlignment="0" applyProtection="0"/>
    <xf numFmtId="0" fontId="7" fillId="0" borderId="3" applyNumberFormat="0" applyFont="0" applyFill="0" applyAlignment="0" applyProtection="0"/>
    <xf numFmtId="0" fontId="8" fillId="3" borderId="0" applyNumberFormat="0" applyBorder="0" applyAlignment="0" applyProtection="0"/>
    <xf numFmtId="0" fontId="13" fillId="0" borderId="11" applyNumberFormat="0" applyAlignment="0" applyProtection="0"/>
    <xf numFmtId="0" fontId="14" fillId="0" borderId="12" applyNumberFormat="0" applyAlignment="0" applyProtection="0"/>
    <xf numFmtId="0" fontId="15" fillId="0" borderId="13" applyNumberFormat="0" applyAlignment="0" applyProtection="0"/>
    <xf numFmtId="0" fontId="13" fillId="6" borderId="14" applyNumberFormat="0" applyProtection="0">
      <alignment horizontal="center" vertical="center"/>
    </xf>
    <xf numFmtId="0" fontId="9" fillId="7" borderId="15" applyNumberFormat="0" applyAlignment="0" applyProtection="0"/>
    <xf numFmtId="0" fontId="16" fillId="8" borderId="0" applyNumberFormat="0" applyBorder="0" applyAlignment="0" applyProtection="0"/>
    <xf numFmtId="0" fontId="17" fillId="0" borderId="0" applyNumberFormat="0" applyFill="0" applyBorder="0" applyAlignment="0" applyProtection="0"/>
  </cellStyleXfs>
  <cellXfs count="83">
    <xf numFmtId="0" fontId="2" fillId="0" borderId="0" xfId="0" applyFont="1" applyAlignment="1" applyProtection="1">
      <alignment horizontal="left" vertical="top" wrapText="1"/>
    </xf>
    <xf numFmtId="0" fontId="3" fillId="0" borderId="0" xfId="0" applyFont="1" applyAlignment="1" applyProtection="1">
      <alignment horizontal="left" vertical="top" wrapText="1"/>
    </xf>
    <xf numFmtId="0" fontId="4" fillId="0" borderId="1" xfId="0" applyFont="1" applyBorder="1" applyAlignment="1" applyProtection="1">
      <alignment horizontal="left" vertical="top" wrapText="1"/>
    </xf>
    <xf numFmtId="0" fontId="0" fillId="0" borderId="2" xfId="0" applyBorder="1" applyAlignment="1" applyProtection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3" xfId="0" applyFont="1" applyBorder="1" applyAlignment="1">
      <alignment horizontal="left" vertical="top" wrapText="1"/>
    </xf>
    <xf numFmtId="0" fontId="4" fillId="0" borderId="3" xfId="0" applyFont="1" applyBorder="1" applyAlignment="1" applyProtection="1">
      <alignment horizontal="left" vertical="top" wrapText="1"/>
    </xf>
    <xf numFmtId="0" fontId="0" fillId="0" borderId="3" xfId="0" applyBorder="1" applyAlignment="1" applyProtection="1">
      <alignment horizontal="left" vertical="top" wrapText="1"/>
    </xf>
    <xf numFmtId="0" fontId="3" fillId="0" borderId="1" xfId="0" applyFont="1" applyBorder="1" applyAlignment="1" applyProtection="1">
      <alignment horizontal="left" vertical="top" wrapText="1"/>
    </xf>
    <xf numFmtId="0" fontId="0" fillId="2" borderId="3" xfId="0" applyFill="1" applyBorder="1" applyAlignment="1" applyProtection="1">
      <alignment horizontal="left" vertical="top" wrapText="1"/>
    </xf>
    <xf numFmtId="0" fontId="3" fillId="2" borderId="3" xfId="0" applyFont="1" applyFill="1" applyBorder="1" applyAlignment="1" applyProtection="1">
      <alignment horizontal="left" vertical="top" wrapText="1"/>
    </xf>
    <xf numFmtId="9" fontId="2" fillId="0" borderId="0" xfId="1" applyFont="1" applyAlignment="1" applyProtection="1">
      <alignment horizontal="left" vertical="top" wrapText="1"/>
    </xf>
    <xf numFmtId="9" fontId="2" fillId="0" borderId="0" xfId="1" applyFont="1" applyAlignment="1">
      <alignment horizontal="left" vertical="top" wrapText="1"/>
    </xf>
    <xf numFmtId="1" fontId="2" fillId="0" borderId="0" xfId="0" applyNumberFormat="1" applyFont="1" applyAlignment="1" applyProtection="1">
      <alignment horizontal="left" vertical="top" wrapText="1"/>
    </xf>
    <xf numFmtId="1" fontId="8" fillId="3" borderId="3" xfId="6" applyNumberFormat="1" applyBorder="1" applyAlignment="1" applyProtection="1">
      <alignment horizontal="left" vertical="top" wrapText="1"/>
    </xf>
    <xf numFmtId="9" fontId="0" fillId="2" borderId="3" xfId="0" applyNumberFormat="1" applyFill="1" applyBorder="1"/>
    <xf numFmtId="0" fontId="2" fillId="0" borderId="0" xfId="0" applyFont="1" applyAlignment="1" applyProtection="1">
      <alignment horizontal="left" vertical="top"/>
    </xf>
    <xf numFmtId="0" fontId="11" fillId="0" borderId="7" xfId="0" applyFont="1" applyBorder="1" applyAlignment="1" applyProtection="1">
      <alignment horizontal="right" wrapText="1"/>
    </xf>
    <xf numFmtId="0" fontId="11" fillId="0" borderId="8" xfId="0" applyFont="1" applyBorder="1" applyAlignment="1" applyProtection="1">
      <alignment horizontal="right" wrapText="1"/>
    </xf>
    <xf numFmtId="0" fontId="11" fillId="0" borderId="9" xfId="0" applyFont="1" applyBorder="1" applyAlignment="1" applyProtection="1">
      <alignment horizontal="right" wrapText="1"/>
    </xf>
    <xf numFmtId="0" fontId="11" fillId="0" borderId="10" xfId="0" applyFont="1" applyBorder="1" applyAlignment="1" applyProtection="1">
      <alignment horizontal="right" wrapText="1"/>
    </xf>
    <xf numFmtId="0" fontId="10" fillId="0" borderId="3" xfId="0" applyFont="1" applyBorder="1" applyAlignment="1" applyProtection="1">
      <alignment horizontal="left" vertical="top" wrapText="1"/>
    </xf>
    <xf numFmtId="0" fontId="12" fillId="0" borderId="0" xfId="0" applyFont="1" applyAlignment="1" applyProtection="1">
      <alignment horizontal="left" vertical="top" wrapText="1"/>
    </xf>
    <xf numFmtId="0" fontId="12" fillId="0" borderId="0" xfId="0" applyFont="1" applyAlignment="1">
      <alignment horizontal="left" vertical="top" wrapText="1"/>
    </xf>
    <xf numFmtId="1" fontId="8" fillId="3" borderId="3" xfId="6" applyNumberFormat="1" applyFont="1" applyBorder="1" applyAlignment="1" applyProtection="1">
      <alignment horizontal="left" vertical="top" wrapText="1"/>
    </xf>
    <xf numFmtId="0" fontId="13" fillId="0" borderId="11" xfId="7" applyAlignment="1" applyProtection="1">
      <alignment horizontal="left" vertical="top" wrapText="1"/>
    </xf>
    <xf numFmtId="9" fontId="0" fillId="0" borderId="0" xfId="1" applyFont="1"/>
    <xf numFmtId="0" fontId="11" fillId="2" borderId="10" xfId="0" applyFont="1" applyFill="1" applyBorder="1" applyAlignment="1" applyProtection="1">
      <alignment horizontal="right" wrapText="1"/>
    </xf>
    <xf numFmtId="0" fontId="11" fillId="2" borderId="8" xfId="0" applyFont="1" applyFill="1" applyBorder="1" applyAlignment="1" applyProtection="1">
      <alignment horizontal="right" wrapText="1"/>
    </xf>
    <xf numFmtId="0" fontId="0" fillId="4" borderId="3" xfId="0" applyFill="1" applyBorder="1"/>
    <xf numFmtId="0" fontId="0" fillId="0" borderId="0" xfId="0" applyAlignment="1">
      <alignment wrapText="1"/>
    </xf>
    <xf numFmtId="0" fontId="0" fillId="0" borderId="0" xfId="0"/>
    <xf numFmtId="0" fontId="3" fillId="11" borderId="3" xfId="0" applyFont="1" applyFill="1" applyBorder="1" applyAlignment="1">
      <alignment horizontal="left" vertical="top" wrapText="1"/>
    </xf>
    <xf numFmtId="0" fontId="0" fillId="0" borderId="3" xfId="0" applyBorder="1" applyAlignment="1">
      <alignment wrapText="1"/>
    </xf>
    <xf numFmtId="0" fontId="0" fillId="0" borderId="3" xfId="0" applyBorder="1"/>
    <xf numFmtId="1" fontId="0" fillId="0" borderId="0" xfId="0" applyNumberFormat="1"/>
    <xf numFmtId="1" fontId="3" fillId="12" borderId="3" xfId="0" applyNumberFormat="1" applyFont="1" applyFill="1" applyBorder="1" applyAlignment="1">
      <alignment horizontal="left" vertical="top" wrapText="1"/>
    </xf>
    <xf numFmtId="0" fontId="0" fillId="0" borderId="3" xfId="0" applyBorder="1" applyAlignment="1" applyProtection="1">
      <alignment horizontal="left" vertical="top" wrapText="1"/>
    </xf>
    <xf numFmtId="1" fontId="2" fillId="0" borderId="0" xfId="0" applyNumberFormat="1" applyFont="1" applyAlignment="1">
      <alignment horizontal="left" vertical="top" wrapText="1"/>
    </xf>
    <xf numFmtId="9" fontId="3" fillId="13" borderId="3" xfId="1" applyFont="1" applyFill="1" applyBorder="1" applyAlignment="1">
      <alignment horizontal="left" vertical="top" wrapText="1"/>
    </xf>
    <xf numFmtId="9" fontId="18" fillId="13" borderId="3" xfId="0" applyNumberFormat="1" applyFont="1" applyFill="1" applyBorder="1" applyAlignment="1">
      <alignment horizontal="left" vertical="center"/>
    </xf>
    <xf numFmtId="0" fontId="19" fillId="0" borderId="3" xfId="0" applyFont="1" applyBorder="1" applyAlignment="1">
      <alignment horizontal="center" vertical="center" wrapText="1"/>
    </xf>
    <xf numFmtId="1" fontId="3" fillId="13" borderId="3" xfId="1" applyNumberFormat="1" applyFont="1" applyFill="1" applyBorder="1" applyAlignment="1">
      <alignment horizontal="left" vertical="top" wrapText="1"/>
    </xf>
    <xf numFmtId="0" fontId="18" fillId="13" borderId="3" xfId="0" applyFont="1" applyFill="1" applyBorder="1" applyAlignment="1">
      <alignment horizontal="left" vertical="center"/>
    </xf>
    <xf numFmtId="9" fontId="1" fillId="0" borderId="3" xfId="1" applyFont="1" applyBorder="1" applyAlignment="1">
      <alignment wrapText="1"/>
    </xf>
    <xf numFmtId="0" fontId="17" fillId="0" borderId="11" xfId="13" applyBorder="1" applyAlignment="1" applyProtection="1">
      <alignment horizontal="left" vertical="top" wrapText="1"/>
    </xf>
    <xf numFmtId="0" fontId="3" fillId="0" borderId="0" xfId="0" applyFont="1" applyAlignment="1">
      <alignment horizontal="left" vertical="top"/>
    </xf>
    <xf numFmtId="0" fontId="2" fillId="0" borderId="0" xfId="0" applyFont="1" applyAlignment="1">
      <alignment horizontal="left" vertical="top"/>
    </xf>
    <xf numFmtId="0" fontId="17" fillId="0" borderId="2" xfId="13" applyBorder="1" applyAlignment="1" applyProtection="1">
      <alignment horizontal="left" vertical="top" wrapText="1"/>
    </xf>
    <xf numFmtId="0" fontId="17" fillId="13" borderId="3" xfId="13" applyFill="1" applyBorder="1" applyAlignment="1">
      <alignment horizontal="left" vertical="center"/>
    </xf>
    <xf numFmtId="0" fontId="0" fillId="0" borderId="0" xfId="0" applyNumberFormat="1"/>
    <xf numFmtId="1" fontId="18" fillId="13" borderId="3" xfId="0" applyNumberFormat="1" applyFont="1" applyFill="1" applyBorder="1" applyAlignment="1">
      <alignment horizontal="left" vertical="center"/>
    </xf>
    <xf numFmtId="1" fontId="0" fillId="13" borderId="3" xfId="0" applyNumberFormat="1" applyFill="1" applyBorder="1" applyAlignment="1">
      <alignment horizontal="left"/>
    </xf>
    <xf numFmtId="1" fontId="0" fillId="5" borderId="3" xfId="0" applyNumberFormat="1" applyFill="1" applyBorder="1" applyAlignment="1">
      <alignment horizontal="left"/>
    </xf>
    <xf numFmtId="1" fontId="0" fillId="14" borderId="3" xfId="0" applyNumberFormat="1" applyFill="1" applyBorder="1" applyAlignment="1">
      <alignment horizontal="left"/>
    </xf>
    <xf numFmtId="1" fontId="0" fillId="15" borderId="3" xfId="0" applyNumberFormat="1" applyFill="1" applyBorder="1" applyAlignment="1">
      <alignment horizontal="left"/>
    </xf>
    <xf numFmtId="1" fontId="0" fillId="16" borderId="3" xfId="0" applyNumberFormat="1" applyFill="1" applyBorder="1" applyAlignment="1">
      <alignment horizontal="left"/>
    </xf>
    <xf numFmtId="1" fontId="20" fillId="10" borderId="3" xfId="0" applyNumberFormat="1" applyFont="1" applyFill="1" applyBorder="1" applyAlignment="1">
      <alignment horizontal="left" vertical="center"/>
    </xf>
    <xf numFmtId="2" fontId="20" fillId="17" borderId="3" xfId="0" applyNumberFormat="1" applyFont="1" applyFill="1" applyBorder="1" applyAlignment="1">
      <alignment horizontal="left" vertical="center"/>
    </xf>
    <xf numFmtId="1" fontId="20" fillId="17" borderId="3" xfId="0" applyNumberFormat="1" applyFont="1" applyFill="1" applyBorder="1" applyAlignment="1">
      <alignment horizontal="left" vertical="center"/>
    </xf>
    <xf numFmtId="0" fontId="17" fillId="0" borderId="3" xfId="13" applyBorder="1" applyAlignment="1" applyProtection="1">
      <alignment horizontal="left" vertical="top" wrapText="1"/>
    </xf>
    <xf numFmtId="0" fontId="2" fillId="0" borderId="0" xfId="0" applyFont="1" applyAlignment="1" applyProtection="1">
      <alignment horizontal="left" vertical="top" wrapText="1"/>
    </xf>
    <xf numFmtId="0" fontId="0" fillId="0" borderId="3" xfId="0" applyBorder="1" applyAlignment="1" applyProtection="1">
      <alignment horizontal="left" vertical="top" wrapText="1"/>
    </xf>
    <xf numFmtId="1" fontId="3" fillId="2" borderId="3" xfId="0" applyNumberFormat="1" applyFont="1" applyFill="1" applyBorder="1" applyAlignment="1" applyProtection="1">
      <alignment horizontal="left" vertical="top" wrapText="1"/>
    </xf>
    <xf numFmtId="9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1" fontId="0" fillId="0" borderId="0" xfId="0" applyNumberFormat="1" applyAlignment="1">
      <alignment horizontal="left"/>
    </xf>
    <xf numFmtId="9" fontId="0" fillId="0" borderId="0" xfId="0" applyNumberFormat="1" applyAlignment="1">
      <alignment horizontal="left"/>
    </xf>
    <xf numFmtId="9" fontId="0" fillId="2" borderId="3" xfId="0" applyNumberFormat="1" applyFill="1" applyBorder="1" applyAlignment="1">
      <alignment horizontal="left"/>
    </xf>
    <xf numFmtId="0" fontId="19" fillId="0" borderId="3" xfId="0" applyFont="1" applyBorder="1" applyAlignment="1">
      <alignment horizontal="left" vertical="center" wrapText="1"/>
    </xf>
    <xf numFmtId="0" fontId="0" fillId="0" borderId="3" xfId="0" applyBorder="1" applyAlignment="1">
      <alignment horizontal="left" wrapText="1"/>
    </xf>
    <xf numFmtId="0" fontId="0" fillId="0" borderId="3" xfId="0" applyBorder="1" applyAlignment="1">
      <alignment horizontal="left"/>
    </xf>
    <xf numFmtId="9" fontId="1" fillId="0" borderId="3" xfId="1" applyFont="1" applyBorder="1" applyAlignment="1">
      <alignment horizontal="left" wrapText="1"/>
    </xf>
    <xf numFmtId="0" fontId="3" fillId="0" borderId="3" xfId="0" applyFont="1" applyBorder="1" applyAlignment="1" applyProtection="1">
      <alignment horizontal="left" vertical="top" wrapText="1"/>
    </xf>
    <xf numFmtId="1" fontId="0" fillId="0" borderId="3" xfId="0" applyNumberFormat="1" applyBorder="1" applyAlignment="1" applyProtection="1">
      <alignment horizontal="left" vertical="top" wrapText="1"/>
    </xf>
    <xf numFmtId="0" fontId="0" fillId="0" borderId="3" xfId="0" applyBorder="1" applyAlignment="1" applyProtection="1">
      <alignment horizontal="left" vertical="top" wrapText="1"/>
    </xf>
    <xf numFmtId="1" fontId="3" fillId="2" borderId="3" xfId="0" applyNumberFormat="1" applyFont="1" applyFill="1" applyBorder="1" applyAlignment="1" applyProtection="1">
      <alignment horizontal="left" vertical="top" wrapText="1"/>
    </xf>
    <xf numFmtId="0" fontId="3" fillId="0" borderId="3" xfId="0" applyFont="1" applyBorder="1" applyAlignment="1" applyProtection="1">
      <alignment horizontal="left" vertical="top" wrapText="1"/>
    </xf>
    <xf numFmtId="1" fontId="0" fillId="0" borderId="3" xfId="0" applyNumberFormat="1" applyBorder="1" applyAlignment="1" applyProtection="1">
      <alignment horizontal="left" vertical="top" wrapText="1"/>
    </xf>
    <xf numFmtId="0" fontId="0" fillId="0" borderId="3" xfId="0" applyBorder="1" applyAlignment="1" applyProtection="1">
      <alignment horizontal="left" vertical="top" wrapText="1"/>
    </xf>
    <xf numFmtId="1" fontId="3" fillId="2" borderId="3" xfId="0" applyNumberFormat="1" applyFont="1" applyFill="1" applyBorder="1" applyAlignment="1" applyProtection="1">
      <alignment horizontal="left" vertical="top" wrapText="1"/>
    </xf>
  </cellXfs>
  <cellStyles count="14">
    <cellStyle name="Акцент1" xfId="7" builtinId="29" customBuiltin="1"/>
    <cellStyle name="Акцент2" xfId="8" builtinId="33" customBuiltin="1"/>
    <cellStyle name="Акцент3" xfId="9" builtinId="37" customBuiltin="1"/>
    <cellStyle name="Акцент4" xfId="10" builtinId="41" customBuiltin="1"/>
    <cellStyle name="Акцент5" xfId="11" builtinId="45" customBuiltin="1"/>
    <cellStyle name="Акцент6" xfId="12" builtinId="49" customBuiltin="1"/>
    <cellStyle name="Гиперссылка" xfId="1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Обычный" xfId="0" builtinId="0"/>
    <cellStyle name="Плохой" xfId="6" builtinId="27"/>
    <cellStyle name="Процентный" xfId="1" builtinId="5"/>
  </cellStyles>
  <dxfs count="46">
    <dxf>
      <fill>
        <patternFill patternType="none">
          <fgColor indexed="64"/>
          <bgColor indexed="65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solid">
          <fgColor rgb="FFACB9CA"/>
          <bgColor rgb="FF000000"/>
        </patternFill>
      </fill>
    </dxf>
    <dxf>
      <fill>
        <patternFill patternType="solid">
          <fgColor rgb="FFACB9CA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numFmt numFmtId="0" formatCode="General"/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</xdr:row>
          <xdr:rowOff>180975</xdr:rowOff>
        </xdr:from>
        <xdr:to>
          <xdr:col>11</xdr:col>
          <xdr:colOff>590550</xdr:colOff>
          <xdr:row>8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3711D96-F7B5-43CA-9C37-60F05D59B958}" autoFormatId="16" applyNumberFormats="0" applyBorderFormats="0" applyFontFormats="0" applyPatternFormats="0" applyAlignmentFormats="0" applyWidthHeightFormats="0">
  <queryTableRefresh nextId="21">
    <queryTableFields count="2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#VALUE!" tableColumnId="5"/>
      <queryTableField id="6" name="#VALUE!_1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F91868-C520-4F20-B7F5-29371A4E1952}" name="АВТОСВЕТ" displayName="АВТОСВЕТ" ref="A1:T550" tableType="queryTable" totalsRowShown="0">
  <autoFilter ref="A1:T550" xr:uid="{60F91868-C520-4F20-B7F5-29371A4E1952}"/>
  <tableColumns count="20">
    <tableColumn id="1" xr3:uid="{83AD98FA-845E-4C65-9B3F-A0D10B6D2451}" uniqueName="1" name="Column1" queryTableFieldId="1" dataDxfId="42"/>
    <tableColumn id="2" xr3:uid="{5AD6D0C3-AD74-4A24-8FB8-8BF447AC7E0E}" uniqueName="2" name="Column2" queryTableFieldId="2" dataDxfId="41"/>
    <tableColumn id="3" xr3:uid="{BFB28CE5-FA0F-49A0-86C0-E97419D4605B}" uniqueName="3" name="Column3" queryTableFieldId="3" dataDxfId="40"/>
    <tableColumn id="4" xr3:uid="{3EF78A96-E87B-4291-9685-40BF75BB6F16}" uniqueName="4" name="Column4" queryTableFieldId="4" dataDxfId="39"/>
    <tableColumn id="5" xr3:uid="{F2DF661A-E3EA-4F9D-BF03-B484D2FE1F3B}" uniqueName="5" name="#VALUE!" queryTableFieldId="5" dataDxfId="38"/>
    <tableColumn id="6" xr3:uid="{FDABF898-AAA8-426A-9C9D-E71D5DAFAA98}" uniqueName="6" name="#VALUE!_1" queryTableFieldId="6" dataDxfId="37"/>
    <tableColumn id="7" xr3:uid="{D50B6903-DE4C-4B66-8D16-9DD6D934FB4D}" uniqueName="7" name="Column7" queryTableFieldId="7" dataDxfId="36"/>
    <tableColumn id="8" xr3:uid="{F1E15025-C4A4-4031-9E96-E6EE5E27FCB8}" uniqueName="8" name="Column8" queryTableFieldId="8" dataDxfId="35"/>
    <tableColumn id="9" xr3:uid="{B25329B4-77FE-4162-8356-7766942C1751}" uniqueName="9" name="Column9" queryTableFieldId="9" dataDxfId="34"/>
    <tableColumn id="10" xr3:uid="{4A8E354C-6359-4FF9-9E50-00F5C4636BEF}" uniqueName="10" name="Column10" queryTableFieldId="10" dataDxfId="33"/>
    <tableColumn id="11" xr3:uid="{2635C41F-F83C-4673-AA69-DDD407BB4228}" uniqueName="11" name="Column11" queryTableFieldId="11" dataDxfId="32"/>
    <tableColumn id="12" xr3:uid="{3EC26C84-51E6-4077-8F6D-422E0A6C360C}" uniqueName="12" name="Column12" queryTableFieldId="12" dataDxfId="31"/>
    <tableColumn id="13" xr3:uid="{A74F95DE-5DA6-4C85-BAE6-F2B8FDEA4080}" uniqueName="13" name="Column13" queryTableFieldId="13" dataDxfId="30"/>
    <tableColumn id="14" xr3:uid="{FE02040F-EF69-400B-9B1C-B77EFF7141E4}" uniqueName="14" name="Column14" queryTableFieldId="14" dataDxfId="29"/>
    <tableColumn id="15" xr3:uid="{F4D9CA07-6BFC-4B20-B37B-DDFF865634BE}" uniqueName="15" name="Column15" queryTableFieldId="15" dataDxfId="28"/>
    <tableColumn id="16" xr3:uid="{40907782-7478-4BDD-96C6-6B2FA3CDB4FB}" uniqueName="16" name="Column16" queryTableFieldId="16" dataDxfId="27"/>
    <tableColumn id="17" xr3:uid="{3A27DB34-0600-49D6-BA26-AFF24D02521B}" uniqueName="17" name="Column17" queryTableFieldId="17" dataDxfId="26"/>
    <tableColumn id="18" xr3:uid="{328BEE57-4DC4-4074-9D34-22B938C2B332}" uniqueName="18" name="Column18" queryTableFieldId="18" dataDxfId="25"/>
    <tableColumn id="19" xr3:uid="{7C5E3200-8E59-41CB-860B-BD59E75C91A7}" uniqueName="19" name="Column19" queryTableFieldId="19" dataDxfId="24"/>
    <tableColumn id="20" xr3:uid="{C9DBCE62-6751-49EA-AA3D-B04F18F3BB22}" uniqueName="20" name="Column20" queryTableFieldId="20" dataDxfId="2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otorring.ru/product/20552-svetodiodnye-fonari-klyushki-vaz-2110" TargetMode="External"/><Relationship Id="rId13" Type="http://schemas.openxmlformats.org/officeDocument/2006/relationships/hyperlink" Target="https://motorring.ru/product/37863-platy-zadnih-fonarey-dlya-vaz-2108-21099" TargetMode="External"/><Relationship Id="rId3" Type="http://schemas.openxmlformats.org/officeDocument/2006/relationships/hyperlink" Target="https://motorring.ru/product/41035-kruglaya-nasadka-glushitelya-akrapovic-tq004c-skosom" TargetMode="External"/><Relationship Id="rId7" Type="http://schemas.openxmlformats.org/officeDocument/2006/relationships/hyperlink" Target="https://motorring.ru/product/12708-universalynaya-rezinovaya-guba-samurai-bamper" TargetMode="External"/><Relationship Id="rId12" Type="http://schemas.openxmlformats.org/officeDocument/2006/relationships/hyperlink" Target="https://motorring.ru/product/27379-vspyshka-fso-belo-krasnaya-svetodiodov" TargetMode="External"/><Relationship Id="rId2" Type="http://schemas.openxmlformats.org/officeDocument/2006/relationships/hyperlink" Target="https://motorring.ru/product/21338-korpusa-zadnih-fonarey-belym-povorotnikom-vaz-2108-21099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s://motorring.ru/product/38324-fonari-svetodiodnye-stile-audi-vaz-2110-krasnii" TargetMode="External"/><Relationship Id="rId6" Type="http://schemas.openxmlformats.org/officeDocument/2006/relationships/hyperlink" Target="https://motorring.ru/product/34428-universalynaya-rezinovaya-guba-samurai-beliy-kant" TargetMode="External"/><Relationship Id="rId11" Type="http://schemas.openxmlformats.org/officeDocument/2006/relationships/hyperlink" Target="https://motorring.ru/product/27380-vspyshka-fso-belo-sinaya-svetodiodov" TargetMode="External"/><Relationship Id="rId5" Type="http://schemas.openxmlformats.org/officeDocument/2006/relationships/hyperlink" Target="https://motorring.ru/product/38324-fonari-svetodiodnye-stile-audi-vaz-2110-krasnii" TargetMode="External"/><Relationship Id="rId15" Type="http://schemas.openxmlformats.org/officeDocument/2006/relationships/hyperlink" Target="https://motorring.ru/product/32730-led-rgb-lampy-gabarity-puytom-lightspace-t10-w5w" TargetMode="External"/><Relationship Id="rId10" Type="http://schemas.openxmlformats.org/officeDocument/2006/relationships/hyperlink" Target="https://motorring.ru/product/11752-vspyshki-fso-48w-16-svetodiodov" TargetMode="External"/><Relationship Id="rId4" Type="http://schemas.openxmlformats.org/officeDocument/2006/relationships/hyperlink" Target="https://motorring.ru/product/10393-filytr-nulevogo-soprotivleniya-shtatnyy-korpus" TargetMode="External"/><Relationship Id="rId9" Type="http://schemas.openxmlformats.org/officeDocument/2006/relationships/hyperlink" Target="https://motorring.ru/product/21483-termolenta-titan-vypusknuyu-sistemu" TargetMode="External"/><Relationship Id="rId14" Type="http://schemas.openxmlformats.org/officeDocument/2006/relationships/hyperlink" Target="https://motorring.ru/product/37863-platy-zadnih-fonarey-dlya-vaz-2108-21099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otorring.ru/product/3003-vozdushnyy-filytr-nulevogo-soprotivleniya-prosport" TargetMode="External"/><Relationship Id="rId3" Type="http://schemas.openxmlformats.org/officeDocument/2006/relationships/hyperlink" Target="https://motorring.ru/product/2370-filytr-nulevogo-soprotivleniya-inghektor-dlya-vaz" TargetMode="External"/><Relationship Id="rId7" Type="http://schemas.openxmlformats.org/officeDocument/2006/relationships/hyperlink" Target="https://motorring.ru/product/29225-filytr-nulevogo-soprotivleniya-siniy-karbyurator-vaz" TargetMode="External"/><Relationship Id="rId2" Type="http://schemas.openxmlformats.org/officeDocument/2006/relationships/hyperlink" Target="https://motorring.ru/product/2370-filytr-nulevogo-soprotivleniya-inghektor-dlya-vaz" TargetMode="External"/><Relationship Id="rId1" Type="http://schemas.openxmlformats.org/officeDocument/2006/relationships/hyperlink" Target="https://motorring.ru/product/38485-filytr-nulevogo-soprotivleniya-inghektor-krasniy-vaz" TargetMode="External"/><Relationship Id="rId6" Type="http://schemas.openxmlformats.org/officeDocument/2006/relationships/hyperlink" Target="https://motorring.ru/product/2368-filytr-nulevogo-soprotivleniya-karbyurator-vaz" TargetMode="External"/><Relationship Id="rId5" Type="http://schemas.openxmlformats.org/officeDocument/2006/relationships/hyperlink" Target="https://motorring.ru/product/3009-vozdushnyy-filytr-nulevogo-soprotivleniya-inghektornyy" TargetMode="External"/><Relationship Id="rId4" Type="http://schemas.openxmlformats.org/officeDocument/2006/relationships/hyperlink" Target="https://motorring.ru/product/3003-vozdushnyy-filytr-nulevogo-soprotivleniya-prosport" TargetMode="External"/><Relationship Id="rId9" Type="http://schemas.openxmlformats.org/officeDocument/2006/relationships/hyperlink" Target="https://motorring.ru/product/3003-vozdushnyy-filytr-nulevogo-soprotivleniya-prospor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motorring.ru/product/34428-universalynaya-rezinovaya-guba-samurai-beliy-kant" TargetMode="External"/><Relationship Id="rId13" Type="http://schemas.openxmlformats.org/officeDocument/2006/relationships/hyperlink" Target="https://motorring.ru/product/27379-vspyshka-fso-belo-krasnaya-svetodiodov" TargetMode="External"/><Relationship Id="rId18" Type="http://schemas.openxmlformats.org/officeDocument/2006/relationships/hyperlink" Target="https://motorring.ru/product/2370-filytr-nulevogo-soprotivleniya-inghektor-dlya-vaz" TargetMode="External"/><Relationship Id="rId26" Type="http://schemas.openxmlformats.org/officeDocument/2006/relationships/printerSettings" Target="../printerSettings/printerSettings3.bin"/><Relationship Id="rId3" Type="http://schemas.openxmlformats.org/officeDocument/2006/relationships/hyperlink" Target="https://motorring.ru/product/41035-kruglaya-nasadka-glushitelya-akrapovic-tq004c-skosom" TargetMode="External"/><Relationship Id="rId21" Type="http://schemas.openxmlformats.org/officeDocument/2006/relationships/hyperlink" Target="https://motorring.ru/product/3009-vozdushnyy-filytr-nulevogo-soprotivleniya-inghektornyy" TargetMode="External"/><Relationship Id="rId7" Type="http://schemas.openxmlformats.org/officeDocument/2006/relationships/hyperlink" Target="https://motorring.ru/product/32067-komplekt-chernyh-linzovannyh-far-stile-amg-dlya-lada-priora" TargetMode="External"/><Relationship Id="rId12" Type="http://schemas.openxmlformats.org/officeDocument/2006/relationships/hyperlink" Target="https://motorring.ru/product/11752-vspyshki-fso-48w-16-svetodiodov" TargetMode="External"/><Relationship Id="rId17" Type="http://schemas.openxmlformats.org/officeDocument/2006/relationships/hyperlink" Target="https://motorring.ru/product/38485-filytr-nulevogo-soprotivleniya-inghektor-krasniy-vaz" TargetMode="External"/><Relationship Id="rId25" Type="http://schemas.openxmlformats.org/officeDocument/2006/relationships/hyperlink" Target="https://motorring.ru/product/3003-vozdushnyy-filytr-nulevogo-soprotivleniya-prosport" TargetMode="External"/><Relationship Id="rId2" Type="http://schemas.openxmlformats.org/officeDocument/2006/relationships/hyperlink" Target="https://motorring.ru/product/21338-korpusa-zadnih-fonarey-belym-povorotnikom-vaz-2108-21099" TargetMode="External"/><Relationship Id="rId16" Type="http://schemas.openxmlformats.org/officeDocument/2006/relationships/hyperlink" Target="https://motorring.ru/product/32730-led-rgb-lampy-gabarity-puytom-lightspace-t10-w5w" TargetMode="External"/><Relationship Id="rId20" Type="http://schemas.openxmlformats.org/officeDocument/2006/relationships/hyperlink" Target="https://motorring.ru/product/3003-vozdushnyy-filytr-nulevogo-soprotivleniya-prosport" TargetMode="External"/><Relationship Id="rId29" Type="http://schemas.openxmlformats.org/officeDocument/2006/relationships/control" Target="../activeX/activeX1.xml"/><Relationship Id="rId1" Type="http://schemas.openxmlformats.org/officeDocument/2006/relationships/hyperlink" Target="https://motorring.ru/product/38324-fonari-svetodiodnye-stile-audi-vaz-2110-krasnii" TargetMode="External"/><Relationship Id="rId6" Type="http://schemas.openxmlformats.org/officeDocument/2006/relationships/hyperlink" Target="https://motorring.ru/product/38324-fonari-svetodiodnye-stile-audi-vaz-2110-krasnii" TargetMode="External"/><Relationship Id="rId11" Type="http://schemas.openxmlformats.org/officeDocument/2006/relationships/hyperlink" Target="https://motorring.ru/product/21483-termolenta-titan-vypusknuyu-sistemu" TargetMode="External"/><Relationship Id="rId24" Type="http://schemas.openxmlformats.org/officeDocument/2006/relationships/hyperlink" Target="https://motorring.ru/product/3003-vozdushnyy-filytr-nulevogo-soprotivleniya-prosport" TargetMode="External"/><Relationship Id="rId5" Type="http://schemas.openxmlformats.org/officeDocument/2006/relationships/hyperlink" Target="https://motorring.ru/product/10393-filytr-nulevogo-soprotivleniya-shtatnyy-korpus" TargetMode="External"/><Relationship Id="rId15" Type="http://schemas.openxmlformats.org/officeDocument/2006/relationships/hyperlink" Target="https://motorring.ru/product/37863-platy-zadnih-fonarey-dlya-vaz-2108-21099" TargetMode="External"/><Relationship Id="rId23" Type="http://schemas.openxmlformats.org/officeDocument/2006/relationships/hyperlink" Target="https://motorring.ru/product/29225-filytr-nulevogo-soprotivleniya-siniy-karbyurator-vaz" TargetMode="External"/><Relationship Id="rId28" Type="http://schemas.openxmlformats.org/officeDocument/2006/relationships/vmlDrawing" Target="../drawings/vmlDrawing1.vml"/><Relationship Id="rId10" Type="http://schemas.openxmlformats.org/officeDocument/2006/relationships/hyperlink" Target="https://motorring.ru/product/20552-svetodiodnye-fonari-klyushki-vaz-2110" TargetMode="External"/><Relationship Id="rId19" Type="http://schemas.openxmlformats.org/officeDocument/2006/relationships/hyperlink" Target="https://motorring.ru/product/2370-filytr-nulevogo-soprotivleniya-inghektor-dlya-vaz" TargetMode="External"/><Relationship Id="rId4" Type="http://schemas.openxmlformats.org/officeDocument/2006/relationships/hyperlink" Target="https://motorring.ru/product/21150-steklo-pravoy-fary-avtosvet-vaz-2113-2115" TargetMode="External"/><Relationship Id="rId9" Type="http://schemas.openxmlformats.org/officeDocument/2006/relationships/hyperlink" Target="https://motorring.ru/product/12708-universalynaya-rezinovaya-guba-samurai-bamper" TargetMode="External"/><Relationship Id="rId14" Type="http://schemas.openxmlformats.org/officeDocument/2006/relationships/hyperlink" Target="https://motorring.ru/product/37863-platy-zadnih-fonarey-dlya-vaz-2108-21099" TargetMode="External"/><Relationship Id="rId22" Type="http://schemas.openxmlformats.org/officeDocument/2006/relationships/hyperlink" Target="https://motorring.ru/product/2368-filytr-nulevogo-soprotivleniya-karbyurator-vaz" TargetMode="External"/><Relationship Id="rId27" Type="http://schemas.openxmlformats.org/officeDocument/2006/relationships/drawing" Target="../drawings/drawing1.xml"/><Relationship Id="rId30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/>
  </sheetPr>
  <dimension ref="A1:Y65"/>
  <sheetViews>
    <sheetView showRuler="0" zoomScaleNormal="100" workbookViewId="0">
      <pane ySplit="2" topLeftCell="A3" activePane="bottomLeft" state="frozen"/>
      <selection pane="bottomLeft" activeCell="O5" sqref="O5"/>
    </sheetView>
  </sheetViews>
  <sheetFormatPr defaultRowHeight="15" x14ac:dyDescent="0.25"/>
  <cols>
    <col min="1" max="2" width="7" bestFit="1" customWidth="1"/>
    <col min="3" max="3" width="33.28515625" customWidth="1"/>
    <col min="4" max="4" width="2.42578125" bestFit="1" customWidth="1"/>
    <col min="5" max="5" width="4.85546875" bestFit="1" customWidth="1"/>
    <col min="6" max="6" width="15.140625" style="17" bestFit="1" customWidth="1"/>
    <col min="7" max="7" width="7.140625" bestFit="1" customWidth="1"/>
    <col min="8" max="8" width="10.140625" bestFit="1" customWidth="1"/>
    <col min="9" max="9" width="6.5703125" customWidth="1"/>
    <col min="10" max="10" width="5.5703125" bestFit="1" customWidth="1"/>
    <col min="11" max="11" width="6" style="23" customWidth="1"/>
    <col min="12" max="12" width="6.140625" customWidth="1"/>
    <col min="13" max="14" width="6" bestFit="1" customWidth="1"/>
    <col min="15" max="16" width="5.28515625" customWidth="1"/>
    <col min="17" max="17" width="7.5703125" bestFit="1" customWidth="1"/>
    <col min="18" max="18" width="7.5703125" style="14" customWidth="1"/>
    <col min="19" max="19" width="3.140625" customWidth="1"/>
    <col min="20" max="20" width="7.5703125" customWidth="1"/>
    <col min="21" max="21" width="8.28515625" style="12" bestFit="1" customWidth="1"/>
    <col min="22" max="22" width="6.28515625" style="12" bestFit="1" customWidth="1"/>
    <col min="23" max="23" width="6.5703125" style="12" bestFit="1" customWidth="1"/>
    <col min="24" max="24" width="7.85546875" customWidth="1"/>
    <col min="25" max="25" width="9.140625" style="32"/>
  </cols>
  <sheetData>
    <row r="1" spans="1:25" s="14" customFormat="1" x14ac:dyDescent="0.25">
      <c r="B1" s="31">
        <v>2</v>
      </c>
      <c r="C1" s="31">
        <v>3</v>
      </c>
      <c r="D1" s="32">
        <v>4</v>
      </c>
      <c r="E1" s="32">
        <v>14</v>
      </c>
      <c r="F1" s="32">
        <v>5</v>
      </c>
      <c r="H1" s="27">
        <f>COUNT(Кат!$X:$X,Торг!$Y:$Y)/COUNT(Кат!$A:$A,Торг!$B:$B)</f>
        <v>0.35135135135135137</v>
      </c>
      <c r="I1" s="15">
        <f>M1</f>
        <v>8</v>
      </c>
      <c r="K1" s="25">
        <f>N1</f>
        <v>9</v>
      </c>
      <c r="M1" s="32">
        <v>8</v>
      </c>
      <c r="N1" s="32">
        <v>9</v>
      </c>
      <c r="O1" s="36"/>
      <c r="P1" s="36"/>
      <c r="Q1" s="32"/>
      <c r="R1" s="36"/>
      <c r="S1" s="32"/>
      <c r="T1" s="65">
        <v>0.2</v>
      </c>
      <c r="U1" s="16" t="str">
        <f>_xlfn.CONCAT(ROUND(MIN(U3:U9002)*100,0),"-",ROUND(MAX(U3:U9002)*100,0),"%")</f>
        <v>21-146%</v>
      </c>
      <c r="V1" s="16" t="str">
        <f>_xlfn.CONCAT(ROUND(SUBTOTAL(5,V3:V9002)*100,0)," - ",ROUND(SUBTOTAL(4,V3:V9002)*100,0),"%")</f>
        <v>-35 - 5%</v>
      </c>
      <c r="W1" s="16" t="str">
        <f>_xlfn.CONCAT(ROUND(SUBTOTAL(5,W3:W90002)*100,0)," - ",ROUND(SUBTOTAL(4,W3:W90002)*100,0),"%")</f>
        <v>-2 - 154%</v>
      </c>
      <c r="Y1" s="32"/>
    </row>
    <row r="2" spans="1:25" s="1" customFormat="1" ht="30.75" customHeight="1" x14ac:dyDescent="0.25">
      <c r="A2" s="2" t="s">
        <v>0</v>
      </c>
      <c r="B2" s="33" t="s">
        <v>87</v>
      </c>
      <c r="C2" s="33" t="s">
        <v>1</v>
      </c>
      <c r="D2" s="33"/>
      <c r="E2" s="33"/>
      <c r="F2" s="33" t="s">
        <v>84</v>
      </c>
      <c r="G2" s="9" t="s">
        <v>235</v>
      </c>
      <c r="H2" s="9" t="s">
        <v>82</v>
      </c>
      <c r="I2" s="11" t="s">
        <v>3</v>
      </c>
      <c r="J2" s="7"/>
      <c r="K2" s="22"/>
      <c r="L2" s="11" t="s">
        <v>76</v>
      </c>
      <c r="M2" s="33" t="s">
        <v>85</v>
      </c>
      <c r="N2" s="33" t="s">
        <v>86</v>
      </c>
      <c r="O2" s="37" t="s">
        <v>77</v>
      </c>
      <c r="P2" s="37" t="s">
        <v>77</v>
      </c>
      <c r="Q2" s="40">
        <v>7.0000000000000007E-2</v>
      </c>
      <c r="R2" s="52" t="s">
        <v>151</v>
      </c>
      <c r="S2" s="41"/>
      <c r="T2" s="41" t="s">
        <v>152</v>
      </c>
      <c r="U2" s="42" t="s">
        <v>78</v>
      </c>
      <c r="V2" s="42" t="s">
        <v>79</v>
      </c>
      <c r="W2" s="42" t="s">
        <v>80</v>
      </c>
      <c r="X2" s="9" t="s">
        <v>81</v>
      </c>
      <c r="Y2" s="32"/>
    </row>
    <row r="3" spans="1:25" ht="30" x14ac:dyDescent="0.25">
      <c r="A3" s="35">
        <v>219133</v>
      </c>
      <c r="B3" s="35">
        <f>VLOOKUP($A3,'Выгр Кат'!$A:$R,B$1,0)</f>
        <v>6613</v>
      </c>
      <c r="C3" s="34" t="str">
        <f>VLOOKUP($A3,'Выгр Кат'!$A:$R,C$1,0)</f>
        <v>Термолента до 800 градусов белая (5 см х 10 м)</v>
      </c>
      <c r="D3" s="35" t="str">
        <f>VLOOKUP($A3,'Выгр Кат'!$A:$R,D$1,0)</f>
        <v>N</v>
      </c>
      <c r="E3" s="35" t="str">
        <f>VLOOKUP($A3,'Выгр Кат'!$A:$R,E$1,0)</f>
        <v>1</v>
      </c>
      <c r="F3" s="35">
        <f>VLOOKUP($A3,'Выгр Кат'!$A:$R,F$1,0)</f>
        <v>0</v>
      </c>
      <c r="G3" s="3" t="s">
        <v>83</v>
      </c>
      <c r="H3" s="3" t="s">
        <v>10</v>
      </c>
      <c r="I3" s="15">
        <f t="shared" ref="I3:I54" si="0">M3</f>
        <v>600</v>
      </c>
      <c r="J3" s="8">
        <f>VLOOKUP(I3,Наценка!$A$1:$B$8,2,1)</f>
        <v>1.55</v>
      </c>
      <c r="K3" s="22">
        <f t="shared" ref="K3:K35" si="1">I3*J3</f>
        <v>930</v>
      </c>
      <c r="L3" s="10">
        <f t="shared" ref="L3:L35" si="2">IF(K3&lt;=1000,(ROUNDUP(K3,-1)-1),(ROUNDUP(K3,-2)-10))</f>
        <v>929</v>
      </c>
      <c r="M3" s="35">
        <f>VLOOKUP($A3,'Выгр Кат'!$A:$R,M$1,0)</f>
        <v>600</v>
      </c>
      <c r="N3" s="35">
        <f>VLOOKUP($A3,'Выгр Кат'!$A:$R,N$1,0)</f>
        <v>929</v>
      </c>
      <c r="O3" s="37">
        <f t="shared" ref="O3:O35" si="3">M3-I3</f>
        <v>0</v>
      </c>
      <c r="P3" s="37">
        <f t="shared" ref="P3:P35" si="4">N3-L3</f>
        <v>0</v>
      </c>
      <c r="Q3" s="43">
        <f>IFERROR(L3*(1-$Q$2),"")</f>
        <v>863.96999999999991</v>
      </c>
      <c r="R3" s="52" t="str">
        <f>IFERROR((VLOOKUP($A3,'Из ГУГЛа'!$B:$G,6,0)+T3)*S3,VLOOKUP($A3,'Из ГУГЛа'!$B:$G,6,0))</f>
        <v/>
      </c>
      <c r="S3" s="44">
        <v>1</v>
      </c>
      <c r="T3" s="44">
        <v>0</v>
      </c>
      <c r="U3" s="45">
        <f>IFERROR(Q3/I3-1,"")</f>
        <v>0.43994999999999984</v>
      </c>
      <c r="V3" s="45" t="str">
        <f>IFERROR((X3-Q3)/X3,"")</f>
        <v/>
      </c>
      <c r="W3" s="45" t="str">
        <f>IFERROR(IF(X3="","",X3/I3-1),"")</f>
        <v/>
      </c>
      <c r="X3" s="3"/>
    </row>
    <row r="4" spans="1:25" ht="30" x14ac:dyDescent="0.25">
      <c r="A4" s="35">
        <v>223115</v>
      </c>
      <c r="B4" s="35">
        <f>VLOOKUP($A4,'Выгр Кат'!$A:$R,B$1,0)</f>
        <v>15405</v>
      </c>
      <c r="C4" s="34" t="str">
        <f>VLOOKUP($A4,'Выгр Кат'!$A:$R,C$1,0)</f>
        <v>Универсальный звуковой сигнал "SH"</v>
      </c>
      <c r="D4" s="35" t="str">
        <f>VLOOKUP($A4,'Выгр Кат'!$A:$R,D$1,0)</f>
        <v>Y</v>
      </c>
      <c r="E4" s="35" t="str">
        <f>VLOOKUP($A4,'Выгр Кат'!$A:$R,E$1,0)</f>
        <v>1</v>
      </c>
      <c r="F4" s="35">
        <f>VLOOKUP($A4,'Выгр Кат'!$A:$R,F$1,0)</f>
        <v>0</v>
      </c>
      <c r="G4" s="3" t="s">
        <v>83</v>
      </c>
      <c r="H4" s="3" t="s">
        <v>12</v>
      </c>
      <c r="I4" s="15">
        <f t="shared" si="0"/>
        <v>500</v>
      </c>
      <c r="J4" s="8">
        <f>VLOOKUP(I4,Наценка!$A$1:$B$8,2,1)</f>
        <v>1.55</v>
      </c>
      <c r="K4" s="22">
        <f t="shared" si="1"/>
        <v>775</v>
      </c>
      <c r="L4" s="10">
        <f t="shared" si="2"/>
        <v>779</v>
      </c>
      <c r="M4" s="35">
        <f>VLOOKUP($A4,'Выгр Кат'!$A:$R,M$1,0)</f>
        <v>500</v>
      </c>
      <c r="N4" s="35">
        <f>VLOOKUP($A4,'Выгр Кат'!$A:$R,N$1,0)</f>
        <v>779</v>
      </c>
      <c r="O4" s="37">
        <f t="shared" si="3"/>
        <v>0</v>
      </c>
      <c r="P4" s="37">
        <f t="shared" si="4"/>
        <v>0</v>
      </c>
      <c r="Q4" s="43">
        <f t="shared" ref="Q4:Q54" si="5">IFERROR(L4*(1-$Q$2),"")</f>
        <v>724.46999999999991</v>
      </c>
      <c r="R4" s="52" t="str">
        <f>IFERROR((VLOOKUP($A4,'Из ГУГЛа'!$B:$G,6,0)+T4)*S4,VLOOKUP($A4,'Из ГУГЛа'!$B:$G,6,0))</f>
        <v/>
      </c>
      <c r="S4" s="44">
        <v>1</v>
      </c>
      <c r="T4" s="44">
        <v>0</v>
      </c>
      <c r="U4" s="45">
        <f t="shared" ref="U4:U54" si="6">IFERROR(Q4/I4-1,"")</f>
        <v>0.44893999999999989</v>
      </c>
      <c r="V4" s="45" t="str">
        <f t="shared" ref="V4:V54" si="7">IFERROR((X4-Q4)/X4,"")</f>
        <v/>
      </c>
      <c r="W4" s="45" t="str">
        <f t="shared" ref="W4:W54" si="8">IFERROR(IF(X4="","",X4/I4-1),"")</f>
        <v/>
      </c>
      <c r="X4" s="3" t="s">
        <v>164</v>
      </c>
    </row>
    <row r="5" spans="1:25" ht="75" x14ac:dyDescent="0.25">
      <c r="A5" s="35">
        <v>117285</v>
      </c>
      <c r="B5" s="35">
        <f>VLOOKUP($A5,'Выгр Кат'!$A:$R,B$1,0)</f>
        <v>17123</v>
      </c>
      <c r="C5" s="34" t="str">
        <f>VLOOKUP($A5,'Выгр Кат'!$A:$R,C$1,0)</f>
        <v>LED (диодные) подфарники с дневными ходовыми огнями и бегающим поворотником "стрелки", тонированные для Лада Нива 4х4</v>
      </c>
      <c r="D5" s="35" t="str">
        <f>VLOOKUP($A5,'Выгр Кат'!$A:$R,D$1,0)</f>
        <v>Y</v>
      </c>
      <c r="E5" s="35" t="str">
        <f>VLOOKUP($A5,'Выгр Кат'!$A:$R,E$1,0)</f>
        <v>0</v>
      </c>
      <c r="F5" s="35">
        <f>VLOOKUP($A5,'Выгр Кат'!$A:$R,F$1,0)</f>
        <v>0</v>
      </c>
      <c r="G5" s="3" t="s">
        <v>83</v>
      </c>
      <c r="H5" s="3" t="s">
        <v>14</v>
      </c>
      <c r="I5" s="15">
        <f t="shared" si="0"/>
        <v>1500</v>
      </c>
      <c r="J5" s="8">
        <f>VLOOKUP(I5,Наценка!$A$1:$B$8,2,1)</f>
        <v>1.5</v>
      </c>
      <c r="K5" s="22">
        <f t="shared" si="1"/>
        <v>2250</v>
      </c>
      <c r="L5" s="10">
        <f t="shared" si="2"/>
        <v>2290</v>
      </c>
      <c r="M5" s="35">
        <f>VLOOKUP($A5,'Выгр Кат'!$A:$R,M$1,0)</f>
        <v>1500</v>
      </c>
      <c r="N5" s="35">
        <f>VLOOKUP($A5,'Выгр Кат'!$A:$R,N$1,0)</f>
        <v>2290</v>
      </c>
      <c r="O5" s="37">
        <f t="shared" si="3"/>
        <v>0</v>
      </c>
      <c r="P5" s="37">
        <f t="shared" si="4"/>
        <v>0</v>
      </c>
      <c r="Q5" s="43">
        <f t="shared" si="5"/>
        <v>2129.6999999999998</v>
      </c>
      <c r="R5" s="52" t="str">
        <f>IFERROR((VLOOKUP($A5,'Из ГУГЛа'!$B:$G,6,0)+T5)*S5,VLOOKUP($A5,'Из ГУГЛа'!$B:$G,6,0))</f>
        <v/>
      </c>
      <c r="S5" s="44">
        <v>1</v>
      </c>
      <c r="T5" s="44">
        <v>0</v>
      </c>
      <c r="U5" s="45">
        <f t="shared" si="6"/>
        <v>0.41979999999999995</v>
      </c>
      <c r="V5" s="45" t="str">
        <f t="shared" si="7"/>
        <v/>
      </c>
      <c r="W5" s="45" t="str">
        <f t="shared" si="8"/>
        <v/>
      </c>
      <c r="X5" s="3"/>
    </row>
    <row r="6" spans="1:25" ht="30" x14ac:dyDescent="0.25">
      <c r="A6" s="35">
        <v>158384</v>
      </c>
      <c r="B6" s="35">
        <f>VLOOKUP($A6,'Выгр Кат'!$A:$R,B$1,0)</f>
        <v>18612</v>
      </c>
      <c r="C6" s="34" t="str">
        <f>VLOOKUP($A6,'Выгр Кат'!$A:$R,C$1,0)</f>
        <v>Комплект вспышек ФСО со строб контроллером</v>
      </c>
      <c r="D6" s="35" t="str">
        <f>VLOOKUP($A6,'Выгр Кат'!$A:$R,D$1,0)</f>
        <v>Y</v>
      </c>
      <c r="E6" s="35" t="str">
        <f>VLOOKUP($A6,'Выгр Кат'!$A:$R,E$1,0)</f>
        <v>1</v>
      </c>
      <c r="F6" s="35">
        <f>VLOOKUP($A6,'Выгр Кат'!$A:$R,F$1,0)</f>
        <v>0</v>
      </c>
      <c r="G6" s="3" t="s">
        <v>83</v>
      </c>
      <c r="H6" s="3" t="s">
        <v>16</v>
      </c>
      <c r="I6" s="15">
        <f t="shared" si="0"/>
        <v>900</v>
      </c>
      <c r="J6" s="8">
        <f>VLOOKUP(I6,Наценка!$A$1:$B$8,2,1)</f>
        <v>1.55</v>
      </c>
      <c r="K6" s="22">
        <f t="shared" si="1"/>
        <v>1395</v>
      </c>
      <c r="L6" s="10">
        <f t="shared" si="2"/>
        <v>1390</v>
      </c>
      <c r="M6" s="35">
        <f>VLOOKUP($A6,'Выгр Кат'!$A:$R,M$1,0)</f>
        <v>900</v>
      </c>
      <c r="N6" s="35">
        <f>VLOOKUP($A6,'Выгр Кат'!$A:$R,N$1,0)</f>
        <v>1390</v>
      </c>
      <c r="O6" s="37">
        <f t="shared" si="3"/>
        <v>0</v>
      </c>
      <c r="P6" s="37">
        <f t="shared" si="4"/>
        <v>0</v>
      </c>
      <c r="Q6" s="43">
        <f t="shared" si="5"/>
        <v>1292.6999999999998</v>
      </c>
      <c r="R6" s="52" t="str">
        <f>IFERROR((VLOOKUP($A6,'Из ГУГЛа'!$B:$G,6,0)+T6)*S6,VLOOKUP($A6,'Из ГУГЛа'!$B:$G,6,0))</f>
        <v/>
      </c>
      <c r="S6" s="44">
        <v>1</v>
      </c>
      <c r="T6" s="44">
        <v>0</v>
      </c>
      <c r="U6" s="45">
        <f t="shared" si="6"/>
        <v>0.43633333333333324</v>
      </c>
      <c r="V6" s="45" t="str">
        <f t="shared" si="7"/>
        <v/>
      </c>
      <c r="W6" s="45" t="str">
        <f t="shared" si="8"/>
        <v/>
      </c>
      <c r="X6" s="3" t="s">
        <v>164</v>
      </c>
    </row>
    <row r="7" spans="1:25" ht="30" x14ac:dyDescent="0.25">
      <c r="A7" s="35">
        <v>218496</v>
      </c>
      <c r="B7" s="35">
        <f>VLOOKUP($A7,'Выгр Кат'!$A:$R,B$1,0)</f>
        <v>18638</v>
      </c>
      <c r="C7" s="34" t="str">
        <f>VLOOKUP($A7,'Выгр Кат'!$A:$R,C$1,0)</f>
        <v>Стробоскоп двойного свечения в решетку (красно-синий)</v>
      </c>
      <c r="D7" s="35" t="str">
        <f>VLOOKUP($A7,'Выгр Кат'!$A:$R,D$1,0)</f>
        <v>Y</v>
      </c>
      <c r="E7" s="35" t="str">
        <f>VLOOKUP($A7,'Выгр Кат'!$A:$R,E$1,0)</f>
        <v>1</v>
      </c>
      <c r="F7" s="35">
        <f>VLOOKUP($A7,'Выгр Кат'!$A:$R,F$1,0)</f>
        <v>0</v>
      </c>
      <c r="G7" s="3" t="s">
        <v>83</v>
      </c>
      <c r="H7" s="3" t="s">
        <v>18</v>
      </c>
      <c r="I7" s="15">
        <f t="shared" si="0"/>
        <v>1500</v>
      </c>
      <c r="J7" s="8">
        <f>VLOOKUP(I7,Наценка!$A$1:$B$8,2,1)</f>
        <v>1.5</v>
      </c>
      <c r="K7" s="22">
        <f t="shared" si="1"/>
        <v>2250</v>
      </c>
      <c r="L7" s="10">
        <f t="shared" si="2"/>
        <v>2290</v>
      </c>
      <c r="M7" s="35">
        <f>VLOOKUP($A7,'Выгр Кат'!$A:$R,M$1,0)</f>
        <v>1500</v>
      </c>
      <c r="N7" s="35">
        <f>VLOOKUP($A7,'Выгр Кат'!$A:$R,N$1,0)</f>
        <v>2290</v>
      </c>
      <c r="O7" s="37">
        <f t="shared" si="3"/>
        <v>0</v>
      </c>
      <c r="P7" s="37">
        <f t="shared" si="4"/>
        <v>0</v>
      </c>
      <c r="Q7" s="43">
        <f t="shared" si="5"/>
        <v>2129.6999999999998</v>
      </c>
      <c r="R7" s="52" t="str">
        <f>IFERROR((VLOOKUP($A7,'Из ГУГЛа'!$B:$G,6,0)+T7)*S7,VLOOKUP($A7,'Из ГУГЛа'!$B:$G,6,0))</f>
        <v/>
      </c>
      <c r="S7" s="44">
        <v>1</v>
      </c>
      <c r="T7" s="44">
        <v>0</v>
      </c>
      <c r="U7" s="45">
        <f t="shared" si="6"/>
        <v>0.41979999999999995</v>
      </c>
      <c r="V7" s="45" t="str">
        <f t="shared" si="7"/>
        <v/>
      </c>
      <c r="W7" s="45" t="str">
        <f t="shared" si="8"/>
        <v/>
      </c>
      <c r="X7" s="3" t="s">
        <v>164</v>
      </c>
    </row>
    <row r="8" spans="1:25" ht="30" x14ac:dyDescent="0.25">
      <c r="A8" s="35">
        <v>218503</v>
      </c>
      <c r="B8" s="35">
        <f>VLOOKUP($A8,'Выгр Кат'!$A:$R,B$1,0)</f>
        <v>18640</v>
      </c>
      <c r="C8" s="34" t="str">
        <f>VLOOKUP($A8,'Выгр Кат'!$A:$R,C$1,0)</f>
        <v>Стробоскопы под лобовое стекло</v>
      </c>
      <c r="D8" s="35" t="str">
        <f>VLOOKUP($A8,'Выгр Кат'!$A:$R,D$1,0)</f>
        <v>Y</v>
      </c>
      <c r="E8" s="35" t="str">
        <f>VLOOKUP($A8,'Выгр Кат'!$A:$R,E$1,0)</f>
        <v>1</v>
      </c>
      <c r="F8" s="35">
        <f>VLOOKUP($A8,'Выгр Кат'!$A:$R,F$1,0)</f>
        <v>0</v>
      </c>
      <c r="G8" s="3" t="s">
        <v>83</v>
      </c>
      <c r="H8" s="3" t="s">
        <v>20</v>
      </c>
      <c r="I8" s="15">
        <f t="shared" si="0"/>
        <v>900</v>
      </c>
      <c r="J8" s="8">
        <f>VLOOKUP(I8,Наценка!$A$1:$B$8,2,1)</f>
        <v>1.55</v>
      </c>
      <c r="K8" s="22">
        <f t="shared" si="1"/>
        <v>1395</v>
      </c>
      <c r="L8" s="10">
        <f t="shared" si="2"/>
        <v>1390</v>
      </c>
      <c r="M8" s="35">
        <f>VLOOKUP($A8,'Выгр Кат'!$A:$R,M$1,0)</f>
        <v>900</v>
      </c>
      <c r="N8" s="35">
        <f>VLOOKUP($A8,'Выгр Кат'!$A:$R,N$1,0)</f>
        <v>1390</v>
      </c>
      <c r="O8" s="37">
        <f t="shared" si="3"/>
        <v>0</v>
      </c>
      <c r="P8" s="37">
        <f t="shared" si="4"/>
        <v>0</v>
      </c>
      <c r="Q8" s="43">
        <f t="shared" si="5"/>
        <v>1292.6999999999998</v>
      </c>
      <c r="R8" s="52" t="str">
        <f>IFERROR((VLOOKUP($A8,'Из ГУГЛа'!$B:$G,6,0)+T8)*S8,VLOOKUP($A8,'Из ГУГЛа'!$B:$G,6,0))</f>
        <v/>
      </c>
      <c r="S8" s="44">
        <v>1</v>
      </c>
      <c r="T8" s="44">
        <v>0</v>
      </c>
      <c r="U8" s="45">
        <f t="shared" si="6"/>
        <v>0.43633333333333324</v>
      </c>
      <c r="V8" s="45" t="str">
        <f t="shared" si="7"/>
        <v/>
      </c>
      <c r="W8" s="45" t="str">
        <f t="shared" si="8"/>
        <v/>
      </c>
      <c r="X8" s="3" t="s">
        <v>164</v>
      </c>
    </row>
    <row r="9" spans="1:25" x14ac:dyDescent="0.25">
      <c r="A9" s="35">
        <v>117042</v>
      </c>
      <c r="B9" s="35">
        <f>VLOOKUP($A9,'Выгр Кат'!$A:$R,B$1,0)</f>
        <v>18906</v>
      </c>
      <c r="C9" s="34" t="str">
        <f>VLOOKUP($A9,'Выгр Кат'!$A:$R,C$1,0)</f>
        <v>3D ангельские глазки "MTF" 3DA7K</v>
      </c>
      <c r="D9" s="35" t="str">
        <f>VLOOKUP($A9,'Выгр Кат'!$A:$R,D$1,0)</f>
        <v>Y</v>
      </c>
      <c r="E9" s="35" t="str">
        <f>VLOOKUP($A9,'Выгр Кат'!$A:$R,E$1,0)</f>
        <v>0</v>
      </c>
      <c r="F9" s="35" t="str">
        <f>VLOOKUP($A9,'Выгр Кат'!$A:$R,F$1,0)</f>
        <v>3DA7K</v>
      </c>
      <c r="G9" s="3" t="s">
        <v>83</v>
      </c>
      <c r="H9" s="3" t="s">
        <v>23</v>
      </c>
      <c r="I9" s="15">
        <f t="shared" si="0"/>
        <v>1800</v>
      </c>
      <c r="J9" s="8">
        <f>VLOOKUP(I9,Наценка!$A$1:$B$8,2,1)</f>
        <v>1.5</v>
      </c>
      <c r="K9" s="22">
        <f t="shared" si="1"/>
        <v>2700</v>
      </c>
      <c r="L9" s="10">
        <f t="shared" si="2"/>
        <v>2690</v>
      </c>
      <c r="M9" s="35">
        <f>VLOOKUP($A9,'Выгр Кат'!$A:$R,M$1,0)</f>
        <v>1800</v>
      </c>
      <c r="N9" s="35">
        <f>VLOOKUP($A9,'Выгр Кат'!$A:$R,N$1,0)</f>
        <v>2690</v>
      </c>
      <c r="O9" s="37">
        <f t="shared" si="3"/>
        <v>0</v>
      </c>
      <c r="P9" s="37">
        <f t="shared" si="4"/>
        <v>0</v>
      </c>
      <c r="Q9" s="43">
        <f t="shared" si="5"/>
        <v>2501.6999999999998</v>
      </c>
      <c r="R9" s="52" t="str">
        <f>IFERROR((VLOOKUP($A9,'Из ГУГЛа'!$B:$G,6,0)+T9)*S9,VLOOKUP($A9,'Из ГУГЛа'!$B:$G,6,0))</f>
        <v/>
      </c>
      <c r="S9" s="44">
        <v>1</v>
      </c>
      <c r="T9" s="44">
        <v>0</v>
      </c>
      <c r="U9" s="45">
        <f t="shared" si="6"/>
        <v>0.38983333333333325</v>
      </c>
      <c r="V9" s="45" t="str">
        <f t="shared" si="7"/>
        <v/>
      </c>
      <c r="W9" s="45" t="str">
        <f t="shared" si="8"/>
        <v/>
      </c>
      <c r="X9" s="3"/>
    </row>
    <row r="10" spans="1:25" ht="30" x14ac:dyDescent="0.25">
      <c r="A10" s="35">
        <v>158385</v>
      </c>
      <c r="B10" s="35">
        <f>VLOOKUP($A10,'Выгр Кат'!$A:$R,B$1,0)</f>
        <v>19104</v>
      </c>
      <c r="C10" s="34" t="str">
        <f>VLOOKUP($A10,'Выгр Кат'!$A:$R,C$1,0)</f>
        <v>Комплект Вспышки ФСО и строб контроллер "люкс"</v>
      </c>
      <c r="D10" s="35" t="str">
        <f>VLOOKUP($A10,'Выгр Кат'!$A:$R,D$1,0)</f>
        <v>Y</v>
      </c>
      <c r="E10" s="35" t="str">
        <f>VLOOKUP($A10,'Выгр Кат'!$A:$R,E$1,0)</f>
        <v>1</v>
      </c>
      <c r="F10" s="35">
        <f>VLOOKUP($A10,'Выгр Кат'!$A:$R,F$1,0)</f>
        <v>0</v>
      </c>
      <c r="G10" s="3" t="s">
        <v>83</v>
      </c>
      <c r="H10" s="3" t="s">
        <v>25</v>
      </c>
      <c r="I10" s="15">
        <f t="shared" si="0"/>
        <v>1500</v>
      </c>
      <c r="J10" s="8">
        <f>VLOOKUP(I10,Наценка!$A$1:$B$8,2,1)</f>
        <v>1.5</v>
      </c>
      <c r="K10" s="22">
        <f t="shared" si="1"/>
        <v>2250</v>
      </c>
      <c r="L10" s="10">
        <f t="shared" si="2"/>
        <v>2290</v>
      </c>
      <c r="M10" s="35">
        <f>VLOOKUP($A10,'Выгр Кат'!$A:$R,M$1,0)</f>
        <v>1500</v>
      </c>
      <c r="N10" s="35">
        <f>VLOOKUP($A10,'Выгр Кат'!$A:$R,N$1,0)</f>
        <v>2290</v>
      </c>
      <c r="O10" s="37">
        <f t="shared" si="3"/>
        <v>0</v>
      </c>
      <c r="P10" s="37">
        <f t="shared" si="4"/>
        <v>0</v>
      </c>
      <c r="Q10" s="43">
        <f t="shared" si="5"/>
        <v>2129.6999999999998</v>
      </c>
      <c r="R10" s="52" t="str">
        <f>IFERROR((VLOOKUP($A10,'Из ГУГЛа'!$B:$G,6,0)+T10)*S10,VLOOKUP($A10,'Из ГУГЛа'!$B:$G,6,0))</f>
        <v/>
      </c>
      <c r="S10" s="44">
        <v>1</v>
      </c>
      <c r="T10" s="44">
        <v>0</v>
      </c>
      <c r="U10" s="45">
        <f t="shared" si="6"/>
        <v>0.41979999999999995</v>
      </c>
      <c r="V10" s="45" t="str">
        <f t="shared" si="7"/>
        <v/>
      </c>
      <c r="W10" s="45" t="str">
        <f t="shared" si="8"/>
        <v/>
      </c>
      <c r="X10" s="3" t="s">
        <v>164</v>
      </c>
    </row>
    <row r="11" spans="1:25" ht="30.75" thickBot="1" x14ac:dyDescent="0.3">
      <c r="A11" s="35">
        <v>171601</v>
      </c>
      <c r="B11" s="35">
        <f>VLOOKUP($A11,'Выгр Кат'!$A:$R,B$1,0)</f>
        <v>21049</v>
      </c>
      <c r="C11" s="34" t="str">
        <f>VLOOKUP($A11,'Выгр Кат'!$A:$R,C$1,0)</f>
        <v>Насадка на глушитель AKRAPOVIC (аналог)</v>
      </c>
      <c r="D11" s="35" t="str">
        <f>VLOOKUP($A11,'Выгр Кат'!$A:$R,D$1,0)</f>
        <v>Y</v>
      </c>
      <c r="E11" s="35" t="str">
        <f>VLOOKUP($A11,'Выгр Кат'!$A:$R,E$1,0)</f>
        <v>1</v>
      </c>
      <c r="F11" s="35">
        <f>VLOOKUP($A11,'Выгр Кат'!$A:$R,F$1,0)</f>
        <v>0</v>
      </c>
      <c r="G11" s="3" t="s">
        <v>83</v>
      </c>
      <c r="H11" s="3" t="s">
        <v>27</v>
      </c>
      <c r="I11" s="15">
        <f t="shared" si="0"/>
        <v>2500</v>
      </c>
      <c r="J11" s="8">
        <f>VLOOKUP(I11,Наценка!$A$1:$B$8,2,1)</f>
        <v>1.4</v>
      </c>
      <c r="K11" s="60">
        <f>I11*1.2*100/93</f>
        <v>3225.8064516129034</v>
      </c>
      <c r="L11" s="10">
        <f t="shared" si="2"/>
        <v>3290</v>
      </c>
      <c r="M11" s="35">
        <f>VLOOKUP($A11,'Выгр Кат'!$A:$R,M$1,0)</f>
        <v>2500</v>
      </c>
      <c r="N11" s="35">
        <f>VLOOKUP($A11,'Выгр Кат'!$A:$R,N$1,0)</f>
        <v>3290</v>
      </c>
      <c r="O11" s="37">
        <f t="shared" si="3"/>
        <v>0</v>
      </c>
      <c r="P11" s="37">
        <f t="shared" si="4"/>
        <v>0</v>
      </c>
      <c r="Q11" s="43">
        <f t="shared" si="5"/>
        <v>3059.7</v>
      </c>
      <c r="R11" s="52">
        <f>IFERROR((VLOOKUP($A11,'Из ГУГЛа'!$B:$G,6,0)+T11)*S11,VLOOKUP($A11,'Из ГУГЛа'!$B:$G,6,0))</f>
        <v>2890</v>
      </c>
      <c r="S11" s="44">
        <v>1</v>
      </c>
      <c r="T11" s="44">
        <v>0</v>
      </c>
      <c r="U11" s="45">
        <f t="shared" si="6"/>
        <v>0.22387999999999986</v>
      </c>
      <c r="V11" s="45">
        <f t="shared" si="7"/>
        <v>-5.8719723183390943E-2</v>
      </c>
      <c r="W11" s="45">
        <f t="shared" si="8"/>
        <v>0.15599999999999992</v>
      </c>
      <c r="X11" s="26">
        <v>2890</v>
      </c>
      <c r="Y11" s="32" t="s">
        <v>166</v>
      </c>
    </row>
    <row r="12" spans="1:25" ht="30.75" thickTop="1" x14ac:dyDescent="0.25">
      <c r="A12" s="35">
        <v>219134</v>
      </c>
      <c r="B12" s="35">
        <f>VLOOKUP($A12,'Выгр Кат'!$A:$R,B$1,0)</f>
        <v>21591</v>
      </c>
      <c r="C12" s="34" t="str">
        <f>VLOOKUP($A12,'Выгр Кат'!$A:$R,C$1,0)</f>
        <v>Термолента до 800 градусов синяя (5 см х 10 м)</v>
      </c>
      <c r="D12" s="35" t="str">
        <f>VLOOKUP($A12,'Выгр Кат'!$A:$R,D$1,0)</f>
        <v>N</v>
      </c>
      <c r="E12" s="35" t="str">
        <f>VLOOKUP($A12,'Выгр Кат'!$A:$R,E$1,0)</f>
        <v>1</v>
      </c>
      <c r="F12" s="35">
        <f>VLOOKUP($A12,'Выгр Кат'!$A:$R,F$1,0)</f>
        <v>0</v>
      </c>
      <c r="G12" s="3" t="s">
        <v>83</v>
      </c>
      <c r="H12" s="3" t="s">
        <v>29</v>
      </c>
      <c r="I12" s="15">
        <f t="shared" si="0"/>
        <v>600</v>
      </c>
      <c r="J12" s="8">
        <f>VLOOKUP(I12,Наценка!$A$1:$B$8,2,1)</f>
        <v>1.55</v>
      </c>
      <c r="K12" s="22">
        <f t="shared" si="1"/>
        <v>930</v>
      </c>
      <c r="L12" s="10">
        <f t="shared" si="2"/>
        <v>929</v>
      </c>
      <c r="M12" s="35">
        <f>VLOOKUP($A12,'Выгр Кат'!$A:$R,M$1,0)</f>
        <v>600</v>
      </c>
      <c r="N12" s="35">
        <f>VLOOKUP($A12,'Выгр Кат'!$A:$R,N$1,0)</f>
        <v>929</v>
      </c>
      <c r="O12" s="37">
        <f t="shared" si="3"/>
        <v>0</v>
      </c>
      <c r="P12" s="37">
        <f t="shared" si="4"/>
        <v>0</v>
      </c>
      <c r="Q12" s="43">
        <f t="shared" si="5"/>
        <v>863.96999999999991</v>
      </c>
      <c r="R12" s="52" t="str">
        <f>IFERROR((VLOOKUP($A12,'Из ГУГЛа'!$B:$G,6,0)+T12)*S12,VLOOKUP($A12,'Из ГУГЛа'!$B:$G,6,0))</f>
        <v/>
      </c>
      <c r="S12" s="44">
        <v>1</v>
      </c>
      <c r="T12" s="44">
        <v>0</v>
      </c>
      <c r="U12" s="45">
        <f t="shared" si="6"/>
        <v>0.43994999999999984</v>
      </c>
      <c r="V12" s="45" t="str">
        <f t="shared" si="7"/>
        <v/>
      </c>
      <c r="W12" s="45" t="str">
        <f t="shared" si="8"/>
        <v/>
      </c>
      <c r="X12" s="3" t="s">
        <v>164</v>
      </c>
    </row>
    <row r="13" spans="1:25" ht="30" x14ac:dyDescent="0.25">
      <c r="A13" s="35">
        <v>139541</v>
      </c>
      <c r="B13" s="35">
        <f>VLOOKUP($A13,'Выгр Кат'!$A:$R,B$1,0)</f>
        <v>23702</v>
      </c>
      <c r="C13" s="34" t="str">
        <f>VLOOKUP($A13,'Выгр Кат'!$A:$R,C$1,0)</f>
        <v>Вспышки ФСО 48W (красно-синие, 2 режима)</v>
      </c>
      <c r="D13" s="35" t="str">
        <f>VLOOKUP($A13,'Выгр Кат'!$A:$R,D$1,0)</f>
        <v>Y</v>
      </c>
      <c r="E13" s="35" t="str">
        <f>VLOOKUP($A13,'Выгр Кат'!$A:$R,E$1,0)</f>
        <v>1ск1</v>
      </c>
      <c r="F13" s="35">
        <f>VLOOKUP($A13,'Выгр Кат'!$A:$R,F$1,0)</f>
        <v>0</v>
      </c>
      <c r="G13" s="3" t="s">
        <v>83</v>
      </c>
      <c r="H13" s="3" t="s">
        <v>31</v>
      </c>
      <c r="I13" s="15">
        <f t="shared" si="0"/>
        <v>600</v>
      </c>
      <c r="J13" s="8">
        <f>VLOOKUP(I13,Наценка!$A$1:$B$8,2,1)</f>
        <v>1.55</v>
      </c>
      <c r="K13" s="54">
        <f>X13*1.02</f>
        <v>1509.6000000000001</v>
      </c>
      <c r="L13" s="10">
        <f t="shared" si="2"/>
        <v>1590</v>
      </c>
      <c r="M13" s="35">
        <f>VLOOKUP($A13,'Выгр Кат'!$A:$R,M$1,0)</f>
        <v>600</v>
      </c>
      <c r="N13" s="35">
        <f>VLOOKUP($A13,'Выгр Кат'!$A:$R,N$1,0)</f>
        <v>1590</v>
      </c>
      <c r="O13" s="37">
        <f t="shared" si="3"/>
        <v>0</v>
      </c>
      <c r="P13" s="37">
        <f t="shared" si="4"/>
        <v>0</v>
      </c>
      <c r="Q13" s="43">
        <f t="shared" si="5"/>
        <v>1478.6999999999998</v>
      </c>
      <c r="R13" s="52">
        <f>IFERROR((VLOOKUP($A13,'Из ГУГЛа'!$B:$G,6,0)+T13)*S13,VLOOKUP($A13,'Из ГУГЛа'!$B:$G,6,0))</f>
        <v>1480</v>
      </c>
      <c r="S13" s="44">
        <v>1</v>
      </c>
      <c r="T13" s="50">
        <v>890</v>
      </c>
      <c r="U13" s="45">
        <f t="shared" si="6"/>
        <v>1.4644999999999997</v>
      </c>
      <c r="V13" s="45">
        <f t="shared" si="7"/>
        <v>8.7837837837850125E-4</v>
      </c>
      <c r="W13" s="45">
        <f t="shared" si="8"/>
        <v>1.4666666666666668</v>
      </c>
      <c r="X13" s="49">
        <f>590+T13</f>
        <v>1480</v>
      </c>
      <c r="Y13" s="32" t="s">
        <v>172</v>
      </c>
    </row>
    <row r="14" spans="1:25" ht="45" x14ac:dyDescent="0.25">
      <c r="A14" s="35">
        <v>186651</v>
      </c>
      <c r="B14" s="35">
        <f>VLOOKUP($A14,'Выгр Кат'!$A:$R,B$1,0)</f>
        <v>23703</v>
      </c>
      <c r="C14" s="34" t="str">
        <f>VLOOKUP($A14,'Выгр Кат'!$A:$R,C$1,0)</f>
        <v>Патрубок впускной алюминиевый (красный, 16-ти / 8-ми клапанный двигатель)</v>
      </c>
      <c r="D14" s="35" t="str">
        <f>VLOOKUP($A14,'Выгр Кат'!$A:$R,D$1,0)</f>
        <v>Y</v>
      </c>
      <c r="E14" s="35" t="str">
        <f>VLOOKUP($A14,'Выгр Кат'!$A:$R,E$1,0)</f>
        <v>1</v>
      </c>
      <c r="F14" s="35">
        <f>VLOOKUP($A14,'Выгр Кат'!$A:$R,F$1,0)</f>
        <v>0</v>
      </c>
      <c r="G14" s="3" t="s">
        <v>83</v>
      </c>
      <c r="H14" s="3" t="s">
        <v>32</v>
      </c>
      <c r="I14" s="15">
        <f t="shared" si="0"/>
        <v>900</v>
      </c>
      <c r="J14" s="8">
        <f>VLOOKUP(I14,Наценка!$A$1:$B$8,2,1)</f>
        <v>1.55</v>
      </c>
      <c r="K14" s="22">
        <f t="shared" si="1"/>
        <v>1395</v>
      </c>
      <c r="L14" s="10">
        <f t="shared" si="2"/>
        <v>1390</v>
      </c>
      <c r="M14" s="35">
        <f>VLOOKUP($A14,'Выгр Кат'!$A:$R,M$1,0)</f>
        <v>900</v>
      </c>
      <c r="N14" s="35">
        <f>VLOOKUP($A14,'Выгр Кат'!$A:$R,N$1,0)</f>
        <v>1390</v>
      </c>
      <c r="O14" s="37">
        <f t="shared" si="3"/>
        <v>0</v>
      </c>
      <c r="P14" s="37">
        <f t="shared" si="4"/>
        <v>0</v>
      </c>
      <c r="Q14" s="43">
        <f t="shared" si="5"/>
        <v>1292.6999999999998</v>
      </c>
      <c r="R14" s="52" t="str">
        <f>IFERROR((VLOOKUP($A14,'Из ГУГЛа'!$B:$G,6,0)+T14)*S14,VLOOKUP($A14,'Из ГУГЛа'!$B:$G,6,0))</f>
        <v/>
      </c>
      <c r="S14" s="44">
        <v>1</v>
      </c>
      <c r="T14" s="44">
        <v>0</v>
      </c>
      <c r="U14" s="45">
        <f t="shared" si="6"/>
        <v>0.43633333333333324</v>
      </c>
      <c r="V14" s="45" t="str">
        <f t="shared" si="7"/>
        <v/>
      </c>
      <c r="W14" s="45" t="str">
        <f t="shared" si="8"/>
        <v/>
      </c>
      <c r="X14" s="3" t="s">
        <v>164</v>
      </c>
    </row>
    <row r="15" spans="1:25" ht="45" x14ac:dyDescent="0.25">
      <c r="A15" s="35">
        <v>186652</v>
      </c>
      <c r="B15" s="35">
        <f>VLOOKUP($A15,'Выгр Кат'!$A:$R,B$1,0)</f>
        <v>23704</v>
      </c>
      <c r="C15" s="34" t="str">
        <f>VLOOKUP($A15,'Выгр Кат'!$A:$R,C$1,0)</f>
        <v>Патрубок впускной алюминиевый (синий, 16-ти / 8-ми клапанный двигатель)</v>
      </c>
      <c r="D15" s="35" t="str">
        <f>VLOOKUP($A15,'Выгр Кат'!$A:$R,D$1,0)</f>
        <v>Y</v>
      </c>
      <c r="E15" s="35" t="str">
        <f>VLOOKUP($A15,'Выгр Кат'!$A:$R,E$1,0)</f>
        <v>1</v>
      </c>
      <c r="F15" s="35">
        <f>VLOOKUP($A15,'Выгр Кат'!$A:$R,F$1,0)</f>
        <v>0</v>
      </c>
      <c r="G15" s="3" t="s">
        <v>83</v>
      </c>
      <c r="H15" s="3" t="s">
        <v>33</v>
      </c>
      <c r="I15" s="15">
        <f t="shared" si="0"/>
        <v>900</v>
      </c>
      <c r="J15" s="8">
        <f>VLOOKUP(I15,Наценка!$A$1:$B$8,2,1)</f>
        <v>1.55</v>
      </c>
      <c r="K15" s="22">
        <f t="shared" si="1"/>
        <v>1395</v>
      </c>
      <c r="L15" s="10">
        <f t="shared" si="2"/>
        <v>1390</v>
      </c>
      <c r="M15" s="35">
        <f>VLOOKUP($A15,'Выгр Кат'!$A:$R,M$1,0)</f>
        <v>900</v>
      </c>
      <c r="N15" s="35">
        <f>VLOOKUP($A15,'Выгр Кат'!$A:$R,N$1,0)</f>
        <v>1390</v>
      </c>
      <c r="O15" s="37">
        <f t="shared" si="3"/>
        <v>0</v>
      </c>
      <c r="P15" s="37">
        <f t="shared" si="4"/>
        <v>0</v>
      </c>
      <c r="Q15" s="43">
        <f t="shared" si="5"/>
        <v>1292.6999999999998</v>
      </c>
      <c r="R15" s="52" t="str">
        <f>IFERROR((VLOOKUP($A15,'Из ГУГЛа'!$B:$G,6,0)+T15)*S15,VLOOKUP($A15,'Из ГУГЛа'!$B:$G,6,0))</f>
        <v/>
      </c>
      <c r="S15" s="44">
        <v>1</v>
      </c>
      <c r="T15" s="44">
        <v>0</v>
      </c>
      <c r="U15" s="45">
        <f t="shared" si="6"/>
        <v>0.43633333333333324</v>
      </c>
      <c r="V15" s="45" t="str">
        <f t="shared" si="7"/>
        <v/>
      </c>
      <c r="W15" s="45" t="str">
        <f t="shared" si="8"/>
        <v/>
      </c>
      <c r="X15" s="3" t="s">
        <v>164</v>
      </c>
    </row>
    <row r="16" spans="1:25" ht="45" x14ac:dyDescent="0.25">
      <c r="A16" s="35">
        <v>202540</v>
      </c>
      <c r="B16" s="35">
        <f>VLOOKUP($A16,'Выгр Кат'!$A:$R,B$1,0)</f>
        <v>23802</v>
      </c>
      <c r="C16" s="34" t="str">
        <f>VLOOKUP($A16,'Выгр Кат'!$A:$R,C$1,0)</f>
        <v>Раздвоенная насадка на глушитель AKRAPOVIC (аналог, левая сторона)</v>
      </c>
      <c r="D16" s="35" t="str">
        <f>VLOOKUP($A16,'Выгр Кат'!$A:$R,D$1,0)</f>
        <v>Y</v>
      </c>
      <c r="E16" s="35" t="str">
        <f>VLOOKUP($A16,'Выгр Кат'!$A:$R,E$1,0)</f>
        <v>1</v>
      </c>
      <c r="F16" s="35">
        <f>VLOOKUP($A16,'Выгр Кат'!$A:$R,F$1,0)</f>
        <v>0</v>
      </c>
      <c r="G16" s="3" t="s">
        <v>83</v>
      </c>
      <c r="H16" s="3" t="s">
        <v>35</v>
      </c>
      <c r="I16" s="15">
        <f t="shared" si="0"/>
        <v>4500</v>
      </c>
      <c r="J16" s="8">
        <f>VLOOKUP(I16,Наценка!$A$1:$B$8,2,1)</f>
        <v>1.4</v>
      </c>
      <c r="K16" s="22">
        <f t="shared" si="1"/>
        <v>6300</v>
      </c>
      <c r="L16" s="10">
        <f t="shared" si="2"/>
        <v>6290</v>
      </c>
      <c r="M16" s="35">
        <f>VLOOKUP($A16,'Выгр Кат'!$A:$R,M$1,0)</f>
        <v>4500</v>
      </c>
      <c r="N16" s="35">
        <f>VLOOKUP($A16,'Выгр Кат'!$A:$R,N$1,0)</f>
        <v>6290</v>
      </c>
      <c r="O16" s="37">
        <f t="shared" si="3"/>
        <v>0</v>
      </c>
      <c r="P16" s="37">
        <f t="shared" si="4"/>
        <v>0</v>
      </c>
      <c r="Q16" s="43">
        <f t="shared" si="5"/>
        <v>5849.7</v>
      </c>
      <c r="R16" s="52" t="str">
        <f>IFERROR((VLOOKUP($A16,'Из ГУГЛа'!$B:$G,6,0)+T16)*S16,VLOOKUP($A16,'Из ГУГЛа'!$B:$G,6,0))</f>
        <v/>
      </c>
      <c r="S16" s="44">
        <v>1</v>
      </c>
      <c r="T16" s="44">
        <v>0</v>
      </c>
      <c r="U16" s="45">
        <f t="shared" si="6"/>
        <v>0.29993333333333339</v>
      </c>
      <c r="V16" s="45" t="str">
        <f t="shared" si="7"/>
        <v/>
      </c>
      <c r="W16" s="45" t="str">
        <f t="shared" si="8"/>
        <v/>
      </c>
      <c r="X16" s="3" t="s">
        <v>169</v>
      </c>
    </row>
    <row r="17" spans="1:25" ht="45" x14ac:dyDescent="0.25">
      <c r="A17" s="35">
        <v>202541</v>
      </c>
      <c r="B17" s="35">
        <f>VLOOKUP($A17,'Выгр Кат'!$A:$R,B$1,0)</f>
        <v>23818</v>
      </c>
      <c r="C17" s="34" t="str">
        <f>VLOOKUP($A17,'Выгр Кат'!$A:$R,C$1,0)</f>
        <v>Раздвоенная насадка на глушитель AKRAPOVIC (аналог, правая сторона)</v>
      </c>
      <c r="D17" s="35" t="str">
        <f>VLOOKUP($A17,'Выгр Кат'!$A:$R,D$1,0)</f>
        <v>Y</v>
      </c>
      <c r="E17" s="35" t="str">
        <f>VLOOKUP($A17,'Выгр Кат'!$A:$R,E$1,0)</f>
        <v>1</v>
      </c>
      <c r="F17" s="35">
        <f>VLOOKUP($A17,'Выгр Кат'!$A:$R,F$1,0)</f>
        <v>0</v>
      </c>
      <c r="G17" s="3" t="s">
        <v>83</v>
      </c>
      <c r="H17" s="3" t="s">
        <v>37</v>
      </c>
      <c r="I17" s="15">
        <f t="shared" si="0"/>
        <v>4500</v>
      </c>
      <c r="J17" s="8">
        <f>VLOOKUP(I17,Наценка!$A$1:$B$8,2,1)</f>
        <v>1.4</v>
      </c>
      <c r="K17" s="22">
        <f t="shared" si="1"/>
        <v>6300</v>
      </c>
      <c r="L17" s="10">
        <f t="shared" si="2"/>
        <v>6290</v>
      </c>
      <c r="M17" s="35">
        <f>VLOOKUP($A17,'Выгр Кат'!$A:$R,M$1,0)</f>
        <v>4500</v>
      </c>
      <c r="N17" s="35">
        <f>VLOOKUP($A17,'Выгр Кат'!$A:$R,N$1,0)</f>
        <v>6290</v>
      </c>
      <c r="O17" s="37">
        <f t="shared" si="3"/>
        <v>0</v>
      </c>
      <c r="P17" s="37">
        <f t="shared" si="4"/>
        <v>0</v>
      </c>
      <c r="Q17" s="43">
        <f t="shared" si="5"/>
        <v>5849.7</v>
      </c>
      <c r="R17" s="52" t="str">
        <f>IFERROR((VLOOKUP($A17,'Из ГУГЛа'!$B:$G,6,0)+T17)*S17,VLOOKUP($A17,'Из ГУГЛа'!$B:$G,6,0))</f>
        <v/>
      </c>
      <c r="S17" s="44">
        <v>1</v>
      </c>
      <c r="T17" s="44">
        <v>0</v>
      </c>
      <c r="U17" s="45">
        <f t="shared" si="6"/>
        <v>0.29993333333333339</v>
      </c>
      <c r="V17" s="45" t="str">
        <f t="shared" si="7"/>
        <v/>
      </c>
      <c r="W17" s="45" t="str">
        <f t="shared" si="8"/>
        <v/>
      </c>
      <c r="X17" s="3" t="s">
        <v>169</v>
      </c>
    </row>
    <row r="18" spans="1:25" ht="30" x14ac:dyDescent="0.25">
      <c r="A18" s="35">
        <v>170720</v>
      </c>
      <c r="B18" s="35">
        <f>VLOOKUP($A18,'Выгр Кат'!$A:$R,B$1,0)</f>
        <v>25064</v>
      </c>
      <c r="C18" s="34" t="str">
        <f>VLOOKUP($A18,'Выгр Кат'!$A:$R,C$1,0)</f>
        <v>Накладки на тормозные суппорта "Brembo" 240 мм</v>
      </c>
      <c r="D18" s="35" t="str">
        <f>VLOOKUP($A18,'Выгр Кат'!$A:$R,D$1,0)</f>
        <v>Y</v>
      </c>
      <c r="E18" s="35" t="str">
        <f>VLOOKUP($A18,'Выгр Кат'!$A:$R,E$1,0)</f>
        <v>1</v>
      </c>
      <c r="F18" s="35">
        <f>VLOOKUP($A18,'Выгр Кат'!$A:$R,F$1,0)</f>
        <v>0</v>
      </c>
      <c r="G18" s="3" t="s">
        <v>83</v>
      </c>
      <c r="H18" s="3" t="s">
        <v>39</v>
      </c>
      <c r="I18" s="15">
        <f t="shared" si="0"/>
        <v>800</v>
      </c>
      <c r="J18" s="8">
        <f>VLOOKUP(I18,Наценка!$A$1:$B$8,2,1)</f>
        <v>1.55</v>
      </c>
      <c r="K18" s="22">
        <f t="shared" si="1"/>
        <v>1240</v>
      </c>
      <c r="L18" s="10">
        <f t="shared" si="2"/>
        <v>1290</v>
      </c>
      <c r="M18" s="35">
        <f>VLOOKUP($A18,'Выгр Кат'!$A:$R,M$1,0)</f>
        <v>800</v>
      </c>
      <c r="N18" s="35">
        <f>VLOOKUP($A18,'Выгр Кат'!$A:$R,N$1,0)</f>
        <v>1290</v>
      </c>
      <c r="O18" s="37">
        <f t="shared" si="3"/>
        <v>0</v>
      </c>
      <c r="P18" s="37">
        <f t="shared" si="4"/>
        <v>0</v>
      </c>
      <c r="Q18" s="43">
        <f t="shared" si="5"/>
        <v>1199.6999999999998</v>
      </c>
      <c r="R18" s="52" t="str">
        <f>IFERROR((VLOOKUP($A18,'Из ГУГЛа'!$B:$G,6,0)+T18)*S18,VLOOKUP($A18,'Из ГУГЛа'!$B:$G,6,0))</f>
        <v/>
      </c>
      <c r="S18" s="44">
        <v>1</v>
      </c>
      <c r="T18" s="44">
        <v>0</v>
      </c>
      <c r="U18" s="45">
        <f t="shared" si="6"/>
        <v>0.49962499999999976</v>
      </c>
      <c r="V18" s="45" t="str">
        <f t="shared" si="7"/>
        <v/>
      </c>
      <c r="W18" s="45" t="str">
        <f t="shared" si="8"/>
        <v/>
      </c>
      <c r="X18" s="3" t="s">
        <v>164</v>
      </c>
    </row>
    <row r="19" spans="1:25" ht="30" x14ac:dyDescent="0.25">
      <c r="A19" s="35">
        <v>117301</v>
      </c>
      <c r="B19" s="35">
        <f>VLOOKUP($A19,'Выгр Кат'!$A:$R,B$1,0)</f>
        <v>25081</v>
      </c>
      <c r="C19" s="34" t="str">
        <f>VLOOKUP($A19,'Выгр Кат'!$A:$R,C$1,0)</f>
        <v>LED стробоскопы с беспроводным пультом</v>
      </c>
      <c r="D19" s="35" t="str">
        <f>VLOOKUP($A19,'Выгр Кат'!$A:$R,D$1,0)</f>
        <v>Y</v>
      </c>
      <c r="E19" s="35" t="str">
        <f>VLOOKUP($A19,'Выгр Кат'!$A:$R,E$1,0)</f>
        <v>1</v>
      </c>
      <c r="F19" s="35">
        <f>VLOOKUP($A19,'Выгр Кат'!$A:$R,F$1,0)</f>
        <v>0</v>
      </c>
      <c r="G19" s="3" t="s">
        <v>83</v>
      </c>
      <c r="H19" s="3" t="s">
        <v>41</v>
      </c>
      <c r="I19" s="15">
        <f t="shared" si="0"/>
        <v>700</v>
      </c>
      <c r="J19" s="8">
        <f>VLOOKUP(I19,Наценка!$A$1:$B$8,2,1)</f>
        <v>1.55</v>
      </c>
      <c r="K19" s="22">
        <f t="shared" si="1"/>
        <v>1085</v>
      </c>
      <c r="L19" s="10">
        <f t="shared" si="2"/>
        <v>1090</v>
      </c>
      <c r="M19" s="35">
        <f>VLOOKUP($A19,'Выгр Кат'!$A:$R,M$1,0)</f>
        <v>700</v>
      </c>
      <c r="N19" s="35">
        <f>VLOOKUP($A19,'Выгр Кат'!$A:$R,N$1,0)</f>
        <v>1090</v>
      </c>
      <c r="O19" s="37">
        <f t="shared" si="3"/>
        <v>0</v>
      </c>
      <c r="P19" s="37">
        <f t="shared" si="4"/>
        <v>0</v>
      </c>
      <c r="Q19" s="43">
        <f t="shared" si="5"/>
        <v>1013.6999999999999</v>
      </c>
      <c r="R19" s="52" t="str">
        <f>IFERROR((VLOOKUP($A19,'Из ГУГЛа'!$B:$G,6,0)+T19)*S19,VLOOKUP($A19,'Из ГУГЛа'!$B:$G,6,0))</f>
        <v/>
      </c>
      <c r="S19" s="44">
        <v>1</v>
      </c>
      <c r="T19" s="44">
        <v>0</v>
      </c>
      <c r="U19" s="45">
        <f t="shared" si="6"/>
        <v>0.44814285714285695</v>
      </c>
      <c r="V19" s="45" t="str">
        <f t="shared" si="7"/>
        <v/>
      </c>
      <c r="W19" s="45" t="str">
        <f t="shared" si="8"/>
        <v/>
      </c>
      <c r="X19" s="3" t="s">
        <v>164</v>
      </c>
    </row>
    <row r="20" spans="1:25" ht="45" x14ac:dyDescent="0.25">
      <c r="A20" s="35">
        <v>153109</v>
      </c>
      <c r="B20" s="35">
        <f>VLOOKUP($A20,'Выгр Кат'!$A:$R,B$1,0)</f>
        <v>25083</v>
      </c>
      <c r="C20" s="34" t="str">
        <f>VLOOKUP($A20,'Выгр Кат'!$A:$R,C$1,0)</f>
        <v>Камера заднего вида "AVTOSVET" (подсветка, на пластиковом кронштейне) универсальная</v>
      </c>
      <c r="D20" s="35" t="str">
        <f>VLOOKUP($A20,'Выгр Кат'!$A:$R,D$1,0)</f>
        <v>Y</v>
      </c>
      <c r="E20" s="35" t="str">
        <f>VLOOKUP($A20,'Выгр Кат'!$A:$R,E$1,0)</f>
        <v>1</v>
      </c>
      <c r="F20" s="35">
        <f>VLOOKUP($A20,'Выгр Кат'!$A:$R,F$1,0)</f>
        <v>0</v>
      </c>
      <c r="G20" s="3" t="s">
        <v>83</v>
      </c>
      <c r="H20" s="3" t="s">
        <v>43</v>
      </c>
      <c r="I20" s="15">
        <f t="shared" si="0"/>
        <v>500</v>
      </c>
      <c r="J20" s="8">
        <f>VLOOKUP(I20,Наценка!$A$1:$B$8,2,1)</f>
        <v>1.55</v>
      </c>
      <c r="K20" s="22">
        <f t="shared" si="1"/>
        <v>775</v>
      </c>
      <c r="L20" s="10">
        <f t="shared" si="2"/>
        <v>779</v>
      </c>
      <c r="M20" s="35">
        <f>VLOOKUP($A20,'Выгр Кат'!$A:$R,M$1,0)</f>
        <v>500</v>
      </c>
      <c r="N20" s="35">
        <f>VLOOKUP($A20,'Выгр Кат'!$A:$R,N$1,0)</f>
        <v>779</v>
      </c>
      <c r="O20" s="37">
        <f t="shared" si="3"/>
        <v>0</v>
      </c>
      <c r="P20" s="37">
        <f t="shared" si="4"/>
        <v>0</v>
      </c>
      <c r="Q20" s="43">
        <f t="shared" si="5"/>
        <v>724.46999999999991</v>
      </c>
      <c r="R20" s="52" t="str">
        <f>IFERROR((VLOOKUP($A20,'Из ГУГЛа'!$B:$G,6,0)+T20)*S20,VLOOKUP($A20,'Из ГУГЛа'!$B:$G,6,0))</f>
        <v/>
      </c>
      <c r="S20" s="44">
        <v>1</v>
      </c>
      <c r="T20" s="44">
        <v>0</v>
      </c>
      <c r="U20" s="45">
        <f t="shared" si="6"/>
        <v>0.44893999999999989</v>
      </c>
      <c r="V20" s="45" t="str">
        <f t="shared" si="7"/>
        <v/>
      </c>
      <c r="W20" s="45" t="str">
        <f t="shared" si="8"/>
        <v/>
      </c>
      <c r="X20" s="3" t="s">
        <v>164</v>
      </c>
    </row>
    <row r="21" spans="1:25" ht="45" x14ac:dyDescent="0.25">
      <c r="A21" s="35">
        <v>185791</v>
      </c>
      <c r="B21" s="35">
        <f>VLOOKUP($A21,'Выгр Кат'!$A:$R,B$1,0)</f>
        <v>27309</v>
      </c>
      <c r="C21" s="34" t="str">
        <f>VLOOKUP($A21,'Выгр Кат'!$A:$R,C$1,0)</f>
        <v>Основание платы фонаря заднего в сборе, правое для ВАЗ 2108-21099, 2113, 2114</v>
      </c>
      <c r="D21" s="35" t="str">
        <f>VLOOKUP($A21,'Выгр Кат'!$A:$R,D$1,0)</f>
        <v>Y</v>
      </c>
      <c r="E21" s="35" t="str">
        <f>VLOOKUP($A21,'Выгр Кат'!$A:$R,E$1,0)</f>
        <v>1</v>
      </c>
      <c r="F21" s="35" t="str">
        <f>VLOOKUP($A21,'Выгр Кат'!$A:$R,F$1,0)</f>
        <v>210803716096</v>
      </c>
      <c r="G21" s="3" t="s">
        <v>83</v>
      </c>
      <c r="H21" s="3" t="s">
        <v>46</v>
      </c>
      <c r="I21" s="15">
        <f t="shared" si="0"/>
        <v>215</v>
      </c>
      <c r="J21" s="8">
        <f>VLOOKUP(I21,Наценка!$A$1:$B$8,2,1)</f>
        <v>2.2999999999999998</v>
      </c>
      <c r="K21" s="54">
        <f t="shared" ref="K21:K24" si="9">X21*1.02</f>
        <v>300.89999999999998</v>
      </c>
      <c r="L21" s="10">
        <f t="shared" si="2"/>
        <v>309</v>
      </c>
      <c r="M21" s="35">
        <f>VLOOKUP($A21,'Выгр Кат'!$A:$R,M$1,0)</f>
        <v>215</v>
      </c>
      <c r="N21" s="35">
        <f>VLOOKUP($A21,'Выгр Кат'!$A:$R,N$1,0)</f>
        <v>309</v>
      </c>
      <c r="O21" s="37">
        <f t="shared" si="3"/>
        <v>0</v>
      </c>
      <c r="P21" s="37">
        <f t="shared" si="4"/>
        <v>0</v>
      </c>
      <c r="Q21" s="43">
        <f t="shared" si="5"/>
        <v>287.37</v>
      </c>
      <c r="R21" s="52">
        <f>IFERROR((VLOOKUP($A21,'Из ГУГЛа'!$B:$G,6,0)+T21)*S21,VLOOKUP($A21,'Из ГУГЛа'!$B:$G,6,0))</f>
        <v>295</v>
      </c>
      <c r="S21" s="44">
        <v>0.5</v>
      </c>
      <c r="T21" s="44">
        <v>0</v>
      </c>
      <c r="U21" s="45">
        <f t="shared" si="6"/>
        <v>0.3366046511627907</v>
      </c>
      <c r="V21" s="45">
        <f t="shared" si="7"/>
        <v>2.5864406779661002E-2</v>
      </c>
      <c r="W21" s="45">
        <f t="shared" si="8"/>
        <v>0.37209302325581395</v>
      </c>
      <c r="X21" s="49">
        <v>295</v>
      </c>
      <c r="Y21" s="32" t="s">
        <v>210</v>
      </c>
    </row>
    <row r="22" spans="1:25" ht="45" x14ac:dyDescent="0.25">
      <c r="A22" s="35">
        <v>185790</v>
      </c>
      <c r="B22" s="35">
        <f>VLOOKUP($A22,'Выгр Кат'!$A:$R,B$1,0)</f>
        <v>27310</v>
      </c>
      <c r="C22" s="34" t="str">
        <f>VLOOKUP($A22,'Выгр Кат'!$A:$R,C$1,0)</f>
        <v>Основание платы фонаря заднего в сборе, левое для ВАЗ 2108-21099, 2113, 2114</v>
      </c>
      <c r="D22" s="35" t="str">
        <f>VLOOKUP($A22,'Выгр Кат'!$A:$R,D$1,0)</f>
        <v>Y</v>
      </c>
      <c r="E22" s="35" t="str">
        <f>VLOOKUP($A22,'Выгр Кат'!$A:$R,E$1,0)</f>
        <v>1</v>
      </c>
      <c r="F22" s="35" t="str">
        <f>VLOOKUP($A22,'Выгр Кат'!$A:$R,F$1,0)</f>
        <v>210803716097</v>
      </c>
      <c r="G22" s="3" t="s">
        <v>83</v>
      </c>
      <c r="H22" s="3" t="s">
        <v>49</v>
      </c>
      <c r="I22" s="15">
        <f t="shared" si="0"/>
        <v>215</v>
      </c>
      <c r="J22" s="8">
        <f>VLOOKUP(I22,Наценка!$A$1:$B$8,2,1)</f>
        <v>2.2999999999999998</v>
      </c>
      <c r="K22" s="54">
        <f t="shared" si="9"/>
        <v>300.89999999999998</v>
      </c>
      <c r="L22" s="10">
        <f t="shared" si="2"/>
        <v>309</v>
      </c>
      <c r="M22" s="35">
        <f>VLOOKUP($A22,'Выгр Кат'!$A:$R,M$1,0)</f>
        <v>215</v>
      </c>
      <c r="N22" s="35">
        <f>VLOOKUP($A22,'Выгр Кат'!$A:$R,N$1,0)</f>
        <v>309</v>
      </c>
      <c r="O22" s="37">
        <f t="shared" si="3"/>
        <v>0</v>
      </c>
      <c r="P22" s="37">
        <f t="shared" si="4"/>
        <v>0</v>
      </c>
      <c r="Q22" s="43">
        <f t="shared" si="5"/>
        <v>287.37</v>
      </c>
      <c r="R22" s="52">
        <f>IFERROR((VLOOKUP($A22,'Из ГУГЛа'!$B:$G,6,0)+T22)*S22,VLOOKUP($A22,'Из ГУГЛа'!$B:$G,6,0))</f>
        <v>295</v>
      </c>
      <c r="S22" s="44">
        <v>0.5</v>
      </c>
      <c r="T22" s="44">
        <v>0</v>
      </c>
      <c r="U22" s="45">
        <f t="shared" si="6"/>
        <v>0.3366046511627907</v>
      </c>
      <c r="V22" s="45">
        <f t="shared" si="7"/>
        <v>2.5864406779661002E-2</v>
      </c>
      <c r="W22" s="45">
        <f t="shared" si="8"/>
        <v>0.37209302325581395</v>
      </c>
      <c r="X22" s="49">
        <v>295</v>
      </c>
      <c r="Y22" s="32" t="s">
        <v>210</v>
      </c>
    </row>
    <row r="23" spans="1:25" ht="45.75" thickBot="1" x14ac:dyDescent="0.3">
      <c r="A23" s="35">
        <v>224046</v>
      </c>
      <c r="B23" s="35">
        <f>VLOOKUP($A23,'Выгр Кат'!$A:$R,B$1,0)</f>
        <v>30721</v>
      </c>
      <c r="C23" s="34" t="str">
        <f>VLOOKUP($A23,'Выгр Кат'!$A:$R,C$1,0)</f>
        <v>Фильтр нулевого сопротивления в штатный корпус (инджекторный двигатель)</v>
      </c>
      <c r="D23" s="35" t="str">
        <f>VLOOKUP($A23,'Выгр Кат'!$A:$R,D$1,0)</f>
        <v>Y</v>
      </c>
      <c r="E23" s="35" t="str">
        <f>VLOOKUP($A23,'Выгр Кат'!$A:$R,E$1,0)</f>
        <v>1</v>
      </c>
      <c r="F23" s="35">
        <f>VLOOKUP($A23,'Выгр Кат'!$A:$R,F$1,0)</f>
        <v>0</v>
      </c>
      <c r="G23" s="3" t="s">
        <v>83</v>
      </c>
      <c r="H23" s="3" t="s">
        <v>50</v>
      </c>
      <c r="I23" s="15">
        <f t="shared" si="0"/>
        <v>500</v>
      </c>
      <c r="J23" s="8">
        <f>VLOOKUP(I23,Наценка!$A$1:$B$8,2,1)</f>
        <v>1.55</v>
      </c>
      <c r="K23" s="54">
        <f t="shared" si="9"/>
        <v>845.58</v>
      </c>
      <c r="L23" s="10">
        <f t="shared" si="2"/>
        <v>849</v>
      </c>
      <c r="M23" s="35">
        <f>VLOOKUP($A23,'Выгр Кат'!$A:$R,M$1,0)</f>
        <v>500</v>
      </c>
      <c r="N23" s="35">
        <f>VLOOKUP($A23,'Выгр Кат'!$A:$R,N$1,0)</f>
        <v>919</v>
      </c>
      <c r="O23" s="37">
        <f t="shared" si="3"/>
        <v>0</v>
      </c>
      <c r="P23" s="37">
        <f t="shared" si="4"/>
        <v>70</v>
      </c>
      <c r="Q23" s="43">
        <f t="shared" si="5"/>
        <v>789.56999999999994</v>
      </c>
      <c r="R23" s="52">
        <f>IFERROR((VLOOKUP($A23,'Из ГУГЛа'!$B:$G,6,0)+T23)*S23,VLOOKUP($A23,'Из ГУГЛа'!$B:$G,6,0))</f>
        <v>829</v>
      </c>
      <c r="S23" s="44">
        <v>1</v>
      </c>
      <c r="T23" s="44">
        <v>0</v>
      </c>
      <c r="U23" s="45">
        <f t="shared" si="6"/>
        <v>0.57913999999999977</v>
      </c>
      <c r="V23" s="45">
        <f t="shared" si="7"/>
        <v>4.7563329312424685E-2</v>
      </c>
      <c r="W23" s="45">
        <f t="shared" si="8"/>
        <v>0.65799999999999992</v>
      </c>
      <c r="X23" s="26">
        <v>829</v>
      </c>
      <c r="Y23" s="32" t="s">
        <v>168</v>
      </c>
    </row>
    <row r="24" spans="1:25" ht="30.75" thickTop="1" x14ac:dyDescent="0.25">
      <c r="A24" s="35">
        <v>219131</v>
      </c>
      <c r="B24" s="35">
        <f>VLOOKUP($A24,'Выгр Кат'!$A:$R,B$1,0)</f>
        <v>32127</v>
      </c>
      <c r="C24" s="34" t="str">
        <f>VLOOKUP($A24,'Выгр Кат'!$A:$R,C$1,0)</f>
        <v>Термолента базальтовая до 1200 градусов (5 см х10 м)</v>
      </c>
      <c r="D24" s="35" t="str">
        <f>VLOOKUP($A24,'Выгр Кат'!$A:$R,D$1,0)</f>
        <v>Y</v>
      </c>
      <c r="E24" s="35" t="str">
        <f>VLOOKUP($A24,'Выгр Кат'!$A:$R,E$1,0)</f>
        <v>1</v>
      </c>
      <c r="F24" s="35">
        <f>VLOOKUP($A24,'Выгр Кат'!$A:$R,F$1,0)</f>
        <v>0</v>
      </c>
      <c r="G24" s="3" t="s">
        <v>83</v>
      </c>
      <c r="H24" s="3" t="s">
        <v>51</v>
      </c>
      <c r="I24" s="15">
        <f t="shared" si="0"/>
        <v>900</v>
      </c>
      <c r="J24" s="8">
        <f>VLOOKUP(I24,Наценка!$A$1:$B$8,2,1)</f>
        <v>1.55</v>
      </c>
      <c r="K24" s="54">
        <f t="shared" si="9"/>
        <v>1723.8</v>
      </c>
      <c r="L24" s="10">
        <f t="shared" si="2"/>
        <v>1790</v>
      </c>
      <c r="M24" s="35">
        <f>VLOOKUP($A24,'Выгр Кат'!$A:$R,M$1,0)</f>
        <v>900</v>
      </c>
      <c r="N24" s="35">
        <f>VLOOKUP($A24,'Выгр Кат'!$A:$R,N$1,0)</f>
        <v>1790</v>
      </c>
      <c r="O24" s="37">
        <f t="shared" si="3"/>
        <v>0</v>
      </c>
      <c r="P24" s="37">
        <f t="shared" si="4"/>
        <v>0</v>
      </c>
      <c r="Q24" s="43">
        <f t="shared" si="5"/>
        <v>1664.6999999999998</v>
      </c>
      <c r="R24" s="52">
        <f>IFERROR((VLOOKUP($A24,'Из ГУГЛа'!$B:$G,6,0)+T24)*S24,VLOOKUP($A24,'Из ГУГЛа'!$B:$G,6,0))</f>
        <v>1690</v>
      </c>
      <c r="S24" s="44">
        <v>1</v>
      </c>
      <c r="T24" s="44">
        <v>0</v>
      </c>
      <c r="U24" s="45">
        <f t="shared" si="6"/>
        <v>0.84966666666666657</v>
      </c>
      <c r="V24" s="45">
        <f t="shared" si="7"/>
        <v>1.497041420118354E-2</v>
      </c>
      <c r="W24" s="45">
        <f t="shared" si="8"/>
        <v>0.87777777777777777</v>
      </c>
      <c r="X24" s="49">
        <v>1690</v>
      </c>
      <c r="Y24" s="32" t="s">
        <v>170</v>
      </c>
    </row>
    <row r="25" spans="1:25" ht="60" x14ac:dyDescent="0.25">
      <c r="A25" s="35">
        <v>186653</v>
      </c>
      <c r="B25" s="35">
        <f>VLOOKUP($A25,'Выгр Кат'!$A:$R,B$1,0)</f>
        <v>36385</v>
      </c>
      <c r="C25" s="34" t="str">
        <f>VLOOKUP($A25,'Выгр Кат'!$A:$R,C$1,0)</f>
        <v>Патрубок впускной алюминиевый для фильтра нулевого сопротивления (серебристый, 16-ти / 8-ми клапанный)</v>
      </c>
      <c r="D25" s="35" t="str">
        <f>VLOOKUP($A25,'Выгр Кат'!$A:$R,D$1,0)</f>
        <v>Y</v>
      </c>
      <c r="E25" s="35" t="str">
        <f>VLOOKUP($A25,'Выгр Кат'!$A:$R,E$1,0)</f>
        <v>1</v>
      </c>
      <c r="F25" s="35">
        <f>VLOOKUP($A25,'Выгр Кат'!$A:$R,F$1,0)</f>
        <v>0</v>
      </c>
      <c r="G25" s="3" t="s">
        <v>83</v>
      </c>
      <c r="H25" s="3" t="s">
        <v>52</v>
      </c>
      <c r="I25" s="15">
        <f t="shared" si="0"/>
        <v>900</v>
      </c>
      <c r="J25" s="8">
        <f>VLOOKUP(I25,Наценка!$A$1:$B$8,2,1)</f>
        <v>1.55</v>
      </c>
      <c r="K25" s="22">
        <f t="shared" si="1"/>
        <v>1395</v>
      </c>
      <c r="L25" s="10">
        <f t="shared" si="2"/>
        <v>1390</v>
      </c>
      <c r="M25" s="35">
        <f>VLOOKUP($A25,'Выгр Кат'!$A:$R,M$1,0)</f>
        <v>900</v>
      </c>
      <c r="N25" s="35">
        <f>VLOOKUP($A25,'Выгр Кат'!$A:$R,N$1,0)</f>
        <v>1390</v>
      </c>
      <c r="O25" s="37">
        <f t="shared" si="3"/>
        <v>0</v>
      </c>
      <c r="P25" s="37">
        <f t="shared" si="4"/>
        <v>0</v>
      </c>
      <c r="Q25" s="43">
        <f t="shared" si="5"/>
        <v>1292.6999999999998</v>
      </c>
      <c r="R25" s="52" t="str">
        <f>IFERROR((VLOOKUP($A25,'Из ГУГЛа'!$B:$G,6,0)+T25)*S25,VLOOKUP($A25,'Из ГУГЛа'!$B:$G,6,0))</f>
        <v/>
      </c>
      <c r="S25" s="44">
        <v>1</v>
      </c>
      <c r="T25" s="44">
        <v>0</v>
      </c>
      <c r="U25" s="45">
        <f t="shared" si="6"/>
        <v>0.43633333333333324</v>
      </c>
      <c r="V25" s="45" t="str">
        <f t="shared" si="7"/>
        <v/>
      </c>
      <c r="W25" s="45" t="str">
        <f t="shared" si="8"/>
        <v/>
      </c>
      <c r="X25" s="3" t="s">
        <v>169</v>
      </c>
    </row>
    <row r="26" spans="1:25" ht="45" x14ac:dyDescent="0.25">
      <c r="A26" s="35">
        <v>117299</v>
      </c>
      <c r="B26" s="35">
        <f>VLOOKUP($A26,'Выгр Кат'!$A:$R,B$1,0)</f>
        <v>37589</v>
      </c>
      <c r="C26" s="34" t="str">
        <f>VLOOKUP($A26,'Выгр Кат'!$A:$R,C$1,0)</f>
        <v>LED подсветка днища / салона с пультом управления (универсальная)</v>
      </c>
      <c r="D26" s="35" t="str">
        <f>VLOOKUP($A26,'Выгр Кат'!$A:$R,D$1,0)</f>
        <v>Y</v>
      </c>
      <c r="E26" s="35" t="str">
        <f>VLOOKUP($A26,'Выгр Кат'!$A:$R,E$1,0)</f>
        <v>1</v>
      </c>
      <c r="F26" s="35">
        <f>VLOOKUP($A26,'Выгр Кат'!$A:$R,F$1,0)</f>
        <v>0</v>
      </c>
      <c r="G26" s="3" t="s">
        <v>83</v>
      </c>
      <c r="H26" s="3" t="s">
        <v>54</v>
      </c>
      <c r="I26" s="15">
        <f t="shared" si="0"/>
        <v>1000</v>
      </c>
      <c r="J26" s="8">
        <f>VLOOKUP(I26,Наценка!$A$1:$B$8,2,1)</f>
        <v>1.5</v>
      </c>
      <c r="K26" s="22">
        <f t="shared" si="1"/>
        <v>1500</v>
      </c>
      <c r="L26" s="10">
        <f t="shared" si="2"/>
        <v>1490</v>
      </c>
      <c r="M26" s="35">
        <f>VLOOKUP($A26,'Выгр Кат'!$A:$R,M$1,0)</f>
        <v>1000</v>
      </c>
      <c r="N26" s="35">
        <f>VLOOKUP($A26,'Выгр Кат'!$A:$R,N$1,0)</f>
        <v>1490</v>
      </c>
      <c r="O26" s="37">
        <f t="shared" si="3"/>
        <v>0</v>
      </c>
      <c r="P26" s="37">
        <f t="shared" si="4"/>
        <v>0</v>
      </c>
      <c r="Q26" s="43">
        <f t="shared" si="5"/>
        <v>1385.6999999999998</v>
      </c>
      <c r="R26" s="52" t="str">
        <f>IFERROR((VLOOKUP($A26,'Из ГУГЛа'!$B:$G,6,0)+T26)*S26,VLOOKUP($A26,'Из ГУГЛа'!$B:$G,6,0))</f>
        <v/>
      </c>
      <c r="S26" s="44">
        <v>1</v>
      </c>
      <c r="T26" s="44">
        <v>0</v>
      </c>
      <c r="U26" s="45">
        <f t="shared" si="6"/>
        <v>0.38569999999999971</v>
      </c>
      <c r="V26" s="45" t="str">
        <f t="shared" si="7"/>
        <v/>
      </c>
      <c r="W26" s="45" t="str">
        <f t="shared" si="8"/>
        <v/>
      </c>
      <c r="X26" s="3" t="s">
        <v>164</v>
      </c>
    </row>
    <row r="27" spans="1:25" ht="45.75" thickBot="1" x14ac:dyDescent="0.3">
      <c r="A27" s="35">
        <v>145541</v>
      </c>
      <c r="B27" s="35">
        <f>VLOOKUP($A27,'Выгр Кат'!$A:$R,B$1,0)</f>
        <v>37677</v>
      </c>
      <c r="C27" s="34" t="str">
        <f>VLOOKUP($A27,'Выгр Кат'!$A:$R,C$1,0)</f>
        <v>Задние фонари "ТехАвтоСвет" (белый поворотник, без ламп) для ВАЗ 2108-21099, 2113, 2114</v>
      </c>
      <c r="D27" s="35" t="str">
        <f>VLOOKUP($A27,'Выгр Кат'!$A:$R,D$1,0)</f>
        <v>Y</v>
      </c>
      <c r="E27" s="35" t="str">
        <f>VLOOKUP($A27,'Выгр Кат'!$A:$R,E$1,0)</f>
        <v>1</v>
      </c>
      <c r="F27" s="35">
        <f>VLOOKUP($A27,'Выгр Кат'!$A:$R,F$1,0)</f>
        <v>0</v>
      </c>
      <c r="G27" s="3" t="s">
        <v>83</v>
      </c>
      <c r="H27" s="3" t="s">
        <v>56</v>
      </c>
      <c r="I27" s="15">
        <f t="shared" si="0"/>
        <v>1000</v>
      </c>
      <c r="J27" s="8">
        <f>VLOOKUP(I27,Наценка!$A$1:$B$8,2,1)</f>
        <v>1.5</v>
      </c>
      <c r="K27" s="54">
        <f>X27*1.02</f>
        <v>1621.8</v>
      </c>
      <c r="L27" s="10">
        <f t="shared" si="2"/>
        <v>1690</v>
      </c>
      <c r="M27" s="35">
        <f>VLOOKUP($A27,'Выгр Кат'!$A:$R,M$1,0)</f>
        <v>1000</v>
      </c>
      <c r="N27" s="35">
        <f>VLOOKUP($A27,'Выгр Кат'!$A:$R,N$1,0)</f>
        <v>1690</v>
      </c>
      <c r="O27" s="37">
        <f t="shared" si="3"/>
        <v>0</v>
      </c>
      <c r="P27" s="37">
        <f t="shared" si="4"/>
        <v>0</v>
      </c>
      <c r="Q27" s="43">
        <f t="shared" si="5"/>
        <v>1571.6999999999998</v>
      </c>
      <c r="R27" s="52">
        <f>IFERROR((VLOOKUP($A27,'Из ГУГЛа'!$B:$G,6,0)+T27)*S27,VLOOKUP($A27,'Из ГУГЛа'!$B:$G,6,0))</f>
        <v>1590</v>
      </c>
      <c r="S27" s="44">
        <v>1</v>
      </c>
      <c r="T27" s="44">
        <v>0</v>
      </c>
      <c r="U27" s="45">
        <f t="shared" si="6"/>
        <v>0.57169999999999987</v>
      </c>
      <c r="V27" s="45">
        <f t="shared" si="7"/>
        <v>1.1509433962264266E-2</v>
      </c>
      <c r="W27" s="45">
        <f t="shared" si="8"/>
        <v>0.59000000000000008</v>
      </c>
      <c r="X27" s="26">
        <v>1590</v>
      </c>
      <c r="Y27" s="32" t="s">
        <v>165</v>
      </c>
    </row>
    <row r="28" spans="1:25" ht="30.75" thickTop="1" x14ac:dyDescent="0.25">
      <c r="A28" s="35">
        <v>171592</v>
      </c>
      <c r="B28" s="35">
        <f>VLOOKUP($A28,'Выгр Кат'!$A:$R,B$1,0)</f>
        <v>38259</v>
      </c>
      <c r="C28" s="34" t="str">
        <f>VLOOKUP($A28,'Выгр Кат'!$A:$R,C$1,0)</f>
        <v>Насадка глушителя "C2R" синяя подсветка, универсальная</v>
      </c>
      <c r="D28" s="35" t="str">
        <f>VLOOKUP($A28,'Выгр Кат'!$A:$R,D$1,0)</f>
        <v>Y</v>
      </c>
      <c r="E28" s="35" t="str">
        <f>VLOOKUP($A28,'Выгр Кат'!$A:$R,E$1,0)</f>
        <v>1ск6</v>
      </c>
      <c r="F28" s="35">
        <f>VLOOKUP($A28,'Выгр Кат'!$A:$R,F$1,0)</f>
        <v>0</v>
      </c>
      <c r="G28" s="3" t="s">
        <v>83</v>
      </c>
      <c r="H28" s="3" t="s">
        <v>58</v>
      </c>
      <c r="I28" s="15">
        <f t="shared" si="0"/>
        <v>0</v>
      </c>
      <c r="J28" s="8" t="e">
        <f>VLOOKUP(I28,Наценка!$A$1:$B$8,2,1)</f>
        <v>#N/A</v>
      </c>
      <c r="K28" s="25">
        <f>N28</f>
        <v>1990</v>
      </c>
      <c r="L28" s="10">
        <f t="shared" si="2"/>
        <v>1990</v>
      </c>
      <c r="M28" s="35">
        <f>VLOOKUP($A28,'Выгр Кат'!$A:$R,M$1,0)</f>
        <v>0</v>
      </c>
      <c r="N28" s="35">
        <f>VLOOKUP($A28,'Выгр Кат'!$A:$R,N$1,0)</f>
        <v>1990</v>
      </c>
      <c r="O28" s="37">
        <f t="shared" si="3"/>
        <v>0</v>
      </c>
      <c r="P28" s="37">
        <f t="shared" si="4"/>
        <v>0</v>
      </c>
      <c r="Q28" s="43">
        <f t="shared" si="5"/>
        <v>1850.6999999999998</v>
      </c>
      <c r="R28" s="52" t="str">
        <f>IFERROR((VLOOKUP($A28,'Из ГУГЛа'!$B:$G,6,0)+T28)*S28,VLOOKUP($A28,'Из ГУГЛа'!$B:$G,6,0))</f>
        <v/>
      </c>
      <c r="S28" s="44">
        <v>1</v>
      </c>
      <c r="T28" s="44">
        <v>0</v>
      </c>
      <c r="U28" s="45" t="str">
        <f t="shared" si="6"/>
        <v/>
      </c>
      <c r="V28" s="45" t="str">
        <f t="shared" si="7"/>
        <v/>
      </c>
      <c r="W28" s="45" t="str">
        <f t="shared" si="8"/>
        <v/>
      </c>
      <c r="X28" s="3" t="s">
        <v>164</v>
      </c>
    </row>
    <row r="29" spans="1:25" ht="45" x14ac:dyDescent="0.25">
      <c r="A29" s="35">
        <v>139607</v>
      </c>
      <c r="B29" s="35">
        <f>VLOOKUP($A29,'Выгр Кат'!$A:$R,B$1,0)</f>
        <v>38412</v>
      </c>
      <c r="C29" s="34" t="str">
        <f>VLOOKUP($A29,'Выгр Кат'!$A:$R,C$1,0)</f>
        <v>Вставка в выхлопную трубу для изменения звука (электронная заслонка)</v>
      </c>
      <c r="D29" s="35" t="str">
        <f>VLOOKUP($A29,'Выгр Кат'!$A:$R,D$1,0)</f>
        <v>Y</v>
      </c>
      <c r="E29" s="35" t="str">
        <f>VLOOKUP($A29,'Выгр Кат'!$A:$R,E$1,0)</f>
        <v>1</v>
      </c>
      <c r="F29" s="35">
        <f>VLOOKUP($A29,'Выгр Кат'!$A:$R,F$1,0)</f>
        <v>0</v>
      </c>
      <c r="G29" s="3" t="s">
        <v>83</v>
      </c>
      <c r="H29" s="3" t="s">
        <v>60</v>
      </c>
      <c r="I29" s="15">
        <f t="shared" si="0"/>
        <v>6500</v>
      </c>
      <c r="J29" s="8">
        <f>VLOOKUP(I29,Наценка!$A$1:$B$8,2,1)</f>
        <v>1.35</v>
      </c>
      <c r="K29" s="22">
        <f t="shared" si="1"/>
        <v>8775</v>
      </c>
      <c r="L29" s="10">
        <f t="shared" si="2"/>
        <v>8790</v>
      </c>
      <c r="M29" s="35">
        <f>VLOOKUP($A29,'Выгр Кат'!$A:$R,M$1,0)</f>
        <v>6500</v>
      </c>
      <c r="N29" s="35">
        <f>VLOOKUP($A29,'Выгр Кат'!$A:$R,N$1,0)</f>
        <v>8790</v>
      </c>
      <c r="O29" s="37">
        <f t="shared" si="3"/>
        <v>0</v>
      </c>
      <c r="P29" s="37">
        <f t="shared" si="4"/>
        <v>0</v>
      </c>
      <c r="Q29" s="43">
        <f t="shared" si="5"/>
        <v>8174.7</v>
      </c>
      <c r="R29" s="52" t="str">
        <f>IFERROR((VLOOKUP($A29,'Из ГУГЛа'!$B:$G,6,0)+T29)*S29,VLOOKUP($A29,'Из ГУГЛа'!$B:$G,6,0))</f>
        <v/>
      </c>
      <c r="S29" s="44">
        <v>1</v>
      </c>
      <c r="T29" s="44">
        <v>0</v>
      </c>
      <c r="U29" s="45">
        <f t="shared" si="6"/>
        <v>0.25764615384615386</v>
      </c>
      <c r="V29" s="45" t="str">
        <f t="shared" si="7"/>
        <v/>
      </c>
      <c r="W29" s="45" t="str">
        <f t="shared" si="8"/>
        <v/>
      </c>
      <c r="X29" s="3" t="s">
        <v>164</v>
      </c>
    </row>
    <row r="30" spans="1:25" ht="45" x14ac:dyDescent="0.25">
      <c r="A30" s="35">
        <v>223317</v>
      </c>
      <c r="B30" s="35">
        <f>VLOOKUP($A30,'Выгр Кат'!$A:$R,B$1,0)</f>
        <v>44891</v>
      </c>
      <c r="C30" s="34" t="str">
        <f>VLOOKUP($A30,'Выгр Кат'!$A:$R,C$1,0)</f>
        <v>Упор "Тольятти" крышки багажника для Лада Гранта лифтбек</v>
      </c>
      <c r="D30" s="35" t="str">
        <f>VLOOKUP($A30,'Выгр Кат'!$A:$R,D$1,0)</f>
        <v>Y</v>
      </c>
      <c r="E30" s="35" t="str">
        <f>VLOOKUP($A30,'Выгр Кат'!$A:$R,E$1,0)</f>
        <v>1ск1</v>
      </c>
      <c r="F30" s="35" t="str">
        <f>VLOOKUP($A30,'Выгр Кат'!$A:$R,F$1,0)</f>
        <v>21910823101500</v>
      </c>
      <c r="G30" s="3" t="s">
        <v>83</v>
      </c>
      <c r="H30" s="3" t="s">
        <v>62</v>
      </c>
      <c r="I30" s="15">
        <f t="shared" si="0"/>
        <v>450</v>
      </c>
      <c r="J30" s="8">
        <f>VLOOKUP(I30,Наценка!$A$1:$B$8,2,1)</f>
        <v>1.6</v>
      </c>
      <c r="K30" s="22">
        <f t="shared" si="1"/>
        <v>720</v>
      </c>
      <c r="L30" s="10">
        <f t="shared" si="2"/>
        <v>719</v>
      </c>
      <c r="M30" s="35">
        <f>VLOOKUP($A30,'Выгр Кат'!$A:$R,M$1,0)</f>
        <v>450</v>
      </c>
      <c r="N30" s="35">
        <f>VLOOKUP($A30,'Выгр Кат'!$A:$R,N$1,0)</f>
        <v>719</v>
      </c>
      <c r="O30" s="37">
        <f t="shared" si="3"/>
        <v>0</v>
      </c>
      <c r="P30" s="37">
        <f t="shared" si="4"/>
        <v>0</v>
      </c>
      <c r="Q30" s="43">
        <f t="shared" si="5"/>
        <v>668.67</v>
      </c>
      <c r="R30" s="52" t="str">
        <f>IFERROR((VLOOKUP($A30,'Из ГУГЛа'!$B:$G,6,0)+T30)*S30,VLOOKUP($A30,'Из ГУГЛа'!$B:$G,6,0))</f>
        <v/>
      </c>
      <c r="S30" s="44">
        <v>1</v>
      </c>
      <c r="T30" s="44">
        <v>0</v>
      </c>
      <c r="U30" s="45">
        <f t="shared" si="6"/>
        <v>0.48593333333333333</v>
      </c>
      <c r="V30" s="45" t="str">
        <f t="shared" si="7"/>
        <v/>
      </c>
      <c r="W30" s="45" t="str">
        <f t="shared" si="8"/>
        <v/>
      </c>
      <c r="X30" s="3" t="s">
        <v>164</v>
      </c>
    </row>
    <row r="31" spans="1:25" ht="30" x14ac:dyDescent="0.25">
      <c r="A31" s="35">
        <v>219135</v>
      </c>
      <c r="B31" s="35">
        <f>VLOOKUP($A31,'Выгр Кат'!$A:$R,B$1,0)</f>
        <v>51586</v>
      </c>
      <c r="C31" s="34" t="str">
        <f>VLOOKUP($A31,'Выгр Кат'!$A:$R,C$1,0)</f>
        <v>Термолента до 800 градусов чёрная (5 см х 10 м)</v>
      </c>
      <c r="D31" s="35" t="str">
        <f>VLOOKUP($A31,'Выгр Кат'!$A:$R,D$1,0)</f>
        <v>N</v>
      </c>
      <c r="E31" s="35" t="str">
        <f>VLOOKUP($A31,'Выгр Кат'!$A:$R,E$1,0)</f>
        <v>1</v>
      </c>
      <c r="F31" s="35">
        <f>VLOOKUP($A31,'Выгр Кат'!$A:$R,F$1,0)</f>
        <v>0</v>
      </c>
      <c r="G31" s="3" t="s">
        <v>83</v>
      </c>
      <c r="H31" s="3" t="s">
        <v>64</v>
      </c>
      <c r="I31" s="15">
        <f t="shared" si="0"/>
        <v>600</v>
      </c>
      <c r="J31" s="8">
        <f>VLOOKUP(I31,Наценка!$A$1:$B$8,2,1)</f>
        <v>1.55</v>
      </c>
      <c r="K31" s="22">
        <f t="shared" si="1"/>
        <v>930</v>
      </c>
      <c r="L31" s="10">
        <f t="shared" si="2"/>
        <v>929</v>
      </c>
      <c r="M31" s="35">
        <f>VLOOKUP($A31,'Выгр Кат'!$A:$R,M$1,0)</f>
        <v>600</v>
      </c>
      <c r="N31" s="35">
        <f>VLOOKUP($A31,'Выгр Кат'!$A:$R,N$1,0)</f>
        <v>929</v>
      </c>
      <c r="O31" s="37">
        <f t="shared" si="3"/>
        <v>0</v>
      </c>
      <c r="P31" s="37">
        <f t="shared" si="4"/>
        <v>0</v>
      </c>
      <c r="Q31" s="43">
        <f t="shared" si="5"/>
        <v>863.96999999999991</v>
      </c>
      <c r="R31" s="52" t="str">
        <f>IFERROR((VLOOKUP($A31,'Из ГУГЛа'!$B:$G,6,0)+T31)*S31,VLOOKUP($A31,'Из ГУГЛа'!$B:$G,6,0))</f>
        <v/>
      </c>
      <c r="S31" s="44">
        <v>1</v>
      </c>
      <c r="T31" s="44">
        <v>0</v>
      </c>
      <c r="U31" s="45">
        <f t="shared" si="6"/>
        <v>0.43994999999999984</v>
      </c>
      <c r="V31" s="45" t="str">
        <f t="shared" si="7"/>
        <v/>
      </c>
      <c r="W31" s="45" t="str">
        <f t="shared" si="8"/>
        <v/>
      </c>
      <c r="X31" s="3" t="s">
        <v>164</v>
      </c>
    </row>
    <row r="32" spans="1:25" ht="45.75" thickBot="1" x14ac:dyDescent="0.3">
      <c r="A32" s="35">
        <v>145555</v>
      </c>
      <c r="B32" s="35">
        <f>VLOOKUP($A32,'Выгр Кат'!$A:$R,B$1,0)</f>
        <v>54062</v>
      </c>
      <c r="C32" s="34" t="str">
        <f>VLOOKUP($A32,'Выгр Кат'!$A:$R,C$1,0)</f>
        <v>Задние фонари в стиле Tiggo 8 PRO тонированные, динамический поворотник для ВАЗ 2110</v>
      </c>
      <c r="D32" s="35" t="str">
        <f>VLOOKUP($A32,'Выгр Кат'!$A:$R,D$1,0)</f>
        <v>Y</v>
      </c>
      <c r="E32" s="35" t="str">
        <f>VLOOKUP($A32,'Выгр Кат'!$A:$R,E$1,0)</f>
        <v>1ск1</v>
      </c>
      <c r="F32" s="35">
        <f>VLOOKUP($A32,'Выгр Кат'!$A:$R,F$1,0)</f>
        <v>0</v>
      </c>
      <c r="G32" s="3" t="s">
        <v>83</v>
      </c>
      <c r="H32" s="3" t="s">
        <v>65</v>
      </c>
      <c r="I32" s="15">
        <f t="shared" si="0"/>
        <v>7000</v>
      </c>
      <c r="J32" s="8">
        <f>VLOOKUP(I32,Наценка!$A$1:$B$8,2,1)</f>
        <v>1.35</v>
      </c>
      <c r="K32" s="54">
        <f t="shared" ref="K32:K33" si="10">X32*1.02</f>
        <v>9373.7999999999993</v>
      </c>
      <c r="L32" s="10">
        <f t="shared" si="2"/>
        <v>9390</v>
      </c>
      <c r="M32" s="35">
        <f>VLOOKUP($A32,'Выгр Кат'!$A:$R,M$1,0)</f>
        <v>7000</v>
      </c>
      <c r="N32" s="35">
        <f>VLOOKUP($A32,'Выгр Кат'!$A:$R,N$1,0)</f>
        <v>9390</v>
      </c>
      <c r="O32" s="37">
        <f t="shared" si="3"/>
        <v>0</v>
      </c>
      <c r="P32" s="37">
        <f t="shared" si="4"/>
        <v>0</v>
      </c>
      <c r="Q32" s="43">
        <f t="shared" si="5"/>
        <v>8732.6999999999989</v>
      </c>
      <c r="R32" s="52">
        <f>IFERROR((VLOOKUP($A32,'Из ГУГЛа'!$B:$G,6,0)+T32)*S32,VLOOKUP($A32,'Из ГУГЛа'!$B:$G,6,0))</f>
        <v>9190</v>
      </c>
      <c r="S32" s="44">
        <v>1</v>
      </c>
      <c r="T32" s="44">
        <v>0</v>
      </c>
      <c r="U32" s="45">
        <f t="shared" si="6"/>
        <v>0.24752857142857132</v>
      </c>
      <c r="V32" s="45">
        <f t="shared" si="7"/>
        <v>4.9760609357997941E-2</v>
      </c>
      <c r="W32" s="45">
        <f t="shared" si="8"/>
        <v>0.31285714285714294</v>
      </c>
      <c r="X32" s="26">
        <v>9190</v>
      </c>
      <c r="Y32" s="32" t="s">
        <v>103</v>
      </c>
    </row>
    <row r="33" spans="1:25" ht="46.5" thickTop="1" thickBot="1" x14ac:dyDescent="0.3">
      <c r="A33" s="35">
        <v>145554</v>
      </c>
      <c r="B33" s="35">
        <f>VLOOKUP($A33,'Выгр Кат'!$A:$R,B$1,0)</f>
        <v>54069</v>
      </c>
      <c r="C33" s="34" t="str">
        <f>VLOOKUP($A33,'Выгр Кат'!$A:$R,C$1,0)</f>
        <v>Задние фонари в стиле Tiggo 8 PRO красные, динамический поворотник для ВАЗ 2110</v>
      </c>
      <c r="D33" s="35" t="str">
        <f>VLOOKUP($A33,'Выгр Кат'!$A:$R,D$1,0)</f>
        <v>Y</v>
      </c>
      <c r="E33" s="35" t="str">
        <f>VLOOKUP($A33,'Выгр Кат'!$A:$R,E$1,0)</f>
        <v>1</v>
      </c>
      <c r="F33" s="35">
        <f>VLOOKUP($A33,'Выгр Кат'!$A:$R,F$1,0)</f>
        <v>0</v>
      </c>
      <c r="G33" s="3" t="s">
        <v>83</v>
      </c>
      <c r="H33" s="3" t="s">
        <v>66</v>
      </c>
      <c r="I33" s="15">
        <f t="shared" si="0"/>
        <v>7000</v>
      </c>
      <c r="J33" s="8">
        <f>VLOOKUP(I33,Наценка!$A$1:$B$8,2,1)</f>
        <v>1.35</v>
      </c>
      <c r="K33" s="54">
        <f t="shared" si="10"/>
        <v>9373.7999999999993</v>
      </c>
      <c r="L33" s="10">
        <f t="shared" si="2"/>
        <v>9390</v>
      </c>
      <c r="M33" s="35">
        <f>VLOOKUP($A33,'Выгр Кат'!$A:$R,M$1,0)</f>
        <v>7000</v>
      </c>
      <c r="N33" s="35">
        <f>VLOOKUP($A33,'Выгр Кат'!$A:$R,N$1,0)</f>
        <v>9390</v>
      </c>
      <c r="O33" s="37">
        <f t="shared" si="3"/>
        <v>0</v>
      </c>
      <c r="P33" s="37">
        <f t="shared" si="4"/>
        <v>0</v>
      </c>
      <c r="Q33" s="43">
        <f t="shared" si="5"/>
        <v>8732.6999999999989</v>
      </c>
      <c r="R33" s="52">
        <f>IFERROR((VLOOKUP($A33,'Из ГУГЛа'!$B:$G,6,0)+T33)*S33,VLOOKUP($A33,'Из ГУГЛа'!$B:$G,6,0))</f>
        <v>9190</v>
      </c>
      <c r="S33" s="44">
        <v>1</v>
      </c>
      <c r="T33" s="44">
        <v>0</v>
      </c>
      <c r="U33" s="45">
        <f t="shared" si="6"/>
        <v>0.24752857142857132</v>
      </c>
      <c r="V33" s="45">
        <f t="shared" si="7"/>
        <v>4.9760609357997941E-2</v>
      </c>
      <c r="W33" s="45">
        <f t="shared" si="8"/>
        <v>0.31285714285714294</v>
      </c>
      <c r="X33" s="26">
        <v>9190</v>
      </c>
      <c r="Y33" s="32" t="s">
        <v>103</v>
      </c>
    </row>
    <row r="34" spans="1:25" ht="45.75" thickTop="1" x14ac:dyDescent="0.25">
      <c r="A34" s="35">
        <v>117290</v>
      </c>
      <c r="B34" s="35">
        <f>VLOOKUP($A34,'Выгр Кат'!$A:$R,B$1,0)</f>
        <v>76635</v>
      </c>
      <c r="C34" s="34" t="str">
        <f>VLOOKUP($A34,'Выгр Кат'!$A:$R,C$1,0)</f>
        <v>LED FLASH LIGHT подсветка днища / салона с пультом управления (универсальная)</v>
      </c>
      <c r="D34" s="35" t="str">
        <f>VLOOKUP($A34,'Выгр Кат'!$A:$R,D$1,0)</f>
        <v>Y</v>
      </c>
      <c r="E34" s="35" t="str">
        <f>VLOOKUP($A34,'Выгр Кат'!$A:$R,E$1,0)</f>
        <v>1ск1</v>
      </c>
      <c r="F34" s="35">
        <f>VLOOKUP($A34,'Выгр Кат'!$A:$R,F$1,0)</f>
        <v>0</v>
      </c>
      <c r="G34" s="3" t="s">
        <v>83</v>
      </c>
      <c r="H34" s="3" t="s">
        <v>69</v>
      </c>
      <c r="I34" s="15">
        <f t="shared" si="0"/>
        <v>1000</v>
      </c>
      <c r="J34" s="8">
        <f>VLOOKUP(I34,Наценка!$A$1:$B$8,2,1)</f>
        <v>1.5</v>
      </c>
      <c r="K34" s="22">
        <f t="shared" si="1"/>
        <v>1500</v>
      </c>
      <c r="L34" s="10">
        <f t="shared" si="2"/>
        <v>1490</v>
      </c>
      <c r="M34" s="35">
        <f>VLOOKUP($A34,'Выгр Кат'!$A:$R,M$1,0)</f>
        <v>1000</v>
      </c>
      <c r="N34" s="35">
        <f>VLOOKUP($A34,'Выгр Кат'!$A:$R,N$1,0)</f>
        <v>1490</v>
      </c>
      <c r="O34" s="37">
        <f t="shared" si="3"/>
        <v>0</v>
      </c>
      <c r="P34" s="37">
        <f t="shared" si="4"/>
        <v>0</v>
      </c>
      <c r="Q34" s="43">
        <f t="shared" si="5"/>
        <v>1385.6999999999998</v>
      </c>
      <c r="R34" s="52" t="str">
        <f>IFERROR((VLOOKUP($A34,'Из ГУГЛа'!$B:$G,6,0)+T34)*S34,VLOOKUP($A34,'Из ГУГЛа'!$B:$G,6,0))</f>
        <v/>
      </c>
      <c r="S34" s="44">
        <v>1</v>
      </c>
      <c r="T34" s="44">
        <v>0</v>
      </c>
      <c r="U34" s="45">
        <f t="shared" si="6"/>
        <v>0.38569999999999971</v>
      </c>
      <c r="V34" s="45" t="str">
        <f t="shared" si="7"/>
        <v/>
      </c>
      <c r="W34" s="45" t="str">
        <f t="shared" si="8"/>
        <v/>
      </c>
      <c r="X34" s="3" t="s">
        <v>164</v>
      </c>
    </row>
    <row r="35" spans="1:25" ht="45" x14ac:dyDescent="0.25">
      <c r="A35" s="35">
        <v>242666</v>
      </c>
      <c r="B35" s="35">
        <f>VLOOKUP($A35,'Выгр Кат'!$A:$R,B$1,0)</f>
        <v>178001</v>
      </c>
      <c r="C35" s="34" t="str">
        <f>VLOOKUP($A35,'Выгр Кат'!$A:$R,C$1,0)</f>
        <v>Cтробоскоп светодиодный "Автосвет" под лобовое стекло (красно-синий)</v>
      </c>
      <c r="D35" s="35" t="str">
        <f>VLOOKUP($A35,'Выгр Кат'!$A:$R,D$1,0)</f>
        <v>Y</v>
      </c>
      <c r="E35" s="35" t="str">
        <f>VLOOKUP($A35,'Выгр Кат'!$A:$R,E$1,0)</f>
        <v>1</v>
      </c>
      <c r="F35" s="35">
        <f>VLOOKUP($A35,'Выгр Кат'!$A:$R,F$1,0)</f>
        <v>0</v>
      </c>
      <c r="G35" s="3" t="s">
        <v>83</v>
      </c>
      <c r="H35" s="3" t="s">
        <v>71</v>
      </c>
      <c r="I35" s="15">
        <f t="shared" si="0"/>
        <v>800</v>
      </c>
      <c r="J35" s="8">
        <f>VLOOKUP(I35,Наценка!$A$1:$B$8,2,1)</f>
        <v>1.55</v>
      </c>
      <c r="K35" s="22">
        <f t="shared" si="1"/>
        <v>1240</v>
      </c>
      <c r="L35" s="10">
        <f t="shared" si="2"/>
        <v>1290</v>
      </c>
      <c r="M35" s="35">
        <f>VLOOKUP($A35,'Выгр Кат'!$A:$R,M$1,0)</f>
        <v>800</v>
      </c>
      <c r="N35" s="35">
        <f>VLOOKUP($A35,'Выгр Кат'!$A:$R,N$1,0)</f>
        <v>1290</v>
      </c>
      <c r="O35" s="37">
        <f t="shared" si="3"/>
        <v>0</v>
      </c>
      <c r="P35" s="37">
        <f t="shared" si="4"/>
        <v>0</v>
      </c>
      <c r="Q35" s="43">
        <f t="shared" si="5"/>
        <v>1199.6999999999998</v>
      </c>
      <c r="R35" s="52" t="str">
        <f>IFERROR((VLOOKUP($A35,'Из ГУГЛа'!$B:$G,6,0)+T35)*S35,VLOOKUP($A35,'Из ГУГЛа'!$B:$G,6,0))</f>
        <v/>
      </c>
      <c r="S35" s="44">
        <v>1</v>
      </c>
      <c r="T35" s="44">
        <v>0</v>
      </c>
      <c r="U35" s="45">
        <f t="shared" si="6"/>
        <v>0.49962499999999976</v>
      </c>
      <c r="V35" s="45" t="str">
        <f t="shared" si="7"/>
        <v/>
      </c>
      <c r="W35" s="45" t="str">
        <f t="shared" si="8"/>
        <v/>
      </c>
      <c r="X35" s="3" t="s">
        <v>164</v>
      </c>
    </row>
    <row r="36" spans="1:25" ht="45" x14ac:dyDescent="0.25">
      <c r="A36" s="35">
        <v>158382</v>
      </c>
      <c r="B36" s="35">
        <f>VLOOKUP($A36,'Выгр Кат'!$A:$R,B$1,0)</f>
        <v>23574</v>
      </c>
      <c r="C36" s="34" t="str">
        <f>VLOOKUP($A36,'Выгр Кат'!$A:$R,C$1,0)</f>
        <v>Вспышка "ФСО" под строб контроллер 48W "55мм" (16 светодиодов по 3 ВТ)</v>
      </c>
      <c r="D36" s="35" t="str">
        <f>VLOOKUP($A36,'Выгр Кат'!$A:$R,D$1,0)</f>
        <v>Y</v>
      </c>
      <c r="E36" s="35" t="str">
        <f>VLOOKUP($A36,'Выгр Кат'!$A:$R,E$1,0)</f>
        <v>1</v>
      </c>
      <c r="F36" s="35" t="str">
        <f>VLOOKUP($A36,'Выгр Кат'!$A:$R,F$1,0)</f>
        <v>G0001-55MM</v>
      </c>
      <c r="G36" s="3" t="s">
        <v>83</v>
      </c>
      <c r="H36" s="3" t="s">
        <v>8</v>
      </c>
      <c r="I36" s="15">
        <f t="shared" si="0"/>
        <v>550</v>
      </c>
      <c r="J36" s="38">
        <f>VLOOKUP(I36,Наценка!$A$1:$B$8,2,1)</f>
        <v>1.55</v>
      </c>
      <c r="K36" s="22">
        <f t="shared" ref="K36" si="11">I36*J36</f>
        <v>852.5</v>
      </c>
      <c r="L36" s="10">
        <f t="shared" ref="L36" si="12">IF(K36&lt;=1000,(ROUNDUP(K36,-1)-1),(ROUNDUP(K36,-2)-10))</f>
        <v>859</v>
      </c>
      <c r="M36" s="35">
        <f>VLOOKUP($A36,'Выгр Кат'!$A:$R,M$1,0)</f>
        <v>550</v>
      </c>
      <c r="N36" s="35">
        <f>VLOOKUP($A36,'Выгр Кат'!$A:$R,N$1,0)</f>
        <v>859</v>
      </c>
      <c r="O36" s="37">
        <f t="shared" ref="O36" si="13">M36-I36</f>
        <v>0</v>
      </c>
      <c r="P36" s="37">
        <f t="shared" ref="P36" si="14">N36-L36</f>
        <v>0</v>
      </c>
      <c r="Q36" s="43">
        <f t="shared" si="5"/>
        <v>798.86999999999989</v>
      </c>
      <c r="R36" s="52">
        <f>IFERROR((VLOOKUP($A36,'Из ГУГЛа'!$B:$G,6,0)+T36)*S36,VLOOKUP($A36,'Из ГУГЛа'!$B:$G,6,0))</f>
        <v>590</v>
      </c>
      <c r="S36" s="44">
        <v>1</v>
      </c>
      <c r="T36" s="44">
        <v>0</v>
      </c>
      <c r="U36" s="45">
        <f t="shared" si="6"/>
        <v>0.45249090909090883</v>
      </c>
      <c r="V36" s="45">
        <f t="shared" si="7"/>
        <v>-0.35401694915254217</v>
      </c>
      <c r="W36" s="45">
        <f t="shared" si="8"/>
        <v>7.2727272727272751E-2</v>
      </c>
      <c r="X36" s="49">
        <v>590</v>
      </c>
      <c r="Y36" s="32" t="s">
        <v>171</v>
      </c>
    </row>
    <row r="37" spans="1:25" ht="45" x14ac:dyDescent="0.25">
      <c r="A37" s="35">
        <v>145496</v>
      </c>
      <c r="B37" s="35">
        <f>VLOOKUP($A37,'Выгр Кат'!$A:$R,B$1,0)</f>
        <v>4690</v>
      </c>
      <c r="C37" s="34" t="str">
        <f>VLOOKUP($A37,'Выгр Кат'!$A:$R,C$1,0)</f>
        <v>Задние светодиодные фонари, серо-белые для Лада Калина (седан)</v>
      </c>
      <c r="D37" s="35" t="str">
        <f>VLOOKUP($A37,'Выгр Кат'!$A:$R,D$1,0)</f>
        <v>Y</v>
      </c>
      <c r="E37" s="35" t="str">
        <f>VLOOKUP($A37,'Выгр Кат'!$A:$R,E$1,0)</f>
        <v>1</v>
      </c>
      <c r="F37" s="35">
        <f>VLOOKUP($A37,'Выгр Кат'!$A:$R,F$1,0)</f>
        <v>0</v>
      </c>
      <c r="G37" s="3" t="s">
        <v>83</v>
      </c>
      <c r="H37" s="3" t="s">
        <v>8</v>
      </c>
      <c r="I37" s="15">
        <f t="shared" si="0"/>
        <v>3000</v>
      </c>
      <c r="J37" s="38">
        <f>VLOOKUP(I37,Наценка!$A$1:$B$8,2,1)</f>
        <v>1.4</v>
      </c>
      <c r="K37" s="22">
        <f t="shared" ref="K37:K54" si="15">I37*J37</f>
        <v>4200</v>
      </c>
      <c r="L37" s="10">
        <f t="shared" ref="L37:L54" si="16">IF(K37&lt;=1000,(ROUNDUP(K37,-1)-1),(ROUNDUP(K37,-2)-10))</f>
        <v>4190</v>
      </c>
      <c r="M37" s="35">
        <f>VLOOKUP($A37,'Выгр Кат'!$A:$R,M$1,0)</f>
        <v>3000</v>
      </c>
      <c r="N37" s="35">
        <f>VLOOKUP($A37,'Выгр Кат'!$A:$R,N$1,0)</f>
        <v>4190</v>
      </c>
      <c r="O37" s="37">
        <f t="shared" ref="O37:O54" si="17">M37-I37</f>
        <v>0</v>
      </c>
      <c r="P37" s="37">
        <f t="shared" ref="P37:P54" si="18">N37-L37</f>
        <v>0</v>
      </c>
      <c r="Q37" s="43">
        <f t="shared" si="5"/>
        <v>3896.7</v>
      </c>
      <c r="R37" s="52" t="str">
        <f>IFERROR((VLOOKUP($A37,'Из ГУГЛа'!$B:$G,6,0)+T37)*S37,VLOOKUP($A37,'Из ГУГЛа'!$B:$G,6,0))</f>
        <v/>
      </c>
      <c r="S37" s="44">
        <v>1</v>
      </c>
      <c r="T37" s="44">
        <v>0</v>
      </c>
      <c r="U37" s="45">
        <f t="shared" si="6"/>
        <v>0.29889999999999994</v>
      </c>
      <c r="V37" s="45" t="str">
        <f t="shared" si="7"/>
        <v/>
      </c>
      <c r="W37" s="45" t="str">
        <f t="shared" si="8"/>
        <v/>
      </c>
      <c r="X37" s="3" t="s">
        <v>164</v>
      </c>
    </row>
    <row r="38" spans="1:25" ht="45" x14ac:dyDescent="0.25">
      <c r="A38" s="35">
        <v>244652</v>
      </c>
      <c r="B38" s="35">
        <f>VLOOKUP($A38,'Выгр Кат'!$A:$R,B$1,0)</f>
        <v>184578</v>
      </c>
      <c r="C38" s="34" t="str">
        <f>VLOOKUP($A38,'Выгр Кат'!$A:$R,C$1,0)</f>
        <v>Задние фонари "PLAZMA" красные для Лада Гранта седан, Гранта FL седан</v>
      </c>
      <c r="D38" s="35" t="str">
        <f>VLOOKUP($A38,'Выгр Кат'!$A:$R,D$1,0)</f>
        <v>Y</v>
      </c>
      <c r="E38" s="35" t="str">
        <f>VLOOKUP($A38,'Выгр Кат'!$A:$R,E$1,0)</f>
        <v>1</v>
      </c>
      <c r="F38" s="35">
        <f>VLOOKUP($A38,'Выгр Кат'!$A:$R,F$1,0)</f>
        <v>0</v>
      </c>
      <c r="G38" s="3" t="s">
        <v>83</v>
      </c>
      <c r="H38" s="3" t="s">
        <v>8</v>
      </c>
      <c r="I38" s="15">
        <f t="shared" si="0"/>
        <v>4200</v>
      </c>
      <c r="J38" s="38">
        <f>VLOOKUP(I38,Наценка!$A$1:$B$8,2,1)</f>
        <v>1.4</v>
      </c>
      <c r="K38" s="22">
        <f t="shared" si="15"/>
        <v>5880</v>
      </c>
      <c r="L38" s="10">
        <f t="shared" si="16"/>
        <v>5890</v>
      </c>
      <c r="M38" s="35">
        <f>VLOOKUP($A38,'Выгр Кат'!$A:$R,M$1,0)</f>
        <v>4200</v>
      </c>
      <c r="N38" s="35">
        <f>VLOOKUP($A38,'Выгр Кат'!$A:$R,N$1,0)</f>
        <v>5890</v>
      </c>
      <c r="O38" s="37">
        <f t="shared" si="17"/>
        <v>0</v>
      </c>
      <c r="P38" s="37">
        <f t="shared" si="18"/>
        <v>0</v>
      </c>
      <c r="Q38" s="43">
        <f t="shared" si="5"/>
        <v>5477.7</v>
      </c>
      <c r="R38" s="52" t="str">
        <f>IFERROR((VLOOKUP($A38,'Из ГУГЛа'!$B:$G,6,0)+T38)*S38,VLOOKUP($A38,'Из ГУГЛа'!$B:$G,6,0))</f>
        <v/>
      </c>
      <c r="S38" s="44">
        <v>1</v>
      </c>
      <c r="T38" s="44">
        <v>0</v>
      </c>
      <c r="U38" s="45">
        <f t="shared" si="6"/>
        <v>0.30421428571428577</v>
      </c>
      <c r="V38" s="45" t="str">
        <f t="shared" si="7"/>
        <v/>
      </c>
      <c r="W38" s="45" t="str">
        <f t="shared" si="8"/>
        <v/>
      </c>
      <c r="X38" s="3" t="s">
        <v>164</v>
      </c>
    </row>
    <row r="39" spans="1:25" ht="45" x14ac:dyDescent="0.25">
      <c r="A39" s="35">
        <v>301129</v>
      </c>
      <c r="B39" s="35">
        <f>VLOOKUP($A39,'Выгр Кат'!$A:$R,B$1,0)</f>
        <v>301129</v>
      </c>
      <c r="C39" s="34" t="str">
        <f>VLOOKUP($A39,'Выгр Кат'!$A:$R,C$1,0)</f>
        <v>Задние фонари "ТехАвтоСвет" белые для ВАЗ 2108-21099, 2113, 2114</v>
      </c>
      <c r="D39" s="35" t="str">
        <f>VLOOKUP($A39,'Выгр Кат'!$A:$R,D$1,0)</f>
        <v>Y</v>
      </c>
      <c r="E39" s="35" t="str">
        <f>VLOOKUP($A39,'Выгр Кат'!$A:$R,E$1,0)</f>
        <v>1</v>
      </c>
      <c r="F39" s="35">
        <f>VLOOKUP($A39,'Выгр Кат'!$A:$R,F$1,0)</f>
        <v>0</v>
      </c>
      <c r="G39" s="3" t="s">
        <v>83</v>
      </c>
      <c r="H39" s="3" t="s">
        <v>8</v>
      </c>
      <c r="I39" s="15">
        <f t="shared" si="0"/>
        <v>1000</v>
      </c>
      <c r="J39" s="38">
        <f>VLOOKUP(I39,Наценка!$A$1:$B$8,2,1)</f>
        <v>1.5</v>
      </c>
      <c r="K39" s="22">
        <f t="shared" si="15"/>
        <v>1500</v>
      </c>
      <c r="L39" s="10">
        <f t="shared" si="16"/>
        <v>1490</v>
      </c>
      <c r="M39" s="35">
        <f>VLOOKUP($A39,'Выгр Кат'!$A:$R,M$1,0)</f>
        <v>1000</v>
      </c>
      <c r="N39" s="35">
        <f>VLOOKUP($A39,'Выгр Кат'!$A:$R,N$1,0)</f>
        <v>1490</v>
      </c>
      <c r="O39" s="37">
        <f t="shared" si="17"/>
        <v>0</v>
      </c>
      <c r="P39" s="37">
        <f t="shared" si="18"/>
        <v>0</v>
      </c>
      <c r="Q39" s="43">
        <f t="shared" si="5"/>
        <v>1385.6999999999998</v>
      </c>
      <c r="R39" s="52" t="str">
        <f>IFERROR((VLOOKUP($A39,'Из ГУГЛа'!$B:$G,6,0)+T39)*S39,VLOOKUP($A39,'Из ГУГЛа'!$B:$G,6,0))</f>
        <v/>
      </c>
      <c r="S39" s="44">
        <v>1</v>
      </c>
      <c r="T39" s="44">
        <v>0</v>
      </c>
      <c r="U39" s="45">
        <f t="shared" si="6"/>
        <v>0.38569999999999971</v>
      </c>
      <c r="V39" s="45" t="str">
        <f t="shared" si="7"/>
        <v/>
      </c>
      <c r="W39" s="45" t="str">
        <f t="shared" si="8"/>
        <v/>
      </c>
      <c r="X39" s="3" t="s">
        <v>164</v>
      </c>
    </row>
    <row r="40" spans="1:25" ht="45" x14ac:dyDescent="0.25">
      <c r="A40" s="35">
        <v>158334</v>
      </c>
      <c r="B40" s="35">
        <f>VLOOKUP($A40,'Выгр Кат'!$A:$R,B$1,0)</f>
        <v>19339</v>
      </c>
      <c r="C40" s="34" t="str">
        <f>VLOOKUP($A40,'Выгр Кат'!$A:$R,C$1,0)</f>
        <v>Комплект LED RGB ламп в габариты с пультом LightSpace 16 цветов</v>
      </c>
      <c r="D40" s="35" t="str">
        <f>VLOOKUP($A40,'Выгр Кат'!$A:$R,D$1,0)</f>
        <v>Y</v>
      </c>
      <c r="E40" s="35" t="str">
        <f>VLOOKUP($A40,'Выгр Кат'!$A:$R,E$1,0)</f>
        <v>1</v>
      </c>
      <c r="F40" s="35">
        <f>VLOOKUP($A40,'Выгр Кат'!$A:$R,F$1,0)</f>
        <v>0</v>
      </c>
      <c r="G40" s="3" t="s">
        <v>83</v>
      </c>
      <c r="H40" s="3" t="s">
        <v>8</v>
      </c>
      <c r="I40" s="15">
        <f t="shared" si="0"/>
        <v>140</v>
      </c>
      <c r="J40" s="38">
        <f>VLOOKUP(I40,Наценка!$A$1:$B$8,2,1)</f>
        <v>2.2999999999999998</v>
      </c>
      <c r="K40" s="54">
        <f>X40*1.02</f>
        <v>295.8</v>
      </c>
      <c r="L40" s="10">
        <f t="shared" si="16"/>
        <v>299</v>
      </c>
      <c r="M40" s="35">
        <f>VLOOKUP($A40,'Выгр Кат'!$A:$R,M$1,0)</f>
        <v>140</v>
      </c>
      <c r="N40" s="35">
        <f>VLOOKUP($A40,'Выгр Кат'!$A:$R,N$1,0)</f>
        <v>299</v>
      </c>
      <c r="O40" s="37">
        <f t="shared" si="17"/>
        <v>0</v>
      </c>
      <c r="P40" s="37">
        <f t="shared" si="18"/>
        <v>0</v>
      </c>
      <c r="Q40" s="43">
        <f t="shared" si="5"/>
        <v>278.07</v>
      </c>
      <c r="R40" s="52">
        <f>IFERROR((VLOOKUP($A40,'Из ГУГЛа'!$B:$G,6,0)+T40)*S40,VLOOKUP($A40,'Из ГУГЛа'!$B:$G,6,0))</f>
        <v>290</v>
      </c>
      <c r="S40" s="44">
        <v>1</v>
      </c>
      <c r="T40" s="44">
        <v>0</v>
      </c>
      <c r="U40" s="45">
        <f t="shared" si="6"/>
        <v>0.98621428571428571</v>
      </c>
      <c r="V40" s="45">
        <f t="shared" si="7"/>
        <v>4.113793103448278E-2</v>
      </c>
      <c r="W40" s="45">
        <f t="shared" si="8"/>
        <v>1.0714285714285716</v>
      </c>
      <c r="X40" s="49">
        <v>290</v>
      </c>
      <c r="Y40" s="32" t="s">
        <v>211</v>
      </c>
    </row>
    <row r="41" spans="1:25" ht="60" x14ac:dyDescent="0.25">
      <c r="A41" s="35">
        <v>276767</v>
      </c>
      <c r="B41" s="35">
        <f>VLOOKUP($A41,'Выгр Кат'!$A:$R,B$1,0)</f>
        <v>276767</v>
      </c>
      <c r="C41" s="34" t="str">
        <f>VLOOKUP($A41,'Выгр Кат'!$A:$R,C$1,0)</f>
        <v>Линзованные светодиодные противотуманные фары (ПТФ) для Лада Гранта FL, Веста, XRAY, Ларгус FL, Нива 4х4, Нива Легенд</v>
      </c>
      <c r="D41" s="35" t="str">
        <f>VLOOKUP($A41,'Выгр Кат'!$A:$R,D$1,0)</f>
        <v>Y</v>
      </c>
      <c r="E41" s="35" t="str">
        <f>VLOOKUP($A41,'Выгр Кат'!$A:$R,E$1,0)</f>
        <v>1</v>
      </c>
      <c r="F41" s="35" t="str">
        <f>VLOOKUP($A41,'Выгр Кат'!$A:$R,F$1,0)</f>
        <v>ZMB 78</v>
      </c>
      <c r="G41" s="3" t="s">
        <v>83</v>
      </c>
      <c r="H41" s="3" t="s">
        <v>8</v>
      </c>
      <c r="I41" s="15">
        <f t="shared" si="0"/>
        <v>2500</v>
      </c>
      <c r="J41" s="38">
        <f>VLOOKUP(I41,Наценка!$A$1:$B$8,2,1)</f>
        <v>1.4</v>
      </c>
      <c r="K41" s="22">
        <f t="shared" si="15"/>
        <v>3500</v>
      </c>
      <c r="L41" s="10">
        <f t="shared" si="16"/>
        <v>3490</v>
      </c>
      <c r="M41" s="35">
        <f>VLOOKUP($A41,'Выгр Кат'!$A:$R,M$1,0)</f>
        <v>2500</v>
      </c>
      <c r="N41" s="35">
        <f>VLOOKUP($A41,'Выгр Кат'!$A:$R,N$1,0)</f>
        <v>3490</v>
      </c>
      <c r="O41" s="37">
        <f t="shared" si="17"/>
        <v>0</v>
      </c>
      <c r="P41" s="37">
        <f t="shared" si="18"/>
        <v>0</v>
      </c>
      <c r="Q41" s="43">
        <f t="shared" si="5"/>
        <v>3245.7</v>
      </c>
      <c r="R41" s="52" t="str">
        <f>IFERROR((VLOOKUP($A41,'Из ГУГЛа'!$B:$G,6,0)+T41)*S41,VLOOKUP($A41,'Из ГУГЛа'!$B:$G,6,0))</f>
        <v/>
      </c>
      <c r="S41" s="44">
        <v>1</v>
      </c>
      <c r="T41" s="44">
        <v>0</v>
      </c>
      <c r="U41" s="45">
        <f t="shared" si="6"/>
        <v>0.29827999999999988</v>
      </c>
      <c r="V41" s="45" t="str">
        <f t="shared" si="7"/>
        <v/>
      </c>
      <c r="W41" s="45" t="str">
        <f t="shared" si="8"/>
        <v/>
      </c>
      <c r="X41" s="3" t="s">
        <v>169</v>
      </c>
    </row>
    <row r="42" spans="1:25" ht="30" x14ac:dyDescent="0.25">
      <c r="A42" s="35">
        <v>201759</v>
      </c>
      <c r="B42" s="35">
        <f>VLOOKUP($A42,'Выгр Кат'!$A:$R,B$1,0)</f>
        <v>132623</v>
      </c>
      <c r="C42" s="34" t="str">
        <f>VLOOKUP($A42,'Выгр Кат'!$A:$R,C$1,0)</f>
        <v>Противотуманные фары "линза" (Bi-Led) для Лада Приора 2</v>
      </c>
      <c r="D42" s="35" t="str">
        <f>VLOOKUP($A42,'Выгр Кат'!$A:$R,D$1,0)</f>
        <v>Y</v>
      </c>
      <c r="E42" s="35" t="str">
        <f>VLOOKUP($A42,'Выгр Кат'!$A:$R,E$1,0)</f>
        <v>1</v>
      </c>
      <c r="F42" s="35">
        <f>VLOOKUP($A42,'Выгр Кат'!$A:$R,F$1,0)</f>
        <v>0</v>
      </c>
      <c r="G42" s="3" t="s">
        <v>83</v>
      </c>
      <c r="H42" s="3" t="s">
        <v>8</v>
      </c>
      <c r="I42" s="15">
        <f t="shared" si="0"/>
        <v>5000</v>
      </c>
      <c r="J42" s="38">
        <f>VLOOKUP(I42,Наценка!$A$1:$B$8,2,1)</f>
        <v>1.35</v>
      </c>
      <c r="K42" s="22">
        <f t="shared" si="15"/>
        <v>6750</v>
      </c>
      <c r="L42" s="10">
        <f t="shared" si="16"/>
        <v>6790</v>
      </c>
      <c r="M42" s="35">
        <f>VLOOKUP($A42,'Выгр Кат'!$A:$R,M$1,0)</f>
        <v>5000</v>
      </c>
      <c r="N42" s="35">
        <f>VLOOKUP($A42,'Выгр Кат'!$A:$R,N$1,0)</f>
        <v>6790</v>
      </c>
      <c r="O42" s="37">
        <f t="shared" si="17"/>
        <v>0</v>
      </c>
      <c r="P42" s="37">
        <f t="shared" si="18"/>
        <v>0</v>
      </c>
      <c r="Q42" s="43">
        <f t="shared" si="5"/>
        <v>6314.7</v>
      </c>
      <c r="R42" s="52" t="str">
        <f>IFERROR((VLOOKUP($A42,'Из ГУГЛа'!$B:$G,6,0)+T42)*S42,VLOOKUP($A42,'Из ГУГЛа'!$B:$G,6,0))</f>
        <v/>
      </c>
      <c r="S42" s="44">
        <v>1</v>
      </c>
      <c r="T42" s="44">
        <v>0</v>
      </c>
      <c r="U42" s="45">
        <f t="shared" si="6"/>
        <v>0.26293999999999995</v>
      </c>
      <c r="V42" s="45" t="str">
        <f t="shared" si="7"/>
        <v/>
      </c>
      <c r="W42" s="45" t="str">
        <f t="shared" si="8"/>
        <v/>
      </c>
      <c r="X42" s="3" t="s">
        <v>164</v>
      </c>
    </row>
    <row r="43" spans="1:25" ht="30" x14ac:dyDescent="0.25">
      <c r="A43" s="35">
        <v>201760</v>
      </c>
      <c r="B43" s="35">
        <f>VLOOKUP($A43,'Выгр Кат'!$A:$R,B$1,0)</f>
        <v>17741</v>
      </c>
      <c r="C43" s="34" t="str">
        <f>VLOOKUP($A43,'Выгр Кат'!$A:$R,C$1,0)</f>
        <v>Противотуманные фары "линза" для Лада Приора 2</v>
      </c>
      <c r="D43" s="35" t="str">
        <f>VLOOKUP($A43,'Выгр Кат'!$A:$R,D$1,0)</f>
        <v>Y</v>
      </c>
      <c r="E43" s="35" t="str">
        <f>VLOOKUP($A43,'Выгр Кат'!$A:$R,E$1,0)</f>
        <v>1</v>
      </c>
      <c r="F43" s="35">
        <f>VLOOKUP($A43,'Выгр Кат'!$A:$R,F$1,0)</f>
        <v>0</v>
      </c>
      <c r="G43" s="3" t="s">
        <v>83</v>
      </c>
      <c r="H43" s="3" t="s">
        <v>8</v>
      </c>
      <c r="I43" s="15">
        <f t="shared" si="0"/>
        <v>3000</v>
      </c>
      <c r="J43" s="38">
        <f>VLOOKUP(I43,Наценка!$A$1:$B$8,2,1)</f>
        <v>1.4</v>
      </c>
      <c r="K43" s="22">
        <f t="shared" si="15"/>
        <v>4200</v>
      </c>
      <c r="L43" s="10">
        <f t="shared" si="16"/>
        <v>4190</v>
      </c>
      <c r="M43" s="35">
        <f>VLOOKUP($A43,'Выгр Кат'!$A:$R,M$1,0)</f>
        <v>3000</v>
      </c>
      <c r="N43" s="35">
        <f>VLOOKUP($A43,'Выгр Кат'!$A:$R,N$1,0)</f>
        <v>4190</v>
      </c>
      <c r="O43" s="37">
        <f t="shared" si="17"/>
        <v>0</v>
      </c>
      <c r="P43" s="37">
        <f t="shared" si="18"/>
        <v>0</v>
      </c>
      <c r="Q43" s="43">
        <f t="shared" si="5"/>
        <v>3896.7</v>
      </c>
      <c r="R43" s="52" t="str">
        <f>IFERROR((VLOOKUP($A43,'Из ГУГЛа'!$B:$G,6,0)+T43)*S43,VLOOKUP($A43,'Из ГУГЛа'!$B:$G,6,0))</f>
        <v/>
      </c>
      <c r="S43" s="44">
        <v>1</v>
      </c>
      <c r="T43" s="44">
        <v>0</v>
      </c>
      <c r="U43" s="45">
        <f t="shared" si="6"/>
        <v>0.29889999999999994</v>
      </c>
      <c r="V43" s="45" t="str">
        <f t="shared" si="7"/>
        <v/>
      </c>
      <c r="W43" s="45" t="str">
        <f t="shared" si="8"/>
        <v/>
      </c>
      <c r="X43" s="3" t="s">
        <v>164</v>
      </c>
    </row>
    <row r="44" spans="1:25" ht="30" x14ac:dyDescent="0.25">
      <c r="A44" s="35">
        <v>203733</v>
      </c>
      <c r="B44" s="35">
        <f>VLOOKUP($A44,'Выгр Кат'!$A:$R,B$1,0)</f>
        <v>17888</v>
      </c>
      <c r="C44" s="34" t="str">
        <f>VLOOKUP($A44,'Выгр Кат'!$A:$R,C$1,0)</f>
        <v>Рейка рулевая (2.0 оборота) для Лада Гранта</v>
      </c>
      <c r="D44" s="35" t="str">
        <f>VLOOKUP($A44,'Выгр Кат'!$A:$R,D$1,0)</f>
        <v>Y</v>
      </c>
      <c r="E44" s="35" t="str">
        <f>VLOOKUP($A44,'Выгр Кат'!$A:$R,E$1,0)</f>
        <v>1</v>
      </c>
      <c r="F44" s="35">
        <f>VLOOKUP($A44,'Выгр Кат'!$A:$R,F$1,0)</f>
        <v>0</v>
      </c>
      <c r="G44" s="3" t="s">
        <v>83</v>
      </c>
      <c r="H44" s="3" t="s">
        <v>8</v>
      </c>
      <c r="I44" s="15">
        <f t="shared" si="0"/>
        <v>15000</v>
      </c>
      <c r="J44" s="38">
        <f>VLOOKUP(I44,Наценка!$A$1:$B$8,2,1)</f>
        <v>1.3</v>
      </c>
      <c r="K44" s="22">
        <f t="shared" si="15"/>
        <v>19500</v>
      </c>
      <c r="L44" s="10">
        <f t="shared" si="16"/>
        <v>19490</v>
      </c>
      <c r="M44" s="35">
        <f>VLOOKUP($A44,'Выгр Кат'!$A:$R,M$1,0)</f>
        <v>15000</v>
      </c>
      <c r="N44" s="35">
        <f>VLOOKUP($A44,'Выгр Кат'!$A:$R,N$1,0)</f>
        <v>19490</v>
      </c>
      <c r="O44" s="37">
        <f t="shared" si="17"/>
        <v>0</v>
      </c>
      <c r="P44" s="37">
        <f t="shared" si="18"/>
        <v>0</v>
      </c>
      <c r="Q44" s="43">
        <f t="shared" si="5"/>
        <v>18125.699999999997</v>
      </c>
      <c r="R44" s="52" t="str">
        <f>IFERROR((VLOOKUP($A44,'Из ГУГЛа'!$B:$G,6,0)+T44)*S44,VLOOKUP($A44,'Из ГУГЛа'!$B:$G,6,0))</f>
        <v/>
      </c>
      <c r="S44" s="44">
        <v>1</v>
      </c>
      <c r="T44" s="44">
        <v>0</v>
      </c>
      <c r="U44" s="45">
        <f t="shared" si="6"/>
        <v>0.20837999999999979</v>
      </c>
      <c r="V44" s="45" t="str">
        <f t="shared" si="7"/>
        <v/>
      </c>
      <c r="W44" s="45" t="str">
        <f t="shared" si="8"/>
        <v/>
      </c>
      <c r="X44" s="3" t="s">
        <v>164</v>
      </c>
    </row>
    <row r="45" spans="1:25" ht="45" x14ac:dyDescent="0.25">
      <c r="A45" s="35">
        <v>274104</v>
      </c>
      <c r="B45" s="35">
        <f>VLOOKUP($A45,'Выгр Кат'!$A:$R,B$1,0)</f>
        <v>220102</v>
      </c>
      <c r="C45" s="34" t="str">
        <f>VLOOKUP($A45,'Выгр Кат'!$A:$R,C$1,0)</f>
        <v>Светодиодные фары Bi-LED (ДХО, линза, повторитель) для Лада Нива 4х4</v>
      </c>
      <c r="D45" s="35" t="str">
        <f>VLOOKUP($A45,'Выгр Кат'!$A:$R,D$1,0)</f>
        <v>Y</v>
      </c>
      <c r="E45" s="35" t="str">
        <f>VLOOKUP($A45,'Выгр Кат'!$A:$R,E$1,0)</f>
        <v>0</v>
      </c>
      <c r="F45" s="35">
        <f>VLOOKUP($A45,'Выгр Кат'!$A:$R,F$1,0)</f>
        <v>0</v>
      </c>
      <c r="G45" s="3" t="s">
        <v>83</v>
      </c>
      <c r="H45" s="3" t="s">
        <v>8</v>
      </c>
      <c r="I45" s="15">
        <f t="shared" si="0"/>
        <v>0</v>
      </c>
      <c r="J45" s="38" t="e">
        <f>VLOOKUP(I45,Наценка!$A$1:$B$8,2,1)</f>
        <v>#N/A</v>
      </c>
      <c r="K45" s="22" t="e">
        <f t="shared" si="15"/>
        <v>#N/A</v>
      </c>
      <c r="L45" s="10" t="e">
        <f t="shared" si="16"/>
        <v>#N/A</v>
      </c>
      <c r="M45" s="35">
        <f>VLOOKUP($A45,'Выгр Кат'!$A:$R,M$1,0)</f>
        <v>0</v>
      </c>
      <c r="N45" s="35">
        <f>VLOOKUP($A45,'Выгр Кат'!$A:$R,N$1,0)</f>
        <v>0</v>
      </c>
      <c r="O45" s="37">
        <f t="shared" si="17"/>
        <v>0</v>
      </c>
      <c r="P45" s="37" t="e">
        <f t="shared" si="18"/>
        <v>#N/A</v>
      </c>
      <c r="Q45" s="43" t="str">
        <f t="shared" si="5"/>
        <v/>
      </c>
      <c r="R45" s="52" t="str">
        <f>IFERROR((VLOOKUP($A45,'Из ГУГЛа'!$B:$G,6,0)+T45)*S45,VLOOKUP($A45,'Из ГУГЛа'!$B:$G,6,0))</f>
        <v/>
      </c>
      <c r="S45" s="44">
        <v>1</v>
      </c>
      <c r="T45" s="44">
        <v>0</v>
      </c>
      <c r="U45" s="45" t="str">
        <f t="shared" si="6"/>
        <v/>
      </c>
      <c r="V45" s="45" t="str">
        <f t="shared" si="7"/>
        <v/>
      </c>
      <c r="W45" s="45" t="str">
        <f t="shared" si="8"/>
        <v/>
      </c>
      <c r="X45" s="3"/>
    </row>
    <row r="46" spans="1:25" ht="45" x14ac:dyDescent="0.25">
      <c r="A46" s="35">
        <v>213729</v>
      </c>
      <c r="B46" s="35">
        <f>VLOOKUP($A46,'Выгр Кат'!$A:$R,B$1,0)</f>
        <v>26185</v>
      </c>
      <c r="C46" s="34" t="str">
        <f>VLOOKUP($A46,'Выгр Кат'!$A:$R,C$1,0)</f>
        <v>Светодиодные фонари задние, тонированные "СЕВиЕМ" для ВАЗ 2110</v>
      </c>
      <c r="D46" s="35" t="str">
        <f>VLOOKUP($A46,'Выгр Кат'!$A:$R,D$1,0)</f>
        <v>Y</v>
      </c>
      <c r="E46" s="35" t="str">
        <f>VLOOKUP($A46,'Выгр Кат'!$A:$R,E$1,0)</f>
        <v>1</v>
      </c>
      <c r="F46" s="35">
        <f>VLOOKUP($A46,'Выгр Кат'!$A:$R,F$1,0)</f>
        <v>0</v>
      </c>
      <c r="G46" s="3" t="s">
        <v>83</v>
      </c>
      <c r="H46" s="3" t="s">
        <v>8</v>
      </c>
      <c r="I46" s="15">
        <f t="shared" si="0"/>
        <v>2700</v>
      </c>
      <c r="J46" s="38">
        <f>VLOOKUP(I46,Наценка!$A$1:$B$8,2,1)</f>
        <v>1.4</v>
      </c>
      <c r="K46" s="22">
        <f t="shared" si="15"/>
        <v>3779.9999999999995</v>
      </c>
      <c r="L46" s="10">
        <f t="shared" si="16"/>
        <v>3790</v>
      </c>
      <c r="M46" s="35">
        <f>VLOOKUP($A46,'Выгр Кат'!$A:$R,M$1,0)</f>
        <v>2700</v>
      </c>
      <c r="N46" s="35">
        <f>VLOOKUP($A46,'Выгр Кат'!$A:$R,N$1,0)</f>
        <v>3790</v>
      </c>
      <c r="O46" s="37">
        <f t="shared" si="17"/>
        <v>0</v>
      </c>
      <c r="P46" s="37">
        <f t="shared" si="18"/>
        <v>0</v>
      </c>
      <c r="Q46" s="43">
        <f t="shared" si="5"/>
        <v>3524.7</v>
      </c>
      <c r="R46" s="52">
        <f>IFERROR((VLOOKUP($A46,'Из ГУГЛа'!$B:$G,6,0)+T46)*S46,VLOOKUP($A46,'Из ГУГЛа'!$B:$G,6,0))</f>
        <v>4190</v>
      </c>
      <c r="S46" s="44">
        <v>1</v>
      </c>
      <c r="T46" s="44">
        <v>0</v>
      </c>
      <c r="U46" s="45">
        <f t="shared" si="6"/>
        <v>0.30544444444444441</v>
      </c>
      <c r="V46" s="45" t="str">
        <f t="shared" si="7"/>
        <v/>
      </c>
      <c r="W46" s="45" t="str">
        <f t="shared" si="8"/>
        <v/>
      </c>
      <c r="X46" s="49" t="s">
        <v>163</v>
      </c>
      <c r="Y46" s="32" t="s">
        <v>162</v>
      </c>
    </row>
    <row r="47" spans="1:25" ht="45" x14ac:dyDescent="0.25">
      <c r="A47" s="35">
        <v>213731</v>
      </c>
      <c r="B47" s="35">
        <f>VLOOKUP($A47,'Выгр Кат'!$A:$R,B$1,0)</f>
        <v>30055</v>
      </c>
      <c r="C47" s="34" t="str">
        <f>VLOOKUP($A47,'Выгр Кат'!$A:$R,C$1,0)</f>
        <v>Светодиодный (LED) плафон багажного отделения, с кнопкой для ВАЗ 2110-2112</v>
      </c>
      <c r="D47" s="35" t="str">
        <f>VLOOKUP($A47,'Выгр Кат'!$A:$R,D$1,0)</f>
        <v>Y</v>
      </c>
      <c r="E47" s="35" t="str">
        <f>VLOOKUP($A47,'Выгр Кат'!$A:$R,E$1,0)</f>
        <v>1</v>
      </c>
      <c r="F47" s="35">
        <f>VLOOKUP($A47,'Выгр Кат'!$A:$R,F$1,0)</f>
        <v>0</v>
      </c>
      <c r="G47" s="3" t="s">
        <v>83</v>
      </c>
      <c r="H47" s="3" t="s">
        <v>8</v>
      </c>
      <c r="I47" s="15">
        <f t="shared" si="0"/>
        <v>250</v>
      </c>
      <c r="J47" s="38">
        <f>VLOOKUP(I47,Наценка!$A$1:$B$8,2,1)</f>
        <v>2.2999999999999998</v>
      </c>
      <c r="K47" s="22">
        <f t="shared" si="15"/>
        <v>575</v>
      </c>
      <c r="L47" s="10">
        <f t="shared" si="16"/>
        <v>579</v>
      </c>
      <c r="M47" s="35">
        <f>VLOOKUP($A47,'Выгр Кат'!$A:$R,M$1,0)</f>
        <v>250</v>
      </c>
      <c r="N47" s="35">
        <f>VLOOKUP($A47,'Выгр Кат'!$A:$R,N$1,0)</f>
        <v>579</v>
      </c>
      <c r="O47" s="37">
        <f t="shared" si="17"/>
        <v>0</v>
      </c>
      <c r="P47" s="37">
        <f t="shared" si="18"/>
        <v>0</v>
      </c>
      <c r="Q47" s="43">
        <f t="shared" si="5"/>
        <v>538.46999999999991</v>
      </c>
      <c r="R47" s="52" t="str">
        <f>IFERROR((VLOOKUP($A47,'Из ГУГЛа'!$B:$G,6,0)+T47)*S47,VLOOKUP($A47,'Из ГУГЛа'!$B:$G,6,0))</f>
        <v/>
      </c>
      <c r="S47" s="44">
        <v>1</v>
      </c>
      <c r="T47" s="44">
        <v>0</v>
      </c>
      <c r="U47" s="45">
        <f t="shared" si="6"/>
        <v>1.1538799999999996</v>
      </c>
      <c r="V47" s="45" t="str">
        <f t="shared" si="7"/>
        <v/>
      </c>
      <c r="W47" s="45" t="str">
        <f t="shared" si="8"/>
        <v/>
      </c>
      <c r="X47" s="3" t="s">
        <v>164</v>
      </c>
    </row>
    <row r="48" spans="1:25" ht="45" x14ac:dyDescent="0.25">
      <c r="A48" s="35">
        <v>218485</v>
      </c>
      <c r="B48" s="35">
        <f>VLOOKUP($A48,'Выгр Кат'!$A:$R,B$1,0)</f>
        <v>18912</v>
      </c>
      <c r="C48" s="34" t="str">
        <f>VLOOKUP($A48,'Выгр Кат'!$A:$R,C$1,0)</f>
        <v>Строб контроллер "ЛЮКС" с пультом дистанционного управления</v>
      </c>
      <c r="D48" s="35" t="str">
        <f>VLOOKUP($A48,'Выгр Кат'!$A:$R,D$1,0)</f>
        <v>Y</v>
      </c>
      <c r="E48" s="35" t="str">
        <f>VLOOKUP($A48,'Выгр Кат'!$A:$R,E$1,0)</f>
        <v>1ск6</v>
      </c>
      <c r="F48" s="35">
        <f>VLOOKUP($A48,'Выгр Кат'!$A:$R,F$1,0)</f>
        <v>0</v>
      </c>
      <c r="G48" s="3" t="s">
        <v>83</v>
      </c>
      <c r="H48" s="3" t="s">
        <v>8</v>
      </c>
      <c r="I48" s="15">
        <f t="shared" si="0"/>
        <v>1400</v>
      </c>
      <c r="J48" s="38">
        <f>VLOOKUP(I48,Наценка!$A$1:$B$8,2,1)</f>
        <v>1.5</v>
      </c>
      <c r="K48" s="22">
        <f t="shared" si="15"/>
        <v>2100</v>
      </c>
      <c r="L48" s="10">
        <f t="shared" si="16"/>
        <v>2090</v>
      </c>
      <c r="M48" s="35">
        <f>VLOOKUP($A48,'Выгр Кат'!$A:$R,M$1,0)</f>
        <v>1400</v>
      </c>
      <c r="N48" s="35">
        <f>VLOOKUP($A48,'Выгр Кат'!$A:$R,N$1,0)</f>
        <v>2090</v>
      </c>
      <c r="O48" s="37">
        <f t="shared" si="17"/>
        <v>0</v>
      </c>
      <c r="P48" s="37">
        <f t="shared" si="18"/>
        <v>0</v>
      </c>
      <c r="Q48" s="43">
        <f t="shared" si="5"/>
        <v>1943.6999999999998</v>
      </c>
      <c r="R48" s="52" t="str">
        <f>IFERROR((VLOOKUP($A48,'Из ГУГЛа'!$B:$G,6,0)+T48)*S48,VLOOKUP($A48,'Из ГУГЛа'!$B:$G,6,0))</f>
        <v/>
      </c>
      <c r="S48" s="44">
        <v>1</v>
      </c>
      <c r="T48" s="44">
        <v>0</v>
      </c>
      <c r="U48" s="45">
        <f t="shared" si="6"/>
        <v>0.38835714285714262</v>
      </c>
      <c r="V48" s="45" t="str">
        <f t="shared" si="7"/>
        <v/>
      </c>
      <c r="W48" s="45" t="str">
        <f t="shared" si="8"/>
        <v/>
      </c>
      <c r="X48" s="3" t="s">
        <v>164</v>
      </c>
    </row>
    <row r="49" spans="1:25" ht="30" x14ac:dyDescent="0.25">
      <c r="A49" s="35">
        <v>223052</v>
      </c>
      <c r="B49" s="35">
        <f>VLOOKUP($A49,'Выгр Кат'!$A:$R,B$1,0)</f>
        <v>32500</v>
      </c>
      <c r="C49" s="34" t="str">
        <f>VLOOKUP($A49,'Выгр Кат'!$A:$R,C$1,0)</f>
        <v>Универсальная губа "Samurai" (белая, 2.6 м)</v>
      </c>
      <c r="D49" s="35" t="str">
        <f>VLOOKUP($A49,'Выгр Кат'!$A:$R,D$1,0)</f>
        <v>Y</v>
      </c>
      <c r="E49" s="35" t="str">
        <f>VLOOKUP($A49,'Выгр Кат'!$A:$R,E$1,0)</f>
        <v>1</v>
      </c>
      <c r="F49" s="35">
        <f>VLOOKUP($A49,'Выгр Кат'!$A:$R,F$1,0)</f>
        <v>0</v>
      </c>
      <c r="G49" s="3" t="s">
        <v>83</v>
      </c>
      <c r="H49" s="3" t="s">
        <v>8</v>
      </c>
      <c r="I49" s="15">
        <f t="shared" si="0"/>
        <v>350</v>
      </c>
      <c r="J49" s="38">
        <f>VLOOKUP(I49,Наценка!$A$1:$B$8,2,1)</f>
        <v>1.6</v>
      </c>
      <c r="K49" s="54">
        <f>X49*1.02</f>
        <v>907.80000000000007</v>
      </c>
      <c r="L49" s="10">
        <f t="shared" si="16"/>
        <v>909</v>
      </c>
      <c r="M49" s="35">
        <f>VLOOKUP($A49,'Выгр Кат'!$A:$R,M$1,0)</f>
        <v>350</v>
      </c>
      <c r="N49" s="35">
        <f>VLOOKUP($A49,'Выгр Кат'!$A:$R,N$1,0)</f>
        <v>909</v>
      </c>
      <c r="O49" s="37">
        <f t="shared" si="17"/>
        <v>0</v>
      </c>
      <c r="P49" s="37">
        <f t="shared" si="18"/>
        <v>0</v>
      </c>
      <c r="Q49" s="43">
        <f t="shared" si="5"/>
        <v>845.36999999999989</v>
      </c>
      <c r="R49" s="52">
        <f>IFERROR((VLOOKUP($A49,'Из ГУГЛа'!$B:$G,6,0)+T49)*S49,VLOOKUP($A49,'Из ГУГЛа'!$B:$G,6,0))</f>
        <v>890</v>
      </c>
      <c r="S49" s="44">
        <v>1</v>
      </c>
      <c r="T49" s="44">
        <v>0</v>
      </c>
      <c r="U49" s="45">
        <f t="shared" si="6"/>
        <v>1.415342857142857</v>
      </c>
      <c r="V49" s="45">
        <f t="shared" si="7"/>
        <v>5.014606741573046E-2</v>
      </c>
      <c r="W49" s="45">
        <f t="shared" si="8"/>
        <v>1.5428571428571427</v>
      </c>
      <c r="X49" s="49">
        <v>890</v>
      </c>
      <c r="Y49" s="32" t="s">
        <v>160</v>
      </c>
    </row>
    <row r="50" spans="1:25" ht="30" x14ac:dyDescent="0.25">
      <c r="A50" s="35">
        <v>223059</v>
      </c>
      <c r="B50" s="35">
        <f>VLOOKUP($A50,'Выгр Кат'!$A:$R,B$1,0)</f>
        <v>6689</v>
      </c>
      <c r="C50" s="34" t="str">
        <f>VLOOKUP($A50,'Выгр Кат'!$A:$R,C$1,0)</f>
        <v>Универсальная губа "Samurai" (чёрная, 2.6 м)</v>
      </c>
      <c r="D50" s="35" t="str">
        <f>VLOOKUP($A50,'Выгр Кат'!$A:$R,D$1,0)</f>
        <v>Y</v>
      </c>
      <c r="E50" s="35" t="str">
        <f>VLOOKUP($A50,'Выгр Кат'!$A:$R,E$1,0)</f>
        <v>1ск6</v>
      </c>
      <c r="F50" s="35" t="str">
        <f>VLOOKUP($A50,'Выгр Кат'!$A:$R,F$1,0)</f>
        <v>PZT-01</v>
      </c>
      <c r="G50" s="3" t="s">
        <v>83</v>
      </c>
      <c r="H50" s="3" t="s">
        <v>8</v>
      </c>
      <c r="I50" s="15">
        <f t="shared" si="0"/>
        <v>350</v>
      </c>
      <c r="J50" s="38">
        <f>VLOOKUP(I50,Наценка!$A$1:$B$8,2,1)</f>
        <v>1.6</v>
      </c>
      <c r="K50" s="54">
        <f>X50*1.02</f>
        <v>805.80000000000007</v>
      </c>
      <c r="L50" s="10">
        <f t="shared" si="16"/>
        <v>809</v>
      </c>
      <c r="M50" s="35">
        <f>VLOOKUP($A50,'Выгр Кат'!$A:$R,M$1,0)</f>
        <v>350</v>
      </c>
      <c r="N50" s="35">
        <f>VLOOKUP($A50,'Выгр Кат'!$A:$R,N$1,0)</f>
        <v>809</v>
      </c>
      <c r="O50" s="37">
        <f t="shared" si="17"/>
        <v>0</v>
      </c>
      <c r="P50" s="37">
        <f t="shared" si="18"/>
        <v>0</v>
      </c>
      <c r="Q50" s="43">
        <f t="shared" si="5"/>
        <v>752.37</v>
      </c>
      <c r="R50" s="52">
        <f>IFERROR((VLOOKUP($A50,'Из ГУГЛа'!$B:$G,6,0)+T50)*S50,VLOOKUP($A50,'Из ГУГЛа'!$B:$G,6,0))</f>
        <v>790</v>
      </c>
      <c r="S50" s="44">
        <v>1</v>
      </c>
      <c r="T50" s="44">
        <v>0</v>
      </c>
      <c r="U50" s="45">
        <f t="shared" si="6"/>
        <v>1.1496285714285714</v>
      </c>
      <c r="V50" s="45">
        <f t="shared" si="7"/>
        <v>4.763291139240506E-2</v>
      </c>
      <c r="W50" s="45">
        <f t="shared" si="8"/>
        <v>1.2571428571428571</v>
      </c>
      <c r="X50" s="49">
        <v>790</v>
      </c>
      <c r="Y50" s="32" t="s">
        <v>161</v>
      </c>
    </row>
    <row r="51" spans="1:25" s="62" customFormat="1" ht="30" x14ac:dyDescent="0.25">
      <c r="A51" s="35">
        <v>223944</v>
      </c>
      <c r="B51" s="35">
        <f>VLOOKUP($A51,'Выгр Кат'!$A:$R,B$1,0)</f>
        <v>70199</v>
      </c>
      <c r="C51" s="34" t="str">
        <f>VLOOKUP($A51,'Выгр Кат'!$A:$R,C$1,0)</f>
        <v>Фары передние "AMG style" с Bi-Led линзами для Лада Приора</v>
      </c>
      <c r="D51" s="35" t="str">
        <f>VLOOKUP($A51,'Выгр Кат'!$A:$R,D$1,0)</f>
        <v>Y</v>
      </c>
      <c r="E51" s="35" t="str">
        <f>VLOOKUP($A51,'Выгр Кат'!$A:$R,E$1,0)</f>
        <v>1</v>
      </c>
      <c r="F51" s="35">
        <f>VLOOKUP($A51,'Выгр Кат'!$A:$R,F$1,0)</f>
        <v>0</v>
      </c>
      <c r="G51" s="3" t="s">
        <v>83</v>
      </c>
      <c r="H51" s="63" t="s">
        <v>8</v>
      </c>
      <c r="I51" s="15">
        <f t="shared" ref="I51:I53" si="19">M51</f>
        <v>23000</v>
      </c>
      <c r="J51" s="63">
        <f>VLOOKUP(I51,Наценка!$A$1:$B$8,2,1)</f>
        <v>1.3</v>
      </c>
      <c r="K51" s="22">
        <f t="shared" si="15"/>
        <v>29900</v>
      </c>
      <c r="L51" s="10">
        <f t="shared" ref="L51:L53" si="20">IF(K51&lt;=1000,(ROUNDUP(K51,-1)-1),(ROUNDUP(K51,-2)-10))</f>
        <v>29890</v>
      </c>
      <c r="M51" s="35">
        <f>VLOOKUP($A51,'Выгр Кат'!$A:$R,M$1,0)</f>
        <v>23000</v>
      </c>
      <c r="N51" s="35">
        <f>VLOOKUP($A51,'Выгр Кат'!$A:$R,N$1,0)</f>
        <v>29890</v>
      </c>
      <c r="O51" s="37">
        <f t="shared" ref="O51:O53" si="21">M51-I51</f>
        <v>0</v>
      </c>
      <c r="P51" s="37">
        <f t="shared" ref="P51:P53" si="22">N51-L51</f>
        <v>0</v>
      </c>
      <c r="Q51" s="43">
        <f t="shared" ref="Q51:Q53" si="23">IFERROR(L51*(1-$Q$2),"")</f>
        <v>27797.699999999997</v>
      </c>
      <c r="R51" s="52">
        <f>IFERROR((VLOOKUP($A51,'Из ГУГЛа'!$B:$G,6,0)+T51)*S51,VLOOKUP($A51,'Из ГУГЛа'!$B:$G,6,0))</f>
        <v>22490</v>
      </c>
      <c r="S51" s="44">
        <v>1</v>
      </c>
      <c r="T51" s="44">
        <v>0</v>
      </c>
      <c r="U51" s="45">
        <f t="shared" ref="U51:U53" si="24">IFERROR(Q51/I51-1,"")</f>
        <v>0.20859565217391296</v>
      </c>
      <c r="V51" s="45">
        <f t="shared" ref="V51:V53" si="25">IFERROR((X51-Q51)/X51,"")</f>
        <v>-0.23600266785237869</v>
      </c>
      <c r="W51" s="45">
        <f t="shared" ref="W51:W53" si="26">IFERROR(IF(X51="","",X51/I51-1),"")</f>
        <v>-2.2173913043478266E-2</v>
      </c>
      <c r="X51" s="61">
        <v>22490</v>
      </c>
      <c r="Y51" s="32" t="s">
        <v>159</v>
      </c>
    </row>
    <row r="52" spans="1:25" s="62" customFormat="1" ht="30" x14ac:dyDescent="0.25">
      <c r="A52" s="35">
        <v>151129</v>
      </c>
      <c r="B52" s="35">
        <f>VLOOKUP($A52,'Выгр Кат'!$A:$R,B$1,0)</f>
        <v>27175</v>
      </c>
      <c r="C52" s="34" t="str">
        <f>VLOOKUP($A52,'Выгр Кат'!$A:$R,C$1,0)</f>
        <v>Замки капота под скрытую установку без ключей, D1 пластик</v>
      </c>
      <c r="D52" s="35" t="str">
        <f>VLOOKUP($A52,'Выгр Кат'!$A:$R,D$1,0)</f>
        <v>Y</v>
      </c>
      <c r="E52" s="35" t="str">
        <f>VLOOKUP($A52,'Выгр Кат'!$A:$R,E$1,0)</f>
        <v>1</v>
      </c>
      <c r="F52" s="35">
        <f>VLOOKUP($A52,'Выгр Кат'!$A:$R,F$1,0)</f>
        <v>0</v>
      </c>
      <c r="G52" s="3" t="s">
        <v>83</v>
      </c>
      <c r="H52" s="63" t="s">
        <v>8</v>
      </c>
      <c r="I52" s="15">
        <f t="shared" si="19"/>
        <v>1100</v>
      </c>
      <c r="J52" s="63">
        <f>VLOOKUP(I52,Наценка!$A$1:$B$8,2,1)</f>
        <v>1.5</v>
      </c>
      <c r="K52" s="54">
        <f>X52*1.02</f>
        <v>1519.8</v>
      </c>
      <c r="L52" s="10">
        <f t="shared" si="20"/>
        <v>1590</v>
      </c>
      <c r="M52" s="35">
        <f>VLOOKUP($A52,'Выгр Кат'!$A:$R,M$1,0)</f>
        <v>1100</v>
      </c>
      <c r="N52" s="35">
        <f>VLOOKUP($A52,'Выгр Кат'!$A:$R,N$1,0)</f>
        <v>1590</v>
      </c>
      <c r="O52" s="37">
        <f t="shared" si="21"/>
        <v>0</v>
      </c>
      <c r="P52" s="37">
        <f t="shared" si="22"/>
        <v>0</v>
      </c>
      <c r="Q52" s="43">
        <f t="shared" si="23"/>
        <v>1478.6999999999998</v>
      </c>
      <c r="R52" s="52">
        <f>IFERROR((VLOOKUP($A52,'Из ГУГЛа'!$B:$G,6,0)+T52)*S52,VLOOKUP($A52,'Из ГУГЛа'!$B:$G,6,0))</f>
        <v>1490</v>
      </c>
      <c r="S52" s="44">
        <v>1</v>
      </c>
      <c r="T52" s="44">
        <v>0</v>
      </c>
      <c r="U52" s="45">
        <f t="shared" si="24"/>
        <v>0.34427272727272706</v>
      </c>
      <c r="V52" s="45">
        <f t="shared" si="25"/>
        <v>7.5838926174497867E-3</v>
      </c>
      <c r="W52" s="45">
        <f t="shared" si="26"/>
        <v>0.3545454545454545</v>
      </c>
      <c r="X52" s="61">
        <v>1490</v>
      </c>
      <c r="Y52" s="32" t="s">
        <v>222</v>
      </c>
    </row>
    <row r="53" spans="1:25" s="62" customFormat="1" ht="30" x14ac:dyDescent="0.25">
      <c r="A53" s="35">
        <v>151130</v>
      </c>
      <c r="B53" s="35">
        <f>VLOOKUP($A53,'Выгр Кат'!$A:$R,B$1,0)</f>
        <v>5453</v>
      </c>
      <c r="C53" s="34" t="str">
        <f>VLOOKUP($A53,'Выгр Кат'!$A:$R,C$1,0)</f>
        <v>Замки капота под скрытую установку с ключом, D1 пластик</v>
      </c>
      <c r="D53" s="35" t="str">
        <f>VLOOKUP($A53,'Выгр Кат'!$A:$R,D$1,0)</f>
        <v>Y</v>
      </c>
      <c r="E53" s="35" t="str">
        <f>VLOOKUP($A53,'Выгр Кат'!$A:$R,E$1,0)</f>
        <v>1</v>
      </c>
      <c r="F53" s="35" t="str">
        <f>VLOOKUP($A53,'Выгр Кат'!$A:$R,F$1,0)</f>
        <v>8582-КПТ</v>
      </c>
      <c r="G53" s="3" t="s">
        <v>83</v>
      </c>
      <c r="H53" s="63" t="s">
        <v>8</v>
      </c>
      <c r="I53" s="15">
        <f t="shared" si="19"/>
        <v>1200</v>
      </c>
      <c r="J53" s="63">
        <f>VLOOKUP(I53,Наценка!$A$1:$B$8,2,1)</f>
        <v>1.5</v>
      </c>
      <c r="K53" s="22">
        <f t="shared" si="15"/>
        <v>1800</v>
      </c>
      <c r="L53" s="10">
        <f t="shared" si="20"/>
        <v>1790</v>
      </c>
      <c r="M53" s="35">
        <f>VLOOKUP($A53,'Выгр Кат'!$A:$R,M$1,0)</f>
        <v>1200</v>
      </c>
      <c r="N53" s="35">
        <f>VLOOKUP($A53,'Выгр Кат'!$A:$R,N$1,0)</f>
        <v>1690</v>
      </c>
      <c r="O53" s="37">
        <f t="shared" si="21"/>
        <v>0</v>
      </c>
      <c r="P53" s="37">
        <f t="shared" si="22"/>
        <v>-100</v>
      </c>
      <c r="Q53" s="43">
        <f t="shared" si="23"/>
        <v>1664.6999999999998</v>
      </c>
      <c r="R53" s="52">
        <f>IFERROR((VLOOKUP($A53,'Из ГУГЛа'!$B:$G,6,0)+T53)*S53,VLOOKUP($A53,'Из ГУГЛа'!$B:$G,6,0))</f>
        <v>1290</v>
      </c>
      <c r="S53" s="44">
        <v>1</v>
      </c>
      <c r="T53" s="44">
        <v>0</v>
      </c>
      <c r="U53" s="45">
        <f t="shared" si="24"/>
        <v>0.38724999999999987</v>
      </c>
      <c r="V53" s="45">
        <f t="shared" si="25"/>
        <v>-0.29046511627906962</v>
      </c>
      <c r="W53" s="45">
        <f t="shared" si="26"/>
        <v>7.4999999999999956E-2</v>
      </c>
      <c r="X53" s="61">
        <v>1290</v>
      </c>
      <c r="Y53" s="32" t="s">
        <v>223</v>
      </c>
    </row>
    <row r="54" spans="1:25" ht="30" x14ac:dyDescent="0.25">
      <c r="A54" s="35">
        <v>213885</v>
      </c>
      <c r="B54" s="35">
        <f>VLOOKUP($A54,'Выгр Кат'!$A:$R,B$1,0)</f>
        <v>39573</v>
      </c>
      <c r="C54" s="34" t="str">
        <f>VLOOKUP($A54,'Выгр Кат'!$A:$R,C$1,0)</f>
        <v>Сигналы звуковые "Super Horn" универсальные</v>
      </c>
      <c r="D54" s="35" t="str">
        <f>VLOOKUP($A54,'Выгр Кат'!$A:$R,D$1,0)</f>
        <v>Y</v>
      </c>
      <c r="E54" s="35" t="str">
        <f>VLOOKUP($A54,'Выгр Кат'!$A:$R,E$1,0)</f>
        <v>1</v>
      </c>
      <c r="F54" s="35" t="str">
        <f>VLOOKUP($A54,'Выгр Кат'!$A:$R,F$1,0)</f>
        <v>2689697702</v>
      </c>
      <c r="G54" s="3" t="s">
        <v>83</v>
      </c>
      <c r="H54" s="3" t="s">
        <v>8</v>
      </c>
      <c r="I54" s="15">
        <f t="shared" si="0"/>
        <v>500</v>
      </c>
      <c r="J54" s="38">
        <f>VLOOKUP(I54,Наценка!$A$1:$B$8,2,1)</f>
        <v>1.55</v>
      </c>
      <c r="K54" s="22">
        <f t="shared" si="15"/>
        <v>775</v>
      </c>
      <c r="L54" s="10">
        <f t="shared" si="16"/>
        <v>779</v>
      </c>
      <c r="M54" s="35">
        <f>VLOOKUP($A54,'Выгр Кат'!$A:$R,M$1,0)</f>
        <v>500</v>
      </c>
      <c r="N54" s="35">
        <f>VLOOKUP($A54,'Выгр Кат'!$A:$R,N$1,0)</f>
        <v>779</v>
      </c>
      <c r="O54" s="37">
        <f t="shared" si="17"/>
        <v>0</v>
      </c>
      <c r="P54" s="37">
        <f t="shared" si="18"/>
        <v>0</v>
      </c>
      <c r="Q54" s="43">
        <f t="shared" si="5"/>
        <v>724.46999999999991</v>
      </c>
      <c r="R54" s="52" t="str">
        <f>IFERROR((VLOOKUP($A54,'Из ГУГЛа'!$B:$G,6,0)+T54)*S54,VLOOKUP($A54,'Из ГУГЛа'!$B:$G,6,0))</f>
        <v/>
      </c>
      <c r="S54" s="44">
        <v>1</v>
      </c>
      <c r="T54" s="44">
        <v>0</v>
      </c>
      <c r="U54" s="45">
        <f t="shared" si="6"/>
        <v>0.44893999999999989</v>
      </c>
      <c r="V54" s="45" t="str">
        <f t="shared" si="7"/>
        <v/>
      </c>
      <c r="W54" s="45" t="str">
        <f t="shared" si="8"/>
        <v/>
      </c>
      <c r="X54" s="3" t="s">
        <v>164</v>
      </c>
    </row>
    <row r="57" spans="1:25" x14ac:dyDescent="0.25">
      <c r="K57" s="22">
        <f t="shared" ref="K57" si="27">I57*J57</f>
        <v>0</v>
      </c>
    </row>
    <row r="58" spans="1:25" x14ac:dyDescent="0.25">
      <c r="K58" s="53">
        <f>X58*1</f>
        <v>0</v>
      </c>
    </row>
    <row r="59" spans="1:25" x14ac:dyDescent="0.25">
      <c r="K59" s="54">
        <f>X59*1.02</f>
        <v>0</v>
      </c>
    </row>
    <row r="60" spans="1:25" x14ac:dyDescent="0.25">
      <c r="K60" s="55">
        <f>X60*1.04</f>
        <v>0</v>
      </c>
    </row>
    <row r="61" spans="1:25" x14ac:dyDescent="0.25">
      <c r="K61" s="56">
        <f>X61*1.05</f>
        <v>0</v>
      </c>
    </row>
    <row r="62" spans="1:25" x14ac:dyDescent="0.25">
      <c r="K62" s="56">
        <f>X62*1.06</f>
        <v>0</v>
      </c>
    </row>
    <row r="63" spans="1:25" x14ac:dyDescent="0.25">
      <c r="K63" s="57">
        <f>X63*1.07</f>
        <v>0</v>
      </c>
    </row>
    <row r="64" spans="1:25" x14ac:dyDescent="0.25">
      <c r="K64" s="58">
        <f>X64*1.08</f>
        <v>0</v>
      </c>
    </row>
    <row r="65" spans="11:11" x14ac:dyDescent="0.25">
      <c r="K65" s="60">
        <f>I65*1.2*100/93</f>
        <v>0</v>
      </c>
    </row>
  </sheetData>
  <sheetProtection formatCells="0" formatColumns="0" formatRows="0" insertColumns="0" insertRows="0" insertHyperlinks="0" deleteColumns="0" deleteRows="0" sort="0" autoFilter="0" pivotTables="0"/>
  <autoFilter ref="A2:X54" xr:uid="{00000000-0009-0000-0000-000000000000}"/>
  <conditionalFormatting sqref="C3:C54">
    <cfRule type="expression" dxfId="20" priority="6">
      <formula>OR(D3="N",E3="0")</formula>
    </cfRule>
  </conditionalFormatting>
  <conditionalFormatting sqref="A3:A54">
    <cfRule type="expression" dxfId="19" priority="5">
      <formula>AND(ROUNDDOWN($P3,0)=0,ROUNDDOWN($O3,0)=0)</formula>
    </cfRule>
  </conditionalFormatting>
  <conditionalFormatting sqref="U3:U54 W3:W54">
    <cfRule type="cellIs" dxfId="16" priority="4" operator="lessThan">
      <formula>$T$1</formula>
    </cfRule>
  </conditionalFormatting>
  <conditionalFormatting sqref="V3:V54">
    <cfRule type="cellIs" dxfId="18" priority="3" operator="lessThan">
      <formula>0%</formula>
    </cfRule>
  </conditionalFormatting>
  <conditionalFormatting sqref="R2:R54">
    <cfRule type="expression" dxfId="17" priority="1">
      <formula>VALUE(R2)&lt;&gt;X2</formula>
    </cfRule>
  </conditionalFormatting>
  <hyperlinks>
    <hyperlink ref="X33" r:id="rId1" display="https://motorring.ru/product/38324-fonari-svetodiodnye-stile-audi-vaz-2110-krasnii" xr:uid="{2AA5462E-3953-4D93-997C-122C74E31A9B}"/>
    <hyperlink ref="X27" r:id="rId2" display="https://motorring.ru/product/21338-korpusa-zadnih-fonarey-belym-povorotnikom-vaz-2108-21099" xr:uid="{AB5E1013-5168-41B1-90A4-439878CC1ED3}"/>
    <hyperlink ref="X11" r:id="rId3" display="https://motorring.ru/product/41035-kruglaya-nasadka-glushitelya-akrapovic-tq004c-skosom" xr:uid="{436DB978-E254-47A7-BAE5-13620894AE32}"/>
    <hyperlink ref="X23" r:id="rId4" display="https://motorring.ru/product/10393-filytr-nulevogo-soprotivleniya-shtatnyy-korpus" xr:uid="{A78B926F-4ECD-418E-965B-BB52A8BB466F}"/>
    <hyperlink ref="X32" r:id="rId5" display="https://motorring.ru/product/38324-fonari-svetodiodnye-stile-audi-vaz-2110-krasnii" xr:uid="{4D4338DD-FB06-4C77-BDA5-928293366973}"/>
    <hyperlink ref="X49" r:id="rId6" display="https://motorring.ru/product/34428-universalynaya-rezinovaya-guba-samurai-beliy-kant" xr:uid="{CE2CBC48-3BA4-4313-B9B0-5CAA590CA4C2}"/>
    <hyperlink ref="X50" r:id="rId7" display="https://motorring.ru/product/12708-universalynaya-rezinovaya-guba-samurai-bamper" xr:uid="{7EAEB2DF-51ED-4C7C-B746-25377424CB00}"/>
    <hyperlink ref="X46" r:id="rId8" xr:uid="{DB1F2648-8126-4632-902E-E37AB6A43EDE}"/>
    <hyperlink ref="X24" r:id="rId9" display="https://motorring.ru/product/21483-termolenta-titan-vypusknuyu-sistemu" xr:uid="{910A23D8-EF8D-4271-A196-432CF7672656}"/>
    <hyperlink ref="X36" r:id="rId10" display="https://motorring.ru/product/11752-vspyshki-fso-48w-16-svetodiodov" xr:uid="{C53A61A1-AB43-4DA0-9413-7589FB55219C}"/>
    <hyperlink ref="T13" r:id="rId11" display="https://motorring.ru/product/27380-vspyshka-fso-belo-sinaya-svetodiodov" xr:uid="{3C36A93D-6D04-4BB3-A412-F04DA73F828D}"/>
    <hyperlink ref="X13" r:id="rId12" display="https://motorring.ru/product/27379-vspyshka-fso-belo-krasnaya-svetodiodov" xr:uid="{4BAE2174-4D6D-4698-AF4A-A2E80C39C572}"/>
    <hyperlink ref="X21" r:id="rId13" display="https://motorring.ru/product/37863-platy-zadnih-fonarey-dlya-vaz-2108-21099" xr:uid="{2EF6AB8B-7B79-4B23-9C27-F0EBC4754536}"/>
    <hyperlink ref="X22" r:id="rId14" display="https://motorring.ru/product/37863-platy-zadnih-fonarey-dlya-vaz-2108-21099" xr:uid="{53AB4F4A-F32E-4B0F-AC4D-FB9FD69CF381}"/>
    <hyperlink ref="X40" r:id="rId15" display="https://motorring.ru/product/32730-led-rgb-lampy-gabarity-puytom-lightspace-t10-w5w" xr:uid="{F91FF413-6380-4B48-B815-877DA8FBC7DE}"/>
  </hyperlinks>
  <pageMargins left="0.7" right="0.7" top="0.75" bottom="0.75" header="0.3" footer="0.3"/>
  <pageSetup orientation="portrait" r:id="rId16"/>
  <headerFooter alignWithMargins="0"/>
  <ignoredErrors>
    <ignoredError sqref="H22 H3:H4 H30 H23 H31:H33 H35 H34 H28:H29 H25:H27 H24 H21 H11:H20 H6:H10 H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EEDB3-2C88-49CA-963D-6BF558576688}">
  <sheetPr>
    <outlinePr summaryBelow="0"/>
  </sheetPr>
  <dimension ref="A1:Z35"/>
  <sheetViews>
    <sheetView tabSelected="1" showRuler="0" zoomScaleNormal="100" workbookViewId="0">
      <pane ySplit="2" topLeftCell="A3" activePane="bottomLeft" state="frozen"/>
      <selection pane="bottomLeft" activeCell="A5" sqref="A5"/>
    </sheetView>
  </sheetViews>
  <sheetFormatPr defaultRowHeight="15" outlineLevelCol="1" x14ac:dyDescent="0.25"/>
  <cols>
    <col min="1" max="1" width="31.28515625" style="4" customWidth="1" outlineLevel="1"/>
    <col min="2" max="2" width="7" style="4" bestFit="1" customWidth="1"/>
    <col min="3" max="3" width="7" style="4" customWidth="1"/>
    <col min="4" max="4" width="30.28515625" style="4" bestFit="1" customWidth="1"/>
    <col min="5" max="5" width="2" style="4" bestFit="1" customWidth="1"/>
    <col min="6" max="6" width="4.85546875" style="4" bestFit="1" customWidth="1"/>
    <col min="7" max="7" width="6.85546875" style="4" bestFit="1" customWidth="1"/>
    <col min="8" max="8" width="7.140625" style="4" bestFit="1" customWidth="1"/>
    <col min="9" max="9" width="10.140625" style="4" bestFit="1" customWidth="1"/>
    <col min="10" max="10" width="6.140625" style="39" customWidth="1"/>
    <col min="11" max="11" width="4.5703125" style="4" bestFit="1" customWidth="1"/>
    <col min="12" max="12" width="6.5703125" style="24" bestFit="1" customWidth="1"/>
    <col min="13" max="13" width="5.140625" style="4" customWidth="1"/>
    <col min="14" max="15" width="5" style="4" bestFit="1" customWidth="1"/>
    <col min="16" max="16" width="6.28515625" style="4" bestFit="1" customWidth="1"/>
    <col min="17" max="17" width="7.42578125" style="4" bestFit="1" customWidth="1"/>
    <col min="18" max="18" width="5.85546875" style="4" bestFit="1" customWidth="1"/>
    <col min="19" max="19" width="5.28515625" style="39" customWidth="1"/>
    <col min="20" max="20" width="4.85546875" style="4" customWidth="1"/>
    <col min="21" max="21" width="5.28515625" style="4" customWidth="1"/>
    <col min="22" max="22" width="8.28515625" style="13" bestFit="1" customWidth="1"/>
    <col min="23" max="23" width="5.28515625" style="13" bestFit="1" customWidth="1"/>
    <col min="24" max="24" width="4.5703125" style="13" bestFit="1" customWidth="1"/>
    <col min="25" max="25" width="6.7109375" style="4" customWidth="1"/>
    <col min="26" max="26" width="9.140625" style="48"/>
    <col min="27" max="16384" width="9.140625" style="4"/>
  </cols>
  <sheetData>
    <row r="1" spans="1:26" s="5" customFormat="1" x14ac:dyDescent="0.25">
      <c r="A1" s="66"/>
      <c r="B1" s="62"/>
      <c r="C1" s="67">
        <v>2</v>
      </c>
      <c r="D1" s="67">
        <v>3</v>
      </c>
      <c r="E1" s="66">
        <v>4</v>
      </c>
      <c r="F1" s="66">
        <v>15</v>
      </c>
      <c r="G1" s="66">
        <v>6</v>
      </c>
      <c r="H1" s="62"/>
      <c r="I1" s="62"/>
      <c r="J1" s="14"/>
      <c r="K1" s="62"/>
      <c r="L1" s="23"/>
      <c r="M1" s="62"/>
      <c r="N1" s="66">
        <v>9</v>
      </c>
      <c r="O1" s="66">
        <v>10</v>
      </c>
      <c r="P1" s="68"/>
      <c r="Q1" s="68"/>
      <c r="R1" s="66"/>
      <c r="S1" s="68"/>
      <c r="T1" s="66"/>
      <c r="U1" s="69">
        <v>0.2</v>
      </c>
      <c r="V1" s="70" t="str">
        <f>_xlfn.CONCAT(ROUND(MIN(V3:V9000)*100,0),"-",ROUND(MAX(V3:V9000)*100,0),"%")</f>
        <v>25-86%</v>
      </c>
      <c r="W1" s="70" t="str">
        <f>_xlfn.CONCAT(ROUND(SUBTOTAL(5,W3:W9000)*100,0)," - ",ROUND(SUBTOTAL(4,W3:W9000)*100,0),"%")</f>
        <v>-39 - 15%</v>
      </c>
      <c r="X1" s="70" t="str">
        <f>_xlfn.CONCAT(ROUND(SUBTOTAL(5,X3:X90000)*100,0)," - ",ROUND(SUBTOTAL(4,X3:X90000)*100,0),"%")</f>
        <v>3 - 90%</v>
      </c>
      <c r="Y1" s="62"/>
      <c r="Z1" s="47"/>
    </row>
    <row r="2" spans="1:26" ht="36.75" customHeight="1" x14ac:dyDescent="0.25">
      <c r="A2" s="6" t="s">
        <v>150</v>
      </c>
      <c r="B2" s="2" t="s">
        <v>0</v>
      </c>
      <c r="C2" s="33" t="s">
        <v>87</v>
      </c>
      <c r="D2" s="33" t="s">
        <v>1</v>
      </c>
      <c r="E2" s="33"/>
      <c r="F2" s="33"/>
      <c r="G2" s="33" t="s">
        <v>234</v>
      </c>
      <c r="H2" s="9" t="s">
        <v>235</v>
      </c>
      <c r="I2" s="9" t="s">
        <v>82</v>
      </c>
      <c r="J2" s="64" t="s">
        <v>3</v>
      </c>
      <c r="K2" s="7"/>
      <c r="L2" s="22"/>
      <c r="M2" s="11" t="s">
        <v>76</v>
      </c>
      <c r="N2" s="33" t="s">
        <v>85</v>
      </c>
      <c r="O2" s="33" t="s">
        <v>86</v>
      </c>
      <c r="P2" s="37" t="s">
        <v>77</v>
      </c>
      <c r="Q2" s="37" t="s">
        <v>77</v>
      </c>
      <c r="R2" s="40">
        <v>7.0000000000000007E-2</v>
      </c>
      <c r="S2" s="52" t="s">
        <v>151</v>
      </c>
      <c r="T2" s="41"/>
      <c r="U2" s="41" t="s">
        <v>152</v>
      </c>
      <c r="V2" s="71" t="s">
        <v>78</v>
      </c>
      <c r="W2" s="71" t="s">
        <v>79</v>
      </c>
      <c r="X2" s="71" t="s">
        <v>80</v>
      </c>
      <c r="Y2" s="9" t="s">
        <v>81</v>
      </c>
    </row>
    <row r="3" spans="1:26" ht="45.75" thickBot="1" x14ac:dyDescent="0.3">
      <c r="A3" s="72" t="str">
        <f>INDEX('Выгр Торг'!$A:$A,MATCH($B3,'Выгр Торг'!$B:$B,0))</f>
        <v>Воздушный фильтр нулевого сопротивления (без отверстия)</v>
      </c>
      <c r="B3" s="73">
        <v>243588</v>
      </c>
      <c r="C3" s="73">
        <f>VLOOKUP($B3,'Выгр Торг'!$B:$Q,C$1,0)</f>
        <v>195993</v>
      </c>
      <c r="D3" s="72" t="str">
        <f>VLOOKUP($B3,'Выгр Торг'!$B:$Q,D$1,0)</f>
        <v>Воздушный фильтр нулевого сопротивления (без отверстия) (Красный)</v>
      </c>
      <c r="E3" s="73" t="str">
        <f>VLOOKUP($B3,'Выгр Торг'!$B:$Q,E$1,0)</f>
        <v>Y</v>
      </c>
      <c r="F3" s="73" t="str">
        <f>VLOOKUP($B3,'Выгр Торг'!$B:$Q,F$1,0)</f>
        <v>1</v>
      </c>
      <c r="G3" s="73">
        <f>VLOOKUP($B3,'Выгр Торг'!$B:$Q,G$1,0)</f>
        <v>0</v>
      </c>
      <c r="H3" s="3"/>
      <c r="I3" s="3" t="s">
        <v>8</v>
      </c>
      <c r="J3" s="15">
        <f>N3</f>
        <v>600</v>
      </c>
      <c r="K3" s="63">
        <f>VLOOKUP(J3,Наценка!$A$1:$B$8,2,1)</f>
        <v>1.55</v>
      </c>
      <c r="L3" s="56">
        <f>Y3*1.05</f>
        <v>807.45</v>
      </c>
      <c r="M3" s="10">
        <f>IF(L3&lt;=1000,(ROUNDUP(L3,-1)-1),(ROUNDUP(L3,-2)-10))</f>
        <v>809</v>
      </c>
      <c r="N3" s="73">
        <f>VLOOKUP($B3,'Выгр Торг'!$B:$Q,N$1,0)</f>
        <v>600</v>
      </c>
      <c r="O3" s="73">
        <f>VLOOKUP($B3,'Выгр Торг'!$B:$Q,O$1,0)</f>
        <v>809</v>
      </c>
      <c r="P3" s="37">
        <f>N3-J3</f>
        <v>0</v>
      </c>
      <c r="Q3" s="37">
        <f>O3-M3</f>
        <v>0</v>
      </c>
      <c r="R3" s="43">
        <f>IFERROR(M3*(1-$R$2),"")</f>
        <v>752.37</v>
      </c>
      <c r="S3" s="52">
        <f>IFERROR((VLOOKUP($B3,'Из ГУГЛа'!$B:$G,6,0)+U3)*T3,VLOOKUP($B3,'Из ГУГЛа'!$B:$G,6,0))</f>
        <v>769</v>
      </c>
      <c r="T3" s="44">
        <v>1</v>
      </c>
      <c r="U3" s="44"/>
      <c r="V3" s="74">
        <f>IFERROR(R3/J3-1,"")</f>
        <v>0.2539499999999999</v>
      </c>
      <c r="W3" s="74">
        <f>IFERROR((Y3-R3)/Y3,"")</f>
        <v>2.1625487646293882E-2</v>
      </c>
      <c r="X3" s="74">
        <f>IFERROR(IF(Y3="","",Y3/J3-1),"")</f>
        <v>0.28166666666666673</v>
      </c>
      <c r="Y3" s="26">
        <v>769</v>
      </c>
      <c r="Z3" s="48" t="s">
        <v>157</v>
      </c>
    </row>
    <row r="4" spans="1:26" ht="46.5" thickTop="1" thickBot="1" x14ac:dyDescent="0.3">
      <c r="A4" s="72" t="str">
        <f>INDEX('Выгр Торг'!$A:$A,MATCH($B4,'Выгр Торг'!$B:$B,0))</f>
        <v>Воздушный фильтр нулевого сопротивления (без отверстия)</v>
      </c>
      <c r="B4" s="73">
        <v>243589</v>
      </c>
      <c r="C4" s="73">
        <f>VLOOKUP($B4,'Выгр Торг'!$B:$Q,C$1,0)</f>
        <v>195994</v>
      </c>
      <c r="D4" s="72" t="str">
        <f>VLOOKUP($B4,'Выгр Торг'!$B:$Q,D$1,0)</f>
        <v>Воздушный фильтр нулевого сопротивления (без отверстия) (Серый)</v>
      </c>
      <c r="E4" s="73" t="str">
        <f>VLOOKUP($B4,'Выгр Торг'!$B:$Q,E$1,0)</f>
        <v>Y</v>
      </c>
      <c r="F4" s="73" t="str">
        <f>VLOOKUP($B4,'Выгр Торг'!$B:$Q,F$1,0)</f>
        <v>0</v>
      </c>
      <c r="G4" s="73">
        <f>VLOOKUP($B4,'Выгр Торг'!$B:$Q,G$1,0)</f>
        <v>0</v>
      </c>
      <c r="H4" s="3"/>
      <c r="I4" s="3" t="s">
        <v>8</v>
      </c>
      <c r="J4" s="15">
        <f t="shared" ref="J4:J5" si="0">N4</f>
        <v>600</v>
      </c>
      <c r="K4" s="63">
        <f>VLOOKUP(J4,Наценка!$A$1:$B$8,2,1)</f>
        <v>1.55</v>
      </c>
      <c r="L4" s="56">
        <f>Y4*1.05</f>
        <v>807.45</v>
      </c>
      <c r="M4" s="10">
        <f t="shared" ref="M4:M5" si="1">IF(L4&lt;=1000,(ROUNDUP(L4,-1)-1),(ROUNDUP(L4,-2)-10))</f>
        <v>809</v>
      </c>
      <c r="N4" s="73">
        <f>VLOOKUP($B4,'Выгр Торг'!$B:$Q,N$1,0)</f>
        <v>600</v>
      </c>
      <c r="O4" s="73">
        <f>VLOOKUP($B4,'Выгр Торг'!$B:$Q,O$1,0)</f>
        <v>809</v>
      </c>
      <c r="P4" s="37">
        <f t="shared" ref="P4:P5" si="2">N4-J4</f>
        <v>0</v>
      </c>
      <c r="Q4" s="37">
        <f t="shared" ref="Q4:Q5" si="3">O4-M4</f>
        <v>0</v>
      </c>
      <c r="R4" s="43">
        <f t="shared" ref="R4:R24" si="4">IFERROR(M4*(1-$R$2),"")</f>
        <v>752.37</v>
      </c>
      <c r="S4" s="52">
        <f>IFERROR((VLOOKUP($B4,'Из ГУГЛа'!$B:$G,6,0)+U4)*T4,VLOOKUP($B4,'Из ГУГЛа'!$B:$G,6,0))</f>
        <v>769</v>
      </c>
      <c r="T4" s="44">
        <v>1</v>
      </c>
      <c r="U4" s="44"/>
      <c r="V4" s="74">
        <f t="shared" ref="V4:V24" si="5">IFERROR(R4/J4-1,"")</f>
        <v>0.2539499999999999</v>
      </c>
      <c r="W4" s="74">
        <f t="shared" ref="W4:W24" si="6">IFERROR((Y4-R4)/Y4,"")</f>
        <v>2.1625487646293882E-2</v>
      </c>
      <c r="X4" s="74">
        <f t="shared" ref="X4:X24" si="7">IFERROR(IF(Y4="","",Y4/J4-1),"")</f>
        <v>0.28166666666666673</v>
      </c>
      <c r="Y4" s="26">
        <v>769</v>
      </c>
      <c r="Z4" s="48" t="s">
        <v>158</v>
      </c>
    </row>
    <row r="5" spans="1:26" ht="46.5" thickTop="1" thickBot="1" x14ac:dyDescent="0.3">
      <c r="A5" s="72" t="str">
        <f>INDEX('Выгр Торг'!$A:$A,MATCH($B5,'Выгр Торг'!$B:$B,0))</f>
        <v>Воздушный фильтр нулевого сопротивления (без отверстия)</v>
      </c>
      <c r="B5" s="73">
        <v>243590</v>
      </c>
      <c r="C5" s="73">
        <f>VLOOKUP($B5,'Выгр Торг'!$B:$Q,C$1,0)</f>
        <v>195995</v>
      </c>
      <c r="D5" s="72" t="str">
        <f>VLOOKUP($B5,'Выгр Торг'!$B:$Q,D$1,0)</f>
        <v>Воздушный фильтр нулевого сопротивления (без отверстия) (Синий)</v>
      </c>
      <c r="E5" s="73" t="str">
        <f>VLOOKUP($B5,'Выгр Торг'!$B:$Q,E$1,0)</f>
        <v>Y</v>
      </c>
      <c r="F5" s="73" t="str">
        <f>VLOOKUP($B5,'Выгр Торг'!$B:$Q,F$1,0)</f>
        <v>1</v>
      </c>
      <c r="G5" s="73">
        <f>VLOOKUP($B5,'Выгр Торг'!$B:$Q,G$1,0)</f>
        <v>0</v>
      </c>
      <c r="H5" s="3"/>
      <c r="I5" s="3" t="s">
        <v>8</v>
      </c>
      <c r="J5" s="15">
        <f t="shared" si="0"/>
        <v>600</v>
      </c>
      <c r="K5" s="63">
        <f>VLOOKUP(J5,Наценка!$A$1:$B$8,2,1)</f>
        <v>1.55</v>
      </c>
      <c r="L5" s="56">
        <f>Y5*1.05</f>
        <v>807.45</v>
      </c>
      <c r="M5" s="10">
        <f t="shared" si="1"/>
        <v>809</v>
      </c>
      <c r="N5" s="73">
        <f>VLOOKUP($B5,'Выгр Торг'!$B:$Q,N$1,0)</f>
        <v>600</v>
      </c>
      <c r="O5" s="73">
        <f>VLOOKUP($B5,'Выгр Торг'!$B:$Q,O$1,0)</f>
        <v>809</v>
      </c>
      <c r="P5" s="37">
        <f t="shared" si="2"/>
        <v>0</v>
      </c>
      <c r="Q5" s="37">
        <f t="shared" si="3"/>
        <v>0</v>
      </c>
      <c r="R5" s="43">
        <f t="shared" si="4"/>
        <v>752.37</v>
      </c>
      <c r="S5" s="52">
        <f>IFERROR((VLOOKUP($B5,'Из ГУГЛа'!$B:$G,6,0)+U5)*T5,VLOOKUP($B5,'Из ГУГЛа'!$B:$G,6,0))</f>
        <v>769</v>
      </c>
      <c r="T5" s="44">
        <v>1</v>
      </c>
      <c r="U5" s="44"/>
      <c r="V5" s="74">
        <f t="shared" si="5"/>
        <v>0.2539499999999999</v>
      </c>
      <c r="W5" s="74">
        <f t="shared" si="6"/>
        <v>2.1625487646293882E-2</v>
      </c>
      <c r="X5" s="74">
        <f t="shared" si="7"/>
        <v>0.28166666666666673</v>
      </c>
      <c r="Y5" s="26">
        <v>769</v>
      </c>
      <c r="Z5" s="48" t="s">
        <v>158</v>
      </c>
    </row>
    <row r="6" spans="1:26" ht="61.5" thickTop="1" thickBot="1" x14ac:dyDescent="0.3">
      <c r="A6" s="72" t="str">
        <f>INDEX('Выгр Торг'!$A:$A,MATCH($B6,'Выгр Торг'!$B:$B,0))</f>
        <v>Воздушный фильтр нулевого сопротивления "AIR-FILTER" инжекторный (конус)</v>
      </c>
      <c r="B6" s="73">
        <v>257956</v>
      </c>
      <c r="C6" s="73">
        <f>VLOOKUP($B6,'Выгр Торг'!$B:$Q,C$1,0)</f>
        <v>208037</v>
      </c>
      <c r="D6" s="72" t="str">
        <f>VLOOKUP($B6,'Выгр Торг'!$B:$Q,D$1,0)</f>
        <v>Воздушный фильтр нулевого сопротивления "AIR-FILTER" инжекторный (конус) (Красный)</v>
      </c>
      <c r="E6" s="73" t="str">
        <f>VLOOKUP($B6,'Выгр Торг'!$B:$Q,E$1,0)</f>
        <v>Y</v>
      </c>
      <c r="F6" s="73" t="str">
        <f>VLOOKUP($B6,'Выгр Торг'!$B:$Q,F$1,0)</f>
        <v>1</v>
      </c>
      <c r="G6" s="73">
        <f>VLOOKUP($B6,'Выгр Торг'!$B:$Q,G$1,0)</f>
        <v>0</v>
      </c>
      <c r="H6" s="3"/>
      <c r="I6" s="3" t="s">
        <v>8</v>
      </c>
      <c r="J6" s="15">
        <f t="shared" ref="J6" si="8">N6</f>
        <v>500</v>
      </c>
      <c r="K6" s="63">
        <f>VLOOKUP(J6,Наценка!$A$1:$B$8,2,1)</f>
        <v>1.55</v>
      </c>
      <c r="L6" s="56">
        <f t="shared" ref="L6:L9" si="9">Y6*1.05</f>
        <v>996.45</v>
      </c>
      <c r="M6" s="10">
        <f t="shared" ref="M6" si="10">IF(L6&lt;=1000,(ROUNDUP(L6,-1)-1),(ROUNDUP(L6,-2)-10))</f>
        <v>999</v>
      </c>
      <c r="N6" s="73">
        <f>VLOOKUP($B6,'Выгр Торг'!$B:$Q,N$1,0)</f>
        <v>500</v>
      </c>
      <c r="O6" s="73">
        <f>VLOOKUP($B6,'Выгр Торг'!$B:$Q,O$1,0)</f>
        <v>999</v>
      </c>
      <c r="P6" s="37">
        <f t="shared" ref="P6" si="11">N6-J6</f>
        <v>0</v>
      </c>
      <c r="Q6" s="37">
        <f t="shared" ref="Q6" si="12">O6-M6</f>
        <v>0</v>
      </c>
      <c r="R6" s="43">
        <f t="shared" si="4"/>
        <v>929.06999999999994</v>
      </c>
      <c r="S6" s="52">
        <f>IFERROR((VLOOKUP($B6,'Из ГУГЛа'!$B:$G,6,0)+U6)*T6,VLOOKUP($B6,'Из ГУГЛа'!$B:$G,6,0))</f>
        <v>949</v>
      </c>
      <c r="T6" s="44">
        <v>1</v>
      </c>
      <c r="U6" s="44"/>
      <c r="V6" s="74">
        <f t="shared" si="5"/>
        <v>0.8581399999999999</v>
      </c>
      <c r="W6" s="74">
        <f t="shared" si="6"/>
        <v>2.1001053740779835E-2</v>
      </c>
      <c r="X6" s="74">
        <f t="shared" si="7"/>
        <v>0.89799999999999991</v>
      </c>
      <c r="Y6" s="46">
        <v>949</v>
      </c>
      <c r="Z6" s="48" t="s">
        <v>154</v>
      </c>
    </row>
    <row r="7" spans="1:26" ht="46.5" thickTop="1" thickBot="1" x14ac:dyDescent="0.3">
      <c r="A7" s="72" t="str">
        <f>INDEX('Выгр Торг'!$A:$A,MATCH($B7,'Выгр Торг'!$B:$B,0))</f>
        <v>Воздушный фильтр нулевого сопротивления "AIR-FILTER" инжекторный (конус)</v>
      </c>
      <c r="B7" s="73">
        <v>257957</v>
      </c>
      <c r="C7" s="73">
        <f>VLOOKUP($B7,'Выгр Торг'!$B:$Q,C$1,0)</f>
        <v>208038</v>
      </c>
      <c r="D7" s="72" t="str">
        <f>VLOOKUP($B7,'Выгр Торг'!$B:$Q,D$1,0)</f>
        <v>Воздушный фильтр нулевого сопротивления "AIR-FILTER" инжекторный (конус) (Синий)</v>
      </c>
      <c r="E7" s="73" t="str">
        <f>VLOOKUP($B7,'Выгр Торг'!$B:$Q,E$1,0)</f>
        <v>Y</v>
      </c>
      <c r="F7" s="73" t="str">
        <f>VLOOKUP($B7,'Выгр Торг'!$B:$Q,F$1,0)</f>
        <v>1</v>
      </c>
      <c r="G7" s="73">
        <f>VLOOKUP($B7,'Выгр Торг'!$B:$Q,G$1,0)</f>
        <v>0</v>
      </c>
      <c r="H7" s="3"/>
      <c r="I7" s="3" t="s">
        <v>8</v>
      </c>
      <c r="J7" s="15">
        <f t="shared" ref="J7:J24" si="13">N7</f>
        <v>500</v>
      </c>
      <c r="K7" s="63">
        <f>VLOOKUP(J7,Наценка!$A$1:$B$8,2,1)</f>
        <v>1.55</v>
      </c>
      <c r="L7" s="56">
        <f t="shared" si="9"/>
        <v>943.95</v>
      </c>
      <c r="M7" s="10">
        <f t="shared" ref="M7:M24" si="14">IF(L7&lt;=1000,(ROUNDUP(L7,-1)-1),(ROUNDUP(L7,-2)-10))</f>
        <v>949</v>
      </c>
      <c r="N7" s="73">
        <f>VLOOKUP($B7,'Выгр Торг'!$B:$Q,N$1,0)</f>
        <v>500</v>
      </c>
      <c r="O7" s="73">
        <f>VLOOKUP($B7,'Выгр Торг'!$B:$Q,O$1,0)</f>
        <v>949</v>
      </c>
      <c r="P7" s="37">
        <f t="shared" ref="P7:P24" si="15">N7-J7</f>
        <v>0</v>
      </c>
      <c r="Q7" s="37">
        <f t="shared" ref="Q7:Q24" si="16">O7-M7</f>
        <v>0</v>
      </c>
      <c r="R7" s="43">
        <f t="shared" si="4"/>
        <v>882.56999999999994</v>
      </c>
      <c r="S7" s="52">
        <f>IFERROR((VLOOKUP($B7,'Из ГУГЛа'!$B:$G,6,0)+U7)*T7,VLOOKUP($B7,'Из ГУГЛа'!$B:$G,6,0))</f>
        <v>899</v>
      </c>
      <c r="T7" s="44">
        <v>1</v>
      </c>
      <c r="U7" s="44"/>
      <c r="V7" s="74">
        <f t="shared" si="5"/>
        <v>0.76513999999999993</v>
      </c>
      <c r="W7" s="74">
        <f t="shared" si="6"/>
        <v>1.8275862068965587E-2</v>
      </c>
      <c r="X7" s="74">
        <f t="shared" si="7"/>
        <v>0.79800000000000004</v>
      </c>
      <c r="Y7" s="46">
        <v>899</v>
      </c>
      <c r="Z7" s="48" t="s">
        <v>153</v>
      </c>
    </row>
    <row r="8" spans="1:26" ht="61.5" thickTop="1" thickBot="1" x14ac:dyDescent="0.3">
      <c r="A8" s="72" t="str">
        <f>INDEX('Выгр Торг'!$A:$A,MATCH($B8,'Выгр Торг'!$B:$B,0))</f>
        <v>Воздушный фильтр нулевого сопротивления "AIR-FILTER" инжекторный (конус)</v>
      </c>
      <c r="B8" s="73">
        <v>257958</v>
      </c>
      <c r="C8" s="73">
        <f>VLOOKUP($B8,'Выгр Торг'!$B:$Q,C$1,0)</f>
        <v>208036</v>
      </c>
      <c r="D8" s="72" t="str">
        <f>VLOOKUP($B8,'Выгр Торг'!$B:$Q,D$1,0)</f>
        <v>Воздушный фильтр нулевого сопротивления "AIR-FILTER" инжекторный (конус) (Черный карбон)</v>
      </c>
      <c r="E8" s="73" t="str">
        <f>VLOOKUP($B8,'Выгр Торг'!$B:$Q,E$1,0)</f>
        <v>Y</v>
      </c>
      <c r="F8" s="73" t="str">
        <f>VLOOKUP($B8,'Выгр Торг'!$B:$Q,F$1,0)</f>
        <v>1ск4</v>
      </c>
      <c r="G8" s="73">
        <f>VLOOKUP($B8,'Выгр Торг'!$B:$Q,G$1,0)</f>
        <v>0</v>
      </c>
      <c r="H8" s="3"/>
      <c r="I8" s="3" t="s">
        <v>8</v>
      </c>
      <c r="J8" s="15">
        <f t="shared" si="13"/>
        <v>500</v>
      </c>
      <c r="K8" s="63">
        <f>VLOOKUP(J8,Наценка!$A$1:$B$8,2,1)</f>
        <v>1.55</v>
      </c>
      <c r="L8" s="56">
        <f t="shared" si="9"/>
        <v>943.95</v>
      </c>
      <c r="M8" s="10">
        <f t="shared" si="14"/>
        <v>949</v>
      </c>
      <c r="N8" s="73">
        <f>VLOOKUP($B8,'Выгр Торг'!$B:$Q,N$1,0)</f>
        <v>500</v>
      </c>
      <c r="O8" s="73">
        <f>VLOOKUP($B8,'Выгр Торг'!$B:$Q,O$1,0)</f>
        <v>949</v>
      </c>
      <c r="P8" s="37">
        <f t="shared" si="15"/>
        <v>0</v>
      </c>
      <c r="Q8" s="37">
        <f t="shared" si="16"/>
        <v>0</v>
      </c>
      <c r="R8" s="43">
        <f t="shared" si="4"/>
        <v>882.56999999999994</v>
      </c>
      <c r="S8" s="52">
        <f>IFERROR((VLOOKUP($B8,'Из ГУГЛа'!$B:$G,6,0)+U8)*T8,VLOOKUP($B8,'Из ГУГЛа'!$B:$G,6,0))</f>
        <v>899</v>
      </c>
      <c r="T8" s="44">
        <v>1</v>
      </c>
      <c r="U8" s="44"/>
      <c r="V8" s="74">
        <f t="shared" si="5"/>
        <v>0.76513999999999993</v>
      </c>
      <c r="W8" s="74">
        <f t="shared" si="6"/>
        <v>1.8275862068965587E-2</v>
      </c>
      <c r="X8" s="74">
        <f t="shared" si="7"/>
        <v>0.79800000000000004</v>
      </c>
      <c r="Y8" s="46">
        <v>899</v>
      </c>
      <c r="Z8" s="48" t="s">
        <v>153</v>
      </c>
    </row>
    <row r="9" spans="1:26" ht="61.5" thickTop="1" thickBot="1" x14ac:dyDescent="0.3">
      <c r="A9" s="72" t="str">
        <f>INDEX('Выгр Торг'!$A:$A,MATCH($B9,'Выгр Торг'!$B:$B,0))</f>
        <v>Воздушный фильтр нулевого сопротивления "AIR-FILTER" инжекторный (конус)</v>
      </c>
      <c r="B9" s="73">
        <v>257959</v>
      </c>
      <c r="C9" s="73">
        <f>VLOOKUP($B9,'Выгр Торг'!$B:$Q,C$1,0)</f>
        <v>208039</v>
      </c>
      <c r="D9" s="72" t="str">
        <f>VLOOKUP($B9,'Выгр Торг'!$B:$Q,D$1,0)</f>
        <v>Воздушный фильтр нулевого сопротивления "AIR-FILTER" инжекторный (конус) (Чёрный)</v>
      </c>
      <c r="E9" s="73" t="str">
        <f>VLOOKUP($B9,'Выгр Торг'!$B:$Q,E$1,0)</f>
        <v>Y</v>
      </c>
      <c r="F9" s="73" t="str">
        <f>VLOOKUP($B9,'Выгр Торг'!$B:$Q,F$1,0)</f>
        <v>1</v>
      </c>
      <c r="G9" s="73">
        <f>VLOOKUP($B9,'Выгр Торг'!$B:$Q,G$1,0)</f>
        <v>0</v>
      </c>
      <c r="H9" s="3"/>
      <c r="I9" s="3" t="s">
        <v>8</v>
      </c>
      <c r="J9" s="15">
        <f t="shared" si="13"/>
        <v>500</v>
      </c>
      <c r="K9" s="63">
        <f>VLOOKUP(J9,Наценка!$A$1:$B$8,2,1)</f>
        <v>1.55</v>
      </c>
      <c r="L9" s="56">
        <f t="shared" si="9"/>
        <v>943.95</v>
      </c>
      <c r="M9" s="10">
        <f t="shared" si="14"/>
        <v>949</v>
      </c>
      <c r="N9" s="73">
        <f>VLOOKUP($B9,'Выгр Торг'!$B:$Q,N$1,0)</f>
        <v>500</v>
      </c>
      <c r="O9" s="73">
        <f>VLOOKUP($B9,'Выгр Торг'!$B:$Q,O$1,0)</f>
        <v>949</v>
      </c>
      <c r="P9" s="37">
        <f t="shared" si="15"/>
        <v>0</v>
      </c>
      <c r="Q9" s="37">
        <f t="shared" si="16"/>
        <v>0</v>
      </c>
      <c r="R9" s="43">
        <f t="shared" si="4"/>
        <v>882.56999999999994</v>
      </c>
      <c r="S9" s="52">
        <f>IFERROR((VLOOKUP($B9,'Из ГУГЛа'!$B:$G,6,0)+U9)*T9,VLOOKUP($B9,'Из ГУГЛа'!$B:$G,6,0))</f>
        <v>899</v>
      </c>
      <c r="T9" s="44">
        <v>1</v>
      </c>
      <c r="U9" s="44"/>
      <c r="V9" s="74">
        <f t="shared" si="5"/>
        <v>0.76513999999999993</v>
      </c>
      <c r="W9" s="74">
        <f t="shared" si="6"/>
        <v>1.8275862068965587E-2</v>
      </c>
      <c r="X9" s="74">
        <f t="shared" si="7"/>
        <v>0.79800000000000004</v>
      </c>
      <c r="Y9" s="46">
        <v>899</v>
      </c>
      <c r="Z9" s="48" t="s">
        <v>153</v>
      </c>
    </row>
    <row r="10" spans="1:26" ht="46.5" thickTop="1" thickBot="1" x14ac:dyDescent="0.3">
      <c r="A10" s="72" t="str">
        <f>INDEX('Выгр Торг'!$A:$A,MATCH($B10,'Выгр Торг'!$B:$B,0))</f>
        <v>Маслоуловитель (маслосборник) "Greddy style"</v>
      </c>
      <c r="B10" s="73">
        <v>163747</v>
      </c>
      <c r="C10" s="73">
        <f>VLOOKUP($B10,'Выгр Торг'!$B:$Q,C$1,0)</f>
        <v>168467</v>
      </c>
      <c r="D10" s="72" t="str">
        <f>VLOOKUP($B10,'Выгр Торг'!$B:$Q,D$1,0)</f>
        <v>Маслоуловитель (маслосборник) "Greddy style" (Красный)</v>
      </c>
      <c r="E10" s="73" t="str">
        <f>VLOOKUP($B10,'Выгр Торг'!$B:$Q,E$1,0)</f>
        <v>Y</v>
      </c>
      <c r="F10" s="73" t="str">
        <f>VLOOKUP($B10,'Выгр Торг'!$B:$Q,F$1,0)</f>
        <v>1</v>
      </c>
      <c r="G10" s="73">
        <f>VLOOKUP($B10,'Выгр Торг'!$B:$Q,G$1,0)</f>
        <v>0</v>
      </c>
      <c r="H10" s="3"/>
      <c r="I10" s="3" t="s">
        <v>8</v>
      </c>
      <c r="J10" s="15">
        <f t="shared" si="13"/>
        <v>1500</v>
      </c>
      <c r="K10" s="63">
        <f>VLOOKUP(J10,Наценка!$A$1:$B$8,2,1)</f>
        <v>1.5</v>
      </c>
      <c r="L10" s="22">
        <f t="shared" ref="L10:L23" si="17">J10*K10</f>
        <v>2250</v>
      </c>
      <c r="M10" s="10">
        <f t="shared" si="14"/>
        <v>2290</v>
      </c>
      <c r="N10" s="73">
        <f>VLOOKUP($B10,'Выгр Торг'!$B:$Q,N$1,0)</f>
        <v>1500</v>
      </c>
      <c r="O10" s="73">
        <f>VLOOKUP($B10,'Выгр Торг'!$B:$Q,O$1,0)</f>
        <v>2290</v>
      </c>
      <c r="P10" s="37">
        <f t="shared" si="15"/>
        <v>0</v>
      </c>
      <c r="Q10" s="37">
        <f t="shared" si="16"/>
        <v>0</v>
      </c>
      <c r="R10" s="43">
        <f t="shared" si="4"/>
        <v>2129.6999999999998</v>
      </c>
      <c r="S10" s="52" t="str">
        <f>IFERROR((VLOOKUP($B10,'Из ГУГЛа'!$B:$G,6,0)+U10)*T10,VLOOKUP($B10,'Из ГУГЛа'!$B:$G,6,0))</f>
        <v/>
      </c>
      <c r="T10" s="44">
        <v>1</v>
      </c>
      <c r="U10" s="44"/>
      <c r="V10" s="74">
        <f t="shared" si="5"/>
        <v>0.41979999999999995</v>
      </c>
      <c r="W10" s="74" t="str">
        <f t="shared" si="6"/>
        <v/>
      </c>
      <c r="X10" s="74" t="str">
        <f t="shared" si="7"/>
        <v/>
      </c>
      <c r="Y10" s="26" t="s">
        <v>164</v>
      </c>
    </row>
    <row r="11" spans="1:26" ht="46.5" thickTop="1" thickBot="1" x14ac:dyDescent="0.3">
      <c r="A11" s="72" t="str">
        <f>INDEX('Выгр Торг'!$A:$A,MATCH($B11,'Выгр Торг'!$B:$B,0))</f>
        <v>Маслоуловитель (маслосборник) "Greddy style"</v>
      </c>
      <c r="B11" s="73">
        <v>163748</v>
      </c>
      <c r="C11" s="73">
        <f>VLOOKUP($B11,'Выгр Торг'!$B:$Q,C$1,0)</f>
        <v>168470</v>
      </c>
      <c r="D11" s="72" t="str">
        <f>VLOOKUP($B11,'Выгр Торг'!$B:$Q,D$1,0)</f>
        <v>Маслоуловитель (маслосборник) "Greddy style" (Серебро)</v>
      </c>
      <c r="E11" s="73" t="str">
        <f>VLOOKUP($B11,'Выгр Торг'!$B:$Q,E$1,0)</f>
        <v>Y</v>
      </c>
      <c r="F11" s="73" t="str">
        <f>VLOOKUP($B11,'Выгр Торг'!$B:$Q,F$1,0)</f>
        <v>1</v>
      </c>
      <c r="G11" s="73">
        <f>VLOOKUP($B11,'Выгр Торг'!$B:$Q,G$1,0)</f>
        <v>0</v>
      </c>
      <c r="H11" s="3"/>
      <c r="I11" s="3" t="s">
        <v>8</v>
      </c>
      <c r="J11" s="15">
        <f t="shared" si="13"/>
        <v>1500</v>
      </c>
      <c r="K11" s="63">
        <f>VLOOKUP(J11,Наценка!$A$1:$B$8,2,1)</f>
        <v>1.5</v>
      </c>
      <c r="L11" s="22">
        <f t="shared" si="17"/>
        <v>2250</v>
      </c>
      <c r="M11" s="10">
        <f t="shared" si="14"/>
        <v>2290</v>
      </c>
      <c r="N11" s="73">
        <f>VLOOKUP($B11,'Выгр Торг'!$B:$Q,N$1,0)</f>
        <v>1500</v>
      </c>
      <c r="O11" s="73">
        <f>VLOOKUP($B11,'Выгр Торг'!$B:$Q,O$1,0)</f>
        <v>2290</v>
      </c>
      <c r="P11" s="37">
        <f t="shared" si="15"/>
        <v>0</v>
      </c>
      <c r="Q11" s="37">
        <f t="shared" si="16"/>
        <v>0</v>
      </c>
      <c r="R11" s="43">
        <f t="shared" si="4"/>
        <v>2129.6999999999998</v>
      </c>
      <c r="S11" s="52" t="str">
        <f>IFERROR((VLOOKUP($B11,'Из ГУГЛа'!$B:$G,6,0)+U11)*T11,VLOOKUP($B11,'Из ГУГЛа'!$B:$G,6,0))</f>
        <v/>
      </c>
      <c r="T11" s="44">
        <v>1</v>
      </c>
      <c r="U11" s="44"/>
      <c r="V11" s="74">
        <f t="shared" si="5"/>
        <v>0.41979999999999995</v>
      </c>
      <c r="W11" s="74" t="str">
        <f t="shared" si="6"/>
        <v/>
      </c>
      <c r="X11" s="74" t="str">
        <f t="shared" si="7"/>
        <v/>
      </c>
      <c r="Y11" s="26" t="s">
        <v>164</v>
      </c>
    </row>
    <row r="12" spans="1:26" ht="46.5" thickTop="1" thickBot="1" x14ac:dyDescent="0.3">
      <c r="A12" s="72" t="str">
        <f>INDEX('Выгр Торг'!$A:$A,MATCH($B12,'Выгр Торг'!$B:$B,0))</f>
        <v>Маслоуловитель (маслосборник) "Greddy style"</v>
      </c>
      <c r="B12" s="73">
        <v>163749</v>
      </c>
      <c r="C12" s="73">
        <f>VLOOKUP($B12,'Выгр Торг'!$B:$Q,C$1,0)</f>
        <v>168468</v>
      </c>
      <c r="D12" s="72" t="str">
        <f>VLOOKUP($B12,'Выгр Торг'!$B:$Q,D$1,0)</f>
        <v>Маслоуловитель (маслосборник) "Greddy style" (Синий)</v>
      </c>
      <c r="E12" s="73" t="str">
        <f>VLOOKUP($B12,'Выгр Торг'!$B:$Q,E$1,0)</f>
        <v>Y</v>
      </c>
      <c r="F12" s="73" t="str">
        <f>VLOOKUP($B12,'Выгр Торг'!$B:$Q,F$1,0)</f>
        <v>1</v>
      </c>
      <c r="G12" s="73">
        <f>VLOOKUP($B12,'Выгр Торг'!$B:$Q,G$1,0)</f>
        <v>0</v>
      </c>
      <c r="H12" s="3"/>
      <c r="I12" s="3" t="s">
        <v>8</v>
      </c>
      <c r="J12" s="15">
        <f t="shared" si="13"/>
        <v>1500</v>
      </c>
      <c r="K12" s="63">
        <f>VLOOKUP(J12,Наценка!$A$1:$B$8,2,1)</f>
        <v>1.5</v>
      </c>
      <c r="L12" s="22">
        <f t="shared" si="17"/>
        <v>2250</v>
      </c>
      <c r="M12" s="10">
        <f t="shared" si="14"/>
        <v>2290</v>
      </c>
      <c r="N12" s="73">
        <f>VLOOKUP($B12,'Выгр Торг'!$B:$Q,N$1,0)</f>
        <v>1500</v>
      </c>
      <c r="O12" s="73">
        <f>VLOOKUP($B12,'Выгр Торг'!$B:$Q,O$1,0)</f>
        <v>2290</v>
      </c>
      <c r="P12" s="37">
        <f t="shared" si="15"/>
        <v>0</v>
      </c>
      <c r="Q12" s="37">
        <f t="shared" si="16"/>
        <v>0</v>
      </c>
      <c r="R12" s="43">
        <f t="shared" si="4"/>
        <v>2129.6999999999998</v>
      </c>
      <c r="S12" s="52" t="str">
        <f>IFERROR((VLOOKUP($B12,'Из ГУГЛа'!$B:$G,6,0)+U12)*T12,VLOOKUP($B12,'Из ГУГЛа'!$B:$G,6,0))</f>
        <v/>
      </c>
      <c r="T12" s="44">
        <v>1</v>
      </c>
      <c r="U12" s="44"/>
      <c r="V12" s="74">
        <f t="shared" si="5"/>
        <v>0.41979999999999995</v>
      </c>
      <c r="W12" s="74" t="str">
        <f t="shared" si="6"/>
        <v/>
      </c>
      <c r="X12" s="74" t="str">
        <f t="shared" si="7"/>
        <v/>
      </c>
      <c r="Y12" s="26" t="s">
        <v>164</v>
      </c>
    </row>
    <row r="13" spans="1:26" ht="46.5" thickTop="1" thickBot="1" x14ac:dyDescent="0.3">
      <c r="A13" s="72" t="str">
        <f>INDEX('Выгр Торг'!$A:$A,MATCH($B13,'Выгр Торг'!$B:$B,0))</f>
        <v>Маслоуловитель (маслосборник) "Greddy style"</v>
      </c>
      <c r="B13" s="73">
        <v>163750</v>
      </c>
      <c r="C13" s="73">
        <f>VLOOKUP($B13,'Выгр Торг'!$B:$Q,C$1,0)</f>
        <v>168469</v>
      </c>
      <c r="D13" s="72" t="str">
        <f>VLOOKUP($B13,'Выгр Торг'!$B:$Q,D$1,0)</f>
        <v>Маслоуловитель (маслосборник) "Greddy style" (Чёрный)</v>
      </c>
      <c r="E13" s="73" t="str">
        <f>VLOOKUP($B13,'Выгр Торг'!$B:$Q,E$1,0)</f>
        <v>Y</v>
      </c>
      <c r="F13" s="73" t="str">
        <f>VLOOKUP($B13,'Выгр Торг'!$B:$Q,F$1,0)</f>
        <v>1</v>
      </c>
      <c r="G13" s="73">
        <f>VLOOKUP($B13,'Выгр Торг'!$B:$Q,G$1,0)</f>
        <v>0</v>
      </c>
      <c r="H13" s="3"/>
      <c r="I13" s="3" t="s">
        <v>8</v>
      </c>
      <c r="J13" s="15">
        <f t="shared" si="13"/>
        <v>1500</v>
      </c>
      <c r="K13" s="63">
        <f>VLOOKUP(J13,Наценка!$A$1:$B$8,2,1)</f>
        <v>1.5</v>
      </c>
      <c r="L13" s="22">
        <f t="shared" si="17"/>
        <v>2250</v>
      </c>
      <c r="M13" s="10">
        <f t="shared" si="14"/>
        <v>2290</v>
      </c>
      <c r="N13" s="73">
        <f>VLOOKUP($B13,'Выгр Торг'!$B:$Q,N$1,0)</f>
        <v>1500</v>
      </c>
      <c r="O13" s="73">
        <f>VLOOKUP($B13,'Выгр Торг'!$B:$Q,O$1,0)</f>
        <v>2290</v>
      </c>
      <c r="P13" s="37">
        <f t="shared" si="15"/>
        <v>0</v>
      </c>
      <c r="Q13" s="37">
        <f t="shared" si="16"/>
        <v>0</v>
      </c>
      <c r="R13" s="43">
        <f t="shared" si="4"/>
        <v>2129.6999999999998</v>
      </c>
      <c r="S13" s="52" t="str">
        <f>IFERROR((VLOOKUP($B13,'Из ГУГЛа'!$B:$G,6,0)+U13)*T13,VLOOKUP($B13,'Из ГУГЛа'!$B:$G,6,0))</f>
        <v/>
      </c>
      <c r="T13" s="44">
        <v>1</v>
      </c>
      <c r="U13" s="44"/>
      <c r="V13" s="74">
        <f t="shared" si="5"/>
        <v>0.41979999999999995</v>
      </c>
      <c r="W13" s="74" t="str">
        <f t="shared" si="6"/>
        <v/>
      </c>
      <c r="X13" s="74" t="str">
        <f t="shared" si="7"/>
        <v/>
      </c>
      <c r="Y13" s="26" t="s">
        <v>164</v>
      </c>
    </row>
    <row r="14" spans="1:26" ht="31.5" thickTop="1" thickBot="1" x14ac:dyDescent="0.3">
      <c r="A14" s="72" t="str">
        <f>INDEX('Выгр Торг'!$A:$A,MATCH($B14,'Выгр Торг'!$B:$B,0))</f>
        <v>Термолента цветная (5 см х 10 м)</v>
      </c>
      <c r="B14" s="73">
        <v>324303</v>
      </c>
      <c r="C14" s="73">
        <f>VLOOKUP($B14,'Выгр Торг'!$B:$Q,C$1,0)</f>
        <v>324303</v>
      </c>
      <c r="D14" s="72" t="str">
        <f>VLOOKUP($B14,'Выгр Торг'!$B:$Q,D$1,0)</f>
        <v>Термолента белая (5 см х 10 м)</v>
      </c>
      <c r="E14" s="73" t="str">
        <f>VLOOKUP($B14,'Выгр Торг'!$B:$Q,E$1,0)</f>
        <v>Y</v>
      </c>
      <c r="F14" s="73" t="str">
        <f>VLOOKUP($B14,'Выгр Торг'!$B:$Q,F$1,0)</f>
        <v>1</v>
      </c>
      <c r="G14" s="73">
        <f>VLOOKUP($B14,'Выгр Торг'!$B:$Q,G$1,0)</f>
        <v>0</v>
      </c>
      <c r="H14" s="3"/>
      <c r="I14" s="3" t="s">
        <v>8</v>
      </c>
      <c r="J14" s="15">
        <f t="shared" si="13"/>
        <v>900</v>
      </c>
      <c r="K14" s="63">
        <f>VLOOKUP(J14,Наценка!$A$1:$B$8,2,1)</f>
        <v>1.55</v>
      </c>
      <c r="L14" s="22">
        <f t="shared" si="17"/>
        <v>1395</v>
      </c>
      <c r="M14" s="10">
        <f t="shared" si="14"/>
        <v>1390</v>
      </c>
      <c r="N14" s="73">
        <f>VLOOKUP($B14,'Выгр Торг'!$B:$Q,N$1,0)</f>
        <v>900</v>
      </c>
      <c r="O14" s="73">
        <f>VLOOKUP($B14,'Выгр Торг'!$B:$Q,O$1,0)</f>
        <v>1390</v>
      </c>
      <c r="P14" s="37">
        <f t="shared" si="15"/>
        <v>0</v>
      </c>
      <c r="Q14" s="37">
        <f t="shared" si="16"/>
        <v>0</v>
      </c>
      <c r="R14" s="43">
        <f t="shared" si="4"/>
        <v>1292.6999999999998</v>
      </c>
      <c r="S14" s="52">
        <f>IFERROR((VLOOKUP($B14,'Из ГУГЛа'!$B:$G,6,0)+U14)*T14,VLOOKUP($B14,'Из ГУГЛа'!$B:$G,6,0))</f>
        <v>929</v>
      </c>
      <c r="T14" s="44">
        <v>1</v>
      </c>
      <c r="U14" s="44"/>
      <c r="V14" s="74">
        <f t="shared" si="5"/>
        <v>0.43633333333333324</v>
      </c>
      <c r="W14" s="74">
        <f t="shared" si="6"/>
        <v>-0.39149623250807303</v>
      </c>
      <c r="X14" s="74">
        <f t="shared" si="7"/>
        <v>3.2222222222222152E-2</v>
      </c>
      <c r="Y14" s="26">
        <v>929</v>
      </c>
      <c r="Z14" s="48" t="s">
        <v>214</v>
      </c>
    </row>
    <row r="15" spans="1:26" ht="31.5" thickTop="1" thickBot="1" x14ac:dyDescent="0.3">
      <c r="A15" s="72" t="str">
        <f>INDEX('Выгр Торг'!$A:$A,MATCH($B15,'Выгр Торг'!$B:$B,0))</f>
        <v>Термолента цветная (5 см х 10 м)</v>
      </c>
      <c r="B15" s="73">
        <v>324304</v>
      </c>
      <c r="C15" s="73">
        <f>VLOOKUP($B15,'Выгр Торг'!$B:$Q,C$1,0)</f>
        <v>324304</v>
      </c>
      <c r="D15" s="72" t="str">
        <f>VLOOKUP($B15,'Выгр Торг'!$B:$Q,D$1,0)</f>
        <v>Термолента жёлтая (5 см х 10 м)</v>
      </c>
      <c r="E15" s="73" t="str">
        <f>VLOOKUP($B15,'Выгр Торг'!$B:$Q,E$1,0)</f>
        <v>Y</v>
      </c>
      <c r="F15" s="73" t="str">
        <f>VLOOKUP($B15,'Выгр Торг'!$B:$Q,F$1,0)</f>
        <v>1</v>
      </c>
      <c r="G15" s="73">
        <f>VLOOKUP($B15,'Выгр Торг'!$B:$Q,G$1,0)</f>
        <v>0</v>
      </c>
      <c r="H15" s="3"/>
      <c r="I15" s="3" t="s">
        <v>8</v>
      </c>
      <c r="J15" s="15">
        <f t="shared" si="13"/>
        <v>900</v>
      </c>
      <c r="K15" s="63">
        <f>VLOOKUP(J15,Наценка!$A$1:$B$8,2,1)</f>
        <v>1.55</v>
      </c>
      <c r="L15" s="22">
        <f t="shared" si="17"/>
        <v>1395</v>
      </c>
      <c r="M15" s="10">
        <f t="shared" si="14"/>
        <v>1390</v>
      </c>
      <c r="N15" s="73">
        <f>VLOOKUP($B15,'Выгр Торг'!$B:$Q,N$1,0)</f>
        <v>900</v>
      </c>
      <c r="O15" s="73">
        <f>VLOOKUP($B15,'Выгр Торг'!$B:$Q,O$1,0)</f>
        <v>1390</v>
      </c>
      <c r="P15" s="37">
        <f t="shared" si="15"/>
        <v>0</v>
      </c>
      <c r="Q15" s="37">
        <f t="shared" si="16"/>
        <v>0</v>
      </c>
      <c r="R15" s="43">
        <f t="shared" si="4"/>
        <v>1292.6999999999998</v>
      </c>
      <c r="S15" s="52" t="str">
        <f>IFERROR((VLOOKUP($B15,'Из ГУГЛа'!$B:$G,6,0)+U15)*T15,VLOOKUP($B15,'Из ГУГЛа'!$B:$G,6,0))</f>
        <v/>
      </c>
      <c r="T15" s="44">
        <v>1</v>
      </c>
      <c r="U15" s="44"/>
      <c r="V15" s="74">
        <f t="shared" si="5"/>
        <v>0.43633333333333324</v>
      </c>
      <c r="W15" s="74" t="str">
        <f t="shared" si="6"/>
        <v/>
      </c>
      <c r="X15" s="74" t="str">
        <f t="shared" si="7"/>
        <v/>
      </c>
      <c r="Y15" s="26" t="s">
        <v>164</v>
      </c>
    </row>
    <row r="16" spans="1:26" ht="31.5" thickTop="1" thickBot="1" x14ac:dyDescent="0.3">
      <c r="A16" s="72" t="str">
        <f>INDEX('Выгр Торг'!$A:$A,MATCH($B16,'Выгр Торг'!$B:$B,0))</f>
        <v>Термолента цветная (5 см х 10 м)</v>
      </c>
      <c r="B16" s="73">
        <v>324305</v>
      </c>
      <c r="C16" s="73">
        <f>VLOOKUP($B16,'Выгр Торг'!$B:$Q,C$1,0)</f>
        <v>324305</v>
      </c>
      <c r="D16" s="72" t="str">
        <f>VLOOKUP($B16,'Выгр Торг'!$B:$Q,D$1,0)</f>
        <v>Термолента зелёная (5 см х 10 м)</v>
      </c>
      <c r="E16" s="73" t="str">
        <f>VLOOKUP($B16,'Выгр Торг'!$B:$Q,E$1,0)</f>
        <v>Y</v>
      </c>
      <c r="F16" s="73" t="str">
        <f>VLOOKUP($B16,'Выгр Торг'!$B:$Q,F$1,0)</f>
        <v>1</v>
      </c>
      <c r="G16" s="73">
        <f>VLOOKUP($B16,'Выгр Торг'!$B:$Q,G$1,0)</f>
        <v>0</v>
      </c>
      <c r="H16" s="3"/>
      <c r="I16" s="3" t="s">
        <v>8</v>
      </c>
      <c r="J16" s="15">
        <f t="shared" si="13"/>
        <v>900</v>
      </c>
      <c r="K16" s="63">
        <f>VLOOKUP(J16,Наценка!$A$1:$B$8,2,1)</f>
        <v>1.55</v>
      </c>
      <c r="L16" s="22">
        <f t="shared" si="17"/>
        <v>1395</v>
      </c>
      <c r="M16" s="10">
        <f t="shared" si="14"/>
        <v>1390</v>
      </c>
      <c r="N16" s="73">
        <f>VLOOKUP($B16,'Выгр Торг'!$B:$Q,N$1,0)</f>
        <v>900</v>
      </c>
      <c r="O16" s="73">
        <f>VLOOKUP($B16,'Выгр Торг'!$B:$Q,O$1,0)</f>
        <v>1390</v>
      </c>
      <c r="P16" s="37">
        <f t="shared" si="15"/>
        <v>0</v>
      </c>
      <c r="Q16" s="37">
        <f t="shared" si="16"/>
        <v>0</v>
      </c>
      <c r="R16" s="43">
        <f t="shared" si="4"/>
        <v>1292.6999999999998</v>
      </c>
      <c r="S16" s="52" t="str">
        <f>IFERROR((VLOOKUP($B16,'Из ГУГЛа'!$B:$G,6,0)+U16)*T16,VLOOKUP($B16,'Из ГУГЛа'!$B:$G,6,0))</f>
        <v/>
      </c>
      <c r="T16" s="44">
        <v>1</v>
      </c>
      <c r="U16" s="44"/>
      <c r="V16" s="74">
        <f t="shared" si="5"/>
        <v>0.43633333333333324</v>
      </c>
      <c r="W16" s="74" t="str">
        <f t="shared" si="6"/>
        <v/>
      </c>
      <c r="X16" s="74" t="str">
        <f t="shared" si="7"/>
        <v/>
      </c>
      <c r="Y16" s="26" t="s">
        <v>164</v>
      </c>
    </row>
    <row r="17" spans="1:26" ht="31.5" thickTop="1" thickBot="1" x14ac:dyDescent="0.3">
      <c r="A17" s="72" t="str">
        <f>INDEX('Выгр Торг'!$A:$A,MATCH($B17,'Выгр Торг'!$B:$B,0))</f>
        <v>Термолента цветная (5 см х 10 м)</v>
      </c>
      <c r="B17" s="73">
        <v>324307</v>
      </c>
      <c r="C17" s="73">
        <f>VLOOKUP($B17,'Выгр Торг'!$B:$Q,C$1,0)</f>
        <v>324307</v>
      </c>
      <c r="D17" s="72" t="str">
        <f>VLOOKUP($B17,'Выгр Торг'!$B:$Q,D$1,0)</f>
        <v>Термолента красная (5 см х 10 м)</v>
      </c>
      <c r="E17" s="73" t="str">
        <f>VLOOKUP($B17,'Выгр Торг'!$B:$Q,E$1,0)</f>
        <v>Y</v>
      </c>
      <c r="F17" s="73" t="str">
        <f>VLOOKUP($B17,'Выгр Торг'!$B:$Q,F$1,0)</f>
        <v>1</v>
      </c>
      <c r="G17" s="73">
        <f>VLOOKUP($B17,'Выгр Торг'!$B:$Q,G$1,0)</f>
        <v>0</v>
      </c>
      <c r="H17" s="3"/>
      <c r="I17" s="3" t="s">
        <v>8</v>
      </c>
      <c r="J17" s="15">
        <f t="shared" si="13"/>
        <v>900</v>
      </c>
      <c r="K17" s="63">
        <f>VLOOKUP(J17,Наценка!$A$1:$B$8,2,1)</f>
        <v>1.55</v>
      </c>
      <c r="L17" s="22">
        <f t="shared" si="17"/>
        <v>1395</v>
      </c>
      <c r="M17" s="10">
        <f t="shared" si="14"/>
        <v>1390</v>
      </c>
      <c r="N17" s="73">
        <f>VLOOKUP($B17,'Выгр Торг'!$B:$Q,N$1,0)</f>
        <v>900</v>
      </c>
      <c r="O17" s="73">
        <f>VLOOKUP($B17,'Выгр Торг'!$B:$Q,O$1,0)</f>
        <v>1390</v>
      </c>
      <c r="P17" s="37">
        <f t="shared" si="15"/>
        <v>0</v>
      </c>
      <c r="Q17" s="37">
        <f t="shared" si="16"/>
        <v>0</v>
      </c>
      <c r="R17" s="43">
        <f t="shared" si="4"/>
        <v>1292.6999999999998</v>
      </c>
      <c r="S17" s="52">
        <f>IFERROR((VLOOKUP($B17,'Из ГУГЛа'!$B:$G,6,0)+U17)*T17,VLOOKUP($B17,'Из ГУГЛа'!$B:$G,6,0))</f>
        <v>990</v>
      </c>
      <c r="T17" s="44">
        <v>1</v>
      </c>
      <c r="U17" s="44"/>
      <c r="V17" s="74">
        <f t="shared" si="5"/>
        <v>0.43633333333333324</v>
      </c>
      <c r="W17" s="74" t="str">
        <f t="shared" si="6"/>
        <v/>
      </c>
      <c r="X17" s="74" t="str">
        <f t="shared" si="7"/>
        <v/>
      </c>
      <c r="Y17" s="26" t="s">
        <v>213</v>
      </c>
      <c r="Z17" s="48" t="s">
        <v>212</v>
      </c>
    </row>
    <row r="18" spans="1:26" ht="31.5" thickTop="1" thickBot="1" x14ac:dyDescent="0.3">
      <c r="A18" s="72" t="str">
        <f>INDEX('Выгр Торг'!$A:$A,MATCH($B18,'Выгр Торг'!$B:$B,0))</f>
        <v>Термолента цветная (5 см х 10 м)</v>
      </c>
      <c r="B18" s="73">
        <v>324308</v>
      </c>
      <c r="C18" s="73">
        <f>VLOOKUP($B18,'Выгр Торг'!$B:$Q,C$1,0)</f>
        <v>324308</v>
      </c>
      <c r="D18" s="72" t="str">
        <f>VLOOKUP($B18,'Выгр Торг'!$B:$Q,D$1,0)</f>
        <v>Термолента оранжевая (5 см х 10 м)</v>
      </c>
      <c r="E18" s="73" t="str">
        <f>VLOOKUP($B18,'Выгр Торг'!$B:$Q,E$1,0)</f>
        <v>Y</v>
      </c>
      <c r="F18" s="73" t="str">
        <f>VLOOKUP($B18,'Выгр Торг'!$B:$Q,F$1,0)</f>
        <v>1</v>
      </c>
      <c r="G18" s="73">
        <f>VLOOKUP($B18,'Выгр Торг'!$B:$Q,G$1,0)</f>
        <v>0</v>
      </c>
      <c r="H18" s="3"/>
      <c r="I18" s="3" t="s">
        <v>8</v>
      </c>
      <c r="J18" s="15">
        <f t="shared" si="13"/>
        <v>900</v>
      </c>
      <c r="K18" s="63">
        <f>VLOOKUP(J18,Наценка!$A$1:$B$8,2,1)</f>
        <v>1.55</v>
      </c>
      <c r="L18" s="22">
        <f t="shared" si="17"/>
        <v>1395</v>
      </c>
      <c r="M18" s="10">
        <f t="shared" si="14"/>
        <v>1390</v>
      </c>
      <c r="N18" s="73">
        <f>VLOOKUP($B18,'Выгр Торг'!$B:$Q,N$1,0)</f>
        <v>900</v>
      </c>
      <c r="O18" s="73">
        <f>VLOOKUP($B18,'Выгр Торг'!$B:$Q,O$1,0)</f>
        <v>1390</v>
      </c>
      <c r="P18" s="37">
        <f t="shared" si="15"/>
        <v>0</v>
      </c>
      <c r="Q18" s="37">
        <f t="shared" si="16"/>
        <v>0</v>
      </c>
      <c r="R18" s="43">
        <f t="shared" si="4"/>
        <v>1292.6999999999998</v>
      </c>
      <c r="S18" s="52" t="str">
        <f>IFERROR((VLOOKUP($B18,'Из ГУГЛа'!$B:$G,6,0)+U18)*T18,VLOOKUP($B18,'Из ГУГЛа'!$B:$G,6,0))</f>
        <v/>
      </c>
      <c r="T18" s="44">
        <v>1</v>
      </c>
      <c r="U18" s="44"/>
      <c r="V18" s="74">
        <f t="shared" si="5"/>
        <v>0.43633333333333324</v>
      </c>
      <c r="W18" s="74" t="str">
        <f t="shared" si="6"/>
        <v/>
      </c>
      <c r="X18" s="74" t="str">
        <f t="shared" si="7"/>
        <v/>
      </c>
      <c r="Y18" s="26" t="s">
        <v>164</v>
      </c>
    </row>
    <row r="19" spans="1:26" ht="31.5" thickTop="1" thickBot="1" x14ac:dyDescent="0.3">
      <c r="A19" s="72" t="str">
        <f>INDEX('Выгр Торг'!$A:$A,MATCH($B19,'Выгр Торг'!$B:$B,0))</f>
        <v>Термолента цветная (5 см х 10 м)</v>
      </c>
      <c r="B19" s="73">
        <v>324310</v>
      </c>
      <c r="C19" s="73">
        <f>VLOOKUP($B19,'Выгр Торг'!$B:$Q,C$1,0)</f>
        <v>324310</v>
      </c>
      <c r="D19" s="72" t="str">
        <f>VLOOKUP($B19,'Выгр Торг'!$B:$Q,D$1,0)</f>
        <v>Термолента серая (5 см х 10 м)</v>
      </c>
      <c r="E19" s="73" t="str">
        <f>VLOOKUP($B19,'Выгр Торг'!$B:$Q,E$1,0)</f>
        <v>Y</v>
      </c>
      <c r="F19" s="73" t="str">
        <f>VLOOKUP($B19,'Выгр Торг'!$B:$Q,F$1,0)</f>
        <v>1</v>
      </c>
      <c r="G19" s="73">
        <f>VLOOKUP($B19,'Выгр Торг'!$B:$Q,G$1,0)</f>
        <v>0</v>
      </c>
      <c r="H19" s="3"/>
      <c r="I19" s="3" t="s">
        <v>8</v>
      </c>
      <c r="J19" s="15">
        <f t="shared" si="13"/>
        <v>900</v>
      </c>
      <c r="K19" s="63">
        <f>VLOOKUP(J19,Наценка!$A$1:$B$8,2,1)</f>
        <v>1.55</v>
      </c>
      <c r="L19" s="22">
        <f t="shared" si="17"/>
        <v>1395</v>
      </c>
      <c r="M19" s="10">
        <f t="shared" si="14"/>
        <v>1390</v>
      </c>
      <c r="N19" s="73">
        <f>VLOOKUP($B19,'Выгр Торг'!$B:$Q,N$1,0)</f>
        <v>900</v>
      </c>
      <c r="O19" s="73">
        <f>VLOOKUP($B19,'Выгр Торг'!$B:$Q,O$1,0)</f>
        <v>1390</v>
      </c>
      <c r="P19" s="37">
        <f t="shared" si="15"/>
        <v>0</v>
      </c>
      <c r="Q19" s="37">
        <f t="shared" si="16"/>
        <v>0</v>
      </c>
      <c r="R19" s="43">
        <f t="shared" si="4"/>
        <v>1292.6999999999998</v>
      </c>
      <c r="S19" s="52" t="str">
        <f>IFERROR((VLOOKUP($B19,'Из ГУГЛа'!$B:$G,6,0)+U19)*T19,VLOOKUP($B19,'Из ГУГЛа'!$B:$G,6,0))</f>
        <v/>
      </c>
      <c r="T19" s="44">
        <v>1</v>
      </c>
      <c r="U19" s="44"/>
      <c r="V19" s="74">
        <f t="shared" si="5"/>
        <v>0.43633333333333324</v>
      </c>
      <c r="W19" s="74" t="str">
        <f t="shared" si="6"/>
        <v/>
      </c>
      <c r="X19" s="74" t="str">
        <f t="shared" si="7"/>
        <v/>
      </c>
      <c r="Y19" s="26" t="s">
        <v>164</v>
      </c>
    </row>
    <row r="20" spans="1:26" ht="31.5" thickTop="1" thickBot="1" x14ac:dyDescent="0.3">
      <c r="A20" s="72" t="str">
        <f>INDEX('Выгр Торг'!$A:$A,MATCH($B20,'Выгр Торг'!$B:$B,0))</f>
        <v>Термолента цветная (5 см х 10 м)</v>
      </c>
      <c r="B20" s="73">
        <v>324309</v>
      </c>
      <c r="C20" s="73">
        <f>VLOOKUP($B20,'Выгр Торг'!$B:$Q,C$1,0)</f>
        <v>324309</v>
      </c>
      <c r="D20" s="72" t="str">
        <f>VLOOKUP($B20,'Выгр Торг'!$B:$Q,D$1,0)</f>
        <v>Термолента серебряная (5 см х 10 м)</v>
      </c>
      <c r="E20" s="73" t="str">
        <f>VLOOKUP($B20,'Выгр Торг'!$B:$Q,E$1,0)</f>
        <v>Y</v>
      </c>
      <c r="F20" s="73" t="str">
        <f>VLOOKUP($B20,'Выгр Торг'!$B:$Q,F$1,0)</f>
        <v>1</v>
      </c>
      <c r="G20" s="73">
        <f>VLOOKUP($B20,'Выгр Торг'!$B:$Q,G$1,0)</f>
        <v>0</v>
      </c>
      <c r="H20" s="3"/>
      <c r="I20" s="3" t="s">
        <v>8</v>
      </c>
      <c r="J20" s="15">
        <f t="shared" si="13"/>
        <v>900</v>
      </c>
      <c r="K20" s="63">
        <f>VLOOKUP(J20,Наценка!$A$1:$B$8,2,1)</f>
        <v>1.55</v>
      </c>
      <c r="L20" s="22">
        <f t="shared" si="17"/>
        <v>1395</v>
      </c>
      <c r="M20" s="10">
        <f t="shared" si="14"/>
        <v>1390</v>
      </c>
      <c r="N20" s="73">
        <f>VLOOKUP($B20,'Выгр Торг'!$B:$Q,N$1,0)</f>
        <v>900</v>
      </c>
      <c r="O20" s="73">
        <f>VLOOKUP($B20,'Выгр Торг'!$B:$Q,O$1,0)</f>
        <v>1390</v>
      </c>
      <c r="P20" s="37">
        <f t="shared" si="15"/>
        <v>0</v>
      </c>
      <c r="Q20" s="37">
        <f t="shared" si="16"/>
        <v>0</v>
      </c>
      <c r="R20" s="43">
        <f t="shared" si="4"/>
        <v>1292.6999999999998</v>
      </c>
      <c r="S20" s="52">
        <f>IFERROR((VLOOKUP($B20,'Из ГУГЛа'!$B:$G,6,0)+U20)*T20,VLOOKUP($B20,'Из ГУГЛа'!$B:$G,6,0))</f>
        <v>1290</v>
      </c>
      <c r="T20" s="44">
        <v>1</v>
      </c>
      <c r="U20" s="44"/>
      <c r="V20" s="74">
        <f t="shared" si="5"/>
        <v>0.43633333333333324</v>
      </c>
      <c r="W20" s="74" t="str">
        <f t="shared" si="6"/>
        <v/>
      </c>
      <c r="X20" s="74" t="str">
        <f t="shared" si="7"/>
        <v/>
      </c>
      <c r="Y20" s="26" t="s">
        <v>216</v>
      </c>
      <c r="Z20" s="48" t="s">
        <v>215</v>
      </c>
    </row>
    <row r="21" spans="1:26" ht="31.5" thickTop="1" thickBot="1" x14ac:dyDescent="0.3">
      <c r="A21" s="72" t="str">
        <f>INDEX('Выгр Торг'!$A:$A,MATCH($B21,'Выгр Торг'!$B:$B,0))</f>
        <v>Термолента цветная (5 см х 10 м)</v>
      </c>
      <c r="B21" s="73">
        <v>324311</v>
      </c>
      <c r="C21" s="73">
        <f>VLOOKUP($B21,'Выгр Торг'!$B:$Q,C$1,0)</f>
        <v>324311</v>
      </c>
      <c r="D21" s="72" t="str">
        <f>VLOOKUP($B21,'Выгр Торг'!$B:$Q,D$1,0)</f>
        <v>Термолента синяя (5 см х 10 м)</v>
      </c>
      <c r="E21" s="73" t="str">
        <f>VLOOKUP($B21,'Выгр Торг'!$B:$Q,E$1,0)</f>
        <v>Y</v>
      </c>
      <c r="F21" s="73" t="str">
        <f>VLOOKUP($B21,'Выгр Торг'!$B:$Q,F$1,0)</f>
        <v>1</v>
      </c>
      <c r="G21" s="73">
        <f>VLOOKUP($B21,'Выгр Торг'!$B:$Q,G$1,0)</f>
        <v>0</v>
      </c>
      <c r="H21" s="3"/>
      <c r="I21" s="3" t="s">
        <v>8</v>
      </c>
      <c r="J21" s="15">
        <f t="shared" si="13"/>
        <v>900</v>
      </c>
      <c r="K21" s="63">
        <f>VLOOKUP(J21,Наценка!$A$1:$B$8,2,1)</f>
        <v>1.55</v>
      </c>
      <c r="L21" s="22">
        <f t="shared" si="17"/>
        <v>1395</v>
      </c>
      <c r="M21" s="10">
        <f t="shared" si="14"/>
        <v>1390</v>
      </c>
      <c r="N21" s="73">
        <f>VLOOKUP($B21,'Выгр Торг'!$B:$Q,N$1,0)</f>
        <v>900</v>
      </c>
      <c r="O21" s="73">
        <f>VLOOKUP($B21,'Выгр Торг'!$B:$Q,O$1,0)</f>
        <v>1390</v>
      </c>
      <c r="P21" s="37">
        <f t="shared" si="15"/>
        <v>0</v>
      </c>
      <c r="Q21" s="37">
        <f t="shared" si="16"/>
        <v>0</v>
      </c>
      <c r="R21" s="43">
        <f t="shared" si="4"/>
        <v>1292.6999999999998</v>
      </c>
      <c r="S21" s="52" t="str">
        <f>IFERROR((VLOOKUP($B21,'Из ГУГЛа'!$B:$G,6,0)+U21)*T21,VLOOKUP($B21,'Из ГУГЛа'!$B:$G,6,0))</f>
        <v/>
      </c>
      <c r="T21" s="44">
        <v>1</v>
      </c>
      <c r="U21" s="44"/>
      <c r="V21" s="74">
        <f t="shared" si="5"/>
        <v>0.43633333333333324</v>
      </c>
      <c r="W21" s="74" t="str">
        <f t="shared" si="6"/>
        <v/>
      </c>
      <c r="X21" s="74" t="str">
        <f t="shared" si="7"/>
        <v/>
      </c>
      <c r="Y21" s="26" t="s">
        <v>164</v>
      </c>
    </row>
    <row r="22" spans="1:26" ht="31.5" thickTop="1" thickBot="1" x14ac:dyDescent="0.3">
      <c r="A22" s="72" t="str">
        <f>INDEX('Выгр Торг'!$A:$A,MATCH($B22,'Выгр Торг'!$B:$B,0))</f>
        <v>Термолента цветная (5 см х 10 м)</v>
      </c>
      <c r="B22" s="73">
        <v>324312</v>
      </c>
      <c r="C22" s="73">
        <f>VLOOKUP($B22,'Выгр Торг'!$B:$Q,C$1,0)</f>
        <v>324312</v>
      </c>
      <c r="D22" s="72" t="str">
        <f>VLOOKUP($B22,'Выгр Торг'!$B:$Q,D$1,0)</f>
        <v>Термолента чёрная (5 см х 10 м)</v>
      </c>
      <c r="E22" s="73" t="str">
        <f>VLOOKUP($B22,'Выгр Торг'!$B:$Q,E$1,0)</f>
        <v>Y</v>
      </c>
      <c r="F22" s="73" t="str">
        <f>VLOOKUP($B22,'Выгр Торг'!$B:$Q,F$1,0)</f>
        <v>1</v>
      </c>
      <c r="G22" s="73">
        <f>VLOOKUP($B22,'Выгр Торг'!$B:$Q,G$1,0)</f>
        <v>0</v>
      </c>
      <c r="H22" s="3"/>
      <c r="I22" s="3" t="s">
        <v>8</v>
      </c>
      <c r="J22" s="15">
        <f t="shared" si="13"/>
        <v>900</v>
      </c>
      <c r="K22" s="63">
        <f>VLOOKUP(J22,Наценка!$A$1:$B$8,2,1)</f>
        <v>1.55</v>
      </c>
      <c r="L22" s="22">
        <f t="shared" si="17"/>
        <v>1395</v>
      </c>
      <c r="M22" s="10">
        <f t="shared" si="14"/>
        <v>1390</v>
      </c>
      <c r="N22" s="73">
        <f>VLOOKUP($B22,'Выгр Торг'!$B:$Q,N$1,0)</f>
        <v>900</v>
      </c>
      <c r="O22" s="73">
        <f>VLOOKUP($B22,'Выгр Торг'!$B:$Q,O$1,0)</f>
        <v>1390</v>
      </c>
      <c r="P22" s="37">
        <f t="shared" si="15"/>
        <v>0</v>
      </c>
      <c r="Q22" s="37">
        <f t="shared" si="16"/>
        <v>0</v>
      </c>
      <c r="R22" s="43">
        <f t="shared" si="4"/>
        <v>1292.6999999999998</v>
      </c>
      <c r="S22" s="52" t="str">
        <f>IFERROR((VLOOKUP($B22,'Из ГУГЛа'!$B:$G,6,0)+U22)*T22,VLOOKUP($B22,'Из ГУГЛа'!$B:$G,6,0))</f>
        <v/>
      </c>
      <c r="T22" s="44">
        <v>1</v>
      </c>
      <c r="U22" s="44"/>
      <c r="V22" s="74">
        <f t="shared" si="5"/>
        <v>0.43633333333333324</v>
      </c>
      <c r="W22" s="74" t="str">
        <f t="shared" si="6"/>
        <v/>
      </c>
      <c r="X22" s="74" t="str">
        <f t="shared" si="7"/>
        <v/>
      </c>
      <c r="Y22" s="26" t="s">
        <v>164</v>
      </c>
    </row>
    <row r="23" spans="1:26" ht="76.5" thickTop="1" thickBot="1" x14ac:dyDescent="0.3">
      <c r="A23" s="72" t="str">
        <f>INDEX('Выгр Торг'!$A:$A,MATCH($B23,'Выгр Торг'!$B:$B,0))</f>
        <v>Фильтр нулевого сопротивления для ВАЗ (2101-2107, 2108-21099, 2110-2112, 2113-2115), Лада (Ока, Нива 4х4)</v>
      </c>
      <c r="B23" s="73">
        <v>264901</v>
      </c>
      <c r="C23" s="73">
        <f>VLOOKUP($B23,'Выгр Торг'!$B:$Q,C$1,0)</f>
        <v>206486</v>
      </c>
      <c r="D23" s="72" t="str">
        <f>VLOOKUP($B23,'Выгр Торг'!$B:$Q,D$1,0)</f>
        <v>Фильтр нулевого сопротивления для ВАЗ (2101-2107, 2108-21099, 2110-2112, 2113-2115), Лада (Ока, Нива 4х4) (Красный)</v>
      </c>
      <c r="E23" s="73" t="str">
        <f>VLOOKUP($B23,'Выгр Торг'!$B:$Q,E$1,0)</f>
        <v>Y</v>
      </c>
      <c r="F23" s="73" t="str">
        <f>VLOOKUP($B23,'Выгр Торг'!$B:$Q,F$1,0)</f>
        <v>1</v>
      </c>
      <c r="G23" s="73" t="str">
        <f>VLOOKUP($B23,'Выгр Торг'!$B:$Q,G$1,0)</f>
        <v>.00642</v>
      </c>
      <c r="H23" s="3"/>
      <c r="I23" s="3" t="s">
        <v>8</v>
      </c>
      <c r="J23" s="15">
        <f t="shared" si="13"/>
        <v>700</v>
      </c>
      <c r="K23" s="63">
        <f>VLOOKUP(J23,Наценка!$A$1:$B$8,2,1)</f>
        <v>1.55</v>
      </c>
      <c r="L23" s="22">
        <f t="shared" si="17"/>
        <v>1085</v>
      </c>
      <c r="M23" s="10">
        <f t="shared" si="14"/>
        <v>1090</v>
      </c>
      <c r="N23" s="73">
        <f>VLOOKUP($B23,'Выгр Торг'!$B:$Q,N$1,0)</f>
        <v>700</v>
      </c>
      <c r="O23" s="73">
        <f>VLOOKUP($B23,'Выгр Торг'!$B:$Q,O$1,0)</f>
        <v>1090</v>
      </c>
      <c r="P23" s="37">
        <f t="shared" si="15"/>
        <v>0</v>
      </c>
      <c r="Q23" s="37">
        <f t="shared" si="16"/>
        <v>0</v>
      </c>
      <c r="R23" s="43">
        <f t="shared" si="4"/>
        <v>1013.6999999999999</v>
      </c>
      <c r="S23" s="52">
        <f>IFERROR((VLOOKUP($B23,'Из ГУГЛа'!$B:$G,6,0)+U23)*T23,VLOOKUP($B23,'Из ГУГЛа'!$B:$G,6,0))</f>
        <v>1190</v>
      </c>
      <c r="T23" s="44">
        <v>1</v>
      </c>
      <c r="U23" s="44"/>
      <c r="V23" s="74">
        <f t="shared" si="5"/>
        <v>0.44814285714285695</v>
      </c>
      <c r="W23" s="74">
        <f t="shared" si="6"/>
        <v>0.14815126050420174</v>
      </c>
      <c r="X23" s="74">
        <f t="shared" si="7"/>
        <v>0.7</v>
      </c>
      <c r="Y23" s="46">
        <v>1190</v>
      </c>
      <c r="Z23" s="48" t="s">
        <v>155</v>
      </c>
    </row>
    <row r="24" spans="1:26" ht="76.5" thickTop="1" thickBot="1" x14ac:dyDescent="0.3">
      <c r="A24" s="72" t="str">
        <f>INDEX('Выгр Торг'!$A:$A,MATCH($B24,'Выгр Торг'!$B:$B,0))</f>
        <v>Фильтр нулевого сопротивления для ВАЗ (2101-2107, 2108-21099, 2110-2112, 2113-2115), Лада (Ока, Нива 4х4)</v>
      </c>
      <c r="B24" s="73">
        <v>264902</v>
      </c>
      <c r="C24" s="73">
        <f>VLOOKUP($B24,'Выгр Торг'!$B:$Q,C$1,0)</f>
        <v>206487</v>
      </c>
      <c r="D24" s="72" t="str">
        <f>VLOOKUP($B24,'Выгр Торг'!$B:$Q,D$1,0)</f>
        <v>Фильтр нулевого сопротивления для ВАЗ (2101-2107, 2108-21099, 2110-2112, 2113-2115), Лада (Ока, Нива 4х4) (Синий)</v>
      </c>
      <c r="E24" s="73" t="str">
        <f>VLOOKUP($B24,'Выгр Торг'!$B:$Q,E$1,0)</f>
        <v>Y</v>
      </c>
      <c r="F24" s="73" t="str">
        <f>VLOOKUP($B24,'Выгр Торг'!$B:$Q,F$1,0)</f>
        <v>1</v>
      </c>
      <c r="G24" s="73" t="str">
        <f>VLOOKUP($B24,'Выгр Торг'!$B:$Q,G$1,0)</f>
        <v>.00641</v>
      </c>
      <c r="H24" s="3"/>
      <c r="I24" s="3" t="s">
        <v>8</v>
      </c>
      <c r="J24" s="15">
        <f t="shared" si="13"/>
        <v>750</v>
      </c>
      <c r="K24" s="63">
        <f>VLOOKUP(J24,Наценка!$A$1:$B$8,2,1)</f>
        <v>1.55</v>
      </c>
      <c r="L24" s="55">
        <f>Y24*1.04</f>
        <v>1237.6000000000001</v>
      </c>
      <c r="M24" s="10">
        <f t="shared" si="14"/>
        <v>1290</v>
      </c>
      <c r="N24" s="73">
        <f>VLOOKUP($B24,'Выгр Торг'!$B:$Q,N$1,0)</f>
        <v>750</v>
      </c>
      <c r="O24" s="73">
        <f>VLOOKUP($B24,'Выгр Торг'!$B:$Q,O$1,0)</f>
        <v>1290</v>
      </c>
      <c r="P24" s="37">
        <f t="shared" si="15"/>
        <v>0</v>
      </c>
      <c r="Q24" s="37">
        <f t="shared" si="16"/>
        <v>0</v>
      </c>
      <c r="R24" s="43">
        <f t="shared" si="4"/>
        <v>1199.6999999999998</v>
      </c>
      <c r="S24" s="52">
        <f>IFERROR((VLOOKUP($B24,'Из ГУГЛа'!$B:$G,6,0)+U24)*T24,VLOOKUP($B24,'Из ГУГЛа'!$B:$G,6,0))</f>
        <v>1190</v>
      </c>
      <c r="T24" s="44">
        <v>1</v>
      </c>
      <c r="U24" s="44"/>
      <c r="V24" s="74">
        <f t="shared" si="5"/>
        <v>0.59959999999999969</v>
      </c>
      <c r="W24" s="74">
        <f t="shared" si="6"/>
        <v>-8.1512605042015282E-3</v>
      </c>
      <c r="X24" s="74">
        <f t="shared" si="7"/>
        <v>0.58666666666666667</v>
      </c>
      <c r="Y24" s="46">
        <v>1190</v>
      </c>
      <c r="Z24" s="48" t="s">
        <v>156</v>
      </c>
    </row>
    <row r="25" spans="1:26" ht="15.75" thickTop="1" x14ac:dyDescent="0.25"/>
    <row r="27" spans="1:26" x14ac:dyDescent="0.25">
      <c r="L27" s="22">
        <f t="shared" ref="L27" si="18">J27*K27</f>
        <v>0</v>
      </c>
    </row>
    <row r="28" spans="1:26" x14ac:dyDescent="0.25">
      <c r="L28" s="53">
        <f>Y28*1</f>
        <v>0</v>
      </c>
    </row>
    <row r="29" spans="1:26" x14ac:dyDescent="0.25">
      <c r="L29" s="54">
        <f>Y29*1.02</f>
        <v>0</v>
      </c>
    </row>
    <row r="30" spans="1:26" x14ac:dyDescent="0.25">
      <c r="L30" s="55">
        <f>Y30*1.04</f>
        <v>0</v>
      </c>
    </row>
    <row r="31" spans="1:26" x14ac:dyDescent="0.25">
      <c r="L31" s="56">
        <f>Y31*1.05</f>
        <v>0</v>
      </c>
    </row>
    <row r="32" spans="1:26" x14ac:dyDescent="0.25">
      <c r="L32" s="56">
        <f>Y32*1.06</f>
        <v>0</v>
      </c>
    </row>
    <row r="33" spans="12:12" x14ac:dyDescent="0.25">
      <c r="L33" s="57">
        <f>Y33*1.07</f>
        <v>0</v>
      </c>
    </row>
    <row r="34" spans="12:12" x14ac:dyDescent="0.25">
      <c r="L34" s="58">
        <f>Y34*1.08</f>
        <v>0</v>
      </c>
    </row>
    <row r="35" spans="12:12" x14ac:dyDescent="0.25">
      <c r="L35" s="59">
        <f>J35*1.15*100/93</f>
        <v>0</v>
      </c>
    </row>
  </sheetData>
  <sheetProtection formatCells="0" formatColumns="0" formatRows="0" insertColumns="0" insertRows="0" insertHyperlinks="0" deleteColumns="0" deleteRows="0" sort="0" autoFilter="0" pivotTables="0"/>
  <autoFilter ref="A2:Y24" xr:uid="{A3BEEDB3-2C88-49CA-963D-6BF558576688}"/>
  <conditionalFormatting sqref="D3:D24">
    <cfRule type="expression" dxfId="10" priority="8">
      <formula>OR(E3="N",F3="0")</formula>
    </cfRule>
  </conditionalFormatting>
  <conditionalFormatting sqref="B3:B24">
    <cfRule type="expression" dxfId="9" priority="7">
      <formula>AND(ROUNDDOWN($P3,0)=0,ROUNDDOWN($Q3,0)=0)</formula>
    </cfRule>
  </conditionalFormatting>
  <conditionalFormatting sqref="W3:W24">
    <cfRule type="cellIs" dxfId="8" priority="3" operator="lessThan">
      <formula>0</formula>
    </cfRule>
  </conditionalFormatting>
  <conditionalFormatting sqref="X3:X24 V3:V24">
    <cfRule type="cellIs" dxfId="6" priority="2" operator="lessThan">
      <formula>$U$1</formula>
    </cfRule>
  </conditionalFormatting>
  <conditionalFormatting sqref="S2:S24">
    <cfRule type="expression" dxfId="7" priority="1">
      <formula>VALUE(S2)&lt;&gt;Y2</formula>
    </cfRule>
  </conditionalFormatting>
  <hyperlinks>
    <hyperlink ref="Y3" r:id="rId1" display="https://motorring.ru/product/38485-filytr-nulevogo-soprotivleniya-inghektor-krasniy-vaz" xr:uid="{281B6891-65FE-4D0C-8C1C-FE2CA29609F5}"/>
    <hyperlink ref="Y5" r:id="rId2" display="https://motorring.ru/product/2370-filytr-nulevogo-soprotivleniya-inghektor-dlya-vaz" xr:uid="{F8D08102-BFB6-47DC-9423-8879E5FF1A72}"/>
    <hyperlink ref="Y4" r:id="rId3" display="https://motorring.ru/product/2370-filytr-nulevogo-soprotivleniya-inghektor-dlya-vaz" xr:uid="{BBC2F627-A6D6-40E1-ABF0-3F18576BE7BC}"/>
    <hyperlink ref="Y7" r:id="rId4" display="https://motorring.ru/product/3003-vozdushnyy-filytr-nulevogo-soprotivleniya-prosport" xr:uid="{7036F2B1-CE71-4851-BE6E-F0E3551926B4}"/>
    <hyperlink ref="Y6" r:id="rId5" display="https://motorring.ru/product/3009-vozdushnyy-filytr-nulevogo-soprotivleniya-inghektornyy" xr:uid="{D4535B55-7B4B-4E43-BF77-D3704D18E273}"/>
    <hyperlink ref="Y23" r:id="rId6" display="https://motorring.ru/product/2368-filytr-nulevogo-soprotivleniya-karbyurator-vaz" xr:uid="{59B92BDE-8071-4E6C-B70D-AC27161922FD}"/>
    <hyperlink ref="Y24" r:id="rId7" display="https://motorring.ru/product/29225-filytr-nulevogo-soprotivleniya-siniy-karbyurator-vaz" xr:uid="{B580BE58-C87F-46B0-9A15-E4057BE4E3DD}"/>
    <hyperlink ref="Y8" r:id="rId8" display="https://motorring.ru/product/3003-vozdushnyy-filytr-nulevogo-soprotivleniya-prosport" xr:uid="{A655C028-ADAB-4EFA-8E85-830C7A0BA4BB}"/>
    <hyperlink ref="Y9" r:id="rId9" display="https://motorring.ru/product/3003-vozdushnyy-filytr-nulevogo-soprotivleniya-prosport" xr:uid="{B66B22B5-C31D-43DD-AED9-54A1F7D7E6C9}"/>
  </hyperlinks>
  <pageMargins left="0.7" right="0.7" top="0.75" bottom="0.75" header="0.3" footer="0.3"/>
  <pageSetup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7343A-BF72-4B40-BFE0-2C1E2FC7D02E}">
  <dimension ref="A1:E8"/>
  <sheetViews>
    <sheetView workbookViewId="0">
      <selection activeCell="B1" sqref="B1"/>
    </sheetView>
  </sheetViews>
  <sheetFormatPr defaultRowHeight="15" x14ac:dyDescent="0.25"/>
  <sheetData>
    <row r="1" spans="1:5" ht="15.75" thickBot="1" x14ac:dyDescent="0.25">
      <c r="A1" s="18">
        <v>0.1</v>
      </c>
      <c r="B1" s="29">
        <v>3</v>
      </c>
      <c r="D1" s="18">
        <v>0.1</v>
      </c>
      <c r="E1" s="19">
        <v>2</v>
      </c>
    </row>
    <row r="2" spans="1:5" ht="15.75" thickBot="1" x14ac:dyDescent="0.25">
      <c r="A2" s="20">
        <v>100</v>
      </c>
      <c r="B2" s="28">
        <v>2.2999999999999998</v>
      </c>
      <c r="D2" s="20">
        <v>100</v>
      </c>
      <c r="E2" s="21">
        <v>1.8</v>
      </c>
    </row>
    <row r="3" spans="1:5" ht="15.75" thickBot="1" x14ac:dyDescent="0.25">
      <c r="A3" s="20">
        <v>300</v>
      </c>
      <c r="B3" s="21">
        <v>1.6</v>
      </c>
      <c r="D3" s="20">
        <v>300</v>
      </c>
      <c r="E3" s="21">
        <v>1.6</v>
      </c>
    </row>
    <row r="4" spans="1:5" ht="15.75" thickBot="1" x14ac:dyDescent="0.25">
      <c r="A4" s="20">
        <v>500</v>
      </c>
      <c r="B4" s="21">
        <v>1.55</v>
      </c>
      <c r="D4" s="20">
        <v>500</v>
      </c>
      <c r="E4" s="21">
        <v>1.55</v>
      </c>
    </row>
    <row r="5" spans="1:5" ht="15.75" thickBot="1" x14ac:dyDescent="0.25">
      <c r="A5" s="20">
        <v>1000</v>
      </c>
      <c r="B5" s="21">
        <v>1.5</v>
      </c>
      <c r="D5" s="20">
        <v>1000</v>
      </c>
      <c r="E5" s="21">
        <v>1.5</v>
      </c>
    </row>
    <row r="6" spans="1:5" ht="15.75" thickBot="1" x14ac:dyDescent="0.25">
      <c r="A6" s="20">
        <v>2000</v>
      </c>
      <c r="B6" s="21">
        <v>1.4</v>
      </c>
      <c r="D6" s="20">
        <v>2000</v>
      </c>
      <c r="E6" s="21">
        <v>1.4</v>
      </c>
    </row>
    <row r="7" spans="1:5" ht="15.75" thickBot="1" x14ac:dyDescent="0.25">
      <c r="A7" s="20">
        <v>5000</v>
      </c>
      <c r="B7" s="21">
        <v>1.35</v>
      </c>
      <c r="D7" s="20">
        <v>5000</v>
      </c>
      <c r="E7" s="21">
        <v>1.35</v>
      </c>
    </row>
    <row r="8" spans="1:5" ht="15.75" thickBot="1" x14ac:dyDescent="0.25">
      <c r="A8" s="20">
        <v>10000</v>
      </c>
      <c r="B8" s="21">
        <v>1.3</v>
      </c>
      <c r="D8" s="20">
        <v>10000</v>
      </c>
      <c r="E8" s="21">
        <v>1.3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2A1D3-EF4A-4D0B-9B83-F29FE05EE73F}">
  <sheetPr>
    <outlinePr summaryBelow="0"/>
  </sheetPr>
  <dimension ref="A1:O53"/>
  <sheetViews>
    <sheetView showRuler="0" zoomScaleNormal="100" workbookViewId="0">
      <pane ySplit="1" topLeftCell="A50" activePane="bottomLeft" state="frozen"/>
      <selection pane="bottomLeft" activeCell="D52" sqref="D52"/>
    </sheetView>
  </sheetViews>
  <sheetFormatPr defaultRowHeight="15" x14ac:dyDescent="0.25"/>
  <cols>
    <col min="1" max="2" width="7" bestFit="1" customWidth="1"/>
    <col min="3" max="3" width="33.28515625" customWidth="1"/>
    <col min="4" max="4" width="7.5703125" bestFit="1" customWidth="1"/>
    <col min="5" max="5" width="21.85546875" bestFit="1" customWidth="1"/>
    <col min="6" max="6" width="22.42578125" bestFit="1" customWidth="1"/>
    <col min="7" max="7" width="13.28515625" bestFit="1" customWidth="1"/>
    <col min="8" max="8" width="8.42578125" bestFit="1" customWidth="1"/>
    <col min="9" max="9" width="10.85546875" bestFit="1" customWidth="1"/>
    <col min="10" max="10" width="31.42578125" bestFit="1" customWidth="1"/>
    <col min="11" max="11" width="9.5703125" bestFit="1" customWidth="1"/>
    <col min="12" max="12" width="8.85546875" bestFit="1" customWidth="1"/>
    <col min="13" max="13" width="12.140625" bestFit="1" customWidth="1"/>
    <col min="14" max="14" width="4.85546875" bestFit="1" customWidth="1"/>
    <col min="15" max="15" width="10.140625" bestFit="1" customWidth="1"/>
  </cols>
  <sheetData>
    <row r="1" spans="1:15" s="1" customFormat="1" x14ac:dyDescent="0.25">
      <c r="A1" s="75" t="s">
        <v>0</v>
      </c>
      <c r="B1" s="75" t="s">
        <v>87</v>
      </c>
      <c r="C1" s="75" t="s">
        <v>88</v>
      </c>
      <c r="D1" s="75" t="s">
        <v>89</v>
      </c>
      <c r="E1" s="75" t="s">
        <v>90</v>
      </c>
      <c r="F1" s="75" t="s">
        <v>91</v>
      </c>
      <c r="G1" s="75" t="s">
        <v>2</v>
      </c>
      <c r="H1" s="75" t="s">
        <v>3</v>
      </c>
      <c r="I1" s="75" t="s">
        <v>4</v>
      </c>
      <c r="J1" s="75" t="s">
        <v>92</v>
      </c>
      <c r="K1" s="75" t="s">
        <v>93</v>
      </c>
      <c r="L1" s="75" t="s">
        <v>94</v>
      </c>
      <c r="M1" s="75" t="s">
        <v>7</v>
      </c>
      <c r="N1" s="30"/>
      <c r="O1" s="30"/>
    </row>
    <row r="2" spans="1:15" x14ac:dyDescent="0.25">
      <c r="A2" s="76">
        <v>117042</v>
      </c>
      <c r="B2" s="76">
        <v>18906</v>
      </c>
      <c r="C2" s="77" t="s">
        <v>21</v>
      </c>
      <c r="D2" s="77" t="s">
        <v>95</v>
      </c>
      <c r="E2" s="77" t="s">
        <v>22</v>
      </c>
      <c r="F2" s="77"/>
      <c r="G2" s="77" t="s">
        <v>8</v>
      </c>
      <c r="H2" s="78">
        <v>1800</v>
      </c>
      <c r="I2" s="78">
        <v>2690</v>
      </c>
      <c r="J2" s="77"/>
      <c r="K2" s="77" t="s">
        <v>96</v>
      </c>
      <c r="L2" s="77"/>
      <c r="M2" s="77"/>
      <c r="N2" s="30" t="str">
        <f>_xlfn.CONCAT(K2,IF(L2&lt;&gt;"",_xlfn.CONCAT("ск",L2),""))</f>
        <v>0</v>
      </c>
      <c r="O2" s="30" t="str">
        <f>INDEX(Кат!$H:$H,MATCH($A2,Кат!$A:$A,0))</f>
        <v>АВТОСВЕТ</v>
      </c>
    </row>
    <row r="3" spans="1:15" ht="45" x14ac:dyDescent="0.25">
      <c r="A3" s="76">
        <v>242666</v>
      </c>
      <c r="B3" s="76">
        <v>178001</v>
      </c>
      <c r="C3" s="77" t="s">
        <v>70</v>
      </c>
      <c r="D3" s="77" t="s">
        <v>95</v>
      </c>
      <c r="E3" s="77"/>
      <c r="F3" s="77"/>
      <c r="G3" s="77" t="s">
        <v>8</v>
      </c>
      <c r="H3" s="78">
        <v>800</v>
      </c>
      <c r="I3" s="78">
        <v>1290</v>
      </c>
      <c r="J3" s="77"/>
      <c r="K3" s="77" t="s">
        <v>5</v>
      </c>
      <c r="L3" s="77"/>
      <c r="M3" s="77"/>
      <c r="N3" s="30" t="str">
        <f t="shared" ref="N3:N51" si="0">_xlfn.CONCAT(K3,IF(L3&lt;&gt;"",_xlfn.CONCAT("ск",L3),""))</f>
        <v>1</v>
      </c>
      <c r="O3" s="30" t="str">
        <f>INDEX(Кат!$H:$H,MATCH($A3,Кат!$A:$A,0))</f>
        <v>АВТОСВЕТ</v>
      </c>
    </row>
    <row r="4" spans="1:15" ht="75" x14ac:dyDescent="0.25">
      <c r="A4" s="76">
        <v>117285</v>
      </c>
      <c r="B4" s="76">
        <v>17123</v>
      </c>
      <c r="C4" s="77" t="s">
        <v>13</v>
      </c>
      <c r="D4" s="77" t="s">
        <v>95</v>
      </c>
      <c r="E4" s="77"/>
      <c r="F4" s="77"/>
      <c r="G4" s="77" t="s">
        <v>8</v>
      </c>
      <c r="H4" s="78">
        <v>1500</v>
      </c>
      <c r="I4" s="78">
        <v>2290</v>
      </c>
      <c r="J4" s="77"/>
      <c r="K4" s="77" t="s">
        <v>96</v>
      </c>
      <c r="L4" s="77"/>
      <c r="M4" s="77"/>
      <c r="N4" s="30" t="str">
        <f t="shared" si="0"/>
        <v>0</v>
      </c>
      <c r="O4" s="30" t="str">
        <f>INDEX(Кат!$H:$H,MATCH($A4,Кат!$A:$A,0))</f>
        <v>АВТОСВЕТ</v>
      </c>
    </row>
    <row r="5" spans="1:15" ht="45" x14ac:dyDescent="0.25">
      <c r="A5" s="76">
        <v>117290</v>
      </c>
      <c r="B5" s="76">
        <v>76635</v>
      </c>
      <c r="C5" s="77" t="s">
        <v>68</v>
      </c>
      <c r="D5" s="77" t="s">
        <v>95</v>
      </c>
      <c r="E5" s="77"/>
      <c r="F5" s="77"/>
      <c r="G5" s="77" t="s">
        <v>8</v>
      </c>
      <c r="H5" s="78">
        <v>1000</v>
      </c>
      <c r="I5" s="78">
        <v>1490</v>
      </c>
      <c r="J5" s="77"/>
      <c r="K5" s="77" t="s">
        <v>5</v>
      </c>
      <c r="L5" s="77" t="s">
        <v>5</v>
      </c>
      <c r="M5" s="77"/>
      <c r="N5" s="30" t="str">
        <f t="shared" si="0"/>
        <v>1ск1</v>
      </c>
      <c r="O5" s="30" t="str">
        <f>INDEX(Кат!$H:$H,MATCH($A5,Кат!$A:$A,0))</f>
        <v>АВТОСВЕТ</v>
      </c>
    </row>
    <row r="6" spans="1:15" ht="45" x14ac:dyDescent="0.25">
      <c r="A6" s="76">
        <v>117299</v>
      </c>
      <c r="B6" s="76">
        <v>37589</v>
      </c>
      <c r="C6" s="77" t="s">
        <v>53</v>
      </c>
      <c r="D6" s="77" t="s">
        <v>95</v>
      </c>
      <c r="E6" s="77"/>
      <c r="F6" s="77"/>
      <c r="G6" s="77" t="s">
        <v>8</v>
      </c>
      <c r="H6" s="78">
        <v>1000</v>
      </c>
      <c r="I6" s="78">
        <v>1490</v>
      </c>
      <c r="J6" s="77"/>
      <c r="K6" s="77" t="s">
        <v>5</v>
      </c>
      <c r="L6" s="77"/>
      <c r="M6" s="77"/>
      <c r="N6" s="30" t="str">
        <f t="shared" si="0"/>
        <v>1</v>
      </c>
      <c r="O6" s="30" t="str">
        <f>INDEX(Кат!$H:$H,MATCH($A6,Кат!$A:$A,0))</f>
        <v>АВТОСВЕТ</v>
      </c>
    </row>
    <row r="7" spans="1:15" ht="30" x14ac:dyDescent="0.25">
      <c r="A7" s="76">
        <v>117301</v>
      </c>
      <c r="B7" s="76">
        <v>25081</v>
      </c>
      <c r="C7" s="77" t="s">
        <v>40</v>
      </c>
      <c r="D7" s="77" t="s">
        <v>95</v>
      </c>
      <c r="E7" s="77"/>
      <c r="F7" s="77"/>
      <c r="G7" s="77" t="s">
        <v>8</v>
      </c>
      <c r="H7" s="78">
        <v>700</v>
      </c>
      <c r="I7" s="78">
        <v>1090</v>
      </c>
      <c r="J7" s="77"/>
      <c r="K7" s="77" t="s">
        <v>5</v>
      </c>
      <c r="L7" s="77"/>
      <c r="M7" s="77"/>
      <c r="N7" s="30" t="str">
        <f t="shared" si="0"/>
        <v>1</v>
      </c>
      <c r="O7" s="30" t="str">
        <f>INDEX(Кат!$H:$H,MATCH($A7,Кат!$A:$A,0))</f>
        <v>АВТОСВЕТ</v>
      </c>
    </row>
    <row r="8" spans="1:15" ht="45" x14ac:dyDescent="0.25">
      <c r="A8" s="76">
        <v>158382</v>
      </c>
      <c r="B8" s="76">
        <v>23574</v>
      </c>
      <c r="C8" s="77" t="s">
        <v>97</v>
      </c>
      <c r="D8" s="77" t="s">
        <v>95</v>
      </c>
      <c r="E8" s="77" t="s">
        <v>98</v>
      </c>
      <c r="F8" s="77"/>
      <c r="G8" s="77" t="s">
        <v>8</v>
      </c>
      <c r="H8" s="78">
        <v>550</v>
      </c>
      <c r="I8" s="78">
        <v>859</v>
      </c>
      <c r="J8" s="77" t="s">
        <v>171</v>
      </c>
      <c r="K8" s="77" t="s">
        <v>5</v>
      </c>
      <c r="L8" s="77"/>
      <c r="M8" s="77"/>
      <c r="N8" s="30" t="str">
        <f t="shared" si="0"/>
        <v>1</v>
      </c>
      <c r="O8" s="30" t="str">
        <f>INDEX(Кат!$H:$H,MATCH($A8,Кат!$A:$A,0))</f>
        <v>АВТОСВЕТ</v>
      </c>
    </row>
    <row r="9" spans="1:15" ht="45" x14ac:dyDescent="0.25">
      <c r="A9" s="76">
        <v>139541</v>
      </c>
      <c r="B9" s="76">
        <v>23702</v>
      </c>
      <c r="C9" s="77" t="s">
        <v>30</v>
      </c>
      <c r="D9" s="77" t="s">
        <v>95</v>
      </c>
      <c r="E9" s="77"/>
      <c r="F9" s="77"/>
      <c r="G9" s="77" t="s">
        <v>8</v>
      </c>
      <c r="H9" s="78">
        <v>600</v>
      </c>
      <c r="I9" s="78">
        <v>1590</v>
      </c>
      <c r="J9" s="77" t="s">
        <v>172</v>
      </c>
      <c r="K9" s="77" t="s">
        <v>5</v>
      </c>
      <c r="L9" s="77" t="s">
        <v>5</v>
      </c>
      <c r="M9" s="77"/>
      <c r="N9" s="30" t="str">
        <f t="shared" si="0"/>
        <v>1ск1</v>
      </c>
      <c r="O9" s="30" t="str">
        <f>INDEX(Кат!$H:$H,MATCH($A9,Кат!$A:$A,0))</f>
        <v>АВТОСВЕТ</v>
      </c>
    </row>
    <row r="10" spans="1:15" ht="45" x14ac:dyDescent="0.25">
      <c r="A10" s="76">
        <v>139607</v>
      </c>
      <c r="B10" s="76">
        <v>38412</v>
      </c>
      <c r="C10" s="77" t="s">
        <v>59</v>
      </c>
      <c r="D10" s="77" t="s">
        <v>95</v>
      </c>
      <c r="E10" s="77"/>
      <c r="F10" s="77"/>
      <c r="G10" s="77" t="s">
        <v>8</v>
      </c>
      <c r="H10" s="78">
        <v>6500</v>
      </c>
      <c r="I10" s="78">
        <v>8790</v>
      </c>
      <c r="J10" s="77"/>
      <c r="K10" s="77" t="s">
        <v>5</v>
      </c>
      <c r="L10" s="77"/>
      <c r="M10" s="77"/>
      <c r="N10" s="30" t="str">
        <f t="shared" si="0"/>
        <v>1</v>
      </c>
      <c r="O10" s="30" t="str">
        <f>INDEX(Кат!$H:$H,MATCH($A10,Кат!$A:$A,0))</f>
        <v>АВТОСВЕТ</v>
      </c>
    </row>
    <row r="11" spans="1:15" ht="45" x14ac:dyDescent="0.25">
      <c r="A11" s="76">
        <v>145496</v>
      </c>
      <c r="B11" s="76">
        <v>4690</v>
      </c>
      <c r="C11" s="77" t="s">
        <v>99</v>
      </c>
      <c r="D11" s="77" t="s">
        <v>95</v>
      </c>
      <c r="E11" s="77"/>
      <c r="F11" s="77"/>
      <c r="G11" s="77" t="s">
        <v>8</v>
      </c>
      <c r="H11" s="78">
        <v>3000</v>
      </c>
      <c r="I11" s="78">
        <v>4190</v>
      </c>
      <c r="J11" s="77"/>
      <c r="K11" s="77" t="s">
        <v>5</v>
      </c>
      <c r="L11" s="77"/>
      <c r="M11" s="77"/>
      <c r="N11" s="30" t="str">
        <f t="shared" si="0"/>
        <v>1</v>
      </c>
      <c r="O11" s="30" t="str">
        <f>INDEX(Кат!$H:$H,MATCH($A11,Кат!$A:$A,0))</f>
        <v>АВТОСВЕТ</v>
      </c>
    </row>
    <row r="12" spans="1:15" ht="45" x14ac:dyDescent="0.25">
      <c r="A12" s="76">
        <v>244652</v>
      </c>
      <c r="B12" s="76">
        <v>184578</v>
      </c>
      <c r="C12" s="77" t="s">
        <v>100</v>
      </c>
      <c r="D12" s="77" t="s">
        <v>95</v>
      </c>
      <c r="E12" s="77"/>
      <c r="F12" s="77"/>
      <c r="G12" s="77" t="s">
        <v>8</v>
      </c>
      <c r="H12" s="78">
        <v>4200</v>
      </c>
      <c r="I12" s="78">
        <v>5890</v>
      </c>
      <c r="J12" s="77"/>
      <c r="K12" s="77" t="s">
        <v>5</v>
      </c>
      <c r="L12" s="77"/>
      <c r="M12" s="77"/>
      <c r="N12" s="30" t="str">
        <f t="shared" si="0"/>
        <v>1</v>
      </c>
      <c r="O12" s="30" t="str">
        <f>INDEX(Кат!$H:$H,MATCH($A12,Кат!$A:$A,0))</f>
        <v>АВТОСВЕТ</v>
      </c>
    </row>
    <row r="13" spans="1:15" ht="60" x14ac:dyDescent="0.25">
      <c r="A13" s="76">
        <v>145541</v>
      </c>
      <c r="B13" s="76">
        <v>37677</v>
      </c>
      <c r="C13" s="77" t="s">
        <v>55</v>
      </c>
      <c r="D13" s="77" t="s">
        <v>95</v>
      </c>
      <c r="E13" s="77"/>
      <c r="F13" s="77"/>
      <c r="G13" s="77" t="s">
        <v>8</v>
      </c>
      <c r="H13" s="78">
        <v>1000</v>
      </c>
      <c r="I13" s="78">
        <v>1690</v>
      </c>
      <c r="J13" s="77" t="s">
        <v>165</v>
      </c>
      <c r="K13" s="77" t="s">
        <v>5</v>
      </c>
      <c r="L13" s="77"/>
      <c r="M13" s="77"/>
      <c r="N13" s="30" t="str">
        <f t="shared" si="0"/>
        <v>1</v>
      </c>
      <c r="O13" s="30" t="str">
        <f>INDEX(Кат!$H:$H,MATCH($A13,Кат!$A:$A,0))</f>
        <v>АВТОСВЕТ</v>
      </c>
    </row>
    <row r="14" spans="1:15" ht="45" x14ac:dyDescent="0.25">
      <c r="A14" s="76">
        <v>301129</v>
      </c>
      <c r="B14" s="76">
        <v>301129</v>
      </c>
      <c r="C14" s="77" t="s">
        <v>101</v>
      </c>
      <c r="D14" s="77" t="s">
        <v>95</v>
      </c>
      <c r="E14" s="77"/>
      <c r="F14" s="77"/>
      <c r="G14" s="77" t="s">
        <v>8</v>
      </c>
      <c r="H14" s="78">
        <v>1000</v>
      </c>
      <c r="I14" s="78">
        <v>1490</v>
      </c>
      <c r="J14" s="77"/>
      <c r="K14" s="77" t="s">
        <v>5</v>
      </c>
      <c r="L14" s="77"/>
      <c r="M14" s="77"/>
      <c r="N14" s="30" t="str">
        <f t="shared" si="0"/>
        <v>1</v>
      </c>
      <c r="O14" s="30" t="str">
        <f>INDEX(Кат!$H:$H,MATCH($A14,Кат!$A:$A,0))</f>
        <v>АВТОСВЕТ</v>
      </c>
    </row>
    <row r="15" spans="1:15" ht="45" x14ac:dyDescent="0.25">
      <c r="A15" s="76">
        <v>145554</v>
      </c>
      <c r="B15" s="76">
        <v>54069</v>
      </c>
      <c r="C15" s="77" t="s">
        <v>102</v>
      </c>
      <c r="D15" s="77" t="s">
        <v>95</v>
      </c>
      <c r="E15" s="77"/>
      <c r="F15" s="77"/>
      <c r="G15" s="77" t="s">
        <v>8</v>
      </c>
      <c r="H15" s="78">
        <v>7000</v>
      </c>
      <c r="I15" s="78">
        <v>9390</v>
      </c>
      <c r="J15" s="77" t="s">
        <v>103</v>
      </c>
      <c r="K15" s="77" t="s">
        <v>5</v>
      </c>
      <c r="L15" s="77"/>
      <c r="M15" s="77"/>
      <c r="N15" s="30" t="str">
        <f t="shared" si="0"/>
        <v>1</v>
      </c>
      <c r="O15" s="30" t="str">
        <f>INDEX(Кат!$H:$H,MATCH($A15,Кат!$A:$A,0))</f>
        <v>АВТОСВЕТ</v>
      </c>
    </row>
    <row r="16" spans="1:15" ht="45" x14ac:dyDescent="0.25">
      <c r="A16" s="76">
        <v>145555</v>
      </c>
      <c r="B16" s="76">
        <v>54062</v>
      </c>
      <c r="C16" s="77" t="s">
        <v>104</v>
      </c>
      <c r="D16" s="77" t="s">
        <v>95</v>
      </c>
      <c r="E16" s="77"/>
      <c r="F16" s="77"/>
      <c r="G16" s="77" t="s">
        <v>8</v>
      </c>
      <c r="H16" s="78">
        <v>7000</v>
      </c>
      <c r="I16" s="78">
        <v>9390</v>
      </c>
      <c r="J16" s="77" t="s">
        <v>103</v>
      </c>
      <c r="K16" s="77" t="s">
        <v>5</v>
      </c>
      <c r="L16" s="77" t="s">
        <v>5</v>
      </c>
      <c r="M16" s="77"/>
      <c r="N16" s="30" t="str">
        <f t="shared" si="0"/>
        <v>1ск1</v>
      </c>
      <c r="O16" s="30" t="str">
        <f>INDEX(Кат!$H:$H,MATCH($A16,Кат!$A:$A,0))</f>
        <v>АВТОСВЕТ</v>
      </c>
    </row>
    <row r="17" spans="1:15" ht="30" x14ac:dyDescent="0.25">
      <c r="A17" s="76">
        <v>151129</v>
      </c>
      <c r="B17" s="76">
        <v>27175</v>
      </c>
      <c r="C17" s="77" t="s">
        <v>217</v>
      </c>
      <c r="D17" s="77" t="s">
        <v>95</v>
      </c>
      <c r="E17" s="77"/>
      <c r="F17" s="77"/>
      <c r="G17" s="77" t="s">
        <v>8</v>
      </c>
      <c r="H17" s="78">
        <v>1100</v>
      </c>
      <c r="I17" s="78">
        <v>1590</v>
      </c>
      <c r="J17" s="77"/>
      <c r="K17" s="77" t="s">
        <v>5</v>
      </c>
      <c r="L17" s="77"/>
      <c r="M17" s="77"/>
      <c r="N17" s="30" t="str">
        <f t="shared" si="0"/>
        <v>1</v>
      </c>
      <c r="O17" s="30" t="str">
        <f>INDEX(Кат!$H:$H,MATCH($A17,Кат!$A:$A,0))</f>
        <v>АВТОСВЕТ</v>
      </c>
    </row>
    <row r="18" spans="1:15" ht="30" x14ac:dyDescent="0.25">
      <c r="A18" s="76">
        <v>151130</v>
      </c>
      <c r="B18" s="76">
        <v>5453</v>
      </c>
      <c r="C18" s="77" t="s">
        <v>218</v>
      </c>
      <c r="D18" s="77" t="s">
        <v>95</v>
      </c>
      <c r="E18" s="77" t="s">
        <v>219</v>
      </c>
      <c r="F18" s="77"/>
      <c r="G18" s="77" t="s">
        <v>8</v>
      </c>
      <c r="H18" s="78">
        <v>1200</v>
      </c>
      <c r="I18" s="78">
        <v>1690</v>
      </c>
      <c r="J18" s="77"/>
      <c r="K18" s="77" t="s">
        <v>5</v>
      </c>
      <c r="L18" s="77"/>
      <c r="M18" s="77"/>
      <c r="N18" s="30" t="str">
        <f t="shared" si="0"/>
        <v>1</v>
      </c>
      <c r="O18" s="30" t="str">
        <f>INDEX(Кат!$H:$H,MATCH($A18,Кат!$A:$A,0))</f>
        <v>АВТОСВЕТ</v>
      </c>
    </row>
    <row r="19" spans="1:15" ht="45" x14ac:dyDescent="0.25">
      <c r="A19" s="76">
        <v>153109</v>
      </c>
      <c r="B19" s="76">
        <v>25083</v>
      </c>
      <c r="C19" s="77" t="s">
        <v>42</v>
      </c>
      <c r="D19" s="77" t="s">
        <v>95</v>
      </c>
      <c r="E19" s="77"/>
      <c r="F19" s="77"/>
      <c r="G19" s="77" t="s">
        <v>8</v>
      </c>
      <c r="H19" s="78">
        <v>500</v>
      </c>
      <c r="I19" s="78">
        <v>779</v>
      </c>
      <c r="J19" s="77"/>
      <c r="K19" s="77" t="s">
        <v>5</v>
      </c>
      <c r="L19" s="77"/>
      <c r="M19" s="77"/>
      <c r="N19" s="30" t="str">
        <f t="shared" si="0"/>
        <v>1</v>
      </c>
      <c r="O19" s="30" t="str">
        <f>INDEX(Кат!$H:$H,MATCH($A19,Кат!$A:$A,0))</f>
        <v>АВТОСВЕТ</v>
      </c>
    </row>
    <row r="20" spans="1:15" ht="45" x14ac:dyDescent="0.25">
      <c r="A20" s="76">
        <v>158334</v>
      </c>
      <c r="B20" s="76">
        <v>19339</v>
      </c>
      <c r="C20" s="77" t="s">
        <v>105</v>
      </c>
      <c r="D20" s="77" t="s">
        <v>95</v>
      </c>
      <c r="E20" s="77"/>
      <c r="F20" s="77"/>
      <c r="G20" s="77" t="s">
        <v>8</v>
      </c>
      <c r="H20" s="78">
        <v>140</v>
      </c>
      <c r="I20" s="78">
        <v>299</v>
      </c>
      <c r="J20" s="77" t="s">
        <v>211</v>
      </c>
      <c r="K20" s="77" t="s">
        <v>5</v>
      </c>
      <c r="L20" s="77"/>
      <c r="M20" s="77"/>
      <c r="N20" s="30" t="str">
        <f t="shared" si="0"/>
        <v>1</v>
      </c>
      <c r="O20" s="30" t="str">
        <f>INDEX(Кат!$H:$H,MATCH($A20,Кат!$A:$A,0))</f>
        <v>АВТОСВЕТ</v>
      </c>
    </row>
    <row r="21" spans="1:15" ht="30" x14ac:dyDescent="0.25">
      <c r="A21" s="76">
        <v>158384</v>
      </c>
      <c r="B21" s="76">
        <v>18612</v>
      </c>
      <c r="C21" s="77" t="s">
        <v>15</v>
      </c>
      <c r="D21" s="77" t="s">
        <v>95</v>
      </c>
      <c r="E21" s="77"/>
      <c r="F21" s="77"/>
      <c r="G21" s="77" t="s">
        <v>8</v>
      </c>
      <c r="H21" s="78">
        <v>900</v>
      </c>
      <c r="I21" s="78">
        <v>1390</v>
      </c>
      <c r="J21" s="77"/>
      <c r="K21" s="77" t="s">
        <v>5</v>
      </c>
      <c r="L21" s="77"/>
      <c r="M21" s="77"/>
      <c r="N21" s="30" t="str">
        <f t="shared" si="0"/>
        <v>1</v>
      </c>
      <c r="O21" s="30" t="str">
        <f>INDEX(Кат!$H:$H,MATCH($A21,Кат!$A:$A,0))</f>
        <v>АВТОСВЕТ</v>
      </c>
    </row>
    <row r="22" spans="1:15" ht="30" x14ac:dyDescent="0.25">
      <c r="A22" s="76">
        <v>158385</v>
      </c>
      <c r="B22" s="76">
        <v>19104</v>
      </c>
      <c r="C22" s="77" t="s">
        <v>24</v>
      </c>
      <c r="D22" s="77" t="s">
        <v>95</v>
      </c>
      <c r="E22" s="77"/>
      <c r="F22" s="77"/>
      <c r="G22" s="77" t="s">
        <v>8</v>
      </c>
      <c r="H22" s="78">
        <v>1500</v>
      </c>
      <c r="I22" s="78">
        <v>2290</v>
      </c>
      <c r="J22" s="77"/>
      <c r="K22" s="77" t="s">
        <v>5</v>
      </c>
      <c r="L22" s="77"/>
      <c r="M22" s="77"/>
      <c r="N22" s="30" t="str">
        <f t="shared" si="0"/>
        <v>1</v>
      </c>
      <c r="O22" s="30" t="str">
        <f>INDEX(Кат!$H:$H,MATCH($A22,Кат!$A:$A,0))</f>
        <v>АВТОСВЕТ</v>
      </c>
    </row>
    <row r="23" spans="1:15" ht="60" x14ac:dyDescent="0.25">
      <c r="A23" s="76">
        <v>276767</v>
      </c>
      <c r="B23" s="76">
        <v>276767</v>
      </c>
      <c r="C23" s="77" t="s">
        <v>67</v>
      </c>
      <c r="D23" s="77" t="s">
        <v>95</v>
      </c>
      <c r="E23" s="77" t="s">
        <v>106</v>
      </c>
      <c r="F23" s="77"/>
      <c r="G23" s="77" t="s">
        <v>8</v>
      </c>
      <c r="H23" s="78">
        <v>2500</v>
      </c>
      <c r="I23" s="78">
        <v>3490</v>
      </c>
      <c r="J23" s="77"/>
      <c r="K23" s="77" t="s">
        <v>5</v>
      </c>
      <c r="L23" s="77"/>
      <c r="M23" s="77"/>
      <c r="N23" s="30" t="str">
        <f t="shared" si="0"/>
        <v>1</v>
      </c>
      <c r="O23" s="30" t="str">
        <f>INDEX(Кат!$H:$H,MATCH($A23,Кат!$A:$A,0))</f>
        <v>АВТОСВЕТ</v>
      </c>
    </row>
    <row r="24" spans="1:15" ht="30" x14ac:dyDescent="0.25">
      <c r="A24" s="76">
        <v>170720</v>
      </c>
      <c r="B24" s="76">
        <v>25064</v>
      </c>
      <c r="C24" s="77" t="s">
        <v>38</v>
      </c>
      <c r="D24" s="77" t="s">
        <v>95</v>
      </c>
      <c r="E24" s="77"/>
      <c r="F24" s="77"/>
      <c r="G24" s="77" t="s">
        <v>8</v>
      </c>
      <c r="H24" s="78">
        <v>800</v>
      </c>
      <c r="I24" s="78">
        <v>1290</v>
      </c>
      <c r="J24" s="77"/>
      <c r="K24" s="77" t="s">
        <v>5</v>
      </c>
      <c r="L24" s="77"/>
      <c r="M24" s="77"/>
      <c r="N24" s="30" t="str">
        <f t="shared" si="0"/>
        <v>1</v>
      </c>
      <c r="O24" s="30" t="str">
        <f>INDEX(Кат!$H:$H,MATCH($A24,Кат!$A:$A,0))</f>
        <v>АВТОСВЕТ</v>
      </c>
    </row>
    <row r="25" spans="1:15" ht="30" x14ac:dyDescent="0.25">
      <c r="A25" s="76">
        <v>171592</v>
      </c>
      <c r="B25" s="76">
        <v>38259</v>
      </c>
      <c r="C25" s="77" t="s">
        <v>57</v>
      </c>
      <c r="D25" s="77" t="s">
        <v>95</v>
      </c>
      <c r="E25" s="77"/>
      <c r="F25" s="77"/>
      <c r="G25" s="77" t="s">
        <v>8</v>
      </c>
      <c r="H25" s="78"/>
      <c r="I25" s="78">
        <v>1990</v>
      </c>
      <c r="J25" s="77"/>
      <c r="K25" s="77" t="s">
        <v>5</v>
      </c>
      <c r="L25" s="77" t="s">
        <v>6</v>
      </c>
      <c r="M25" s="77"/>
      <c r="N25" s="30" t="str">
        <f t="shared" si="0"/>
        <v>1ск6</v>
      </c>
      <c r="O25" s="30" t="str">
        <f>INDEX(Кат!$H:$H,MATCH($A25,Кат!$A:$A,0))</f>
        <v>АВТОСВЕТ</v>
      </c>
    </row>
    <row r="26" spans="1:15" ht="45" x14ac:dyDescent="0.25">
      <c r="A26" s="76">
        <v>171601</v>
      </c>
      <c r="B26" s="76">
        <v>21049</v>
      </c>
      <c r="C26" s="77" t="s">
        <v>26</v>
      </c>
      <c r="D26" s="77" t="s">
        <v>95</v>
      </c>
      <c r="E26" s="77"/>
      <c r="F26" s="77"/>
      <c r="G26" s="77" t="s">
        <v>8</v>
      </c>
      <c r="H26" s="78">
        <v>2500</v>
      </c>
      <c r="I26" s="78">
        <v>3290</v>
      </c>
      <c r="J26" s="77" t="s">
        <v>166</v>
      </c>
      <c r="K26" s="77" t="s">
        <v>5</v>
      </c>
      <c r="L26" s="77"/>
      <c r="M26" s="77"/>
      <c r="N26" s="30" t="str">
        <f t="shared" si="0"/>
        <v>1</v>
      </c>
      <c r="O26" s="30" t="str">
        <f>INDEX(Кат!$H:$H,MATCH($A26,Кат!$A:$A,0))</f>
        <v>АВТОСВЕТ</v>
      </c>
    </row>
    <row r="27" spans="1:15" ht="45" x14ac:dyDescent="0.25">
      <c r="A27" s="76">
        <v>185790</v>
      </c>
      <c r="B27" s="76">
        <v>27310</v>
      </c>
      <c r="C27" s="77" t="s">
        <v>47</v>
      </c>
      <c r="D27" s="77" t="s">
        <v>95</v>
      </c>
      <c r="E27" s="77" t="s">
        <v>48</v>
      </c>
      <c r="F27" s="77" t="s">
        <v>48</v>
      </c>
      <c r="G27" s="77" t="s">
        <v>8</v>
      </c>
      <c r="H27" s="78">
        <v>215</v>
      </c>
      <c r="I27" s="78">
        <v>309</v>
      </c>
      <c r="J27" s="77" t="s">
        <v>210</v>
      </c>
      <c r="K27" s="77" t="s">
        <v>5</v>
      </c>
      <c r="L27" s="77"/>
      <c r="M27" s="77"/>
      <c r="N27" s="30" t="str">
        <f t="shared" si="0"/>
        <v>1</v>
      </c>
      <c r="O27" s="30" t="str">
        <f>INDEX(Кат!$H:$H,MATCH($A27,Кат!$A:$A,0))</f>
        <v>АВТОСВЕТ</v>
      </c>
    </row>
    <row r="28" spans="1:15" ht="45" x14ac:dyDescent="0.25">
      <c r="A28" s="76">
        <v>185791</v>
      </c>
      <c r="B28" s="76">
        <v>27309</v>
      </c>
      <c r="C28" s="77" t="s">
        <v>44</v>
      </c>
      <c r="D28" s="77" t="s">
        <v>95</v>
      </c>
      <c r="E28" s="77" t="s">
        <v>45</v>
      </c>
      <c r="F28" s="77"/>
      <c r="G28" s="77" t="s">
        <v>8</v>
      </c>
      <c r="H28" s="78">
        <v>215</v>
      </c>
      <c r="I28" s="78">
        <v>309</v>
      </c>
      <c r="J28" s="77" t="s">
        <v>210</v>
      </c>
      <c r="K28" s="77" t="s">
        <v>5</v>
      </c>
      <c r="L28" s="77"/>
      <c r="M28" s="77"/>
      <c r="N28" s="30" t="str">
        <f t="shared" si="0"/>
        <v>1</v>
      </c>
      <c r="O28" s="30" t="str">
        <f>INDEX(Кат!$H:$H,MATCH($A28,Кат!$A:$A,0))</f>
        <v>АВТОСВЕТ</v>
      </c>
    </row>
    <row r="29" spans="1:15" ht="45" x14ac:dyDescent="0.25">
      <c r="A29" s="76">
        <v>186651</v>
      </c>
      <c r="B29" s="76">
        <v>23703</v>
      </c>
      <c r="C29" s="77" t="s">
        <v>236</v>
      </c>
      <c r="D29" s="77" t="s">
        <v>95</v>
      </c>
      <c r="E29" s="77"/>
      <c r="F29" s="77"/>
      <c r="G29" s="77" t="s">
        <v>8</v>
      </c>
      <c r="H29" s="78">
        <v>900</v>
      </c>
      <c r="I29" s="78">
        <v>1390</v>
      </c>
      <c r="J29" s="77"/>
      <c r="K29" s="77" t="s">
        <v>5</v>
      </c>
      <c r="L29" s="77"/>
      <c r="M29" s="77"/>
      <c r="N29" s="30" t="str">
        <f t="shared" si="0"/>
        <v>1</v>
      </c>
      <c r="O29" s="30" t="str">
        <f>INDEX(Кат!$H:$H,MATCH($A29,Кат!$A:$A,0))</f>
        <v>АВТОСВЕТ</v>
      </c>
    </row>
    <row r="30" spans="1:15" ht="45" x14ac:dyDescent="0.25">
      <c r="A30" s="76">
        <v>186652</v>
      </c>
      <c r="B30" s="76">
        <v>23704</v>
      </c>
      <c r="C30" s="77" t="s">
        <v>237</v>
      </c>
      <c r="D30" s="77" t="s">
        <v>95</v>
      </c>
      <c r="E30" s="77"/>
      <c r="F30" s="77"/>
      <c r="G30" s="77" t="s">
        <v>8</v>
      </c>
      <c r="H30" s="78">
        <v>900</v>
      </c>
      <c r="I30" s="78">
        <v>1390</v>
      </c>
      <c r="J30" s="77"/>
      <c r="K30" s="77" t="s">
        <v>5</v>
      </c>
      <c r="L30" s="77"/>
      <c r="M30" s="77"/>
      <c r="N30" s="30" t="str">
        <f t="shared" si="0"/>
        <v>1</v>
      </c>
      <c r="O30" s="30" t="str">
        <f>INDEX(Кат!$H:$H,MATCH($A30,Кат!$A:$A,0))</f>
        <v>АВТОСВЕТ</v>
      </c>
    </row>
    <row r="31" spans="1:15" ht="60" x14ac:dyDescent="0.25">
      <c r="A31" s="76">
        <v>186653</v>
      </c>
      <c r="B31" s="76">
        <v>36385</v>
      </c>
      <c r="C31" s="77" t="s">
        <v>238</v>
      </c>
      <c r="D31" s="77" t="s">
        <v>95</v>
      </c>
      <c r="E31" s="77"/>
      <c r="F31" s="77"/>
      <c r="G31" s="77" t="s">
        <v>8</v>
      </c>
      <c r="H31" s="78">
        <v>900</v>
      </c>
      <c r="I31" s="78">
        <v>1390</v>
      </c>
      <c r="J31" s="77"/>
      <c r="K31" s="77" t="s">
        <v>5</v>
      </c>
      <c r="L31" s="77"/>
      <c r="M31" s="77"/>
      <c r="N31" s="30" t="str">
        <f t="shared" si="0"/>
        <v>1</v>
      </c>
      <c r="O31" s="30" t="str">
        <f>INDEX(Кат!$H:$H,MATCH($A31,Кат!$A:$A,0))</f>
        <v>АВТОСВЕТ</v>
      </c>
    </row>
    <row r="32" spans="1:15" ht="30" x14ac:dyDescent="0.25">
      <c r="A32" s="76">
        <v>201759</v>
      </c>
      <c r="B32" s="76">
        <v>132623</v>
      </c>
      <c r="C32" s="77" t="s">
        <v>107</v>
      </c>
      <c r="D32" s="77" t="s">
        <v>95</v>
      </c>
      <c r="E32" s="77"/>
      <c r="F32" s="77"/>
      <c r="G32" s="77" t="s">
        <v>8</v>
      </c>
      <c r="H32" s="78">
        <v>5000</v>
      </c>
      <c r="I32" s="78">
        <v>6790</v>
      </c>
      <c r="J32" s="77"/>
      <c r="K32" s="77" t="s">
        <v>5</v>
      </c>
      <c r="L32" s="77"/>
      <c r="M32" s="77"/>
      <c r="N32" s="30" t="str">
        <f t="shared" si="0"/>
        <v>1</v>
      </c>
      <c r="O32" s="30" t="str">
        <f>INDEX(Кат!$H:$H,MATCH($A32,Кат!$A:$A,0))</f>
        <v>АВТОСВЕТ</v>
      </c>
    </row>
    <row r="33" spans="1:15" ht="30" x14ac:dyDescent="0.25">
      <c r="A33" s="76">
        <v>201760</v>
      </c>
      <c r="B33" s="76">
        <v>17741</v>
      </c>
      <c r="C33" s="77" t="s">
        <v>108</v>
      </c>
      <c r="D33" s="77" t="s">
        <v>95</v>
      </c>
      <c r="E33" s="77"/>
      <c r="F33" s="77"/>
      <c r="G33" s="77" t="s">
        <v>8</v>
      </c>
      <c r="H33" s="78">
        <v>3000</v>
      </c>
      <c r="I33" s="78">
        <v>4190</v>
      </c>
      <c r="J33" s="77"/>
      <c r="K33" s="77" t="s">
        <v>5</v>
      </c>
      <c r="L33" s="77"/>
      <c r="M33" s="77"/>
      <c r="N33" s="30" t="str">
        <f t="shared" si="0"/>
        <v>1</v>
      </c>
      <c r="O33" s="30" t="str">
        <f>INDEX(Кат!$H:$H,MATCH($A33,Кат!$A:$A,0))</f>
        <v>АВТОСВЕТ</v>
      </c>
    </row>
    <row r="34" spans="1:15" ht="45" x14ac:dyDescent="0.25">
      <c r="A34" s="76">
        <v>202540</v>
      </c>
      <c r="B34" s="76">
        <v>23802</v>
      </c>
      <c r="C34" s="77" t="s">
        <v>34</v>
      </c>
      <c r="D34" s="77" t="s">
        <v>95</v>
      </c>
      <c r="E34" s="77"/>
      <c r="F34" s="77"/>
      <c r="G34" s="77" t="s">
        <v>8</v>
      </c>
      <c r="H34" s="78">
        <v>4500</v>
      </c>
      <c r="I34" s="78">
        <v>6290</v>
      </c>
      <c r="J34" s="77"/>
      <c r="K34" s="77" t="s">
        <v>5</v>
      </c>
      <c r="L34" s="77"/>
      <c r="M34" s="77"/>
      <c r="N34" s="30" t="str">
        <f t="shared" si="0"/>
        <v>1</v>
      </c>
      <c r="O34" s="30" t="str">
        <f>INDEX(Кат!$H:$H,MATCH($A34,Кат!$A:$A,0))</f>
        <v>АВТОСВЕТ</v>
      </c>
    </row>
    <row r="35" spans="1:15" ht="45" x14ac:dyDescent="0.25">
      <c r="A35" s="76">
        <v>202541</v>
      </c>
      <c r="B35" s="76">
        <v>23818</v>
      </c>
      <c r="C35" s="77" t="s">
        <v>36</v>
      </c>
      <c r="D35" s="77" t="s">
        <v>95</v>
      </c>
      <c r="E35" s="77"/>
      <c r="F35" s="77"/>
      <c r="G35" s="77" t="s">
        <v>8</v>
      </c>
      <c r="H35" s="78">
        <v>4500</v>
      </c>
      <c r="I35" s="78">
        <v>6290</v>
      </c>
      <c r="J35" s="77"/>
      <c r="K35" s="77" t="s">
        <v>5</v>
      </c>
      <c r="L35" s="77"/>
      <c r="M35" s="77"/>
      <c r="N35" s="30" t="str">
        <f t="shared" si="0"/>
        <v>1</v>
      </c>
      <c r="O35" s="30" t="str">
        <f>INDEX(Кат!$H:$H,MATCH($A35,Кат!$A:$A,0))</f>
        <v>АВТОСВЕТ</v>
      </c>
    </row>
    <row r="36" spans="1:15" ht="30" x14ac:dyDescent="0.25">
      <c r="A36" s="76">
        <v>203733</v>
      </c>
      <c r="B36" s="76">
        <v>17888</v>
      </c>
      <c r="C36" s="77" t="s">
        <v>109</v>
      </c>
      <c r="D36" s="77" t="s">
        <v>95</v>
      </c>
      <c r="E36" s="77"/>
      <c r="F36" s="77"/>
      <c r="G36" s="77" t="s">
        <v>8</v>
      </c>
      <c r="H36" s="78">
        <v>15000</v>
      </c>
      <c r="I36" s="78">
        <v>19490</v>
      </c>
      <c r="J36" s="77"/>
      <c r="K36" s="77" t="s">
        <v>5</v>
      </c>
      <c r="L36" s="77"/>
      <c r="M36" s="77" t="s">
        <v>95</v>
      </c>
      <c r="N36" s="30" t="str">
        <f t="shared" si="0"/>
        <v>1</v>
      </c>
      <c r="O36" s="30" t="str">
        <f>INDEX(Кат!$H:$H,MATCH($A36,Кат!$A:$A,0))</f>
        <v>АВТОСВЕТ</v>
      </c>
    </row>
    <row r="37" spans="1:15" ht="45" x14ac:dyDescent="0.25">
      <c r="A37" s="76">
        <v>274104</v>
      </c>
      <c r="B37" s="76">
        <v>220102</v>
      </c>
      <c r="C37" s="77" t="s">
        <v>110</v>
      </c>
      <c r="D37" s="77" t="s">
        <v>95</v>
      </c>
      <c r="E37" s="77"/>
      <c r="F37" s="77"/>
      <c r="G37" s="77" t="s">
        <v>8</v>
      </c>
      <c r="H37" s="78"/>
      <c r="I37" s="78"/>
      <c r="J37" s="77"/>
      <c r="K37" s="77" t="s">
        <v>96</v>
      </c>
      <c r="L37" s="77"/>
      <c r="M37" s="77"/>
      <c r="N37" s="30" t="str">
        <f t="shared" si="0"/>
        <v>0</v>
      </c>
      <c r="O37" s="30" t="str">
        <f>INDEX(Кат!$H:$H,MATCH($A37,Кат!$A:$A,0))</f>
        <v>АВТОСВЕТ</v>
      </c>
    </row>
    <row r="38" spans="1:15" ht="45" x14ac:dyDescent="0.25">
      <c r="A38" s="76">
        <v>213729</v>
      </c>
      <c r="B38" s="76">
        <v>26185</v>
      </c>
      <c r="C38" s="77" t="s">
        <v>111</v>
      </c>
      <c r="D38" s="77" t="s">
        <v>95</v>
      </c>
      <c r="E38" s="77"/>
      <c r="F38" s="77"/>
      <c r="G38" s="77" t="s">
        <v>8</v>
      </c>
      <c r="H38" s="78">
        <v>2700</v>
      </c>
      <c r="I38" s="78">
        <v>3790</v>
      </c>
      <c r="J38" s="77" t="s">
        <v>162</v>
      </c>
      <c r="K38" s="77" t="s">
        <v>5</v>
      </c>
      <c r="L38" s="77"/>
      <c r="M38" s="77" t="s">
        <v>95</v>
      </c>
      <c r="N38" s="30" t="str">
        <f t="shared" si="0"/>
        <v>1</v>
      </c>
      <c r="O38" s="30" t="str">
        <f>INDEX(Кат!$H:$H,MATCH($A38,Кат!$A:$A,0))</f>
        <v>АВТОСВЕТ</v>
      </c>
    </row>
    <row r="39" spans="1:15" ht="45" x14ac:dyDescent="0.25">
      <c r="A39" s="76">
        <v>213731</v>
      </c>
      <c r="B39" s="76">
        <v>30055</v>
      </c>
      <c r="C39" s="77" t="s">
        <v>112</v>
      </c>
      <c r="D39" s="77" t="s">
        <v>95</v>
      </c>
      <c r="E39" s="77"/>
      <c r="F39" s="77"/>
      <c r="G39" s="77" t="s">
        <v>8</v>
      </c>
      <c r="H39" s="78">
        <v>250</v>
      </c>
      <c r="I39" s="78">
        <v>579</v>
      </c>
      <c r="J39" s="77"/>
      <c r="K39" s="77" t="s">
        <v>5</v>
      </c>
      <c r="L39" s="77"/>
      <c r="M39" s="77"/>
      <c r="N39" s="30" t="str">
        <f t="shared" si="0"/>
        <v>1</v>
      </c>
      <c r="O39" s="30" t="str">
        <f>INDEX(Кат!$H:$H,MATCH($A39,Кат!$A:$A,0))</f>
        <v>АВТОСВЕТ</v>
      </c>
    </row>
    <row r="40" spans="1:15" ht="30" x14ac:dyDescent="0.25">
      <c r="A40" s="76">
        <v>213885</v>
      </c>
      <c r="B40" s="76">
        <v>39573</v>
      </c>
      <c r="C40" s="77" t="s">
        <v>220</v>
      </c>
      <c r="D40" s="77" t="s">
        <v>95</v>
      </c>
      <c r="E40" s="77" t="s">
        <v>221</v>
      </c>
      <c r="F40" s="77"/>
      <c r="G40" s="77" t="s">
        <v>8</v>
      </c>
      <c r="H40" s="78">
        <v>500</v>
      </c>
      <c r="I40" s="78">
        <v>779</v>
      </c>
      <c r="J40" s="77"/>
      <c r="K40" s="77" t="s">
        <v>5</v>
      </c>
      <c r="L40" s="77"/>
      <c r="M40" s="77"/>
      <c r="N40" s="30" t="str">
        <f t="shared" si="0"/>
        <v>1</v>
      </c>
      <c r="O40" s="30" t="str">
        <f>INDEX(Кат!$H:$H,MATCH($A40,Кат!$A:$A,0))</f>
        <v>АВТОСВЕТ</v>
      </c>
    </row>
    <row r="41" spans="1:15" ht="45" x14ac:dyDescent="0.25">
      <c r="A41" s="76">
        <v>218485</v>
      </c>
      <c r="B41" s="76">
        <v>18912</v>
      </c>
      <c r="C41" s="77" t="s">
        <v>113</v>
      </c>
      <c r="D41" s="77" t="s">
        <v>95</v>
      </c>
      <c r="E41" s="77"/>
      <c r="F41" s="77"/>
      <c r="G41" s="77" t="s">
        <v>8</v>
      </c>
      <c r="H41" s="78">
        <v>1400</v>
      </c>
      <c r="I41" s="78">
        <v>2090</v>
      </c>
      <c r="J41" s="77"/>
      <c r="K41" s="77" t="s">
        <v>5</v>
      </c>
      <c r="L41" s="77" t="s">
        <v>6</v>
      </c>
      <c r="M41" s="77"/>
      <c r="N41" s="30" t="str">
        <f t="shared" si="0"/>
        <v>1ск6</v>
      </c>
      <c r="O41" s="30" t="str">
        <f>INDEX(Кат!$H:$H,MATCH($A41,Кат!$A:$A,0))</f>
        <v>АВТОСВЕТ</v>
      </c>
    </row>
    <row r="42" spans="1:15" ht="30" x14ac:dyDescent="0.25">
      <c r="A42" s="76">
        <v>218496</v>
      </c>
      <c r="B42" s="76">
        <v>18638</v>
      </c>
      <c r="C42" s="77" t="s">
        <v>17</v>
      </c>
      <c r="D42" s="77" t="s">
        <v>95</v>
      </c>
      <c r="E42" s="77"/>
      <c r="F42" s="77"/>
      <c r="G42" s="77" t="s">
        <v>8</v>
      </c>
      <c r="H42" s="78">
        <v>1500</v>
      </c>
      <c r="I42" s="78">
        <v>2290</v>
      </c>
      <c r="J42" s="77"/>
      <c r="K42" s="77" t="s">
        <v>5</v>
      </c>
      <c r="L42" s="77"/>
      <c r="M42" s="77"/>
      <c r="N42" s="30" t="str">
        <f t="shared" si="0"/>
        <v>1</v>
      </c>
      <c r="O42" s="30" t="str">
        <f>INDEX(Кат!$H:$H,MATCH($A42,Кат!$A:$A,0))</f>
        <v>АВТОСВЕТ</v>
      </c>
    </row>
    <row r="43" spans="1:15" x14ac:dyDescent="0.25">
      <c r="A43" s="76">
        <v>218503</v>
      </c>
      <c r="B43" s="76">
        <v>18640</v>
      </c>
      <c r="C43" s="77" t="s">
        <v>19</v>
      </c>
      <c r="D43" s="77" t="s">
        <v>95</v>
      </c>
      <c r="E43" s="77"/>
      <c r="F43" s="77"/>
      <c r="G43" s="77" t="s">
        <v>8</v>
      </c>
      <c r="H43" s="78">
        <v>900</v>
      </c>
      <c r="I43" s="78">
        <v>1390</v>
      </c>
      <c r="J43" s="77"/>
      <c r="K43" s="77" t="s">
        <v>5</v>
      </c>
      <c r="L43" s="77"/>
      <c r="M43" s="77"/>
      <c r="N43" s="30" t="str">
        <f t="shared" si="0"/>
        <v>1</v>
      </c>
      <c r="O43" s="30" t="str">
        <f>INDEX(Кат!$H:$H,MATCH($A43,Кат!$A:$A,0))</f>
        <v>АВТОСВЕТ</v>
      </c>
    </row>
    <row r="44" spans="1:15" ht="45" x14ac:dyDescent="0.25">
      <c r="A44" s="76">
        <v>219131</v>
      </c>
      <c r="B44" s="76">
        <v>32127</v>
      </c>
      <c r="C44" s="77" t="s">
        <v>114</v>
      </c>
      <c r="D44" s="77" t="s">
        <v>95</v>
      </c>
      <c r="E44" s="77"/>
      <c r="F44" s="77"/>
      <c r="G44" s="77" t="s">
        <v>8</v>
      </c>
      <c r="H44" s="78">
        <v>900</v>
      </c>
      <c r="I44" s="78">
        <v>1790</v>
      </c>
      <c r="J44" s="77" t="s">
        <v>170</v>
      </c>
      <c r="K44" s="77" t="s">
        <v>5</v>
      </c>
      <c r="L44" s="77"/>
      <c r="M44" s="77"/>
      <c r="N44" s="30" t="str">
        <f t="shared" si="0"/>
        <v>1</v>
      </c>
      <c r="O44" s="30" t="str">
        <f>INDEX(Кат!$H:$H,MATCH($A44,Кат!$A:$A,0))</f>
        <v>АВТОСВЕТ</v>
      </c>
    </row>
    <row r="45" spans="1:15" ht="30" x14ac:dyDescent="0.25">
      <c r="A45" s="76">
        <v>219133</v>
      </c>
      <c r="B45" s="76">
        <v>6613</v>
      </c>
      <c r="C45" s="77" t="s">
        <v>9</v>
      </c>
      <c r="D45" s="77" t="s">
        <v>115</v>
      </c>
      <c r="E45" s="77"/>
      <c r="F45" s="77"/>
      <c r="G45" s="77" t="s">
        <v>8</v>
      </c>
      <c r="H45" s="78">
        <v>600</v>
      </c>
      <c r="I45" s="78">
        <v>929</v>
      </c>
      <c r="J45" s="77"/>
      <c r="K45" s="77" t="s">
        <v>5</v>
      </c>
      <c r="L45" s="77"/>
      <c r="M45" s="77"/>
      <c r="N45" s="30" t="str">
        <f t="shared" si="0"/>
        <v>1</v>
      </c>
      <c r="O45" s="30" t="str">
        <f>INDEX(Кат!$H:$H,MATCH($A45,Кат!$A:$A,0))</f>
        <v>АВТОСВЕТ</v>
      </c>
    </row>
    <row r="46" spans="1:15" ht="30" x14ac:dyDescent="0.25">
      <c r="A46" s="76">
        <v>219134</v>
      </c>
      <c r="B46" s="76">
        <v>21591</v>
      </c>
      <c r="C46" s="77" t="s">
        <v>28</v>
      </c>
      <c r="D46" s="77" t="s">
        <v>115</v>
      </c>
      <c r="E46" s="77"/>
      <c r="F46" s="77"/>
      <c r="G46" s="77" t="s">
        <v>8</v>
      </c>
      <c r="H46" s="78">
        <v>600</v>
      </c>
      <c r="I46" s="78">
        <v>929</v>
      </c>
      <c r="J46" s="77"/>
      <c r="K46" s="77" t="s">
        <v>5</v>
      </c>
      <c r="L46" s="77"/>
      <c r="M46" s="77"/>
      <c r="N46" s="30" t="str">
        <f t="shared" si="0"/>
        <v>1</v>
      </c>
      <c r="O46" s="30" t="str">
        <f>INDEX(Кат!$H:$H,MATCH($A46,Кат!$A:$A,0))</f>
        <v>АВТОСВЕТ</v>
      </c>
    </row>
    <row r="47" spans="1:15" ht="30" x14ac:dyDescent="0.25">
      <c r="A47" s="76">
        <v>219135</v>
      </c>
      <c r="B47" s="76">
        <v>51586</v>
      </c>
      <c r="C47" s="77" t="s">
        <v>63</v>
      </c>
      <c r="D47" s="77" t="s">
        <v>115</v>
      </c>
      <c r="E47" s="77"/>
      <c r="F47" s="77"/>
      <c r="G47" s="77" t="s">
        <v>8</v>
      </c>
      <c r="H47" s="78">
        <v>600</v>
      </c>
      <c r="I47" s="78">
        <v>929</v>
      </c>
      <c r="J47" s="77"/>
      <c r="K47" s="77" t="s">
        <v>5</v>
      </c>
      <c r="L47" s="77"/>
      <c r="M47" s="77"/>
      <c r="N47" s="30" t="str">
        <f t="shared" si="0"/>
        <v>1</v>
      </c>
      <c r="O47" s="30" t="str">
        <f>INDEX(Кат!$H:$H,MATCH($A47,Кат!$A:$A,0))</f>
        <v>АВТОСВЕТ</v>
      </c>
    </row>
    <row r="48" spans="1:15" ht="45" x14ac:dyDescent="0.25">
      <c r="A48" s="76">
        <v>223052</v>
      </c>
      <c r="B48" s="76">
        <v>32500</v>
      </c>
      <c r="C48" s="77" t="s">
        <v>116</v>
      </c>
      <c r="D48" s="77" t="s">
        <v>95</v>
      </c>
      <c r="E48" s="77"/>
      <c r="F48" s="77"/>
      <c r="G48" s="77" t="s">
        <v>8</v>
      </c>
      <c r="H48" s="78">
        <v>350</v>
      </c>
      <c r="I48" s="78">
        <v>909</v>
      </c>
      <c r="J48" s="77" t="s">
        <v>160</v>
      </c>
      <c r="K48" s="77" t="s">
        <v>5</v>
      </c>
      <c r="L48" s="77"/>
      <c r="M48" s="77"/>
      <c r="N48" s="30" t="str">
        <f t="shared" si="0"/>
        <v>1</v>
      </c>
      <c r="O48" s="30" t="str">
        <f>INDEX(Кат!$H:$H,MATCH($A48,Кат!$A:$A,0))</f>
        <v>АВТОСВЕТ</v>
      </c>
    </row>
    <row r="49" spans="1:15" ht="45" x14ac:dyDescent="0.25">
      <c r="A49" s="76">
        <v>223059</v>
      </c>
      <c r="B49" s="76">
        <v>6689</v>
      </c>
      <c r="C49" s="77" t="s">
        <v>117</v>
      </c>
      <c r="D49" s="77" t="s">
        <v>95</v>
      </c>
      <c r="E49" s="77" t="s">
        <v>118</v>
      </c>
      <c r="F49" s="77"/>
      <c r="G49" s="77" t="s">
        <v>8</v>
      </c>
      <c r="H49" s="78">
        <v>350</v>
      </c>
      <c r="I49" s="78">
        <v>809</v>
      </c>
      <c r="J49" s="77" t="s">
        <v>161</v>
      </c>
      <c r="K49" s="77" t="s">
        <v>5</v>
      </c>
      <c r="L49" s="77" t="s">
        <v>6</v>
      </c>
      <c r="M49" s="77"/>
      <c r="N49" s="30" t="str">
        <f t="shared" si="0"/>
        <v>1ск6</v>
      </c>
      <c r="O49" s="30" t="str">
        <f>INDEX(Кат!$H:$H,MATCH($A49,Кат!$A:$A,0))</f>
        <v>АВТОСВЕТ</v>
      </c>
    </row>
    <row r="50" spans="1:15" ht="30" x14ac:dyDescent="0.25">
      <c r="A50" s="76">
        <v>223115</v>
      </c>
      <c r="B50" s="76">
        <v>15405</v>
      </c>
      <c r="C50" s="77" t="s">
        <v>11</v>
      </c>
      <c r="D50" s="77" t="s">
        <v>95</v>
      </c>
      <c r="E50" s="77"/>
      <c r="F50" s="77"/>
      <c r="G50" s="77" t="s">
        <v>8</v>
      </c>
      <c r="H50" s="78">
        <v>500</v>
      </c>
      <c r="I50" s="78">
        <v>779</v>
      </c>
      <c r="J50" s="77"/>
      <c r="K50" s="77" t="s">
        <v>5</v>
      </c>
      <c r="L50" s="77"/>
      <c r="M50" s="77"/>
      <c r="N50" s="30" t="str">
        <f t="shared" si="0"/>
        <v>1</v>
      </c>
      <c r="O50" s="30" t="str">
        <f>INDEX(Кат!$H:$H,MATCH($A50,Кат!$A:$A,0))</f>
        <v>АВТОСВЕТ</v>
      </c>
    </row>
    <row r="51" spans="1:15" ht="45" x14ac:dyDescent="0.25">
      <c r="A51" s="76">
        <v>223317</v>
      </c>
      <c r="B51" s="76">
        <v>44891</v>
      </c>
      <c r="C51" s="77" t="s">
        <v>119</v>
      </c>
      <c r="D51" s="77" t="s">
        <v>95</v>
      </c>
      <c r="E51" s="77" t="s">
        <v>61</v>
      </c>
      <c r="F51" s="77" t="s">
        <v>61</v>
      </c>
      <c r="G51" s="77" t="s">
        <v>8</v>
      </c>
      <c r="H51" s="78">
        <v>450</v>
      </c>
      <c r="I51" s="78">
        <v>719</v>
      </c>
      <c r="J51" s="77"/>
      <c r="K51" s="77" t="s">
        <v>5</v>
      </c>
      <c r="L51" s="77" t="s">
        <v>5</v>
      </c>
      <c r="M51" s="77"/>
      <c r="N51" s="30" t="str">
        <f t="shared" si="0"/>
        <v>1ск1</v>
      </c>
      <c r="O51" s="30" t="str">
        <f>INDEX(Кат!$H:$H,MATCH($A51,Кат!$A:$A,0))</f>
        <v>АВТОСВЕТ</v>
      </c>
    </row>
    <row r="52" spans="1:15" ht="60" x14ac:dyDescent="0.25">
      <c r="A52" s="76">
        <v>223944</v>
      </c>
      <c r="B52" s="76">
        <v>70199</v>
      </c>
      <c r="C52" s="77" t="s">
        <v>120</v>
      </c>
      <c r="D52" s="77" t="s">
        <v>95</v>
      </c>
      <c r="E52" s="77"/>
      <c r="F52" s="77"/>
      <c r="G52" s="77" t="s">
        <v>8</v>
      </c>
      <c r="H52" s="78">
        <v>23000</v>
      </c>
      <c r="I52" s="78">
        <v>29890</v>
      </c>
      <c r="J52" s="77" t="s">
        <v>159</v>
      </c>
      <c r="K52" s="77" t="s">
        <v>5</v>
      </c>
      <c r="L52" s="77"/>
      <c r="M52" s="77"/>
      <c r="N52" s="30" t="str">
        <f t="shared" ref="N52:N53" si="1">_xlfn.CONCAT(K52,IF(L52&lt;&gt;"",_xlfn.CONCAT("ск",L52),""))</f>
        <v>1</v>
      </c>
      <c r="O52" s="30" t="str">
        <f>INDEX(Кат!$H:$H,MATCH($A52,Кат!$A:$A,0))</f>
        <v>АВТОСВЕТ</v>
      </c>
    </row>
    <row r="53" spans="1:15" ht="45" x14ac:dyDescent="0.25">
      <c r="A53" s="76">
        <v>224046</v>
      </c>
      <c r="B53" s="76">
        <v>30721</v>
      </c>
      <c r="C53" s="77" t="s">
        <v>239</v>
      </c>
      <c r="D53" s="77" t="s">
        <v>95</v>
      </c>
      <c r="E53" s="77"/>
      <c r="F53" s="77"/>
      <c r="G53" s="77" t="s">
        <v>8</v>
      </c>
      <c r="H53" s="78">
        <v>500</v>
      </c>
      <c r="I53" s="78">
        <v>919</v>
      </c>
      <c r="J53" s="77" t="s">
        <v>168</v>
      </c>
      <c r="K53" s="77" t="s">
        <v>5</v>
      </c>
      <c r="L53" s="77"/>
      <c r="M53" s="77"/>
      <c r="N53" s="30" t="str">
        <f t="shared" si="1"/>
        <v>1</v>
      </c>
      <c r="O53" s="30" t="str">
        <f>INDEX(Кат!$H:$H,MATCH($A53,Кат!$A:$A,0))</f>
        <v>АВТОСВЕТ</v>
      </c>
    </row>
  </sheetData>
  <sheetProtection formatCells="0" formatColumns="0" formatRows="0" insertColumns="0" insertRows="0" insertHyperlinks="0" deleteColumns="0" deleteRows="0" sort="0" autoFilter="0" pivotTables="0"/>
  <autoFilter ref="A1:O53" xr:uid="{8C11E971-FEE8-417D-B46A-FF27BDA6C465}"/>
  <pageMargins left="0.7" right="0.7" top="0.75" bottom="0.75" header="0.3" footer="0.3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C1EF5-AC23-494F-BBAC-C4DC6634672D}">
  <sheetPr>
    <outlinePr summaryBelow="0"/>
  </sheetPr>
  <dimension ref="A1:Q23"/>
  <sheetViews>
    <sheetView showRuler="0" zoomScaleNormal="100" workbookViewId="0">
      <pane ySplit="1" topLeftCell="A17" activePane="bottomLeft" state="frozen"/>
      <selection pane="bottomLeft" activeCell="D23" sqref="D23"/>
    </sheetView>
  </sheetViews>
  <sheetFormatPr defaultRowHeight="15" x14ac:dyDescent="0.25"/>
  <cols>
    <col min="1" max="1" width="36.140625" style="4" customWidth="1"/>
    <col min="2" max="2" width="7" style="4" bestFit="1" customWidth="1"/>
    <col min="3" max="3" width="9.42578125" style="4" bestFit="1" customWidth="1"/>
    <col min="4" max="4" width="38.140625" style="4" bestFit="1" customWidth="1"/>
    <col min="5" max="5" width="7.5703125" style="4" bestFit="1" customWidth="1"/>
    <col min="6" max="6" width="11.140625" style="4" customWidth="1"/>
    <col min="7" max="7" width="21.85546875" style="4" bestFit="1" customWidth="1"/>
    <col min="8" max="8" width="22.42578125" style="4" bestFit="1" customWidth="1"/>
    <col min="9" max="9" width="13.28515625" style="4" bestFit="1" customWidth="1"/>
    <col min="10" max="10" width="8.42578125" style="4" bestFit="1" customWidth="1"/>
    <col min="11" max="11" width="10.85546875" style="4" bestFit="1" customWidth="1"/>
    <col min="12" max="12" width="29.28515625" style="4" bestFit="1" customWidth="1"/>
    <col min="13" max="13" width="9.5703125" style="4" bestFit="1" customWidth="1"/>
    <col min="14" max="14" width="6.7109375" style="4" bestFit="1" customWidth="1"/>
    <col min="15" max="15" width="8" style="4" bestFit="1" customWidth="1"/>
    <col min="16" max="16" width="4.85546875" style="4" bestFit="1" customWidth="1"/>
    <col min="17" max="17" width="10.140625" style="4" bestFit="1" customWidth="1"/>
    <col min="18" max="16384" width="9.140625" style="4"/>
  </cols>
  <sheetData>
    <row r="1" spans="1:17" s="5" customFormat="1" ht="30" x14ac:dyDescent="0.25">
      <c r="A1" s="79" t="s">
        <v>121</v>
      </c>
      <c r="B1" s="79" t="s">
        <v>0</v>
      </c>
      <c r="C1" s="79" t="s">
        <v>122</v>
      </c>
      <c r="D1" s="79" t="s">
        <v>88</v>
      </c>
      <c r="E1" s="79" t="s">
        <v>89</v>
      </c>
      <c r="F1" s="79"/>
      <c r="G1" s="79" t="s">
        <v>90</v>
      </c>
      <c r="H1" s="79" t="s">
        <v>91</v>
      </c>
      <c r="I1" s="79" t="s">
        <v>2</v>
      </c>
      <c r="J1" s="79" t="s">
        <v>3</v>
      </c>
      <c r="K1" s="79" t="s">
        <v>4</v>
      </c>
      <c r="L1" s="79" t="s">
        <v>123</v>
      </c>
      <c r="M1" s="79" t="s">
        <v>93</v>
      </c>
      <c r="N1" s="79" t="s">
        <v>124</v>
      </c>
      <c r="O1" s="79" t="s">
        <v>7</v>
      </c>
      <c r="P1" s="30"/>
      <c r="Q1" s="30"/>
    </row>
    <row r="2" spans="1:17" ht="60" x14ac:dyDescent="0.25">
      <c r="A2" s="81" t="s">
        <v>125</v>
      </c>
      <c r="B2" s="80">
        <v>257956</v>
      </c>
      <c r="C2" s="80">
        <v>208037</v>
      </c>
      <c r="D2" s="81" t="s">
        <v>126</v>
      </c>
      <c r="E2" s="81" t="s">
        <v>95</v>
      </c>
      <c r="F2" s="81"/>
      <c r="G2" s="81"/>
      <c r="H2" s="81"/>
      <c r="I2" s="81" t="s">
        <v>8</v>
      </c>
      <c r="J2" s="82">
        <v>500</v>
      </c>
      <c r="K2" s="82">
        <v>999</v>
      </c>
      <c r="L2" s="81" t="s">
        <v>154</v>
      </c>
      <c r="M2" s="80">
        <v>1</v>
      </c>
      <c r="N2" s="80"/>
      <c r="O2" s="81"/>
      <c r="P2" s="30" t="str">
        <f>_xlfn.CONCAT(M2,IF(N2&lt;&gt;"",_xlfn.CONCAT("ск",N2),""))</f>
        <v>1</v>
      </c>
      <c r="Q2" s="30" t="str">
        <f>INDEX(Торг!$I:$I,MATCH($B2,Торг!$B:$B,0))</f>
        <v>АВТОСВЕТ</v>
      </c>
    </row>
    <row r="3" spans="1:17" ht="60" x14ac:dyDescent="0.25">
      <c r="A3" s="81" t="s">
        <v>125</v>
      </c>
      <c r="B3" s="80">
        <v>257957</v>
      </c>
      <c r="C3" s="80">
        <v>208038</v>
      </c>
      <c r="D3" s="81" t="s">
        <v>127</v>
      </c>
      <c r="E3" s="81" t="s">
        <v>95</v>
      </c>
      <c r="F3" s="81"/>
      <c r="G3" s="81"/>
      <c r="H3" s="81"/>
      <c r="I3" s="81" t="s">
        <v>8</v>
      </c>
      <c r="J3" s="82">
        <v>500</v>
      </c>
      <c r="K3" s="82">
        <v>949</v>
      </c>
      <c r="L3" s="81" t="s">
        <v>153</v>
      </c>
      <c r="M3" s="80">
        <v>1</v>
      </c>
      <c r="N3" s="80"/>
      <c r="O3" s="81"/>
      <c r="P3" s="30" t="str">
        <f t="shared" ref="P3:P4" si="0">_xlfn.CONCAT(M3,IF(N3&lt;&gt;"",_xlfn.CONCAT("ск",N3),""))</f>
        <v>1</v>
      </c>
      <c r="Q3" s="30" t="str">
        <f>INDEX(Торг!$I:$I,MATCH($B3,Торг!$B:$B,0))</f>
        <v>АВТОСВЕТ</v>
      </c>
    </row>
    <row r="4" spans="1:17" ht="60" x14ac:dyDescent="0.25">
      <c r="A4" s="81" t="s">
        <v>125</v>
      </c>
      <c r="B4" s="80">
        <v>257958</v>
      </c>
      <c r="C4" s="80">
        <v>208036</v>
      </c>
      <c r="D4" s="81" t="s">
        <v>128</v>
      </c>
      <c r="E4" s="81" t="s">
        <v>95</v>
      </c>
      <c r="F4" s="81"/>
      <c r="G4" s="81"/>
      <c r="H4" s="81"/>
      <c r="I4" s="81" t="s">
        <v>8</v>
      </c>
      <c r="J4" s="82">
        <v>500</v>
      </c>
      <c r="K4" s="82">
        <v>949</v>
      </c>
      <c r="L4" s="81" t="s">
        <v>153</v>
      </c>
      <c r="M4" s="80">
        <v>1</v>
      </c>
      <c r="N4" s="80">
        <v>4</v>
      </c>
      <c r="O4" s="81"/>
      <c r="P4" s="30" t="str">
        <f t="shared" si="0"/>
        <v>1ск4</v>
      </c>
      <c r="Q4" s="30" t="str">
        <f>INDEX(Торг!$I:$I,MATCH($B4,Торг!$B:$B,0))</f>
        <v>АВТОСВЕТ</v>
      </c>
    </row>
    <row r="5" spans="1:17" ht="60" x14ac:dyDescent="0.25">
      <c r="A5" s="81" t="s">
        <v>125</v>
      </c>
      <c r="B5" s="80">
        <v>257959</v>
      </c>
      <c r="C5" s="80">
        <v>208039</v>
      </c>
      <c r="D5" s="81" t="s">
        <v>129</v>
      </c>
      <c r="E5" s="81" t="s">
        <v>95</v>
      </c>
      <c r="F5" s="81"/>
      <c r="G5" s="81"/>
      <c r="H5" s="81"/>
      <c r="I5" s="81" t="s">
        <v>8</v>
      </c>
      <c r="J5" s="82">
        <v>500</v>
      </c>
      <c r="K5" s="82">
        <v>949</v>
      </c>
      <c r="L5" s="81" t="s">
        <v>153</v>
      </c>
      <c r="M5" s="80">
        <v>1</v>
      </c>
      <c r="N5" s="80"/>
      <c r="O5" s="81"/>
      <c r="P5" s="30" t="str">
        <f t="shared" ref="P5:P23" si="1">_xlfn.CONCAT(M5,IF(N5&lt;&gt;"",_xlfn.CONCAT("ск",N5),""))</f>
        <v>1</v>
      </c>
      <c r="Q5" s="30" t="str">
        <f>INDEX(Торг!$I:$I,MATCH($B5,Торг!$B:$B,0))</f>
        <v>АВТОСВЕТ</v>
      </c>
    </row>
    <row r="6" spans="1:17" ht="60" x14ac:dyDescent="0.25">
      <c r="A6" s="81" t="s">
        <v>73</v>
      </c>
      <c r="B6" s="80">
        <v>243588</v>
      </c>
      <c r="C6" s="80">
        <v>195993</v>
      </c>
      <c r="D6" s="81" t="s">
        <v>75</v>
      </c>
      <c r="E6" s="81" t="s">
        <v>95</v>
      </c>
      <c r="F6" s="81"/>
      <c r="G6" s="81"/>
      <c r="H6" s="81"/>
      <c r="I6" s="81" t="s">
        <v>8</v>
      </c>
      <c r="J6" s="82">
        <v>600</v>
      </c>
      <c r="K6" s="82">
        <v>809</v>
      </c>
      <c r="L6" s="81" t="s">
        <v>157</v>
      </c>
      <c r="M6" s="80">
        <v>1</v>
      </c>
      <c r="N6" s="80"/>
      <c r="O6" s="81"/>
      <c r="P6" s="30" t="str">
        <f t="shared" si="1"/>
        <v>1</v>
      </c>
      <c r="Q6" s="30" t="str">
        <f>INDEX(Торг!$I:$I,MATCH($B6,Торг!$B:$B,0))</f>
        <v>АВТОСВЕТ</v>
      </c>
    </row>
    <row r="7" spans="1:17" ht="60" x14ac:dyDescent="0.25">
      <c r="A7" s="81" t="s">
        <v>73</v>
      </c>
      <c r="B7" s="80">
        <v>243589</v>
      </c>
      <c r="C7" s="80">
        <v>195994</v>
      </c>
      <c r="D7" s="81" t="s">
        <v>74</v>
      </c>
      <c r="E7" s="81" t="s">
        <v>95</v>
      </c>
      <c r="F7" s="81"/>
      <c r="G7" s="81"/>
      <c r="H7" s="81"/>
      <c r="I7" s="81" t="s">
        <v>8</v>
      </c>
      <c r="J7" s="82">
        <v>600</v>
      </c>
      <c r="K7" s="82">
        <v>809</v>
      </c>
      <c r="L7" s="81" t="s">
        <v>158</v>
      </c>
      <c r="M7" s="80">
        <v>0</v>
      </c>
      <c r="N7" s="80"/>
      <c r="O7" s="81"/>
      <c r="P7" s="30" t="str">
        <f t="shared" si="1"/>
        <v>0</v>
      </c>
      <c r="Q7" s="30" t="str">
        <f>INDEX(Торг!$I:$I,MATCH($B7,Торг!$B:$B,0))</f>
        <v>АВТОСВЕТ</v>
      </c>
    </row>
    <row r="8" spans="1:17" ht="60" x14ac:dyDescent="0.25">
      <c r="A8" s="81" t="s">
        <v>73</v>
      </c>
      <c r="B8" s="80">
        <v>243590</v>
      </c>
      <c r="C8" s="80">
        <v>195995</v>
      </c>
      <c r="D8" s="81" t="s">
        <v>72</v>
      </c>
      <c r="E8" s="81" t="s">
        <v>95</v>
      </c>
      <c r="F8" s="81"/>
      <c r="G8" s="81"/>
      <c r="H8" s="81"/>
      <c r="I8" s="81" t="s">
        <v>8</v>
      </c>
      <c r="J8" s="82">
        <v>600</v>
      </c>
      <c r="K8" s="82">
        <v>809</v>
      </c>
      <c r="L8" s="81" t="s">
        <v>158</v>
      </c>
      <c r="M8" s="80">
        <v>1</v>
      </c>
      <c r="N8" s="80"/>
      <c r="O8" s="81"/>
      <c r="P8" s="30" t="str">
        <f t="shared" si="1"/>
        <v>1</v>
      </c>
      <c r="Q8" s="30" t="str">
        <f>INDEX(Торг!$I:$I,MATCH($B8,Торг!$B:$B,0))</f>
        <v>АВТОСВЕТ</v>
      </c>
    </row>
    <row r="9" spans="1:17" ht="30" x14ac:dyDescent="0.25">
      <c r="A9" s="81" t="s">
        <v>130</v>
      </c>
      <c r="B9" s="80">
        <v>163747</v>
      </c>
      <c r="C9" s="80">
        <v>168467</v>
      </c>
      <c r="D9" s="81" t="s">
        <v>131</v>
      </c>
      <c r="E9" s="81" t="s">
        <v>95</v>
      </c>
      <c r="F9" s="81"/>
      <c r="G9" s="81"/>
      <c r="H9" s="81"/>
      <c r="I9" s="81" t="s">
        <v>8</v>
      </c>
      <c r="J9" s="82">
        <v>1500</v>
      </c>
      <c r="K9" s="82">
        <v>2290</v>
      </c>
      <c r="L9" s="81"/>
      <c r="M9" s="80">
        <v>1</v>
      </c>
      <c r="N9" s="80"/>
      <c r="O9" s="81"/>
      <c r="P9" s="30" t="str">
        <f t="shared" si="1"/>
        <v>1</v>
      </c>
      <c r="Q9" s="30" t="str">
        <f>INDEX(Торг!$I:$I,MATCH($B9,Торг!$B:$B,0))</f>
        <v>АВТОСВЕТ</v>
      </c>
    </row>
    <row r="10" spans="1:17" ht="30" x14ac:dyDescent="0.25">
      <c r="A10" s="81" t="s">
        <v>130</v>
      </c>
      <c r="B10" s="80">
        <v>163748</v>
      </c>
      <c r="C10" s="80">
        <v>168470</v>
      </c>
      <c r="D10" s="81" t="s">
        <v>132</v>
      </c>
      <c r="E10" s="81" t="s">
        <v>95</v>
      </c>
      <c r="F10" s="81"/>
      <c r="G10" s="81"/>
      <c r="H10" s="81"/>
      <c r="I10" s="81" t="s">
        <v>8</v>
      </c>
      <c r="J10" s="82">
        <v>1500</v>
      </c>
      <c r="K10" s="82">
        <v>2290</v>
      </c>
      <c r="L10" s="81"/>
      <c r="M10" s="80">
        <v>1</v>
      </c>
      <c r="N10" s="80"/>
      <c r="O10" s="81"/>
      <c r="P10" s="30" t="str">
        <f t="shared" si="1"/>
        <v>1</v>
      </c>
      <c r="Q10" s="30" t="str">
        <f>INDEX(Торг!$I:$I,MATCH($B10,Торг!$B:$B,0))</f>
        <v>АВТОСВЕТ</v>
      </c>
    </row>
    <row r="11" spans="1:17" ht="30" x14ac:dyDescent="0.25">
      <c r="A11" s="81" t="s">
        <v>130</v>
      </c>
      <c r="B11" s="80">
        <v>163749</v>
      </c>
      <c r="C11" s="80">
        <v>168468</v>
      </c>
      <c r="D11" s="81" t="s">
        <v>133</v>
      </c>
      <c r="E11" s="81" t="s">
        <v>95</v>
      </c>
      <c r="F11" s="81"/>
      <c r="G11" s="81"/>
      <c r="H11" s="81"/>
      <c r="I11" s="81" t="s">
        <v>8</v>
      </c>
      <c r="J11" s="82">
        <v>1500</v>
      </c>
      <c r="K11" s="82">
        <v>2290</v>
      </c>
      <c r="L11" s="81"/>
      <c r="M11" s="80">
        <v>1</v>
      </c>
      <c r="N11" s="80"/>
      <c r="O11" s="81"/>
      <c r="P11" s="30" t="str">
        <f t="shared" si="1"/>
        <v>1</v>
      </c>
      <c r="Q11" s="30" t="str">
        <f>INDEX(Торг!$I:$I,MATCH($B11,Торг!$B:$B,0))</f>
        <v>АВТОСВЕТ</v>
      </c>
    </row>
    <row r="12" spans="1:17" ht="30" x14ac:dyDescent="0.25">
      <c r="A12" s="81" t="s">
        <v>130</v>
      </c>
      <c r="B12" s="80">
        <v>163750</v>
      </c>
      <c r="C12" s="80">
        <v>168469</v>
      </c>
      <c r="D12" s="81" t="s">
        <v>134</v>
      </c>
      <c r="E12" s="81" t="s">
        <v>95</v>
      </c>
      <c r="F12" s="81"/>
      <c r="G12" s="81"/>
      <c r="H12" s="81"/>
      <c r="I12" s="81" t="s">
        <v>8</v>
      </c>
      <c r="J12" s="82">
        <v>1500</v>
      </c>
      <c r="K12" s="82">
        <v>2290</v>
      </c>
      <c r="L12" s="81"/>
      <c r="M12" s="80">
        <v>1</v>
      </c>
      <c r="N12" s="80"/>
      <c r="O12" s="81"/>
      <c r="P12" s="30" t="str">
        <f t="shared" si="1"/>
        <v>1</v>
      </c>
      <c r="Q12" s="30" t="str">
        <f>INDEX(Торг!$I:$I,MATCH($B12,Торг!$B:$B,0))</f>
        <v>АВТОСВЕТ</v>
      </c>
    </row>
    <row r="13" spans="1:17" x14ac:dyDescent="0.25">
      <c r="A13" s="81" t="s">
        <v>135</v>
      </c>
      <c r="B13" s="80">
        <v>324303</v>
      </c>
      <c r="C13" s="80">
        <v>324303</v>
      </c>
      <c r="D13" s="81" t="s">
        <v>136</v>
      </c>
      <c r="E13" s="81" t="s">
        <v>95</v>
      </c>
      <c r="F13" s="81"/>
      <c r="G13" s="81"/>
      <c r="H13" s="81"/>
      <c r="I13" s="81" t="s">
        <v>8</v>
      </c>
      <c r="J13" s="82">
        <v>900</v>
      </c>
      <c r="K13" s="82">
        <v>1390</v>
      </c>
      <c r="L13" s="81"/>
      <c r="M13" s="80">
        <v>1</v>
      </c>
      <c r="N13" s="80"/>
      <c r="O13" s="81"/>
      <c r="P13" s="30" t="str">
        <f t="shared" si="1"/>
        <v>1</v>
      </c>
      <c r="Q13" s="30" t="str">
        <f>INDEX(Торг!$I:$I,MATCH($B13,Торг!$B:$B,0))</f>
        <v>АВТОСВЕТ</v>
      </c>
    </row>
    <row r="14" spans="1:17" x14ac:dyDescent="0.25">
      <c r="A14" s="81" t="s">
        <v>135</v>
      </c>
      <c r="B14" s="80">
        <v>324304</v>
      </c>
      <c r="C14" s="80">
        <v>324304</v>
      </c>
      <c r="D14" s="81" t="s">
        <v>137</v>
      </c>
      <c r="E14" s="81" t="s">
        <v>95</v>
      </c>
      <c r="F14" s="81"/>
      <c r="G14" s="81"/>
      <c r="H14" s="81"/>
      <c r="I14" s="81" t="s">
        <v>8</v>
      </c>
      <c r="J14" s="82">
        <v>900</v>
      </c>
      <c r="K14" s="82">
        <v>1390</v>
      </c>
      <c r="L14" s="81"/>
      <c r="M14" s="80">
        <v>1</v>
      </c>
      <c r="N14" s="80"/>
      <c r="O14" s="81"/>
      <c r="P14" s="30" t="str">
        <f t="shared" si="1"/>
        <v>1</v>
      </c>
      <c r="Q14" s="30" t="str">
        <f>INDEX(Торг!$I:$I,MATCH($B14,Торг!$B:$B,0))</f>
        <v>АВТОСВЕТ</v>
      </c>
    </row>
    <row r="15" spans="1:17" x14ac:dyDescent="0.25">
      <c r="A15" s="81" t="s">
        <v>135</v>
      </c>
      <c r="B15" s="80">
        <v>324305</v>
      </c>
      <c r="C15" s="80">
        <v>324305</v>
      </c>
      <c r="D15" s="81" t="s">
        <v>138</v>
      </c>
      <c r="E15" s="81" t="s">
        <v>95</v>
      </c>
      <c r="F15" s="81"/>
      <c r="G15" s="81"/>
      <c r="H15" s="81"/>
      <c r="I15" s="81" t="s">
        <v>8</v>
      </c>
      <c r="J15" s="82">
        <v>900</v>
      </c>
      <c r="K15" s="82">
        <v>1390</v>
      </c>
      <c r="L15" s="81"/>
      <c r="M15" s="80">
        <v>1</v>
      </c>
      <c r="N15" s="80"/>
      <c r="O15" s="81"/>
      <c r="P15" s="30" t="str">
        <f t="shared" si="1"/>
        <v>1</v>
      </c>
      <c r="Q15" s="30" t="str">
        <f>INDEX(Торг!$I:$I,MATCH($B15,Торг!$B:$B,0))</f>
        <v>АВТОСВЕТ</v>
      </c>
    </row>
    <row r="16" spans="1:17" x14ac:dyDescent="0.25">
      <c r="A16" s="81" t="s">
        <v>135</v>
      </c>
      <c r="B16" s="80">
        <v>324307</v>
      </c>
      <c r="C16" s="80">
        <v>324307</v>
      </c>
      <c r="D16" s="81" t="s">
        <v>139</v>
      </c>
      <c r="E16" s="81" t="s">
        <v>95</v>
      </c>
      <c r="F16" s="81"/>
      <c r="G16" s="81"/>
      <c r="H16" s="81"/>
      <c r="I16" s="81" t="s">
        <v>8</v>
      </c>
      <c r="J16" s="82">
        <v>900</v>
      </c>
      <c r="K16" s="82">
        <v>1390</v>
      </c>
      <c r="L16" s="81"/>
      <c r="M16" s="80">
        <v>1</v>
      </c>
      <c r="N16" s="80"/>
      <c r="O16" s="81"/>
      <c r="P16" s="30" t="str">
        <f t="shared" si="1"/>
        <v>1</v>
      </c>
      <c r="Q16" s="30" t="str">
        <f>INDEX(Торг!$I:$I,MATCH($B16,Торг!$B:$B,0))</f>
        <v>АВТОСВЕТ</v>
      </c>
    </row>
    <row r="17" spans="1:17" x14ac:dyDescent="0.25">
      <c r="A17" s="81" t="s">
        <v>135</v>
      </c>
      <c r="B17" s="80">
        <v>324308</v>
      </c>
      <c r="C17" s="80">
        <v>324308</v>
      </c>
      <c r="D17" s="81" t="s">
        <v>140</v>
      </c>
      <c r="E17" s="81" t="s">
        <v>95</v>
      </c>
      <c r="F17" s="81"/>
      <c r="G17" s="81"/>
      <c r="H17" s="81"/>
      <c r="I17" s="81" t="s">
        <v>8</v>
      </c>
      <c r="J17" s="82">
        <v>900</v>
      </c>
      <c r="K17" s="82">
        <v>1390</v>
      </c>
      <c r="L17" s="81"/>
      <c r="M17" s="80">
        <v>1</v>
      </c>
      <c r="N17" s="80"/>
      <c r="O17" s="81"/>
      <c r="P17" s="30" t="str">
        <f t="shared" si="1"/>
        <v>1</v>
      </c>
      <c r="Q17" s="30" t="str">
        <f>INDEX(Торг!$I:$I,MATCH($B17,Торг!$B:$B,0))</f>
        <v>АВТОСВЕТ</v>
      </c>
    </row>
    <row r="18" spans="1:17" x14ac:dyDescent="0.25">
      <c r="A18" s="81" t="s">
        <v>135</v>
      </c>
      <c r="B18" s="80">
        <v>324310</v>
      </c>
      <c r="C18" s="80">
        <v>324310</v>
      </c>
      <c r="D18" s="81" t="s">
        <v>141</v>
      </c>
      <c r="E18" s="81" t="s">
        <v>95</v>
      </c>
      <c r="F18" s="81"/>
      <c r="G18" s="81"/>
      <c r="H18" s="81"/>
      <c r="I18" s="81" t="s">
        <v>8</v>
      </c>
      <c r="J18" s="82">
        <v>900</v>
      </c>
      <c r="K18" s="82">
        <v>1390</v>
      </c>
      <c r="L18" s="81"/>
      <c r="M18" s="80">
        <v>1</v>
      </c>
      <c r="N18" s="80"/>
      <c r="O18" s="81"/>
      <c r="P18" s="30" t="str">
        <f t="shared" si="1"/>
        <v>1</v>
      </c>
      <c r="Q18" s="30" t="str">
        <f>INDEX(Торг!$I:$I,MATCH($B18,Торг!$B:$B,0))</f>
        <v>АВТОСВЕТ</v>
      </c>
    </row>
    <row r="19" spans="1:17" x14ac:dyDescent="0.25">
      <c r="A19" s="81" t="s">
        <v>135</v>
      </c>
      <c r="B19" s="80">
        <v>324309</v>
      </c>
      <c r="C19" s="80">
        <v>324309</v>
      </c>
      <c r="D19" s="81" t="s">
        <v>142</v>
      </c>
      <c r="E19" s="81" t="s">
        <v>95</v>
      </c>
      <c r="F19" s="81"/>
      <c r="G19" s="81"/>
      <c r="H19" s="81"/>
      <c r="I19" s="81" t="s">
        <v>8</v>
      </c>
      <c r="J19" s="82">
        <v>900</v>
      </c>
      <c r="K19" s="82">
        <v>1390</v>
      </c>
      <c r="L19" s="81"/>
      <c r="M19" s="80">
        <v>1</v>
      </c>
      <c r="N19" s="80"/>
      <c r="O19" s="81"/>
      <c r="P19" s="30" t="str">
        <f t="shared" si="1"/>
        <v>1</v>
      </c>
      <c r="Q19" s="30" t="str">
        <f>INDEX(Торг!$I:$I,MATCH($B19,Торг!$B:$B,0))</f>
        <v>АВТОСВЕТ</v>
      </c>
    </row>
    <row r="20" spans="1:17" x14ac:dyDescent="0.25">
      <c r="A20" s="81" t="s">
        <v>135</v>
      </c>
      <c r="B20" s="80">
        <v>324311</v>
      </c>
      <c r="C20" s="80">
        <v>324311</v>
      </c>
      <c r="D20" s="81" t="s">
        <v>143</v>
      </c>
      <c r="E20" s="81" t="s">
        <v>95</v>
      </c>
      <c r="F20" s="81"/>
      <c r="G20" s="81"/>
      <c r="H20" s="81"/>
      <c r="I20" s="81" t="s">
        <v>8</v>
      </c>
      <c r="J20" s="82">
        <v>900</v>
      </c>
      <c r="K20" s="82">
        <v>1390</v>
      </c>
      <c r="L20" s="81"/>
      <c r="M20" s="80">
        <v>1</v>
      </c>
      <c r="N20" s="80"/>
      <c r="O20" s="81"/>
      <c r="P20" s="30" t="str">
        <f t="shared" si="1"/>
        <v>1</v>
      </c>
      <c r="Q20" s="30" t="str">
        <f>INDEX(Торг!$I:$I,MATCH($B20,Торг!$B:$B,0))</f>
        <v>АВТОСВЕТ</v>
      </c>
    </row>
    <row r="21" spans="1:17" x14ac:dyDescent="0.25">
      <c r="A21" s="81" t="s">
        <v>135</v>
      </c>
      <c r="B21" s="80">
        <v>324312</v>
      </c>
      <c r="C21" s="80">
        <v>324312</v>
      </c>
      <c r="D21" s="81" t="s">
        <v>144</v>
      </c>
      <c r="E21" s="81" t="s">
        <v>95</v>
      </c>
      <c r="F21" s="81"/>
      <c r="G21" s="81"/>
      <c r="H21" s="81"/>
      <c r="I21" s="81" t="s">
        <v>8</v>
      </c>
      <c r="J21" s="82">
        <v>900</v>
      </c>
      <c r="K21" s="82">
        <v>1390</v>
      </c>
      <c r="L21" s="81"/>
      <c r="M21" s="80">
        <v>1</v>
      </c>
      <c r="N21" s="80"/>
      <c r="O21" s="81"/>
      <c r="P21" s="30" t="str">
        <f t="shared" si="1"/>
        <v>1</v>
      </c>
      <c r="Q21" s="30" t="str">
        <f>INDEX(Торг!$I:$I,MATCH($B21,Торг!$B:$B,0))</f>
        <v>АВТОСВЕТ</v>
      </c>
    </row>
    <row r="22" spans="1:17" ht="60" x14ac:dyDescent="0.25">
      <c r="A22" s="81" t="s">
        <v>145</v>
      </c>
      <c r="B22" s="80">
        <v>264901</v>
      </c>
      <c r="C22" s="80">
        <v>206486</v>
      </c>
      <c r="D22" s="81" t="s">
        <v>146</v>
      </c>
      <c r="E22" s="81" t="s">
        <v>95</v>
      </c>
      <c r="F22" s="81"/>
      <c r="G22" s="81" t="s">
        <v>147</v>
      </c>
      <c r="H22" s="81" t="s">
        <v>147</v>
      </c>
      <c r="I22" s="81" t="s">
        <v>8</v>
      </c>
      <c r="J22" s="82">
        <v>700</v>
      </c>
      <c r="K22" s="82">
        <v>1090</v>
      </c>
      <c r="L22" s="81" t="s">
        <v>155</v>
      </c>
      <c r="M22" s="80">
        <v>1</v>
      </c>
      <c r="N22" s="80"/>
      <c r="O22" s="81"/>
      <c r="P22" s="30" t="str">
        <f t="shared" si="1"/>
        <v>1</v>
      </c>
      <c r="Q22" s="30" t="str">
        <f>INDEX(Торг!$I:$I,MATCH($B22,Торг!$B:$B,0))</f>
        <v>АВТОСВЕТ</v>
      </c>
    </row>
    <row r="23" spans="1:17" ht="60" x14ac:dyDescent="0.25">
      <c r="A23" s="81" t="s">
        <v>145</v>
      </c>
      <c r="B23" s="80">
        <v>264902</v>
      </c>
      <c r="C23" s="80">
        <v>206487</v>
      </c>
      <c r="D23" s="81" t="s">
        <v>148</v>
      </c>
      <c r="E23" s="81" t="s">
        <v>95</v>
      </c>
      <c r="F23" s="81"/>
      <c r="G23" s="81" t="s">
        <v>149</v>
      </c>
      <c r="H23" s="81" t="s">
        <v>149</v>
      </c>
      <c r="I23" s="81" t="s">
        <v>8</v>
      </c>
      <c r="J23" s="82">
        <v>750</v>
      </c>
      <c r="K23" s="82">
        <v>1290</v>
      </c>
      <c r="L23" s="81" t="s">
        <v>156</v>
      </c>
      <c r="M23" s="80">
        <v>1</v>
      </c>
      <c r="N23" s="80"/>
      <c r="O23" s="81"/>
      <c r="P23" s="30" t="str">
        <f t="shared" si="1"/>
        <v>1</v>
      </c>
      <c r="Q23" s="30" t="str">
        <f>INDEX(Торг!$I:$I,MATCH($B23,Торг!$B:$B,0))</f>
        <v>АВТОСВЕТ</v>
      </c>
    </row>
  </sheetData>
  <sheetProtection formatCells="0" formatColumns="0" formatRows="0" insertColumns="0" insertRows="0" insertHyperlinks="0" deleteColumns="0" deleteRows="0" sort="0" autoFilter="0" pivotTables="0"/>
  <autoFilter ref="A1:Q23" xr:uid="{6511FEE4-507D-499B-A498-D26ACD8701A9}"/>
  <pageMargins left="0.7" right="0.7" top="0.75" bottom="0.75" header="0.3" footer="0.3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D301F-D427-4B8C-A932-1450F3CADB95}">
  <sheetPr codeName="Лист6">
    <tabColor rgb="FF92D050"/>
  </sheetPr>
  <dimension ref="A1:C78"/>
  <sheetViews>
    <sheetView workbookViewId="0">
      <selection activeCell="S22" sqref="S22"/>
    </sheetView>
  </sheetViews>
  <sheetFormatPr defaultRowHeight="15" x14ac:dyDescent="0.25"/>
  <cols>
    <col min="1" max="1" width="7.7109375" customWidth="1"/>
    <col min="2" max="2" width="11.140625" customWidth="1"/>
    <col min="3" max="16384" width="9.140625" style="32"/>
  </cols>
  <sheetData>
    <row r="1" spans="1:3" x14ac:dyDescent="0.25">
      <c r="A1" s="14"/>
      <c r="B1" s="14"/>
    </row>
    <row r="2" spans="1:3" x14ac:dyDescent="0.25">
      <c r="A2" s="2" t="s">
        <v>0</v>
      </c>
      <c r="B2" s="9" t="s">
        <v>81</v>
      </c>
    </row>
    <row r="3" spans="1:3" x14ac:dyDescent="0.25">
      <c r="A3" s="35">
        <v>219133</v>
      </c>
      <c r="B3" s="3"/>
    </row>
    <row r="4" spans="1:3" x14ac:dyDescent="0.25">
      <c r="A4" s="35">
        <v>223115</v>
      </c>
      <c r="B4" s="3" t="s">
        <v>164</v>
      </c>
    </row>
    <row r="5" spans="1:3" x14ac:dyDescent="0.25">
      <c r="A5" s="35">
        <v>117285</v>
      </c>
      <c r="B5" s="3"/>
    </row>
    <row r="6" spans="1:3" x14ac:dyDescent="0.25">
      <c r="A6" s="35">
        <v>158384</v>
      </c>
      <c r="B6" s="3" t="s">
        <v>164</v>
      </c>
    </row>
    <row r="7" spans="1:3" x14ac:dyDescent="0.25">
      <c r="A7" s="35">
        <v>218496</v>
      </c>
      <c r="B7" s="3" t="s">
        <v>164</v>
      </c>
    </row>
    <row r="8" spans="1:3" x14ac:dyDescent="0.25">
      <c r="A8" s="35">
        <v>218503</v>
      </c>
      <c r="B8" s="3" t="s">
        <v>164</v>
      </c>
    </row>
    <row r="9" spans="1:3" x14ac:dyDescent="0.25">
      <c r="A9" s="35">
        <v>117042</v>
      </c>
      <c r="B9" s="3"/>
    </row>
    <row r="10" spans="1:3" x14ac:dyDescent="0.25">
      <c r="A10" s="35">
        <v>158385</v>
      </c>
      <c r="B10" s="3" t="s">
        <v>164</v>
      </c>
    </row>
    <row r="11" spans="1:3" ht="15.75" thickBot="1" x14ac:dyDescent="0.3">
      <c r="A11" s="35">
        <v>171601</v>
      </c>
      <c r="B11" s="26">
        <v>2890</v>
      </c>
      <c r="C11" s="32" t="s">
        <v>166</v>
      </c>
    </row>
    <row r="12" spans="1:3" ht="15.75" thickTop="1" x14ac:dyDescent="0.25">
      <c r="A12" s="35">
        <v>219134</v>
      </c>
      <c r="B12" s="3"/>
    </row>
    <row r="13" spans="1:3" x14ac:dyDescent="0.25">
      <c r="A13" s="35">
        <v>139541</v>
      </c>
      <c r="B13" s="49">
        <v>1480</v>
      </c>
      <c r="C13" s="32" t="s">
        <v>172</v>
      </c>
    </row>
    <row r="14" spans="1:3" x14ac:dyDescent="0.25">
      <c r="A14" s="35">
        <v>186651</v>
      </c>
      <c r="B14" s="3" t="s">
        <v>164</v>
      </c>
    </row>
    <row r="15" spans="1:3" x14ac:dyDescent="0.25">
      <c r="A15" s="35">
        <v>186652</v>
      </c>
      <c r="B15" s="3" t="s">
        <v>164</v>
      </c>
    </row>
    <row r="16" spans="1:3" x14ac:dyDescent="0.25">
      <c r="A16" s="35">
        <v>202540</v>
      </c>
      <c r="B16" s="3" t="s">
        <v>169</v>
      </c>
    </row>
    <row r="17" spans="1:3" x14ac:dyDescent="0.25">
      <c r="A17" s="35">
        <v>202541</v>
      </c>
      <c r="B17" s="3" t="s">
        <v>169</v>
      </c>
    </row>
    <row r="18" spans="1:3" x14ac:dyDescent="0.25">
      <c r="A18" s="35">
        <v>170720</v>
      </c>
      <c r="B18" s="3" t="s">
        <v>164</v>
      </c>
    </row>
    <row r="19" spans="1:3" x14ac:dyDescent="0.25">
      <c r="A19" s="35">
        <v>117301</v>
      </c>
      <c r="B19" s="3" t="s">
        <v>164</v>
      </c>
    </row>
    <row r="20" spans="1:3" x14ac:dyDescent="0.25">
      <c r="A20" s="35">
        <v>153109</v>
      </c>
      <c r="B20" s="3" t="s">
        <v>164</v>
      </c>
    </row>
    <row r="21" spans="1:3" x14ac:dyDescent="0.25">
      <c r="A21" s="35">
        <v>185791</v>
      </c>
      <c r="B21" s="49">
        <v>295</v>
      </c>
      <c r="C21" s="32" t="s">
        <v>210</v>
      </c>
    </row>
    <row r="22" spans="1:3" x14ac:dyDescent="0.25">
      <c r="A22" s="35">
        <v>185790</v>
      </c>
      <c r="B22" s="49">
        <v>295</v>
      </c>
      <c r="C22" s="32" t="s">
        <v>210</v>
      </c>
    </row>
    <row r="23" spans="1:3" ht="15.75" thickBot="1" x14ac:dyDescent="0.3">
      <c r="A23" s="35">
        <v>224046</v>
      </c>
      <c r="B23" s="26">
        <v>899</v>
      </c>
      <c r="C23" s="32" t="s">
        <v>168</v>
      </c>
    </row>
    <row r="24" spans="1:3" ht="15.75" thickTop="1" x14ac:dyDescent="0.25">
      <c r="A24" s="35">
        <v>219131</v>
      </c>
      <c r="B24" s="49">
        <v>1690</v>
      </c>
      <c r="C24" s="32" t="s">
        <v>170</v>
      </c>
    </row>
    <row r="25" spans="1:3" x14ac:dyDescent="0.25">
      <c r="A25" s="35">
        <v>186653</v>
      </c>
      <c r="B25" s="3" t="s">
        <v>169</v>
      </c>
    </row>
    <row r="26" spans="1:3" x14ac:dyDescent="0.25">
      <c r="A26" s="35">
        <v>117299</v>
      </c>
      <c r="B26" s="3" t="s">
        <v>164</v>
      </c>
    </row>
    <row r="27" spans="1:3" ht="15.75" thickBot="1" x14ac:dyDescent="0.3">
      <c r="A27" s="35">
        <v>145541</v>
      </c>
      <c r="B27" s="26">
        <v>1590</v>
      </c>
      <c r="C27" s="32" t="s">
        <v>165</v>
      </c>
    </row>
    <row r="28" spans="1:3" ht="15.75" thickTop="1" x14ac:dyDescent="0.25">
      <c r="A28" s="35">
        <v>171592</v>
      </c>
      <c r="B28" s="3" t="s">
        <v>164</v>
      </c>
    </row>
    <row r="29" spans="1:3" x14ac:dyDescent="0.25">
      <c r="A29" s="35">
        <v>139607</v>
      </c>
      <c r="B29" s="3" t="s">
        <v>164</v>
      </c>
    </row>
    <row r="30" spans="1:3" x14ac:dyDescent="0.25">
      <c r="A30" s="35">
        <v>223317</v>
      </c>
      <c r="B30" s="3" t="s">
        <v>164</v>
      </c>
    </row>
    <row r="31" spans="1:3" x14ac:dyDescent="0.25">
      <c r="A31" s="35">
        <v>219135</v>
      </c>
      <c r="B31" s="3"/>
    </row>
    <row r="32" spans="1:3" ht="15.75" thickBot="1" x14ac:dyDescent="0.3">
      <c r="A32" s="35">
        <v>145555</v>
      </c>
      <c r="B32" s="26">
        <v>9190</v>
      </c>
      <c r="C32" s="32" t="s">
        <v>103</v>
      </c>
    </row>
    <row r="33" spans="1:3" ht="16.5" thickTop="1" thickBot="1" x14ac:dyDescent="0.3">
      <c r="A33" s="35">
        <v>145554</v>
      </c>
      <c r="B33" s="26">
        <v>9190</v>
      </c>
      <c r="C33" s="32" t="s">
        <v>103</v>
      </c>
    </row>
    <row r="34" spans="1:3" ht="16.5" thickTop="1" thickBot="1" x14ac:dyDescent="0.3">
      <c r="A34" s="35">
        <v>217461</v>
      </c>
      <c r="B34" s="26">
        <v>369</v>
      </c>
      <c r="C34" s="32" t="s">
        <v>167</v>
      </c>
    </row>
    <row r="35" spans="1:3" ht="15.75" thickTop="1" x14ac:dyDescent="0.25">
      <c r="A35" s="35">
        <v>117290</v>
      </c>
      <c r="B35" s="3" t="s">
        <v>164</v>
      </c>
    </row>
    <row r="36" spans="1:3" x14ac:dyDescent="0.25">
      <c r="A36" s="35">
        <v>242666</v>
      </c>
      <c r="B36" s="3" t="s">
        <v>164</v>
      </c>
    </row>
    <row r="37" spans="1:3" x14ac:dyDescent="0.25">
      <c r="A37" s="35">
        <v>158382</v>
      </c>
      <c r="B37" s="49">
        <v>590</v>
      </c>
      <c r="C37" s="32" t="s">
        <v>171</v>
      </c>
    </row>
    <row r="38" spans="1:3" x14ac:dyDescent="0.25">
      <c r="A38" s="35">
        <v>145496</v>
      </c>
      <c r="B38" s="3" t="s">
        <v>164</v>
      </c>
    </row>
    <row r="39" spans="1:3" x14ac:dyDescent="0.25">
      <c r="A39" s="35">
        <v>244652</v>
      </c>
      <c r="B39" s="3" t="s">
        <v>164</v>
      </c>
    </row>
    <row r="40" spans="1:3" x14ac:dyDescent="0.25">
      <c r="A40" s="35">
        <v>301129</v>
      </c>
      <c r="B40" s="3" t="s">
        <v>164</v>
      </c>
    </row>
    <row r="41" spans="1:3" x14ac:dyDescent="0.25">
      <c r="A41" s="35">
        <v>158334</v>
      </c>
      <c r="B41" s="49">
        <v>290</v>
      </c>
      <c r="C41" s="32" t="s">
        <v>211</v>
      </c>
    </row>
    <row r="42" spans="1:3" x14ac:dyDescent="0.25">
      <c r="A42" s="35">
        <v>276767</v>
      </c>
      <c r="B42" s="3" t="s">
        <v>169</v>
      </c>
    </row>
    <row r="43" spans="1:3" x14ac:dyDescent="0.25">
      <c r="A43" s="35">
        <v>201759</v>
      </c>
      <c r="B43" s="3" t="s">
        <v>164</v>
      </c>
    </row>
    <row r="44" spans="1:3" x14ac:dyDescent="0.25">
      <c r="A44" s="35">
        <v>201760</v>
      </c>
      <c r="B44" s="3" t="s">
        <v>164</v>
      </c>
    </row>
    <row r="45" spans="1:3" x14ac:dyDescent="0.25">
      <c r="A45" s="35">
        <v>203733</v>
      </c>
      <c r="B45" s="3" t="s">
        <v>164</v>
      </c>
    </row>
    <row r="46" spans="1:3" x14ac:dyDescent="0.25">
      <c r="A46" s="35">
        <v>274104</v>
      </c>
      <c r="B46" s="3"/>
    </row>
    <row r="47" spans="1:3" x14ac:dyDescent="0.25">
      <c r="A47" s="35">
        <v>213729</v>
      </c>
      <c r="B47" s="49" t="s">
        <v>163</v>
      </c>
      <c r="C47" s="32" t="s">
        <v>162</v>
      </c>
    </row>
    <row r="48" spans="1:3" x14ac:dyDescent="0.25">
      <c r="A48" s="35">
        <v>213731</v>
      </c>
      <c r="B48" s="3" t="s">
        <v>164</v>
      </c>
    </row>
    <row r="49" spans="1:3" x14ac:dyDescent="0.25">
      <c r="A49" s="35">
        <v>218485</v>
      </c>
      <c r="B49" s="3" t="s">
        <v>164</v>
      </c>
    </row>
    <row r="50" spans="1:3" x14ac:dyDescent="0.25">
      <c r="A50" s="35">
        <v>223052</v>
      </c>
      <c r="B50" s="49">
        <v>890</v>
      </c>
      <c r="C50" s="32" t="s">
        <v>160</v>
      </c>
    </row>
    <row r="51" spans="1:3" x14ac:dyDescent="0.25">
      <c r="A51" s="35">
        <v>223059</v>
      </c>
      <c r="B51" s="49">
        <v>790</v>
      </c>
      <c r="C51" s="32" t="s">
        <v>161</v>
      </c>
    </row>
    <row r="52" spans="1:3" x14ac:dyDescent="0.25">
      <c r="A52" s="35">
        <v>223944</v>
      </c>
      <c r="B52" s="49">
        <v>24990</v>
      </c>
      <c r="C52" s="32" t="s">
        <v>159</v>
      </c>
    </row>
    <row r="53" spans="1:3" x14ac:dyDescent="0.25">
      <c r="A53" s="2" t="s">
        <v>0</v>
      </c>
      <c r="B53" s="9" t="s">
        <v>81</v>
      </c>
      <c r="C53" s="48"/>
    </row>
    <row r="54" spans="1:3" ht="15.75" thickBot="1" x14ac:dyDescent="0.3">
      <c r="A54" s="35">
        <v>243588</v>
      </c>
      <c r="B54" s="26">
        <v>769</v>
      </c>
      <c r="C54" s="48" t="s">
        <v>157</v>
      </c>
    </row>
    <row r="55" spans="1:3" ht="16.5" thickTop="1" thickBot="1" x14ac:dyDescent="0.3">
      <c r="A55" s="35">
        <v>243589</v>
      </c>
      <c r="B55" s="26">
        <v>769</v>
      </c>
      <c r="C55" s="48" t="s">
        <v>158</v>
      </c>
    </row>
    <row r="56" spans="1:3" ht="16.5" thickTop="1" thickBot="1" x14ac:dyDescent="0.3">
      <c r="A56" s="35">
        <v>243590</v>
      </c>
      <c r="B56" s="26">
        <v>769</v>
      </c>
      <c r="C56" s="48" t="s">
        <v>158</v>
      </c>
    </row>
    <row r="57" spans="1:3" ht="16.5" thickTop="1" thickBot="1" x14ac:dyDescent="0.3">
      <c r="A57" s="35">
        <v>257956</v>
      </c>
      <c r="B57" s="46">
        <v>949</v>
      </c>
      <c r="C57" s="48" t="s">
        <v>154</v>
      </c>
    </row>
    <row r="58" spans="1:3" ht="16.5" thickTop="1" thickBot="1" x14ac:dyDescent="0.3">
      <c r="A58" s="35">
        <v>257957</v>
      </c>
      <c r="B58" s="46">
        <v>899</v>
      </c>
      <c r="C58" s="48" t="s">
        <v>153</v>
      </c>
    </row>
    <row r="59" spans="1:3" ht="16.5" thickTop="1" thickBot="1" x14ac:dyDescent="0.3">
      <c r="A59" s="35">
        <v>257958</v>
      </c>
      <c r="B59" s="46">
        <v>899</v>
      </c>
      <c r="C59" s="48" t="s">
        <v>153</v>
      </c>
    </row>
    <row r="60" spans="1:3" ht="16.5" thickTop="1" thickBot="1" x14ac:dyDescent="0.3">
      <c r="A60" s="35">
        <v>257959</v>
      </c>
      <c r="B60" s="46">
        <v>899</v>
      </c>
      <c r="C60" s="48" t="s">
        <v>153</v>
      </c>
    </row>
    <row r="61" spans="1:3" ht="16.5" thickTop="1" thickBot="1" x14ac:dyDescent="0.3">
      <c r="A61" s="35">
        <v>163747</v>
      </c>
      <c r="B61" s="26" t="s">
        <v>164</v>
      </c>
      <c r="C61" s="48"/>
    </row>
    <row r="62" spans="1:3" ht="16.5" thickTop="1" thickBot="1" x14ac:dyDescent="0.3">
      <c r="A62" s="35">
        <v>163748</v>
      </c>
      <c r="B62" s="26" t="s">
        <v>164</v>
      </c>
      <c r="C62" s="48"/>
    </row>
    <row r="63" spans="1:3" ht="16.5" thickTop="1" thickBot="1" x14ac:dyDescent="0.3">
      <c r="A63" s="35">
        <v>163749</v>
      </c>
      <c r="B63" s="26" t="s">
        <v>164</v>
      </c>
      <c r="C63" s="48"/>
    </row>
    <row r="64" spans="1:3" ht="16.5" thickTop="1" thickBot="1" x14ac:dyDescent="0.3">
      <c r="A64" s="35">
        <v>163750</v>
      </c>
      <c r="B64" s="26" t="s">
        <v>164</v>
      </c>
      <c r="C64" s="48"/>
    </row>
    <row r="65" spans="1:3" ht="16.5" thickTop="1" thickBot="1" x14ac:dyDescent="0.3">
      <c r="A65" s="35">
        <v>324303</v>
      </c>
      <c r="B65" s="26">
        <v>929</v>
      </c>
      <c r="C65" s="48" t="s">
        <v>214</v>
      </c>
    </row>
    <row r="66" spans="1:3" ht="16.5" thickTop="1" thickBot="1" x14ac:dyDescent="0.3">
      <c r="A66" s="35">
        <v>324304</v>
      </c>
      <c r="B66" s="26" t="s">
        <v>164</v>
      </c>
      <c r="C66" s="48"/>
    </row>
    <row r="67" spans="1:3" ht="16.5" thickTop="1" thickBot="1" x14ac:dyDescent="0.3">
      <c r="A67" s="35">
        <v>324305</v>
      </c>
      <c r="B67" s="26" t="s">
        <v>164</v>
      </c>
      <c r="C67" s="48"/>
    </row>
    <row r="68" spans="1:3" ht="16.5" thickTop="1" thickBot="1" x14ac:dyDescent="0.3">
      <c r="A68" s="35">
        <v>324307</v>
      </c>
      <c r="B68" s="26" t="s">
        <v>213</v>
      </c>
      <c r="C68" s="48" t="s">
        <v>212</v>
      </c>
    </row>
    <row r="69" spans="1:3" ht="16.5" thickTop="1" thickBot="1" x14ac:dyDescent="0.3">
      <c r="A69" s="35">
        <v>324308</v>
      </c>
      <c r="B69" s="26" t="s">
        <v>164</v>
      </c>
      <c r="C69" s="48"/>
    </row>
    <row r="70" spans="1:3" ht="16.5" thickTop="1" thickBot="1" x14ac:dyDescent="0.3">
      <c r="A70" s="35">
        <v>324310</v>
      </c>
      <c r="B70" s="26" t="s">
        <v>164</v>
      </c>
      <c r="C70" s="48"/>
    </row>
    <row r="71" spans="1:3" ht="16.5" thickTop="1" thickBot="1" x14ac:dyDescent="0.3">
      <c r="A71" s="35">
        <v>324309</v>
      </c>
      <c r="B71" s="26" t="s">
        <v>216</v>
      </c>
      <c r="C71" s="48" t="s">
        <v>215</v>
      </c>
    </row>
    <row r="72" spans="1:3" ht="16.5" thickTop="1" thickBot="1" x14ac:dyDescent="0.3">
      <c r="A72" s="35">
        <v>324311</v>
      </c>
      <c r="B72" s="26" t="s">
        <v>164</v>
      </c>
      <c r="C72" s="48"/>
    </row>
    <row r="73" spans="1:3" ht="16.5" thickTop="1" thickBot="1" x14ac:dyDescent="0.3">
      <c r="A73" s="35">
        <v>324312</v>
      </c>
      <c r="B73" s="26" t="s">
        <v>164</v>
      </c>
      <c r="C73" s="48"/>
    </row>
    <row r="74" spans="1:3" ht="16.5" thickTop="1" thickBot="1" x14ac:dyDescent="0.3">
      <c r="A74" s="35">
        <v>264901</v>
      </c>
      <c r="B74" s="46">
        <v>1190</v>
      </c>
      <c r="C74" s="48" t="s">
        <v>155</v>
      </c>
    </row>
    <row r="75" spans="1:3" ht="16.5" thickTop="1" thickBot="1" x14ac:dyDescent="0.3">
      <c r="A75" s="35">
        <v>264902</v>
      </c>
      <c r="B75" s="46">
        <v>1190</v>
      </c>
      <c r="C75" s="48" t="s">
        <v>156</v>
      </c>
    </row>
    <row r="76" spans="1:3" ht="15.75" thickTop="1" x14ac:dyDescent="0.25">
      <c r="A76" s="35">
        <v>151129</v>
      </c>
      <c r="B76" s="61">
        <v>1490</v>
      </c>
      <c r="C76" s="32" t="s">
        <v>222</v>
      </c>
    </row>
    <row r="77" spans="1:3" x14ac:dyDescent="0.25">
      <c r="A77" s="35">
        <v>151130</v>
      </c>
      <c r="B77" s="61">
        <v>1290</v>
      </c>
      <c r="C77" s="32" t="s">
        <v>223</v>
      </c>
    </row>
    <row r="78" spans="1:3" x14ac:dyDescent="0.25">
      <c r="A78" s="35">
        <v>213885</v>
      </c>
      <c r="B78" s="3" t="s">
        <v>164</v>
      </c>
    </row>
  </sheetData>
  <conditionalFormatting sqref="A3:A52">
    <cfRule type="expression" dxfId="45" priority="3">
      <formula>AND(ROUNDDOWN($P3,0)=0,ROUNDDOWN($O3,0)=0)</formula>
    </cfRule>
  </conditionalFormatting>
  <conditionalFormatting sqref="A54:A75">
    <cfRule type="expression" dxfId="44" priority="2">
      <formula>AND(ROUNDDOWN($P54,0)=0,ROUNDDOWN($Q54,0)=0)</formula>
    </cfRule>
  </conditionalFormatting>
  <conditionalFormatting sqref="A76:A78">
    <cfRule type="expression" dxfId="43" priority="1">
      <formula>AND(ROUNDDOWN($P76,0)=0,ROUNDDOWN($O76,0)=0)</formula>
    </cfRule>
  </conditionalFormatting>
  <hyperlinks>
    <hyperlink ref="B33" r:id="rId1" display="https://motorring.ru/product/38324-fonari-svetodiodnye-stile-audi-vaz-2110-krasnii" xr:uid="{EB1D06F9-91BB-4C5B-849B-3005C9EF831D}"/>
    <hyperlink ref="B27" r:id="rId2" display="https://motorring.ru/product/21338-korpusa-zadnih-fonarey-belym-povorotnikom-vaz-2108-21099" xr:uid="{6D005539-2FBB-4BA5-817C-1D56B34C1454}"/>
    <hyperlink ref="B11" r:id="rId3" display="https://motorring.ru/product/41035-kruglaya-nasadka-glushitelya-akrapovic-tq004c-skosom" xr:uid="{6EAE8698-BA24-44C5-ADD6-2607E6459794}"/>
    <hyperlink ref="B34" r:id="rId4" display="https://motorring.ru/product/21150-steklo-pravoy-fary-avtosvet-vaz-2113-2115" xr:uid="{E58BEFEB-3FBF-47B6-95C3-F2AFFBBDBE6C}"/>
    <hyperlink ref="B23" r:id="rId5" display="https://motorring.ru/product/10393-filytr-nulevogo-soprotivleniya-shtatnyy-korpus" xr:uid="{F0B70102-7356-4C7B-BFC0-D55BB14CE265}"/>
    <hyperlink ref="B32" r:id="rId6" display="https://motorring.ru/product/38324-fonari-svetodiodnye-stile-audi-vaz-2110-krasnii" xr:uid="{5382602C-FA22-4F9F-BC7B-2B321DC5AC34}"/>
    <hyperlink ref="B52" r:id="rId7" display="https://motorring.ru/product/32067-komplekt-chernyh-linzovannyh-far-stile-amg-dlya-lada-priora" xr:uid="{1B213EC2-5EE3-4498-92F6-6636C7A7C85A}"/>
    <hyperlink ref="B50" r:id="rId8" display="https://motorring.ru/product/34428-universalynaya-rezinovaya-guba-samurai-beliy-kant" xr:uid="{B68E7277-06ED-4CBF-8F7C-5035F3C3442B}"/>
    <hyperlink ref="B51" r:id="rId9" display="https://motorring.ru/product/12708-universalynaya-rezinovaya-guba-samurai-bamper" xr:uid="{91BF45B3-A242-4DF4-B260-9E9A6A6B4263}"/>
    <hyperlink ref="B47" r:id="rId10" xr:uid="{FC0EAA2B-E385-433B-8958-31D920BBF016}"/>
    <hyperlink ref="B24" r:id="rId11" display="https://motorring.ru/product/21483-termolenta-titan-vypusknuyu-sistemu" xr:uid="{74BA8C7D-7B99-49FE-9283-A5E02C8D4067}"/>
    <hyperlink ref="B37" r:id="rId12" display="https://motorring.ru/product/11752-vspyshki-fso-48w-16-svetodiodov" xr:uid="{864A9C23-2067-4118-A053-24A2E9420EEA}"/>
    <hyperlink ref="B13" r:id="rId13" display="https://motorring.ru/product/27379-vspyshka-fso-belo-krasnaya-svetodiodov" xr:uid="{72D4A986-B5B5-49E4-86BB-7D1B4BDD7921}"/>
    <hyperlink ref="B21" r:id="rId14" display="https://motorring.ru/product/37863-platy-zadnih-fonarey-dlya-vaz-2108-21099" xr:uid="{DB25A94F-E472-4D3D-9C62-8D12047630DF}"/>
    <hyperlink ref="B22" r:id="rId15" display="https://motorring.ru/product/37863-platy-zadnih-fonarey-dlya-vaz-2108-21099" xr:uid="{7D2A2CF2-3B30-4D42-9DFC-691E45C447EF}"/>
    <hyperlink ref="B41" r:id="rId16" display="https://motorring.ru/product/32730-led-rgb-lampy-gabarity-puytom-lightspace-t10-w5w" xr:uid="{08EFB2AA-9BEF-485A-B28E-F7B454F95442}"/>
    <hyperlink ref="B54" r:id="rId17" display="https://motorring.ru/product/38485-filytr-nulevogo-soprotivleniya-inghektor-krasniy-vaz" xr:uid="{F07F98AE-94CC-4733-95FB-A8DCEDCA68BC}"/>
    <hyperlink ref="B56" r:id="rId18" display="https://motorring.ru/product/2370-filytr-nulevogo-soprotivleniya-inghektor-dlya-vaz" xr:uid="{80A02068-9D0A-4D0F-AF12-4B2226447E21}"/>
    <hyperlink ref="B55" r:id="rId19" display="https://motorring.ru/product/2370-filytr-nulevogo-soprotivleniya-inghektor-dlya-vaz" xr:uid="{425DBE59-0E21-474E-B863-FA0C202D07DD}"/>
    <hyperlink ref="B58" r:id="rId20" display="https://motorring.ru/product/3003-vozdushnyy-filytr-nulevogo-soprotivleniya-prosport" xr:uid="{49DE4382-047D-47F3-8422-885B46996DE0}"/>
    <hyperlink ref="B57" r:id="rId21" display="https://motorring.ru/product/3009-vozdushnyy-filytr-nulevogo-soprotivleniya-inghektornyy" xr:uid="{A4215113-2DBE-4A0E-A924-373DC808E668}"/>
    <hyperlink ref="B74" r:id="rId22" display="https://motorring.ru/product/2368-filytr-nulevogo-soprotivleniya-karbyurator-vaz" xr:uid="{32A837DE-070F-47B8-B2B3-D026EA7D5F07}"/>
    <hyperlink ref="B75" r:id="rId23" display="https://motorring.ru/product/29225-filytr-nulevogo-soprotivleniya-siniy-karbyurator-vaz" xr:uid="{7C20EE7F-B3FA-4ECC-8755-15A1269B67B5}"/>
    <hyperlink ref="B59" r:id="rId24" display="https://motorring.ru/product/3003-vozdushnyy-filytr-nulevogo-soprotivleniya-prosport" xr:uid="{F7E38618-2AA4-45E6-905C-6DA9D803AD9E}"/>
    <hyperlink ref="B60" r:id="rId25" display="https://motorring.ru/product/3003-vozdushnyy-filytr-nulevogo-soprotivleniya-prosport" xr:uid="{839F3923-C20A-4B87-B35A-45A4964DBCDD}"/>
  </hyperlinks>
  <pageMargins left="0.7" right="0.7" top="0.75" bottom="0.75" header="0.3" footer="0.3"/>
  <pageSetup paperSize="9" orientation="portrait" r:id="rId26"/>
  <drawing r:id="rId27"/>
  <legacyDrawing r:id="rId28"/>
  <controls>
    <mc:AlternateContent xmlns:mc="http://schemas.openxmlformats.org/markup-compatibility/2006">
      <mc:Choice Requires="x14">
        <control shapeId="1025" r:id="rId29" name="CommandButton1">
          <controlPr defaultSize="0" autoLine="0" r:id="rId30">
            <anchor moveWithCells="1">
              <from>
                <xdr:col>8</xdr:col>
                <xdr:colOff>457200</xdr:colOff>
                <xdr:row>4</xdr:row>
                <xdr:rowOff>180975</xdr:rowOff>
              </from>
              <to>
                <xdr:col>11</xdr:col>
                <xdr:colOff>590550</xdr:colOff>
                <xdr:row>8</xdr:row>
                <xdr:rowOff>76200</xdr:rowOff>
              </to>
            </anchor>
          </controlPr>
        </control>
      </mc:Choice>
      <mc:Fallback>
        <control shapeId="1025" r:id="rId29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2E862-B497-4F0B-9948-ECFAE342816E}">
  <sheetPr codeName="Лист7">
    <tabColor rgb="FF92D050"/>
  </sheetPr>
  <dimension ref="A1:T550"/>
  <sheetViews>
    <sheetView workbookViewId="0"/>
  </sheetViews>
  <sheetFormatPr defaultRowHeight="15" x14ac:dyDescent="0.25"/>
  <cols>
    <col min="1" max="2" width="11.140625" style="32" bestFit="1" customWidth="1"/>
    <col min="3" max="3" width="13.28515625" style="32" bestFit="1" customWidth="1"/>
    <col min="4" max="4" width="81.140625" style="32" bestFit="1" customWidth="1"/>
    <col min="5" max="5" width="28.28515625" style="32" bestFit="1" customWidth="1"/>
    <col min="6" max="6" width="35.5703125" style="32" bestFit="1" customWidth="1"/>
    <col min="7" max="9" width="11.140625" style="32" bestFit="1" customWidth="1"/>
    <col min="10" max="20" width="12.140625" style="32" bestFit="1" customWidth="1"/>
    <col min="21" max="16384" width="9.140625" style="32"/>
  </cols>
  <sheetData>
    <row r="1" spans="1:20" x14ac:dyDescent="0.25">
      <c r="A1" s="32" t="s">
        <v>173</v>
      </c>
      <c r="B1" s="32" t="s">
        <v>174</v>
      </c>
      <c r="C1" s="32" t="s">
        <v>175</v>
      </c>
      <c r="D1" s="32" t="s">
        <v>176</v>
      </c>
      <c r="E1" s="32" t="s">
        <v>177</v>
      </c>
      <c r="F1" s="32" t="s">
        <v>178</v>
      </c>
      <c r="G1" s="32" t="s">
        <v>179</v>
      </c>
      <c r="H1" s="32" t="s">
        <v>180</v>
      </c>
      <c r="I1" s="32" t="s">
        <v>181</v>
      </c>
      <c r="J1" s="32" t="s">
        <v>182</v>
      </c>
      <c r="K1" s="32" t="s">
        <v>183</v>
      </c>
      <c r="L1" s="32" t="s">
        <v>184</v>
      </c>
      <c r="M1" s="32" t="s">
        <v>185</v>
      </c>
      <c r="N1" s="32" t="s">
        <v>186</v>
      </c>
      <c r="O1" s="32" t="s">
        <v>187</v>
      </c>
      <c r="P1" s="32" t="s">
        <v>188</v>
      </c>
      <c r="Q1" s="32" t="s">
        <v>189</v>
      </c>
      <c r="R1" s="32" t="s">
        <v>190</v>
      </c>
      <c r="S1" s="32" t="s">
        <v>191</v>
      </c>
      <c r="T1" s="32" t="s">
        <v>192</v>
      </c>
    </row>
    <row r="2" spans="1:20" x14ac:dyDescent="0.25">
      <c r="A2" s="51" t="s">
        <v>224</v>
      </c>
      <c r="B2" t="s">
        <v>225</v>
      </c>
      <c r="C2" t="s">
        <v>226</v>
      </c>
      <c r="D2" s="51" t="s">
        <v>193</v>
      </c>
      <c r="E2" s="51" t="s">
        <v>194</v>
      </c>
      <c r="F2" s="51" t="s">
        <v>195</v>
      </c>
      <c r="G2" s="51"/>
      <c r="H2"/>
      <c r="I2"/>
      <c r="J2"/>
      <c r="K2"/>
      <c r="L2"/>
      <c r="M2"/>
      <c r="N2"/>
      <c r="O2"/>
      <c r="P2"/>
      <c r="Q2"/>
      <c r="R2"/>
      <c r="S2"/>
      <c r="T2"/>
    </row>
    <row r="3" spans="1:20" x14ac:dyDescent="0.25">
      <c r="A3" s="51"/>
      <c r="B3" t="s">
        <v>0</v>
      </c>
      <c r="C3"/>
      <c r="D3" s="51" t="s">
        <v>123</v>
      </c>
      <c r="E3" s="51" t="s">
        <v>196</v>
      </c>
      <c r="F3" s="51" t="s">
        <v>196</v>
      </c>
      <c r="G3" s="51"/>
      <c r="H3"/>
      <c r="I3"/>
      <c r="J3"/>
      <c r="K3"/>
      <c r="L3"/>
      <c r="M3"/>
      <c r="N3"/>
      <c r="O3"/>
      <c r="P3"/>
      <c r="Q3"/>
      <c r="R3"/>
      <c r="S3"/>
      <c r="T3"/>
    </row>
    <row r="4" spans="1:20" x14ac:dyDescent="0.25">
      <c r="A4" s="51" t="s">
        <v>8</v>
      </c>
      <c r="B4">
        <v>219133</v>
      </c>
      <c r="C4"/>
      <c r="D4" s="51"/>
      <c r="E4" s="51"/>
      <c r="F4" s="51"/>
      <c r="G4" s="51" t="s">
        <v>197</v>
      </c>
      <c r="H4"/>
      <c r="I4"/>
      <c r="J4"/>
      <c r="K4"/>
      <c r="L4"/>
      <c r="M4"/>
      <c r="N4"/>
      <c r="O4"/>
      <c r="P4"/>
      <c r="Q4"/>
      <c r="R4"/>
      <c r="S4"/>
      <c r="T4"/>
    </row>
    <row r="5" spans="1:20" x14ac:dyDescent="0.25">
      <c r="A5" s="51" t="s">
        <v>8</v>
      </c>
      <c r="B5">
        <v>223115</v>
      </c>
      <c r="C5" t="s">
        <v>164</v>
      </c>
      <c r="D5" s="51"/>
      <c r="E5" s="51"/>
      <c r="F5" s="51"/>
      <c r="G5" s="51" t="s">
        <v>197</v>
      </c>
      <c r="H5"/>
      <c r="I5"/>
      <c r="J5"/>
      <c r="K5"/>
      <c r="L5"/>
      <c r="M5"/>
      <c r="N5"/>
      <c r="O5"/>
      <c r="P5"/>
      <c r="Q5"/>
      <c r="R5"/>
      <c r="S5"/>
      <c r="T5"/>
    </row>
    <row r="6" spans="1:20" x14ac:dyDescent="0.25">
      <c r="A6" s="51" t="s">
        <v>8</v>
      </c>
      <c r="B6">
        <v>117285</v>
      </c>
      <c r="C6"/>
      <c r="D6" s="51"/>
      <c r="E6" s="51"/>
      <c r="F6" s="51"/>
      <c r="G6" s="51" t="s">
        <v>197</v>
      </c>
      <c r="H6"/>
      <c r="I6"/>
      <c r="J6"/>
      <c r="K6"/>
      <c r="L6"/>
      <c r="M6"/>
      <c r="N6"/>
      <c r="O6"/>
      <c r="P6"/>
      <c r="Q6"/>
      <c r="R6"/>
      <c r="S6"/>
      <c r="T6"/>
    </row>
    <row r="7" spans="1:20" x14ac:dyDescent="0.25">
      <c r="A7" s="51" t="s">
        <v>8</v>
      </c>
      <c r="B7">
        <v>158384</v>
      </c>
      <c r="C7" t="s">
        <v>164</v>
      </c>
      <c r="D7" s="51"/>
      <c r="E7" s="51"/>
      <c r="F7" s="51"/>
      <c r="G7" s="51" t="s">
        <v>197</v>
      </c>
      <c r="H7"/>
      <c r="I7"/>
      <c r="J7"/>
      <c r="K7"/>
      <c r="L7"/>
      <c r="M7"/>
      <c r="N7"/>
      <c r="O7"/>
      <c r="P7"/>
      <c r="Q7"/>
      <c r="R7"/>
      <c r="S7"/>
      <c r="T7"/>
    </row>
    <row r="8" spans="1:20" x14ac:dyDescent="0.25">
      <c r="A8" s="51" t="s">
        <v>8</v>
      </c>
      <c r="B8">
        <v>218496</v>
      </c>
      <c r="C8" t="s">
        <v>164</v>
      </c>
      <c r="D8" s="51"/>
      <c r="E8" s="51"/>
      <c r="F8" s="51"/>
      <c r="G8" s="51" t="s">
        <v>197</v>
      </c>
      <c r="H8"/>
      <c r="I8"/>
      <c r="J8"/>
      <c r="K8"/>
      <c r="L8"/>
      <c r="M8"/>
      <c r="N8"/>
      <c r="O8"/>
      <c r="P8"/>
      <c r="Q8"/>
      <c r="R8"/>
      <c r="S8"/>
      <c r="T8"/>
    </row>
    <row r="9" spans="1:20" x14ac:dyDescent="0.25">
      <c r="A9" s="51" t="s">
        <v>8</v>
      </c>
      <c r="B9">
        <v>218503</v>
      </c>
      <c r="C9" t="s">
        <v>164</v>
      </c>
      <c r="D9" s="51"/>
      <c r="E9" s="51"/>
      <c r="F9" s="51"/>
      <c r="G9" s="51" t="s">
        <v>197</v>
      </c>
      <c r="H9"/>
      <c r="I9"/>
      <c r="J9"/>
      <c r="K9"/>
      <c r="L9"/>
      <c r="M9"/>
      <c r="N9"/>
      <c r="O9"/>
      <c r="P9"/>
      <c r="Q9"/>
      <c r="R9"/>
      <c r="S9"/>
      <c r="T9"/>
    </row>
    <row r="10" spans="1:20" x14ac:dyDescent="0.25">
      <c r="A10" s="51" t="s">
        <v>8</v>
      </c>
      <c r="B10">
        <v>117042</v>
      </c>
      <c r="C10"/>
      <c r="D10" s="51"/>
      <c r="E10" s="51"/>
      <c r="F10" s="51"/>
      <c r="G10" s="51" t="s">
        <v>197</v>
      </c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x14ac:dyDescent="0.25">
      <c r="A11" s="51" t="s">
        <v>8</v>
      </c>
      <c r="B11">
        <v>158385</v>
      </c>
      <c r="C11" t="s">
        <v>164</v>
      </c>
      <c r="D11" s="51"/>
      <c r="E11" s="51"/>
      <c r="F11" s="51"/>
      <c r="G11" s="51" t="s">
        <v>197</v>
      </c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x14ac:dyDescent="0.25">
      <c r="A12" s="51" t="s">
        <v>8</v>
      </c>
      <c r="B12">
        <v>171601</v>
      </c>
      <c r="C12">
        <v>2890</v>
      </c>
      <c r="D12" s="51" t="s">
        <v>166</v>
      </c>
      <c r="E12" s="51"/>
      <c r="F12" s="51"/>
      <c r="G12" s="51" t="s">
        <v>199</v>
      </c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x14ac:dyDescent="0.25">
      <c r="A13" s="51" t="s">
        <v>8</v>
      </c>
      <c r="B13">
        <v>219134</v>
      </c>
      <c r="C13"/>
      <c r="D13" s="51"/>
      <c r="E13" s="51"/>
      <c r="F13" s="51"/>
      <c r="G13" s="51" t="s">
        <v>197</v>
      </c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x14ac:dyDescent="0.25">
      <c r="A14" s="51" t="s">
        <v>8</v>
      </c>
      <c r="B14">
        <v>139541</v>
      </c>
      <c r="C14">
        <v>1480</v>
      </c>
      <c r="D14" s="51" t="s">
        <v>172</v>
      </c>
      <c r="E14" s="51"/>
      <c r="F14" s="51"/>
      <c r="G14" s="51" t="s">
        <v>198</v>
      </c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x14ac:dyDescent="0.25">
      <c r="A15" s="51" t="s">
        <v>8</v>
      </c>
      <c r="B15">
        <v>186651</v>
      </c>
      <c r="C15" t="s">
        <v>164</v>
      </c>
      <c r="D15" s="51"/>
      <c r="E15" s="51"/>
      <c r="F15" s="51"/>
      <c r="G15" s="51" t="s">
        <v>197</v>
      </c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x14ac:dyDescent="0.25">
      <c r="A16" s="51" t="s">
        <v>8</v>
      </c>
      <c r="B16">
        <v>186652</v>
      </c>
      <c r="C16" t="s">
        <v>164</v>
      </c>
      <c r="D16" s="51"/>
      <c r="E16" s="51"/>
      <c r="F16" s="51"/>
      <c r="G16" s="51" t="s">
        <v>197</v>
      </c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x14ac:dyDescent="0.25">
      <c r="A17" s="51" t="s">
        <v>8</v>
      </c>
      <c r="B17">
        <v>202540</v>
      </c>
      <c r="C17" t="s">
        <v>169</v>
      </c>
      <c r="D17" s="51"/>
      <c r="E17" s="51"/>
      <c r="F17" s="51"/>
      <c r="G17" s="51" t="s">
        <v>197</v>
      </c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x14ac:dyDescent="0.25">
      <c r="A18" s="51" t="s">
        <v>8</v>
      </c>
      <c r="B18">
        <v>202541</v>
      </c>
      <c r="C18" t="s">
        <v>169</v>
      </c>
      <c r="D18" s="51"/>
      <c r="E18" s="51"/>
      <c r="F18" s="51"/>
      <c r="G18" s="51" t="s">
        <v>197</v>
      </c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x14ac:dyDescent="0.25">
      <c r="A19" s="51" t="s">
        <v>8</v>
      </c>
      <c r="B19">
        <v>170720</v>
      </c>
      <c r="C19" t="s">
        <v>164</v>
      </c>
      <c r="D19" s="51"/>
      <c r="E19" s="51"/>
      <c r="F19" s="51"/>
      <c r="G19" s="51" t="s">
        <v>197</v>
      </c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x14ac:dyDescent="0.25">
      <c r="A20" s="51" t="s">
        <v>8</v>
      </c>
      <c r="B20">
        <v>117301</v>
      </c>
      <c r="C20" t="s">
        <v>164</v>
      </c>
      <c r="D20" s="51"/>
      <c r="E20" s="51"/>
      <c r="F20" s="51"/>
      <c r="G20" s="51" t="s">
        <v>197</v>
      </c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x14ac:dyDescent="0.25">
      <c r="A21" s="51" t="s">
        <v>8</v>
      </c>
      <c r="B21">
        <v>153109</v>
      </c>
      <c r="C21" t="s">
        <v>164</v>
      </c>
      <c r="D21" s="51"/>
      <c r="E21" s="51"/>
      <c r="F21" s="51"/>
      <c r="G21" s="51" t="s">
        <v>197</v>
      </c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x14ac:dyDescent="0.25">
      <c r="A22" s="51" t="s">
        <v>8</v>
      </c>
      <c r="B22">
        <v>185791</v>
      </c>
      <c r="C22">
        <v>295</v>
      </c>
      <c r="D22" s="51" t="s">
        <v>210</v>
      </c>
      <c r="E22" s="51"/>
      <c r="F22" s="51"/>
      <c r="G22" s="51" t="s">
        <v>198</v>
      </c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x14ac:dyDescent="0.25">
      <c r="A23" s="51" t="s">
        <v>8</v>
      </c>
      <c r="B23">
        <v>185790</v>
      </c>
      <c r="C23">
        <v>295</v>
      </c>
      <c r="D23" s="51" t="s">
        <v>210</v>
      </c>
      <c r="E23" s="51"/>
      <c r="F23" s="51"/>
      <c r="G23" s="51" t="s">
        <v>198</v>
      </c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x14ac:dyDescent="0.25">
      <c r="A24" s="51" t="s">
        <v>8</v>
      </c>
      <c r="B24">
        <v>224046</v>
      </c>
      <c r="C24">
        <v>899</v>
      </c>
      <c r="D24" s="51" t="s">
        <v>168</v>
      </c>
      <c r="E24" s="51"/>
      <c r="F24" s="51"/>
      <c r="G24" s="51" t="s">
        <v>227</v>
      </c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x14ac:dyDescent="0.25">
      <c r="A25" s="51" t="s">
        <v>8</v>
      </c>
      <c r="B25">
        <v>219131</v>
      </c>
      <c r="C25">
        <v>1690</v>
      </c>
      <c r="D25" s="51" t="s">
        <v>170</v>
      </c>
      <c r="E25" s="51"/>
      <c r="F25" s="51"/>
      <c r="G25" s="51" t="s">
        <v>201</v>
      </c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x14ac:dyDescent="0.25">
      <c r="A26" s="51" t="s">
        <v>8</v>
      </c>
      <c r="B26">
        <v>186653</v>
      </c>
      <c r="C26" t="s">
        <v>169</v>
      </c>
      <c r="D26" s="51"/>
      <c r="E26" s="51"/>
      <c r="F26" s="51"/>
      <c r="G26" s="51" t="s">
        <v>197</v>
      </c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x14ac:dyDescent="0.25">
      <c r="A27" s="51" t="s">
        <v>8</v>
      </c>
      <c r="B27">
        <v>117299</v>
      </c>
      <c r="C27" t="s">
        <v>164</v>
      </c>
      <c r="D27" s="51"/>
      <c r="E27" s="51"/>
      <c r="F27" s="51"/>
      <c r="G27" s="51" t="s">
        <v>197</v>
      </c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x14ac:dyDescent="0.25">
      <c r="A28" s="51" t="s">
        <v>8</v>
      </c>
      <c r="B28">
        <v>145541</v>
      </c>
      <c r="C28">
        <v>1590</v>
      </c>
      <c r="D28" s="51" t="s">
        <v>165</v>
      </c>
      <c r="E28" s="51"/>
      <c r="F28" s="51"/>
      <c r="G28" s="51" t="s">
        <v>202</v>
      </c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x14ac:dyDescent="0.25">
      <c r="A29" s="51" t="s">
        <v>8</v>
      </c>
      <c r="B29">
        <v>171592</v>
      </c>
      <c r="C29" t="s">
        <v>164</v>
      </c>
      <c r="D29" s="51"/>
      <c r="E29" s="51"/>
      <c r="F29" s="51"/>
      <c r="G29" s="51" t="s">
        <v>197</v>
      </c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x14ac:dyDescent="0.25">
      <c r="A30" s="51" t="s">
        <v>8</v>
      </c>
      <c r="B30">
        <v>139607</v>
      </c>
      <c r="C30" t="s">
        <v>164</v>
      </c>
      <c r="D30" s="51"/>
      <c r="E30" s="51"/>
      <c r="F30" s="51"/>
      <c r="G30" s="51" t="s">
        <v>197</v>
      </c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x14ac:dyDescent="0.25">
      <c r="A31" s="51" t="s">
        <v>8</v>
      </c>
      <c r="B31">
        <v>223317</v>
      </c>
      <c r="C31" t="s">
        <v>164</v>
      </c>
      <c r="D31" s="51"/>
      <c r="E31" s="51"/>
      <c r="F31" s="51"/>
      <c r="G31" s="51" t="s">
        <v>197</v>
      </c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x14ac:dyDescent="0.25">
      <c r="A32" s="51" t="s">
        <v>8</v>
      </c>
      <c r="B32">
        <v>219135</v>
      </c>
      <c r="C32"/>
      <c r="D32" s="51"/>
      <c r="E32" s="51"/>
      <c r="F32" s="51"/>
      <c r="G32" s="51" t="s">
        <v>197</v>
      </c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x14ac:dyDescent="0.25">
      <c r="A33" s="51" t="s">
        <v>8</v>
      </c>
      <c r="B33">
        <v>145555</v>
      </c>
      <c r="C33">
        <v>9190</v>
      </c>
      <c r="D33" s="51" t="s">
        <v>103</v>
      </c>
      <c r="E33" s="51"/>
      <c r="F33" s="51"/>
      <c r="G33" s="51" t="s">
        <v>203</v>
      </c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x14ac:dyDescent="0.25">
      <c r="A34" s="51" t="s">
        <v>8</v>
      </c>
      <c r="B34">
        <v>145554</v>
      </c>
      <c r="C34">
        <v>9190</v>
      </c>
      <c r="D34" s="51" t="s">
        <v>103</v>
      </c>
      <c r="E34" s="51"/>
      <c r="F34" s="51"/>
      <c r="G34" s="51" t="s">
        <v>203</v>
      </c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x14ac:dyDescent="0.25">
      <c r="A35" s="51" t="s">
        <v>8</v>
      </c>
      <c r="B35">
        <v>117290</v>
      </c>
      <c r="C35" t="s">
        <v>164</v>
      </c>
      <c r="D35" s="51"/>
      <c r="E35" s="51"/>
      <c r="F35" s="51"/>
      <c r="G35" s="51" t="s">
        <v>197</v>
      </c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x14ac:dyDescent="0.25">
      <c r="A36" s="51" t="s">
        <v>8</v>
      </c>
      <c r="B36">
        <v>242666</v>
      </c>
      <c r="C36" t="s">
        <v>164</v>
      </c>
      <c r="D36" s="51"/>
      <c r="E36" s="51"/>
      <c r="F36" s="51"/>
      <c r="G36" s="51" t="s">
        <v>197</v>
      </c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x14ac:dyDescent="0.25">
      <c r="A37" s="51" t="s">
        <v>8</v>
      </c>
      <c r="B37">
        <v>158382</v>
      </c>
      <c r="C37">
        <v>590</v>
      </c>
      <c r="D37" s="51" t="s">
        <v>171</v>
      </c>
      <c r="E37" s="51"/>
      <c r="F37" s="51"/>
      <c r="G37" s="51" t="s">
        <v>198</v>
      </c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x14ac:dyDescent="0.25">
      <c r="A38" s="51" t="s">
        <v>8</v>
      </c>
      <c r="B38">
        <v>145496</v>
      </c>
      <c r="C38" t="s">
        <v>164</v>
      </c>
      <c r="D38" s="51"/>
      <c r="E38" s="51"/>
      <c r="F38" s="51"/>
      <c r="G38" s="51" t="s">
        <v>197</v>
      </c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x14ac:dyDescent="0.25">
      <c r="A39" s="51" t="s">
        <v>8</v>
      </c>
      <c r="B39">
        <v>244652</v>
      </c>
      <c r="C39" t="s">
        <v>164</v>
      </c>
      <c r="D39" s="51"/>
      <c r="E39" s="51"/>
      <c r="F39" s="51"/>
      <c r="G39" s="51" t="s">
        <v>197</v>
      </c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x14ac:dyDescent="0.25">
      <c r="A40" s="51" t="s">
        <v>8</v>
      </c>
      <c r="B40">
        <v>301129</v>
      </c>
      <c r="C40" t="s">
        <v>164</v>
      </c>
      <c r="D40" s="51"/>
      <c r="E40" s="51"/>
      <c r="F40" s="51"/>
      <c r="G40" s="51" t="s">
        <v>197</v>
      </c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x14ac:dyDescent="0.25">
      <c r="A41" s="51" t="s">
        <v>8</v>
      </c>
      <c r="B41">
        <v>158334</v>
      </c>
      <c r="C41">
        <v>290</v>
      </c>
      <c r="D41" s="51" t="s">
        <v>211</v>
      </c>
      <c r="E41" s="51"/>
      <c r="F41" s="51"/>
      <c r="G41" s="51" t="s">
        <v>228</v>
      </c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x14ac:dyDescent="0.25">
      <c r="A42" s="51" t="s">
        <v>8</v>
      </c>
      <c r="B42">
        <v>276767</v>
      </c>
      <c r="C42" t="s">
        <v>169</v>
      </c>
      <c r="D42" s="51"/>
      <c r="E42" s="51"/>
      <c r="F42" s="51"/>
      <c r="G42" s="51" t="s">
        <v>197</v>
      </c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x14ac:dyDescent="0.25">
      <c r="A43" s="51" t="s">
        <v>8</v>
      </c>
      <c r="B43">
        <v>201759</v>
      </c>
      <c r="C43" t="s">
        <v>164</v>
      </c>
      <c r="D43" s="51"/>
      <c r="E43" s="51"/>
      <c r="F43" s="51"/>
      <c r="G43" s="51" t="s">
        <v>197</v>
      </c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x14ac:dyDescent="0.25">
      <c r="A44" s="51" t="s">
        <v>8</v>
      </c>
      <c r="B44">
        <v>201760</v>
      </c>
      <c r="C44" t="s">
        <v>164</v>
      </c>
      <c r="D44" s="51"/>
      <c r="E44" s="51"/>
      <c r="F44" s="51"/>
      <c r="G44" s="51" t="s">
        <v>197</v>
      </c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x14ac:dyDescent="0.25">
      <c r="A45" s="51" t="s">
        <v>8</v>
      </c>
      <c r="B45">
        <v>203733</v>
      </c>
      <c r="C45" t="s">
        <v>164</v>
      </c>
      <c r="D45" s="51"/>
      <c r="E45" s="51"/>
      <c r="F45" s="51"/>
      <c r="G45" s="51" t="s">
        <v>197</v>
      </c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x14ac:dyDescent="0.25">
      <c r="A46" s="51" t="s">
        <v>8</v>
      </c>
      <c r="B46">
        <v>274104</v>
      </c>
      <c r="C46"/>
      <c r="D46" s="51"/>
      <c r="E46" s="51"/>
      <c r="F46" s="51"/>
      <c r="G46" s="51" t="s">
        <v>197</v>
      </c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x14ac:dyDescent="0.25">
      <c r="A47" s="51" t="s">
        <v>8</v>
      </c>
      <c r="B47">
        <v>213729</v>
      </c>
      <c r="C47" t="s">
        <v>163</v>
      </c>
      <c r="D47" s="51" t="s">
        <v>162</v>
      </c>
      <c r="E47" s="51"/>
      <c r="F47" s="51"/>
      <c r="G47" s="51" t="s">
        <v>204</v>
      </c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x14ac:dyDescent="0.25">
      <c r="A48" s="51" t="s">
        <v>8</v>
      </c>
      <c r="B48">
        <v>213731</v>
      </c>
      <c r="C48" t="s">
        <v>164</v>
      </c>
      <c r="D48" s="51"/>
      <c r="E48" s="51"/>
      <c r="F48" s="51"/>
      <c r="G48" s="51" t="s">
        <v>197</v>
      </c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x14ac:dyDescent="0.25">
      <c r="A49" s="51" t="s">
        <v>8</v>
      </c>
      <c r="B49">
        <v>218485</v>
      </c>
      <c r="C49" t="s">
        <v>164</v>
      </c>
      <c r="D49" s="51"/>
      <c r="E49" s="51"/>
      <c r="F49" s="51"/>
      <c r="G49" s="51" t="s">
        <v>197</v>
      </c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x14ac:dyDescent="0.25">
      <c r="A50" s="51" t="s">
        <v>8</v>
      </c>
      <c r="B50">
        <v>223052</v>
      </c>
      <c r="C50">
        <v>890</v>
      </c>
      <c r="D50" s="51" t="s">
        <v>160</v>
      </c>
      <c r="E50" s="51"/>
      <c r="F50" s="51"/>
      <c r="G50" s="51" t="s">
        <v>205</v>
      </c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x14ac:dyDescent="0.25">
      <c r="A51" s="51" t="s">
        <v>8</v>
      </c>
      <c r="B51">
        <v>223059</v>
      </c>
      <c r="C51">
        <v>790</v>
      </c>
      <c r="D51" s="51" t="s">
        <v>161</v>
      </c>
      <c r="E51" s="51"/>
      <c r="F51" s="51"/>
      <c r="G51" s="51" t="s">
        <v>206</v>
      </c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x14ac:dyDescent="0.25">
      <c r="A52" s="51" t="s">
        <v>8</v>
      </c>
      <c r="B52">
        <v>223944</v>
      </c>
      <c r="C52">
        <v>24990</v>
      </c>
      <c r="D52" s="51" t="s">
        <v>159</v>
      </c>
      <c r="E52" s="51"/>
      <c r="F52" s="51"/>
      <c r="G52" s="51" t="s">
        <v>229</v>
      </c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x14ac:dyDescent="0.25">
      <c r="A53" s="51" t="s">
        <v>8</v>
      </c>
      <c r="B53" t="s">
        <v>0</v>
      </c>
      <c r="C53" t="s">
        <v>81</v>
      </c>
      <c r="D53" s="51"/>
      <c r="E53" s="51"/>
      <c r="F53" s="51"/>
      <c r="G53" s="51" t="s">
        <v>196</v>
      </c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x14ac:dyDescent="0.25">
      <c r="A54" s="51" t="s">
        <v>8</v>
      </c>
      <c r="B54">
        <v>243588</v>
      </c>
      <c r="C54">
        <v>769</v>
      </c>
      <c r="D54" s="51" t="s">
        <v>157</v>
      </c>
      <c r="E54" s="51"/>
      <c r="F54" s="51"/>
      <c r="G54" s="51" t="s">
        <v>207</v>
      </c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x14ac:dyDescent="0.25">
      <c r="A55" s="51" t="s">
        <v>8</v>
      </c>
      <c r="B55">
        <v>243589</v>
      </c>
      <c r="C55">
        <v>769</v>
      </c>
      <c r="D55" s="51" t="s">
        <v>158</v>
      </c>
      <c r="E55" s="51"/>
      <c r="F55" s="51"/>
      <c r="G55" s="51" t="s">
        <v>207</v>
      </c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x14ac:dyDescent="0.25">
      <c r="A56" s="51" t="s">
        <v>8</v>
      </c>
      <c r="B56">
        <v>243590</v>
      </c>
      <c r="C56">
        <v>769</v>
      </c>
      <c r="D56" s="51" t="s">
        <v>158</v>
      </c>
      <c r="E56" s="51"/>
      <c r="F56" s="51"/>
      <c r="G56" s="51" t="s">
        <v>207</v>
      </c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x14ac:dyDescent="0.25">
      <c r="A57" s="51" t="s">
        <v>8</v>
      </c>
      <c r="B57">
        <v>257956</v>
      </c>
      <c r="C57">
        <v>949</v>
      </c>
      <c r="D57" s="51" t="s">
        <v>154</v>
      </c>
      <c r="E57" s="51"/>
      <c r="F57" s="51"/>
      <c r="G57" s="51" t="s">
        <v>208</v>
      </c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x14ac:dyDescent="0.25">
      <c r="A58" s="51" t="s">
        <v>8</v>
      </c>
      <c r="B58">
        <v>257957</v>
      </c>
      <c r="C58">
        <v>899</v>
      </c>
      <c r="D58" s="51" t="s">
        <v>153</v>
      </c>
      <c r="E58" s="51"/>
      <c r="F58" s="51"/>
      <c r="G58" s="51" t="s">
        <v>200</v>
      </c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x14ac:dyDescent="0.25">
      <c r="A59" s="51" t="s">
        <v>8</v>
      </c>
      <c r="B59">
        <v>257958</v>
      </c>
      <c r="C59">
        <v>899</v>
      </c>
      <c r="D59" s="51" t="s">
        <v>153</v>
      </c>
      <c r="E59" s="51"/>
      <c r="F59" s="51"/>
      <c r="G59" s="51" t="s">
        <v>200</v>
      </c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x14ac:dyDescent="0.25">
      <c r="A60" s="51" t="s">
        <v>8</v>
      </c>
      <c r="B60">
        <v>257959</v>
      </c>
      <c r="C60">
        <v>899</v>
      </c>
      <c r="D60" s="51" t="s">
        <v>153</v>
      </c>
      <c r="E60" s="51"/>
      <c r="F60" s="51"/>
      <c r="G60" s="51" t="s">
        <v>200</v>
      </c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x14ac:dyDescent="0.25">
      <c r="A61" s="51" t="s">
        <v>8</v>
      </c>
      <c r="B61">
        <v>163747</v>
      </c>
      <c r="C61" t="s">
        <v>164</v>
      </c>
      <c r="D61" s="51"/>
      <c r="E61" s="51"/>
      <c r="F61" s="51"/>
      <c r="G61" s="51" t="s">
        <v>197</v>
      </c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x14ac:dyDescent="0.25">
      <c r="A62" s="51" t="s">
        <v>8</v>
      </c>
      <c r="B62">
        <v>163748</v>
      </c>
      <c r="C62" t="s">
        <v>164</v>
      </c>
      <c r="D62" s="51"/>
      <c r="E62" s="51"/>
      <c r="F62" s="51"/>
      <c r="G62" s="51" t="s">
        <v>197</v>
      </c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x14ac:dyDescent="0.25">
      <c r="A63" s="51" t="s">
        <v>8</v>
      </c>
      <c r="B63">
        <v>163749</v>
      </c>
      <c r="C63" t="s">
        <v>164</v>
      </c>
      <c r="D63" s="51"/>
      <c r="E63" s="51"/>
      <c r="F63" s="51"/>
      <c r="G63" s="51" t="s">
        <v>197</v>
      </c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x14ac:dyDescent="0.25">
      <c r="A64" s="51" t="s">
        <v>8</v>
      </c>
      <c r="B64">
        <v>163750</v>
      </c>
      <c r="C64" t="s">
        <v>164</v>
      </c>
      <c r="D64" s="51"/>
      <c r="E64" s="51"/>
      <c r="F64" s="51"/>
      <c r="G64" s="51" t="s">
        <v>197</v>
      </c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x14ac:dyDescent="0.25">
      <c r="A65" s="51" t="s">
        <v>8</v>
      </c>
      <c r="B65">
        <v>324303</v>
      </c>
      <c r="C65">
        <v>929</v>
      </c>
      <c r="D65" s="51" t="s">
        <v>214</v>
      </c>
      <c r="E65" s="51"/>
      <c r="F65" s="51"/>
      <c r="G65" s="51" t="s">
        <v>230</v>
      </c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x14ac:dyDescent="0.25">
      <c r="A66" s="51" t="s">
        <v>8</v>
      </c>
      <c r="B66">
        <v>324304</v>
      </c>
      <c r="C66" t="s">
        <v>164</v>
      </c>
      <c r="D66" s="51"/>
      <c r="E66" s="51"/>
      <c r="F66" s="51"/>
      <c r="G66" s="51" t="s">
        <v>197</v>
      </c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x14ac:dyDescent="0.25">
      <c r="A67" s="51" t="s">
        <v>8</v>
      </c>
      <c r="B67">
        <v>324305</v>
      </c>
      <c r="C67" t="s">
        <v>164</v>
      </c>
      <c r="D67" s="51"/>
      <c r="E67" s="51"/>
      <c r="F67" s="51"/>
      <c r="G67" s="51" t="s">
        <v>197</v>
      </c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x14ac:dyDescent="0.25">
      <c r="A68" s="51" t="s">
        <v>8</v>
      </c>
      <c r="B68">
        <v>324307</v>
      </c>
      <c r="C68" t="s">
        <v>213</v>
      </c>
      <c r="D68" s="51" t="s">
        <v>212</v>
      </c>
      <c r="E68" s="51"/>
      <c r="F68" s="51"/>
      <c r="G68" s="51" t="s">
        <v>231</v>
      </c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x14ac:dyDescent="0.25">
      <c r="A69" s="51" t="s">
        <v>8</v>
      </c>
      <c r="B69">
        <v>324308</v>
      </c>
      <c r="C69" t="s">
        <v>164</v>
      </c>
      <c r="D69" s="51"/>
      <c r="E69" s="51"/>
      <c r="F69" s="51"/>
      <c r="G69" s="51" t="s">
        <v>197</v>
      </c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x14ac:dyDescent="0.25">
      <c r="A70" s="51" t="s">
        <v>8</v>
      </c>
      <c r="B70">
        <v>324310</v>
      </c>
      <c r="C70" t="s">
        <v>164</v>
      </c>
      <c r="D70" s="51"/>
      <c r="E70" s="51"/>
      <c r="F70" s="51"/>
      <c r="G70" s="51" t="s">
        <v>197</v>
      </c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x14ac:dyDescent="0.25">
      <c r="A71" s="51" t="s">
        <v>8</v>
      </c>
      <c r="B71">
        <v>324309</v>
      </c>
      <c r="C71" t="s">
        <v>216</v>
      </c>
      <c r="D71" s="51" t="s">
        <v>215</v>
      </c>
      <c r="E71" s="51"/>
      <c r="F71" s="51"/>
      <c r="G71" s="51" t="s">
        <v>232</v>
      </c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x14ac:dyDescent="0.25">
      <c r="A72" s="51" t="s">
        <v>8</v>
      </c>
      <c r="B72">
        <v>324311</v>
      </c>
      <c r="C72" t="s">
        <v>164</v>
      </c>
      <c r="D72" s="51"/>
      <c r="E72" s="51"/>
      <c r="F72" s="51"/>
      <c r="G72" s="51" t="s">
        <v>197</v>
      </c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x14ac:dyDescent="0.25">
      <c r="A73" s="51" t="s">
        <v>8</v>
      </c>
      <c r="B73">
        <v>324312</v>
      </c>
      <c r="C73" t="s">
        <v>164</v>
      </c>
      <c r="D73" s="51"/>
      <c r="E73" s="51"/>
      <c r="F73" s="51"/>
      <c r="G73" s="51" t="s">
        <v>197</v>
      </c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x14ac:dyDescent="0.25">
      <c r="A74" s="51" t="s">
        <v>8</v>
      </c>
      <c r="B74">
        <v>264901</v>
      </c>
      <c r="C74">
        <v>1190</v>
      </c>
      <c r="D74" s="51" t="s">
        <v>155</v>
      </c>
      <c r="E74" s="51"/>
      <c r="F74" s="51"/>
      <c r="G74" s="51" t="s">
        <v>209</v>
      </c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x14ac:dyDescent="0.25">
      <c r="A75" s="51" t="s">
        <v>8</v>
      </c>
      <c r="B75">
        <v>264902</v>
      </c>
      <c r="C75">
        <v>1190</v>
      </c>
      <c r="D75" s="51" t="s">
        <v>156</v>
      </c>
      <c r="E75" s="51"/>
      <c r="F75" s="51"/>
      <c r="G75" s="51" t="s">
        <v>209</v>
      </c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x14ac:dyDescent="0.25">
      <c r="A76" s="51" t="s">
        <v>8</v>
      </c>
      <c r="B76">
        <v>151129</v>
      </c>
      <c r="C76">
        <v>1490</v>
      </c>
      <c r="D76" s="51" t="s">
        <v>222</v>
      </c>
      <c r="E76" s="51"/>
      <c r="F76" s="51"/>
      <c r="G76" s="51" t="s">
        <v>233</v>
      </c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x14ac:dyDescent="0.25">
      <c r="A77" s="51" t="s">
        <v>8</v>
      </c>
      <c r="B77">
        <v>151130</v>
      </c>
      <c r="C77">
        <v>1290</v>
      </c>
      <c r="D77" s="51" t="s">
        <v>223</v>
      </c>
      <c r="E77" s="51"/>
      <c r="F77" s="51"/>
      <c r="G77" s="51" t="s">
        <v>232</v>
      </c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x14ac:dyDescent="0.25">
      <c r="A78" s="51" t="s">
        <v>8</v>
      </c>
      <c r="B78">
        <v>213885</v>
      </c>
      <c r="C78" t="s">
        <v>164</v>
      </c>
      <c r="D78" s="51"/>
      <c r="E78" s="51"/>
      <c r="F78" s="51"/>
      <c r="G78" s="51" t="s">
        <v>197</v>
      </c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x14ac:dyDescent="0.25">
      <c r="A79" s="51"/>
      <c r="B79"/>
      <c r="C79"/>
      <c r="D79" s="51"/>
      <c r="E79" s="51"/>
      <c r="F79" s="51"/>
      <c r="G79" s="51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x14ac:dyDescent="0.25">
      <c r="A80" s="51"/>
      <c r="B80"/>
      <c r="C80"/>
      <c r="D80" s="51"/>
      <c r="E80" s="51"/>
      <c r="F80" s="51"/>
      <c r="G80" s="51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x14ac:dyDescent="0.25">
      <c r="A81" s="51"/>
      <c r="B81"/>
      <c r="C81"/>
      <c r="D81" s="51"/>
      <c r="E81" s="51"/>
      <c r="F81" s="51"/>
      <c r="G81" s="5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x14ac:dyDescent="0.25">
      <c r="A82" s="51"/>
      <c r="B82"/>
      <c r="C82"/>
      <c r="D82" s="51"/>
      <c r="E82" s="51"/>
      <c r="F82" s="51"/>
      <c r="G82" s="51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x14ac:dyDescent="0.25">
      <c r="A83" s="51"/>
      <c r="B83"/>
      <c r="C83"/>
      <c r="D83" s="51"/>
      <c r="E83" s="51"/>
      <c r="F83" s="51"/>
      <c r="G83" s="51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x14ac:dyDescent="0.25">
      <c r="A84" s="51"/>
      <c r="B84"/>
      <c r="C84"/>
      <c r="D84" s="51"/>
      <c r="E84" s="51"/>
      <c r="F84" s="51"/>
      <c r="G84" s="51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x14ac:dyDescent="0.25">
      <c r="A85" s="51"/>
      <c r="B85"/>
      <c r="C85"/>
      <c r="D85" s="51"/>
      <c r="E85" s="51"/>
      <c r="F85" s="51"/>
      <c r="G85" s="51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x14ac:dyDescent="0.25">
      <c r="A86" s="51"/>
      <c r="B86"/>
      <c r="C86"/>
      <c r="D86" s="51"/>
      <c r="E86" s="51"/>
      <c r="F86" s="51"/>
      <c r="G86" s="51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x14ac:dyDescent="0.25">
      <c r="A87" s="51"/>
      <c r="B87"/>
      <c r="C87"/>
      <c r="D87" s="51"/>
      <c r="E87" s="51"/>
      <c r="F87" s="51"/>
      <c r="G87" s="51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x14ac:dyDescent="0.25">
      <c r="A88" s="51"/>
      <c r="B88"/>
      <c r="C88"/>
      <c r="D88" s="51"/>
      <c r="E88" s="51"/>
      <c r="F88" s="51"/>
      <c r="G88" s="51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x14ac:dyDescent="0.25">
      <c r="A89" s="51"/>
      <c r="B89"/>
      <c r="C89"/>
      <c r="D89" s="51"/>
      <c r="E89" s="51"/>
      <c r="F89" s="51"/>
      <c r="G89" s="51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x14ac:dyDescent="0.25">
      <c r="A90" s="51"/>
      <c r="B90"/>
      <c r="C90"/>
      <c r="D90" s="51"/>
      <c r="E90" s="51"/>
      <c r="F90" s="51"/>
      <c r="G90" s="51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x14ac:dyDescent="0.25">
      <c r="A91" s="51"/>
      <c r="B91"/>
      <c r="C91"/>
      <c r="D91" s="51"/>
      <c r="E91" s="51"/>
      <c r="F91" s="51"/>
      <c r="G91" s="5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x14ac:dyDescent="0.25">
      <c r="A92" s="51"/>
      <c r="B92"/>
      <c r="C92"/>
      <c r="D92" s="51"/>
      <c r="E92" s="51"/>
      <c r="F92" s="51"/>
      <c r="G92" s="51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x14ac:dyDescent="0.25">
      <c r="A93" s="51"/>
      <c r="B93"/>
      <c r="C93"/>
      <c r="D93" s="51"/>
      <c r="E93" s="51"/>
      <c r="F93" s="51"/>
      <c r="G93" s="51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x14ac:dyDescent="0.25">
      <c r="A94" s="51"/>
      <c r="B94"/>
      <c r="C94"/>
      <c r="D94" s="51"/>
      <c r="E94" s="51"/>
      <c r="F94" s="51"/>
      <c r="G94" s="51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x14ac:dyDescent="0.25">
      <c r="A95" s="51"/>
      <c r="B95"/>
      <c r="C95"/>
      <c r="D95" s="51"/>
      <c r="E95" s="51"/>
      <c r="F95" s="51"/>
      <c r="G95" s="51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x14ac:dyDescent="0.25">
      <c r="A96" s="51"/>
      <c r="B96"/>
      <c r="C96"/>
      <c r="D96" s="51"/>
      <c r="E96" s="51"/>
      <c r="F96" s="51"/>
      <c r="G96" s="51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x14ac:dyDescent="0.25">
      <c r="A97" s="51"/>
      <c r="B97"/>
      <c r="C97"/>
      <c r="D97" s="51"/>
      <c r="E97" s="51"/>
      <c r="F97" s="51"/>
      <c r="G97" s="51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x14ac:dyDescent="0.25">
      <c r="A98" s="51"/>
      <c r="B98"/>
      <c r="C98"/>
      <c r="D98" s="51"/>
      <c r="E98" s="51"/>
      <c r="F98" s="51"/>
      <c r="G98" s="51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x14ac:dyDescent="0.25">
      <c r="A99" s="51"/>
      <c r="B99"/>
      <c r="C99"/>
      <c r="D99" s="51"/>
      <c r="E99" s="51"/>
      <c r="F99" s="51"/>
      <c r="G99" s="51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x14ac:dyDescent="0.25">
      <c r="A100" s="51"/>
      <c r="B100"/>
      <c r="C100"/>
      <c r="D100" s="51"/>
      <c r="E100" s="51"/>
      <c r="F100" s="51"/>
      <c r="G100" s="51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x14ac:dyDescent="0.25">
      <c r="A101" s="51"/>
      <c r="B101"/>
      <c r="C101"/>
      <c r="D101" s="51"/>
      <c r="E101" s="51"/>
      <c r="F101" s="51"/>
      <c r="G101" s="5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x14ac:dyDescent="0.25">
      <c r="A102" s="51"/>
      <c r="B102"/>
      <c r="C102"/>
      <c r="D102" s="51"/>
      <c r="E102" s="51"/>
      <c r="F102" s="51"/>
      <c r="G102" s="51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x14ac:dyDescent="0.25">
      <c r="A103" s="51"/>
      <c r="B103"/>
      <c r="C103"/>
      <c r="D103" s="51"/>
      <c r="E103" s="51"/>
      <c r="F103" s="51"/>
      <c r="G103" s="51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x14ac:dyDescent="0.25">
      <c r="A104" s="51"/>
      <c r="B104"/>
      <c r="C104"/>
      <c r="D104" s="51"/>
      <c r="E104" s="51"/>
      <c r="F104" s="51"/>
      <c r="G104" s="51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x14ac:dyDescent="0.25">
      <c r="A105" s="51"/>
      <c r="B105"/>
      <c r="C105"/>
      <c r="D105" s="51"/>
      <c r="E105" s="51"/>
      <c r="F105" s="51"/>
      <c r="G105" s="51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x14ac:dyDescent="0.25">
      <c r="A106" s="51"/>
      <c r="B106"/>
      <c r="C106"/>
      <c r="D106" s="51"/>
      <c r="E106" s="51"/>
      <c r="F106" s="51"/>
      <c r="G106" s="51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x14ac:dyDescent="0.25">
      <c r="A107" s="51"/>
      <c r="B107"/>
      <c r="C107"/>
      <c r="D107" s="51"/>
      <c r="E107" s="51"/>
      <c r="F107" s="51"/>
      <c r="G107" s="51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x14ac:dyDescent="0.25">
      <c r="A108" s="51"/>
      <c r="B108"/>
      <c r="C108"/>
      <c r="D108" s="51"/>
      <c r="E108" s="51"/>
      <c r="F108" s="51"/>
      <c r="G108" s="51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x14ac:dyDescent="0.25">
      <c r="A109" s="51"/>
      <c r="B109"/>
      <c r="C109"/>
      <c r="D109" s="51"/>
      <c r="E109" s="51"/>
      <c r="F109" s="51"/>
      <c r="G109" s="51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x14ac:dyDescent="0.25">
      <c r="A110" s="51"/>
      <c r="B110"/>
      <c r="C110"/>
      <c r="D110" s="51"/>
      <c r="E110" s="51"/>
      <c r="F110" s="51"/>
      <c r="G110" s="51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x14ac:dyDescent="0.25">
      <c r="A111" s="51"/>
      <c r="B111"/>
      <c r="C111"/>
      <c r="D111" s="51"/>
      <c r="E111" s="51"/>
      <c r="F111" s="51"/>
      <c r="G111" s="5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x14ac:dyDescent="0.25">
      <c r="A112" s="51"/>
      <c r="B112"/>
      <c r="C112"/>
      <c r="D112" s="51"/>
      <c r="E112" s="51"/>
      <c r="F112" s="51"/>
      <c r="G112" s="51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x14ac:dyDescent="0.25">
      <c r="A113" s="51"/>
      <c r="B113"/>
      <c r="C113"/>
      <c r="D113" s="51"/>
      <c r="E113" s="51"/>
      <c r="F113" s="51"/>
      <c r="G113" s="51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x14ac:dyDescent="0.25">
      <c r="A114" s="51"/>
      <c r="B114"/>
      <c r="C114"/>
      <c r="D114" s="51"/>
      <c r="E114" s="51"/>
      <c r="F114" s="51"/>
      <c r="G114" s="51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x14ac:dyDescent="0.25">
      <c r="A115" s="51"/>
      <c r="B115"/>
      <c r="C115"/>
      <c r="D115" s="51"/>
      <c r="E115" s="51"/>
      <c r="F115" s="51"/>
      <c r="G115" s="51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x14ac:dyDescent="0.25">
      <c r="A116" s="51"/>
      <c r="B116"/>
      <c r="C116"/>
      <c r="D116" s="51"/>
      <c r="E116" s="51"/>
      <c r="F116" s="51"/>
      <c r="G116" s="51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x14ac:dyDescent="0.25">
      <c r="A117" s="51"/>
      <c r="B117"/>
      <c r="C117"/>
      <c r="D117" s="51"/>
      <c r="E117" s="51"/>
      <c r="F117" s="51"/>
      <c r="G117" s="51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x14ac:dyDescent="0.25">
      <c r="A118" s="51"/>
      <c r="B118"/>
      <c r="C118"/>
      <c r="D118" s="51"/>
      <c r="E118" s="51"/>
      <c r="F118" s="51"/>
      <c r="G118" s="51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x14ac:dyDescent="0.25">
      <c r="A119" s="51"/>
      <c r="B119"/>
      <c r="C119"/>
      <c r="D119" s="51"/>
      <c r="E119" s="51"/>
      <c r="F119" s="51"/>
      <c r="G119" s="51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x14ac:dyDescent="0.25">
      <c r="A120" s="51"/>
      <c r="B120"/>
      <c r="C120"/>
      <c r="D120" s="51"/>
      <c r="E120" s="51"/>
      <c r="F120" s="51"/>
      <c r="G120" s="51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x14ac:dyDescent="0.25">
      <c r="A121" s="51"/>
      <c r="B121"/>
      <c r="C121"/>
      <c r="D121" s="51"/>
      <c r="E121" s="51"/>
      <c r="F121" s="51"/>
      <c r="G121" s="5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x14ac:dyDescent="0.25">
      <c r="A122" s="51"/>
      <c r="B122"/>
      <c r="C122"/>
      <c r="D122" s="51"/>
      <c r="E122" s="51"/>
      <c r="F122" s="51"/>
      <c r="G122" s="51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x14ac:dyDescent="0.25">
      <c r="A123" s="51"/>
      <c r="B123"/>
      <c r="C123"/>
      <c r="D123" s="51"/>
      <c r="E123" s="51"/>
      <c r="F123" s="51"/>
      <c r="G123" s="51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x14ac:dyDescent="0.25">
      <c r="A124" s="51"/>
      <c r="B124"/>
      <c r="C124"/>
      <c r="D124" s="51"/>
      <c r="E124" s="51"/>
      <c r="F124" s="51"/>
      <c r="G124" s="51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x14ac:dyDescent="0.25">
      <c r="A125" s="51"/>
      <c r="B125"/>
      <c r="C125"/>
      <c r="D125" s="51"/>
      <c r="E125" s="51"/>
      <c r="F125" s="51"/>
      <c r="G125" s="51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x14ac:dyDescent="0.25">
      <c r="A126" s="51"/>
      <c r="B126"/>
      <c r="C126"/>
      <c r="D126" s="51"/>
      <c r="E126" s="51"/>
      <c r="F126" s="51"/>
      <c r="G126" s="51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x14ac:dyDescent="0.25">
      <c r="A127" s="51"/>
      <c r="B127"/>
      <c r="C127"/>
      <c r="D127" s="51"/>
      <c r="E127" s="51"/>
      <c r="F127" s="51"/>
      <c r="G127" s="51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x14ac:dyDescent="0.25">
      <c r="A128" s="51"/>
      <c r="B128"/>
      <c r="C128"/>
      <c r="D128" s="51"/>
      <c r="E128" s="51"/>
      <c r="F128" s="51"/>
      <c r="G128" s="51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x14ac:dyDescent="0.25">
      <c r="A129" s="51"/>
      <c r="B129"/>
      <c r="C129"/>
      <c r="D129" s="51"/>
      <c r="E129" s="51"/>
      <c r="F129" s="51"/>
      <c r="G129" s="51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x14ac:dyDescent="0.25">
      <c r="A130" s="51"/>
      <c r="B130"/>
      <c r="C130"/>
      <c r="D130" s="51"/>
      <c r="E130" s="51"/>
      <c r="F130" s="51"/>
      <c r="G130" s="51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x14ac:dyDescent="0.25">
      <c r="A131" s="51"/>
      <c r="B131"/>
      <c r="C131"/>
      <c r="D131" s="51"/>
      <c r="E131" s="51"/>
      <c r="F131" s="51"/>
      <c r="G131" s="5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x14ac:dyDescent="0.25">
      <c r="A132" s="51"/>
      <c r="B132"/>
      <c r="C132"/>
      <c r="D132" s="51"/>
      <c r="E132" s="51"/>
      <c r="F132" s="51"/>
      <c r="G132" s="51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x14ac:dyDescent="0.25">
      <c r="A133" s="51"/>
      <c r="B133"/>
      <c r="C133"/>
      <c r="D133" s="51"/>
      <c r="E133" s="51"/>
      <c r="F133" s="51"/>
      <c r="G133" s="51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x14ac:dyDescent="0.25">
      <c r="A134" s="51"/>
      <c r="B134"/>
      <c r="C134"/>
      <c r="D134" s="51"/>
      <c r="E134" s="51"/>
      <c r="F134" s="51"/>
      <c r="G134" s="51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x14ac:dyDescent="0.25">
      <c r="A135" s="51"/>
      <c r="B135"/>
      <c r="C135"/>
      <c r="D135" s="51"/>
      <c r="E135" s="51"/>
      <c r="F135" s="51"/>
      <c r="G135" s="51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x14ac:dyDescent="0.25">
      <c r="A136" s="51"/>
      <c r="B136"/>
      <c r="C136"/>
      <c r="D136" s="51"/>
      <c r="E136" s="51"/>
      <c r="F136" s="51"/>
      <c r="G136" s="51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x14ac:dyDescent="0.25">
      <c r="A137" s="51"/>
      <c r="B137"/>
      <c r="C137"/>
      <c r="D137" s="51"/>
      <c r="E137" s="51"/>
      <c r="F137" s="51"/>
      <c r="G137" s="51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x14ac:dyDescent="0.25">
      <c r="A138" s="51"/>
      <c r="B138"/>
      <c r="C138"/>
      <c r="D138" s="51"/>
      <c r="E138" s="51"/>
      <c r="F138" s="51"/>
      <c r="G138" s="51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x14ac:dyDescent="0.25">
      <c r="A139" s="51"/>
      <c r="B139"/>
      <c r="C139"/>
      <c r="D139" s="51"/>
      <c r="E139" s="51"/>
      <c r="F139" s="51"/>
      <c r="G139" s="51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x14ac:dyDescent="0.25">
      <c r="A140" s="51"/>
      <c r="B140"/>
      <c r="C140"/>
      <c r="D140" s="51"/>
      <c r="E140" s="51"/>
      <c r="F140" s="51"/>
      <c r="G140" s="51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x14ac:dyDescent="0.25">
      <c r="A141" s="51"/>
      <c r="B141"/>
      <c r="C141"/>
      <c r="D141" s="51"/>
      <c r="E141" s="51"/>
      <c r="F141" s="51"/>
      <c r="G141" s="5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x14ac:dyDescent="0.25">
      <c r="A142" s="51"/>
      <c r="B142"/>
      <c r="C142"/>
      <c r="D142" s="51"/>
      <c r="E142" s="51"/>
      <c r="F142" s="51"/>
      <c r="G142" s="51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x14ac:dyDescent="0.25">
      <c r="A143" s="51"/>
      <c r="B143"/>
      <c r="C143"/>
      <c r="D143" s="51"/>
      <c r="E143" s="51"/>
      <c r="F143" s="51"/>
      <c r="G143" s="51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x14ac:dyDescent="0.25">
      <c r="A144" s="51"/>
      <c r="B144"/>
      <c r="C144"/>
      <c r="D144" s="51"/>
      <c r="E144" s="51"/>
      <c r="F144" s="51"/>
      <c r="G144" s="51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x14ac:dyDescent="0.25">
      <c r="A145" s="51"/>
      <c r="B145"/>
      <c r="C145"/>
      <c r="D145" s="51"/>
      <c r="E145" s="51"/>
      <c r="F145" s="51"/>
      <c r="G145" s="51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x14ac:dyDescent="0.25">
      <c r="A146" s="51"/>
      <c r="B146"/>
      <c r="C146"/>
      <c r="D146" s="51"/>
      <c r="E146" s="51"/>
      <c r="F146" s="51"/>
      <c r="G146" s="51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x14ac:dyDescent="0.25">
      <c r="A147" s="51"/>
      <c r="B147"/>
      <c r="C147"/>
      <c r="D147" s="51"/>
      <c r="E147" s="51"/>
      <c r="F147" s="51"/>
      <c r="G147" s="51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x14ac:dyDescent="0.25">
      <c r="A148" s="51"/>
      <c r="B148"/>
      <c r="C148"/>
      <c r="D148" s="51"/>
      <c r="E148" s="51"/>
      <c r="F148" s="51"/>
      <c r="G148" s="51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x14ac:dyDescent="0.25">
      <c r="A149" s="51"/>
      <c r="B149"/>
      <c r="C149"/>
      <c r="D149" s="51"/>
      <c r="E149" s="51"/>
      <c r="F149" s="51"/>
      <c r="G149" s="51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x14ac:dyDescent="0.25">
      <c r="A150" s="51"/>
      <c r="B150"/>
      <c r="C150"/>
      <c r="D150" s="51"/>
      <c r="E150" s="51"/>
      <c r="F150" s="51"/>
      <c r="G150" s="51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x14ac:dyDescent="0.25">
      <c r="A151" s="51"/>
      <c r="B151"/>
      <c r="C151"/>
      <c r="D151" s="51"/>
      <c r="E151" s="51"/>
      <c r="F151" s="51"/>
      <c r="G151" s="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x14ac:dyDescent="0.25">
      <c r="A152" s="51"/>
      <c r="B152"/>
      <c r="C152"/>
      <c r="D152" s="51"/>
      <c r="E152" s="51"/>
      <c r="F152" s="51"/>
      <c r="G152" s="51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x14ac:dyDescent="0.25">
      <c r="A153" s="51"/>
      <c r="B153"/>
      <c r="C153"/>
      <c r="D153" s="51"/>
      <c r="E153" s="51"/>
      <c r="F153" s="51"/>
      <c r="G153" s="51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x14ac:dyDescent="0.25">
      <c r="A154" s="51"/>
      <c r="B154"/>
      <c r="C154"/>
      <c r="D154" s="51"/>
      <c r="E154" s="51"/>
      <c r="F154" s="51"/>
      <c r="G154" s="51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x14ac:dyDescent="0.25">
      <c r="A155" s="51"/>
      <c r="B155"/>
      <c r="C155"/>
      <c r="D155" s="51"/>
      <c r="E155" s="51"/>
      <c r="F155" s="51"/>
      <c r="G155" s="51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x14ac:dyDescent="0.25">
      <c r="A156" s="51"/>
      <c r="B156"/>
      <c r="C156"/>
      <c r="D156" s="51"/>
      <c r="E156" s="51"/>
      <c r="F156" s="51"/>
      <c r="G156" s="51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x14ac:dyDescent="0.25">
      <c r="A157" s="51"/>
      <c r="B157"/>
      <c r="C157"/>
      <c r="D157" s="51"/>
      <c r="E157" s="51"/>
      <c r="F157" s="51"/>
      <c r="G157" s="51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x14ac:dyDescent="0.25">
      <c r="A158" s="51"/>
      <c r="B158"/>
      <c r="C158"/>
      <c r="D158" s="51"/>
      <c r="E158" s="51"/>
      <c r="F158" s="51"/>
      <c r="G158" s="51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x14ac:dyDescent="0.25">
      <c r="A159" s="51"/>
      <c r="B159"/>
      <c r="C159"/>
      <c r="D159" s="51"/>
      <c r="E159" s="51"/>
      <c r="F159" s="51"/>
      <c r="G159" s="51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x14ac:dyDescent="0.25">
      <c r="A160" s="51"/>
      <c r="B160"/>
      <c r="C160"/>
      <c r="D160" s="51"/>
      <c r="E160" s="51"/>
      <c r="F160" s="51"/>
      <c r="G160" s="51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x14ac:dyDescent="0.25">
      <c r="A161" s="51"/>
      <c r="B161"/>
      <c r="C161"/>
      <c r="D161" s="51"/>
      <c r="E161" s="51"/>
      <c r="F161" s="51"/>
      <c r="G161" s="5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x14ac:dyDescent="0.25">
      <c r="A162" s="51"/>
      <c r="B162"/>
      <c r="C162"/>
      <c r="D162" s="51"/>
      <c r="E162" s="51"/>
      <c r="F162" s="51"/>
      <c r="G162" s="51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x14ac:dyDescent="0.25">
      <c r="A163" s="51"/>
      <c r="B163"/>
      <c r="C163"/>
      <c r="D163" s="51"/>
      <c r="E163" s="51"/>
      <c r="F163" s="51"/>
      <c r="G163" s="51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x14ac:dyDescent="0.25">
      <c r="A164" s="51"/>
      <c r="B164"/>
      <c r="C164"/>
      <c r="D164" s="51"/>
      <c r="E164" s="51"/>
      <c r="F164" s="51"/>
      <c r="G164" s="51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x14ac:dyDescent="0.25">
      <c r="A165" s="51"/>
      <c r="B165"/>
      <c r="C165"/>
      <c r="D165" s="51"/>
      <c r="E165" s="51"/>
      <c r="F165" s="51"/>
      <c r="G165" s="51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x14ac:dyDescent="0.25">
      <c r="A166" s="51"/>
      <c r="B166"/>
      <c r="C166"/>
      <c r="D166" s="51"/>
      <c r="E166" s="51"/>
      <c r="F166" s="51"/>
      <c r="G166" s="51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x14ac:dyDescent="0.25">
      <c r="A167" s="51"/>
      <c r="B167"/>
      <c r="C167"/>
      <c r="D167" s="51"/>
      <c r="E167" s="51"/>
      <c r="F167" s="51"/>
      <c r="G167" s="51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x14ac:dyDescent="0.25">
      <c r="A168" s="51"/>
      <c r="B168"/>
      <c r="C168"/>
      <c r="D168" s="51"/>
      <c r="E168" s="51"/>
      <c r="F168" s="51"/>
      <c r="G168" s="51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x14ac:dyDescent="0.25">
      <c r="A169" s="51"/>
      <c r="B169"/>
      <c r="C169"/>
      <c r="D169" s="51"/>
      <c r="E169" s="51"/>
      <c r="F169" s="51"/>
      <c r="G169" s="51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x14ac:dyDescent="0.25">
      <c r="A170" s="51"/>
      <c r="B170"/>
      <c r="C170"/>
      <c r="D170" s="51"/>
      <c r="E170" s="51"/>
      <c r="F170" s="51"/>
      <c r="G170" s="51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x14ac:dyDescent="0.25">
      <c r="A171" s="51"/>
      <c r="B171"/>
      <c r="C171"/>
      <c r="D171" s="51"/>
      <c r="E171" s="51"/>
      <c r="F171" s="51"/>
      <c r="G171" s="5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x14ac:dyDescent="0.25">
      <c r="A172" s="51"/>
      <c r="B172"/>
      <c r="C172"/>
      <c r="D172" s="51"/>
      <c r="E172" s="51"/>
      <c r="F172" s="51"/>
      <c r="G172" s="51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x14ac:dyDescent="0.25">
      <c r="A173" s="51"/>
      <c r="B173"/>
      <c r="C173"/>
      <c r="D173" s="51"/>
      <c r="E173" s="51"/>
      <c r="F173" s="51"/>
      <c r="G173" s="51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x14ac:dyDescent="0.25">
      <c r="A174" s="51"/>
      <c r="B174"/>
      <c r="C174"/>
      <c r="D174" s="51"/>
      <c r="E174" s="51"/>
      <c r="F174" s="51"/>
      <c r="G174" s="51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x14ac:dyDescent="0.25">
      <c r="A175" s="51"/>
      <c r="B175"/>
      <c r="C175"/>
      <c r="D175" s="51"/>
      <c r="E175" s="51"/>
      <c r="F175" s="51"/>
      <c r="G175" s="51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x14ac:dyDescent="0.25">
      <c r="A176" s="51"/>
      <c r="B176"/>
      <c r="C176"/>
      <c r="D176" s="51"/>
      <c r="E176" s="51"/>
      <c r="F176" s="51"/>
      <c r="G176" s="51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x14ac:dyDescent="0.25">
      <c r="A177" s="51"/>
      <c r="B177"/>
      <c r="C177"/>
      <c r="D177" s="51"/>
      <c r="E177" s="51"/>
      <c r="F177" s="51"/>
      <c r="G177" s="51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x14ac:dyDescent="0.25">
      <c r="A178" s="51"/>
      <c r="B178"/>
      <c r="C178"/>
      <c r="D178" s="51"/>
      <c r="E178" s="51"/>
      <c r="F178" s="51"/>
      <c r="G178" s="51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x14ac:dyDescent="0.25">
      <c r="A179" s="51"/>
      <c r="B179"/>
      <c r="C179"/>
      <c r="D179" s="51"/>
      <c r="E179" s="51"/>
      <c r="F179" s="51"/>
      <c r="G179" s="51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x14ac:dyDescent="0.25">
      <c r="A180" s="51"/>
      <c r="B180"/>
      <c r="C180"/>
      <c r="D180" s="51"/>
      <c r="E180" s="51"/>
      <c r="F180" s="51"/>
      <c r="G180" s="51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x14ac:dyDescent="0.25">
      <c r="A181" s="51"/>
      <c r="B181"/>
      <c r="C181"/>
      <c r="D181" s="51"/>
      <c r="E181" s="51"/>
      <c r="F181" s="51"/>
      <c r="G181" s="5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x14ac:dyDescent="0.25">
      <c r="A182" s="51"/>
      <c r="B182"/>
      <c r="C182"/>
      <c r="D182" s="51"/>
      <c r="E182" s="51"/>
      <c r="F182" s="51"/>
      <c r="G182" s="51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x14ac:dyDescent="0.25">
      <c r="A183" s="51"/>
      <c r="B183"/>
      <c r="C183"/>
      <c r="D183" s="51"/>
      <c r="E183" s="51"/>
      <c r="F183" s="51"/>
      <c r="G183" s="51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x14ac:dyDescent="0.25">
      <c r="A184" s="51"/>
      <c r="B184"/>
      <c r="C184"/>
      <c r="D184" s="51"/>
      <c r="E184" s="51"/>
      <c r="F184" s="51"/>
      <c r="G184" s="51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x14ac:dyDescent="0.25">
      <c r="A185" s="51"/>
      <c r="B185"/>
      <c r="C185"/>
      <c r="D185" s="51"/>
      <c r="E185" s="51"/>
      <c r="F185" s="51"/>
      <c r="G185" s="51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x14ac:dyDescent="0.25">
      <c r="A186" s="51"/>
      <c r="B186"/>
      <c r="C186"/>
      <c r="D186" s="51"/>
      <c r="E186" s="51"/>
      <c r="F186" s="51"/>
      <c r="G186" s="51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x14ac:dyDescent="0.25">
      <c r="A187" s="51"/>
      <c r="B187"/>
      <c r="C187"/>
      <c r="D187" s="51"/>
      <c r="E187" s="51"/>
      <c r="F187" s="51"/>
      <c r="G187" s="51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x14ac:dyDescent="0.25">
      <c r="A188" s="51"/>
      <c r="B188"/>
      <c r="C188"/>
      <c r="D188" s="51"/>
      <c r="E188" s="51"/>
      <c r="F188" s="51"/>
      <c r="G188" s="51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x14ac:dyDescent="0.25">
      <c r="A189" s="51"/>
      <c r="B189"/>
      <c r="C189"/>
      <c r="D189" s="51"/>
      <c r="E189" s="51"/>
      <c r="F189" s="51"/>
      <c r="G189" s="51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x14ac:dyDescent="0.25">
      <c r="A190" s="51"/>
      <c r="B190"/>
      <c r="C190"/>
      <c r="D190" s="51"/>
      <c r="E190" s="51"/>
      <c r="F190" s="51"/>
      <c r="G190" s="51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x14ac:dyDescent="0.25">
      <c r="A191" s="51"/>
      <c r="B191"/>
      <c r="C191"/>
      <c r="D191" s="51"/>
      <c r="E191" s="51"/>
      <c r="F191" s="51"/>
      <c r="G191" s="5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x14ac:dyDescent="0.25">
      <c r="A192" s="51"/>
      <c r="B192"/>
      <c r="C192"/>
      <c r="D192" s="51"/>
      <c r="E192" s="51"/>
      <c r="F192" s="51"/>
      <c r="G192" s="51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x14ac:dyDescent="0.25">
      <c r="A193" s="51"/>
      <c r="B193"/>
      <c r="C193"/>
      <c r="D193" s="51"/>
      <c r="E193" s="51"/>
      <c r="F193" s="51"/>
      <c r="G193" s="51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x14ac:dyDescent="0.25">
      <c r="A194" s="51"/>
      <c r="B194"/>
      <c r="C194"/>
      <c r="D194" s="51"/>
      <c r="E194" s="51"/>
      <c r="F194" s="51"/>
      <c r="G194" s="51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x14ac:dyDescent="0.25">
      <c r="A195" s="51"/>
      <c r="B195"/>
      <c r="C195"/>
      <c r="D195" s="51"/>
      <c r="E195" s="51"/>
      <c r="F195" s="51"/>
      <c r="G195" s="51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x14ac:dyDescent="0.25">
      <c r="A196" s="51"/>
      <c r="B196"/>
      <c r="C196"/>
      <c r="D196" s="51"/>
      <c r="E196" s="51"/>
      <c r="F196" s="51"/>
      <c r="G196" s="51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x14ac:dyDescent="0.25">
      <c r="A197" s="51"/>
      <c r="B197"/>
      <c r="C197"/>
      <c r="D197" s="51"/>
      <c r="E197" s="51"/>
      <c r="F197" s="51"/>
      <c r="G197" s="51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x14ac:dyDescent="0.25">
      <c r="A198" s="51"/>
      <c r="B198"/>
      <c r="C198"/>
      <c r="D198" s="51"/>
      <c r="E198" s="51"/>
      <c r="F198" s="51"/>
      <c r="G198" s="51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x14ac:dyDescent="0.25">
      <c r="A199" s="51"/>
      <c r="B199"/>
      <c r="C199"/>
      <c r="D199" s="51"/>
      <c r="E199" s="51"/>
      <c r="F199" s="51"/>
      <c r="G199" s="51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x14ac:dyDescent="0.25">
      <c r="A200" s="51"/>
      <c r="B200"/>
      <c r="C200"/>
      <c r="D200" s="51"/>
      <c r="E200" s="51"/>
      <c r="F200" s="51"/>
      <c r="G200" s="51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x14ac:dyDescent="0.25">
      <c r="A201" s="51"/>
      <c r="B201"/>
      <c r="C201"/>
      <c r="D201" s="51"/>
      <c r="E201" s="51"/>
      <c r="F201" s="51"/>
      <c r="G201" s="5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x14ac:dyDescent="0.25">
      <c r="A202" s="51"/>
      <c r="B202"/>
      <c r="C202"/>
      <c r="D202" s="51"/>
      <c r="E202" s="51"/>
      <c r="F202" s="51"/>
      <c r="G202" s="51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x14ac:dyDescent="0.25">
      <c r="A203" s="51"/>
      <c r="B203"/>
      <c r="C203"/>
      <c r="D203" s="51"/>
      <c r="E203" s="51"/>
      <c r="F203" s="51"/>
      <c r="G203" s="51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x14ac:dyDescent="0.25">
      <c r="A204" s="51"/>
      <c r="B204"/>
      <c r="C204"/>
      <c r="D204" s="51"/>
      <c r="E204" s="51"/>
      <c r="F204" s="51"/>
      <c r="G204" s="51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x14ac:dyDescent="0.25">
      <c r="A205" s="51"/>
      <c r="B205"/>
      <c r="C205"/>
      <c r="D205" s="51"/>
      <c r="E205" s="51"/>
      <c r="F205" s="51"/>
      <c r="G205" s="51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x14ac:dyDescent="0.25">
      <c r="A206" s="51"/>
      <c r="B206"/>
      <c r="C206"/>
      <c r="D206" s="51"/>
      <c r="E206" s="51"/>
      <c r="F206" s="51"/>
      <c r="G206" s="51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x14ac:dyDescent="0.25">
      <c r="A207" s="51"/>
      <c r="B207"/>
      <c r="C207"/>
      <c r="D207" s="51"/>
      <c r="E207" s="51"/>
      <c r="F207" s="51"/>
      <c r="G207" s="51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x14ac:dyDescent="0.25">
      <c r="A208" s="51"/>
      <c r="B208"/>
      <c r="C208"/>
      <c r="D208" s="51"/>
      <c r="E208" s="51"/>
      <c r="F208" s="51"/>
      <c r="G208" s="51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x14ac:dyDescent="0.25">
      <c r="A209" s="51"/>
      <c r="B209"/>
      <c r="C209"/>
      <c r="D209" s="51"/>
      <c r="E209" s="51"/>
      <c r="F209" s="51"/>
      <c r="G209" s="51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x14ac:dyDescent="0.25">
      <c r="A210" s="51"/>
      <c r="B210"/>
      <c r="C210"/>
      <c r="D210" s="51"/>
      <c r="E210" s="51"/>
      <c r="F210" s="51"/>
      <c r="G210" s="51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x14ac:dyDescent="0.25">
      <c r="A211" s="51"/>
      <c r="B211"/>
      <c r="C211"/>
      <c r="D211" s="51"/>
      <c r="E211" s="51"/>
      <c r="F211" s="51"/>
      <c r="G211" s="5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x14ac:dyDescent="0.25">
      <c r="A212" s="51"/>
      <c r="B212"/>
      <c r="C212"/>
      <c r="D212" s="51"/>
      <c r="E212" s="51"/>
      <c r="F212" s="51"/>
      <c r="G212" s="51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x14ac:dyDescent="0.25">
      <c r="A213" s="51"/>
      <c r="B213"/>
      <c r="C213"/>
      <c r="D213" s="51"/>
      <c r="E213" s="51"/>
      <c r="F213" s="51"/>
      <c r="G213" s="51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x14ac:dyDescent="0.25">
      <c r="A214" s="51"/>
      <c r="B214"/>
      <c r="C214"/>
      <c r="D214" s="51"/>
      <c r="E214" s="51"/>
      <c r="F214" s="51"/>
      <c r="G214" s="51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x14ac:dyDescent="0.25">
      <c r="A215" s="51"/>
      <c r="B215"/>
      <c r="C215"/>
      <c r="D215" s="51"/>
      <c r="E215" s="51"/>
      <c r="F215" s="51"/>
      <c r="G215" s="51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x14ac:dyDescent="0.25">
      <c r="A216" s="51"/>
      <c r="B216"/>
      <c r="C216"/>
      <c r="D216" s="51"/>
      <c r="E216" s="51"/>
      <c r="F216" s="51"/>
      <c r="G216" s="51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x14ac:dyDescent="0.25">
      <c r="A217" s="51"/>
      <c r="B217"/>
      <c r="C217"/>
      <c r="D217" s="51"/>
      <c r="E217" s="51"/>
      <c r="F217" s="51"/>
      <c r="G217" s="51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x14ac:dyDescent="0.25">
      <c r="A218" s="51"/>
      <c r="B218"/>
      <c r="C218"/>
      <c r="D218" s="51"/>
      <c r="E218" s="51"/>
      <c r="F218" s="51"/>
      <c r="G218" s="51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x14ac:dyDescent="0.25">
      <c r="A219" s="51"/>
      <c r="B219"/>
      <c r="C219"/>
      <c r="D219" s="51"/>
      <c r="E219" s="51"/>
      <c r="F219" s="51"/>
      <c r="G219" s="51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x14ac:dyDescent="0.25">
      <c r="A220" s="51"/>
      <c r="B220"/>
      <c r="C220"/>
      <c r="D220" s="51"/>
      <c r="E220" s="51"/>
      <c r="F220" s="51"/>
      <c r="G220" s="51"/>
      <c r="H220"/>
      <c r="I220"/>
      <c r="J220"/>
      <c r="K220"/>
      <c r="L220"/>
      <c r="M220"/>
      <c r="N220"/>
      <c r="O220"/>
      <c r="P220"/>
      <c r="Q220"/>
      <c r="R220"/>
      <c r="S220"/>
      <c r="T220"/>
    </row>
    <row r="221" spans="1:20" x14ac:dyDescent="0.25">
      <c r="A221" s="51"/>
      <c r="B221"/>
      <c r="C221"/>
      <c r="D221" s="51"/>
      <c r="E221" s="51"/>
      <c r="F221" s="51"/>
      <c r="G221" s="51"/>
      <c r="H221"/>
      <c r="I221"/>
      <c r="J221"/>
      <c r="K221"/>
      <c r="L221"/>
      <c r="M221"/>
      <c r="N221"/>
      <c r="O221"/>
      <c r="P221"/>
      <c r="Q221"/>
      <c r="R221"/>
      <c r="S221"/>
      <c r="T221"/>
    </row>
    <row r="222" spans="1:20" x14ac:dyDescent="0.25">
      <c r="A222" s="51"/>
      <c r="B222"/>
      <c r="C222"/>
      <c r="D222" s="51"/>
      <c r="E222" s="51"/>
      <c r="F222" s="51"/>
      <c r="G222" s="51"/>
      <c r="H222"/>
      <c r="I222"/>
      <c r="J222"/>
      <c r="K222"/>
      <c r="L222"/>
      <c r="M222"/>
      <c r="N222"/>
      <c r="O222"/>
      <c r="P222"/>
      <c r="Q222"/>
      <c r="R222"/>
      <c r="S222"/>
      <c r="T222"/>
    </row>
    <row r="223" spans="1:20" x14ac:dyDescent="0.25">
      <c r="A223" s="51"/>
      <c r="B223"/>
      <c r="C223"/>
      <c r="D223" s="51"/>
      <c r="E223" s="51"/>
      <c r="F223" s="51"/>
      <c r="G223" s="51"/>
      <c r="H223"/>
      <c r="I223"/>
      <c r="J223"/>
      <c r="K223"/>
      <c r="L223"/>
      <c r="M223"/>
      <c r="N223"/>
      <c r="O223"/>
      <c r="P223"/>
      <c r="Q223"/>
      <c r="R223"/>
      <c r="S223"/>
      <c r="T223"/>
    </row>
    <row r="224" spans="1:20" x14ac:dyDescent="0.25">
      <c r="A224" s="51"/>
      <c r="B224"/>
      <c r="C224"/>
      <c r="D224" s="51"/>
      <c r="E224" s="51"/>
      <c r="F224" s="51"/>
      <c r="G224" s="51"/>
      <c r="H224"/>
      <c r="I224"/>
      <c r="J224"/>
      <c r="K224"/>
      <c r="L224"/>
      <c r="M224"/>
      <c r="N224"/>
      <c r="O224"/>
      <c r="P224"/>
      <c r="Q224"/>
      <c r="R224"/>
      <c r="S224"/>
      <c r="T224"/>
    </row>
    <row r="225" spans="1:20" x14ac:dyDescent="0.25">
      <c r="A225" s="51"/>
      <c r="B225"/>
      <c r="C225"/>
      <c r="D225" s="51"/>
      <c r="E225" s="51"/>
      <c r="F225" s="51"/>
      <c r="G225" s="51"/>
      <c r="H225"/>
      <c r="I225"/>
      <c r="J225"/>
      <c r="K225"/>
      <c r="L225"/>
      <c r="M225"/>
      <c r="N225"/>
      <c r="O225"/>
      <c r="P225"/>
      <c r="Q225"/>
      <c r="R225"/>
      <c r="S225"/>
      <c r="T225"/>
    </row>
    <row r="226" spans="1:20" x14ac:dyDescent="0.25">
      <c r="A226" s="51"/>
      <c r="B226"/>
      <c r="C226"/>
      <c r="D226" s="51"/>
      <c r="E226" s="51"/>
      <c r="F226" s="51"/>
      <c r="G226" s="51"/>
      <c r="H226"/>
      <c r="I226"/>
      <c r="J226"/>
      <c r="K226"/>
      <c r="L226"/>
      <c r="M226"/>
      <c r="N226"/>
      <c r="O226"/>
      <c r="P226"/>
      <c r="Q226"/>
      <c r="R226"/>
      <c r="S226"/>
      <c r="T226"/>
    </row>
    <row r="227" spans="1:20" x14ac:dyDescent="0.25">
      <c r="A227" s="51"/>
      <c r="B227"/>
      <c r="C227"/>
      <c r="D227" s="51"/>
      <c r="E227" s="51"/>
      <c r="F227" s="51"/>
      <c r="G227" s="51"/>
      <c r="H227"/>
      <c r="I227"/>
      <c r="J227"/>
      <c r="K227"/>
      <c r="L227"/>
      <c r="M227"/>
      <c r="N227"/>
      <c r="O227"/>
      <c r="P227"/>
      <c r="Q227"/>
      <c r="R227"/>
      <c r="S227"/>
      <c r="T227"/>
    </row>
    <row r="228" spans="1:20" x14ac:dyDescent="0.25">
      <c r="A228" s="51"/>
      <c r="B228"/>
      <c r="C228"/>
      <c r="D228" s="51"/>
      <c r="E228" s="51"/>
      <c r="F228" s="51"/>
      <c r="G228" s="51"/>
      <c r="H228"/>
      <c r="I228"/>
      <c r="J228"/>
      <c r="K228"/>
      <c r="L228"/>
      <c r="M228"/>
      <c r="N228"/>
      <c r="O228"/>
      <c r="P228"/>
      <c r="Q228"/>
      <c r="R228"/>
      <c r="S228"/>
      <c r="T228"/>
    </row>
    <row r="229" spans="1:20" x14ac:dyDescent="0.25">
      <c r="A229" s="51"/>
      <c r="B229"/>
      <c r="C229"/>
      <c r="D229" s="51"/>
      <c r="E229" s="51"/>
      <c r="F229" s="51"/>
      <c r="G229" s="51"/>
      <c r="H229"/>
      <c r="I229"/>
      <c r="J229"/>
      <c r="K229"/>
      <c r="L229"/>
      <c r="M229"/>
      <c r="N229"/>
      <c r="O229"/>
      <c r="P229"/>
      <c r="Q229"/>
      <c r="R229"/>
      <c r="S229"/>
      <c r="T229"/>
    </row>
    <row r="230" spans="1:20" x14ac:dyDescent="0.25">
      <c r="A230" s="51"/>
      <c r="B230"/>
      <c r="C230"/>
      <c r="D230" s="51"/>
      <c r="E230" s="51"/>
      <c r="F230" s="51"/>
      <c r="G230" s="51"/>
      <c r="H230"/>
      <c r="I230"/>
      <c r="J230"/>
      <c r="K230"/>
      <c r="L230"/>
      <c r="M230"/>
      <c r="N230"/>
      <c r="O230"/>
      <c r="P230"/>
      <c r="Q230"/>
      <c r="R230"/>
      <c r="S230"/>
      <c r="T230"/>
    </row>
    <row r="231" spans="1:20" x14ac:dyDescent="0.25">
      <c r="A231" s="51"/>
      <c r="B231"/>
      <c r="C231"/>
      <c r="D231" s="51"/>
      <c r="E231" s="51"/>
      <c r="F231" s="51"/>
      <c r="G231" s="51"/>
      <c r="H231"/>
      <c r="I231"/>
      <c r="J231"/>
      <c r="K231"/>
      <c r="L231"/>
      <c r="M231"/>
      <c r="N231"/>
      <c r="O231"/>
      <c r="P231"/>
      <c r="Q231"/>
      <c r="R231"/>
      <c r="S231"/>
      <c r="T231"/>
    </row>
    <row r="232" spans="1:20" x14ac:dyDescent="0.25">
      <c r="A232" s="51"/>
      <c r="B232"/>
      <c r="C232"/>
      <c r="D232" s="51"/>
      <c r="E232" s="51"/>
      <c r="F232" s="51"/>
      <c r="G232" s="51"/>
      <c r="H232"/>
      <c r="I232"/>
      <c r="J232"/>
      <c r="K232"/>
      <c r="L232"/>
      <c r="M232"/>
      <c r="N232"/>
      <c r="O232"/>
      <c r="P232"/>
      <c r="Q232"/>
      <c r="R232"/>
      <c r="S232"/>
      <c r="T232"/>
    </row>
    <row r="233" spans="1:20" x14ac:dyDescent="0.25">
      <c r="A233" s="51"/>
      <c r="B233"/>
      <c r="C233"/>
      <c r="D233" s="51"/>
      <c r="E233" s="51"/>
      <c r="F233" s="51"/>
      <c r="G233" s="51"/>
      <c r="H233"/>
      <c r="I233"/>
      <c r="J233"/>
      <c r="K233"/>
      <c r="L233"/>
      <c r="M233"/>
      <c r="N233"/>
      <c r="O233"/>
      <c r="P233"/>
      <c r="Q233"/>
      <c r="R233"/>
      <c r="S233"/>
      <c r="T233"/>
    </row>
    <row r="234" spans="1:20" x14ac:dyDescent="0.25">
      <c r="A234" s="51"/>
      <c r="B234"/>
      <c r="C234"/>
      <c r="D234" s="51"/>
      <c r="E234" s="51"/>
      <c r="F234" s="51"/>
      <c r="G234" s="51"/>
      <c r="H234"/>
      <c r="I234"/>
      <c r="J234"/>
      <c r="K234"/>
      <c r="L234"/>
      <c r="M234"/>
      <c r="N234"/>
      <c r="O234"/>
      <c r="P234"/>
      <c r="Q234"/>
      <c r="R234"/>
      <c r="S234"/>
      <c r="T234"/>
    </row>
    <row r="235" spans="1:20" x14ac:dyDescent="0.25">
      <c r="A235" s="51"/>
      <c r="B235"/>
      <c r="C235"/>
      <c r="D235" s="51"/>
      <c r="E235" s="51"/>
      <c r="F235" s="51"/>
      <c r="G235" s="51"/>
      <c r="H235"/>
      <c r="I235"/>
      <c r="J235"/>
      <c r="K235"/>
      <c r="L235"/>
      <c r="M235"/>
      <c r="N235"/>
      <c r="O235"/>
      <c r="P235"/>
      <c r="Q235"/>
      <c r="R235"/>
      <c r="S235"/>
      <c r="T235"/>
    </row>
    <row r="236" spans="1:20" x14ac:dyDescent="0.25">
      <c r="A236" s="51"/>
      <c r="B236"/>
      <c r="C236"/>
      <c r="D236" s="51"/>
      <c r="E236" s="51"/>
      <c r="F236" s="51"/>
      <c r="G236" s="51"/>
      <c r="H236"/>
      <c r="I236"/>
      <c r="J236"/>
      <c r="K236"/>
      <c r="L236"/>
      <c r="M236"/>
      <c r="N236"/>
      <c r="O236"/>
      <c r="P236"/>
      <c r="Q236"/>
      <c r="R236"/>
      <c r="S236"/>
      <c r="T236"/>
    </row>
    <row r="237" spans="1:20" x14ac:dyDescent="0.25">
      <c r="A237" s="51"/>
      <c r="B237"/>
      <c r="C237"/>
      <c r="D237" s="51"/>
      <c r="E237" s="51"/>
      <c r="F237" s="51"/>
      <c r="G237" s="51"/>
      <c r="H237"/>
      <c r="I237"/>
      <c r="J237"/>
      <c r="K237"/>
      <c r="L237"/>
      <c r="M237"/>
      <c r="N237"/>
      <c r="O237"/>
      <c r="P237"/>
      <c r="Q237"/>
      <c r="R237"/>
      <c r="S237"/>
      <c r="T237"/>
    </row>
    <row r="238" spans="1:20" x14ac:dyDescent="0.25">
      <c r="A238" s="51"/>
      <c r="B238"/>
      <c r="C238"/>
      <c r="D238" s="51"/>
      <c r="E238" s="51"/>
      <c r="F238" s="51"/>
      <c r="G238" s="51"/>
      <c r="H238"/>
      <c r="I238"/>
      <c r="J238"/>
      <c r="K238"/>
      <c r="L238"/>
      <c r="M238"/>
      <c r="N238"/>
      <c r="O238"/>
      <c r="P238"/>
      <c r="Q238"/>
      <c r="R238"/>
      <c r="S238"/>
      <c r="T238"/>
    </row>
    <row r="239" spans="1:20" x14ac:dyDescent="0.25">
      <c r="A239" s="51"/>
      <c r="B239"/>
      <c r="C239"/>
      <c r="D239" s="51"/>
      <c r="E239" s="51"/>
      <c r="F239" s="51"/>
      <c r="G239" s="51"/>
      <c r="H239"/>
      <c r="I239"/>
      <c r="J239"/>
      <c r="K239"/>
      <c r="L239"/>
      <c r="M239"/>
      <c r="N239"/>
      <c r="O239"/>
      <c r="P239"/>
      <c r="Q239"/>
      <c r="R239"/>
      <c r="S239"/>
      <c r="T239"/>
    </row>
    <row r="240" spans="1:20" x14ac:dyDescent="0.25">
      <c r="A240" s="51"/>
      <c r="B240"/>
      <c r="C240"/>
      <c r="D240" s="51"/>
      <c r="E240" s="51"/>
      <c r="F240" s="51"/>
      <c r="G240" s="51"/>
      <c r="H240"/>
      <c r="I240"/>
      <c r="J240"/>
      <c r="K240"/>
      <c r="L240"/>
      <c r="M240"/>
      <c r="N240"/>
      <c r="O240"/>
      <c r="P240"/>
      <c r="Q240"/>
      <c r="R240"/>
      <c r="S240"/>
      <c r="T240"/>
    </row>
    <row r="241" spans="1:20" x14ac:dyDescent="0.25">
      <c r="A241" s="51"/>
      <c r="B241"/>
      <c r="C241"/>
      <c r="D241" s="51"/>
      <c r="E241" s="51"/>
      <c r="F241" s="51"/>
      <c r="G241" s="51"/>
      <c r="H241"/>
      <c r="I241"/>
      <c r="J241"/>
      <c r="K241"/>
      <c r="L241"/>
      <c r="M241"/>
      <c r="N241"/>
      <c r="O241"/>
      <c r="P241"/>
      <c r="Q241"/>
      <c r="R241"/>
      <c r="S241"/>
      <c r="T241"/>
    </row>
    <row r="242" spans="1:20" x14ac:dyDescent="0.25">
      <c r="A242" s="51"/>
      <c r="B242"/>
      <c r="C242"/>
      <c r="D242" s="51"/>
      <c r="E242" s="51"/>
      <c r="F242" s="51"/>
      <c r="G242" s="51"/>
      <c r="H242"/>
      <c r="I242"/>
      <c r="J242"/>
      <c r="K242"/>
      <c r="L242"/>
      <c r="M242"/>
      <c r="N242"/>
      <c r="O242"/>
      <c r="P242"/>
      <c r="Q242"/>
      <c r="R242"/>
      <c r="S242"/>
      <c r="T242"/>
    </row>
    <row r="243" spans="1:20" x14ac:dyDescent="0.25">
      <c r="A243" s="51"/>
      <c r="B243"/>
      <c r="C243"/>
      <c r="D243" s="51"/>
      <c r="E243" s="51"/>
      <c r="F243" s="51"/>
      <c r="G243" s="51"/>
      <c r="H243"/>
      <c r="I243"/>
      <c r="J243"/>
      <c r="K243"/>
      <c r="L243"/>
      <c r="M243"/>
      <c r="N243"/>
      <c r="O243"/>
      <c r="P243"/>
      <c r="Q243"/>
      <c r="R243"/>
      <c r="S243"/>
      <c r="T243"/>
    </row>
    <row r="244" spans="1:20" x14ac:dyDescent="0.25">
      <c r="A244" s="51"/>
      <c r="B244"/>
      <c r="C244"/>
      <c r="D244" s="51"/>
      <c r="E244" s="51"/>
      <c r="F244" s="51"/>
      <c r="G244" s="51"/>
      <c r="H244"/>
      <c r="I244"/>
      <c r="J244"/>
      <c r="K244"/>
      <c r="L244"/>
      <c r="M244"/>
      <c r="N244"/>
      <c r="O244"/>
      <c r="P244"/>
      <c r="Q244"/>
      <c r="R244"/>
      <c r="S244"/>
      <c r="T244"/>
    </row>
    <row r="245" spans="1:20" x14ac:dyDescent="0.25">
      <c r="A245" s="51"/>
      <c r="B245"/>
      <c r="C245"/>
      <c r="D245" s="51"/>
      <c r="E245" s="51"/>
      <c r="F245" s="51"/>
      <c r="G245" s="51"/>
      <c r="H245"/>
      <c r="I245"/>
      <c r="J245"/>
      <c r="K245"/>
      <c r="L245"/>
      <c r="M245"/>
      <c r="N245"/>
      <c r="O245"/>
      <c r="P245"/>
      <c r="Q245"/>
      <c r="R245"/>
      <c r="S245"/>
      <c r="T245"/>
    </row>
    <row r="246" spans="1:20" x14ac:dyDescent="0.25">
      <c r="A246" s="51"/>
      <c r="B246"/>
      <c r="C246"/>
      <c r="D246" s="51"/>
      <c r="E246" s="51"/>
      <c r="F246" s="51"/>
      <c r="G246" s="51"/>
      <c r="H246"/>
      <c r="I246"/>
      <c r="J246"/>
      <c r="K246"/>
      <c r="L246"/>
      <c r="M246"/>
      <c r="N246"/>
      <c r="O246"/>
      <c r="P246"/>
      <c r="Q246"/>
      <c r="R246"/>
      <c r="S246"/>
      <c r="T246"/>
    </row>
    <row r="247" spans="1:20" x14ac:dyDescent="0.25">
      <c r="A247" s="51"/>
      <c r="B247"/>
      <c r="C247"/>
      <c r="D247" s="51"/>
      <c r="E247" s="51"/>
      <c r="F247" s="51"/>
      <c r="G247" s="51"/>
      <c r="H247"/>
      <c r="I247"/>
      <c r="J247"/>
      <c r="K247"/>
      <c r="L247"/>
      <c r="M247"/>
      <c r="N247"/>
      <c r="O247"/>
      <c r="P247"/>
      <c r="Q247"/>
      <c r="R247"/>
      <c r="S247"/>
      <c r="T247"/>
    </row>
    <row r="248" spans="1:20" x14ac:dyDescent="0.25">
      <c r="A248" s="51"/>
      <c r="B248"/>
      <c r="C248"/>
      <c r="D248" s="51"/>
      <c r="E248" s="51"/>
      <c r="F248" s="51"/>
      <c r="G248" s="51"/>
      <c r="H248"/>
      <c r="I248"/>
      <c r="J248"/>
      <c r="K248"/>
      <c r="L248"/>
      <c r="M248"/>
      <c r="N248"/>
      <c r="O248"/>
      <c r="P248"/>
      <c r="Q248"/>
      <c r="R248"/>
      <c r="S248"/>
      <c r="T248"/>
    </row>
    <row r="249" spans="1:20" x14ac:dyDescent="0.25">
      <c r="A249" s="51"/>
      <c r="B249"/>
      <c r="C249"/>
      <c r="D249" s="51"/>
      <c r="E249" s="51"/>
      <c r="F249" s="51"/>
      <c r="G249" s="51"/>
      <c r="H249"/>
      <c r="I249"/>
      <c r="J249"/>
      <c r="K249"/>
      <c r="L249"/>
      <c r="M249"/>
      <c r="N249"/>
      <c r="O249"/>
      <c r="P249"/>
      <c r="Q249"/>
      <c r="R249"/>
      <c r="S249"/>
      <c r="T249"/>
    </row>
    <row r="250" spans="1:20" x14ac:dyDescent="0.25">
      <c r="A250" s="51"/>
      <c r="B250"/>
      <c r="C250"/>
      <c r="D250" s="51"/>
      <c r="E250" s="51"/>
      <c r="F250" s="51"/>
      <c r="G250" s="51"/>
      <c r="H250"/>
      <c r="I250"/>
      <c r="J250"/>
      <c r="K250"/>
      <c r="L250"/>
      <c r="M250"/>
      <c r="N250"/>
      <c r="O250"/>
      <c r="P250"/>
      <c r="Q250"/>
      <c r="R250"/>
      <c r="S250"/>
      <c r="T250"/>
    </row>
    <row r="251" spans="1:20" x14ac:dyDescent="0.25">
      <c r="A251" s="51"/>
      <c r="B251"/>
      <c r="C251"/>
      <c r="D251" s="51"/>
      <c r="E251" s="51"/>
      <c r="F251" s="51"/>
      <c r="G251" s="51"/>
      <c r="H251"/>
      <c r="I251"/>
      <c r="J251"/>
      <c r="K251"/>
      <c r="L251"/>
      <c r="M251"/>
      <c r="N251"/>
      <c r="O251"/>
      <c r="P251"/>
      <c r="Q251"/>
      <c r="R251"/>
      <c r="S251"/>
      <c r="T251"/>
    </row>
    <row r="252" spans="1:20" x14ac:dyDescent="0.25">
      <c r="A252" s="51"/>
      <c r="B252"/>
      <c r="C252"/>
      <c r="D252" s="51"/>
      <c r="E252" s="51"/>
      <c r="F252" s="51"/>
      <c r="G252" s="51"/>
      <c r="H252"/>
      <c r="I252"/>
      <c r="J252"/>
      <c r="K252"/>
      <c r="L252"/>
      <c r="M252"/>
      <c r="N252"/>
      <c r="O252"/>
      <c r="P252"/>
      <c r="Q252"/>
      <c r="R252"/>
      <c r="S252"/>
      <c r="T252"/>
    </row>
    <row r="253" spans="1:20" x14ac:dyDescent="0.25">
      <c r="A253" s="51"/>
      <c r="B253"/>
      <c r="C253"/>
      <c r="D253" s="51"/>
      <c r="E253" s="51"/>
      <c r="F253" s="51"/>
      <c r="G253" s="51"/>
      <c r="H253"/>
      <c r="I253"/>
      <c r="J253"/>
      <c r="K253"/>
      <c r="L253"/>
      <c r="M253"/>
      <c r="N253"/>
      <c r="O253"/>
      <c r="P253"/>
      <c r="Q253"/>
      <c r="R253"/>
      <c r="S253"/>
      <c r="T253"/>
    </row>
    <row r="254" spans="1:20" x14ac:dyDescent="0.25">
      <c r="A254" s="51"/>
      <c r="B254"/>
      <c r="C254"/>
      <c r="D254" s="51"/>
      <c r="E254" s="51"/>
      <c r="F254" s="51"/>
      <c r="G254" s="51"/>
      <c r="H254"/>
      <c r="I254"/>
      <c r="J254"/>
      <c r="K254"/>
      <c r="L254"/>
      <c r="M254"/>
      <c r="N254"/>
      <c r="O254"/>
      <c r="P254"/>
      <c r="Q254"/>
      <c r="R254"/>
      <c r="S254"/>
      <c r="T254"/>
    </row>
    <row r="255" spans="1:20" x14ac:dyDescent="0.25">
      <c r="A255" s="51"/>
      <c r="B255"/>
      <c r="C255"/>
      <c r="D255" s="51"/>
      <c r="E255" s="51"/>
      <c r="F255" s="51"/>
      <c r="G255" s="51"/>
      <c r="H255"/>
      <c r="I255"/>
      <c r="J255"/>
      <c r="K255"/>
      <c r="L255"/>
      <c r="M255"/>
      <c r="N255"/>
      <c r="O255"/>
      <c r="P255"/>
      <c r="Q255"/>
      <c r="R255"/>
      <c r="S255"/>
      <c r="T255"/>
    </row>
    <row r="256" spans="1:20" x14ac:dyDescent="0.25">
      <c r="A256" s="51"/>
      <c r="B256"/>
      <c r="C256"/>
      <c r="D256" s="51"/>
      <c r="E256" s="51"/>
      <c r="F256" s="51"/>
      <c r="G256" s="51"/>
      <c r="H256"/>
      <c r="I256"/>
      <c r="J256"/>
      <c r="K256"/>
      <c r="L256"/>
      <c r="M256"/>
      <c r="N256"/>
      <c r="O256"/>
      <c r="P256"/>
      <c r="Q256"/>
      <c r="R256"/>
      <c r="S256"/>
      <c r="T256"/>
    </row>
    <row r="257" spans="1:20" x14ac:dyDescent="0.25">
      <c r="A257" s="51"/>
      <c r="B257"/>
      <c r="C257"/>
      <c r="D257" s="51"/>
      <c r="E257" s="51"/>
      <c r="F257" s="51"/>
      <c r="G257" s="51"/>
      <c r="H257"/>
      <c r="I257"/>
      <c r="J257"/>
      <c r="K257"/>
      <c r="L257"/>
      <c r="M257"/>
      <c r="N257"/>
      <c r="O257"/>
      <c r="P257"/>
      <c r="Q257"/>
      <c r="R257"/>
      <c r="S257"/>
      <c r="T257"/>
    </row>
    <row r="258" spans="1:20" x14ac:dyDescent="0.25">
      <c r="A258" s="51"/>
      <c r="B258"/>
      <c r="C258"/>
      <c r="D258" s="51"/>
      <c r="E258" s="51"/>
      <c r="F258" s="51"/>
      <c r="G258" s="51"/>
      <c r="H258"/>
      <c r="I258"/>
      <c r="J258"/>
      <c r="K258"/>
      <c r="L258"/>
      <c r="M258"/>
      <c r="N258"/>
      <c r="O258"/>
      <c r="P258"/>
      <c r="Q258"/>
      <c r="R258"/>
      <c r="S258"/>
      <c r="T258"/>
    </row>
    <row r="259" spans="1:20" x14ac:dyDescent="0.25">
      <c r="A259" s="51"/>
      <c r="B259"/>
      <c r="C259"/>
      <c r="D259" s="51"/>
      <c r="E259" s="51"/>
      <c r="F259" s="51"/>
      <c r="G259" s="51"/>
      <c r="H259"/>
      <c r="I259"/>
      <c r="J259"/>
      <c r="K259"/>
      <c r="L259"/>
      <c r="M259"/>
      <c r="N259"/>
      <c r="O259"/>
      <c r="P259"/>
      <c r="Q259"/>
      <c r="R259"/>
      <c r="S259"/>
      <c r="T259"/>
    </row>
    <row r="260" spans="1:20" x14ac:dyDescent="0.25">
      <c r="A260" s="51"/>
      <c r="B260"/>
      <c r="C260"/>
      <c r="D260" s="51"/>
      <c r="E260" s="51"/>
      <c r="F260" s="51"/>
      <c r="G260" s="51"/>
      <c r="H260"/>
      <c r="I260"/>
      <c r="J260"/>
      <c r="K260"/>
      <c r="L260"/>
      <c r="M260"/>
      <c r="N260"/>
      <c r="O260"/>
      <c r="P260"/>
      <c r="Q260"/>
      <c r="R260"/>
      <c r="S260"/>
      <c r="T260"/>
    </row>
    <row r="261" spans="1:20" x14ac:dyDescent="0.25">
      <c r="A261" s="51"/>
      <c r="B261"/>
      <c r="C261"/>
      <c r="D261" s="51"/>
      <c r="E261" s="51"/>
      <c r="F261" s="51"/>
      <c r="G261" s="51"/>
      <c r="H261"/>
      <c r="I261"/>
      <c r="J261"/>
      <c r="K261"/>
      <c r="L261"/>
      <c r="M261"/>
      <c r="N261"/>
      <c r="O261"/>
      <c r="P261"/>
      <c r="Q261"/>
      <c r="R261"/>
      <c r="S261"/>
      <c r="T261"/>
    </row>
    <row r="262" spans="1:20" x14ac:dyDescent="0.25">
      <c r="A262" s="51"/>
      <c r="B262"/>
      <c r="C262"/>
      <c r="D262" s="51"/>
      <c r="E262" s="51"/>
      <c r="F262" s="51"/>
      <c r="G262" s="51"/>
      <c r="H262"/>
      <c r="I262"/>
      <c r="J262"/>
      <c r="K262"/>
      <c r="L262"/>
      <c r="M262"/>
      <c r="N262"/>
      <c r="O262"/>
      <c r="P262"/>
      <c r="Q262"/>
      <c r="R262"/>
      <c r="S262"/>
      <c r="T262"/>
    </row>
    <row r="263" spans="1:20" x14ac:dyDescent="0.25">
      <c r="A263" s="51"/>
      <c r="B263"/>
      <c r="C263"/>
      <c r="D263" s="51"/>
      <c r="E263" s="51"/>
      <c r="F263" s="51"/>
      <c r="G263" s="51"/>
      <c r="H263"/>
      <c r="I263"/>
      <c r="J263"/>
      <c r="K263"/>
      <c r="L263"/>
      <c r="M263"/>
      <c r="N263"/>
      <c r="O263"/>
      <c r="P263"/>
      <c r="Q263"/>
      <c r="R263"/>
      <c r="S263"/>
      <c r="T263"/>
    </row>
    <row r="264" spans="1:20" x14ac:dyDescent="0.25">
      <c r="A264" s="51"/>
      <c r="B264"/>
      <c r="C264"/>
      <c r="D264" s="51"/>
      <c r="E264" s="51"/>
      <c r="F264" s="51"/>
      <c r="G264" s="51"/>
      <c r="H264"/>
      <c r="I264"/>
      <c r="J264"/>
      <c r="K264"/>
      <c r="L264"/>
      <c r="M264"/>
      <c r="N264"/>
      <c r="O264"/>
      <c r="P264"/>
      <c r="Q264"/>
      <c r="R264"/>
      <c r="S264"/>
      <c r="T264"/>
    </row>
    <row r="265" spans="1:20" x14ac:dyDescent="0.25">
      <c r="A265" s="51"/>
      <c r="B265"/>
      <c r="C265"/>
      <c r="D265" s="51"/>
      <c r="E265" s="51"/>
      <c r="F265" s="51"/>
      <c r="G265" s="51"/>
      <c r="H265"/>
      <c r="I265"/>
      <c r="J265"/>
      <c r="K265"/>
      <c r="L265"/>
      <c r="M265"/>
      <c r="N265"/>
      <c r="O265"/>
      <c r="P265"/>
      <c r="Q265"/>
      <c r="R265"/>
      <c r="S265"/>
      <c r="T265"/>
    </row>
    <row r="266" spans="1:20" x14ac:dyDescent="0.25">
      <c r="A266" s="51"/>
      <c r="B266"/>
      <c r="C266"/>
      <c r="D266" s="51"/>
      <c r="E266" s="51"/>
      <c r="F266" s="51"/>
      <c r="G266" s="51"/>
      <c r="H266"/>
      <c r="I266"/>
      <c r="J266"/>
      <c r="K266"/>
      <c r="L266"/>
      <c r="M266"/>
      <c r="N266"/>
      <c r="O266"/>
      <c r="P266"/>
      <c r="Q266"/>
      <c r="R266"/>
      <c r="S266"/>
      <c r="T266"/>
    </row>
    <row r="267" spans="1:20" x14ac:dyDescent="0.25">
      <c r="A267" s="51"/>
      <c r="B267"/>
      <c r="C267"/>
      <c r="D267" s="51"/>
      <c r="E267" s="51"/>
      <c r="F267" s="51"/>
      <c r="G267" s="51"/>
      <c r="H267"/>
      <c r="I267"/>
      <c r="J267"/>
      <c r="K267"/>
      <c r="L267"/>
      <c r="M267"/>
      <c r="N267"/>
      <c r="O267"/>
      <c r="P267"/>
      <c r="Q267"/>
      <c r="R267"/>
      <c r="S267"/>
      <c r="T267"/>
    </row>
    <row r="268" spans="1:20" x14ac:dyDescent="0.25">
      <c r="A268" s="51"/>
      <c r="B268"/>
      <c r="C268"/>
      <c r="D268" s="51"/>
      <c r="E268" s="51"/>
      <c r="F268" s="51"/>
      <c r="G268" s="51"/>
      <c r="H268"/>
      <c r="I268"/>
      <c r="J268"/>
      <c r="K268"/>
      <c r="L268"/>
      <c r="M268"/>
      <c r="N268"/>
      <c r="O268"/>
      <c r="P268"/>
      <c r="Q268"/>
      <c r="R268"/>
      <c r="S268"/>
      <c r="T268"/>
    </row>
    <row r="269" spans="1:20" x14ac:dyDescent="0.25">
      <c r="A269" s="51"/>
      <c r="B269"/>
      <c r="C269"/>
      <c r="D269" s="51"/>
      <c r="E269" s="51"/>
      <c r="F269" s="51"/>
      <c r="G269" s="51"/>
      <c r="H269"/>
      <c r="I269"/>
      <c r="J269"/>
      <c r="K269"/>
      <c r="L269"/>
      <c r="M269"/>
      <c r="N269"/>
      <c r="O269"/>
      <c r="P269"/>
      <c r="Q269"/>
      <c r="R269"/>
      <c r="S269"/>
      <c r="T269"/>
    </row>
    <row r="270" spans="1:20" x14ac:dyDescent="0.25">
      <c r="A270" s="51"/>
      <c r="B270"/>
      <c r="C270"/>
      <c r="D270" s="51"/>
      <c r="E270" s="51"/>
      <c r="F270" s="51"/>
      <c r="G270" s="51"/>
      <c r="H270"/>
      <c r="I270"/>
      <c r="J270"/>
      <c r="K270"/>
      <c r="L270"/>
      <c r="M270"/>
      <c r="N270"/>
      <c r="O270"/>
      <c r="P270"/>
      <c r="Q270"/>
      <c r="R270"/>
      <c r="S270"/>
      <c r="T270"/>
    </row>
    <row r="271" spans="1:20" x14ac:dyDescent="0.25">
      <c r="A271" s="51"/>
      <c r="B271"/>
      <c r="C271"/>
      <c r="D271" s="51"/>
      <c r="E271" s="51"/>
      <c r="F271" s="51"/>
      <c r="G271" s="51"/>
      <c r="H271"/>
      <c r="I271"/>
      <c r="J271"/>
      <c r="K271"/>
      <c r="L271"/>
      <c r="M271"/>
      <c r="N271"/>
      <c r="O271"/>
      <c r="P271"/>
      <c r="Q271"/>
      <c r="R271"/>
      <c r="S271"/>
      <c r="T271"/>
    </row>
    <row r="272" spans="1:20" x14ac:dyDescent="0.25">
      <c r="A272" s="51"/>
      <c r="B272"/>
      <c r="C272"/>
      <c r="D272" s="51"/>
      <c r="E272" s="51"/>
      <c r="F272" s="51"/>
      <c r="G272" s="51"/>
      <c r="H272"/>
      <c r="I272"/>
      <c r="J272"/>
      <c r="K272"/>
      <c r="L272"/>
      <c r="M272"/>
      <c r="N272"/>
      <c r="O272"/>
      <c r="P272"/>
      <c r="Q272"/>
      <c r="R272"/>
      <c r="S272"/>
      <c r="T272"/>
    </row>
    <row r="273" spans="1:20" x14ac:dyDescent="0.25">
      <c r="A273" s="51"/>
      <c r="B273"/>
      <c r="C273"/>
      <c r="D273" s="51"/>
      <c r="E273" s="51"/>
      <c r="F273" s="51"/>
      <c r="G273" s="51"/>
      <c r="H273"/>
      <c r="I273"/>
      <c r="J273"/>
      <c r="K273"/>
      <c r="L273"/>
      <c r="M273"/>
      <c r="N273"/>
      <c r="O273"/>
      <c r="P273"/>
      <c r="Q273"/>
      <c r="R273"/>
      <c r="S273"/>
      <c r="T273"/>
    </row>
    <row r="274" spans="1:20" x14ac:dyDescent="0.25">
      <c r="A274" s="51"/>
      <c r="B274"/>
      <c r="C274"/>
      <c r="D274" s="51"/>
      <c r="E274" s="51"/>
      <c r="F274" s="51"/>
      <c r="G274" s="51"/>
      <c r="H274"/>
      <c r="I274"/>
      <c r="J274"/>
      <c r="K274"/>
      <c r="L274"/>
      <c r="M274"/>
      <c r="N274"/>
      <c r="O274"/>
      <c r="P274"/>
      <c r="Q274"/>
      <c r="R274"/>
      <c r="S274"/>
      <c r="T274"/>
    </row>
    <row r="275" spans="1:20" x14ac:dyDescent="0.25">
      <c r="A275" s="51"/>
      <c r="B275"/>
      <c r="C275"/>
      <c r="D275" s="51"/>
      <c r="E275" s="51"/>
      <c r="F275" s="51"/>
      <c r="G275" s="51"/>
      <c r="H275"/>
      <c r="I275"/>
      <c r="J275"/>
      <c r="K275"/>
      <c r="L275"/>
      <c r="M275"/>
      <c r="N275"/>
      <c r="O275"/>
      <c r="P275"/>
      <c r="Q275"/>
      <c r="R275"/>
      <c r="S275"/>
      <c r="T275"/>
    </row>
    <row r="276" spans="1:20" x14ac:dyDescent="0.25">
      <c r="A276" s="51"/>
      <c r="B276"/>
      <c r="C276"/>
      <c r="D276" s="51"/>
      <c r="E276" s="51"/>
      <c r="F276" s="51"/>
      <c r="G276" s="51"/>
      <c r="H276"/>
      <c r="I276"/>
      <c r="J276"/>
      <c r="K276"/>
      <c r="L276"/>
      <c r="M276"/>
      <c r="N276"/>
      <c r="O276"/>
      <c r="P276"/>
      <c r="Q276"/>
      <c r="R276"/>
      <c r="S276"/>
      <c r="T276"/>
    </row>
    <row r="277" spans="1:20" x14ac:dyDescent="0.25">
      <c r="A277" s="51"/>
      <c r="B277"/>
      <c r="C277"/>
      <c r="D277" s="51"/>
      <c r="E277" s="51"/>
      <c r="F277" s="51"/>
      <c r="G277" s="51"/>
      <c r="H277"/>
      <c r="I277"/>
      <c r="J277"/>
      <c r="K277"/>
      <c r="L277"/>
      <c r="M277"/>
      <c r="N277"/>
      <c r="O277"/>
      <c r="P277"/>
      <c r="Q277"/>
      <c r="R277"/>
      <c r="S277"/>
      <c r="T277"/>
    </row>
    <row r="278" spans="1:20" x14ac:dyDescent="0.25">
      <c r="A278" s="51"/>
      <c r="B278"/>
      <c r="C278"/>
      <c r="D278" s="51"/>
      <c r="E278" s="51"/>
      <c r="F278" s="51"/>
      <c r="G278" s="51"/>
      <c r="H278"/>
      <c r="I278"/>
      <c r="J278"/>
      <c r="K278"/>
      <c r="L278"/>
      <c r="M278"/>
      <c r="N278"/>
      <c r="O278"/>
      <c r="P278"/>
      <c r="Q278"/>
      <c r="R278"/>
      <c r="S278"/>
      <c r="T278"/>
    </row>
    <row r="279" spans="1:20" x14ac:dyDescent="0.25">
      <c r="A279" s="51"/>
      <c r="B279"/>
      <c r="C279"/>
      <c r="D279" s="51"/>
      <c r="E279" s="51"/>
      <c r="F279" s="51"/>
      <c r="G279" s="51"/>
      <c r="H279"/>
      <c r="I279"/>
      <c r="J279"/>
      <c r="K279"/>
      <c r="L279"/>
      <c r="M279"/>
      <c r="N279"/>
      <c r="O279"/>
      <c r="P279"/>
      <c r="Q279"/>
      <c r="R279"/>
      <c r="S279"/>
      <c r="T279"/>
    </row>
    <row r="280" spans="1:20" x14ac:dyDescent="0.25">
      <c r="A280" s="51"/>
      <c r="B280"/>
      <c r="C280"/>
      <c r="D280" s="51"/>
      <c r="E280" s="51"/>
      <c r="F280" s="51"/>
      <c r="G280" s="51"/>
      <c r="H280"/>
      <c r="I280"/>
      <c r="J280"/>
      <c r="K280"/>
      <c r="L280"/>
      <c r="M280"/>
      <c r="N280"/>
      <c r="O280"/>
      <c r="P280"/>
      <c r="Q280"/>
      <c r="R280"/>
      <c r="S280"/>
      <c r="T280"/>
    </row>
    <row r="281" spans="1:20" x14ac:dyDescent="0.25">
      <c r="A281" s="51"/>
      <c r="B281"/>
      <c r="C281"/>
      <c r="D281" s="51"/>
      <c r="E281" s="51"/>
      <c r="F281" s="51"/>
      <c r="G281" s="51"/>
      <c r="H281"/>
      <c r="I281"/>
      <c r="J281"/>
      <c r="K281"/>
      <c r="L281"/>
      <c r="M281"/>
      <c r="N281"/>
      <c r="O281"/>
      <c r="P281"/>
      <c r="Q281"/>
      <c r="R281"/>
      <c r="S281"/>
      <c r="T281"/>
    </row>
    <row r="282" spans="1:20" x14ac:dyDescent="0.25">
      <c r="A282" s="51"/>
      <c r="B282"/>
      <c r="C282"/>
      <c r="D282" s="51"/>
      <c r="E282" s="51"/>
      <c r="F282" s="51"/>
      <c r="G282" s="51"/>
      <c r="H282"/>
      <c r="I282"/>
      <c r="J282"/>
      <c r="K282"/>
      <c r="L282"/>
      <c r="M282"/>
      <c r="N282"/>
      <c r="O282"/>
      <c r="P282"/>
      <c r="Q282"/>
      <c r="R282"/>
      <c r="S282"/>
      <c r="T282"/>
    </row>
    <row r="283" spans="1:20" x14ac:dyDescent="0.25">
      <c r="A283" s="51"/>
      <c r="B283"/>
      <c r="C283"/>
      <c r="D283" s="51"/>
      <c r="E283" s="51"/>
      <c r="F283" s="51"/>
      <c r="G283" s="51"/>
      <c r="H283"/>
      <c r="I283"/>
      <c r="J283"/>
      <c r="K283"/>
      <c r="L283"/>
      <c r="M283"/>
      <c r="N283"/>
      <c r="O283"/>
      <c r="P283"/>
      <c r="Q283"/>
      <c r="R283"/>
      <c r="S283"/>
      <c r="T283"/>
    </row>
    <row r="284" spans="1:20" x14ac:dyDescent="0.25">
      <c r="A284" s="51"/>
      <c r="B284"/>
      <c r="C284"/>
      <c r="D284" s="51"/>
      <c r="E284" s="51"/>
      <c r="F284" s="51"/>
      <c r="G284" s="51"/>
      <c r="H284"/>
      <c r="I284"/>
      <c r="J284"/>
      <c r="K284"/>
      <c r="L284"/>
      <c r="M284"/>
      <c r="N284"/>
      <c r="O284"/>
      <c r="P284"/>
      <c r="Q284"/>
      <c r="R284"/>
      <c r="S284"/>
      <c r="T284"/>
    </row>
    <row r="285" spans="1:20" x14ac:dyDescent="0.25">
      <c r="A285" s="51"/>
      <c r="B285"/>
      <c r="C285"/>
      <c r="D285" s="51"/>
      <c r="E285" s="51"/>
      <c r="F285" s="51"/>
      <c r="G285" s="51"/>
      <c r="H285"/>
      <c r="I285"/>
      <c r="J285"/>
      <c r="K285"/>
      <c r="L285"/>
      <c r="M285"/>
      <c r="N285"/>
      <c r="O285"/>
      <c r="P285"/>
      <c r="Q285"/>
      <c r="R285"/>
      <c r="S285"/>
      <c r="T285"/>
    </row>
    <row r="286" spans="1:20" x14ac:dyDescent="0.25">
      <c r="A286" s="51"/>
      <c r="B286"/>
      <c r="C286"/>
      <c r="D286" s="51"/>
      <c r="E286" s="51"/>
      <c r="F286" s="51"/>
      <c r="G286" s="51"/>
      <c r="H286"/>
      <c r="I286"/>
      <c r="J286"/>
      <c r="K286"/>
      <c r="L286"/>
      <c r="M286"/>
      <c r="N286"/>
      <c r="O286"/>
      <c r="P286"/>
      <c r="Q286"/>
      <c r="R286"/>
      <c r="S286"/>
      <c r="T286"/>
    </row>
    <row r="287" spans="1:20" x14ac:dyDescent="0.25">
      <c r="A287" s="51"/>
      <c r="B287"/>
      <c r="C287"/>
      <c r="D287" s="51"/>
      <c r="E287" s="51"/>
      <c r="F287" s="51"/>
      <c r="G287" s="51"/>
      <c r="H287"/>
      <c r="I287"/>
      <c r="J287"/>
      <c r="K287"/>
      <c r="L287"/>
      <c r="M287"/>
      <c r="N287"/>
      <c r="O287"/>
      <c r="P287"/>
      <c r="Q287"/>
      <c r="R287"/>
      <c r="S287"/>
      <c r="T287"/>
    </row>
    <row r="288" spans="1:20" x14ac:dyDescent="0.25">
      <c r="A288" s="51"/>
      <c r="B288"/>
      <c r="C288"/>
      <c r="D288" s="51"/>
      <c r="E288" s="51"/>
      <c r="F288" s="51"/>
      <c r="G288" s="51"/>
      <c r="H288"/>
      <c r="I288"/>
      <c r="J288"/>
      <c r="K288"/>
      <c r="L288"/>
      <c r="M288"/>
      <c r="N288"/>
      <c r="O288"/>
      <c r="P288"/>
      <c r="Q288"/>
      <c r="R288"/>
      <c r="S288"/>
      <c r="T288"/>
    </row>
    <row r="289" spans="1:20" x14ac:dyDescent="0.25">
      <c r="A289" s="51"/>
      <c r="B289"/>
      <c r="C289"/>
      <c r="D289" s="51"/>
      <c r="E289" s="51"/>
      <c r="F289" s="51"/>
      <c r="G289" s="51"/>
      <c r="H289"/>
      <c r="I289"/>
      <c r="J289"/>
      <c r="K289"/>
      <c r="L289"/>
      <c r="M289"/>
      <c r="N289"/>
      <c r="O289"/>
      <c r="P289"/>
      <c r="Q289"/>
      <c r="R289"/>
      <c r="S289"/>
      <c r="T289"/>
    </row>
    <row r="290" spans="1:20" x14ac:dyDescent="0.25">
      <c r="A290" s="51"/>
      <c r="B290"/>
      <c r="C290"/>
      <c r="D290" s="51"/>
      <c r="E290" s="51"/>
      <c r="F290" s="51"/>
      <c r="G290" s="51"/>
      <c r="H290"/>
      <c r="I290"/>
      <c r="J290"/>
      <c r="K290"/>
      <c r="L290"/>
      <c r="M290"/>
      <c r="N290"/>
      <c r="O290"/>
      <c r="P290"/>
      <c r="Q290"/>
      <c r="R290"/>
      <c r="S290"/>
      <c r="T290"/>
    </row>
    <row r="291" spans="1:20" x14ac:dyDescent="0.25">
      <c r="A291" s="51"/>
      <c r="B291"/>
      <c r="C291"/>
      <c r="D291" s="51"/>
      <c r="E291" s="51"/>
      <c r="F291" s="51"/>
      <c r="G291" s="51"/>
      <c r="H291"/>
      <c r="I291"/>
      <c r="J291"/>
      <c r="K291"/>
      <c r="L291"/>
      <c r="M291"/>
      <c r="N291"/>
      <c r="O291"/>
      <c r="P291"/>
      <c r="Q291"/>
      <c r="R291"/>
      <c r="S291"/>
      <c r="T291"/>
    </row>
    <row r="292" spans="1:20" x14ac:dyDescent="0.25">
      <c r="A292" s="51"/>
      <c r="B292"/>
      <c r="C292"/>
      <c r="D292" s="51"/>
      <c r="E292" s="51"/>
      <c r="F292" s="51"/>
      <c r="G292" s="51"/>
      <c r="H292"/>
      <c r="I292"/>
      <c r="J292"/>
      <c r="K292"/>
      <c r="L292"/>
      <c r="M292"/>
      <c r="N292"/>
      <c r="O292"/>
      <c r="P292"/>
      <c r="Q292"/>
      <c r="R292"/>
      <c r="S292"/>
      <c r="T292"/>
    </row>
    <row r="293" spans="1:20" x14ac:dyDescent="0.25">
      <c r="A293" s="51"/>
      <c r="B293"/>
      <c r="C293"/>
      <c r="D293" s="51"/>
      <c r="E293" s="51"/>
      <c r="F293" s="51"/>
      <c r="G293" s="51"/>
      <c r="H293"/>
      <c r="I293"/>
      <c r="J293"/>
      <c r="K293"/>
      <c r="L293"/>
      <c r="M293"/>
      <c r="N293"/>
      <c r="O293"/>
      <c r="P293"/>
      <c r="Q293"/>
      <c r="R293"/>
      <c r="S293"/>
      <c r="T293"/>
    </row>
    <row r="294" spans="1:20" x14ac:dyDescent="0.25">
      <c r="A294" s="51"/>
      <c r="B294"/>
      <c r="C294"/>
      <c r="D294" s="51"/>
      <c r="E294" s="51"/>
      <c r="F294" s="51"/>
      <c r="G294" s="51"/>
      <c r="H294"/>
      <c r="I294"/>
      <c r="J294"/>
      <c r="K294"/>
      <c r="L294"/>
      <c r="M294"/>
      <c r="N294"/>
      <c r="O294"/>
      <c r="P294"/>
      <c r="Q294"/>
      <c r="R294"/>
      <c r="S294"/>
      <c r="T294"/>
    </row>
    <row r="295" spans="1:20" x14ac:dyDescent="0.25">
      <c r="A295" s="51"/>
      <c r="B295"/>
      <c r="C295"/>
      <c r="D295" s="51"/>
      <c r="E295" s="51"/>
      <c r="F295" s="51"/>
      <c r="G295" s="51"/>
      <c r="H295"/>
      <c r="I295"/>
      <c r="J295"/>
      <c r="K295"/>
      <c r="L295"/>
      <c r="M295"/>
      <c r="N295"/>
      <c r="O295"/>
      <c r="P295"/>
      <c r="Q295"/>
      <c r="R295"/>
      <c r="S295"/>
      <c r="T295"/>
    </row>
    <row r="296" spans="1:20" x14ac:dyDescent="0.25">
      <c r="A296" s="51"/>
      <c r="B296"/>
      <c r="C296"/>
      <c r="D296" s="51"/>
      <c r="E296" s="51"/>
      <c r="F296" s="51"/>
      <c r="G296" s="51"/>
      <c r="H296"/>
      <c r="I296"/>
      <c r="J296"/>
      <c r="K296"/>
      <c r="L296"/>
      <c r="M296"/>
      <c r="N296"/>
      <c r="O296"/>
      <c r="P296"/>
      <c r="Q296"/>
      <c r="R296"/>
      <c r="S296"/>
      <c r="T296"/>
    </row>
    <row r="297" spans="1:20" x14ac:dyDescent="0.25">
      <c r="A297" s="51"/>
      <c r="B297"/>
      <c r="C297"/>
      <c r="D297" s="51"/>
      <c r="E297" s="51"/>
      <c r="F297" s="51"/>
      <c r="G297" s="51"/>
      <c r="H297"/>
      <c r="I297"/>
      <c r="J297"/>
      <c r="K297"/>
      <c r="L297"/>
      <c r="M297"/>
      <c r="N297"/>
      <c r="O297"/>
      <c r="P297"/>
      <c r="Q297"/>
      <c r="R297"/>
      <c r="S297"/>
      <c r="T297"/>
    </row>
    <row r="298" spans="1:20" x14ac:dyDescent="0.25">
      <c r="A298" s="51"/>
      <c r="B298"/>
      <c r="C298"/>
      <c r="D298" s="51"/>
      <c r="E298" s="51"/>
      <c r="F298" s="51"/>
      <c r="G298" s="51"/>
      <c r="H298"/>
      <c r="I298"/>
      <c r="J298"/>
      <c r="K298"/>
      <c r="L298"/>
      <c r="M298"/>
      <c r="N298"/>
      <c r="O298"/>
      <c r="P298"/>
      <c r="Q298"/>
      <c r="R298"/>
      <c r="S298"/>
      <c r="T298"/>
    </row>
    <row r="299" spans="1:20" x14ac:dyDescent="0.25">
      <c r="A299" s="51"/>
      <c r="B299"/>
      <c r="C299"/>
      <c r="D299" s="51"/>
      <c r="E299" s="51"/>
      <c r="F299" s="51"/>
      <c r="G299" s="51"/>
      <c r="H299"/>
      <c r="I299"/>
      <c r="J299"/>
      <c r="K299"/>
      <c r="L299"/>
      <c r="M299"/>
      <c r="N299"/>
      <c r="O299"/>
      <c r="P299"/>
      <c r="Q299"/>
      <c r="R299"/>
      <c r="S299"/>
      <c r="T299"/>
    </row>
    <row r="300" spans="1:20" x14ac:dyDescent="0.25">
      <c r="A300" s="51"/>
      <c r="B300"/>
      <c r="C300"/>
      <c r="D300" s="51"/>
      <c r="E300" s="51"/>
      <c r="F300" s="51"/>
      <c r="G300" s="51"/>
      <c r="H300"/>
      <c r="I300"/>
      <c r="J300"/>
      <c r="K300"/>
      <c r="L300"/>
      <c r="M300"/>
      <c r="N300"/>
      <c r="O300"/>
      <c r="P300"/>
      <c r="Q300"/>
      <c r="R300"/>
      <c r="S300"/>
      <c r="T300"/>
    </row>
    <row r="301" spans="1:20" x14ac:dyDescent="0.25">
      <c r="A301" s="51"/>
      <c r="B301"/>
      <c r="C301"/>
      <c r="D301" s="51"/>
      <c r="E301" s="51"/>
      <c r="F301" s="51"/>
      <c r="G301" s="51"/>
      <c r="H301"/>
      <c r="I301"/>
      <c r="J301"/>
      <c r="K301"/>
      <c r="L301"/>
      <c r="M301"/>
      <c r="N301"/>
      <c r="O301"/>
      <c r="P301"/>
      <c r="Q301"/>
      <c r="R301"/>
      <c r="S301"/>
      <c r="T301"/>
    </row>
    <row r="302" spans="1:20" x14ac:dyDescent="0.25">
      <c r="A302" s="51"/>
      <c r="B302"/>
      <c r="C302"/>
      <c r="D302" s="51"/>
      <c r="E302" s="51"/>
      <c r="F302" s="51"/>
      <c r="G302" s="51"/>
      <c r="H302"/>
      <c r="I302"/>
      <c r="J302"/>
      <c r="K302"/>
      <c r="L302"/>
      <c r="M302"/>
      <c r="N302"/>
      <c r="O302"/>
      <c r="P302"/>
      <c r="Q302"/>
      <c r="R302"/>
      <c r="S302"/>
      <c r="T302"/>
    </row>
    <row r="303" spans="1:20" x14ac:dyDescent="0.25">
      <c r="A303" s="51"/>
      <c r="B303"/>
      <c r="C303"/>
      <c r="D303" s="51"/>
      <c r="E303" s="51"/>
      <c r="F303" s="51"/>
      <c r="G303" s="51"/>
      <c r="H303"/>
      <c r="I303"/>
      <c r="J303"/>
      <c r="K303"/>
      <c r="L303"/>
      <c r="M303"/>
      <c r="N303"/>
      <c r="O303"/>
      <c r="P303"/>
      <c r="Q303"/>
      <c r="R303"/>
      <c r="S303"/>
      <c r="T303"/>
    </row>
    <row r="304" spans="1:20" x14ac:dyDescent="0.25">
      <c r="A304" s="51"/>
      <c r="B304"/>
      <c r="C304"/>
      <c r="D304" s="51"/>
      <c r="E304" s="51"/>
      <c r="F304" s="51"/>
      <c r="G304" s="51"/>
      <c r="H304"/>
      <c r="I304"/>
      <c r="J304"/>
      <c r="K304"/>
      <c r="L304"/>
      <c r="M304"/>
      <c r="N304"/>
      <c r="O304"/>
      <c r="P304"/>
      <c r="Q304"/>
      <c r="R304"/>
      <c r="S304"/>
      <c r="T304"/>
    </row>
    <row r="305" spans="1:20" x14ac:dyDescent="0.25">
      <c r="A305" s="51"/>
      <c r="B305"/>
      <c r="C305"/>
      <c r="D305" s="51"/>
      <c r="E305" s="51"/>
      <c r="F305" s="51"/>
      <c r="G305" s="51"/>
      <c r="H305"/>
      <c r="I305"/>
      <c r="J305"/>
      <c r="K305"/>
      <c r="L305"/>
      <c r="M305"/>
      <c r="N305"/>
      <c r="O305"/>
      <c r="P305"/>
      <c r="Q305"/>
      <c r="R305"/>
      <c r="S305"/>
      <c r="T305"/>
    </row>
    <row r="306" spans="1:20" x14ac:dyDescent="0.25">
      <c r="A306" s="51"/>
      <c r="B306"/>
      <c r="C306"/>
      <c r="D306" s="51"/>
      <c r="E306" s="51"/>
      <c r="F306" s="51"/>
      <c r="G306" s="51"/>
      <c r="H306"/>
      <c r="I306"/>
      <c r="J306"/>
      <c r="K306"/>
      <c r="L306"/>
      <c r="M306"/>
      <c r="N306"/>
      <c r="O306"/>
      <c r="P306"/>
      <c r="Q306"/>
      <c r="R306"/>
      <c r="S306"/>
      <c r="T306"/>
    </row>
    <row r="307" spans="1:20" x14ac:dyDescent="0.25">
      <c r="A307" s="51"/>
      <c r="B307"/>
      <c r="C307"/>
      <c r="D307" s="51"/>
      <c r="E307" s="51"/>
      <c r="F307" s="51"/>
      <c r="G307" s="51"/>
      <c r="H307"/>
      <c r="I307"/>
      <c r="J307"/>
      <c r="K307"/>
      <c r="L307"/>
      <c r="M307"/>
      <c r="N307"/>
      <c r="O307"/>
      <c r="P307"/>
      <c r="Q307"/>
      <c r="R307"/>
      <c r="S307"/>
      <c r="T307"/>
    </row>
    <row r="308" spans="1:20" x14ac:dyDescent="0.25">
      <c r="A308" s="51"/>
      <c r="B308"/>
      <c r="C308"/>
      <c r="D308" s="51"/>
      <c r="E308" s="51"/>
      <c r="F308" s="51"/>
      <c r="G308" s="51"/>
      <c r="H308"/>
      <c r="I308"/>
      <c r="J308"/>
      <c r="K308"/>
      <c r="L308"/>
      <c r="M308"/>
      <c r="N308"/>
      <c r="O308"/>
      <c r="P308"/>
      <c r="Q308"/>
      <c r="R308"/>
      <c r="S308"/>
      <c r="T308"/>
    </row>
    <row r="309" spans="1:20" x14ac:dyDescent="0.25">
      <c r="A309" s="51"/>
      <c r="B309"/>
      <c r="C309"/>
      <c r="D309" s="51"/>
      <c r="E309" s="51"/>
      <c r="F309" s="51"/>
      <c r="G309" s="51"/>
      <c r="H309"/>
      <c r="I309"/>
      <c r="J309"/>
      <c r="K309"/>
      <c r="L309"/>
      <c r="M309"/>
      <c r="N309"/>
      <c r="O309"/>
      <c r="P309"/>
      <c r="Q309"/>
      <c r="R309"/>
      <c r="S309"/>
      <c r="T309"/>
    </row>
    <row r="310" spans="1:20" x14ac:dyDescent="0.25">
      <c r="A310" s="51"/>
      <c r="B310"/>
      <c r="C310"/>
      <c r="D310" s="51"/>
      <c r="E310" s="51"/>
      <c r="F310" s="51"/>
      <c r="G310" s="51"/>
      <c r="H310"/>
      <c r="I310"/>
      <c r="J310"/>
      <c r="K310"/>
      <c r="L310"/>
      <c r="M310"/>
      <c r="N310"/>
      <c r="O310"/>
      <c r="P310"/>
      <c r="Q310"/>
      <c r="R310"/>
      <c r="S310"/>
      <c r="T310"/>
    </row>
    <row r="311" spans="1:20" x14ac:dyDescent="0.25">
      <c r="A311" s="51"/>
      <c r="B311"/>
      <c r="C311"/>
      <c r="D311" s="51"/>
      <c r="E311" s="51"/>
      <c r="F311" s="51"/>
      <c r="G311" s="51"/>
      <c r="H311"/>
      <c r="I311"/>
      <c r="J311"/>
      <c r="K311"/>
      <c r="L311"/>
      <c r="M311"/>
      <c r="N311"/>
      <c r="O311"/>
      <c r="P311"/>
      <c r="Q311"/>
      <c r="R311"/>
      <c r="S311"/>
      <c r="T311"/>
    </row>
    <row r="312" spans="1:20" x14ac:dyDescent="0.25">
      <c r="A312" s="51"/>
      <c r="B312"/>
      <c r="C312"/>
      <c r="D312" s="51"/>
      <c r="E312" s="51"/>
      <c r="F312" s="51"/>
      <c r="G312" s="51"/>
      <c r="H312"/>
      <c r="I312"/>
      <c r="J312"/>
      <c r="K312"/>
      <c r="L312"/>
      <c r="M312"/>
      <c r="N312"/>
      <c r="O312"/>
      <c r="P312"/>
      <c r="Q312"/>
      <c r="R312"/>
      <c r="S312"/>
      <c r="T312"/>
    </row>
    <row r="313" spans="1:20" x14ac:dyDescent="0.25">
      <c r="A313" s="51"/>
      <c r="B313"/>
      <c r="C313"/>
      <c r="D313" s="51"/>
      <c r="E313" s="51"/>
      <c r="F313" s="51"/>
      <c r="G313" s="51"/>
      <c r="H313"/>
      <c r="I313"/>
      <c r="J313"/>
      <c r="K313"/>
      <c r="L313"/>
      <c r="M313"/>
      <c r="N313"/>
      <c r="O313"/>
      <c r="P313"/>
      <c r="Q313"/>
      <c r="R313"/>
      <c r="S313"/>
      <c r="T313"/>
    </row>
    <row r="314" spans="1:20" x14ac:dyDescent="0.25">
      <c r="A314" s="51"/>
      <c r="B314"/>
      <c r="C314"/>
      <c r="D314" s="51"/>
      <c r="E314" s="51"/>
      <c r="F314" s="51"/>
      <c r="G314" s="51"/>
      <c r="H314"/>
      <c r="I314"/>
      <c r="J314"/>
      <c r="K314"/>
      <c r="L314"/>
      <c r="M314"/>
      <c r="N314"/>
      <c r="O314"/>
      <c r="P314"/>
      <c r="Q314"/>
      <c r="R314"/>
      <c r="S314"/>
      <c r="T314"/>
    </row>
    <row r="315" spans="1:20" x14ac:dyDescent="0.25">
      <c r="A315" s="51"/>
      <c r="B315"/>
      <c r="C315"/>
      <c r="D315" s="51"/>
      <c r="E315" s="51"/>
      <c r="F315" s="51"/>
      <c r="G315" s="51"/>
      <c r="H315"/>
      <c r="I315"/>
      <c r="J315"/>
      <c r="K315"/>
      <c r="L315"/>
      <c r="M315"/>
      <c r="N315"/>
      <c r="O315"/>
      <c r="P315"/>
      <c r="Q315"/>
      <c r="R315"/>
      <c r="S315"/>
      <c r="T315"/>
    </row>
    <row r="316" spans="1:20" x14ac:dyDescent="0.25">
      <c r="A316" s="51"/>
      <c r="B316"/>
      <c r="C316"/>
      <c r="D316" s="51"/>
      <c r="E316" s="51"/>
      <c r="F316" s="51"/>
      <c r="G316" s="51"/>
      <c r="H316"/>
      <c r="I316"/>
      <c r="J316"/>
      <c r="K316"/>
      <c r="L316"/>
      <c r="M316"/>
      <c r="N316"/>
      <c r="O316"/>
      <c r="P316"/>
      <c r="Q316"/>
      <c r="R316"/>
      <c r="S316"/>
      <c r="T316"/>
    </row>
    <row r="317" spans="1:20" x14ac:dyDescent="0.25">
      <c r="A317" s="51"/>
      <c r="B317"/>
      <c r="C317"/>
      <c r="D317" s="51"/>
      <c r="E317" s="51"/>
      <c r="F317" s="51"/>
      <c r="G317" s="51"/>
      <c r="H317"/>
      <c r="I317"/>
      <c r="J317"/>
      <c r="K317"/>
      <c r="L317"/>
      <c r="M317"/>
      <c r="N317"/>
      <c r="O317"/>
      <c r="P317"/>
      <c r="Q317"/>
      <c r="R317"/>
      <c r="S317"/>
      <c r="T317"/>
    </row>
    <row r="318" spans="1:20" x14ac:dyDescent="0.25">
      <c r="A318" s="51"/>
      <c r="B318"/>
      <c r="C318"/>
      <c r="D318" s="51"/>
      <c r="E318" s="51"/>
      <c r="F318" s="51"/>
      <c r="G318" s="51"/>
      <c r="H318"/>
      <c r="I318"/>
      <c r="J318"/>
      <c r="K318"/>
      <c r="L318"/>
      <c r="M318"/>
      <c r="N318"/>
      <c r="O318"/>
      <c r="P318"/>
      <c r="Q318"/>
      <c r="R318"/>
      <c r="S318"/>
      <c r="T318"/>
    </row>
    <row r="319" spans="1:20" x14ac:dyDescent="0.25">
      <c r="A319" s="51"/>
      <c r="B319"/>
      <c r="C319"/>
      <c r="D319" s="51"/>
      <c r="E319" s="51"/>
      <c r="F319" s="51"/>
      <c r="G319" s="51"/>
      <c r="H319"/>
      <c r="I319"/>
      <c r="J319"/>
      <c r="K319"/>
      <c r="L319"/>
      <c r="M319"/>
      <c r="N319"/>
      <c r="O319"/>
      <c r="P319"/>
      <c r="Q319"/>
      <c r="R319"/>
      <c r="S319"/>
      <c r="T319"/>
    </row>
    <row r="320" spans="1:20" x14ac:dyDescent="0.25">
      <c r="A320" s="51"/>
      <c r="B320"/>
      <c r="C320"/>
      <c r="D320" s="51"/>
      <c r="E320" s="51"/>
      <c r="F320" s="51"/>
      <c r="G320" s="51"/>
      <c r="H320"/>
      <c r="I320"/>
      <c r="J320"/>
      <c r="K320"/>
      <c r="L320"/>
      <c r="M320"/>
      <c r="N320"/>
      <c r="O320"/>
      <c r="P320"/>
      <c r="Q320"/>
      <c r="R320"/>
      <c r="S320"/>
      <c r="T320"/>
    </row>
    <row r="321" spans="1:20" x14ac:dyDescent="0.25">
      <c r="A321" s="51"/>
      <c r="B321"/>
      <c r="C321"/>
      <c r="D321" s="51"/>
      <c r="E321" s="51"/>
      <c r="F321" s="51"/>
      <c r="G321" s="51"/>
      <c r="H321"/>
      <c r="I321"/>
      <c r="J321"/>
      <c r="K321"/>
      <c r="L321"/>
      <c r="M321"/>
      <c r="N321"/>
      <c r="O321"/>
      <c r="P321"/>
      <c r="Q321"/>
      <c r="R321"/>
      <c r="S321"/>
      <c r="T321"/>
    </row>
    <row r="322" spans="1:20" x14ac:dyDescent="0.25">
      <c r="A322" s="51"/>
      <c r="B322"/>
      <c r="C322"/>
      <c r="D322" s="51"/>
      <c r="E322" s="51"/>
      <c r="F322" s="51"/>
      <c r="G322" s="51"/>
      <c r="H322"/>
      <c r="I322"/>
      <c r="J322"/>
      <c r="K322"/>
      <c r="L322"/>
      <c r="M322"/>
      <c r="N322"/>
      <c r="O322"/>
      <c r="P322"/>
      <c r="Q322"/>
      <c r="R322"/>
      <c r="S322"/>
      <c r="T322"/>
    </row>
    <row r="323" spans="1:20" x14ac:dyDescent="0.25">
      <c r="A323" s="51"/>
      <c r="B323"/>
      <c r="C323"/>
      <c r="D323" s="51"/>
      <c r="E323" s="51"/>
      <c r="F323" s="51"/>
      <c r="G323" s="51"/>
      <c r="H323"/>
      <c r="I323"/>
      <c r="J323"/>
      <c r="K323"/>
      <c r="L323"/>
      <c r="M323"/>
      <c r="N323"/>
      <c r="O323"/>
      <c r="P323"/>
      <c r="Q323"/>
      <c r="R323"/>
      <c r="S323"/>
      <c r="T323"/>
    </row>
    <row r="324" spans="1:20" x14ac:dyDescent="0.25">
      <c r="A324" s="51"/>
      <c r="B324"/>
      <c r="C324"/>
      <c r="D324" s="51"/>
      <c r="E324" s="51"/>
      <c r="F324" s="51"/>
      <c r="G324" s="51"/>
      <c r="H324"/>
      <c r="I324"/>
      <c r="J324"/>
      <c r="K324"/>
      <c r="L324"/>
      <c r="M324"/>
      <c r="N324"/>
      <c r="O324"/>
      <c r="P324"/>
      <c r="Q324"/>
      <c r="R324"/>
      <c r="S324"/>
      <c r="T324"/>
    </row>
    <row r="325" spans="1:20" x14ac:dyDescent="0.25">
      <c r="A325" s="51"/>
      <c r="B325"/>
      <c r="C325"/>
      <c r="D325" s="51"/>
      <c r="E325" s="51"/>
      <c r="F325" s="51"/>
      <c r="G325" s="51"/>
      <c r="H325"/>
      <c r="I325"/>
      <c r="J325"/>
      <c r="K325"/>
      <c r="L325"/>
      <c r="M325"/>
      <c r="N325"/>
      <c r="O325"/>
      <c r="P325"/>
      <c r="Q325"/>
      <c r="R325"/>
      <c r="S325"/>
      <c r="T325"/>
    </row>
    <row r="326" spans="1:20" x14ac:dyDescent="0.25">
      <c r="A326" s="51"/>
      <c r="B326"/>
      <c r="C326"/>
      <c r="D326" s="51"/>
      <c r="E326" s="51"/>
      <c r="F326" s="51"/>
      <c r="G326" s="51"/>
      <c r="H326"/>
      <c r="I326"/>
      <c r="J326"/>
      <c r="K326"/>
      <c r="L326"/>
      <c r="M326"/>
      <c r="N326"/>
      <c r="O326"/>
      <c r="P326"/>
      <c r="Q326"/>
      <c r="R326"/>
      <c r="S326"/>
      <c r="T326"/>
    </row>
    <row r="327" spans="1:20" x14ac:dyDescent="0.25">
      <c r="A327" s="51"/>
      <c r="B327"/>
      <c r="C327"/>
      <c r="D327" s="51"/>
      <c r="E327" s="51"/>
      <c r="F327" s="51"/>
      <c r="G327" s="51"/>
      <c r="H327"/>
      <c r="I327"/>
      <c r="J327"/>
      <c r="K327"/>
      <c r="L327"/>
      <c r="M327"/>
      <c r="N327"/>
      <c r="O327"/>
      <c r="P327"/>
      <c r="Q327"/>
      <c r="R327"/>
      <c r="S327"/>
      <c r="T327"/>
    </row>
    <row r="328" spans="1:20" x14ac:dyDescent="0.25">
      <c r="A328" s="51"/>
      <c r="B328"/>
      <c r="C328"/>
      <c r="D328" s="51"/>
      <c r="E328" s="51"/>
      <c r="F328" s="51"/>
      <c r="G328" s="51"/>
      <c r="H328"/>
      <c r="I328"/>
      <c r="J328"/>
      <c r="K328"/>
      <c r="L328"/>
      <c r="M328"/>
      <c r="N328"/>
      <c r="O328"/>
      <c r="P328"/>
      <c r="Q328"/>
      <c r="R328"/>
      <c r="S328"/>
      <c r="T328"/>
    </row>
    <row r="329" spans="1:20" x14ac:dyDescent="0.25">
      <c r="A329" s="51"/>
      <c r="B329"/>
      <c r="C329"/>
      <c r="D329" s="51"/>
      <c r="E329" s="51"/>
      <c r="F329" s="51"/>
      <c r="G329" s="51"/>
      <c r="H329"/>
      <c r="I329"/>
      <c r="J329"/>
      <c r="K329"/>
      <c r="L329"/>
      <c r="M329"/>
      <c r="N329"/>
      <c r="O329"/>
      <c r="P329"/>
      <c r="Q329"/>
      <c r="R329"/>
      <c r="S329"/>
      <c r="T329"/>
    </row>
    <row r="330" spans="1:20" x14ac:dyDescent="0.25">
      <c r="A330" s="51"/>
      <c r="B330"/>
      <c r="C330"/>
      <c r="D330" s="51"/>
      <c r="E330" s="51"/>
      <c r="F330" s="51"/>
      <c r="G330" s="51"/>
      <c r="H330"/>
      <c r="I330"/>
      <c r="J330"/>
      <c r="K330"/>
      <c r="L330"/>
      <c r="M330"/>
      <c r="N330"/>
      <c r="O330"/>
      <c r="P330"/>
      <c r="Q330"/>
      <c r="R330"/>
      <c r="S330"/>
      <c r="T330"/>
    </row>
    <row r="331" spans="1:20" x14ac:dyDescent="0.25">
      <c r="A331" s="51"/>
      <c r="B331"/>
      <c r="C331"/>
      <c r="D331" s="51"/>
      <c r="E331" s="51"/>
      <c r="F331" s="51"/>
      <c r="G331" s="51"/>
      <c r="H331"/>
      <c r="I331"/>
      <c r="J331"/>
      <c r="K331"/>
      <c r="L331"/>
      <c r="M331"/>
      <c r="N331"/>
      <c r="O331"/>
      <c r="P331"/>
      <c r="Q331"/>
      <c r="R331"/>
      <c r="S331"/>
      <c r="T331"/>
    </row>
    <row r="332" spans="1:20" x14ac:dyDescent="0.25">
      <c r="A332" s="51"/>
      <c r="B332"/>
      <c r="C332"/>
      <c r="D332" s="51"/>
      <c r="E332" s="51"/>
      <c r="F332" s="51"/>
      <c r="G332" s="51"/>
      <c r="H332"/>
      <c r="I332"/>
      <c r="J332"/>
      <c r="K332"/>
      <c r="L332"/>
      <c r="M332"/>
      <c r="N332"/>
      <c r="O332"/>
      <c r="P332"/>
      <c r="Q332"/>
      <c r="R332"/>
      <c r="S332"/>
      <c r="T332"/>
    </row>
    <row r="333" spans="1:20" x14ac:dyDescent="0.25">
      <c r="A333" s="51"/>
      <c r="B333"/>
      <c r="C333"/>
      <c r="D333" s="51"/>
      <c r="E333" s="51"/>
      <c r="F333" s="51"/>
      <c r="G333" s="51"/>
      <c r="H333"/>
      <c r="I333"/>
      <c r="J333"/>
      <c r="K333"/>
      <c r="L333"/>
      <c r="M333"/>
      <c r="N333"/>
      <c r="O333"/>
      <c r="P333"/>
      <c r="Q333"/>
      <c r="R333"/>
      <c r="S333"/>
      <c r="T333"/>
    </row>
    <row r="334" spans="1:20" x14ac:dyDescent="0.25">
      <c r="A334" s="51"/>
      <c r="B334"/>
      <c r="C334"/>
      <c r="D334" s="51"/>
      <c r="E334" s="51"/>
      <c r="F334" s="51"/>
      <c r="G334" s="51"/>
      <c r="H334"/>
      <c r="I334"/>
      <c r="J334"/>
      <c r="K334"/>
      <c r="L334"/>
      <c r="M334"/>
      <c r="N334"/>
      <c r="O334"/>
      <c r="P334"/>
      <c r="Q334"/>
      <c r="R334"/>
      <c r="S334"/>
      <c r="T334"/>
    </row>
    <row r="335" spans="1:20" x14ac:dyDescent="0.25">
      <c r="A335" s="51"/>
      <c r="B335"/>
      <c r="C335"/>
      <c r="D335" s="51"/>
      <c r="E335" s="51"/>
      <c r="F335" s="51"/>
      <c r="G335" s="51"/>
      <c r="H335"/>
      <c r="I335"/>
      <c r="J335"/>
      <c r="K335"/>
      <c r="L335"/>
      <c r="M335"/>
      <c r="N335"/>
      <c r="O335"/>
      <c r="P335"/>
      <c r="Q335"/>
      <c r="R335"/>
      <c r="S335"/>
      <c r="T335"/>
    </row>
    <row r="336" spans="1:20" x14ac:dyDescent="0.25">
      <c r="A336" s="51"/>
      <c r="B336"/>
      <c r="C336"/>
      <c r="D336" s="51"/>
      <c r="E336" s="51"/>
      <c r="F336" s="51"/>
      <c r="G336" s="51"/>
      <c r="H336"/>
      <c r="I336"/>
      <c r="J336"/>
      <c r="K336"/>
      <c r="L336"/>
      <c r="M336"/>
      <c r="N336"/>
      <c r="O336"/>
      <c r="P336"/>
      <c r="Q336"/>
      <c r="R336"/>
      <c r="S336"/>
      <c r="T336"/>
    </row>
    <row r="337" spans="1:20" x14ac:dyDescent="0.25">
      <c r="A337" s="51"/>
      <c r="B337"/>
      <c r="C337"/>
      <c r="D337" s="51"/>
      <c r="E337" s="51"/>
      <c r="F337" s="51"/>
      <c r="G337" s="51"/>
      <c r="H337"/>
      <c r="I337"/>
      <c r="J337"/>
      <c r="K337"/>
      <c r="L337"/>
      <c r="M337"/>
      <c r="N337"/>
      <c r="O337"/>
      <c r="P337"/>
      <c r="Q337"/>
      <c r="R337"/>
      <c r="S337"/>
      <c r="T337"/>
    </row>
    <row r="338" spans="1:20" x14ac:dyDescent="0.25">
      <c r="A338" s="51"/>
      <c r="B338"/>
      <c r="C338"/>
      <c r="D338" s="51"/>
      <c r="E338" s="51"/>
      <c r="F338" s="51"/>
      <c r="G338" s="51"/>
      <c r="H338"/>
      <c r="I338"/>
      <c r="J338"/>
      <c r="K338"/>
      <c r="L338"/>
      <c r="M338"/>
      <c r="N338"/>
      <c r="O338"/>
      <c r="P338"/>
      <c r="Q338"/>
      <c r="R338"/>
      <c r="S338"/>
      <c r="T338"/>
    </row>
    <row r="339" spans="1:20" x14ac:dyDescent="0.25">
      <c r="A339" s="51"/>
      <c r="B339"/>
      <c r="C339"/>
      <c r="D339" s="51"/>
      <c r="E339" s="51"/>
      <c r="F339" s="51"/>
      <c r="G339" s="51"/>
      <c r="H339"/>
      <c r="I339"/>
      <c r="J339"/>
      <c r="K339"/>
      <c r="L339"/>
      <c r="M339"/>
      <c r="N339"/>
      <c r="O339"/>
      <c r="P339"/>
      <c r="Q339"/>
      <c r="R339"/>
      <c r="S339"/>
      <c r="T339"/>
    </row>
    <row r="340" spans="1:20" x14ac:dyDescent="0.25">
      <c r="A340" s="51"/>
      <c r="B340"/>
      <c r="C340"/>
      <c r="D340" s="51"/>
      <c r="E340" s="51"/>
      <c r="F340" s="51"/>
      <c r="G340" s="51"/>
      <c r="H340"/>
      <c r="I340"/>
      <c r="J340"/>
      <c r="K340"/>
      <c r="L340"/>
      <c r="M340"/>
      <c r="N340"/>
      <c r="O340"/>
      <c r="P340"/>
      <c r="Q340"/>
      <c r="R340"/>
      <c r="S340"/>
      <c r="T340"/>
    </row>
    <row r="341" spans="1:20" x14ac:dyDescent="0.25">
      <c r="A341" s="51"/>
      <c r="B341"/>
      <c r="C341"/>
      <c r="D341" s="51"/>
      <c r="E341" s="51"/>
      <c r="F341" s="51"/>
      <c r="G341" s="51"/>
      <c r="H341"/>
      <c r="I341"/>
      <c r="J341"/>
      <c r="K341"/>
      <c r="L341"/>
      <c r="M341"/>
      <c r="N341"/>
      <c r="O341"/>
      <c r="P341"/>
      <c r="Q341"/>
      <c r="R341"/>
      <c r="S341"/>
      <c r="T341"/>
    </row>
    <row r="342" spans="1:20" x14ac:dyDescent="0.25">
      <c r="A342" s="51"/>
      <c r="B342"/>
      <c r="C342"/>
      <c r="D342" s="51"/>
      <c r="E342" s="51"/>
      <c r="F342" s="51"/>
      <c r="G342" s="51"/>
      <c r="H342"/>
      <c r="I342"/>
      <c r="J342"/>
      <c r="K342"/>
      <c r="L342"/>
      <c r="M342"/>
      <c r="N342"/>
      <c r="O342"/>
      <c r="P342"/>
      <c r="Q342"/>
      <c r="R342"/>
      <c r="S342"/>
      <c r="T342"/>
    </row>
    <row r="343" spans="1:20" x14ac:dyDescent="0.25">
      <c r="A343" s="51"/>
      <c r="B343"/>
      <c r="C343"/>
      <c r="D343" s="51"/>
      <c r="E343" s="51"/>
      <c r="F343" s="51"/>
      <c r="G343" s="51"/>
      <c r="H343"/>
      <c r="I343"/>
      <c r="J343"/>
      <c r="K343"/>
      <c r="L343"/>
      <c r="M343"/>
      <c r="N343"/>
      <c r="O343"/>
      <c r="P343"/>
      <c r="Q343"/>
      <c r="R343"/>
      <c r="S343"/>
      <c r="T343"/>
    </row>
    <row r="344" spans="1:20" x14ac:dyDescent="0.25">
      <c r="A344" s="51"/>
      <c r="B344"/>
      <c r="C344"/>
      <c r="D344" s="51"/>
      <c r="E344" s="51"/>
      <c r="F344" s="51"/>
      <c r="G344" s="51"/>
      <c r="H344"/>
      <c r="I344"/>
      <c r="J344"/>
      <c r="K344"/>
      <c r="L344"/>
      <c r="M344"/>
      <c r="N344"/>
      <c r="O344"/>
      <c r="P344"/>
      <c r="Q344"/>
      <c r="R344"/>
      <c r="S344"/>
      <c r="T344"/>
    </row>
    <row r="345" spans="1:20" x14ac:dyDescent="0.25">
      <c r="A345" s="51"/>
      <c r="B345"/>
      <c r="C345"/>
      <c r="D345" s="51"/>
      <c r="E345" s="51"/>
      <c r="F345" s="51"/>
      <c r="G345" s="51"/>
      <c r="H345"/>
      <c r="I345"/>
      <c r="J345"/>
      <c r="K345"/>
      <c r="L345"/>
      <c r="M345"/>
      <c r="N345"/>
      <c r="O345"/>
      <c r="P345"/>
      <c r="Q345"/>
      <c r="R345"/>
      <c r="S345"/>
      <c r="T345"/>
    </row>
    <row r="346" spans="1:20" x14ac:dyDescent="0.25">
      <c r="A346" s="51"/>
      <c r="B346"/>
      <c r="C346"/>
      <c r="D346" s="51"/>
      <c r="E346" s="51"/>
      <c r="F346" s="51"/>
      <c r="G346" s="51"/>
      <c r="H346"/>
      <c r="I346"/>
      <c r="J346"/>
      <c r="K346"/>
      <c r="L346"/>
      <c r="M346"/>
      <c r="N346"/>
      <c r="O346"/>
      <c r="P346"/>
      <c r="Q346"/>
      <c r="R346"/>
      <c r="S346"/>
      <c r="T346"/>
    </row>
    <row r="347" spans="1:20" x14ac:dyDescent="0.25">
      <c r="A347" s="51"/>
      <c r="B347"/>
      <c r="C347"/>
      <c r="D347" s="51"/>
      <c r="E347" s="51"/>
      <c r="F347" s="51"/>
      <c r="G347" s="51"/>
      <c r="H347"/>
      <c r="I347"/>
      <c r="J347"/>
      <c r="K347"/>
      <c r="L347"/>
      <c r="M347"/>
      <c r="N347"/>
      <c r="O347"/>
      <c r="P347"/>
      <c r="Q347"/>
      <c r="R347"/>
      <c r="S347"/>
      <c r="T347"/>
    </row>
    <row r="348" spans="1:20" x14ac:dyDescent="0.25">
      <c r="A348" s="51"/>
      <c r="B348"/>
      <c r="C348"/>
      <c r="D348" s="51"/>
      <c r="E348" s="51"/>
      <c r="F348" s="51"/>
      <c r="G348" s="51"/>
      <c r="H348"/>
      <c r="I348"/>
      <c r="J348"/>
      <c r="K348"/>
      <c r="L348"/>
      <c r="M348"/>
      <c r="N348"/>
      <c r="O348"/>
      <c r="P348"/>
      <c r="Q348"/>
      <c r="R348"/>
      <c r="S348"/>
      <c r="T348"/>
    </row>
    <row r="349" spans="1:20" x14ac:dyDescent="0.25">
      <c r="A349" s="51"/>
      <c r="B349"/>
      <c r="C349"/>
      <c r="D349" s="51"/>
      <c r="E349" s="51"/>
      <c r="F349" s="51"/>
      <c r="G349" s="51"/>
      <c r="H349"/>
      <c r="I349"/>
      <c r="J349"/>
      <c r="K349"/>
      <c r="L349"/>
      <c r="M349"/>
      <c r="N349"/>
      <c r="O349"/>
      <c r="P349"/>
      <c r="Q349"/>
      <c r="R349"/>
      <c r="S349"/>
      <c r="T349"/>
    </row>
    <row r="350" spans="1:20" x14ac:dyDescent="0.25">
      <c r="A350" s="51"/>
      <c r="B350"/>
      <c r="C350"/>
      <c r="D350" s="51"/>
      <c r="E350" s="51"/>
      <c r="F350" s="51"/>
      <c r="G350" s="51"/>
      <c r="H350"/>
      <c r="I350"/>
      <c r="J350"/>
      <c r="K350"/>
      <c r="L350"/>
      <c r="M350"/>
      <c r="N350"/>
      <c r="O350"/>
      <c r="P350"/>
      <c r="Q350"/>
      <c r="R350"/>
      <c r="S350"/>
      <c r="T350"/>
    </row>
    <row r="351" spans="1:20" x14ac:dyDescent="0.25">
      <c r="A351" s="51"/>
      <c r="B351"/>
      <c r="C351"/>
      <c r="D351" s="51"/>
      <c r="E351" s="51"/>
      <c r="F351" s="51"/>
      <c r="G351" s="51"/>
      <c r="H351"/>
      <c r="I351"/>
      <c r="J351"/>
      <c r="K351"/>
      <c r="L351"/>
      <c r="M351"/>
      <c r="N351"/>
      <c r="O351"/>
      <c r="P351"/>
      <c r="Q351"/>
      <c r="R351"/>
      <c r="S351"/>
      <c r="T351"/>
    </row>
    <row r="352" spans="1:20" x14ac:dyDescent="0.25">
      <c r="A352" s="51"/>
      <c r="B352"/>
      <c r="C352"/>
      <c r="D352" s="51"/>
      <c r="E352" s="51"/>
      <c r="F352" s="51"/>
      <c r="G352" s="51"/>
      <c r="H352"/>
      <c r="I352"/>
      <c r="J352"/>
      <c r="K352"/>
      <c r="L352"/>
      <c r="M352"/>
      <c r="N352"/>
      <c r="O352"/>
      <c r="P352"/>
      <c r="Q352"/>
      <c r="R352"/>
      <c r="S352"/>
      <c r="T352"/>
    </row>
    <row r="353" spans="1:20" x14ac:dyDescent="0.25">
      <c r="A353" s="51"/>
      <c r="B353"/>
      <c r="C353"/>
      <c r="D353" s="51"/>
      <c r="E353" s="51"/>
      <c r="F353" s="51"/>
      <c r="G353" s="51"/>
      <c r="H353"/>
      <c r="I353"/>
      <c r="J353"/>
      <c r="K353"/>
      <c r="L353"/>
      <c r="M353"/>
      <c r="N353"/>
      <c r="O353"/>
      <c r="P353"/>
      <c r="Q353"/>
      <c r="R353"/>
      <c r="S353"/>
      <c r="T353"/>
    </row>
    <row r="354" spans="1:20" x14ac:dyDescent="0.25">
      <c r="A354" s="51"/>
      <c r="B354"/>
      <c r="C354"/>
      <c r="D354" s="51"/>
      <c r="E354" s="51"/>
      <c r="F354" s="51"/>
      <c r="G354" s="51"/>
      <c r="H354"/>
      <c r="I354"/>
      <c r="J354"/>
      <c r="K354"/>
      <c r="L354"/>
      <c r="M354"/>
      <c r="N354"/>
      <c r="O354"/>
      <c r="P354"/>
      <c r="Q354"/>
      <c r="R354"/>
      <c r="S354"/>
      <c r="T354"/>
    </row>
    <row r="355" spans="1:20" x14ac:dyDescent="0.25">
      <c r="A355" s="51"/>
      <c r="B355"/>
      <c r="C355"/>
      <c r="D355" s="51"/>
      <c r="E355" s="51"/>
      <c r="F355" s="51"/>
      <c r="G355" s="51"/>
      <c r="H355"/>
      <c r="I355"/>
      <c r="J355"/>
      <c r="K355"/>
      <c r="L355"/>
      <c r="M355"/>
      <c r="N355"/>
      <c r="O355"/>
      <c r="P355"/>
      <c r="Q355"/>
      <c r="R355"/>
      <c r="S355"/>
      <c r="T355"/>
    </row>
    <row r="356" spans="1:20" x14ac:dyDescent="0.25">
      <c r="A356" s="51"/>
      <c r="B356"/>
      <c r="C356"/>
      <c r="D356" s="51"/>
      <c r="E356" s="51"/>
      <c r="F356" s="51"/>
      <c r="G356" s="51"/>
      <c r="H356"/>
      <c r="I356"/>
      <c r="J356"/>
      <c r="K356"/>
      <c r="L356"/>
      <c r="M356"/>
      <c r="N356"/>
      <c r="O356"/>
      <c r="P356"/>
      <c r="Q356"/>
      <c r="R356"/>
      <c r="S356"/>
      <c r="T356"/>
    </row>
    <row r="357" spans="1:20" x14ac:dyDescent="0.25">
      <c r="A357" s="51"/>
      <c r="B357"/>
      <c r="C357"/>
      <c r="D357" s="51"/>
      <c r="E357" s="51"/>
      <c r="F357" s="51"/>
      <c r="G357" s="51"/>
      <c r="H357"/>
      <c r="I357"/>
      <c r="J357"/>
      <c r="K357"/>
      <c r="L357"/>
      <c r="M357"/>
      <c r="N357"/>
      <c r="O357"/>
      <c r="P357"/>
      <c r="Q357"/>
      <c r="R357"/>
      <c r="S357"/>
      <c r="T357"/>
    </row>
    <row r="358" spans="1:20" x14ac:dyDescent="0.25">
      <c r="A358" s="51"/>
      <c r="B358"/>
      <c r="C358"/>
      <c r="D358" s="51"/>
      <c r="E358" s="51"/>
      <c r="F358" s="51"/>
      <c r="G358" s="51"/>
      <c r="H358"/>
      <c r="I358"/>
      <c r="J358"/>
      <c r="K358"/>
      <c r="L358"/>
      <c r="M358"/>
      <c r="N358"/>
      <c r="O358"/>
      <c r="P358"/>
      <c r="Q358"/>
      <c r="R358"/>
      <c r="S358"/>
      <c r="T358"/>
    </row>
    <row r="359" spans="1:20" x14ac:dyDescent="0.25">
      <c r="A359" s="51"/>
      <c r="B359"/>
      <c r="C359"/>
      <c r="D359" s="51"/>
      <c r="E359" s="51"/>
      <c r="F359" s="51"/>
      <c r="G359" s="51"/>
      <c r="H359"/>
      <c r="I359"/>
      <c r="J359"/>
      <c r="K359"/>
      <c r="L359"/>
      <c r="M359"/>
      <c r="N359"/>
      <c r="O359"/>
      <c r="P359"/>
      <c r="Q359"/>
      <c r="R359"/>
      <c r="S359"/>
      <c r="T359"/>
    </row>
    <row r="360" spans="1:20" x14ac:dyDescent="0.25">
      <c r="A360" s="51"/>
      <c r="B360"/>
      <c r="C360"/>
      <c r="D360" s="51"/>
      <c r="E360" s="51"/>
      <c r="F360" s="51"/>
      <c r="G360" s="51"/>
      <c r="H360"/>
      <c r="I360"/>
      <c r="J360"/>
      <c r="K360"/>
      <c r="L360"/>
      <c r="M360"/>
      <c r="N360"/>
      <c r="O360"/>
      <c r="P360"/>
      <c r="Q360"/>
      <c r="R360"/>
      <c r="S360"/>
      <c r="T360"/>
    </row>
    <row r="361" spans="1:20" x14ac:dyDescent="0.25">
      <c r="A361" s="51"/>
      <c r="B361"/>
      <c r="C361"/>
      <c r="D361" s="51"/>
      <c r="E361" s="51"/>
      <c r="F361" s="51"/>
      <c r="G361" s="51"/>
      <c r="H361"/>
      <c r="I361"/>
      <c r="J361"/>
      <c r="K361"/>
      <c r="L361"/>
      <c r="M361"/>
      <c r="N361"/>
      <c r="O361"/>
      <c r="P361"/>
      <c r="Q361"/>
      <c r="R361"/>
      <c r="S361"/>
      <c r="T361"/>
    </row>
    <row r="362" spans="1:20" x14ac:dyDescent="0.25">
      <c r="A362" s="51"/>
      <c r="B362"/>
      <c r="C362"/>
      <c r="D362" s="51"/>
      <c r="E362" s="51"/>
      <c r="F362" s="51"/>
      <c r="G362" s="51"/>
      <c r="H362"/>
      <c r="I362"/>
      <c r="J362"/>
      <c r="K362"/>
      <c r="L362"/>
      <c r="M362"/>
      <c r="N362"/>
      <c r="O362"/>
      <c r="P362"/>
      <c r="Q362"/>
      <c r="R362"/>
      <c r="S362"/>
      <c r="T362"/>
    </row>
    <row r="363" spans="1:20" x14ac:dyDescent="0.25">
      <c r="A363" s="51"/>
      <c r="B363"/>
      <c r="C363"/>
      <c r="D363" s="51"/>
      <c r="E363" s="51"/>
      <c r="F363" s="51"/>
      <c r="G363" s="51"/>
      <c r="H363"/>
      <c r="I363"/>
      <c r="J363"/>
      <c r="K363"/>
      <c r="L363"/>
      <c r="M363"/>
      <c r="N363"/>
      <c r="O363"/>
      <c r="P363"/>
      <c r="Q363"/>
      <c r="R363"/>
      <c r="S363"/>
      <c r="T363"/>
    </row>
    <row r="364" spans="1:20" x14ac:dyDescent="0.25">
      <c r="A364" s="51"/>
      <c r="B364"/>
      <c r="C364"/>
      <c r="D364" s="51"/>
      <c r="E364" s="51"/>
      <c r="F364" s="51"/>
      <c r="G364" s="51"/>
      <c r="H364"/>
      <c r="I364"/>
      <c r="J364"/>
      <c r="K364"/>
      <c r="L364"/>
      <c r="M364"/>
      <c r="N364"/>
      <c r="O364"/>
      <c r="P364"/>
      <c r="Q364"/>
      <c r="R364"/>
      <c r="S364"/>
      <c r="T364"/>
    </row>
    <row r="365" spans="1:20" x14ac:dyDescent="0.25">
      <c r="A365" s="51"/>
      <c r="B365"/>
      <c r="C365"/>
      <c r="D365" s="51"/>
      <c r="E365" s="51"/>
      <c r="F365" s="51"/>
      <c r="G365" s="51"/>
      <c r="H365"/>
      <c r="I365"/>
      <c r="J365"/>
      <c r="K365"/>
      <c r="L365"/>
      <c r="M365"/>
      <c r="N365"/>
      <c r="O365"/>
      <c r="P365"/>
      <c r="Q365"/>
      <c r="R365"/>
      <c r="S365"/>
      <c r="T365"/>
    </row>
    <row r="366" spans="1:20" x14ac:dyDescent="0.25">
      <c r="A366" s="51"/>
      <c r="B366"/>
      <c r="C366"/>
      <c r="D366" s="51"/>
      <c r="E366" s="51"/>
      <c r="F366" s="51"/>
      <c r="G366" s="51"/>
      <c r="H366"/>
      <c r="I366"/>
      <c r="J366"/>
      <c r="K366"/>
      <c r="L366"/>
      <c r="M366"/>
      <c r="N366"/>
      <c r="O366"/>
      <c r="P366"/>
      <c r="Q366"/>
      <c r="R366"/>
      <c r="S366"/>
      <c r="T366"/>
    </row>
    <row r="367" spans="1:20" x14ac:dyDescent="0.25">
      <c r="A367" s="51"/>
      <c r="B367"/>
      <c r="C367"/>
      <c r="D367" s="51"/>
      <c r="E367" s="51"/>
      <c r="F367" s="51"/>
      <c r="G367" s="51"/>
      <c r="H367"/>
      <c r="I367"/>
      <c r="J367"/>
      <c r="K367"/>
      <c r="L367"/>
      <c r="M367"/>
      <c r="N367"/>
      <c r="O367"/>
      <c r="P367"/>
      <c r="Q367"/>
      <c r="R367"/>
      <c r="S367"/>
      <c r="T367"/>
    </row>
    <row r="368" spans="1:20" x14ac:dyDescent="0.25">
      <c r="A368" s="51"/>
      <c r="B368"/>
      <c r="C368"/>
      <c r="D368" s="51"/>
      <c r="E368" s="51"/>
      <c r="F368" s="51"/>
      <c r="G368" s="51"/>
      <c r="H368"/>
      <c r="I368"/>
      <c r="J368"/>
      <c r="K368"/>
      <c r="L368"/>
      <c r="M368"/>
      <c r="N368"/>
      <c r="O368"/>
      <c r="P368"/>
      <c r="Q368"/>
      <c r="R368"/>
      <c r="S368"/>
      <c r="T368"/>
    </row>
    <row r="369" spans="1:20" x14ac:dyDescent="0.25">
      <c r="A369" s="51"/>
      <c r="B369"/>
      <c r="C369"/>
      <c r="D369" s="51"/>
      <c r="E369" s="51"/>
      <c r="F369" s="51"/>
      <c r="G369" s="51"/>
      <c r="H369"/>
      <c r="I369"/>
      <c r="J369"/>
      <c r="K369"/>
      <c r="L369"/>
      <c r="M369"/>
      <c r="N369"/>
      <c r="O369"/>
      <c r="P369"/>
      <c r="Q369"/>
      <c r="R369"/>
      <c r="S369"/>
      <c r="T369"/>
    </row>
    <row r="370" spans="1:20" x14ac:dyDescent="0.25">
      <c r="A370" s="51"/>
      <c r="B370"/>
      <c r="C370"/>
      <c r="D370" s="51"/>
      <c r="E370" s="51"/>
      <c r="F370" s="51"/>
      <c r="G370" s="51"/>
      <c r="H370"/>
      <c r="I370"/>
      <c r="J370"/>
      <c r="K370"/>
      <c r="L370"/>
      <c r="M370"/>
      <c r="N370"/>
      <c r="O370"/>
      <c r="P370"/>
      <c r="Q370"/>
      <c r="R370"/>
      <c r="S370"/>
      <c r="T370"/>
    </row>
    <row r="371" spans="1:20" x14ac:dyDescent="0.25">
      <c r="A371" s="51"/>
      <c r="B371"/>
      <c r="C371"/>
      <c r="D371" s="51"/>
      <c r="E371" s="51"/>
      <c r="F371" s="51"/>
      <c r="G371" s="51"/>
      <c r="H371"/>
      <c r="I371"/>
      <c r="J371"/>
      <c r="K371"/>
      <c r="L371"/>
      <c r="M371"/>
      <c r="N371"/>
      <c r="O371"/>
      <c r="P371"/>
      <c r="Q371"/>
      <c r="R371"/>
      <c r="S371"/>
      <c r="T371"/>
    </row>
    <row r="372" spans="1:20" x14ac:dyDescent="0.25">
      <c r="A372" s="51"/>
      <c r="B372"/>
      <c r="C372"/>
      <c r="D372" s="51"/>
      <c r="E372" s="51"/>
      <c r="F372" s="51"/>
      <c r="G372" s="51"/>
      <c r="H372"/>
      <c r="I372"/>
      <c r="J372"/>
      <c r="K372"/>
      <c r="L372"/>
      <c r="M372"/>
      <c r="N372"/>
      <c r="O372"/>
      <c r="P372"/>
      <c r="Q372"/>
      <c r="R372"/>
      <c r="S372"/>
      <c r="T372"/>
    </row>
    <row r="373" spans="1:20" x14ac:dyDescent="0.25">
      <c r="A373" s="51"/>
      <c r="B373"/>
      <c r="C373"/>
      <c r="D373" s="51"/>
      <c r="E373" s="51"/>
      <c r="F373" s="51"/>
      <c r="G373" s="51"/>
      <c r="H373"/>
      <c r="I373"/>
      <c r="J373"/>
      <c r="K373"/>
      <c r="L373"/>
      <c r="M373"/>
      <c r="N373"/>
      <c r="O373"/>
      <c r="P373"/>
      <c r="Q373"/>
      <c r="R373"/>
      <c r="S373"/>
      <c r="T373"/>
    </row>
    <row r="374" spans="1:20" x14ac:dyDescent="0.25">
      <c r="A374" s="51"/>
      <c r="B374"/>
      <c r="C374"/>
      <c r="D374" s="51"/>
      <c r="E374" s="51"/>
      <c r="F374" s="51"/>
      <c r="G374" s="51"/>
      <c r="H374"/>
      <c r="I374"/>
      <c r="J374"/>
      <c r="K374"/>
      <c r="L374"/>
      <c r="M374"/>
      <c r="N374"/>
      <c r="O374"/>
      <c r="P374"/>
      <c r="Q374"/>
      <c r="R374"/>
      <c r="S374"/>
      <c r="T374"/>
    </row>
    <row r="375" spans="1:20" x14ac:dyDescent="0.25">
      <c r="A375" s="51"/>
      <c r="B375"/>
      <c r="C375"/>
      <c r="D375" s="51"/>
      <c r="E375" s="51"/>
      <c r="F375" s="51"/>
      <c r="G375" s="51"/>
      <c r="H375"/>
      <c r="I375"/>
      <c r="J375"/>
      <c r="K375"/>
      <c r="L375"/>
      <c r="M375"/>
      <c r="N375"/>
      <c r="O375"/>
      <c r="P375"/>
      <c r="Q375"/>
      <c r="R375"/>
      <c r="S375"/>
      <c r="T375"/>
    </row>
    <row r="376" spans="1:20" x14ac:dyDescent="0.25">
      <c r="A376" s="51"/>
      <c r="B376"/>
      <c r="C376"/>
      <c r="D376" s="51"/>
      <c r="E376" s="51"/>
      <c r="F376" s="51"/>
      <c r="G376" s="51"/>
      <c r="H376"/>
      <c r="I376"/>
      <c r="J376"/>
      <c r="K376"/>
      <c r="L376"/>
      <c r="M376"/>
      <c r="N376"/>
      <c r="O376"/>
      <c r="P376"/>
      <c r="Q376"/>
      <c r="R376"/>
      <c r="S376"/>
      <c r="T376"/>
    </row>
    <row r="377" spans="1:20" x14ac:dyDescent="0.25">
      <c r="A377" s="51"/>
      <c r="B377"/>
      <c r="C377"/>
      <c r="D377" s="51"/>
      <c r="E377" s="51"/>
      <c r="F377" s="51"/>
      <c r="G377" s="51"/>
      <c r="H377"/>
      <c r="I377"/>
      <c r="J377"/>
      <c r="K377"/>
      <c r="L377"/>
      <c r="M377"/>
      <c r="N377"/>
      <c r="O377"/>
      <c r="P377"/>
      <c r="Q377"/>
      <c r="R377"/>
      <c r="S377"/>
      <c r="T377"/>
    </row>
    <row r="378" spans="1:20" x14ac:dyDescent="0.25">
      <c r="A378" s="51"/>
      <c r="B378"/>
      <c r="C378"/>
      <c r="D378" s="51"/>
      <c r="E378" s="51"/>
      <c r="F378" s="51"/>
      <c r="G378" s="51"/>
      <c r="H378"/>
      <c r="I378"/>
      <c r="J378"/>
      <c r="K378"/>
      <c r="L378"/>
      <c r="M378"/>
      <c r="N378"/>
      <c r="O378"/>
      <c r="P378"/>
      <c r="Q378"/>
      <c r="R378"/>
      <c r="S378"/>
      <c r="T378"/>
    </row>
    <row r="379" spans="1:20" x14ac:dyDescent="0.25">
      <c r="A379" s="51"/>
      <c r="B379"/>
      <c r="C379"/>
      <c r="D379" s="51"/>
      <c r="E379" s="51"/>
      <c r="F379" s="51"/>
      <c r="G379" s="51"/>
      <c r="H379"/>
      <c r="I379"/>
      <c r="J379"/>
      <c r="K379"/>
      <c r="L379"/>
      <c r="M379"/>
      <c r="N379"/>
      <c r="O379"/>
      <c r="P379"/>
      <c r="Q379"/>
      <c r="R379"/>
      <c r="S379"/>
      <c r="T379"/>
    </row>
    <row r="380" spans="1:20" x14ac:dyDescent="0.25">
      <c r="A380" s="51"/>
      <c r="B380"/>
      <c r="C380"/>
      <c r="D380" s="51"/>
      <c r="E380" s="51"/>
      <c r="F380" s="51"/>
      <c r="G380" s="51"/>
      <c r="H380"/>
      <c r="I380"/>
      <c r="J380"/>
      <c r="K380"/>
      <c r="L380"/>
      <c r="M380"/>
      <c r="N380"/>
      <c r="O380"/>
      <c r="P380"/>
      <c r="Q380"/>
      <c r="R380"/>
      <c r="S380"/>
      <c r="T380"/>
    </row>
    <row r="381" spans="1:20" x14ac:dyDescent="0.25">
      <c r="A381" s="51"/>
      <c r="B381"/>
      <c r="C381"/>
      <c r="D381" s="51"/>
      <c r="E381" s="51"/>
      <c r="F381" s="51"/>
      <c r="G381" s="51"/>
      <c r="H381"/>
      <c r="I381"/>
      <c r="J381"/>
      <c r="K381"/>
      <c r="L381"/>
      <c r="M381"/>
      <c r="N381"/>
      <c r="O381"/>
      <c r="P381"/>
      <c r="Q381"/>
      <c r="R381"/>
      <c r="S381"/>
      <c r="T381"/>
    </row>
    <row r="382" spans="1:20" x14ac:dyDescent="0.25">
      <c r="A382" s="51"/>
      <c r="B382"/>
      <c r="C382"/>
      <c r="D382" s="51"/>
      <c r="E382" s="51"/>
      <c r="F382" s="51"/>
      <c r="G382" s="51"/>
      <c r="H382"/>
      <c r="I382"/>
      <c r="J382"/>
      <c r="K382"/>
      <c r="L382"/>
      <c r="M382"/>
      <c r="N382"/>
      <c r="O382"/>
      <c r="P382"/>
      <c r="Q382"/>
      <c r="R382"/>
      <c r="S382"/>
      <c r="T382"/>
    </row>
    <row r="383" spans="1:20" x14ac:dyDescent="0.25">
      <c r="A383" s="51"/>
      <c r="B383"/>
      <c r="C383"/>
      <c r="D383" s="51"/>
      <c r="E383" s="51"/>
      <c r="F383" s="51"/>
      <c r="G383" s="51"/>
      <c r="H383"/>
      <c r="I383"/>
      <c r="J383"/>
      <c r="K383"/>
      <c r="L383"/>
      <c r="M383"/>
      <c r="N383"/>
      <c r="O383"/>
      <c r="P383"/>
      <c r="Q383"/>
      <c r="R383"/>
      <c r="S383"/>
      <c r="T383"/>
    </row>
    <row r="384" spans="1:20" x14ac:dyDescent="0.25">
      <c r="A384" s="51"/>
      <c r="B384"/>
      <c r="C384"/>
      <c r="D384" s="51"/>
      <c r="E384" s="51"/>
      <c r="F384" s="51"/>
      <c r="G384" s="51"/>
      <c r="H384"/>
      <c r="I384"/>
      <c r="J384"/>
      <c r="K384"/>
      <c r="L384"/>
      <c r="M384"/>
      <c r="N384"/>
      <c r="O384"/>
      <c r="P384"/>
      <c r="Q384"/>
      <c r="R384"/>
      <c r="S384"/>
      <c r="T384"/>
    </row>
    <row r="385" spans="1:20" x14ac:dyDescent="0.25">
      <c r="A385" s="51"/>
      <c r="B385"/>
      <c r="C385"/>
      <c r="D385" s="51"/>
      <c r="E385" s="51"/>
      <c r="F385" s="51"/>
      <c r="G385" s="51"/>
      <c r="H385"/>
      <c r="I385"/>
      <c r="J385"/>
      <c r="K385"/>
      <c r="L385"/>
      <c r="M385"/>
      <c r="N385"/>
      <c r="O385"/>
      <c r="P385"/>
      <c r="Q385"/>
      <c r="R385"/>
      <c r="S385"/>
      <c r="T385"/>
    </row>
    <row r="386" spans="1:20" x14ac:dyDescent="0.25">
      <c r="A386" s="51"/>
      <c r="B386"/>
      <c r="C386"/>
      <c r="D386" s="51"/>
      <c r="E386" s="51"/>
      <c r="F386" s="51"/>
      <c r="G386" s="51"/>
      <c r="H386"/>
      <c r="I386"/>
      <c r="J386"/>
      <c r="K386"/>
      <c r="L386"/>
      <c r="M386"/>
      <c r="N386"/>
      <c r="O386"/>
      <c r="P386"/>
      <c r="Q386"/>
      <c r="R386"/>
      <c r="S386"/>
      <c r="T386"/>
    </row>
    <row r="387" spans="1:20" x14ac:dyDescent="0.25">
      <c r="A387" s="51"/>
      <c r="B387"/>
      <c r="C387"/>
      <c r="D387" s="51"/>
      <c r="E387" s="51"/>
      <c r="F387" s="51"/>
      <c r="G387" s="51"/>
      <c r="H387"/>
      <c r="I387"/>
      <c r="J387"/>
      <c r="K387"/>
      <c r="L387"/>
      <c r="M387"/>
      <c r="N387"/>
      <c r="O387"/>
      <c r="P387"/>
      <c r="Q387"/>
      <c r="R387"/>
      <c r="S387"/>
      <c r="T387"/>
    </row>
    <row r="388" spans="1:20" x14ac:dyDescent="0.25">
      <c r="A388" s="51"/>
      <c r="B388"/>
      <c r="C388"/>
      <c r="D388" s="51"/>
      <c r="E388" s="51"/>
      <c r="F388" s="51"/>
      <c r="G388" s="51"/>
      <c r="H388"/>
      <c r="I388"/>
      <c r="J388"/>
      <c r="K388"/>
      <c r="L388"/>
      <c r="M388"/>
      <c r="N388"/>
      <c r="O388"/>
      <c r="P388"/>
      <c r="Q388"/>
      <c r="R388"/>
      <c r="S388"/>
      <c r="T388"/>
    </row>
    <row r="389" spans="1:20" x14ac:dyDescent="0.25">
      <c r="A389" s="51"/>
      <c r="B389"/>
      <c r="C389"/>
      <c r="D389" s="51"/>
      <c r="E389" s="51"/>
      <c r="F389" s="51"/>
      <c r="G389" s="51"/>
      <c r="H389"/>
      <c r="I389"/>
      <c r="J389"/>
      <c r="K389"/>
      <c r="L389"/>
      <c r="M389"/>
      <c r="N389"/>
      <c r="O389"/>
      <c r="P389"/>
      <c r="Q389"/>
      <c r="R389"/>
      <c r="S389"/>
      <c r="T389"/>
    </row>
    <row r="390" spans="1:20" x14ac:dyDescent="0.25">
      <c r="A390" s="51"/>
      <c r="B390"/>
      <c r="C390"/>
      <c r="D390" s="51"/>
      <c r="E390" s="51"/>
      <c r="F390" s="51"/>
      <c r="G390" s="51"/>
      <c r="H390"/>
      <c r="I390"/>
      <c r="J390"/>
      <c r="K390"/>
      <c r="L390"/>
      <c r="M390"/>
      <c r="N390"/>
      <c r="O390"/>
      <c r="P390"/>
      <c r="Q390"/>
      <c r="R390"/>
      <c r="S390"/>
      <c r="T390"/>
    </row>
    <row r="391" spans="1:20" x14ac:dyDescent="0.25">
      <c r="A391" s="51"/>
      <c r="B391"/>
      <c r="C391"/>
      <c r="D391" s="51"/>
      <c r="E391" s="51"/>
      <c r="F391" s="51"/>
      <c r="G391" s="51"/>
      <c r="H391"/>
      <c r="I391"/>
      <c r="J391"/>
      <c r="K391"/>
      <c r="L391"/>
      <c r="M391"/>
      <c r="N391"/>
      <c r="O391"/>
      <c r="P391"/>
      <c r="Q391"/>
      <c r="R391"/>
      <c r="S391"/>
      <c r="T391"/>
    </row>
    <row r="392" spans="1:20" x14ac:dyDescent="0.25">
      <c r="A392" s="51"/>
      <c r="B392"/>
      <c r="C392"/>
      <c r="D392" s="51"/>
      <c r="E392" s="51"/>
      <c r="F392" s="51"/>
      <c r="G392" s="51"/>
      <c r="H392"/>
      <c r="I392"/>
      <c r="J392"/>
      <c r="K392"/>
      <c r="L392"/>
      <c r="M392"/>
      <c r="N392"/>
      <c r="O392"/>
      <c r="P392"/>
      <c r="Q392"/>
      <c r="R392"/>
      <c r="S392"/>
      <c r="T392"/>
    </row>
    <row r="393" spans="1:20" x14ac:dyDescent="0.25">
      <c r="A393" s="51"/>
      <c r="B393"/>
      <c r="C393"/>
      <c r="D393" s="51"/>
      <c r="E393" s="51"/>
      <c r="F393" s="51"/>
      <c r="G393" s="51"/>
      <c r="H393"/>
      <c r="I393"/>
      <c r="J393"/>
      <c r="K393"/>
      <c r="L393"/>
      <c r="M393"/>
      <c r="N393"/>
      <c r="O393"/>
      <c r="P393"/>
      <c r="Q393"/>
      <c r="R393"/>
      <c r="S393"/>
      <c r="T393"/>
    </row>
    <row r="394" spans="1:20" x14ac:dyDescent="0.25">
      <c r="A394" s="51"/>
      <c r="B394"/>
      <c r="C394"/>
      <c r="D394" s="51"/>
      <c r="E394" s="51"/>
      <c r="F394" s="51"/>
      <c r="G394" s="51"/>
      <c r="H394"/>
      <c r="I394"/>
      <c r="J394"/>
      <c r="K394"/>
      <c r="L394"/>
      <c r="M394"/>
      <c r="N394"/>
      <c r="O394"/>
      <c r="P394"/>
      <c r="Q394"/>
      <c r="R394"/>
      <c r="S394"/>
      <c r="T394"/>
    </row>
    <row r="395" spans="1:20" x14ac:dyDescent="0.25">
      <c r="A395" s="51"/>
      <c r="B395"/>
      <c r="C395"/>
      <c r="D395" s="51"/>
      <c r="E395" s="51"/>
      <c r="F395" s="51"/>
      <c r="G395" s="51"/>
      <c r="H395"/>
      <c r="I395"/>
      <c r="J395"/>
      <c r="K395"/>
      <c r="L395"/>
      <c r="M395"/>
      <c r="N395"/>
      <c r="O395"/>
      <c r="P395"/>
      <c r="Q395"/>
      <c r="R395"/>
      <c r="S395"/>
      <c r="T395"/>
    </row>
    <row r="396" spans="1:20" x14ac:dyDescent="0.25">
      <c r="A396" s="51"/>
      <c r="B396"/>
      <c r="C396"/>
      <c r="D396" s="51"/>
      <c r="E396" s="51"/>
      <c r="F396" s="51"/>
      <c r="G396" s="51"/>
      <c r="H396"/>
      <c r="I396"/>
      <c r="J396"/>
      <c r="K396"/>
      <c r="L396"/>
      <c r="M396"/>
      <c r="N396"/>
      <c r="O396"/>
      <c r="P396"/>
      <c r="Q396"/>
      <c r="R396"/>
      <c r="S396"/>
      <c r="T396"/>
    </row>
    <row r="397" spans="1:20" x14ac:dyDescent="0.25">
      <c r="A397" s="51"/>
      <c r="B397"/>
      <c r="C397"/>
      <c r="D397" s="51"/>
      <c r="E397" s="51"/>
      <c r="F397" s="51"/>
      <c r="G397" s="51"/>
      <c r="H397"/>
      <c r="I397"/>
      <c r="J397"/>
      <c r="K397"/>
      <c r="L397"/>
      <c r="M397"/>
      <c r="N397"/>
      <c r="O397"/>
      <c r="P397"/>
      <c r="Q397"/>
      <c r="R397"/>
      <c r="S397"/>
      <c r="T397"/>
    </row>
    <row r="398" spans="1:20" x14ac:dyDescent="0.25">
      <c r="A398" s="51"/>
      <c r="B398"/>
      <c r="C398"/>
      <c r="D398" s="51"/>
      <c r="E398" s="51"/>
      <c r="F398" s="51"/>
      <c r="G398" s="51"/>
      <c r="H398"/>
      <c r="I398"/>
      <c r="J398"/>
      <c r="K398"/>
      <c r="L398"/>
      <c r="M398"/>
      <c r="N398"/>
      <c r="O398"/>
      <c r="P398"/>
      <c r="Q398"/>
      <c r="R398"/>
      <c r="S398"/>
      <c r="T398"/>
    </row>
    <row r="399" spans="1:20" x14ac:dyDescent="0.25">
      <c r="A399" s="51"/>
      <c r="B399"/>
      <c r="C399"/>
      <c r="D399" s="51"/>
      <c r="E399" s="51"/>
      <c r="F399" s="51"/>
      <c r="G399" s="51"/>
      <c r="H399"/>
      <c r="I399"/>
      <c r="J399"/>
      <c r="K399"/>
      <c r="L399"/>
      <c r="M399"/>
      <c r="N399"/>
      <c r="O399"/>
      <c r="P399"/>
      <c r="Q399"/>
      <c r="R399"/>
      <c r="S399"/>
      <c r="T399"/>
    </row>
    <row r="400" spans="1:20" x14ac:dyDescent="0.25">
      <c r="A400" s="51"/>
      <c r="B400"/>
      <c r="C400"/>
      <c r="D400" s="51"/>
      <c r="E400" s="51"/>
      <c r="F400" s="51"/>
      <c r="G400" s="51"/>
      <c r="H400"/>
      <c r="I400"/>
      <c r="J400"/>
      <c r="K400"/>
      <c r="L400"/>
      <c r="M400"/>
      <c r="N400"/>
      <c r="O400"/>
      <c r="P400"/>
      <c r="Q400"/>
      <c r="R400"/>
      <c r="S400"/>
      <c r="T400"/>
    </row>
    <row r="401" spans="1:20" x14ac:dyDescent="0.25">
      <c r="A401" s="51"/>
      <c r="B401"/>
      <c r="C401"/>
      <c r="D401" s="51"/>
      <c r="E401" s="51"/>
      <c r="F401" s="51"/>
      <c r="G401" s="51"/>
      <c r="H401"/>
      <c r="I401"/>
      <c r="J401"/>
      <c r="K401"/>
      <c r="L401"/>
      <c r="M401"/>
      <c r="N401"/>
      <c r="O401"/>
      <c r="P401"/>
      <c r="Q401"/>
      <c r="R401"/>
      <c r="S401"/>
      <c r="T401"/>
    </row>
    <row r="402" spans="1:20" x14ac:dyDescent="0.25">
      <c r="A402" s="51"/>
      <c r="B402"/>
      <c r="C402"/>
      <c r="D402" s="51"/>
      <c r="E402" s="51"/>
      <c r="F402" s="51"/>
      <c r="G402" s="51"/>
      <c r="H402"/>
      <c r="I402"/>
      <c r="J402"/>
      <c r="K402"/>
      <c r="L402"/>
      <c r="M402"/>
      <c r="N402"/>
      <c r="O402"/>
      <c r="P402"/>
      <c r="Q402"/>
      <c r="R402"/>
      <c r="S402"/>
      <c r="T402"/>
    </row>
    <row r="403" spans="1:20" x14ac:dyDescent="0.25">
      <c r="A403" s="51"/>
      <c r="B403"/>
      <c r="C403"/>
      <c r="D403" s="51"/>
      <c r="E403" s="51"/>
      <c r="F403" s="51"/>
      <c r="G403" s="51"/>
      <c r="H403"/>
      <c r="I403"/>
      <c r="J403"/>
      <c r="K403"/>
      <c r="L403"/>
      <c r="M403"/>
      <c r="N403"/>
      <c r="O403"/>
      <c r="P403"/>
      <c r="Q403"/>
      <c r="R403"/>
      <c r="S403"/>
      <c r="T403"/>
    </row>
    <row r="404" spans="1:20" x14ac:dyDescent="0.25">
      <c r="A404" s="51"/>
      <c r="B404"/>
      <c r="C404"/>
      <c r="D404" s="51"/>
      <c r="E404" s="51"/>
      <c r="F404" s="51"/>
      <c r="G404" s="51"/>
      <c r="H404"/>
      <c r="I404"/>
      <c r="J404"/>
      <c r="K404"/>
      <c r="L404"/>
      <c r="M404"/>
      <c r="N404"/>
      <c r="O404"/>
      <c r="P404"/>
      <c r="Q404"/>
      <c r="R404"/>
      <c r="S404"/>
      <c r="T404"/>
    </row>
    <row r="405" spans="1:20" x14ac:dyDescent="0.25">
      <c r="A405" s="51"/>
      <c r="B405"/>
      <c r="C405"/>
      <c r="D405" s="51"/>
      <c r="E405" s="51"/>
      <c r="F405" s="51"/>
      <c r="G405" s="51"/>
      <c r="H405"/>
      <c r="I405"/>
      <c r="J405"/>
      <c r="K405"/>
      <c r="L405"/>
      <c r="M405"/>
      <c r="N405"/>
      <c r="O405"/>
      <c r="P405"/>
      <c r="Q405"/>
      <c r="R405"/>
      <c r="S405"/>
      <c r="T405"/>
    </row>
    <row r="406" spans="1:20" x14ac:dyDescent="0.25">
      <c r="A406" s="51"/>
      <c r="B406"/>
      <c r="C406"/>
      <c r="D406" s="51"/>
      <c r="E406" s="51"/>
      <c r="F406" s="51"/>
      <c r="G406" s="51"/>
      <c r="H406"/>
      <c r="I406"/>
      <c r="J406"/>
      <c r="K406"/>
      <c r="L406"/>
      <c r="M406"/>
      <c r="N406"/>
      <c r="O406"/>
      <c r="P406"/>
      <c r="Q406"/>
      <c r="R406"/>
      <c r="S406"/>
      <c r="T406"/>
    </row>
    <row r="407" spans="1:20" x14ac:dyDescent="0.25">
      <c r="A407" s="51"/>
      <c r="B407"/>
      <c r="C407"/>
      <c r="D407" s="51"/>
      <c r="E407" s="51"/>
      <c r="F407" s="51"/>
      <c r="G407" s="51"/>
      <c r="H407"/>
      <c r="I407"/>
      <c r="J407"/>
      <c r="K407"/>
      <c r="L407"/>
      <c r="M407"/>
      <c r="N407"/>
      <c r="O407"/>
      <c r="P407"/>
      <c r="Q407"/>
      <c r="R407"/>
      <c r="S407"/>
      <c r="T407"/>
    </row>
    <row r="408" spans="1:20" x14ac:dyDescent="0.25">
      <c r="A408" s="51"/>
      <c r="B408"/>
      <c r="C408"/>
      <c r="D408" s="51"/>
      <c r="E408" s="51"/>
      <c r="F408" s="51"/>
      <c r="G408" s="51"/>
      <c r="H408"/>
      <c r="I408"/>
      <c r="J408"/>
      <c r="K408"/>
      <c r="L408"/>
      <c r="M408"/>
      <c r="N408"/>
      <c r="O408"/>
      <c r="P408"/>
      <c r="Q408"/>
      <c r="R408"/>
      <c r="S408"/>
      <c r="T408"/>
    </row>
    <row r="409" spans="1:20" x14ac:dyDescent="0.25">
      <c r="A409" s="51"/>
      <c r="B409"/>
      <c r="C409"/>
      <c r="D409" s="51"/>
      <c r="E409" s="51"/>
      <c r="F409" s="51"/>
      <c r="G409" s="51"/>
      <c r="H409"/>
      <c r="I409"/>
      <c r="J409"/>
      <c r="K409"/>
      <c r="L409"/>
      <c r="M409"/>
      <c r="N409"/>
      <c r="O409"/>
      <c r="P409"/>
      <c r="Q409"/>
      <c r="R409"/>
      <c r="S409"/>
      <c r="T409"/>
    </row>
    <row r="410" spans="1:20" x14ac:dyDescent="0.25">
      <c r="A410" s="51"/>
      <c r="B410"/>
      <c r="C410"/>
      <c r="D410" s="51"/>
      <c r="E410" s="51"/>
      <c r="F410" s="51"/>
      <c r="G410" s="51"/>
      <c r="H410"/>
      <c r="I410"/>
      <c r="J410"/>
      <c r="K410"/>
      <c r="L410"/>
      <c r="M410"/>
      <c r="N410"/>
      <c r="O410"/>
      <c r="P410"/>
      <c r="Q410"/>
      <c r="R410"/>
      <c r="S410"/>
      <c r="T410"/>
    </row>
    <row r="411" spans="1:20" x14ac:dyDescent="0.25">
      <c r="A411" s="51"/>
      <c r="B411"/>
      <c r="C411"/>
      <c r="D411" s="51"/>
      <c r="E411" s="51"/>
      <c r="F411" s="51"/>
      <c r="G411" s="51"/>
      <c r="H411"/>
      <c r="I411"/>
      <c r="J411"/>
      <c r="K411"/>
      <c r="L411"/>
      <c r="M411"/>
      <c r="N411"/>
      <c r="O411"/>
      <c r="P411"/>
      <c r="Q411"/>
      <c r="R411"/>
      <c r="S411"/>
      <c r="T411"/>
    </row>
    <row r="412" spans="1:20" x14ac:dyDescent="0.25">
      <c r="A412" s="51"/>
      <c r="B412"/>
      <c r="C412"/>
      <c r="D412" s="51"/>
      <c r="E412" s="51"/>
      <c r="F412" s="51"/>
      <c r="G412" s="51"/>
      <c r="H412"/>
      <c r="I412"/>
      <c r="J412"/>
      <c r="K412"/>
      <c r="L412"/>
      <c r="M412"/>
      <c r="N412"/>
      <c r="O412"/>
      <c r="P412"/>
      <c r="Q412"/>
      <c r="R412"/>
      <c r="S412"/>
      <c r="T412"/>
    </row>
    <row r="413" spans="1:20" x14ac:dyDescent="0.25">
      <c r="A413" s="51"/>
      <c r="B413"/>
      <c r="C413"/>
      <c r="D413" s="51"/>
      <c r="E413" s="51"/>
      <c r="F413" s="51"/>
      <c r="G413" s="51"/>
      <c r="H413"/>
      <c r="I413"/>
      <c r="J413"/>
      <c r="K413"/>
      <c r="L413"/>
      <c r="M413"/>
      <c r="N413"/>
      <c r="O413"/>
      <c r="P413"/>
      <c r="Q413"/>
      <c r="R413"/>
      <c r="S413"/>
      <c r="T413"/>
    </row>
    <row r="414" spans="1:20" x14ac:dyDescent="0.25">
      <c r="A414" s="51"/>
      <c r="B414"/>
      <c r="C414"/>
      <c r="D414" s="51"/>
      <c r="E414" s="51"/>
      <c r="F414" s="51"/>
      <c r="G414" s="51"/>
      <c r="H414"/>
      <c r="I414"/>
      <c r="J414"/>
      <c r="K414"/>
      <c r="L414"/>
      <c r="M414"/>
      <c r="N414"/>
      <c r="O414"/>
      <c r="P414"/>
      <c r="Q414"/>
      <c r="R414"/>
      <c r="S414"/>
      <c r="T414"/>
    </row>
    <row r="415" spans="1:20" x14ac:dyDescent="0.25">
      <c r="A415" s="51"/>
      <c r="B415"/>
      <c r="C415"/>
      <c r="D415" s="51"/>
      <c r="E415" s="51"/>
      <c r="F415" s="51"/>
      <c r="G415" s="51"/>
      <c r="H415"/>
      <c r="I415"/>
      <c r="J415"/>
      <c r="K415"/>
      <c r="L415"/>
      <c r="M415"/>
      <c r="N415"/>
      <c r="O415"/>
      <c r="P415"/>
      <c r="Q415"/>
      <c r="R415"/>
      <c r="S415"/>
      <c r="T415"/>
    </row>
    <row r="416" spans="1:20" x14ac:dyDescent="0.25">
      <c r="A416" s="51"/>
      <c r="B416"/>
      <c r="C416"/>
      <c r="D416" s="51"/>
      <c r="E416" s="51"/>
      <c r="F416" s="51"/>
      <c r="G416" s="51"/>
      <c r="H416"/>
      <c r="I416"/>
      <c r="J416"/>
      <c r="K416"/>
      <c r="L416"/>
      <c r="M416"/>
      <c r="N416"/>
      <c r="O416"/>
      <c r="P416"/>
      <c r="Q416"/>
      <c r="R416"/>
      <c r="S416"/>
      <c r="T416"/>
    </row>
    <row r="417" spans="1:20" x14ac:dyDescent="0.25">
      <c r="A417" s="51"/>
      <c r="B417"/>
      <c r="C417"/>
      <c r="D417" s="51"/>
      <c r="E417" s="51"/>
      <c r="F417" s="51"/>
      <c r="G417" s="51"/>
      <c r="H417"/>
      <c r="I417"/>
      <c r="J417"/>
      <c r="K417"/>
      <c r="L417"/>
      <c r="M417"/>
      <c r="N417"/>
      <c r="O417"/>
      <c r="P417"/>
      <c r="Q417"/>
      <c r="R417"/>
      <c r="S417"/>
      <c r="T417"/>
    </row>
    <row r="418" spans="1:20" x14ac:dyDescent="0.25">
      <c r="A418" s="51"/>
      <c r="B418"/>
      <c r="C418"/>
      <c r="D418" s="51"/>
      <c r="E418" s="51"/>
      <c r="F418" s="51"/>
      <c r="G418" s="51"/>
      <c r="H418"/>
      <c r="I418"/>
      <c r="J418"/>
      <c r="K418"/>
      <c r="L418"/>
      <c r="M418"/>
      <c r="N418"/>
      <c r="O418"/>
      <c r="P418"/>
      <c r="Q418"/>
      <c r="R418"/>
      <c r="S418"/>
      <c r="T418"/>
    </row>
    <row r="419" spans="1:20" x14ac:dyDescent="0.25">
      <c r="A419" s="51"/>
      <c r="B419"/>
      <c r="C419"/>
      <c r="D419" s="51"/>
      <c r="E419" s="51"/>
      <c r="F419" s="51"/>
      <c r="G419" s="51"/>
      <c r="H419"/>
      <c r="I419"/>
      <c r="J419"/>
      <c r="K419"/>
      <c r="L419"/>
      <c r="M419"/>
      <c r="N419"/>
      <c r="O419"/>
      <c r="P419"/>
      <c r="Q419"/>
      <c r="R419"/>
      <c r="S419"/>
      <c r="T419"/>
    </row>
    <row r="420" spans="1:20" x14ac:dyDescent="0.25">
      <c r="A420" s="51"/>
      <c r="B420"/>
      <c r="C420"/>
      <c r="D420" s="51"/>
      <c r="E420" s="51"/>
      <c r="F420" s="51"/>
      <c r="G420" s="51"/>
      <c r="H420"/>
      <c r="I420"/>
      <c r="J420"/>
      <c r="K420"/>
      <c r="L420"/>
      <c r="M420"/>
      <c r="N420"/>
      <c r="O420"/>
      <c r="P420"/>
      <c r="Q420"/>
      <c r="R420"/>
      <c r="S420"/>
      <c r="T420"/>
    </row>
    <row r="421" spans="1:20" x14ac:dyDescent="0.25">
      <c r="A421" s="51"/>
      <c r="B421"/>
      <c r="C421"/>
      <c r="D421" s="51"/>
      <c r="E421" s="51"/>
      <c r="F421" s="51"/>
      <c r="G421" s="51"/>
      <c r="H421"/>
      <c r="I421"/>
      <c r="J421"/>
      <c r="K421"/>
      <c r="L421"/>
      <c r="M421"/>
      <c r="N421"/>
      <c r="O421"/>
      <c r="P421"/>
      <c r="Q421"/>
      <c r="R421"/>
      <c r="S421"/>
      <c r="T421"/>
    </row>
    <row r="422" spans="1:20" x14ac:dyDescent="0.25">
      <c r="A422" s="51"/>
      <c r="B422"/>
      <c r="C422"/>
      <c r="D422" s="51"/>
      <c r="E422" s="51"/>
      <c r="F422" s="51"/>
      <c r="G422" s="51"/>
      <c r="H422"/>
      <c r="I422"/>
      <c r="J422"/>
      <c r="K422"/>
      <c r="L422"/>
      <c r="M422"/>
      <c r="N422"/>
      <c r="O422"/>
      <c r="P422"/>
      <c r="Q422"/>
      <c r="R422"/>
      <c r="S422"/>
      <c r="T422"/>
    </row>
    <row r="423" spans="1:20" x14ac:dyDescent="0.25">
      <c r="A423" s="51"/>
      <c r="B423"/>
      <c r="C423"/>
      <c r="D423" s="51"/>
      <c r="E423" s="51"/>
      <c r="F423" s="51"/>
      <c r="G423" s="51"/>
      <c r="H423"/>
      <c r="I423"/>
      <c r="J423"/>
      <c r="K423"/>
      <c r="L423"/>
      <c r="M423"/>
      <c r="N423"/>
      <c r="O423"/>
      <c r="P423"/>
      <c r="Q423"/>
      <c r="R423"/>
      <c r="S423"/>
      <c r="T423"/>
    </row>
    <row r="424" spans="1:20" x14ac:dyDescent="0.25">
      <c r="A424" s="51"/>
      <c r="B424"/>
      <c r="C424"/>
      <c r="D424" s="51"/>
      <c r="E424" s="51"/>
      <c r="F424" s="51"/>
      <c r="G424" s="51"/>
      <c r="H424"/>
      <c r="I424"/>
      <c r="J424"/>
      <c r="K424"/>
      <c r="L424"/>
      <c r="M424"/>
      <c r="N424"/>
      <c r="O424"/>
      <c r="P424"/>
      <c r="Q424"/>
      <c r="R424"/>
      <c r="S424"/>
      <c r="T424"/>
    </row>
    <row r="425" spans="1:20" x14ac:dyDescent="0.25">
      <c r="A425" s="51"/>
      <c r="B425"/>
      <c r="C425"/>
      <c r="D425" s="51"/>
      <c r="E425" s="51"/>
      <c r="F425" s="51"/>
      <c r="G425" s="51"/>
      <c r="H425"/>
      <c r="I425"/>
      <c r="J425"/>
      <c r="K425"/>
      <c r="L425"/>
      <c r="M425"/>
      <c r="N425"/>
      <c r="O425"/>
      <c r="P425"/>
      <c r="Q425"/>
      <c r="R425"/>
      <c r="S425"/>
      <c r="T425"/>
    </row>
    <row r="426" spans="1:20" x14ac:dyDescent="0.25">
      <c r="A426" s="51"/>
      <c r="B426"/>
      <c r="C426"/>
      <c r="D426" s="51"/>
      <c r="E426" s="51"/>
      <c r="F426" s="51"/>
      <c r="G426" s="51"/>
      <c r="H426"/>
      <c r="I426"/>
      <c r="J426"/>
      <c r="K426"/>
      <c r="L426"/>
      <c r="M426"/>
      <c r="N426"/>
      <c r="O426"/>
      <c r="P426"/>
      <c r="Q426"/>
      <c r="R426"/>
      <c r="S426"/>
      <c r="T426"/>
    </row>
    <row r="427" spans="1:20" x14ac:dyDescent="0.25">
      <c r="A427" s="51"/>
      <c r="B427"/>
      <c r="C427"/>
      <c r="D427" s="51"/>
      <c r="E427" s="51"/>
      <c r="F427" s="51"/>
      <c r="G427" s="51"/>
      <c r="H427"/>
      <c r="I427"/>
      <c r="J427"/>
      <c r="K427"/>
      <c r="L427"/>
      <c r="M427"/>
      <c r="N427"/>
      <c r="O427"/>
      <c r="P427"/>
      <c r="Q427"/>
      <c r="R427"/>
      <c r="S427"/>
      <c r="T427"/>
    </row>
    <row r="428" spans="1:20" x14ac:dyDescent="0.25">
      <c r="A428" s="51"/>
      <c r="B428"/>
      <c r="C428"/>
      <c r="D428" s="51"/>
      <c r="E428" s="51"/>
      <c r="F428" s="51"/>
      <c r="G428" s="51"/>
      <c r="H428"/>
      <c r="I428"/>
      <c r="J428"/>
      <c r="K428"/>
      <c r="L428"/>
      <c r="M428"/>
      <c r="N428"/>
      <c r="O428"/>
      <c r="P428"/>
      <c r="Q428"/>
      <c r="R428"/>
      <c r="S428"/>
      <c r="T428"/>
    </row>
    <row r="429" spans="1:20" x14ac:dyDescent="0.25">
      <c r="A429" s="51"/>
      <c r="B429"/>
      <c r="C429"/>
      <c r="D429" s="51"/>
      <c r="E429" s="51"/>
      <c r="F429" s="51"/>
      <c r="G429" s="51"/>
      <c r="H429"/>
      <c r="I429"/>
      <c r="J429"/>
      <c r="K429"/>
      <c r="L429"/>
      <c r="M429"/>
      <c r="N429"/>
      <c r="O429"/>
      <c r="P429"/>
      <c r="Q429"/>
      <c r="R429"/>
      <c r="S429"/>
      <c r="T429"/>
    </row>
    <row r="430" spans="1:20" x14ac:dyDescent="0.25">
      <c r="A430" s="51"/>
      <c r="B430"/>
      <c r="C430"/>
      <c r="D430" s="51"/>
      <c r="E430" s="51"/>
      <c r="F430" s="51"/>
      <c r="G430" s="51"/>
      <c r="H430"/>
      <c r="I430"/>
      <c r="J430"/>
      <c r="K430"/>
      <c r="L430"/>
      <c r="M430"/>
      <c r="N430"/>
      <c r="O430"/>
      <c r="P430"/>
      <c r="Q430"/>
      <c r="R430"/>
      <c r="S430"/>
      <c r="T430"/>
    </row>
    <row r="431" spans="1:20" x14ac:dyDescent="0.25">
      <c r="A431" s="51"/>
      <c r="B431"/>
      <c r="C431"/>
      <c r="D431" s="51"/>
      <c r="E431" s="51"/>
      <c r="F431" s="51"/>
      <c r="G431" s="51"/>
      <c r="H431"/>
      <c r="I431"/>
      <c r="J431"/>
      <c r="K431"/>
      <c r="L431"/>
      <c r="M431"/>
      <c r="N431"/>
      <c r="O431"/>
      <c r="P431"/>
      <c r="Q431"/>
      <c r="R431"/>
      <c r="S431"/>
      <c r="T431"/>
    </row>
    <row r="432" spans="1:20" x14ac:dyDescent="0.25">
      <c r="A432" s="51"/>
      <c r="B432"/>
      <c r="C432"/>
      <c r="D432" s="51"/>
      <c r="E432" s="51"/>
      <c r="F432" s="51"/>
      <c r="G432" s="51"/>
      <c r="H432"/>
      <c r="I432"/>
      <c r="J432"/>
      <c r="K432"/>
      <c r="L432"/>
      <c r="M432"/>
      <c r="N432"/>
      <c r="O432"/>
      <c r="P432"/>
      <c r="Q432"/>
      <c r="R432"/>
      <c r="S432"/>
      <c r="T432"/>
    </row>
    <row r="433" spans="1:20" x14ac:dyDescent="0.25">
      <c r="A433" s="51"/>
      <c r="B433"/>
      <c r="C433"/>
      <c r="D433" s="51"/>
      <c r="E433" s="51"/>
      <c r="F433" s="51"/>
      <c r="G433" s="51"/>
      <c r="H433"/>
      <c r="I433"/>
      <c r="J433"/>
      <c r="K433"/>
      <c r="L433"/>
      <c r="M433"/>
      <c r="N433"/>
      <c r="O433"/>
      <c r="P433"/>
      <c r="Q433"/>
      <c r="R433"/>
      <c r="S433"/>
      <c r="T433"/>
    </row>
    <row r="434" spans="1:20" x14ac:dyDescent="0.25">
      <c r="A434" s="51"/>
      <c r="B434"/>
      <c r="C434"/>
      <c r="D434" s="51"/>
      <c r="E434" s="51"/>
      <c r="F434" s="51"/>
      <c r="G434" s="51"/>
      <c r="H434"/>
      <c r="I434"/>
      <c r="J434"/>
      <c r="K434"/>
      <c r="L434"/>
      <c r="M434"/>
      <c r="N434"/>
      <c r="O434"/>
      <c r="P434"/>
      <c r="Q434"/>
      <c r="R434"/>
      <c r="S434"/>
      <c r="T434"/>
    </row>
    <row r="435" spans="1:20" x14ac:dyDescent="0.25">
      <c r="A435" s="51"/>
      <c r="B435"/>
      <c r="C435"/>
      <c r="D435" s="51"/>
      <c r="E435" s="51"/>
      <c r="F435" s="51"/>
      <c r="G435" s="51"/>
      <c r="H435"/>
      <c r="I435"/>
      <c r="J435"/>
      <c r="K435"/>
      <c r="L435"/>
      <c r="M435"/>
      <c r="N435"/>
      <c r="O435"/>
      <c r="P435"/>
      <c r="Q435"/>
      <c r="R435"/>
      <c r="S435"/>
      <c r="T435"/>
    </row>
    <row r="436" spans="1:20" x14ac:dyDescent="0.25">
      <c r="A436" s="51"/>
      <c r="B436"/>
      <c r="C436"/>
      <c r="D436" s="51"/>
      <c r="E436" s="51"/>
      <c r="F436" s="51"/>
      <c r="G436" s="51"/>
      <c r="H436"/>
      <c r="I436"/>
      <c r="J436"/>
      <c r="K436"/>
      <c r="L436"/>
      <c r="M436"/>
      <c r="N436"/>
      <c r="O436"/>
      <c r="P436"/>
      <c r="Q436"/>
      <c r="R436"/>
      <c r="S436"/>
      <c r="T436"/>
    </row>
    <row r="437" spans="1:20" x14ac:dyDescent="0.25">
      <c r="A437" s="51"/>
      <c r="B437"/>
      <c r="C437"/>
      <c r="D437" s="51"/>
      <c r="E437" s="51"/>
      <c r="F437" s="51"/>
      <c r="G437" s="51"/>
      <c r="H437"/>
      <c r="I437"/>
      <c r="J437"/>
      <c r="K437"/>
      <c r="L437"/>
      <c r="M437"/>
      <c r="N437"/>
      <c r="O437"/>
      <c r="P437"/>
      <c r="Q437"/>
      <c r="R437"/>
      <c r="S437"/>
      <c r="T437"/>
    </row>
    <row r="438" spans="1:20" x14ac:dyDescent="0.25">
      <c r="A438" s="51"/>
      <c r="B438"/>
      <c r="C438"/>
      <c r="D438" s="51"/>
      <c r="E438" s="51"/>
      <c r="F438" s="51"/>
      <c r="G438" s="51"/>
      <c r="H438"/>
      <c r="I438"/>
      <c r="J438"/>
      <c r="K438"/>
      <c r="L438"/>
      <c r="M438"/>
      <c r="N438"/>
      <c r="O438"/>
      <c r="P438"/>
      <c r="Q438"/>
      <c r="R438"/>
      <c r="S438"/>
      <c r="T438"/>
    </row>
    <row r="439" spans="1:20" x14ac:dyDescent="0.25">
      <c r="A439" s="51"/>
      <c r="B439"/>
      <c r="C439"/>
      <c r="D439" s="51"/>
      <c r="E439" s="51"/>
      <c r="F439" s="51"/>
      <c r="G439" s="51"/>
      <c r="H439"/>
      <c r="I439"/>
      <c r="J439"/>
      <c r="K439"/>
      <c r="L439"/>
      <c r="M439"/>
      <c r="N439"/>
      <c r="O439"/>
      <c r="P439"/>
      <c r="Q439"/>
      <c r="R439"/>
      <c r="S439"/>
      <c r="T439"/>
    </row>
    <row r="440" spans="1:20" x14ac:dyDescent="0.25">
      <c r="A440" s="51"/>
      <c r="B440"/>
      <c r="C440"/>
      <c r="D440" s="51"/>
      <c r="E440" s="51"/>
      <c r="F440" s="51"/>
      <c r="G440" s="51"/>
      <c r="H440"/>
      <c r="I440"/>
      <c r="J440"/>
      <c r="K440"/>
      <c r="L440"/>
      <c r="M440"/>
      <c r="N440"/>
      <c r="O440"/>
      <c r="P440"/>
      <c r="Q440"/>
      <c r="R440"/>
      <c r="S440"/>
      <c r="T440"/>
    </row>
    <row r="441" spans="1:20" x14ac:dyDescent="0.25">
      <c r="A441" s="51"/>
      <c r="B441"/>
      <c r="C441"/>
      <c r="D441" s="51"/>
      <c r="E441" s="51"/>
      <c r="F441" s="51"/>
      <c r="G441" s="51"/>
      <c r="H441"/>
      <c r="I441"/>
      <c r="J441"/>
      <c r="K441"/>
      <c r="L441"/>
      <c r="M441"/>
      <c r="N441"/>
      <c r="O441"/>
      <c r="P441"/>
      <c r="Q441"/>
      <c r="R441"/>
      <c r="S441"/>
      <c r="T441"/>
    </row>
    <row r="442" spans="1:20" x14ac:dyDescent="0.25">
      <c r="A442" s="51"/>
      <c r="B442"/>
      <c r="C442"/>
      <c r="D442" s="51"/>
      <c r="E442" s="51"/>
      <c r="F442" s="51"/>
      <c r="G442" s="51"/>
      <c r="H442"/>
      <c r="I442"/>
      <c r="J442"/>
      <c r="K442"/>
      <c r="L442"/>
      <c r="M442"/>
      <c r="N442"/>
      <c r="O442"/>
      <c r="P442"/>
      <c r="Q442"/>
      <c r="R442"/>
      <c r="S442"/>
      <c r="T442"/>
    </row>
    <row r="443" spans="1:20" x14ac:dyDescent="0.25">
      <c r="A443" s="51"/>
      <c r="B443"/>
      <c r="C443"/>
      <c r="D443" s="51"/>
      <c r="E443" s="51"/>
      <c r="F443" s="51"/>
      <c r="G443" s="51"/>
      <c r="H443"/>
      <c r="I443"/>
      <c r="J443"/>
      <c r="K443"/>
      <c r="L443"/>
      <c r="M443"/>
      <c r="N443"/>
      <c r="O443"/>
      <c r="P443"/>
      <c r="Q443"/>
      <c r="R443"/>
      <c r="S443"/>
      <c r="T443"/>
    </row>
    <row r="444" spans="1:20" x14ac:dyDescent="0.25">
      <c r="A444" s="51"/>
      <c r="B444"/>
      <c r="C444"/>
      <c r="D444" s="51"/>
      <c r="E444" s="51"/>
      <c r="F444" s="51"/>
      <c r="G444" s="51"/>
      <c r="H444"/>
      <c r="I444"/>
      <c r="J444"/>
      <c r="K444"/>
      <c r="L444"/>
      <c r="M444"/>
      <c r="N444"/>
      <c r="O444"/>
      <c r="P444"/>
      <c r="Q444"/>
      <c r="R444"/>
      <c r="S444"/>
      <c r="T444"/>
    </row>
    <row r="445" spans="1:20" x14ac:dyDescent="0.25">
      <c r="A445" s="51"/>
      <c r="B445"/>
      <c r="C445"/>
      <c r="D445" s="51"/>
      <c r="E445" s="51"/>
      <c r="F445" s="51"/>
      <c r="G445" s="51"/>
      <c r="H445"/>
      <c r="I445"/>
      <c r="J445"/>
      <c r="K445"/>
      <c r="L445"/>
      <c r="M445"/>
      <c r="N445"/>
      <c r="O445"/>
      <c r="P445"/>
      <c r="Q445"/>
      <c r="R445"/>
      <c r="S445"/>
      <c r="T445"/>
    </row>
    <row r="446" spans="1:20" x14ac:dyDescent="0.25">
      <c r="A446" s="51"/>
      <c r="B446"/>
      <c r="C446"/>
      <c r="D446" s="51"/>
      <c r="E446" s="51"/>
      <c r="F446" s="51"/>
      <c r="G446" s="51"/>
      <c r="H446"/>
      <c r="I446"/>
      <c r="J446"/>
      <c r="K446"/>
      <c r="L446"/>
      <c r="M446"/>
      <c r="N446"/>
      <c r="O446"/>
      <c r="P446"/>
      <c r="Q446"/>
      <c r="R446"/>
      <c r="S446"/>
      <c r="T446"/>
    </row>
    <row r="447" spans="1:20" x14ac:dyDescent="0.25">
      <c r="A447" s="51"/>
      <c r="B447"/>
      <c r="C447"/>
      <c r="D447" s="51"/>
      <c r="E447" s="51"/>
      <c r="F447" s="51"/>
      <c r="G447" s="51"/>
      <c r="H447"/>
      <c r="I447"/>
      <c r="J447"/>
      <c r="K447"/>
      <c r="L447"/>
      <c r="M447"/>
      <c r="N447"/>
      <c r="O447"/>
      <c r="P447"/>
      <c r="Q447"/>
      <c r="R447"/>
      <c r="S447"/>
      <c r="T447"/>
    </row>
    <row r="448" spans="1:20" x14ac:dyDescent="0.25">
      <c r="A448" s="51"/>
      <c r="B448"/>
      <c r="C448"/>
      <c r="D448" s="51"/>
      <c r="E448" s="51"/>
      <c r="F448" s="51"/>
      <c r="G448" s="51"/>
      <c r="H448"/>
      <c r="I448"/>
      <c r="J448"/>
      <c r="K448"/>
      <c r="L448"/>
      <c r="M448"/>
      <c r="N448"/>
      <c r="O448"/>
      <c r="P448"/>
      <c r="Q448"/>
      <c r="R448"/>
      <c r="S448"/>
      <c r="T448"/>
    </row>
    <row r="449" spans="1:20" x14ac:dyDescent="0.25">
      <c r="A449" s="51"/>
      <c r="B449"/>
      <c r="C449"/>
      <c r="D449" s="51"/>
      <c r="E449" s="51"/>
      <c r="F449" s="51"/>
      <c r="G449" s="51"/>
      <c r="H449"/>
      <c r="I449"/>
      <c r="J449"/>
      <c r="K449"/>
      <c r="L449"/>
      <c r="M449"/>
      <c r="N449"/>
      <c r="O449"/>
      <c r="P449"/>
      <c r="Q449"/>
      <c r="R449"/>
      <c r="S449"/>
      <c r="T449"/>
    </row>
    <row r="450" spans="1:20" x14ac:dyDescent="0.25">
      <c r="A450" s="51"/>
      <c r="B450"/>
      <c r="C450"/>
      <c r="D450" s="51"/>
      <c r="E450" s="51"/>
      <c r="F450" s="51"/>
      <c r="G450" s="51"/>
      <c r="H450"/>
      <c r="I450"/>
      <c r="J450"/>
      <c r="K450"/>
      <c r="L450"/>
      <c r="M450"/>
      <c r="N450"/>
      <c r="O450"/>
      <c r="P450"/>
      <c r="Q450"/>
      <c r="R450"/>
      <c r="S450"/>
      <c r="T450"/>
    </row>
    <row r="451" spans="1:20" x14ac:dyDescent="0.25">
      <c r="A451" s="51"/>
      <c r="B451"/>
      <c r="C451"/>
      <c r="D451" s="51"/>
      <c r="E451" s="51"/>
      <c r="F451" s="51"/>
      <c r="G451" s="51"/>
      <c r="H451"/>
      <c r="I451"/>
      <c r="J451"/>
      <c r="K451"/>
      <c r="L451"/>
      <c r="M451"/>
      <c r="N451"/>
      <c r="O451"/>
      <c r="P451"/>
      <c r="Q451"/>
      <c r="R451"/>
      <c r="S451"/>
      <c r="T451"/>
    </row>
    <row r="452" spans="1:20" x14ac:dyDescent="0.25">
      <c r="A452" s="51"/>
      <c r="B452"/>
      <c r="C452"/>
      <c r="D452" s="51"/>
      <c r="E452" s="51"/>
      <c r="F452" s="51"/>
      <c r="G452" s="51"/>
      <c r="H452"/>
      <c r="I452"/>
      <c r="J452"/>
      <c r="K452"/>
      <c r="L452"/>
      <c r="M452"/>
      <c r="N452"/>
      <c r="O452"/>
      <c r="P452"/>
      <c r="Q452"/>
      <c r="R452"/>
      <c r="S452"/>
      <c r="T452"/>
    </row>
    <row r="453" spans="1:20" x14ac:dyDescent="0.25">
      <c r="A453" s="51"/>
      <c r="B453"/>
      <c r="C453"/>
      <c r="D453" s="51"/>
      <c r="E453" s="51"/>
      <c r="F453" s="51"/>
      <c r="G453" s="51"/>
      <c r="H453"/>
      <c r="I453"/>
      <c r="J453"/>
      <c r="K453"/>
      <c r="L453"/>
      <c r="M453"/>
      <c r="N453"/>
      <c r="O453"/>
      <c r="P453"/>
      <c r="Q453"/>
      <c r="R453"/>
      <c r="S453"/>
      <c r="T453"/>
    </row>
    <row r="454" spans="1:20" x14ac:dyDescent="0.25">
      <c r="A454" s="51"/>
      <c r="B454"/>
      <c r="C454"/>
      <c r="D454" s="51"/>
      <c r="E454" s="51"/>
      <c r="F454" s="51"/>
      <c r="G454" s="51"/>
      <c r="H454"/>
      <c r="I454"/>
      <c r="J454"/>
      <c r="K454"/>
      <c r="L454"/>
      <c r="M454"/>
      <c r="N454"/>
      <c r="O454"/>
      <c r="P454"/>
      <c r="Q454"/>
      <c r="R454"/>
      <c r="S454"/>
      <c r="T454"/>
    </row>
    <row r="455" spans="1:20" x14ac:dyDescent="0.25">
      <c r="A455" s="51"/>
      <c r="B455"/>
      <c r="C455"/>
      <c r="D455" s="51"/>
      <c r="E455" s="51"/>
      <c r="F455" s="51"/>
      <c r="G455" s="51"/>
      <c r="H455"/>
      <c r="I455"/>
      <c r="J455"/>
      <c r="K455"/>
      <c r="L455"/>
      <c r="M455"/>
      <c r="N455"/>
      <c r="O455"/>
      <c r="P455"/>
      <c r="Q455"/>
      <c r="R455"/>
      <c r="S455"/>
      <c r="T455"/>
    </row>
    <row r="456" spans="1:20" x14ac:dyDescent="0.25">
      <c r="A456" s="51"/>
      <c r="B456"/>
      <c r="C456"/>
      <c r="D456" s="51"/>
      <c r="E456" s="51"/>
      <c r="F456" s="51"/>
      <c r="G456" s="51"/>
      <c r="H456"/>
      <c r="I456"/>
      <c r="J456"/>
      <c r="K456"/>
      <c r="L456"/>
      <c r="M456"/>
      <c r="N456"/>
      <c r="O456"/>
      <c r="P456"/>
      <c r="Q456"/>
      <c r="R456"/>
      <c r="S456"/>
      <c r="T456"/>
    </row>
    <row r="457" spans="1:20" x14ac:dyDescent="0.25">
      <c r="A457" s="51"/>
      <c r="B457"/>
      <c r="C457"/>
      <c r="D457" s="51"/>
      <c r="E457" s="51"/>
      <c r="F457" s="51"/>
      <c r="G457" s="51"/>
      <c r="H457"/>
      <c r="I457"/>
      <c r="J457"/>
      <c r="K457"/>
      <c r="L457"/>
      <c r="M457"/>
      <c r="N457"/>
      <c r="O457"/>
      <c r="P457"/>
      <c r="Q457"/>
      <c r="R457"/>
      <c r="S457"/>
      <c r="T457"/>
    </row>
    <row r="458" spans="1:20" x14ac:dyDescent="0.25">
      <c r="A458" s="51"/>
      <c r="B458"/>
      <c r="C458"/>
      <c r="D458" s="51"/>
      <c r="E458" s="51"/>
      <c r="F458" s="51"/>
      <c r="G458" s="51"/>
      <c r="H458"/>
      <c r="I458"/>
      <c r="J458"/>
      <c r="K458"/>
      <c r="L458"/>
      <c r="M458"/>
      <c r="N458"/>
      <c r="O458"/>
      <c r="P458"/>
      <c r="Q458"/>
      <c r="R458"/>
      <c r="S458"/>
      <c r="T458"/>
    </row>
    <row r="459" spans="1:20" x14ac:dyDescent="0.25">
      <c r="A459" s="51"/>
      <c r="B459"/>
      <c r="C459"/>
      <c r="D459" s="51"/>
      <c r="E459" s="51"/>
      <c r="F459" s="51"/>
      <c r="G459" s="51"/>
      <c r="H459"/>
      <c r="I459"/>
      <c r="J459"/>
      <c r="K459"/>
      <c r="L459"/>
      <c r="M459"/>
      <c r="N459"/>
      <c r="O459"/>
      <c r="P459"/>
      <c r="Q459"/>
      <c r="R459"/>
      <c r="S459"/>
      <c r="T459"/>
    </row>
    <row r="460" spans="1:20" x14ac:dyDescent="0.25">
      <c r="A460" s="51"/>
      <c r="B460"/>
      <c r="C460"/>
      <c r="D460" s="51"/>
      <c r="E460" s="51"/>
      <c r="F460" s="51"/>
      <c r="G460" s="51"/>
      <c r="H460"/>
      <c r="I460"/>
      <c r="J460"/>
      <c r="K460"/>
      <c r="L460"/>
      <c r="M460"/>
      <c r="N460"/>
      <c r="O460"/>
      <c r="P460"/>
      <c r="Q460"/>
      <c r="R460"/>
      <c r="S460"/>
      <c r="T460"/>
    </row>
    <row r="461" spans="1:20" x14ac:dyDescent="0.25">
      <c r="A461" s="51"/>
      <c r="B461"/>
      <c r="C461"/>
      <c r="D461" s="51"/>
      <c r="E461" s="51"/>
      <c r="F461" s="51"/>
      <c r="G461" s="51"/>
      <c r="H461"/>
      <c r="I461"/>
      <c r="J461"/>
      <c r="K461"/>
      <c r="L461"/>
      <c r="M461"/>
      <c r="N461"/>
      <c r="O461"/>
      <c r="P461"/>
      <c r="Q461"/>
      <c r="R461"/>
      <c r="S461"/>
      <c r="T461"/>
    </row>
    <row r="462" spans="1:20" x14ac:dyDescent="0.25">
      <c r="A462" s="51"/>
      <c r="B462"/>
      <c r="C462"/>
      <c r="D462" s="51"/>
      <c r="E462" s="51"/>
      <c r="F462" s="51"/>
      <c r="G462" s="51"/>
      <c r="H462"/>
      <c r="I462"/>
      <c r="J462"/>
      <c r="K462"/>
      <c r="L462"/>
      <c r="M462"/>
      <c r="N462"/>
      <c r="O462"/>
      <c r="P462"/>
      <c r="Q462"/>
      <c r="R462"/>
      <c r="S462"/>
      <c r="T462"/>
    </row>
    <row r="463" spans="1:20" x14ac:dyDescent="0.25">
      <c r="A463" s="51"/>
      <c r="B463"/>
      <c r="C463"/>
      <c r="D463" s="51"/>
      <c r="E463" s="51"/>
      <c r="F463" s="51"/>
      <c r="G463" s="51"/>
      <c r="H463"/>
      <c r="I463"/>
      <c r="J463"/>
      <c r="K463"/>
      <c r="L463"/>
      <c r="M463"/>
      <c r="N463"/>
      <c r="O463"/>
      <c r="P463"/>
      <c r="Q463"/>
      <c r="R463"/>
      <c r="S463"/>
      <c r="T463"/>
    </row>
    <row r="464" spans="1:20" x14ac:dyDescent="0.25">
      <c r="A464" s="51"/>
      <c r="B464"/>
      <c r="C464"/>
      <c r="D464" s="51"/>
      <c r="E464" s="51"/>
      <c r="F464" s="51"/>
      <c r="G464" s="51"/>
      <c r="H464"/>
      <c r="I464"/>
      <c r="J464"/>
      <c r="K464"/>
      <c r="L464"/>
      <c r="M464"/>
      <c r="N464"/>
      <c r="O464"/>
      <c r="P464"/>
      <c r="Q464"/>
      <c r="R464"/>
      <c r="S464"/>
      <c r="T464"/>
    </row>
    <row r="465" spans="1:20" x14ac:dyDescent="0.25">
      <c r="A465" s="51"/>
      <c r="B465"/>
      <c r="C465"/>
      <c r="D465" s="51"/>
      <c r="E465" s="51"/>
      <c r="F465" s="51"/>
      <c r="G465" s="51"/>
      <c r="H465"/>
      <c r="I465"/>
      <c r="J465"/>
      <c r="K465"/>
      <c r="L465"/>
      <c r="M465"/>
      <c r="N465"/>
      <c r="O465"/>
      <c r="P465"/>
      <c r="Q465"/>
      <c r="R465"/>
      <c r="S465"/>
      <c r="T465"/>
    </row>
    <row r="466" spans="1:20" x14ac:dyDescent="0.25">
      <c r="A466" s="51"/>
      <c r="B466"/>
      <c r="C466"/>
      <c r="D466" s="51"/>
      <c r="E466" s="51"/>
      <c r="F466" s="51"/>
      <c r="G466" s="51"/>
      <c r="H466"/>
      <c r="I466"/>
      <c r="J466"/>
      <c r="K466"/>
      <c r="L466"/>
      <c r="M466"/>
      <c r="N466"/>
      <c r="O466"/>
      <c r="P466"/>
      <c r="Q466"/>
      <c r="R466"/>
      <c r="S466"/>
      <c r="T466"/>
    </row>
    <row r="467" spans="1:20" x14ac:dyDescent="0.25">
      <c r="A467" s="51"/>
      <c r="B467"/>
      <c r="C467"/>
      <c r="D467" s="51"/>
      <c r="E467" s="51"/>
      <c r="F467" s="51"/>
      <c r="G467" s="51"/>
      <c r="H467"/>
      <c r="I467"/>
      <c r="J467"/>
      <c r="K467"/>
      <c r="L467"/>
      <c r="M467"/>
      <c r="N467"/>
      <c r="O467"/>
      <c r="P467"/>
      <c r="Q467"/>
      <c r="R467"/>
      <c r="S467"/>
      <c r="T467"/>
    </row>
    <row r="468" spans="1:20" x14ac:dyDescent="0.25">
      <c r="A468" s="51"/>
      <c r="B468"/>
      <c r="C468"/>
      <c r="D468" s="51"/>
      <c r="E468" s="51"/>
      <c r="F468" s="51"/>
      <c r="G468" s="51"/>
      <c r="H468"/>
      <c r="I468"/>
      <c r="J468"/>
      <c r="K468"/>
      <c r="L468"/>
      <c r="M468"/>
      <c r="N468"/>
      <c r="O468"/>
      <c r="P468"/>
      <c r="Q468"/>
      <c r="R468"/>
      <c r="S468"/>
      <c r="T468"/>
    </row>
    <row r="469" spans="1:20" x14ac:dyDescent="0.25">
      <c r="A469" s="51"/>
      <c r="B469"/>
      <c r="C469"/>
      <c r="D469" s="51"/>
      <c r="E469" s="51"/>
      <c r="F469" s="51"/>
      <c r="G469" s="51"/>
      <c r="H469"/>
      <c r="I469"/>
      <c r="J469"/>
      <c r="K469"/>
      <c r="L469"/>
      <c r="M469"/>
      <c r="N469"/>
      <c r="O469"/>
      <c r="P469"/>
      <c r="Q469"/>
      <c r="R469"/>
      <c r="S469"/>
      <c r="T469"/>
    </row>
    <row r="470" spans="1:20" x14ac:dyDescent="0.25">
      <c r="A470" s="51"/>
      <c r="B470"/>
      <c r="C470"/>
      <c r="D470" s="51"/>
      <c r="E470" s="51"/>
      <c r="F470" s="51"/>
      <c r="G470" s="51"/>
      <c r="H470"/>
      <c r="I470"/>
      <c r="J470"/>
      <c r="K470"/>
      <c r="L470"/>
      <c r="M470"/>
      <c r="N470"/>
      <c r="O470"/>
      <c r="P470"/>
      <c r="Q470"/>
      <c r="R470"/>
      <c r="S470"/>
      <c r="T470"/>
    </row>
    <row r="471" spans="1:20" x14ac:dyDescent="0.25">
      <c r="A471" s="51"/>
      <c r="B471"/>
      <c r="C471"/>
      <c r="D471" s="51"/>
      <c r="E471" s="51"/>
      <c r="F471" s="51"/>
      <c r="G471" s="51"/>
      <c r="H471"/>
      <c r="I471"/>
      <c r="J471"/>
      <c r="K471"/>
      <c r="L471"/>
      <c r="M471"/>
      <c r="N471"/>
      <c r="O471"/>
      <c r="P471"/>
      <c r="Q471"/>
      <c r="R471"/>
      <c r="S471"/>
      <c r="T471"/>
    </row>
    <row r="472" spans="1:20" x14ac:dyDescent="0.25">
      <c r="A472" s="51"/>
      <c r="B472"/>
      <c r="C472"/>
      <c r="D472" s="51"/>
      <c r="E472" s="51"/>
      <c r="F472" s="51"/>
      <c r="G472" s="51"/>
      <c r="H472"/>
      <c r="I472"/>
      <c r="J472"/>
      <c r="K472"/>
      <c r="L472"/>
      <c r="M472"/>
      <c r="N472"/>
      <c r="O472"/>
      <c r="P472"/>
      <c r="Q472"/>
      <c r="R472"/>
      <c r="S472"/>
      <c r="T472"/>
    </row>
    <row r="473" spans="1:20" x14ac:dyDescent="0.25">
      <c r="A473" s="51"/>
      <c r="B473"/>
      <c r="C473"/>
      <c r="D473" s="51"/>
      <c r="E473" s="51"/>
      <c r="F473" s="51"/>
      <c r="G473" s="51"/>
      <c r="H473"/>
      <c r="I473"/>
      <c r="J473"/>
      <c r="K473"/>
      <c r="L473"/>
      <c r="M473"/>
      <c r="N473"/>
      <c r="O473"/>
      <c r="P473"/>
      <c r="Q473"/>
      <c r="R473"/>
      <c r="S473"/>
      <c r="T473"/>
    </row>
    <row r="474" spans="1:20" x14ac:dyDescent="0.25">
      <c r="A474" s="51"/>
      <c r="B474"/>
      <c r="C474"/>
      <c r="D474" s="51"/>
      <c r="E474" s="51"/>
      <c r="F474" s="51"/>
      <c r="G474" s="51"/>
      <c r="H474"/>
      <c r="I474"/>
      <c r="J474"/>
      <c r="K474"/>
      <c r="L474"/>
      <c r="M474"/>
      <c r="N474"/>
      <c r="O474"/>
      <c r="P474"/>
      <c r="Q474"/>
      <c r="R474"/>
      <c r="S474"/>
      <c r="T474"/>
    </row>
    <row r="475" spans="1:20" x14ac:dyDescent="0.25">
      <c r="A475" s="51"/>
      <c r="B475"/>
      <c r="C475"/>
      <c r="D475" s="51"/>
      <c r="E475" s="51"/>
      <c r="F475" s="51"/>
      <c r="G475" s="51"/>
      <c r="H475"/>
      <c r="I475"/>
      <c r="J475"/>
      <c r="K475"/>
      <c r="L475"/>
      <c r="M475"/>
      <c r="N475"/>
      <c r="O475"/>
      <c r="P475"/>
      <c r="Q475"/>
      <c r="R475"/>
      <c r="S475"/>
      <c r="T475"/>
    </row>
    <row r="476" spans="1:20" x14ac:dyDescent="0.25">
      <c r="A476" s="51"/>
      <c r="B476"/>
      <c r="C476"/>
      <c r="D476" s="51"/>
      <c r="E476" s="51"/>
      <c r="F476" s="51"/>
      <c r="G476" s="51"/>
      <c r="H476"/>
      <c r="I476"/>
      <c r="J476"/>
      <c r="K476"/>
      <c r="L476"/>
      <c r="M476"/>
      <c r="N476"/>
      <c r="O476"/>
      <c r="P476"/>
      <c r="Q476"/>
      <c r="R476"/>
      <c r="S476"/>
      <c r="T476"/>
    </row>
    <row r="477" spans="1:20" x14ac:dyDescent="0.25">
      <c r="A477" s="51"/>
      <c r="B477"/>
      <c r="C477"/>
      <c r="D477" s="51"/>
      <c r="E477" s="51"/>
      <c r="F477" s="51"/>
      <c r="G477" s="51"/>
      <c r="H477"/>
      <c r="I477"/>
      <c r="J477"/>
      <c r="K477"/>
      <c r="L477"/>
      <c r="M477"/>
      <c r="N477"/>
      <c r="O477"/>
      <c r="P477"/>
      <c r="Q477"/>
      <c r="R477"/>
      <c r="S477"/>
      <c r="T477"/>
    </row>
    <row r="478" spans="1:20" x14ac:dyDescent="0.25">
      <c r="A478" s="51"/>
      <c r="B478"/>
      <c r="C478"/>
      <c r="D478" s="51"/>
      <c r="E478" s="51"/>
      <c r="F478" s="51"/>
      <c r="G478" s="51"/>
      <c r="H478"/>
      <c r="I478"/>
      <c r="J478"/>
      <c r="K478"/>
      <c r="L478"/>
      <c r="M478"/>
      <c r="N478"/>
      <c r="O478"/>
      <c r="P478"/>
      <c r="Q478"/>
      <c r="R478"/>
      <c r="S478"/>
      <c r="T478"/>
    </row>
    <row r="479" spans="1:20" x14ac:dyDescent="0.25">
      <c r="A479" s="51"/>
      <c r="B479"/>
      <c r="C479"/>
      <c r="D479" s="51"/>
      <c r="E479" s="51"/>
      <c r="F479" s="51"/>
      <c r="G479" s="51"/>
      <c r="H479"/>
      <c r="I479"/>
      <c r="J479"/>
      <c r="K479"/>
      <c r="L479"/>
      <c r="M479"/>
      <c r="N479"/>
      <c r="O479"/>
      <c r="P479"/>
      <c r="Q479"/>
      <c r="R479"/>
      <c r="S479"/>
      <c r="T479"/>
    </row>
    <row r="480" spans="1:20" x14ac:dyDescent="0.25">
      <c r="A480" s="51"/>
      <c r="B480"/>
      <c r="C480"/>
      <c r="D480" s="51"/>
      <c r="E480" s="51"/>
      <c r="F480" s="51"/>
      <c r="G480" s="51"/>
      <c r="H480"/>
      <c r="I480"/>
      <c r="J480"/>
      <c r="K480"/>
      <c r="L480"/>
      <c r="M480"/>
      <c r="N480"/>
      <c r="O480"/>
      <c r="P480"/>
      <c r="Q480"/>
      <c r="R480"/>
      <c r="S480"/>
      <c r="T480"/>
    </row>
    <row r="481" spans="1:20" x14ac:dyDescent="0.25">
      <c r="A481" s="51"/>
      <c r="B481"/>
      <c r="C481"/>
      <c r="D481" s="51"/>
      <c r="E481" s="51"/>
      <c r="F481" s="51"/>
      <c r="G481" s="51"/>
      <c r="H481"/>
      <c r="I481"/>
      <c r="J481"/>
      <c r="K481"/>
      <c r="L481"/>
      <c r="M481"/>
      <c r="N481"/>
      <c r="O481"/>
      <c r="P481"/>
      <c r="Q481"/>
      <c r="R481"/>
      <c r="S481"/>
      <c r="T481"/>
    </row>
    <row r="482" spans="1:20" x14ac:dyDescent="0.25">
      <c r="A482" s="51"/>
      <c r="B482"/>
      <c r="C482"/>
      <c r="D482" s="51"/>
      <c r="E482" s="51"/>
      <c r="F482" s="51"/>
      <c r="G482" s="51"/>
      <c r="H482"/>
      <c r="I482"/>
      <c r="J482"/>
      <c r="K482"/>
      <c r="L482"/>
      <c r="M482"/>
      <c r="N482"/>
      <c r="O482"/>
      <c r="P482"/>
      <c r="Q482"/>
      <c r="R482"/>
      <c r="S482"/>
      <c r="T482"/>
    </row>
    <row r="483" spans="1:20" x14ac:dyDescent="0.25">
      <c r="A483" s="51"/>
      <c r="B483"/>
      <c r="C483"/>
      <c r="D483" s="51"/>
      <c r="E483" s="51"/>
      <c r="F483" s="51"/>
      <c r="G483" s="51"/>
      <c r="H483"/>
      <c r="I483"/>
      <c r="J483"/>
      <c r="K483"/>
      <c r="L483"/>
      <c r="M483"/>
      <c r="N483"/>
      <c r="O483"/>
      <c r="P483"/>
      <c r="Q483"/>
      <c r="R483"/>
      <c r="S483"/>
      <c r="T483"/>
    </row>
    <row r="484" spans="1:20" x14ac:dyDescent="0.25">
      <c r="A484" s="51"/>
      <c r="B484"/>
      <c r="C484"/>
      <c r="D484" s="51"/>
      <c r="E484" s="51"/>
      <c r="F484" s="51"/>
      <c r="G484" s="51"/>
      <c r="H484"/>
      <c r="I484"/>
      <c r="J484"/>
      <c r="K484"/>
      <c r="L484"/>
      <c r="M484"/>
      <c r="N484"/>
      <c r="O484"/>
      <c r="P484"/>
      <c r="Q484"/>
      <c r="R484"/>
      <c r="S484"/>
      <c r="T484"/>
    </row>
    <row r="485" spans="1:20" x14ac:dyDescent="0.25">
      <c r="A485" s="51"/>
      <c r="B485"/>
      <c r="C485"/>
      <c r="D485" s="51"/>
      <c r="E485" s="51"/>
      <c r="F485" s="51"/>
      <c r="G485" s="51"/>
      <c r="H485"/>
      <c r="I485"/>
      <c r="J485"/>
      <c r="K485"/>
      <c r="L485"/>
      <c r="M485"/>
      <c r="N485"/>
      <c r="O485"/>
      <c r="P485"/>
      <c r="Q485"/>
      <c r="R485"/>
      <c r="S485"/>
      <c r="T485"/>
    </row>
    <row r="486" spans="1:20" x14ac:dyDescent="0.25">
      <c r="A486" s="51"/>
      <c r="B486"/>
      <c r="C486"/>
      <c r="D486" s="51"/>
      <c r="E486" s="51"/>
      <c r="F486" s="51"/>
      <c r="G486" s="51"/>
      <c r="H486"/>
      <c r="I486"/>
      <c r="J486"/>
      <c r="K486"/>
      <c r="L486"/>
      <c r="M486"/>
      <c r="N486"/>
      <c r="O486"/>
      <c r="P486"/>
      <c r="Q486"/>
      <c r="R486"/>
      <c r="S486"/>
      <c r="T486"/>
    </row>
    <row r="487" spans="1:20" x14ac:dyDescent="0.25">
      <c r="A487" s="51"/>
      <c r="B487"/>
      <c r="C487"/>
      <c r="D487" s="51"/>
      <c r="E487" s="51"/>
      <c r="F487" s="51"/>
      <c r="G487" s="51"/>
      <c r="H487"/>
      <c r="I487"/>
      <c r="J487"/>
      <c r="K487"/>
      <c r="L487"/>
      <c r="M487"/>
      <c r="N487"/>
      <c r="O487"/>
      <c r="P487"/>
      <c r="Q487"/>
      <c r="R487"/>
      <c r="S487"/>
      <c r="T487"/>
    </row>
    <row r="488" spans="1:20" x14ac:dyDescent="0.25">
      <c r="A488" s="51"/>
      <c r="B488"/>
      <c r="C488"/>
      <c r="D488" s="51"/>
      <c r="E488" s="51"/>
      <c r="F488" s="51"/>
      <c r="G488" s="51"/>
      <c r="H488"/>
      <c r="I488"/>
      <c r="J488"/>
      <c r="K488"/>
      <c r="L488"/>
      <c r="M488"/>
      <c r="N488"/>
      <c r="O488"/>
      <c r="P488"/>
      <c r="Q488"/>
      <c r="R488"/>
      <c r="S488"/>
      <c r="T488"/>
    </row>
    <row r="489" spans="1:20" x14ac:dyDescent="0.25">
      <c r="A489" s="51"/>
      <c r="B489"/>
      <c r="C489"/>
      <c r="D489" s="51"/>
      <c r="E489" s="51"/>
      <c r="F489" s="51"/>
      <c r="G489" s="51"/>
      <c r="H489"/>
      <c r="I489"/>
      <c r="J489"/>
      <c r="K489"/>
      <c r="L489"/>
      <c r="M489"/>
      <c r="N489"/>
      <c r="O489"/>
      <c r="P489"/>
      <c r="Q489"/>
      <c r="R489"/>
      <c r="S489"/>
      <c r="T489"/>
    </row>
    <row r="490" spans="1:20" x14ac:dyDescent="0.25">
      <c r="A490" s="51"/>
      <c r="B490"/>
      <c r="C490"/>
      <c r="D490" s="51"/>
      <c r="E490" s="51"/>
      <c r="F490" s="51"/>
      <c r="G490" s="51"/>
      <c r="H490"/>
      <c r="I490"/>
      <c r="J490"/>
      <c r="K490"/>
      <c r="L490"/>
      <c r="M490"/>
      <c r="N490"/>
      <c r="O490"/>
      <c r="P490"/>
      <c r="Q490"/>
      <c r="R490"/>
      <c r="S490"/>
      <c r="T490"/>
    </row>
    <row r="491" spans="1:20" x14ac:dyDescent="0.25">
      <c r="A491" s="51"/>
      <c r="B491"/>
      <c r="C491"/>
      <c r="D491" s="51"/>
      <c r="E491" s="51"/>
      <c r="F491" s="51"/>
      <c r="G491" s="51"/>
      <c r="H491"/>
      <c r="I491"/>
      <c r="J491"/>
      <c r="K491"/>
      <c r="L491"/>
      <c r="M491"/>
      <c r="N491"/>
      <c r="O491"/>
      <c r="P491"/>
      <c r="Q491"/>
      <c r="R491"/>
      <c r="S491"/>
      <c r="T491"/>
    </row>
    <row r="492" spans="1:20" x14ac:dyDescent="0.25">
      <c r="A492" s="51"/>
      <c r="B492"/>
      <c r="C492"/>
      <c r="D492" s="51"/>
      <c r="E492" s="51"/>
      <c r="F492" s="51"/>
      <c r="G492" s="51"/>
      <c r="H492"/>
      <c r="I492"/>
      <c r="J492"/>
      <c r="K492"/>
      <c r="L492"/>
      <c r="M492"/>
      <c r="N492"/>
      <c r="O492"/>
      <c r="P492"/>
      <c r="Q492"/>
      <c r="R492"/>
      <c r="S492"/>
      <c r="T492"/>
    </row>
    <row r="493" spans="1:20" x14ac:dyDescent="0.25">
      <c r="A493" s="51"/>
      <c r="B493"/>
      <c r="C493"/>
      <c r="D493" s="51"/>
      <c r="E493" s="51"/>
      <c r="F493" s="51"/>
      <c r="G493" s="51"/>
      <c r="H493"/>
      <c r="I493"/>
      <c r="J493"/>
      <c r="K493"/>
      <c r="L493"/>
      <c r="M493"/>
      <c r="N493"/>
      <c r="O493"/>
      <c r="P493"/>
      <c r="Q493"/>
      <c r="R493"/>
      <c r="S493"/>
      <c r="T493"/>
    </row>
    <row r="494" spans="1:20" x14ac:dyDescent="0.25">
      <c r="A494" s="51"/>
      <c r="B494"/>
      <c r="C494"/>
      <c r="D494" s="51"/>
      <c r="E494" s="51"/>
      <c r="F494" s="51"/>
      <c r="G494" s="51"/>
      <c r="H494"/>
      <c r="I494"/>
      <c r="J494"/>
      <c r="K494"/>
      <c r="L494"/>
      <c r="M494"/>
      <c r="N494"/>
      <c r="O494"/>
      <c r="P494"/>
      <c r="Q494"/>
      <c r="R494"/>
      <c r="S494"/>
      <c r="T494"/>
    </row>
    <row r="495" spans="1:20" x14ac:dyDescent="0.25">
      <c r="A495" s="51"/>
      <c r="B495"/>
      <c r="C495"/>
      <c r="D495" s="51"/>
      <c r="E495" s="51"/>
      <c r="F495" s="51"/>
      <c r="G495" s="51"/>
      <c r="H495"/>
      <c r="I495"/>
      <c r="J495"/>
      <c r="K495"/>
      <c r="L495"/>
      <c r="M495"/>
      <c r="N495"/>
      <c r="O495"/>
      <c r="P495"/>
      <c r="Q495"/>
      <c r="R495"/>
      <c r="S495"/>
      <c r="T495"/>
    </row>
    <row r="496" spans="1:20" x14ac:dyDescent="0.25">
      <c r="A496" s="51"/>
      <c r="B496"/>
      <c r="C496"/>
      <c r="D496" s="51"/>
      <c r="E496" s="51"/>
      <c r="F496" s="51"/>
      <c r="G496" s="51"/>
      <c r="H496"/>
      <c r="I496"/>
      <c r="J496"/>
      <c r="K496"/>
      <c r="L496"/>
      <c r="M496"/>
      <c r="N496"/>
      <c r="O496"/>
      <c r="P496"/>
      <c r="Q496"/>
      <c r="R496"/>
      <c r="S496"/>
      <c r="T496"/>
    </row>
    <row r="497" spans="1:20" x14ac:dyDescent="0.25">
      <c r="A497" s="51"/>
      <c r="B497"/>
      <c r="C497"/>
      <c r="D497" s="51"/>
      <c r="E497" s="51"/>
      <c r="F497" s="51"/>
      <c r="G497" s="51"/>
      <c r="H497"/>
      <c r="I497"/>
      <c r="J497"/>
      <c r="K497"/>
      <c r="L497"/>
      <c r="M497"/>
      <c r="N497"/>
      <c r="O497"/>
      <c r="P497"/>
      <c r="Q497"/>
      <c r="R497"/>
      <c r="S497"/>
      <c r="T497"/>
    </row>
    <row r="498" spans="1:20" x14ac:dyDescent="0.25">
      <c r="A498" s="51"/>
      <c r="B498"/>
      <c r="C498"/>
      <c r="D498" s="51"/>
      <c r="E498" s="51"/>
      <c r="F498" s="51"/>
      <c r="G498" s="51"/>
      <c r="H498"/>
      <c r="I498"/>
      <c r="J498"/>
      <c r="K498"/>
      <c r="L498"/>
      <c r="M498"/>
      <c r="N498"/>
      <c r="O498"/>
      <c r="P498"/>
      <c r="Q498"/>
      <c r="R498"/>
      <c r="S498"/>
      <c r="T498"/>
    </row>
    <row r="499" spans="1:20" x14ac:dyDescent="0.25">
      <c r="A499" s="51"/>
      <c r="B499"/>
      <c r="C499"/>
      <c r="D499" s="51"/>
      <c r="E499" s="51"/>
      <c r="F499" s="51"/>
      <c r="G499" s="51"/>
      <c r="H499"/>
      <c r="I499"/>
      <c r="J499"/>
      <c r="K499"/>
      <c r="L499"/>
      <c r="M499"/>
      <c r="N499"/>
      <c r="O499"/>
      <c r="P499"/>
      <c r="Q499"/>
      <c r="R499"/>
      <c r="S499"/>
      <c r="T499"/>
    </row>
    <row r="500" spans="1:20" x14ac:dyDescent="0.25">
      <c r="A500" s="51"/>
      <c r="B500"/>
      <c r="C500"/>
      <c r="D500" s="51"/>
      <c r="E500" s="51"/>
      <c r="F500" s="51"/>
      <c r="G500" s="51"/>
      <c r="H500"/>
      <c r="I500"/>
      <c r="J500"/>
      <c r="K500"/>
      <c r="L500"/>
      <c r="M500"/>
      <c r="N500"/>
      <c r="O500"/>
      <c r="P500"/>
      <c r="Q500"/>
      <c r="R500"/>
      <c r="S500"/>
      <c r="T500"/>
    </row>
    <row r="501" spans="1:20" x14ac:dyDescent="0.25">
      <c r="A501" s="51"/>
      <c r="B501"/>
      <c r="C501"/>
      <c r="D501" s="51"/>
      <c r="E501" s="51"/>
      <c r="F501" s="51"/>
      <c r="G501" s="51"/>
      <c r="H501"/>
      <c r="I501"/>
      <c r="J501"/>
      <c r="K501"/>
      <c r="L501"/>
      <c r="M501"/>
      <c r="N501"/>
      <c r="O501"/>
      <c r="P501"/>
      <c r="Q501"/>
      <c r="R501"/>
      <c r="S501"/>
      <c r="T501"/>
    </row>
    <row r="502" spans="1:20" x14ac:dyDescent="0.25">
      <c r="A502" s="51"/>
      <c r="B502"/>
      <c r="C502"/>
      <c r="D502" s="51"/>
      <c r="E502" s="51"/>
      <c r="F502" s="51"/>
      <c r="G502" s="51"/>
      <c r="H502"/>
      <c r="I502"/>
      <c r="J502"/>
      <c r="K502"/>
      <c r="L502"/>
      <c r="M502"/>
      <c r="N502"/>
      <c r="O502"/>
      <c r="P502"/>
      <c r="Q502"/>
      <c r="R502"/>
      <c r="S502"/>
      <c r="T502"/>
    </row>
    <row r="503" spans="1:20" x14ac:dyDescent="0.25">
      <c r="A503" s="51"/>
      <c r="B503"/>
      <c r="C503"/>
      <c r="D503" s="51"/>
      <c r="E503" s="51"/>
      <c r="F503" s="51"/>
      <c r="G503" s="51"/>
      <c r="H503"/>
      <c r="I503"/>
      <c r="J503"/>
      <c r="K503"/>
      <c r="L503"/>
      <c r="M503"/>
      <c r="N503"/>
      <c r="O503"/>
      <c r="P503"/>
      <c r="Q503"/>
      <c r="R503"/>
      <c r="S503"/>
      <c r="T503"/>
    </row>
    <row r="504" spans="1:20" x14ac:dyDescent="0.25">
      <c r="A504" s="51"/>
      <c r="B504"/>
      <c r="C504"/>
      <c r="D504" s="51"/>
      <c r="E504" s="51"/>
      <c r="F504" s="51"/>
      <c r="G504" s="51"/>
      <c r="H504"/>
      <c r="I504"/>
      <c r="J504"/>
      <c r="K504"/>
      <c r="L504"/>
      <c r="M504"/>
      <c r="N504"/>
      <c r="O504"/>
      <c r="P504"/>
      <c r="Q504"/>
      <c r="R504"/>
      <c r="S504"/>
      <c r="T504"/>
    </row>
    <row r="505" spans="1:20" x14ac:dyDescent="0.25">
      <c r="A505" s="51"/>
      <c r="B505"/>
      <c r="C505"/>
      <c r="D505" s="51"/>
      <c r="E505" s="51"/>
      <c r="F505" s="51"/>
      <c r="G505" s="51"/>
      <c r="H505"/>
      <c r="I505"/>
      <c r="J505"/>
      <c r="K505"/>
      <c r="L505"/>
      <c r="M505"/>
      <c r="N505"/>
      <c r="O505"/>
      <c r="P505"/>
      <c r="Q505"/>
      <c r="R505"/>
      <c r="S505"/>
      <c r="T505"/>
    </row>
    <row r="506" spans="1:20" x14ac:dyDescent="0.25">
      <c r="A506" s="51"/>
      <c r="B506"/>
      <c r="C506"/>
      <c r="D506" s="51"/>
      <c r="E506" s="51"/>
      <c r="F506" s="51"/>
      <c r="G506" s="51"/>
      <c r="H506"/>
      <c r="I506"/>
      <c r="J506"/>
      <c r="K506"/>
      <c r="L506"/>
      <c r="M506"/>
      <c r="N506"/>
      <c r="O506"/>
      <c r="P506"/>
      <c r="Q506"/>
      <c r="R506"/>
      <c r="S506"/>
      <c r="T506"/>
    </row>
    <row r="507" spans="1:20" x14ac:dyDescent="0.25">
      <c r="A507" s="51"/>
      <c r="B507"/>
      <c r="C507"/>
      <c r="D507" s="51"/>
      <c r="E507" s="51"/>
      <c r="F507" s="51"/>
      <c r="G507" s="51"/>
      <c r="H507"/>
      <c r="I507"/>
      <c r="J507"/>
      <c r="K507"/>
      <c r="L507"/>
      <c r="M507"/>
      <c r="N507"/>
      <c r="O507"/>
      <c r="P507"/>
      <c r="Q507"/>
      <c r="R507"/>
      <c r="S507"/>
      <c r="T507"/>
    </row>
    <row r="508" spans="1:20" x14ac:dyDescent="0.25">
      <c r="A508" s="51"/>
      <c r="B508"/>
      <c r="C508"/>
      <c r="D508" s="51"/>
      <c r="E508" s="51"/>
      <c r="F508" s="51"/>
      <c r="G508" s="51"/>
      <c r="H508"/>
      <c r="I508"/>
      <c r="J508"/>
      <c r="K508"/>
      <c r="L508"/>
      <c r="M508"/>
      <c r="N508"/>
      <c r="O508"/>
      <c r="P508"/>
      <c r="Q508"/>
      <c r="R508"/>
      <c r="S508"/>
      <c r="T508"/>
    </row>
    <row r="509" spans="1:20" x14ac:dyDescent="0.25">
      <c r="A509" s="51"/>
      <c r="B509"/>
      <c r="C509"/>
      <c r="D509" s="51"/>
      <c r="E509" s="51"/>
      <c r="F509" s="51"/>
      <c r="G509" s="51"/>
      <c r="H509"/>
      <c r="I509"/>
      <c r="J509"/>
      <c r="K509"/>
      <c r="L509"/>
      <c r="M509"/>
      <c r="N509"/>
      <c r="O509"/>
      <c r="P509"/>
      <c r="Q509"/>
      <c r="R509"/>
      <c r="S509"/>
      <c r="T509"/>
    </row>
    <row r="510" spans="1:20" x14ac:dyDescent="0.25">
      <c r="A510" s="51"/>
      <c r="B510"/>
      <c r="C510"/>
      <c r="D510" s="51"/>
      <c r="E510" s="51"/>
      <c r="F510" s="51"/>
      <c r="G510" s="51"/>
      <c r="H510"/>
      <c r="I510"/>
      <c r="J510"/>
      <c r="K510"/>
      <c r="L510"/>
      <c r="M510"/>
      <c r="N510"/>
      <c r="O510"/>
      <c r="P510"/>
      <c r="Q510"/>
      <c r="R510"/>
      <c r="S510"/>
      <c r="T510"/>
    </row>
    <row r="511" spans="1:20" x14ac:dyDescent="0.25">
      <c r="A511" s="51"/>
      <c r="B511"/>
      <c r="C511"/>
      <c r="D511" s="51"/>
      <c r="E511" s="51"/>
      <c r="F511" s="51"/>
      <c r="G511" s="51"/>
      <c r="H511"/>
      <c r="I511"/>
      <c r="J511"/>
      <c r="K511"/>
      <c r="L511"/>
      <c r="M511"/>
      <c r="N511"/>
      <c r="O511"/>
      <c r="P511"/>
      <c r="Q511"/>
      <c r="R511"/>
      <c r="S511"/>
      <c r="T511"/>
    </row>
    <row r="512" spans="1:20" x14ac:dyDescent="0.25">
      <c r="A512" s="51"/>
      <c r="B512"/>
      <c r="C512"/>
      <c r="D512" s="51"/>
      <c r="E512" s="51"/>
      <c r="F512" s="51"/>
      <c r="G512" s="51"/>
      <c r="H512"/>
      <c r="I512"/>
      <c r="J512"/>
      <c r="K512"/>
      <c r="L512"/>
      <c r="M512"/>
      <c r="N512"/>
      <c r="O512"/>
      <c r="P512"/>
      <c r="Q512"/>
      <c r="R512"/>
      <c r="S512"/>
      <c r="T512"/>
    </row>
    <row r="513" spans="1:20" x14ac:dyDescent="0.25">
      <c r="A513" s="51"/>
      <c r="B513"/>
      <c r="C513"/>
      <c r="D513" s="51"/>
      <c r="E513" s="51"/>
      <c r="F513" s="51"/>
      <c r="G513" s="51"/>
      <c r="H513"/>
      <c r="I513"/>
      <c r="J513"/>
      <c r="K513"/>
      <c r="L513"/>
      <c r="M513"/>
      <c r="N513"/>
      <c r="O513"/>
      <c r="P513"/>
      <c r="Q513"/>
      <c r="R513"/>
      <c r="S513"/>
      <c r="T513"/>
    </row>
    <row r="514" spans="1:20" x14ac:dyDescent="0.25">
      <c r="A514" s="51"/>
      <c r="B514"/>
      <c r="C514"/>
      <c r="D514" s="51"/>
      <c r="E514" s="51"/>
      <c r="F514" s="51"/>
      <c r="G514" s="51"/>
      <c r="H514"/>
      <c r="I514"/>
      <c r="J514"/>
      <c r="K514"/>
      <c r="L514"/>
      <c r="M514"/>
      <c r="N514"/>
      <c r="O514"/>
      <c r="P514"/>
      <c r="Q514"/>
      <c r="R514"/>
      <c r="S514"/>
      <c r="T514"/>
    </row>
    <row r="515" spans="1:20" x14ac:dyDescent="0.25">
      <c r="A515" s="51"/>
      <c r="B515"/>
      <c r="C515"/>
      <c r="D515" s="51"/>
      <c r="E515" s="51"/>
      <c r="F515" s="51"/>
      <c r="G515" s="51"/>
      <c r="H515"/>
      <c r="I515"/>
      <c r="J515"/>
      <c r="K515"/>
      <c r="L515"/>
      <c r="M515"/>
      <c r="N515"/>
      <c r="O515"/>
      <c r="P515"/>
      <c r="Q515"/>
      <c r="R515"/>
      <c r="S515"/>
      <c r="T515"/>
    </row>
    <row r="516" spans="1:20" x14ac:dyDescent="0.25">
      <c r="A516" s="51"/>
      <c r="B516"/>
      <c r="C516"/>
      <c r="D516" s="51"/>
      <c r="E516" s="51"/>
      <c r="F516" s="51"/>
      <c r="G516" s="51"/>
      <c r="H516"/>
      <c r="I516"/>
      <c r="J516"/>
      <c r="K516"/>
      <c r="L516"/>
      <c r="M516"/>
      <c r="N516"/>
      <c r="O516"/>
      <c r="P516"/>
      <c r="Q516"/>
      <c r="R516"/>
      <c r="S516"/>
      <c r="T516"/>
    </row>
    <row r="517" spans="1:20" x14ac:dyDescent="0.25">
      <c r="A517" s="51"/>
      <c r="B517"/>
      <c r="C517"/>
      <c r="D517" s="51"/>
      <c r="E517" s="51"/>
      <c r="F517" s="51"/>
      <c r="G517" s="51"/>
      <c r="H517"/>
      <c r="I517"/>
      <c r="J517"/>
      <c r="K517"/>
      <c r="L517"/>
      <c r="M517"/>
      <c r="N517"/>
      <c r="O517"/>
      <c r="P517"/>
      <c r="Q517"/>
      <c r="R517"/>
      <c r="S517"/>
      <c r="T517"/>
    </row>
    <row r="518" spans="1:20" x14ac:dyDescent="0.25">
      <c r="A518" s="51"/>
      <c r="B518"/>
      <c r="C518"/>
      <c r="D518" s="51"/>
      <c r="E518" s="51"/>
      <c r="F518" s="51"/>
      <c r="G518" s="51"/>
      <c r="H518"/>
      <c r="I518"/>
      <c r="J518"/>
      <c r="K518"/>
      <c r="L518"/>
      <c r="M518"/>
      <c r="N518"/>
      <c r="O518"/>
      <c r="P518"/>
      <c r="Q518"/>
      <c r="R518"/>
      <c r="S518"/>
      <c r="T518"/>
    </row>
    <row r="519" spans="1:20" x14ac:dyDescent="0.25">
      <c r="A519" s="51"/>
      <c r="B519"/>
      <c r="C519"/>
      <c r="D519" s="51"/>
      <c r="E519" s="51"/>
      <c r="F519" s="51"/>
      <c r="G519" s="51"/>
      <c r="H519"/>
      <c r="I519"/>
      <c r="J519"/>
      <c r="K519"/>
      <c r="L519"/>
      <c r="M519"/>
      <c r="N519"/>
      <c r="O519"/>
      <c r="P519"/>
      <c r="Q519"/>
      <c r="R519"/>
      <c r="S519"/>
      <c r="T519"/>
    </row>
    <row r="520" spans="1:20" x14ac:dyDescent="0.25">
      <c r="A520" s="51"/>
      <c r="B520"/>
      <c r="C520"/>
      <c r="D520" s="51"/>
      <c r="E520" s="51"/>
      <c r="F520" s="51"/>
      <c r="G520" s="51"/>
      <c r="H520"/>
      <c r="I520"/>
      <c r="J520"/>
      <c r="K520"/>
      <c r="L520"/>
      <c r="M520"/>
      <c r="N520"/>
      <c r="O520"/>
      <c r="P520"/>
      <c r="Q520"/>
      <c r="R520"/>
      <c r="S520"/>
      <c r="T520"/>
    </row>
    <row r="521" spans="1:20" x14ac:dyDescent="0.25">
      <c r="A521" s="51"/>
      <c r="B521"/>
      <c r="C521"/>
      <c r="D521" s="51"/>
      <c r="E521" s="51"/>
      <c r="F521" s="51"/>
      <c r="G521" s="51"/>
      <c r="H521"/>
      <c r="I521"/>
      <c r="J521"/>
      <c r="K521"/>
      <c r="L521"/>
      <c r="M521"/>
      <c r="N521"/>
      <c r="O521"/>
      <c r="P521"/>
      <c r="Q521"/>
      <c r="R521"/>
      <c r="S521"/>
      <c r="T521"/>
    </row>
    <row r="522" spans="1:20" x14ac:dyDescent="0.25">
      <c r="A522" s="51"/>
      <c r="B522"/>
      <c r="C522"/>
      <c r="D522" s="51"/>
      <c r="E522" s="51"/>
      <c r="F522" s="51"/>
      <c r="G522" s="51"/>
      <c r="H522"/>
      <c r="I522"/>
      <c r="J522"/>
      <c r="K522"/>
      <c r="L522"/>
      <c r="M522"/>
      <c r="N522"/>
      <c r="O522"/>
      <c r="P522"/>
      <c r="Q522"/>
      <c r="R522"/>
      <c r="S522"/>
      <c r="T522"/>
    </row>
    <row r="523" spans="1:20" x14ac:dyDescent="0.25">
      <c r="A523" s="51"/>
      <c r="B523"/>
      <c r="C523"/>
      <c r="D523" s="51"/>
      <c r="E523" s="51"/>
      <c r="F523" s="51"/>
      <c r="G523" s="51"/>
      <c r="H523"/>
      <c r="I523"/>
      <c r="J523"/>
      <c r="K523"/>
      <c r="L523"/>
      <c r="M523"/>
      <c r="N523"/>
      <c r="O523"/>
      <c r="P523"/>
      <c r="Q523"/>
      <c r="R523"/>
      <c r="S523"/>
      <c r="T523"/>
    </row>
    <row r="524" spans="1:20" x14ac:dyDescent="0.25">
      <c r="A524" s="51"/>
      <c r="B524"/>
      <c r="C524"/>
      <c r="D524" s="51"/>
      <c r="E524" s="51"/>
      <c r="F524" s="51"/>
      <c r="G524" s="51"/>
      <c r="H524"/>
      <c r="I524"/>
      <c r="J524"/>
      <c r="K524"/>
      <c r="L524"/>
      <c r="M524"/>
      <c r="N524"/>
      <c r="O524"/>
      <c r="P524"/>
      <c r="Q524"/>
      <c r="R524"/>
      <c r="S524"/>
      <c r="T524"/>
    </row>
    <row r="525" spans="1:20" x14ac:dyDescent="0.25">
      <c r="A525" s="51"/>
      <c r="B525"/>
      <c r="C525"/>
      <c r="D525" s="51"/>
      <c r="E525" s="51"/>
      <c r="F525" s="51"/>
      <c r="G525" s="51"/>
      <c r="H525"/>
      <c r="I525"/>
      <c r="J525"/>
      <c r="K525"/>
      <c r="L525"/>
      <c r="M525"/>
      <c r="N525"/>
      <c r="O525"/>
      <c r="P525"/>
      <c r="Q525"/>
      <c r="R525"/>
      <c r="S525"/>
      <c r="T525"/>
    </row>
    <row r="526" spans="1:20" x14ac:dyDescent="0.25">
      <c r="A526" s="51"/>
      <c r="B526"/>
      <c r="C526"/>
      <c r="D526" s="51"/>
      <c r="E526" s="51"/>
      <c r="F526" s="51"/>
      <c r="G526" s="51"/>
      <c r="H526"/>
      <c r="I526"/>
      <c r="J526"/>
      <c r="K526"/>
      <c r="L526"/>
      <c r="M526"/>
      <c r="N526"/>
      <c r="O526"/>
      <c r="P526"/>
      <c r="Q526"/>
      <c r="R526"/>
      <c r="S526"/>
      <c r="T526"/>
    </row>
    <row r="527" spans="1:20" x14ac:dyDescent="0.25">
      <c r="A527" s="51"/>
      <c r="B527"/>
      <c r="C527"/>
      <c r="D527" s="51"/>
      <c r="E527" s="51"/>
      <c r="F527" s="51"/>
      <c r="G527" s="51"/>
      <c r="H527"/>
      <c r="I527"/>
      <c r="J527"/>
      <c r="K527"/>
      <c r="L527"/>
      <c r="M527"/>
      <c r="N527"/>
      <c r="O527"/>
      <c r="P527"/>
      <c r="Q527"/>
      <c r="R527"/>
      <c r="S527"/>
      <c r="T527"/>
    </row>
    <row r="528" spans="1:20" x14ac:dyDescent="0.25">
      <c r="A528" s="51"/>
      <c r="B528"/>
      <c r="C528"/>
      <c r="D528" s="51"/>
      <c r="E528" s="51"/>
      <c r="F528" s="51"/>
      <c r="G528" s="51"/>
      <c r="H528"/>
      <c r="I528"/>
      <c r="J528"/>
      <c r="K528"/>
      <c r="L528"/>
      <c r="M528"/>
      <c r="N528"/>
      <c r="O528"/>
      <c r="P528"/>
      <c r="Q528"/>
      <c r="R528"/>
      <c r="S528"/>
      <c r="T528"/>
    </row>
    <row r="529" spans="1:20" x14ac:dyDescent="0.25">
      <c r="A529" s="51"/>
      <c r="B529"/>
      <c r="C529"/>
      <c r="D529" s="51"/>
      <c r="E529" s="51"/>
      <c r="F529" s="51"/>
      <c r="G529" s="51"/>
      <c r="H529"/>
      <c r="I529"/>
      <c r="J529"/>
      <c r="K529"/>
      <c r="L529"/>
      <c r="M529"/>
      <c r="N529"/>
      <c r="O529"/>
      <c r="P529"/>
      <c r="Q529"/>
      <c r="R529"/>
      <c r="S529"/>
      <c r="T529"/>
    </row>
    <row r="530" spans="1:20" x14ac:dyDescent="0.25">
      <c r="A530" s="51"/>
      <c r="B530"/>
      <c r="C530"/>
      <c r="D530" s="51"/>
      <c r="E530" s="51"/>
      <c r="F530" s="51"/>
      <c r="G530" s="51"/>
      <c r="H530"/>
      <c r="I530"/>
      <c r="J530"/>
      <c r="K530"/>
      <c r="L530"/>
      <c r="M530"/>
      <c r="N530"/>
      <c r="O530"/>
      <c r="P530"/>
      <c r="Q530"/>
      <c r="R530"/>
      <c r="S530"/>
      <c r="T530"/>
    </row>
    <row r="531" spans="1:20" x14ac:dyDescent="0.25">
      <c r="A531" s="51"/>
      <c r="B531"/>
      <c r="C531"/>
      <c r="D531" s="51"/>
      <c r="E531" s="51"/>
      <c r="F531" s="51"/>
      <c r="G531" s="51"/>
      <c r="H531"/>
      <c r="I531"/>
      <c r="J531"/>
      <c r="K531"/>
      <c r="L531"/>
      <c r="M531"/>
      <c r="N531"/>
      <c r="O531"/>
      <c r="P531"/>
      <c r="Q531"/>
      <c r="R531"/>
      <c r="S531"/>
      <c r="T531"/>
    </row>
    <row r="532" spans="1:20" x14ac:dyDescent="0.25">
      <c r="A532" s="51"/>
      <c r="B532"/>
      <c r="C532"/>
      <c r="D532" s="51"/>
      <c r="E532" s="51"/>
      <c r="F532" s="51"/>
      <c r="G532" s="51"/>
      <c r="H532"/>
      <c r="I532"/>
      <c r="J532"/>
      <c r="K532"/>
      <c r="L532"/>
      <c r="M532"/>
      <c r="N532"/>
      <c r="O532"/>
      <c r="P532"/>
      <c r="Q532"/>
      <c r="R532"/>
      <c r="S532"/>
      <c r="T532"/>
    </row>
    <row r="533" spans="1:20" x14ac:dyDescent="0.25">
      <c r="A533" s="51"/>
      <c r="B533"/>
      <c r="C533"/>
      <c r="D533" s="51"/>
      <c r="E533" s="51"/>
      <c r="F533" s="51"/>
      <c r="G533" s="51"/>
      <c r="H533"/>
      <c r="I533"/>
      <c r="J533"/>
      <c r="K533"/>
      <c r="L533"/>
      <c r="M533"/>
      <c r="N533"/>
      <c r="O533"/>
      <c r="P533"/>
      <c r="Q533"/>
      <c r="R533"/>
      <c r="S533"/>
      <c r="T533"/>
    </row>
    <row r="534" spans="1:20" x14ac:dyDescent="0.25">
      <c r="A534" s="51"/>
      <c r="B534"/>
      <c r="C534"/>
      <c r="D534" s="51"/>
      <c r="E534" s="51"/>
      <c r="F534" s="51"/>
      <c r="G534" s="51"/>
      <c r="H534"/>
      <c r="I534"/>
      <c r="J534"/>
      <c r="K534"/>
      <c r="L534"/>
      <c r="M534"/>
      <c r="N534"/>
      <c r="O534"/>
      <c r="P534"/>
      <c r="Q534"/>
      <c r="R534"/>
      <c r="S534"/>
      <c r="T534"/>
    </row>
    <row r="535" spans="1:20" x14ac:dyDescent="0.25">
      <c r="A535" s="51"/>
      <c r="B535"/>
      <c r="C535"/>
      <c r="D535" s="51"/>
      <c r="E535" s="51"/>
      <c r="F535" s="51"/>
      <c r="G535" s="51"/>
      <c r="H535"/>
      <c r="I535"/>
      <c r="J535"/>
      <c r="K535"/>
      <c r="L535"/>
      <c r="M535"/>
      <c r="N535"/>
      <c r="O535"/>
      <c r="P535"/>
      <c r="Q535"/>
      <c r="R535"/>
      <c r="S535"/>
      <c r="T535"/>
    </row>
    <row r="536" spans="1:20" x14ac:dyDescent="0.25">
      <c r="A536" s="51"/>
      <c r="B536"/>
      <c r="C536"/>
      <c r="D536" s="51"/>
      <c r="E536" s="51"/>
      <c r="F536" s="51"/>
      <c r="G536" s="51"/>
      <c r="H536"/>
      <c r="I536"/>
      <c r="J536"/>
      <c r="K536"/>
      <c r="L536"/>
      <c r="M536"/>
      <c r="N536"/>
      <c r="O536"/>
      <c r="P536"/>
      <c r="Q536"/>
      <c r="R536"/>
      <c r="S536"/>
      <c r="T536"/>
    </row>
    <row r="537" spans="1:20" x14ac:dyDescent="0.25">
      <c r="A537" s="51"/>
      <c r="B537"/>
      <c r="C537"/>
      <c r="D537" s="51"/>
      <c r="E537" s="51"/>
      <c r="F537" s="51"/>
      <c r="G537" s="51"/>
      <c r="H537"/>
      <c r="I537"/>
      <c r="J537"/>
      <c r="K537"/>
      <c r="L537"/>
      <c r="M537"/>
      <c r="N537"/>
      <c r="O537"/>
      <c r="P537"/>
      <c r="Q537"/>
      <c r="R537"/>
      <c r="S537"/>
      <c r="T537"/>
    </row>
    <row r="538" spans="1:20" x14ac:dyDescent="0.25">
      <c r="A538" s="51"/>
      <c r="B538"/>
      <c r="C538"/>
      <c r="D538" s="51"/>
      <c r="E538" s="51"/>
      <c r="F538" s="51"/>
      <c r="G538" s="51"/>
      <c r="H538"/>
      <c r="I538"/>
      <c r="J538"/>
      <c r="K538"/>
      <c r="L538"/>
      <c r="M538"/>
      <c r="N538"/>
      <c r="O538"/>
      <c r="P538"/>
      <c r="Q538"/>
      <c r="R538"/>
      <c r="S538"/>
      <c r="T538"/>
    </row>
    <row r="539" spans="1:20" x14ac:dyDescent="0.25">
      <c r="A539" s="51"/>
      <c r="B539"/>
      <c r="C539"/>
      <c r="D539" s="51"/>
      <c r="E539" s="51"/>
      <c r="F539" s="51"/>
      <c r="G539" s="51"/>
      <c r="H539"/>
      <c r="I539"/>
      <c r="J539"/>
      <c r="K539"/>
      <c r="L539"/>
      <c r="M539"/>
      <c r="N539"/>
      <c r="O539"/>
      <c r="P539"/>
      <c r="Q539"/>
      <c r="R539"/>
      <c r="S539"/>
      <c r="T539"/>
    </row>
    <row r="540" spans="1:20" x14ac:dyDescent="0.25">
      <c r="A540" s="51"/>
      <c r="B540"/>
      <c r="C540"/>
      <c r="D540" s="51"/>
      <c r="E540" s="51"/>
      <c r="F540" s="51"/>
      <c r="G540" s="51"/>
      <c r="H540"/>
      <c r="I540"/>
      <c r="J540"/>
      <c r="K540"/>
      <c r="L540"/>
      <c r="M540"/>
      <c r="N540"/>
      <c r="O540"/>
      <c r="P540"/>
      <c r="Q540"/>
      <c r="R540"/>
      <c r="S540"/>
      <c r="T540"/>
    </row>
    <row r="541" spans="1:20" x14ac:dyDescent="0.25">
      <c r="A541" s="51"/>
      <c r="B541"/>
      <c r="C541"/>
      <c r="D541" s="51"/>
      <c r="E541" s="51"/>
      <c r="F541" s="51"/>
      <c r="G541" s="51"/>
      <c r="H541"/>
      <c r="I541"/>
      <c r="J541"/>
      <c r="K541"/>
      <c r="L541"/>
      <c r="M541"/>
      <c r="N541"/>
      <c r="O541"/>
      <c r="P541"/>
      <c r="Q541"/>
      <c r="R541"/>
      <c r="S541"/>
      <c r="T541"/>
    </row>
    <row r="542" spans="1:20" x14ac:dyDescent="0.25">
      <c r="A542" s="51"/>
      <c r="B542"/>
      <c r="C542"/>
      <c r="D542" s="51"/>
      <c r="E542" s="51"/>
      <c r="F542" s="51"/>
      <c r="G542" s="51"/>
      <c r="H542"/>
      <c r="I542"/>
      <c r="J542"/>
      <c r="K542"/>
      <c r="L542"/>
      <c r="M542"/>
      <c r="N542"/>
      <c r="O542"/>
      <c r="P542"/>
      <c r="Q542"/>
      <c r="R542"/>
      <c r="S542"/>
      <c r="T542"/>
    </row>
    <row r="543" spans="1:20" x14ac:dyDescent="0.25">
      <c r="A543" s="51"/>
      <c r="B543"/>
      <c r="C543"/>
      <c r="D543" s="51"/>
      <c r="E543" s="51"/>
      <c r="F543" s="51"/>
      <c r="G543" s="51"/>
      <c r="H543"/>
      <c r="I543"/>
      <c r="J543"/>
      <c r="K543"/>
      <c r="L543"/>
      <c r="M543"/>
      <c r="N543"/>
      <c r="O543"/>
      <c r="P543"/>
      <c r="Q543"/>
      <c r="R543"/>
      <c r="S543"/>
      <c r="T543"/>
    </row>
    <row r="544" spans="1:20" x14ac:dyDescent="0.25">
      <c r="A544" s="51"/>
      <c r="B544"/>
      <c r="C544"/>
      <c r="D544" s="51"/>
      <c r="E544" s="51"/>
      <c r="F544" s="51"/>
      <c r="G544" s="51"/>
      <c r="H544"/>
      <c r="I544"/>
      <c r="J544"/>
      <c r="K544"/>
      <c r="L544"/>
      <c r="M544"/>
      <c r="N544"/>
      <c r="O544"/>
      <c r="P544"/>
      <c r="Q544"/>
      <c r="R544"/>
      <c r="S544"/>
      <c r="T544"/>
    </row>
    <row r="545" spans="1:20" x14ac:dyDescent="0.25">
      <c r="A545" s="51"/>
      <c r="B545"/>
      <c r="C545"/>
      <c r="D545" s="51"/>
      <c r="E545" s="51"/>
      <c r="F545" s="51"/>
      <c r="G545" s="51"/>
      <c r="H545"/>
      <c r="I545"/>
      <c r="J545"/>
      <c r="K545"/>
      <c r="L545"/>
      <c r="M545"/>
      <c r="N545"/>
      <c r="O545"/>
      <c r="P545"/>
      <c r="Q545"/>
      <c r="R545"/>
      <c r="S545"/>
      <c r="T545"/>
    </row>
    <row r="546" spans="1:20" x14ac:dyDescent="0.25">
      <c r="A546" s="51"/>
      <c r="B546"/>
      <c r="C546"/>
      <c r="D546" s="51"/>
      <c r="E546" s="51"/>
      <c r="F546" s="51"/>
      <c r="G546" s="51"/>
      <c r="H546"/>
      <c r="I546"/>
      <c r="J546"/>
      <c r="K546"/>
      <c r="L546"/>
      <c r="M546"/>
      <c r="N546"/>
      <c r="O546"/>
      <c r="P546"/>
      <c r="Q546"/>
      <c r="R546"/>
      <c r="S546"/>
      <c r="T546"/>
    </row>
    <row r="547" spans="1:20" x14ac:dyDescent="0.25">
      <c r="A547" s="51"/>
      <c r="B547"/>
      <c r="C547"/>
      <c r="D547" s="51"/>
      <c r="E547" s="51"/>
      <c r="F547" s="51"/>
      <c r="G547" s="51"/>
      <c r="H547"/>
      <c r="I547"/>
      <c r="J547"/>
      <c r="K547"/>
      <c r="L547"/>
      <c r="M547"/>
      <c r="N547"/>
      <c r="O547"/>
      <c r="P547"/>
      <c r="Q547"/>
      <c r="R547"/>
      <c r="S547"/>
      <c r="T547"/>
    </row>
    <row r="548" spans="1:20" x14ac:dyDescent="0.25">
      <c r="A548" s="51"/>
      <c r="B548"/>
      <c r="C548"/>
      <c r="D548" s="51"/>
      <c r="E548" s="51"/>
      <c r="F548" s="51"/>
      <c r="G548" s="51"/>
      <c r="H548"/>
      <c r="I548"/>
      <c r="J548"/>
      <c r="K548"/>
      <c r="L548"/>
      <c r="M548"/>
      <c r="N548"/>
      <c r="O548"/>
      <c r="P548"/>
      <c r="Q548"/>
      <c r="R548"/>
      <c r="S548"/>
      <c r="T548"/>
    </row>
    <row r="549" spans="1:20" x14ac:dyDescent="0.25">
      <c r="A549" s="51"/>
      <c r="B549"/>
      <c r="C549"/>
      <c r="D549" s="51"/>
      <c r="E549" s="51"/>
      <c r="F549" s="51"/>
      <c r="G549" s="51"/>
      <c r="H549"/>
      <c r="I549"/>
      <c r="J549"/>
      <c r="K549"/>
      <c r="L549"/>
      <c r="M549"/>
      <c r="N549"/>
      <c r="O549"/>
      <c r="P549"/>
      <c r="Q549"/>
      <c r="R549"/>
      <c r="S549"/>
      <c r="T549"/>
    </row>
    <row r="550" spans="1:20" x14ac:dyDescent="0.25">
      <c r="A550" s="51"/>
      <c r="B550" s="62"/>
      <c r="C550" s="62"/>
      <c r="D550" s="51"/>
      <c r="E550" s="51"/>
      <c r="F550" s="51"/>
      <c r="G550" s="51"/>
      <c r="H550" s="62"/>
      <c r="I550" s="62"/>
      <c r="J550" s="62"/>
      <c r="K550" s="62"/>
      <c r="L550" s="62"/>
      <c r="M550" s="62"/>
      <c r="N550" s="62"/>
      <c r="O550" s="62"/>
      <c r="P550" s="62"/>
      <c r="Q550" s="62"/>
      <c r="R550" s="62"/>
      <c r="S550" s="62"/>
      <c r="T550" s="6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9C3888-848B-449C-B21C-34570131D8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Кат</vt:lpstr>
      <vt:lpstr>Торг</vt:lpstr>
      <vt:lpstr>Наценка</vt:lpstr>
      <vt:lpstr>Выгр Кат</vt:lpstr>
      <vt:lpstr>Выгр Торг</vt:lpstr>
      <vt:lpstr>Ссылки</vt:lpstr>
      <vt:lpstr>Из ГУГЛа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Snab TimeTurbo</cp:lastModifiedBy>
  <dcterms:created xsi:type="dcterms:W3CDTF">2023-12-01T08:28:28Z</dcterms:created>
  <dcterms:modified xsi:type="dcterms:W3CDTF">2024-06-11T10:51:21Z</dcterms:modified>
</cp:coreProperties>
</file>